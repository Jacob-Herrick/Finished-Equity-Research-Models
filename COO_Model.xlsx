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User\OneDrive\Desktop\Equity Research\Models\Health Care\MedTech\"/>
    </mc:Choice>
  </mc:AlternateContent>
  <xr:revisionPtr revIDLastSave="0" documentId="13_ncr:1_{D738A870-F3C8-4AEF-92E2-FC9F4301053F}" xr6:coauthVersionLast="47" xr6:coauthVersionMax="47" xr10:uidLastSave="{00000000-0000-0000-0000-000000000000}"/>
  <bookViews>
    <workbookView xWindow="28680" yWindow="-120" windowWidth="29040" windowHeight="15720"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externalReferences>
    <externalReference r:id="rId7"/>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K265" i="3"/>
  <c r="K264" i="3"/>
  <c r="K263" i="3"/>
  <c r="K262" i="3"/>
  <c r="K261" i="3"/>
  <c r="G1502" i="3"/>
  <c r="G1501" i="3"/>
  <c r="G1500" i="3"/>
  <c r="G1499" i="3"/>
  <c r="G1498" i="3"/>
  <c r="G1497" i="3"/>
  <c r="G1496" i="3"/>
  <c r="G1495" i="3"/>
  <c r="G1494" i="3"/>
  <c r="G1493" i="3"/>
  <c r="G1492" i="3"/>
  <c r="G1491" i="3"/>
  <c r="G1490" i="3"/>
  <c r="G1489" i="3"/>
  <c r="G1488" i="3"/>
  <c r="G1487" i="3"/>
  <c r="G1486" i="3"/>
  <c r="G1485" i="3"/>
  <c r="G1484" i="3"/>
  <c r="G1483" i="3"/>
  <c r="G1482" i="3"/>
  <c r="G1481" i="3"/>
  <c r="G1480" i="3"/>
  <c r="G1479" i="3"/>
  <c r="G1478" i="3"/>
  <c r="G1477" i="3"/>
  <c r="G1476" i="3"/>
  <c r="G1475" i="3"/>
  <c r="G1474" i="3"/>
  <c r="G1473" i="3"/>
  <c r="G1472" i="3"/>
  <c r="G1471" i="3"/>
  <c r="G1470" i="3"/>
  <c r="G1469" i="3"/>
  <c r="G1468" i="3"/>
  <c r="G1467" i="3"/>
  <c r="G1466" i="3"/>
  <c r="G1465" i="3"/>
  <c r="G1464" i="3"/>
  <c r="G1463" i="3"/>
  <c r="G1462" i="3"/>
  <c r="G1461" i="3"/>
  <c r="G1460" i="3"/>
  <c r="G1459" i="3"/>
  <c r="G1458" i="3"/>
  <c r="G1457" i="3"/>
  <c r="G1456" i="3"/>
  <c r="G1455" i="3"/>
  <c r="G1454" i="3"/>
  <c r="G1453" i="3"/>
  <c r="G1452" i="3"/>
  <c r="G1451" i="3"/>
  <c r="G1450" i="3"/>
  <c r="G1449" i="3"/>
  <c r="G1448" i="3"/>
  <c r="G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1503" i="3"/>
  <c r="DI80" i="2"/>
  <c r="DI86" i="2"/>
  <c r="DI84" i="2"/>
  <c r="DI79" i="2"/>
  <c r="DF78" i="2"/>
  <c r="DD78" i="2"/>
  <c r="DC78" i="2"/>
  <c r="DA78" i="2"/>
  <c r="DA79" i="2" s="1"/>
  <c r="BR48" i="2"/>
  <c r="BQ48" i="2"/>
  <c r="BP48" i="2"/>
  <c r="BO48" i="2"/>
  <c r="BN48" i="2"/>
  <c r="BM48" i="2"/>
  <c r="BL48" i="2"/>
  <c r="BK48" i="2"/>
  <c r="BJ48" i="2"/>
  <c r="BI48" i="2"/>
  <c r="BH48" i="2"/>
  <c r="BG48" i="2"/>
  <c r="BF48" i="2"/>
  <c r="BE48" i="2"/>
  <c r="BD48" i="2"/>
  <c r="BC48" i="2"/>
  <c r="BB48" i="2"/>
  <c r="BA48" i="2"/>
  <c r="AZ48" i="2"/>
  <c r="AY48" i="2"/>
  <c r="BS48" i="2"/>
  <c r="BR46" i="2"/>
  <c r="BQ46" i="2"/>
  <c r="CY46" i="2" s="1"/>
  <c r="BP46" i="2"/>
  <c r="BO46" i="2"/>
  <c r="BN46" i="2"/>
  <c r="BM46" i="2"/>
  <c r="BL46" i="2"/>
  <c r="BK46" i="2"/>
  <c r="BJ46" i="2"/>
  <c r="BI46" i="2"/>
  <c r="CW46" i="2" s="1"/>
  <c r="BH46" i="2"/>
  <c r="BG46" i="2"/>
  <c r="BF46" i="2"/>
  <c r="BE46" i="2"/>
  <c r="BD46" i="2"/>
  <c r="BC46" i="2"/>
  <c r="CV46" i="2" s="1"/>
  <c r="BB46" i="2"/>
  <c r="BA46" i="2"/>
  <c r="CU46" i="2" s="1"/>
  <c r="AZ46" i="2"/>
  <c r="AY46" i="2"/>
  <c r="BS46" i="2"/>
  <c r="CY26" i="2"/>
  <c r="CX26" i="2"/>
  <c r="CW26" i="2"/>
  <c r="CV26" i="2"/>
  <c r="CU26" i="2"/>
  <c r="CT26" i="2"/>
  <c r="CS26" i="2"/>
  <c r="CR26" i="2"/>
  <c r="CQ26" i="2"/>
  <c r="CP26" i="2"/>
  <c r="CO26" i="2"/>
  <c r="CN26" i="2"/>
  <c r="CM26" i="2"/>
  <c r="CL26" i="2"/>
  <c r="CK26" i="2"/>
  <c r="CJ26" i="2"/>
  <c r="CY25" i="2"/>
  <c r="CX25" i="2"/>
  <c r="CW25" i="2"/>
  <c r="CV25" i="2"/>
  <c r="CU25" i="2"/>
  <c r="CT25" i="2"/>
  <c r="CS25" i="2"/>
  <c r="CR25" i="2"/>
  <c r="CQ25" i="2"/>
  <c r="CP25" i="2"/>
  <c r="CO25" i="2"/>
  <c r="CN25" i="2"/>
  <c r="CM25" i="2"/>
  <c r="CL25" i="2"/>
  <c r="CK25" i="2"/>
  <c r="CJ25" i="2"/>
  <c r="CY24" i="2"/>
  <c r="CX24" i="2"/>
  <c r="CW24" i="2"/>
  <c r="CV24" i="2"/>
  <c r="CU24" i="2"/>
  <c r="CT24" i="2"/>
  <c r="CS24" i="2"/>
  <c r="CR24" i="2"/>
  <c r="CQ24" i="2"/>
  <c r="CP24" i="2"/>
  <c r="CO24" i="2"/>
  <c r="CN24" i="2"/>
  <c r="CM24" i="2"/>
  <c r="CL24" i="2"/>
  <c r="CK24" i="2"/>
  <c r="CJ24" i="2"/>
  <c r="CY23" i="2"/>
  <c r="CX23" i="2"/>
  <c r="CW23" i="2"/>
  <c r="CV23" i="2"/>
  <c r="CU23" i="2"/>
  <c r="CT23" i="2"/>
  <c r="CS23" i="2"/>
  <c r="CR23" i="2"/>
  <c r="CQ23" i="2"/>
  <c r="CP23" i="2"/>
  <c r="CO23" i="2"/>
  <c r="CN23" i="2"/>
  <c r="CM23" i="2"/>
  <c r="CL23" i="2"/>
  <c r="CK23" i="2"/>
  <c r="CJ23" i="2"/>
  <c r="CY22" i="2"/>
  <c r="CX22" i="2"/>
  <c r="CW22" i="2"/>
  <c r="CV22" i="2"/>
  <c r="CU22" i="2"/>
  <c r="CT22" i="2"/>
  <c r="CS22" i="2"/>
  <c r="CR22" i="2"/>
  <c r="CQ22" i="2"/>
  <c r="CP22" i="2"/>
  <c r="CO22" i="2"/>
  <c r="CN22" i="2"/>
  <c r="CM22" i="2"/>
  <c r="CL22" i="2"/>
  <c r="CK22" i="2"/>
  <c r="CJ22" i="2"/>
  <c r="CY21" i="2"/>
  <c r="CX21" i="2"/>
  <c r="CW21" i="2"/>
  <c r="CV21" i="2"/>
  <c r="CU21" i="2"/>
  <c r="CT21" i="2"/>
  <c r="CS21" i="2"/>
  <c r="CR21" i="2"/>
  <c r="CQ21" i="2"/>
  <c r="CP21" i="2"/>
  <c r="CO21" i="2"/>
  <c r="CN21" i="2"/>
  <c r="CM21" i="2"/>
  <c r="CL21" i="2"/>
  <c r="CK21" i="2"/>
  <c r="CJ21" i="2"/>
  <c r="CY20" i="2"/>
  <c r="CX20" i="2"/>
  <c r="CW20" i="2"/>
  <c r="CV20" i="2"/>
  <c r="CU20" i="2"/>
  <c r="CT20" i="2"/>
  <c r="CS20" i="2"/>
  <c r="CR20" i="2"/>
  <c r="CQ20" i="2"/>
  <c r="CP20" i="2"/>
  <c r="CO20" i="2"/>
  <c r="CN20" i="2"/>
  <c r="CM20" i="2"/>
  <c r="CL20" i="2"/>
  <c r="CK20" i="2"/>
  <c r="CJ20" i="2"/>
  <c r="CY19" i="2"/>
  <c r="CX19" i="2"/>
  <c r="CW19" i="2"/>
  <c r="CV19" i="2"/>
  <c r="CU19" i="2"/>
  <c r="CT19" i="2"/>
  <c r="CS19" i="2"/>
  <c r="CR19" i="2"/>
  <c r="CQ19" i="2"/>
  <c r="CP19" i="2"/>
  <c r="CO19" i="2"/>
  <c r="CN19" i="2"/>
  <c r="CM19" i="2"/>
  <c r="CL19" i="2"/>
  <c r="CK19" i="2"/>
  <c r="CJ19" i="2"/>
  <c r="CY18" i="2"/>
  <c r="CX18" i="2"/>
  <c r="CW18" i="2"/>
  <c r="CV18" i="2"/>
  <c r="CU18" i="2"/>
  <c r="CT18" i="2"/>
  <c r="CS18" i="2"/>
  <c r="CR18" i="2"/>
  <c r="CQ18" i="2"/>
  <c r="CP18" i="2"/>
  <c r="CO18" i="2"/>
  <c r="CN18" i="2"/>
  <c r="CM18" i="2"/>
  <c r="CL18" i="2"/>
  <c r="CK18" i="2"/>
  <c r="CJ18" i="2"/>
  <c r="CY17" i="2"/>
  <c r="CX17" i="2"/>
  <c r="CW17" i="2"/>
  <c r="CV17" i="2"/>
  <c r="CU17" i="2"/>
  <c r="CT17" i="2"/>
  <c r="CS17" i="2"/>
  <c r="CR17" i="2"/>
  <c r="CQ17" i="2"/>
  <c r="CP17" i="2"/>
  <c r="CO17" i="2"/>
  <c r="CN17" i="2"/>
  <c r="CM17" i="2"/>
  <c r="CL17" i="2"/>
  <c r="CK17" i="2"/>
  <c r="CJ17" i="2"/>
  <c r="DI26" i="2"/>
  <c r="DH26" i="2"/>
  <c r="DG26" i="2"/>
  <c r="DF26" i="2"/>
  <c r="DE26" i="2"/>
  <c r="DD26" i="2"/>
  <c r="DC26" i="2"/>
  <c r="DB26" i="2"/>
  <c r="DA26" i="2"/>
  <c r="CZ26" i="2"/>
  <c r="CI74" i="2"/>
  <c r="CJ74" i="2"/>
  <c r="CK74" i="2"/>
  <c r="CL74" i="2"/>
  <c r="CM74" i="2"/>
  <c r="CN74" i="2"/>
  <c r="CO74" i="2"/>
  <c r="CP74" i="2"/>
  <c r="CQ74" i="2"/>
  <c r="CR74" i="2"/>
  <c r="CS74" i="2"/>
  <c r="CT74" i="2"/>
  <c r="CU74" i="2"/>
  <c r="CV74" i="2"/>
  <c r="CW74" i="2"/>
  <c r="CX74" i="2"/>
  <c r="CY74" i="2"/>
  <c r="CX46" i="2"/>
  <c r="CT46" i="2"/>
  <c r="CS46" i="2"/>
  <c r="CR46" i="2"/>
  <c r="CQ46" i="2"/>
  <c r="CP46" i="2"/>
  <c r="CO46" i="2"/>
  <c r="CN46" i="2"/>
  <c r="CM46" i="2"/>
  <c r="CL46" i="2"/>
  <c r="CK46" i="2"/>
  <c r="CJ46" i="2"/>
  <c r="CI46" i="2"/>
  <c r="CY34" i="2"/>
  <c r="CX34" i="2"/>
  <c r="CW34" i="2"/>
  <c r="CV34" i="2"/>
  <c r="CU34" i="2"/>
  <c r="CT34" i="2"/>
  <c r="CS34" i="2"/>
  <c r="CR34" i="2"/>
  <c r="CQ34" i="2"/>
  <c r="CP34" i="2"/>
  <c r="CO34" i="2"/>
  <c r="CN34" i="2"/>
  <c r="CM34" i="2"/>
  <c r="CL34" i="2"/>
  <c r="CK34" i="2"/>
  <c r="CJ34" i="2"/>
  <c r="CI34" i="2"/>
  <c r="CY33" i="2"/>
  <c r="CX33" i="2"/>
  <c r="CW33" i="2"/>
  <c r="CV33" i="2"/>
  <c r="CU33" i="2"/>
  <c r="CT33" i="2"/>
  <c r="CS33" i="2"/>
  <c r="CR33" i="2"/>
  <c r="CQ33" i="2"/>
  <c r="CP33" i="2"/>
  <c r="CO33" i="2"/>
  <c r="CN33" i="2"/>
  <c r="CM33" i="2"/>
  <c r="CL33" i="2"/>
  <c r="CK33" i="2"/>
  <c r="CJ33" i="2"/>
  <c r="CI33" i="2"/>
  <c r="CY32" i="2"/>
  <c r="CX32" i="2"/>
  <c r="CW32" i="2"/>
  <c r="CV32" i="2"/>
  <c r="CU32" i="2"/>
  <c r="CT32" i="2"/>
  <c r="CS32" i="2"/>
  <c r="CR32" i="2"/>
  <c r="CQ32" i="2"/>
  <c r="CP32" i="2"/>
  <c r="CO32" i="2"/>
  <c r="CN32" i="2"/>
  <c r="CM32" i="2"/>
  <c r="CL32" i="2"/>
  <c r="CK32" i="2"/>
  <c r="CJ32" i="2"/>
  <c r="CI32" i="2"/>
  <c r="CY31" i="2"/>
  <c r="CX31" i="2"/>
  <c r="CW31" i="2"/>
  <c r="CV31" i="2"/>
  <c r="CU31" i="2"/>
  <c r="CT31" i="2"/>
  <c r="CS31" i="2"/>
  <c r="CR31" i="2"/>
  <c r="CQ31" i="2"/>
  <c r="CP31" i="2"/>
  <c r="CO31" i="2"/>
  <c r="CN31" i="2"/>
  <c r="CM31" i="2"/>
  <c r="CL31" i="2"/>
  <c r="CK31" i="2"/>
  <c r="CJ31" i="2"/>
  <c r="CI31" i="2"/>
  <c r="CY14" i="2"/>
  <c r="CX14" i="2"/>
  <c r="CW14" i="2"/>
  <c r="CV14" i="2"/>
  <c r="CU14" i="2"/>
  <c r="CT14" i="2"/>
  <c r="CS14" i="2"/>
  <c r="CR14" i="2"/>
  <c r="CQ14" i="2"/>
  <c r="CP14" i="2"/>
  <c r="CO14" i="2"/>
  <c r="CN14" i="2"/>
  <c r="CM14" i="2"/>
  <c r="CL14" i="2"/>
  <c r="CK14" i="2"/>
  <c r="CJ14" i="2"/>
  <c r="CI14" i="2"/>
  <c r="CY13" i="2"/>
  <c r="CZ13" i="2" s="1"/>
  <c r="DA13" i="2" s="1"/>
  <c r="DB13" i="2" s="1"/>
  <c r="DC13" i="2" s="1"/>
  <c r="DD13" i="2" s="1"/>
  <c r="DE13" i="2" s="1"/>
  <c r="DF13" i="2" s="1"/>
  <c r="DG13" i="2" s="1"/>
  <c r="DH13" i="2" s="1"/>
  <c r="DI13" i="2" s="1"/>
  <c r="CX13" i="2"/>
  <c r="CW13" i="2"/>
  <c r="CV13" i="2"/>
  <c r="CU13" i="2"/>
  <c r="CT13" i="2"/>
  <c r="CS13" i="2"/>
  <c r="CR13" i="2"/>
  <c r="CQ13" i="2"/>
  <c r="CP13" i="2"/>
  <c r="CO13" i="2"/>
  <c r="CN13" i="2"/>
  <c r="CM13" i="2"/>
  <c r="CL13" i="2"/>
  <c r="CK13" i="2"/>
  <c r="CJ13" i="2"/>
  <c r="CI13" i="2"/>
  <c r="CY12" i="2"/>
  <c r="CZ12" i="2" s="1"/>
  <c r="DA12" i="2" s="1"/>
  <c r="DB12" i="2" s="1"/>
  <c r="DC12" i="2" s="1"/>
  <c r="DD12" i="2" s="1"/>
  <c r="DE12" i="2" s="1"/>
  <c r="DF12" i="2" s="1"/>
  <c r="DG12" i="2" s="1"/>
  <c r="DH12" i="2" s="1"/>
  <c r="DI12" i="2" s="1"/>
  <c r="CX12" i="2"/>
  <c r="CW12" i="2"/>
  <c r="CV12" i="2"/>
  <c r="CU12" i="2"/>
  <c r="CT12" i="2"/>
  <c r="CS12" i="2"/>
  <c r="CR12" i="2"/>
  <c r="CQ12" i="2"/>
  <c r="CP12" i="2"/>
  <c r="CO12" i="2"/>
  <c r="CN12" i="2"/>
  <c r="CM12" i="2"/>
  <c r="CL12" i="2"/>
  <c r="CK12" i="2"/>
  <c r="CJ12" i="2"/>
  <c r="CI12" i="2"/>
  <c r="CY11" i="2"/>
  <c r="CZ11" i="2" s="1"/>
  <c r="DA11" i="2" s="1"/>
  <c r="DB11" i="2" s="1"/>
  <c r="DC11" i="2" s="1"/>
  <c r="DD11" i="2" s="1"/>
  <c r="DE11" i="2" s="1"/>
  <c r="DF11" i="2" s="1"/>
  <c r="DG11" i="2" s="1"/>
  <c r="DH11" i="2" s="1"/>
  <c r="DI11" i="2" s="1"/>
  <c r="CX11" i="2"/>
  <c r="CW11" i="2"/>
  <c r="CV11" i="2"/>
  <c r="CU11" i="2"/>
  <c r="CT11" i="2"/>
  <c r="CS11" i="2"/>
  <c r="CR11" i="2"/>
  <c r="CQ11" i="2"/>
  <c r="CP11" i="2"/>
  <c r="CO11" i="2"/>
  <c r="CN11" i="2"/>
  <c r="CM11" i="2"/>
  <c r="CL11" i="2"/>
  <c r="CK11" i="2"/>
  <c r="CJ11" i="2"/>
  <c r="CI11" i="2"/>
  <c r="CY10" i="2"/>
  <c r="CZ10" i="2" s="1"/>
  <c r="DA10" i="2" s="1"/>
  <c r="DB10" i="2" s="1"/>
  <c r="DC10" i="2" s="1"/>
  <c r="DD10" i="2" s="1"/>
  <c r="DE10" i="2" s="1"/>
  <c r="DF10" i="2" s="1"/>
  <c r="DG10" i="2" s="1"/>
  <c r="DH10" i="2" s="1"/>
  <c r="DI10" i="2" s="1"/>
  <c r="CX10" i="2"/>
  <c r="CW10" i="2"/>
  <c r="CV10" i="2"/>
  <c r="CU10" i="2"/>
  <c r="CT10" i="2"/>
  <c r="CS10" i="2"/>
  <c r="CR10" i="2"/>
  <c r="CQ10" i="2"/>
  <c r="CP10" i="2"/>
  <c r="CO10" i="2"/>
  <c r="CN10" i="2"/>
  <c r="CM10" i="2"/>
  <c r="CL10" i="2"/>
  <c r="CK10" i="2"/>
  <c r="CJ10" i="2"/>
  <c r="CI10" i="2"/>
  <c r="CY9" i="2"/>
  <c r="CZ9" i="2" s="1"/>
  <c r="DA9" i="2" s="1"/>
  <c r="DB9" i="2" s="1"/>
  <c r="DC9" i="2" s="1"/>
  <c r="DD9" i="2" s="1"/>
  <c r="DE9" i="2" s="1"/>
  <c r="DF9" i="2" s="1"/>
  <c r="DG9" i="2" s="1"/>
  <c r="DH9" i="2" s="1"/>
  <c r="DI9" i="2" s="1"/>
  <c r="CX9" i="2"/>
  <c r="CW9" i="2"/>
  <c r="CV9" i="2"/>
  <c r="CU9" i="2"/>
  <c r="CT9" i="2"/>
  <c r="CS9" i="2"/>
  <c r="CR9" i="2"/>
  <c r="CQ9" i="2"/>
  <c r="CP9" i="2"/>
  <c r="CO9" i="2"/>
  <c r="CN9" i="2"/>
  <c r="CM9" i="2"/>
  <c r="CL9" i="2"/>
  <c r="CK9" i="2"/>
  <c r="CJ9" i="2"/>
  <c r="CI9" i="2"/>
  <c r="CY8" i="2"/>
  <c r="CZ8" i="2" s="1"/>
  <c r="DA8" i="2" s="1"/>
  <c r="DB8" i="2" s="1"/>
  <c r="DC8" i="2" s="1"/>
  <c r="DD8" i="2" s="1"/>
  <c r="DE8" i="2" s="1"/>
  <c r="DF8" i="2" s="1"/>
  <c r="DG8" i="2" s="1"/>
  <c r="DH8" i="2" s="1"/>
  <c r="DI8" i="2" s="1"/>
  <c r="CX8" i="2"/>
  <c r="CW8" i="2"/>
  <c r="CV8" i="2"/>
  <c r="CU8" i="2"/>
  <c r="CT8" i="2"/>
  <c r="CS8" i="2"/>
  <c r="CR8" i="2"/>
  <c r="CQ8" i="2"/>
  <c r="CP8" i="2"/>
  <c r="CO8" i="2"/>
  <c r="CN8" i="2"/>
  <c r="CM8" i="2"/>
  <c r="CL8" i="2"/>
  <c r="CK8" i="2"/>
  <c r="CJ8" i="2"/>
  <c r="CI8" i="2"/>
  <c r="CY7" i="2"/>
  <c r="CZ7" i="2" s="1"/>
  <c r="DA7" i="2" s="1"/>
  <c r="DB7" i="2" s="1"/>
  <c r="DC7" i="2" s="1"/>
  <c r="DD7" i="2" s="1"/>
  <c r="DE7" i="2" s="1"/>
  <c r="DF7" i="2" s="1"/>
  <c r="DG7" i="2" s="1"/>
  <c r="DH7" i="2" s="1"/>
  <c r="DI7" i="2" s="1"/>
  <c r="CX7" i="2"/>
  <c r="CW7" i="2"/>
  <c r="CV7" i="2"/>
  <c r="CU7" i="2"/>
  <c r="CT7" i="2"/>
  <c r="CS7" i="2"/>
  <c r="CR7" i="2"/>
  <c r="CQ7" i="2"/>
  <c r="CP7" i="2"/>
  <c r="CO7" i="2"/>
  <c r="CN7" i="2"/>
  <c r="CM7" i="2"/>
  <c r="CL7" i="2"/>
  <c r="CK7" i="2"/>
  <c r="CJ7" i="2"/>
  <c r="CI7" i="2"/>
  <c r="CY6" i="2"/>
  <c r="CX6" i="2"/>
  <c r="CW6" i="2"/>
  <c r="CV6" i="2"/>
  <c r="CU6" i="2"/>
  <c r="CT6" i="2"/>
  <c r="CS6" i="2"/>
  <c r="CR6" i="2"/>
  <c r="CQ6" i="2"/>
  <c r="CP6" i="2"/>
  <c r="CO6" i="2"/>
  <c r="CN6" i="2"/>
  <c r="CM6" i="2"/>
  <c r="CL6" i="2"/>
  <c r="CK6" i="2"/>
  <c r="CJ6" i="2"/>
  <c r="CI6" i="2"/>
  <c r="CY5" i="2"/>
  <c r="CZ5" i="2" s="1"/>
  <c r="DA5" i="2" s="1"/>
  <c r="DB5" i="2" s="1"/>
  <c r="DC5" i="2" s="1"/>
  <c r="DD5" i="2" s="1"/>
  <c r="DE5" i="2" s="1"/>
  <c r="DF5" i="2" s="1"/>
  <c r="DG5" i="2" s="1"/>
  <c r="DH5" i="2" s="1"/>
  <c r="DI5" i="2" s="1"/>
  <c r="CX5" i="2"/>
  <c r="CW5" i="2"/>
  <c r="CV5" i="2"/>
  <c r="CU5" i="2"/>
  <c r="CT5" i="2"/>
  <c r="CS5" i="2"/>
  <c r="CR5" i="2"/>
  <c r="CQ5" i="2"/>
  <c r="CP5" i="2"/>
  <c r="CO5" i="2"/>
  <c r="CN5" i="2"/>
  <c r="CM5" i="2"/>
  <c r="CL5" i="2"/>
  <c r="CK5" i="2"/>
  <c r="CJ5" i="2"/>
  <c r="CI5" i="2"/>
  <c r="CV4" i="2"/>
  <c r="CX4" i="2"/>
  <c r="CY4" i="2"/>
  <c r="CZ4" i="2" s="1"/>
  <c r="DA4" i="2" s="1"/>
  <c r="DB4" i="2" s="1"/>
  <c r="DC4" i="2" s="1"/>
  <c r="DD4" i="2" s="1"/>
  <c r="DE4" i="2" s="1"/>
  <c r="DF4" i="2" s="1"/>
  <c r="DG4" i="2" s="1"/>
  <c r="DH4" i="2" s="1"/>
  <c r="DI4" i="2" s="1"/>
  <c r="CW4" i="2"/>
  <c r="CU4" i="2"/>
  <c r="CU16" i="2" s="1"/>
  <c r="CT4" i="2"/>
  <c r="CS4" i="2"/>
  <c r="CR4" i="2"/>
  <c r="CQ4" i="2"/>
  <c r="CP4" i="2"/>
  <c r="CO4" i="2"/>
  <c r="CN4" i="2"/>
  <c r="CM4" i="2"/>
  <c r="CM16" i="2" s="1"/>
  <c r="CL4" i="2"/>
  <c r="CK4" i="2"/>
  <c r="CJ4" i="2"/>
  <c r="CK16" i="2" s="1"/>
  <c r="CI4" i="2"/>
  <c r="CJ3" i="2"/>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ET3" i="2" s="1"/>
  <c r="EU3" i="2" s="1"/>
  <c r="EV3" i="2" s="1"/>
  <c r="EW3" i="2" s="1"/>
  <c r="EX3" i="2" s="1"/>
  <c r="EY3" i="2" s="1"/>
  <c r="EZ3" i="2" s="1"/>
  <c r="FA3" i="2" s="1"/>
  <c r="FB3" i="2" s="1"/>
  <c r="FC3" i="2" s="1"/>
  <c r="FD3" i="2" s="1"/>
  <c r="FE3" i="2" s="1"/>
  <c r="FF3" i="2" s="1"/>
  <c r="FG3" i="2" s="1"/>
  <c r="C5" i="1"/>
  <c r="C8" i="1" l="1"/>
  <c r="K266" i="3"/>
  <c r="DI81" i="2"/>
  <c r="DI83" i="2" s="1"/>
  <c r="DI85" i="2" s="1"/>
  <c r="DI87" i="2" s="1"/>
  <c r="DJ87" i="2" s="1"/>
  <c r="CN16" i="2"/>
  <c r="CQ16" i="2"/>
  <c r="CV16" i="2"/>
  <c r="CL16" i="2"/>
  <c r="CT16" i="2"/>
  <c r="CR16" i="2"/>
  <c r="CS16" i="2"/>
  <c r="CJ16" i="2"/>
  <c r="CW16" i="2"/>
  <c r="CO16" i="2"/>
  <c r="CP16" i="2"/>
  <c r="CX16" i="2"/>
  <c r="CZ6" i="2"/>
  <c r="DA6" i="2" s="1"/>
  <c r="DB6" i="2" s="1"/>
  <c r="DC6" i="2" s="1"/>
  <c r="DD6" i="2" s="1"/>
  <c r="DE6" i="2" s="1"/>
  <c r="DF6" i="2" s="1"/>
  <c r="DG6" i="2" s="1"/>
  <c r="DH6" i="2" s="1"/>
  <c r="DI6" i="2" s="1"/>
  <c r="DI14" i="2" s="1"/>
  <c r="CY16" i="2"/>
  <c r="CY28" i="2"/>
  <c r="S283" i="3"/>
  <c r="DH88" i="2" l="1" a="1"/>
  <c r="DH88" i="2" s="1"/>
  <c r="DE14" i="2"/>
  <c r="DF14" i="2"/>
  <c r="DH14" i="2"/>
  <c r="CZ14" i="2"/>
  <c r="DB14" i="2"/>
  <c r="DG14" i="2"/>
  <c r="DC14" i="2"/>
  <c r="DA14" i="2"/>
  <c r="DD14" i="2"/>
  <c r="S273" i="3"/>
  <c r="S272" i="3"/>
  <c r="S275" i="3"/>
  <c r="S282" i="3"/>
  <c r="S274" i="3"/>
  <c r="S285" i="3"/>
  <c r="S281" i="3"/>
  <c r="S277" i="3"/>
  <c r="S280" i="3"/>
  <c r="S284" i="3"/>
  <c r="S279" i="3"/>
  <c r="S276" i="3"/>
  <c r="S27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<sst xmlns="http://schemas.openxmlformats.org/spreadsheetml/2006/main" count="1558" uniqueCount="1530">
  <si>
    <t>Master</t>
  </si>
  <si>
    <t xml:space="preserve">Price </t>
  </si>
  <si>
    <t>SO</t>
  </si>
  <si>
    <t>MC</t>
  </si>
  <si>
    <t>Cash</t>
  </si>
  <si>
    <t>Debt</t>
  </si>
  <si>
    <t>EV</t>
  </si>
  <si>
    <t>Investor Relations Contact:</t>
  </si>
  <si>
    <t>SEC filings</t>
  </si>
  <si>
    <t>Godel Terminal</t>
  </si>
  <si>
    <t>Company Overview:</t>
  </si>
  <si>
    <t>[Bold Title]</t>
  </si>
  <si>
    <t>Line Titles</t>
  </si>
  <si>
    <t>&lt;-- General</t>
  </si>
  <si>
    <t>&lt;-- Info</t>
  </si>
  <si>
    <t>[Godel Snapshot]</t>
  </si>
  <si>
    <t>[Company] Major Acquisitions (1990s - Present)</t>
  </si>
  <si>
    <t>19--'s</t>
  </si>
  <si>
    <t>2000s</t>
  </si>
  <si>
    <t>2010s</t>
  </si>
  <si>
    <t>2020s</t>
  </si>
  <si>
    <t>Revenue Breakdown by Segment (Build graph for this section if applicable…. See example below)</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</si>
  <si>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</si>
  <si>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</si>
  <si>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</si>
  <si>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</si>
  <si>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</si>
  <si>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</si>
  <si>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</si>
  <si>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</si>
  <si>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</si>
  <si>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</si>
  <si>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</si>
  <si>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</si>
  <si>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</si>
  <si>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</si>
  <si>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</si>
  <si>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</si>
  <si>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</si>
  <si>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</si>
  <si>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</si>
  <si>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</si>
  <si>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</si>
  <si>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</si>
  <si>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</si>
  <si>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</si>
  <si>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</si>
  <si>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</si>
  <si>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</si>
  <si>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</si>
  <si>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</si>
  <si>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Q2 2008</t>
  </si>
  <si>
    <t>Q3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</si>
  <si>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</si>
  <si>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</si>
  <si>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</si>
  <si>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</si>
  <si>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</si>
  <si>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</si>
  <si>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</si>
  <si>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</si>
  <si>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</si>
  <si>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</si>
  <si>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</si>
  <si>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</si>
  <si>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</si>
  <si>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</si>
  <si>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</si>
  <si>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</si>
  <si>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</si>
  <si>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</si>
  <si>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</si>
  <si>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</si>
  <si>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</si>
  <si>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</si>
  <si>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</si>
  <si>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</si>
  <si>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</si>
  <si>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</si>
  <si>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</si>
  <si>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</si>
  <si>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</si>
  <si>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</si>
  <si>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</si>
  <si>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</si>
  <si>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</si>
  <si>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</si>
  <si>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</si>
  <si>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</si>
  <si>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</si>
  <si>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</si>
  <si>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</si>
  <si>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</si>
  <si>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</si>
  <si>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</si>
  <si>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</si>
  <si>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</si>
  <si>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</si>
  <si>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</si>
  <si>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</si>
  <si>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</si>
  <si>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</si>
  <si>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</si>
  <si>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</si>
  <si>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</si>
  <si>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</si>
  <si>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</si>
  <si>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</si>
  <si>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</si>
  <si>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</si>
  <si>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</si>
  <si>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</si>
  <si>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</si>
  <si>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</si>
  <si>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</si>
  <si>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</si>
  <si>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</si>
  <si>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</si>
  <si>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</si>
  <si>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</si>
  <si>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</si>
  <si>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</si>
  <si>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</si>
  <si>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</si>
  <si>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</si>
  <si>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</si>
  <si>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</si>
  <si>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</si>
  <si>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</si>
  <si>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Q1 2008</t>
  </si>
  <si>
    <t>Q4 2008</t>
  </si>
  <si>
    <t>Product D</t>
  </si>
  <si>
    <t>Product A</t>
  </si>
  <si>
    <t>Product B</t>
  </si>
  <si>
    <t>Product C</t>
  </si>
  <si>
    <t>Product E</t>
  </si>
  <si>
    <t>Product F</t>
  </si>
  <si>
    <t>Product G</t>
  </si>
  <si>
    <t>Product H</t>
  </si>
  <si>
    <t>Product I</t>
  </si>
  <si>
    <t>Product J</t>
  </si>
  <si>
    <t>[Segment A] % of Ttl Revenues</t>
  </si>
  <si>
    <t>[Segment B] % of Ttl Revenues</t>
  </si>
  <si>
    <t>Product A Growth Y/y</t>
  </si>
  <si>
    <t>Product B Growth Y/y</t>
  </si>
  <si>
    <t>Product C Growth Y/y</t>
  </si>
  <si>
    <t>Product D Growth Y/y</t>
  </si>
  <si>
    <t>Product E Growth Y/y</t>
  </si>
  <si>
    <t>Product F Growth Y/y</t>
  </si>
  <si>
    <t>Product J Growth Y/y</t>
  </si>
  <si>
    <t>Product H Growth Y/y</t>
  </si>
  <si>
    <t>Product G Growth Y/y</t>
  </si>
  <si>
    <t>Product I Growth Y/y</t>
  </si>
  <si>
    <t>U.S. Revenues</t>
  </si>
  <si>
    <t>[Region C] Revenues</t>
  </si>
  <si>
    <t>[Region B] Revenues</t>
  </si>
  <si>
    <t>[Region A] Revenues</t>
  </si>
  <si>
    <t>U.S. % of Revenues</t>
  </si>
  <si>
    <t>[Region A] Revenues % of Revenues</t>
  </si>
  <si>
    <t>[Region B] Revenues % of Revenues</t>
  </si>
  <si>
    <t>[Region C] Revenues % of Revenues</t>
  </si>
  <si>
    <t>[Region A] Revenue Growth Y/y</t>
  </si>
  <si>
    <t>[Region B] Revenue Growth Y/y</t>
  </si>
  <si>
    <t>U.S. Revenue Growth Y/y</t>
  </si>
  <si>
    <t>[Region C] Revenue Growth Y/y</t>
  </si>
  <si>
    <t>COGS</t>
  </si>
  <si>
    <t>GP</t>
  </si>
  <si>
    <t>Gross Profit Margin</t>
  </si>
  <si>
    <t>R&amp;D as % of Revenue</t>
  </si>
  <si>
    <t>SG&amp;A as % of Revenue</t>
  </si>
  <si>
    <t>Operating Profit Margin</t>
  </si>
  <si>
    <t>Effective Tax Rate</t>
  </si>
  <si>
    <t>Net Profit Margin</t>
  </si>
  <si>
    <t xml:space="preserve">Cash &amp; CEs </t>
  </si>
  <si>
    <t>ST Investments</t>
  </si>
  <si>
    <t>Marketable Securities</t>
  </si>
  <si>
    <t>Current Ratio</t>
  </si>
  <si>
    <t>Quick Ratio</t>
  </si>
  <si>
    <t>Cash Ratio</t>
  </si>
  <si>
    <t>Ttl Asset Turnover</t>
  </si>
  <si>
    <t>Inventory Turnover Ratio</t>
  </si>
  <si>
    <t>Return on Assets</t>
  </si>
  <si>
    <t>Return on Equity</t>
  </si>
  <si>
    <t>Net Income</t>
  </si>
  <si>
    <t>CFFO</t>
  </si>
  <si>
    <t>CapEx, net</t>
  </si>
  <si>
    <t>FCF</t>
  </si>
  <si>
    <t>SC</t>
  </si>
  <si>
    <t>FCF per Share</t>
  </si>
  <si>
    <t>General Notes/Observations (Updated Q1'25)</t>
  </si>
  <si>
    <t>Financial Stmts. Notes/Observations (Updated Q1'25)</t>
  </si>
  <si>
    <t>Revenues:</t>
  </si>
  <si>
    <t>[Godel Snapshot of projected sales]</t>
  </si>
  <si>
    <t>Earnings Scope:</t>
  </si>
  <si>
    <t>[Godel Snapshot of projected earnings/EPS]</t>
  </si>
  <si>
    <t>Balance Sheet Scope:</t>
  </si>
  <si>
    <t>[Godel Snapshot of projected balances (assets, liabilities, equity)]</t>
  </si>
  <si>
    <t>[Equity Preformance Compared to Peers]</t>
  </si>
  <si>
    <t>Use Godel CMS command</t>
  </si>
  <si>
    <t>Mean</t>
  </si>
  <si>
    <t>-3σ</t>
  </si>
  <si>
    <t>-2σ</t>
  </si>
  <si>
    <t>-1σ</t>
  </si>
  <si>
    <t>1σ</t>
  </si>
  <si>
    <t>2σ</t>
  </si>
  <si>
    <t>3σ</t>
  </si>
  <si>
    <t>Phone:</t>
  </si>
  <si>
    <t xml:space="preserve">Email: </t>
  </si>
  <si>
    <t>EPS Growth</t>
  </si>
  <si>
    <t>&lt;- Sharpe Ratio (Risk Adjusted Return)</t>
  </si>
  <si>
    <t>Earnings Calls</t>
  </si>
  <si>
    <t>Equity Analysis</t>
  </si>
  <si>
    <t>https://app.godelterminal.com/</t>
  </si>
  <si>
    <t>Founder(s):</t>
  </si>
  <si>
    <t>Investors Relation Department</t>
  </si>
  <si>
    <t>Business Segments and Geographical Info:</t>
  </si>
  <si>
    <t xml:space="preserve">[Begin researching fundamentals / core business … begin with SEC filings, but expand and use all public resources available] </t>
  </si>
  <si>
    <t>Employee Scope:</t>
  </si>
  <si>
    <t>Resources:</t>
  </si>
  <si>
    <t>Y/y Total Revenues, Net Income, FCF</t>
  </si>
  <si>
    <t>Q/q Total Revenues, Net Income, FCF</t>
  </si>
  <si>
    <t>Institutional Ownership Snapshot Q2'25</t>
  </si>
  <si>
    <t>Company IR Page</t>
  </si>
  <si>
    <t>Company Homepage</t>
  </si>
  <si>
    <t>MacroTrends</t>
  </si>
  <si>
    <t>ROIC, WACC</t>
  </si>
  <si>
    <t>Ttl Revenue Growth Y/y</t>
  </si>
  <si>
    <t>Projected ROIC:</t>
  </si>
  <si>
    <t>Invested Capital</t>
  </si>
  <si>
    <t>AVG Invested Capital</t>
  </si>
  <si>
    <t>ROIC</t>
  </si>
  <si>
    <t>2023-2024</t>
  </si>
  <si>
    <t>Terminal</t>
  </si>
  <si>
    <t>RFR (10-year yield)</t>
  </si>
  <si>
    <t>ERP 
(Avg. market return - (less) RFR)</t>
  </si>
  <si>
    <t>Equity β (1-year avg.)</t>
  </si>
  <si>
    <t>Discount (Cost of Equity)</t>
  </si>
  <si>
    <t>NPV</t>
  </si>
  <si>
    <t>Q2'25</t>
  </si>
  <si>
    <t>FV</t>
  </si>
  <si>
    <t>CP</t>
  </si>
  <si>
    <t>Change Δ</t>
  </si>
  <si>
    <t>Fri, 19 Sep 2025 00:00:00 GMT</t>
  </si>
  <si>
    <t>Thu, 18 Sep 2025 00:00:00 GMT</t>
  </si>
  <si>
    <t>Wed, 17 Sep 2025 00:00:00 GMT</t>
  </si>
  <si>
    <t>Tue, 16 Sep 2025 00:00:00 GMT</t>
  </si>
  <si>
    <t>Mon, 15 Sep 2025 00:00:00 GMT</t>
  </si>
  <si>
    <t>Fri, 12 Sep 2025 00:00:00 GMT</t>
  </si>
  <si>
    <t>Thu, 11 Sep 2025 00:00:00 GMT</t>
  </si>
  <si>
    <t>Wed, 10 Sep 2025 00:00:00 GMT</t>
  </si>
  <si>
    <t>Tue, 09 Sep 2025 00:00:00 GMT</t>
  </si>
  <si>
    <t>Mon, 08 Sep 2025 00:00:00 GMT</t>
  </si>
  <si>
    <t>Fri, 05 Sep 2025 00:00:00 GMT</t>
  </si>
  <si>
    <t>Thu, 04 Sep 2025 00:00:00 GMT</t>
  </si>
  <si>
    <t>Wed, 03 Sep 2025 00:00:00 GMT</t>
  </si>
  <si>
    <t>Tue, 02 Sep 2025 00:00:00 GMT</t>
  </si>
  <si>
    <t>Fri, 29 Aug 2025 00:00:00 GMT</t>
  </si>
  <si>
    <t>Thu, 28 Aug 2025 00:00:00 GMT</t>
  </si>
  <si>
    <t>Wed, 27 Aug 2025 00:00:00 GMT</t>
  </si>
  <si>
    <t>Tue, 26 Aug 2025 00:00:00 GMT</t>
  </si>
  <si>
    <t>Mon, 25 Aug 2025 00:00:00 GMT</t>
  </si>
  <si>
    <t>Fri, 22 Aug 2025 00:00:00 GMT</t>
  </si>
  <si>
    <t>Thu, 21 Aug 2025 00:00:00 GMT</t>
  </si>
  <si>
    <t>Wed, 20 Aug 2025 00:00:00 GMT</t>
  </si>
  <si>
    <t>Tue, 19 Aug 2025 00:00:00 GMT</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</si>
  <si>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</si>
  <si>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</si>
  <si>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</si>
  <si>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</si>
  <si>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</si>
  <si>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</si>
  <si>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</si>
  <si>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</si>
  <si>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</si>
  <si>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</si>
  <si>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</si>
  <si>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</si>
  <si>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</si>
  <si>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</si>
  <si>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</si>
  <si>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</si>
  <si>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</si>
  <si>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</si>
  <si>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</si>
  <si>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</si>
  <si>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</si>
  <si>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</si>
  <si>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</si>
  <si>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</si>
  <si>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</si>
  <si>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</si>
  <si>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</si>
  <si>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</si>
  <si>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</si>
  <si>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</si>
  <si>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</si>
  <si>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</si>
  <si>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</si>
  <si>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</si>
  <si>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</si>
  <si>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</si>
  <si>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</si>
  <si>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</si>
  <si>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</si>
  <si>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</si>
  <si>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</si>
  <si>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</si>
  <si>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</si>
  <si>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</si>
  <si>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</si>
  <si>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</si>
  <si>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</si>
  <si>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</si>
  <si>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</si>
  <si>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</si>
  <si>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</si>
  <si>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</si>
  <si>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</si>
  <si>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</si>
  <si>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</si>
  <si>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</si>
  <si>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</si>
  <si>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</si>
  <si>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</si>
  <si>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</si>
  <si>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</si>
  <si>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</si>
  <si>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</si>
  <si>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</si>
  <si>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</si>
  <si>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</si>
  <si>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</si>
  <si>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</si>
  <si>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</si>
  <si>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</si>
  <si>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</si>
  <si>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</si>
  <si>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</si>
  <si>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</si>
  <si>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</si>
  <si>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</si>
  <si>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</si>
  <si>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</si>
  <si>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</si>
  <si>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</si>
  <si>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</si>
  <si>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</si>
  <si>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</si>
  <si>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</si>
  <si>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</si>
  <si>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</si>
  <si>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</si>
  <si>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</si>
  <si>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</si>
  <si>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</si>
  <si>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</si>
  <si>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</si>
  <si>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</si>
  <si>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</si>
  <si>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</si>
  <si>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</si>
  <si>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</si>
  <si>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</si>
  <si>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</si>
  <si>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</si>
  <si>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</si>
  <si>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</si>
  <si>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</si>
  <si>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</si>
  <si>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</si>
  <si>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</si>
  <si>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</si>
  <si>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</si>
  <si>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</si>
  <si>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</si>
  <si>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</si>
  <si>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</si>
  <si>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</si>
  <si>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</si>
  <si>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</si>
  <si>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</si>
  <si>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</si>
  <si>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</si>
  <si>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</si>
  <si>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</si>
  <si>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</si>
  <si>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</si>
  <si>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</si>
  <si>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</si>
  <si>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</si>
  <si>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</si>
  <si>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</si>
  <si>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</si>
  <si>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</si>
  <si>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</si>
  <si>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</si>
  <si>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</si>
  <si>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</si>
  <si>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</si>
  <si>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</si>
  <si>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</si>
  <si>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</si>
  <si>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</si>
  <si>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</si>
  <si>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</si>
  <si>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</si>
  <si>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</si>
  <si>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</si>
  <si>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</si>
  <si>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</si>
  <si>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</si>
  <si>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</si>
  <si>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</si>
  <si>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</si>
  <si>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</si>
  <si>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</si>
  <si>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</si>
  <si>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</si>
  <si>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</si>
  <si>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</si>
  <si>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</si>
  <si>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</si>
  <si>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</si>
  <si>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</si>
  <si>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</si>
  <si>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</si>
  <si>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</si>
  <si>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</si>
  <si>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</si>
  <si>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</si>
  <si>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</si>
  <si>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</si>
  <si>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</si>
  <si>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</si>
  <si>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</si>
  <si>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</si>
  <si>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</si>
  <si>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</si>
  <si>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</si>
  <si>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</si>
  <si>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</si>
  <si>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</si>
  <si>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</si>
  <si>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</si>
  <si>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</si>
  <si>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</si>
  <si>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</si>
  <si>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</si>
  <si>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</si>
  <si>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</si>
  <si>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</si>
  <si>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</si>
  <si>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</si>
  <si>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</si>
  <si>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</si>
  <si>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</si>
  <si>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</si>
  <si>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</si>
  <si>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</si>
  <si>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</si>
  <si>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</si>
  <si>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</si>
  <si>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</si>
  <si>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</si>
  <si>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</si>
  <si>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</si>
  <si>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</si>
  <si>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</si>
  <si>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</si>
  <si>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</si>
  <si>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</si>
  <si>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</si>
  <si>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</si>
  <si>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</si>
  <si>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</si>
  <si>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</si>
  <si>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</si>
  <si>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</si>
  <si>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</si>
  <si>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</si>
  <si>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</si>
  <si>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</si>
  <si>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</si>
  <si>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</si>
  <si>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</si>
  <si>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</si>
  <si>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</si>
  <si>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</si>
  <si>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</si>
  <si>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</si>
  <si>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</si>
  <si>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</si>
  <si>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</si>
  <si>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</si>
  <si>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</si>
  <si>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</si>
  <si>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</si>
  <si>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</si>
  <si>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</si>
  <si>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</si>
  <si>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</si>
  <si>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</si>
  <si>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</si>
  <si>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</si>
  <si>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</si>
  <si>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</si>
  <si>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</si>
  <si>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</si>
  <si>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</si>
  <si>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</si>
  <si>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</si>
  <si>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</si>
  <si>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</si>
  <si>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</si>
  <si>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</si>
  <si>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</si>
  <si>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</si>
  <si>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</si>
  <si>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</si>
  <si>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</si>
  <si>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</si>
  <si>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</si>
  <si>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</si>
  <si>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</si>
  <si>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</si>
  <si>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</si>
  <si>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</si>
  <si>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</si>
  <si>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</si>
  <si>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</si>
  <si>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</si>
  <si>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</si>
  <si>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</si>
  <si>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</si>
  <si>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</si>
  <si>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</si>
  <si>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</si>
  <si>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</si>
  <si>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</si>
  <si>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</si>
  <si>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</si>
  <si>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</si>
  <si>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</si>
  <si>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</si>
  <si>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</si>
  <si>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</si>
  <si>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</si>
  <si>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</si>
  <si>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</si>
  <si>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</si>
  <si>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</si>
  <si>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</si>
  <si>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</si>
  <si>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</si>
  <si>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</si>
  <si>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</si>
  <si>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</si>
  <si>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</si>
  <si>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</si>
  <si>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</si>
  <si>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</si>
  <si>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</si>
  <si>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</si>
  <si>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</si>
  <si>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</si>
  <si>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</si>
  <si>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</si>
  <si>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</si>
  <si>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</si>
  <si>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</si>
  <si>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</si>
  <si>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</si>
  <si>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</si>
  <si>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</si>
  <si>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</si>
  <si>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</si>
  <si>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</si>
  <si>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</si>
  <si>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</si>
  <si>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</si>
  <si>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</si>
  <si>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</si>
  <si>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</si>
  <si>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</si>
  <si>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</si>
  <si>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</si>
  <si>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</si>
  <si>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</si>
  <si>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</si>
  <si>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</si>
  <si>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</si>
  <si>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</si>
  <si>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</si>
  <si>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</si>
  <si>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</si>
  <si>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</si>
  <si>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</si>
  <si>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</si>
  <si>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</si>
  <si>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</si>
  <si>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</si>
  <si>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</si>
  <si>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</si>
  <si>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</si>
  <si>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</si>
  <si>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</si>
  <si>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</si>
  <si>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</si>
  <si>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</si>
  <si>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</si>
  <si>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</si>
  <si>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</si>
  <si>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</si>
  <si>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</si>
  <si>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</si>
  <si>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</si>
  <si>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</si>
  <si>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</si>
  <si>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</si>
  <si>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</si>
  <si>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</si>
  <si>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</si>
  <si>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</si>
  <si>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</si>
  <si>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</si>
  <si>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</si>
  <si>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</si>
  <si>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</si>
  <si>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</si>
  <si>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</si>
  <si>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</si>
  <si>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</si>
  <si>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</si>
  <si>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</si>
  <si>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</si>
  <si>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</si>
  <si>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</si>
  <si>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</si>
  <si>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</si>
  <si>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</si>
  <si>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</si>
  <si>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</si>
  <si>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</si>
  <si>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</si>
  <si>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</si>
  <si>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</si>
  <si>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</si>
  <si>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</si>
  <si>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</si>
  <si>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</si>
  <si>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</si>
  <si>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</si>
  <si>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</si>
  <si>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</si>
  <si>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</si>
  <si>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</si>
  <si>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</si>
  <si>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</si>
  <si>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</si>
  <si>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</si>
  <si>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</si>
  <si>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</si>
  <si>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</si>
  <si>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</si>
  <si>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</si>
  <si>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</si>
  <si>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</si>
  <si>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</si>
  <si>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</si>
  <si>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</si>
  <si>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</si>
  <si>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</si>
  <si>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</si>
  <si>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</si>
  <si>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</si>
  <si>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</si>
  <si>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</si>
  <si>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</si>
  <si>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</si>
  <si>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</si>
  <si>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</si>
  <si>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</si>
  <si>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</si>
  <si>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</si>
  <si>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</si>
  <si>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</si>
  <si>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</si>
  <si>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</si>
  <si>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</si>
  <si>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</si>
  <si>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</si>
  <si>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</si>
  <si>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</si>
  <si>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</si>
  <si>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</si>
  <si>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</si>
  <si>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</si>
  <si>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</si>
  <si>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</si>
  <si>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</si>
  <si>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</si>
  <si>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</si>
  <si>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</si>
  <si>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</si>
  <si>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</si>
  <si>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</si>
  <si>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</si>
  <si>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</si>
  <si>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</si>
  <si>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</si>
  <si>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</si>
  <si>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</si>
  <si>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</si>
  <si>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</si>
  <si>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</si>
  <si>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</si>
  <si>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</si>
  <si>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</si>
  <si>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</si>
  <si>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</si>
  <si>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</si>
  <si>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</si>
  <si>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</si>
  <si>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</si>
  <si>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</si>
  <si>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</si>
  <si>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</si>
  <si>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</si>
  <si>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</si>
  <si>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</si>
  <si>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</si>
  <si>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</si>
  <si>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</si>
  <si>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</si>
  <si>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</si>
  <si>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</si>
  <si>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</si>
  <si>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</si>
  <si>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</si>
  <si>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</si>
  <si>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</si>
  <si>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</si>
  <si>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</si>
  <si>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</si>
  <si>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</si>
  <si>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</si>
  <si>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</si>
  <si>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</si>
  <si>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</si>
  <si>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</si>
  <si>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</si>
  <si>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</si>
  <si>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</si>
  <si>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</si>
  <si>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</si>
  <si>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</si>
  <si>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</si>
  <si>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</si>
  <si>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</si>
  <si>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</si>
  <si>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</si>
  <si>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</si>
  <si>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</si>
  <si>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</si>
  <si>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</si>
  <si>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</si>
  <si>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</si>
  <si>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</si>
  <si>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</si>
  <si>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</si>
  <si>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</si>
  <si>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</si>
  <si>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</si>
  <si>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</si>
  <si>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</si>
  <si>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</si>
  <si>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</si>
  <si>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</si>
  <si>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</si>
  <si>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</si>
  <si>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</si>
  <si>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</si>
  <si>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</si>
  <si>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</si>
  <si>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</si>
  <si>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</si>
  <si>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</si>
  <si>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</si>
  <si>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</si>
  <si>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</si>
  <si>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</si>
  <si>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</si>
  <si>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</si>
  <si>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</si>
  <si>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</si>
  <si>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</si>
  <si>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</si>
  <si>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</si>
  <si>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</si>
  <si>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</si>
  <si>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</si>
  <si>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</si>
  <si>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</si>
  <si>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</si>
  <si>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</si>
  <si>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</si>
  <si>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</si>
  <si>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</si>
  <si>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</si>
  <si>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</si>
  <si>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</si>
  <si>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</si>
  <si>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</si>
  <si>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</si>
  <si>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</si>
  <si>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</si>
  <si>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</si>
  <si>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</si>
  <si>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</si>
  <si>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</si>
  <si>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</si>
  <si>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</si>
  <si>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</si>
  <si>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</si>
  <si>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</si>
  <si>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</si>
  <si>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</si>
  <si>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</si>
  <si>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</si>
  <si>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</si>
  <si>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</si>
  <si>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</si>
  <si>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</si>
  <si>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</si>
  <si>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</si>
  <si>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</si>
  <si>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</si>
  <si>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</si>
  <si>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</si>
  <si>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</si>
  <si>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</si>
  <si>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</si>
  <si>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</si>
  <si>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</si>
  <si>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</si>
  <si>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</si>
  <si>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</si>
  <si>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</si>
  <si>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</si>
  <si>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</si>
  <si>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</si>
  <si>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</si>
  <si>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</si>
  <si>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</si>
  <si>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</si>
  <si>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</si>
  <si>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</si>
  <si>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</si>
  <si>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</si>
  <si>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</si>
  <si>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</si>
  <si>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</si>
  <si>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</si>
  <si>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</si>
  <si>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</si>
  <si>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</si>
  <si>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</si>
  <si>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</si>
  <si>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</si>
  <si>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</si>
  <si>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</si>
  <si>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</si>
  <si>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</si>
  <si>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</si>
  <si>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</si>
  <si>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</si>
  <si>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</si>
  <si>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</si>
  <si>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</si>
  <si>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</si>
  <si>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</si>
  <si>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</si>
  <si>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</si>
  <si>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</si>
  <si>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</si>
  <si>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</si>
  <si>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</si>
  <si>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</si>
  <si>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</si>
  <si>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</si>
  <si>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</si>
  <si>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</si>
  <si>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</si>
  <si>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</si>
  <si>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</si>
  <si>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</si>
  <si>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</si>
  <si>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</si>
  <si>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</si>
  <si>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</si>
  <si>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</si>
  <si>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</si>
  <si>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</si>
  <si>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</si>
  <si>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</si>
  <si>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</si>
  <si>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</si>
  <si>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</si>
  <si>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</si>
  <si>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</si>
  <si>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</si>
  <si>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</si>
  <si>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</si>
  <si>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</si>
  <si>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</si>
  <si>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</si>
  <si>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</si>
  <si>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</si>
  <si>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</si>
  <si>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</si>
  <si>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</si>
  <si>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</si>
  <si>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</si>
  <si>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</si>
  <si>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</si>
  <si>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</si>
  <si>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</si>
  <si>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</si>
  <si>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</si>
  <si>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</si>
  <si>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</si>
  <si>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</si>
  <si>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</si>
  <si>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</si>
  <si>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</si>
  <si>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</si>
  <si>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</si>
  <si>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</si>
  <si>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</si>
  <si>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</si>
  <si>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</si>
  <si>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</si>
  <si>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</si>
  <si>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</si>
  <si>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</si>
  <si>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</si>
  <si>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</si>
  <si>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</si>
  <si>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</si>
  <si>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</si>
  <si>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</si>
  <si>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</si>
  <si>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</si>
  <si>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</si>
  <si>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</si>
  <si>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</si>
  <si>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</si>
  <si>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</si>
  <si>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</si>
  <si>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</si>
  <si>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</si>
  <si>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</si>
  <si>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</si>
  <si>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</si>
  <si>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</si>
  <si>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</si>
  <si>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</si>
  <si>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</si>
  <si>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</si>
  <si>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</si>
  <si>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</si>
  <si>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</si>
  <si>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</si>
  <si>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</si>
  <si>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</si>
  <si>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</si>
  <si>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</si>
  <si>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</si>
  <si>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</si>
  <si>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</si>
  <si>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</si>
  <si>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</si>
  <si>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</si>
  <si>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</si>
  <si>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</si>
  <si>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</si>
  <si>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</si>
  <si>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</si>
  <si>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</si>
  <si>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</si>
  <si>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</si>
  <si>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</si>
  <si>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</si>
  <si>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</si>
  <si>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</si>
  <si>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</si>
  <si>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</si>
  <si>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</si>
  <si>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</si>
  <si>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</si>
  <si>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</si>
  <si>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</si>
  <si>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</si>
  <si>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</si>
  <si>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</si>
  <si>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</si>
  <si>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</si>
  <si>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</si>
  <si>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</si>
  <si>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</si>
  <si>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</si>
  <si>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</si>
  <si>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</si>
  <si>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</si>
  <si>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</si>
  <si>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</si>
  <si>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</si>
  <si>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</si>
  <si>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</si>
  <si>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</si>
  <si>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</si>
  <si>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</si>
  <si>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</si>
  <si>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</si>
  <si>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</si>
  <si>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</si>
  <si>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</si>
  <si>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</si>
  <si>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</si>
  <si>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</si>
  <si>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</si>
  <si>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</si>
  <si>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</si>
  <si>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</si>
  <si>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</si>
  <si>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</si>
  <si>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</si>
  <si>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</si>
  <si>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</si>
  <si>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</si>
  <si>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</si>
  <si>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</si>
  <si>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</si>
  <si>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</si>
  <si>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</si>
  <si>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</si>
  <si>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</si>
  <si>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</si>
  <si>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</si>
  <si>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</si>
  <si>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</si>
  <si>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</si>
  <si>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</si>
  <si>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</si>
  <si>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</si>
  <si>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</si>
  <si>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</si>
  <si>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</si>
  <si>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</si>
  <si>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</si>
  <si>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</si>
  <si>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</si>
  <si>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</si>
  <si>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</si>
  <si>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</si>
  <si>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</si>
  <si>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</si>
  <si>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</si>
  <si>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</si>
  <si>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</si>
  <si>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</si>
  <si>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</si>
  <si>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</si>
  <si>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</si>
  <si>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</si>
  <si>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</si>
  <si>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</si>
  <si>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</si>
  <si>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</si>
  <si>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</si>
  <si>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</si>
  <si>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</si>
  <si>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</si>
  <si>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</si>
  <si>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</si>
  <si>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</si>
  <si>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</si>
  <si>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</si>
  <si>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</si>
  <si>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</si>
  <si>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</si>
  <si>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</si>
  <si>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</si>
  <si>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</si>
  <si>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</si>
  <si>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</si>
  <si>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</si>
  <si>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</si>
  <si>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</si>
  <si>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</si>
  <si>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</si>
  <si>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</si>
  <si>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</si>
  <si>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</si>
  <si>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</si>
  <si>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</si>
  <si>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</si>
  <si>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</si>
  <si>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</si>
  <si>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</si>
  <si>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</si>
  <si>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</si>
  <si>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</si>
  <si>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</si>
  <si>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</si>
  <si>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</si>
  <si>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</si>
  <si>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</si>
  <si>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</si>
  <si>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</si>
  <si>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</si>
  <si>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</si>
  <si>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</si>
  <si>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</si>
  <si>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</si>
  <si>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</si>
  <si>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</si>
  <si>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</si>
  <si>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</si>
  <si>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</si>
  <si>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</si>
  <si>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</si>
  <si>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</si>
  <si>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</si>
  <si>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</si>
  <si>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</si>
  <si>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</si>
  <si>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</si>
  <si>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</si>
  <si>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</si>
  <si>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</si>
  <si>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</si>
  <si>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</si>
  <si>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</si>
  <si>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</si>
  <si>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</si>
  <si>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</si>
  <si>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</si>
  <si>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</si>
  <si>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</si>
  <si>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</si>
  <si>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</si>
  <si>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</si>
  <si>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</si>
  <si>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</si>
  <si>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</si>
  <si>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</si>
  <si>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</si>
  <si>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</si>
  <si>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</si>
  <si>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</si>
  <si>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</si>
  <si>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</si>
  <si>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</si>
  <si>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</si>
  <si>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</si>
  <si>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</si>
  <si>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</si>
  <si>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</si>
  <si>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</si>
  <si>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</si>
  <si>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</si>
  <si>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</si>
  <si>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</si>
  <si>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</si>
  <si>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</si>
  <si>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</si>
  <si>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</si>
  <si>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</si>
  <si>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</si>
  <si>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</si>
  <si>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</si>
  <si>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</si>
  <si>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</si>
  <si>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</si>
  <si>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</si>
  <si>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</si>
  <si>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</si>
  <si>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</si>
  <si>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</si>
  <si>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</si>
  <si>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</si>
  <si>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</si>
  <si>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</si>
  <si>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</si>
  <si>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</si>
  <si>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</si>
  <si>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</si>
  <si>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</si>
  <si>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</si>
  <si>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</si>
  <si>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</si>
  <si>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</si>
  <si>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</si>
  <si>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</si>
  <si>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</si>
  <si>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</si>
  <si>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</si>
  <si>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</si>
  <si>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</si>
  <si>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</si>
  <si>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</si>
  <si>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</si>
  <si>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</si>
  <si>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</si>
  <si>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</si>
  <si>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</si>
  <si>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</si>
  <si>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</si>
  <si>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</si>
  <si>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</si>
  <si>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</si>
  <si>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</si>
  <si>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</si>
  <si>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</si>
  <si>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</si>
  <si>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</si>
  <si>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</si>
  <si>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</si>
  <si>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</si>
  <si>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</si>
  <si>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</si>
  <si>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</si>
  <si>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</si>
  <si>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</si>
  <si>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</si>
  <si>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</si>
  <si>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</si>
  <si>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</si>
  <si>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</si>
  <si>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</si>
  <si>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</si>
  <si>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</si>
  <si>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</si>
  <si>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</si>
  <si>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</si>
  <si>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</si>
  <si>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</si>
  <si>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</si>
  <si>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</si>
  <si>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</si>
  <si>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</si>
  <si>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</si>
  <si>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</si>
  <si>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</si>
  <si>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</si>
  <si>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</si>
  <si>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</si>
  <si>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</si>
  <si>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</si>
  <si>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</si>
  <si>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</si>
  <si>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</si>
  <si>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</si>
  <si>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</si>
  <si>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</si>
  <si>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</si>
  <si>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</si>
  <si>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</si>
  <si>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</si>
  <si>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</si>
  <si>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</si>
  <si>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</si>
  <si>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</si>
  <si>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</si>
  <si>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</si>
  <si>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</si>
  <si>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</si>
  <si>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</si>
  <si>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</si>
  <si>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</si>
  <si>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</si>
  <si>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</si>
  <si>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</si>
  <si>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</si>
  <si>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</si>
  <si>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</si>
  <si>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</si>
  <si>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</si>
  <si>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</si>
  <si>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</si>
  <si>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</si>
  <si>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</si>
  <si>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</si>
  <si>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</si>
  <si>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</si>
  <si>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</si>
  <si>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</si>
  <si>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</si>
  <si>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</si>
  <si>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</si>
  <si>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</si>
  <si>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</si>
  <si>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</si>
  <si>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</si>
  <si>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</si>
  <si>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</si>
  <si>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</si>
  <si>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</si>
  <si>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</si>
  <si>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</si>
  <si>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</si>
  <si>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</si>
  <si>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</si>
  <si>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</si>
  <si>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</si>
  <si>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</si>
  <si>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</si>
  <si>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</si>
  <si>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</si>
  <si>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</si>
  <si>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</si>
  <si>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</si>
  <si>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</si>
  <si>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</si>
  <si>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</si>
  <si>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</si>
  <si>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</si>
  <si>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</si>
  <si>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</si>
  <si>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</si>
  <si>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</si>
  <si>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</si>
  <si>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</si>
  <si>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</si>
  <si>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</si>
  <si>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</si>
  <si>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</si>
  <si>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</si>
  <si>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</si>
  <si>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</si>
  <si>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</si>
  <si>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</si>
  <si>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</si>
  <si>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</si>
  <si>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Thu, 29 Apr 2021 00:00:00 GMT</t>
  </si>
  <si>
    <t>Wed, 28 Apr 2021 00:00:00 GMT</t>
  </si>
  <si>
    <t>Tue, 27 Apr 2021 00:00:00 GMT</t>
  </si>
  <si>
    <t>Mon, 26 Apr 2021 00:00:00 GMT</t>
  </si>
  <si>
    <t>Fri, 23 Apr 2021 00:00:00 GMT</t>
  </si>
  <si>
    <t>Thu, 22 Apr 2021 00:00:00 GMT</t>
  </si>
  <si>
    <t>Wed, 21 Apr 2021 00:00:00 GMT</t>
  </si>
  <si>
    <t>Tue, 20 Apr 2021 00:00:00 GMT</t>
  </si>
  <si>
    <t>Mon, 19 Apr 2021 00:00:00 GMT</t>
  </si>
  <si>
    <t>Fri, 16 Apr 2021 00:00:00 GMT</t>
  </si>
  <si>
    <t>Thu, 15 Apr 2021 00:00:00 GMT</t>
  </si>
  <si>
    <t>Wed, 14 Apr 2021 00:00:00 GMT</t>
  </si>
  <si>
    <t>Tue, 13 Apr 2021 00:00:00 GMT</t>
  </si>
  <si>
    <t>Mon, 12 Apr 2021 00:00:00 GMT</t>
  </si>
  <si>
    <t>Fri, 09 Apr 2021 00:00:00 GMT</t>
  </si>
  <si>
    <t>Thu, 08 Apr 2021 00:00:00 GMT</t>
  </si>
  <si>
    <t>Wed, 07 Apr 2021 00:00:00 GMT</t>
  </si>
  <si>
    <t>Tue, 06 Apr 2021 00:00:00 GMT</t>
  </si>
  <si>
    <t>Mon, 05 Apr 2021 00:00:00 GMT</t>
  </si>
  <si>
    <t>Thu, 01 Apr 2021 00:00:00 GMT</t>
  </si>
  <si>
    <t>Wed, 31 Mar 2021 00:00:00 GMT</t>
  </si>
  <si>
    <t>Tue, 30 Mar 2021 00:00:00 GMT</t>
  </si>
  <si>
    <t>Mon, 29 Mar 2021 00:00:00 GMT</t>
  </si>
  <si>
    <t>Fri, 26 Mar 2021 00:00:00 GMT</t>
  </si>
  <si>
    <t>Thu, 25 Mar 2021 00:00:00 GMT</t>
  </si>
  <si>
    <t>Wed, 24 Mar 2021 00:00:00 GMT</t>
  </si>
  <si>
    <t>Tue, 23 Mar 2021 00:00:00 GMT</t>
  </si>
  <si>
    <t>Mon, 22 Mar 2021 00:00:00 GMT</t>
  </si>
  <si>
    <t>Fri, 19 Mar 2021 00:00:00 GMT</t>
  </si>
  <si>
    <t>Thu, 18 Mar 2021 00:00:00 GMT</t>
  </si>
  <si>
    <t>Wed, 17 Mar 2021 00:00:00 GMT</t>
  </si>
  <si>
    <t>Tue, 16 Mar 2021 00:00:00 GMT</t>
  </si>
  <si>
    <t>Mon, 15 Mar 2021 00:00:00 GMT</t>
  </si>
  <si>
    <t>Fri, 12 Mar 2021 00:00:00 GMT</t>
  </si>
  <si>
    <t>Thu, 11 Mar 2021 00:00:00 GMT</t>
  </si>
  <si>
    <t>Wed, 10 Mar 2021 00:00:00 GMT</t>
  </si>
  <si>
    <t>Tue, 09 Mar 2021 00:00:00 GMT</t>
  </si>
  <si>
    <t>Mon, 08 Mar 2021 00:00:00 GMT</t>
  </si>
  <si>
    <t>Fri, 05 Mar 2021 00:00:00 GMT</t>
  </si>
  <si>
    <t>Thu, 04 Mar 2021 00:00:00 GMT</t>
  </si>
  <si>
    <t>Wed, 03 Mar 2021 00:00:00 GMT</t>
  </si>
  <si>
    <t>Tue, 02 Mar 2021 00:00:00 GMT</t>
  </si>
  <si>
    <t>Mon, 01 Mar 2021 00:00:00 GMT</t>
  </si>
  <si>
    <t>Fri, 26 Feb 2021 00:00:00 GMT</t>
  </si>
  <si>
    <t>Thu, 25 Feb 2021 00:00:00 GMT</t>
  </si>
  <si>
    <t>Wed, 24 Feb 2021 00:00:00 GMT</t>
  </si>
  <si>
    <t>Tue, 23 Feb 2021 00:00:00 GMT</t>
  </si>
  <si>
    <t>Mon, 22 Feb 2021 00:00:00 GMT</t>
  </si>
  <si>
    <t>Fri, 19 Feb 2021 00:00:00 GMT</t>
  </si>
  <si>
    <t>Thu, 18 Feb 2021 00:00:00 GMT</t>
  </si>
  <si>
    <t>Wed, 17 Feb 2021 00:00:00 GMT</t>
  </si>
  <si>
    <t>Tue, 16 Feb 2021 00:00:00 GMT</t>
  </si>
  <si>
    <t>Fri, 12 Feb 2021 00:00:00 GMT</t>
  </si>
  <si>
    <t>Thu, 11 Feb 2021 00:00:00 GMT</t>
  </si>
  <si>
    <t>Wed, 10 Feb 2021 00:00:00 GMT</t>
  </si>
  <si>
    <t>Tue, 09 Feb 2021 00:00:00 GMT</t>
  </si>
  <si>
    <t>Mon, 08 Feb 2021 00:00:00 GMT</t>
  </si>
  <si>
    <t>Fri, 05 Feb 2021 00:00:00 GMT</t>
  </si>
  <si>
    <t>Thu, 04 Feb 2021 00:00:00 GMT</t>
  </si>
  <si>
    <t>Wed, 03 Feb 2021 00:00:00 GMT</t>
  </si>
  <si>
    <t>Tue, 02 Feb 2021 00:00:00 GMT</t>
  </si>
  <si>
    <t>Mon, 01 Feb 2021 00:00:00 GMT</t>
  </si>
  <si>
    <t>Fri, 29 Jan 2021 00:00:00 GMT</t>
  </si>
  <si>
    <t>Thu, 28 Jan 2021 00:00:00 GMT</t>
  </si>
  <si>
    <t>Wed, 27 Jan 2021 00:00:00 GMT</t>
  </si>
  <si>
    <t>Tue, 26 Jan 2021 00:00:00 GMT</t>
  </si>
  <si>
    <t>Mon, 25 Jan 2021 00:00:00 GMT</t>
  </si>
  <si>
    <t>Fri, 22 Jan 2021 00:00:00 GMT</t>
  </si>
  <si>
    <t>Thu, 21 Jan 2021 00:00:00 GMT</t>
  </si>
  <si>
    <t>Wed, 20 Jan 2021 00:00:00 GMT</t>
  </si>
  <si>
    <t>Tue, 19 Jan 2021 00:00:00 GMT</t>
  </si>
  <si>
    <t>Fri, 15 Jan 2021 00:00:00 GMT</t>
  </si>
  <si>
    <t>Thu, 14 Jan 2021 00:00:00 GMT</t>
  </si>
  <si>
    <t>Wed, 13 Jan 2021 00:00:00 GMT</t>
  </si>
  <si>
    <t>Tue, 12 Jan 2021 00:00:00 GMT</t>
  </si>
  <si>
    <t>Mon, 11 Jan 2021 00:00:00 GMT</t>
  </si>
  <si>
    <t>Fri, 08 Jan 2021 00:00:00 GMT</t>
  </si>
  <si>
    <t>Thu, 07 Jan 2021 00:00:00 GMT</t>
  </si>
  <si>
    <t>Wed, 06 Jan 2021 00:00:00 GMT</t>
  </si>
  <si>
    <t>Tue, 05 Jan 2021 00:00:00 GMT</t>
  </si>
  <si>
    <t>Mon, 04 Jan 2021 00:00:00 GMT</t>
  </si>
  <si>
    <t>Thu, 31 Dec 2020 00:00:00 GMT</t>
  </si>
  <si>
    <t>Wed, 30 Dec 2020 00:00:00 GMT</t>
  </si>
  <si>
    <t>Tue, 29 Dec 2020 00:00:00 GMT</t>
  </si>
  <si>
    <t>Mon, 28 Dec 2020 00:00:00 GMT</t>
  </si>
  <si>
    <t>Thu, 24 Dec 2020 00:00:00 GMT</t>
  </si>
  <si>
    <t>Wed, 23 Dec 2020 00:00:00 GMT</t>
  </si>
  <si>
    <t>Tue, 22 Dec 2020 00:00:00 GMT</t>
  </si>
  <si>
    <t>Mon, 21 Dec 2020 00:00:00 GMT</t>
  </si>
  <si>
    <t>Fri, 18 Dec 2020 00:00:00 GMT</t>
  </si>
  <si>
    <t>Thu, 17 Dec 2020 00:00:00 GMT</t>
  </si>
  <si>
    <t>Wed, 16 Dec 2020 00:00:00 GMT</t>
  </si>
  <si>
    <t>Tue, 15 Dec 2020 00:00:00 GMT</t>
  </si>
  <si>
    <t>Mon, 14 Dec 2020 00:00:00 GMT</t>
  </si>
  <si>
    <t>Fri, 11 Dec 2020 00:00:00 GMT</t>
  </si>
  <si>
    <t>Thu, 10 Dec 2020 00:00:00 GMT</t>
  </si>
  <si>
    <t>Wed, 09 Dec 2020 00:00:00 GMT</t>
  </si>
  <si>
    <t>Tue, 08 Dec 2020 00:00:00 GMT</t>
  </si>
  <si>
    <t>Mon, 07 Dec 2020 00:00:00 GMT</t>
  </si>
  <si>
    <t>Fri, 04 Dec 2020 00:00:00 GMT</t>
  </si>
  <si>
    <t>Thu, 03 Dec 2020 00:00:00 GMT</t>
  </si>
  <si>
    <t>Wed, 02 Dec 2020 00:00:00 GMT</t>
  </si>
  <si>
    <t>Tue, 01 Dec 2020 00:00:00 GMT</t>
  </si>
  <si>
    <t>Mon, 30 Nov 2020 00:00:00 GMT</t>
  </si>
  <si>
    <t>Fri, 27 Nov 2020 00:00:00 GMT</t>
  </si>
  <si>
    <t>Wed, 25 Nov 2020 00:00:00 GMT</t>
  </si>
  <si>
    <t>Tue, 24 Nov 2020 00:00:00 GMT</t>
  </si>
  <si>
    <t>Mon, 23 Nov 2020 00:00:00 GMT</t>
  </si>
  <si>
    <t>Fri, 20 Nov 2020 00:00:00 GMT</t>
  </si>
  <si>
    <t>Thu, 19 Nov 2020 00:00:00 GMT</t>
  </si>
  <si>
    <t>Wed, 18 Nov 2020 00:00:00 GMT</t>
  </si>
  <si>
    <t>Tue, 17 Nov 2020 00:00:00 GMT</t>
  </si>
  <si>
    <t>Mon, 16 Nov 2020 00:00:00 GMT</t>
  </si>
  <si>
    <t>Fri, 13 Nov 2020 00:00:00 GMT</t>
  </si>
  <si>
    <t>Thu, 12 Nov 2020 00:00:00 GMT</t>
  </si>
  <si>
    <t>Wed, 11 Nov 2020 00:00:00 GMT</t>
  </si>
  <si>
    <t>Tue, 10 Nov 2020 00:00:00 GMT</t>
  </si>
  <si>
    <t>Mon, 09 Nov 2020 00:00:00 GMT</t>
  </si>
  <si>
    <t>Fri, 06 Nov 2020 00:00:00 GMT</t>
  </si>
  <si>
    <t>Thu, 05 Nov 2020 00:00:00 GMT</t>
  </si>
  <si>
    <t>Wed, 04 Nov 2020 00:00:00 GMT</t>
  </si>
  <si>
    <t>Tue, 03 Nov 2020 00:00:00 GMT</t>
  </si>
  <si>
    <t>Mon, 02 Nov 2020 00:00:00 GMT</t>
  </si>
  <si>
    <t>Fri, 30 Oct 2020 00:00:00 GMT</t>
  </si>
  <si>
    <t>Thu, 29 Oct 2020 00:00:00 GMT</t>
  </si>
  <si>
    <t>Wed, 28 Oct 2020 00:00:00 GMT</t>
  </si>
  <si>
    <t>Tue, 27 Oct 2020 00:00:00 GMT</t>
  </si>
  <si>
    <t>Mon, 26 Oct 2020 00:00:00 GMT</t>
  </si>
  <si>
    <t>Fri, 23 Oct 2020 00:00:00 GMT</t>
  </si>
  <si>
    <t>Thu, 22 Oct 2020 00:00:00 GMT</t>
  </si>
  <si>
    <t>Wed, 21 Oct 2020 00:00:00 GMT</t>
  </si>
  <si>
    <t>Tue, 20 Oct 2020 00:00:00 GMT</t>
  </si>
  <si>
    <t>Mon, 19 Oct 2020 00:00:00 GMT</t>
  </si>
  <si>
    <t>Fri, 16 Oct 2020 00:00:00 GMT</t>
  </si>
  <si>
    <t>Thu, 15 Oct 2020 00:00:00 GMT</t>
  </si>
  <si>
    <t>Wed, 14 Oct 2020 00:00:00 GMT</t>
  </si>
  <si>
    <t>Tue, 13 Oct 2020 00:00:00 GMT</t>
  </si>
  <si>
    <t>Mon, 12 Oct 2020 00:00:00 GMT</t>
  </si>
  <si>
    <t>Fri, 09 Oct 2020 00:00:00 GMT</t>
  </si>
  <si>
    <t>Thu, 08 Oct 2020 00:00:00 GMT</t>
  </si>
  <si>
    <t>Wed, 07 Oct 2020 00:00:00 GMT</t>
  </si>
  <si>
    <t>Tue, 06 Oct 2020 00:00:00 GMT</t>
  </si>
  <si>
    <t>Mon, 05 Oct 2020 00:00:00 GMT</t>
  </si>
  <si>
    <t>Fri, 02 Oct 2020 00:00:00 GMT</t>
  </si>
  <si>
    <t>Thu, 01 Oct 2020 00:00:00 GMT</t>
  </si>
  <si>
    <t>Wed, 30 Sep 2020 00:00:00 GMT</t>
  </si>
  <si>
    <t>Tue, 29 Sep 2020 00:00:00 GMT</t>
  </si>
  <si>
    <t>Mon, 28 Sep 2020 00:00:00 GMT</t>
  </si>
  <si>
    <t>Fri, 25 Sep 2020 00:00:00 GMT</t>
  </si>
  <si>
    <t>Thu, 24 Sep 2020 00:00:00 GMT</t>
  </si>
  <si>
    <t>Wed, 23 Sep 2020 00:00:00 GMT</t>
  </si>
  <si>
    <t>Tue, 22 Sep 2020 00:00:00 GMT</t>
  </si>
  <si>
    <t>Mon, 21 Sep 2020 00:00:00 GMT</t>
  </si>
  <si>
    <t>1256 Trading Days? (From: 9/20/20 - 9/20/25)</t>
  </si>
  <si>
    <t>COO</t>
  </si>
  <si>
    <t>Fiscal Year: [January - December]</t>
  </si>
  <si>
    <t>The Cooper Companies, Inc. (COO)</t>
  </si>
  <si>
    <t>Registered Exchange: NASDAQ</t>
  </si>
  <si>
    <t>Current CEO: Albert White</t>
  </si>
  <si>
    <t>Founded: 1980</t>
  </si>
  <si>
    <t>Headquarters: San Ramon, CA</t>
  </si>
  <si>
    <t>https://www.coopercos.com/</t>
  </si>
  <si>
    <t>https://investor.coopercos.com/</t>
  </si>
  <si>
    <t>https://www.sec.gov/edgar/browse/?CIK=711404&amp;owner=exclude</t>
  </si>
  <si>
    <t>https://seekingalpha.com/symbol/COO/earnings/transcripts</t>
  </si>
  <si>
    <t>https://stockanalysis.com/stocks/coo/company/</t>
  </si>
  <si>
    <t>https://www.macrotrends.net/stocks/charts/COO/cooper/income-statement?freq=A</t>
  </si>
  <si>
    <t>https://www.gurufocus.com/term/wacc/COO</t>
  </si>
  <si>
    <t>Address: 6101 Bollinger Canyon Road, San Ramon, CA 94583, U.S.</t>
  </si>
  <si>
    <t>(925) 460-3600</t>
  </si>
  <si>
    <t>Employees: 16,000</t>
  </si>
  <si>
    <t>Sector: Healthcare</t>
  </si>
  <si>
    <t xml:space="preserve">Industry: Medical Technologies, Fertility </t>
  </si>
  <si>
    <t>IPO: December 30, 1983</t>
  </si>
  <si>
    <t>ir@cooperco.com</t>
  </si>
  <si>
    <t>The Cooper Companies, Inc., together with its subsidiaries, develops, manufactures, and markets contact lens wearers</t>
  </si>
  <si>
    <t>The Company operates in two segments, CooperVision and CooperSurgical</t>
  </si>
  <si>
    <t>The CooperVision segment provides toric and multifocal lenses comprising lenses correcting vision challenges, such as astigmatism, presbyopia, and myopia; and spherical lense, including lenses that correct near and farsightedness</t>
  </si>
  <si>
    <t>The Company offers products in the Americas, Europe, the Middle East, Africa, and the Asia Pacific</t>
  </si>
  <si>
    <t>The CooperSurgical segment focuses on family and women’s health care, which provides fertility products and services, medical devices, and contraception, as well as cryostorage, such as cord blood and cord tissue storage to health care professionals and patients worldwide</t>
  </si>
  <si>
    <t>It offers surgical and office products, including paragard contraceptive intrauterine devices; and fertility consumables and equipment, donor gamete services, and genomic services, including genetic testing</t>
  </si>
  <si>
    <t>The company sells its products to distributors, group purchasing organizations, eye care and health care professionals, including independent practices, corporate retailers, hospitals and clinics, and authorized resellers</t>
  </si>
  <si>
    <t>The Cooper Companies, Inc. was founded in 1958 and is headquartered in San Ramon, California</t>
  </si>
  <si>
    <t>Q3'25</t>
  </si>
  <si>
    <t>12/24/2025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</si>
</sst>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0.0"/>
    <numFmt numFmtId="166" formatCode="0.0%"/>
  </numFmts>
  <fonts count="20">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1"/>
      <color theme="4" tint="-0.249977111117893"/>
      <name val="Calibre"/>
    </font>
    <font>
      <sz val="10"/>
      <name val="Arial"/>
      <family val="2"/>
    </font>
    <font>
      <u/>
      <sz val="11"/>
      <color rgb="FF00B0F0"/>
      <name val="Calibri"/>
      <family val="2"/>
      <scheme val="minor"/>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15" fillId="0" borderId="0" applyNumberFormat="0" applyFill="0" applyBorder="0" applyAlignment="0" applyProtection="0"/>
  </cellStyleXfs>
  <cellXfs count="70">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center"/>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0" fontId="14" fillId="0" borderId="0" xfId="0" applyFont="1" applyAlignment="1">
      <alignment horizontal="left"/>
    </xf>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44" fontId="2" fillId="0" borderId="0" xfId="0" applyNumberFormat="1" applyFont="1" applyAlignment="1">
      <alignment horizontal="right" indent="1"/>
    </xf>
    <xf numFmtId="1" fontId="2" fillId="0" borderId="0" xfId="0" applyNumberFormat="1" applyFont="1" applyAlignment="1">
      <alignment horizontal="left" indent="5"/>
    </xf>
    <xf numFmtId="164" fontId="2" fillId="0" borderId="0" xfId="2" applyNumberFormat="1" applyFont="1" applyAlignment="1">
      <alignment horizontal="right" indent="1"/>
    </xf>
    <xf numFmtId="164" fontId="2" fillId="0" borderId="0" xfId="0" applyNumberFormat="1" applyFont="1" applyAlignment="1">
      <alignment horizontal="right" indent="1"/>
    </xf>
    <xf numFmtId="0" fontId="16" fillId="0" borderId="0" xfId="3" applyFont="1"/>
    <xf numFmtId="9" fontId="13" fillId="0" borderId="0" xfId="0" applyNumberFormat="1" applyFont="1"/>
    <xf numFmtId="0" fontId="11" fillId="0" borderId="0" xfId="0" applyFont="1" applyAlignment="1">
      <alignment horizontal="left" indent="1"/>
    </xf>
    <xf numFmtId="9" fontId="12" fillId="0" borderId="0" xfId="0" applyNumberFormat="1"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horizontal="center"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165" fontId="13" fillId="0" borderId="0" xfId="0" applyNumberFormat="1" applyFont="1" applyAlignment="1">
      <alignment vertical="top"/>
    </xf>
    <xf numFmtId="166" fontId="13" fillId="0" borderId="0" xfId="1" applyNumberFormat="1" applyFont="1" applyAlignment="1">
      <alignment vertical="top"/>
    </xf>
    <xf numFmtId="0" fontId="12" fillId="0" borderId="0" xfId="0" applyFont="1" applyAlignment="1">
      <alignment vertical="top"/>
    </xf>
    <xf numFmtId="14" fontId="13" fillId="0" borderId="0" xfId="0" applyNumberFormat="1" applyFont="1" applyAlignment="1">
      <alignment horizontal="left" vertical="top"/>
    </xf>
    <xf numFmtId="2" fontId="13" fillId="0" borderId="0" xfId="0" applyNumberFormat="1" applyFont="1" applyAlignment="1">
      <alignment vertical="top"/>
    </xf>
    <xf numFmtId="49" fontId="13" fillId="0" borderId="0" xfId="0" applyNumberFormat="1" applyFont="1" applyAlignment="1">
      <alignment horizontal="right" vertical="top"/>
    </xf>
    <xf numFmtId="0" fontId="13" fillId="0" borderId="0" xfId="0" applyFont="1" applyAlignment="1">
      <alignment horizontal="left" vertical="top"/>
    </xf>
    <xf numFmtId="0" fontId="18" fillId="0" borderId="0" xfId="0" applyFont="1"/>
    <xf numFmtId="10" fontId="2" fillId="0" borderId="0" xfId="1" applyNumberFormat="1" applyFont="1"/>
    <xf numFmtId="0" fontId="19" fillId="0" borderId="0" xfId="3" applyFont="1"/>
    <xf numFmtId="0" fontId="17" fillId="0" borderId="0" xfId="0" applyFont="1" applyAlignment="1">
      <alignment horizontal="center"/>
    </xf>
  </cellXfs>
  <cellStyles count="4">
    <cellStyle name="Currency" xfId="2" builtinId="4"/>
    <cellStyle name="Hyperlink" xfId="3" builtinId="8"/>
    <cellStyle name="Normal" xfId="0" builtinId="0"/>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(Ticker)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0"/>
          <c:order val="0"/>
          <c:tx>
            <c:strRef>
              <c:f>[1]Model!$B$6</c:f>
              <c:strCache>
                <c:ptCount val="1"/>
                <c:pt idx="0">
                  <c:v>Medical</c:v>
                </c:pt>
              </c:strCache>
            </c:strRef>
          </c:tx>
          <c:spPr>
            <a:solidFill>
              <a:schemeClr val="accent5">
                <a:lumMod val="50000"/>
              </a:schemeClr>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[1]Model!$AW$6:$BQ$6</c:f>
              <c:numCache>
                <c:formatCode>General</c:formatCode>
                <c:ptCount val="21"/>
                <c:pt idx="0">
                  <c:v>600</c:v>
                </c:pt>
                <c:pt idx="1">
                  <c:v>705</c:v>
                </c:pt>
                <c:pt idx="2">
                  <c:v>622</c:v>
                </c:pt>
                <c:pt idx="3">
                  <c:v>640</c:v>
                </c:pt>
                <c:pt idx="4">
                  <c:v>636</c:v>
                </c:pt>
                <c:pt idx="5">
                  <c:v>709</c:v>
                </c:pt>
                <c:pt idx="6">
                  <c:v>664</c:v>
                </c:pt>
                <c:pt idx="7">
                  <c:v>666</c:v>
                </c:pt>
                <c:pt idx="8">
                  <c:v>765</c:v>
                </c:pt>
                <c:pt idx="9">
                  <c:v>936</c:v>
                </c:pt>
                <c:pt idx="10">
                  <c:v>778</c:v>
                </c:pt>
                <c:pt idx="11">
                  <c:v>841</c:v>
                </c:pt>
                <c:pt idx="12">
                  <c:v>798</c:v>
                </c:pt>
                <c:pt idx="13">
                  <c:v>1042</c:v>
                </c:pt>
                <c:pt idx="14">
                  <c:v>864</c:v>
                </c:pt>
                <c:pt idx="15">
                  <c:v>908</c:v>
                </c:pt>
                <c:pt idx="16">
                  <c:v>938</c:v>
                </c:pt>
                <c:pt idx="17">
                  <c:v>1142</c:v>
                </c:pt>
                <c:pt idx="18">
                  <c:v>945</c:v>
                </c:pt>
              </c:numCache>
            </c:numRef>
          </c:val>
          <c:extLst>
            <c:ext xmlns:c16="http://schemas.microsoft.com/office/drawing/2014/chart" uri="{C3380CC4-5D6E-409C-BE32-E72D297353CC}">
              <c16:uniqueId val="{00000000-763E-43B3-B662-D76C6E829219}"/>
            </c:ext>
          </c:extLst>
        </c:ser>
        <c:ser>
          <c:idx val="1"/>
          <c:order val="1"/>
          <c:tx>
            <c:strRef>
              <c:f>[1]Model!$B$12</c:f>
              <c:strCache>
                <c:ptCount val="1"/>
                <c:pt idx="0">
                  <c:v>Trauma and Extremities</c:v>
                </c:pt>
              </c:strCache>
            </c:strRef>
          </c:tx>
          <c:spPr>
            <a:solidFill>
              <a:schemeClr val="accent5">
                <a:lumMod val="75000"/>
              </a:schemeClr>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[1]Model!$AW$12:$BQ$12</c:f>
              <c:numCache>
                <c:formatCode>General</c:formatCode>
                <c:ptCount val="21"/>
                <c:pt idx="0">
                  <c:v>430</c:v>
                </c:pt>
                <c:pt idx="1">
                  <c:v>570</c:v>
                </c:pt>
                <c:pt idx="2">
                  <c:v>640</c:v>
                </c:pt>
                <c:pt idx="3">
                  <c:v>674</c:v>
                </c:pt>
                <c:pt idx="4">
                  <c:v>639</c:v>
                </c:pt>
                <c:pt idx="5">
                  <c:v>711</c:v>
                </c:pt>
                <c:pt idx="6">
                  <c:v>685</c:v>
                </c:pt>
                <c:pt idx="7">
                  <c:v>676</c:v>
                </c:pt>
                <c:pt idx="8">
                  <c:v>672</c:v>
                </c:pt>
                <c:pt idx="9">
                  <c:v>774</c:v>
                </c:pt>
                <c:pt idx="10">
                  <c:v>769</c:v>
                </c:pt>
                <c:pt idx="11">
                  <c:v>766</c:v>
                </c:pt>
                <c:pt idx="12">
                  <c:v>752</c:v>
                </c:pt>
                <c:pt idx="13">
                  <c:v>860</c:v>
                </c:pt>
                <c:pt idx="14">
                  <c:v>830</c:v>
                </c:pt>
                <c:pt idx="15">
                  <c:v>832</c:v>
                </c:pt>
                <c:pt idx="16">
                  <c:v>849</c:v>
                </c:pt>
                <c:pt idx="17">
                  <c:v>996</c:v>
                </c:pt>
                <c:pt idx="18">
                  <c:v>945</c:v>
                </c:pt>
              </c:numCache>
            </c:numRef>
          </c:val>
          <c:extLst>
            <c:ext xmlns:c16="http://schemas.microsoft.com/office/drawing/2014/chart" uri="{C3380CC4-5D6E-409C-BE32-E72D297353CC}">
              <c16:uniqueId val="{00000001-763E-43B3-B662-D76C6E829219}"/>
            </c:ext>
          </c:extLst>
        </c:ser>
        <c:ser>
          <c:idx val="2"/>
          <c:order val="2"/>
          <c:tx>
            <c:strRef>
              <c:f>[1]Model!$B$5</c:f>
              <c:strCache>
                <c:ptCount val="1"/>
                <c:pt idx="0">
                  <c:v>Endoscopy</c:v>
                </c:pt>
              </c:strCache>
            </c:strRef>
          </c:tx>
          <c:spPr>
            <a:solidFill>
              <a:srgbClr val="5881CC"/>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[1]Model!$AW$5:$BQ$5</c:f>
              <c:numCache>
                <c:formatCode>General</c:formatCode>
                <c:ptCount val="21"/>
                <c:pt idx="0">
                  <c:v>467</c:v>
                </c:pt>
                <c:pt idx="1">
                  <c:v>525</c:v>
                </c:pt>
                <c:pt idx="2">
                  <c:v>469</c:v>
                </c:pt>
                <c:pt idx="3">
                  <c:v>518</c:v>
                </c:pt>
                <c:pt idx="4">
                  <c:v>525</c:v>
                </c:pt>
                <c:pt idx="5">
                  <c:v>629</c:v>
                </c:pt>
                <c:pt idx="6">
                  <c:v>538</c:v>
                </c:pt>
                <c:pt idx="7">
                  <c:v>600</c:v>
                </c:pt>
                <c:pt idx="8">
                  <c:v>590</c:v>
                </c:pt>
                <c:pt idx="9">
                  <c:v>997</c:v>
                </c:pt>
                <c:pt idx="10">
                  <c:v>707</c:v>
                </c:pt>
                <c:pt idx="11">
                  <c:v>713</c:v>
                </c:pt>
                <c:pt idx="12">
                  <c:v>746</c:v>
                </c:pt>
                <c:pt idx="13">
                  <c:v>902</c:v>
                </c:pt>
                <c:pt idx="14">
                  <c:v>778</c:v>
                </c:pt>
                <c:pt idx="15">
                  <c:v>768</c:v>
                </c:pt>
                <c:pt idx="16">
                  <c:v>837</c:v>
                </c:pt>
                <c:pt idx="17">
                  <c:v>1006</c:v>
                </c:pt>
                <c:pt idx="18">
                  <c:v>867</c:v>
                </c:pt>
              </c:numCache>
            </c:numRef>
          </c:val>
          <c:extLst>
            <c:ext xmlns:c16="http://schemas.microsoft.com/office/drawing/2014/chart" uri="{C3380CC4-5D6E-409C-BE32-E72D297353CC}">
              <c16:uniqueId val="{00000002-763E-43B3-B662-D76C6E829219}"/>
            </c:ext>
          </c:extLst>
        </c:ser>
        <c:ser>
          <c:idx val="3"/>
          <c:order val="3"/>
          <c:tx>
            <c:strRef>
              <c:f>[1]Model!$B$4</c:f>
              <c:strCache>
                <c:ptCount val="1"/>
                <c:pt idx="0">
                  <c:v>Instruments</c:v>
                </c:pt>
              </c:strCache>
            </c:strRef>
          </c:tx>
          <c:spPr>
            <a:solidFill>
              <a:schemeClr val="accent1">
                <a:lumMod val="60000"/>
                <a:lumOff val="40000"/>
              </a:schemeClr>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[1]Model!$AW$4:$BQ$4</c:f>
              <c:numCache>
                <c:formatCode>General</c:formatCode>
                <c:ptCount val="21"/>
                <c:pt idx="0">
                  <c:v>467</c:v>
                </c:pt>
                <c:pt idx="1">
                  <c:v>555</c:v>
                </c:pt>
                <c:pt idx="2">
                  <c:v>469</c:v>
                </c:pt>
                <c:pt idx="3">
                  <c:v>517</c:v>
                </c:pt>
                <c:pt idx="4">
                  <c:v>525</c:v>
                </c:pt>
                <c:pt idx="5">
                  <c:v>600</c:v>
                </c:pt>
                <c:pt idx="6">
                  <c:v>528</c:v>
                </c:pt>
                <c:pt idx="7">
                  <c:v>563</c:v>
                </c:pt>
                <c:pt idx="8">
                  <c:v>535</c:v>
                </c:pt>
                <c:pt idx="9">
                  <c:v>653</c:v>
                </c:pt>
                <c:pt idx="10">
                  <c:v>566</c:v>
                </c:pt>
                <c:pt idx="11">
                  <c:v>622</c:v>
                </c:pt>
                <c:pt idx="12">
                  <c:v>620</c:v>
                </c:pt>
                <c:pt idx="13">
                  <c:v>726</c:v>
                </c:pt>
                <c:pt idx="14">
                  <c:v>667</c:v>
                </c:pt>
                <c:pt idx="15">
                  <c:v>698</c:v>
                </c:pt>
                <c:pt idx="16">
                  <c:v>679</c:v>
                </c:pt>
                <c:pt idx="17">
                  <c:v>790</c:v>
                </c:pt>
                <c:pt idx="18">
                  <c:v>730</c:v>
                </c:pt>
              </c:numCache>
            </c:numRef>
          </c:val>
          <c:extLst>
            <c:ext xmlns:c16="http://schemas.microsoft.com/office/drawing/2014/chart" uri="{C3380CC4-5D6E-409C-BE32-E72D297353CC}">
              <c16:uniqueId val="{00000003-763E-43B3-B662-D76C6E829219}"/>
            </c:ext>
          </c:extLst>
        </c:ser>
        <c:ser>
          <c:idx val="4"/>
          <c:order val="4"/>
          <c:tx>
            <c:strRef>
              <c:f>[1]Model!$B$10</c:f>
              <c:strCache>
                <c:ptCount val="1"/>
                <c:pt idx="0">
                  <c:v>Knees</c:v>
                </c:pt>
              </c:strCache>
            </c:strRef>
          </c:tx>
          <c:spPr>
            <a:solidFill>
              <a:srgbClr val="CDE1F3"/>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[1]Model!$AW$10:$BQ$10</c:f>
              <c:numCache>
                <c:formatCode>General</c:formatCode>
                <c:ptCount val="21"/>
                <c:pt idx="0">
                  <c:v>435</c:v>
                </c:pt>
                <c:pt idx="1">
                  <c:v>459</c:v>
                </c:pt>
                <c:pt idx="2">
                  <c:v>412</c:v>
                </c:pt>
                <c:pt idx="3">
                  <c:v>474</c:v>
                </c:pt>
                <c:pt idx="4">
                  <c:v>439</c:v>
                </c:pt>
                <c:pt idx="5">
                  <c:v>523</c:v>
                </c:pt>
                <c:pt idx="6">
                  <c:v>464</c:v>
                </c:pt>
                <c:pt idx="7">
                  <c:v>500</c:v>
                </c:pt>
                <c:pt idx="8">
                  <c:v>481</c:v>
                </c:pt>
                <c:pt idx="9">
                  <c:v>552</c:v>
                </c:pt>
                <c:pt idx="10">
                  <c:v>566</c:v>
                </c:pt>
                <c:pt idx="11">
                  <c:v>562</c:v>
                </c:pt>
                <c:pt idx="12">
                  <c:v>515</c:v>
                </c:pt>
                <c:pt idx="13">
                  <c:v>630</c:v>
                </c:pt>
                <c:pt idx="14">
                  <c:v>588</c:v>
                </c:pt>
                <c:pt idx="15">
                  <c:v>602</c:v>
                </c:pt>
                <c:pt idx="16">
                  <c:v>570</c:v>
                </c:pt>
                <c:pt idx="17">
                  <c:v>687</c:v>
                </c:pt>
                <c:pt idx="18">
                  <c:v>639</c:v>
                </c:pt>
              </c:numCache>
            </c:numRef>
          </c:val>
          <c:extLst>
            <c:ext xmlns:c16="http://schemas.microsoft.com/office/drawing/2014/chart" uri="{C3380CC4-5D6E-409C-BE32-E72D297353CC}">
              <c16:uniqueId val="{00000004-763E-43B3-B662-D76C6E829219}"/>
            </c:ext>
          </c:extLst>
        </c:ser>
        <c:ser>
          <c:idx val="5"/>
          <c:order val="5"/>
          <c:tx>
            <c:strRef>
              <c:f>[1]Model!$B$8</c:f>
              <c:strCache>
                <c:ptCount val="1"/>
                <c:pt idx="0">
                  <c:v>Neuro Cranial</c:v>
                </c:pt>
              </c:strCache>
            </c:strRef>
          </c:tx>
          <c:spPr>
            <a:solidFill>
              <a:srgbClr val="94346D"/>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[1]Model!$AW$8:$BQ$8</c:f>
              <c:numCache>
                <c:formatCode>General</c:formatCode>
                <c:ptCount val="21"/>
                <c:pt idx="0">
                  <c:v>518</c:v>
                </c:pt>
                <c:pt idx="1">
                  <c:v>312</c:v>
                </c:pt>
                <c:pt idx="2">
                  <c:v>281</c:v>
                </c:pt>
                <c:pt idx="3">
                  <c:v>310</c:v>
                </c:pt>
                <c:pt idx="4">
                  <c:v>299</c:v>
                </c:pt>
                <c:pt idx="5">
                  <c:v>324</c:v>
                </c:pt>
                <c:pt idx="6">
                  <c:v>323</c:v>
                </c:pt>
                <c:pt idx="7">
                  <c:v>337</c:v>
                </c:pt>
                <c:pt idx="8">
                  <c:v>332</c:v>
                </c:pt>
                <c:pt idx="9">
                  <c:v>384</c:v>
                </c:pt>
                <c:pt idx="10">
                  <c:v>355</c:v>
                </c:pt>
                <c:pt idx="11">
                  <c:v>373</c:v>
                </c:pt>
                <c:pt idx="12">
                  <c:v>384</c:v>
                </c:pt>
                <c:pt idx="13">
                  <c:v>764</c:v>
                </c:pt>
                <c:pt idx="14">
                  <c:v>478</c:v>
                </c:pt>
                <c:pt idx="15">
                  <c:v>416</c:v>
                </c:pt>
                <c:pt idx="16">
                  <c:v>441</c:v>
                </c:pt>
                <c:pt idx="17">
                  <c:v>801</c:v>
                </c:pt>
                <c:pt idx="18">
                  <c:v>563</c:v>
                </c:pt>
              </c:numCache>
            </c:numRef>
          </c:val>
          <c:extLst>
            <c:ext xmlns:c16="http://schemas.microsoft.com/office/drawing/2014/chart" uri="{C3380CC4-5D6E-409C-BE32-E72D297353CC}">
              <c16:uniqueId val="{00000005-763E-43B3-B662-D76C6E829219}"/>
            </c:ext>
          </c:extLst>
        </c:ser>
        <c:ser>
          <c:idx val="6"/>
          <c:order val="6"/>
          <c:tx>
            <c:strRef>
              <c:f>[1]Model!$B$11</c:f>
              <c:strCache>
                <c:ptCount val="1"/>
                <c:pt idx="0">
                  <c:v>Hips</c:v>
                </c:pt>
              </c:strCache>
            </c:strRef>
          </c:tx>
          <c:spPr>
            <a:solidFill>
              <a:srgbClr val="B03E82"/>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[1]Model!$AW$11:$BQ$11</c:f>
              <c:numCache>
                <c:formatCode>General</c:formatCode>
                <c:ptCount val="21"/>
                <c:pt idx="0">
                  <c:v>334</c:v>
                </c:pt>
                <c:pt idx="1">
                  <c:v>340</c:v>
                </c:pt>
                <c:pt idx="2">
                  <c:v>309</c:v>
                </c:pt>
                <c:pt idx="3">
                  <c:v>353</c:v>
                </c:pt>
                <c:pt idx="4">
                  <c:v>328</c:v>
                </c:pt>
                <c:pt idx="5">
                  <c:v>352</c:v>
                </c:pt>
                <c:pt idx="6">
                  <c:v>327</c:v>
                </c:pt>
                <c:pt idx="7">
                  <c:v>364</c:v>
                </c:pt>
                <c:pt idx="8">
                  <c:v>347</c:v>
                </c:pt>
                <c:pt idx="9">
                  <c:v>375</c:v>
                </c:pt>
                <c:pt idx="10">
                  <c:v>375</c:v>
                </c:pt>
                <c:pt idx="11">
                  <c:v>393</c:v>
                </c:pt>
                <c:pt idx="12">
                  <c:v>362</c:v>
                </c:pt>
                <c:pt idx="13">
                  <c:v>414</c:v>
                </c:pt>
                <c:pt idx="14">
                  <c:v>393</c:v>
                </c:pt>
                <c:pt idx="15">
                  <c:v>428</c:v>
                </c:pt>
                <c:pt idx="16">
                  <c:v>420</c:v>
                </c:pt>
                <c:pt idx="17">
                  <c:v>463</c:v>
                </c:pt>
                <c:pt idx="18">
                  <c:v>443</c:v>
                </c:pt>
              </c:numCache>
            </c:numRef>
          </c:val>
          <c:extLst>
            <c:ext xmlns:c16="http://schemas.microsoft.com/office/drawing/2014/chart" uri="{C3380CC4-5D6E-409C-BE32-E72D297353CC}">
              <c16:uniqueId val="{00000006-763E-43B3-B662-D76C6E829219}"/>
            </c:ext>
          </c:extLst>
        </c:ser>
        <c:ser>
          <c:idx val="7"/>
          <c:order val="7"/>
          <c:tx>
            <c:strRef>
              <c:f>[1]Model!$B$7</c:f>
              <c:strCache>
                <c:ptCount val="1"/>
                <c:pt idx="0">
                  <c:v>Vascular</c:v>
                </c:pt>
              </c:strCache>
            </c:strRef>
          </c:tx>
          <c:spPr>
            <a:solidFill>
              <a:srgbClr val="CF73AA"/>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[1]Model!$AW$7:$BQ$7</c:f>
              <c:numCache>
                <c:formatCode>General</c:formatCode>
                <c:ptCount val="21"/>
                <c:pt idx="0">
                  <c:v>66</c:v>
                </c:pt>
                <c:pt idx="1">
                  <c:v>82</c:v>
                </c:pt>
                <c:pt idx="2">
                  <c:v>289</c:v>
                </c:pt>
                <c:pt idx="3">
                  <c:v>301</c:v>
                </c:pt>
                <c:pt idx="4">
                  <c:v>295</c:v>
                </c:pt>
                <c:pt idx="5">
                  <c:v>303</c:v>
                </c:pt>
                <c:pt idx="6">
                  <c:v>301</c:v>
                </c:pt>
                <c:pt idx="7">
                  <c:v>306</c:v>
                </c:pt>
                <c:pt idx="8">
                  <c:v>294</c:v>
                </c:pt>
                <c:pt idx="9">
                  <c:v>299</c:v>
                </c:pt>
                <c:pt idx="10">
                  <c:v>284</c:v>
                </c:pt>
                <c:pt idx="11">
                  <c:v>311</c:v>
                </c:pt>
                <c:pt idx="12">
                  <c:v>311</c:v>
                </c:pt>
                <c:pt idx="13">
                  <c:v>320</c:v>
                </c:pt>
                <c:pt idx="14">
                  <c:v>310</c:v>
                </c:pt>
                <c:pt idx="15">
                  <c:v>327</c:v>
                </c:pt>
                <c:pt idx="16">
                  <c:v>329</c:v>
                </c:pt>
                <c:pt idx="17">
                  <c:v>341</c:v>
                </c:pt>
                <c:pt idx="18">
                  <c:v>406</c:v>
                </c:pt>
              </c:numCache>
            </c:numRef>
          </c:val>
          <c:extLst>
            <c:ext xmlns:c16="http://schemas.microsoft.com/office/drawing/2014/chart" uri="{C3380CC4-5D6E-409C-BE32-E72D297353CC}">
              <c16:uniqueId val="{00000007-763E-43B3-B662-D76C6E829219}"/>
            </c:ext>
          </c:extLst>
        </c:ser>
        <c:ser>
          <c:idx val="8"/>
          <c:order val="8"/>
          <c:tx>
            <c:strRef>
              <c:f>[1]Model!$B$13</c:f>
              <c:strCache>
                <c:ptCount val="1"/>
                <c:pt idx="0">
                  <c:v>Spinal Implants</c:v>
                </c:pt>
              </c:strCache>
            </c:strRef>
          </c:tx>
          <c:spPr>
            <a:solidFill>
              <a:srgbClr val="E1A9CA"/>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[1]Model!$AW$13:$BQ$13</c:f>
              <c:numCache>
                <c:formatCode>General</c:formatCode>
                <c:ptCount val="21"/>
                <c:pt idx="0">
                  <c:v>302</c:v>
                </c:pt>
                <c:pt idx="1">
                  <c:v>307</c:v>
                </c:pt>
                <c:pt idx="2">
                  <c:v>278</c:v>
                </c:pt>
                <c:pt idx="3">
                  <c:v>307</c:v>
                </c:pt>
                <c:pt idx="4">
                  <c:v>282</c:v>
                </c:pt>
                <c:pt idx="5">
                  <c:v>300</c:v>
                </c:pt>
                <c:pt idx="6">
                  <c:v>279</c:v>
                </c:pt>
                <c:pt idx="7">
                  <c:v>290</c:v>
                </c:pt>
                <c:pt idx="8">
                  <c:v>280</c:v>
                </c:pt>
                <c:pt idx="9">
                  <c:v>297</c:v>
                </c:pt>
                <c:pt idx="10">
                  <c:v>284</c:v>
                </c:pt>
                <c:pt idx="11">
                  <c:v>296</c:v>
                </c:pt>
                <c:pt idx="12">
                  <c:v>291</c:v>
                </c:pt>
                <c:pt idx="13">
                  <c:v>122</c:v>
                </c:pt>
                <c:pt idx="14">
                  <c:v>171</c:v>
                </c:pt>
                <c:pt idx="15">
                  <c:v>307</c:v>
                </c:pt>
                <c:pt idx="16">
                  <c:v>304</c:v>
                </c:pt>
                <c:pt idx="17">
                  <c:v>85</c:v>
                </c:pt>
                <c:pt idx="18">
                  <c:v>166</c:v>
                </c:pt>
              </c:numCache>
            </c:numRef>
          </c:val>
          <c:extLst>
            <c:ext xmlns:c16="http://schemas.microsoft.com/office/drawing/2014/chart" uri="{C3380CC4-5D6E-409C-BE32-E72D297353CC}">
              <c16:uniqueId val="{00000008-763E-43B3-B662-D76C6E829219}"/>
            </c:ext>
          </c:extLst>
        </c:ser>
        <c:ser>
          <c:idx val="9"/>
          <c:order val="9"/>
          <c:tx>
            <c:strRef>
              <c:f>[1]Model!$B$14</c:f>
              <c:strCache>
                <c:ptCount val="1"/>
                <c:pt idx="0">
                  <c:v>Other</c:v>
                </c:pt>
              </c:strCache>
            </c:strRef>
          </c:tx>
          <c:spPr>
            <a:solidFill>
              <a:srgbClr val="F0D4E5"/>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[1]Model!$AW$14:$BQ$14</c:f>
              <c:numCache>
                <c:formatCode>General</c:formatCode>
                <c:ptCount val="21"/>
                <c:pt idx="0">
                  <c:v>118</c:v>
                </c:pt>
                <c:pt idx="1">
                  <c:v>157</c:v>
                </c:pt>
                <c:pt idx="2">
                  <c:v>123</c:v>
                </c:pt>
                <c:pt idx="3">
                  <c:v>127</c:v>
                </c:pt>
                <c:pt idx="4">
                  <c:v>123</c:v>
                </c:pt>
                <c:pt idx="5">
                  <c:v>176</c:v>
                </c:pt>
                <c:pt idx="6">
                  <c:v>97</c:v>
                </c:pt>
                <c:pt idx="7">
                  <c:v>114</c:v>
                </c:pt>
                <c:pt idx="8">
                  <c:v>111</c:v>
                </c:pt>
                <c:pt idx="9">
                  <c:v>153</c:v>
                </c:pt>
                <c:pt idx="10">
                  <c:v>94</c:v>
                </c:pt>
                <c:pt idx="11">
                  <c:v>119</c:v>
                </c:pt>
                <c:pt idx="12">
                  <c:v>130</c:v>
                </c:pt>
                <c:pt idx="13">
                  <c:v>35</c:v>
                </c:pt>
                <c:pt idx="14">
                  <c:v>164</c:v>
                </c:pt>
                <c:pt idx="15">
                  <c:v>136</c:v>
                </c:pt>
                <c:pt idx="16">
                  <c:v>127</c:v>
                </c:pt>
                <c:pt idx="17">
                  <c:v>125</c:v>
                </c:pt>
                <c:pt idx="18">
                  <c:v>162</c:v>
                </c:pt>
              </c:numCache>
            </c:numRef>
          </c:val>
          <c:extLst>
            <c:ext xmlns:c16="http://schemas.microsoft.com/office/drawing/2014/chart" uri="{C3380CC4-5D6E-409C-BE32-E72D297353CC}">
              <c16:uniqueId val="{00000009-763E-43B3-B662-D76C6E82921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(BSX)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a:ln>
              <a:no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[2]Model!$AW$70:$BQ$70</c:f>
              <c:numCache>
                <c:formatCode>General</c:formatCode>
                <c:ptCount val="21"/>
                <c:pt idx="0">
                  <c:v>11</c:v>
                </c:pt>
                <c:pt idx="1">
                  <c:v>-152</c:v>
                </c:pt>
                <c:pt idx="2">
                  <c:v>-169</c:v>
                </c:pt>
                <c:pt idx="3">
                  <c:v>196</c:v>
                </c:pt>
                <c:pt idx="4">
                  <c:v>327</c:v>
                </c:pt>
                <c:pt idx="5">
                  <c:v>172</c:v>
                </c:pt>
                <c:pt idx="6">
                  <c:v>405</c:v>
                </c:pt>
                <c:pt idx="7">
                  <c:v>80</c:v>
                </c:pt>
                <c:pt idx="8">
                  <c:v>97</c:v>
                </c:pt>
                <c:pt idx="9">
                  <c:v>246</c:v>
                </c:pt>
                <c:pt idx="10">
                  <c:v>174</c:v>
                </c:pt>
                <c:pt idx="11">
                  <c:v>124</c:v>
                </c:pt>
                <c:pt idx="12">
                  <c:v>300</c:v>
                </c:pt>
                <c:pt idx="13">
                  <c:v>261</c:v>
                </c:pt>
                <c:pt idx="14">
                  <c:v>504</c:v>
                </c:pt>
                <c:pt idx="15">
                  <c:v>504</c:v>
                </c:pt>
                <c:pt idx="16">
                  <c:v>495</c:v>
                </c:pt>
                <c:pt idx="17">
                  <c:v>324</c:v>
                </c:pt>
                <c:pt idx="18">
                  <c:v>468</c:v>
                </c:pt>
                <c:pt idx="19">
                  <c:v>565</c:v>
                </c:pt>
                <c:pt idx="20">
                  <c:v>674</c:v>
                </c:pt>
              </c:numCache>
            </c:numRef>
          </c:val>
          <c:extLst>
            <c:ext xmlns:c16="http://schemas.microsoft.com/office/drawing/2014/chart" uri="{C3380CC4-5D6E-409C-BE32-E72D297353CC}">
              <c16:uniqueId val="{00000001-3646-4EF6-8D0F-B65629DF816B}"/>
            </c:ext>
          </c:extLst>
        </c:ser>
        <c:ser>
          <c:idx val="2"/>
          <c:order val="2"/>
          <c:tx>
            <c:v>FCF</c:v>
          </c:tx>
          <c:spPr>
            <a:solidFill>
              <a:srgbClr val="FFC000"/>
            </a:solidFill>
            <a:ln>
              <a:solidFill>
                <a:srgbClr val="FFC000"/>
              </a:solid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[2]Model!$AW$115:$BQ$115</c:f>
              <c:numCache>
                <c:formatCode>General</c:formatCode>
                <c:ptCount val="21"/>
                <c:pt idx="3">
                  <c:v>1.4515077424612877</c:v>
                </c:pt>
                <c:pt idx="4">
                  <c:v>1.3834364868847628</c:v>
                </c:pt>
                <c:pt idx="5">
                  <c:v>1.3083722072182666</c:v>
                </c:pt>
                <c:pt idx="6">
                  <c:v>1.1499254102436598</c:v>
                </c:pt>
                <c:pt idx="7">
                  <c:v>1.1015679850222326</c:v>
                </c:pt>
                <c:pt idx="8">
                  <c:v>0.77889564810481982</c:v>
                </c:pt>
                <c:pt idx="9">
                  <c:v>0.85784187483904195</c:v>
                </c:pt>
                <c:pt idx="10">
                  <c:v>0.94561848408002258</c:v>
                </c:pt>
                <c:pt idx="11">
                  <c:v>1.0236655272153563</c:v>
                </c:pt>
                <c:pt idx="12">
                  <c:v>0.89468528043105555</c:v>
                </c:pt>
                <c:pt idx="13">
                  <c:v>0.79701885138097328</c:v>
                </c:pt>
                <c:pt idx="14">
                  <c:v>0.89561039528281283</c:v>
                </c:pt>
                <c:pt idx="15">
                  <c:v>0.8169841913254966</c:v>
                </c:pt>
                <c:pt idx="16">
                  <c:v>1.1438161106590725</c:v>
                </c:pt>
                <c:pt idx="17">
                  <c:v>1.144906743185079</c:v>
                </c:pt>
                <c:pt idx="18">
                  <c:v>1.016579259008628</c:v>
                </c:pt>
                <c:pt idx="19">
                  <c:v>0.64223194748358858</c:v>
                </c:pt>
                <c:pt idx="20">
                  <c:v>0.88335310399367339</c:v>
                </c:pt>
              </c:numCache>
            </c:numRef>
          </c:val>
          <c:extLst>
            <c:ext xmlns:c16="http://schemas.microsoft.com/office/drawing/2014/chart" uri="{C3380CC4-5D6E-409C-BE32-E72D297353CC}">
              <c16:uniqueId val="{00000003-3646-4EF6-8D0F-B65629DF816B}"/>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cap="rnd">
              <a:solidFill>
                <a:srgbClr val="00B0F0"/>
              </a:solidFill>
              <a:round/>
            </a:ln>
            <a:effectLst/>
          </c:spPr>
          <c:marker>
            <c:symbol val="none"/>
          </c:marker>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[2]Model!$AW$50:$BQ$50</c:f>
              <c:numCache>
                <c:formatCode>General</c:formatCode>
                <c:ptCount val="21"/>
                <c:pt idx="0">
                  <c:v>2543</c:v>
                </c:pt>
                <c:pt idx="1">
                  <c:v>2003</c:v>
                </c:pt>
                <c:pt idx="2">
                  <c:v>2659</c:v>
                </c:pt>
                <c:pt idx="3">
                  <c:v>2708</c:v>
                </c:pt>
                <c:pt idx="4">
                  <c:v>2752</c:v>
                </c:pt>
                <c:pt idx="5">
                  <c:v>3077</c:v>
                </c:pt>
                <c:pt idx="6">
                  <c:v>2932</c:v>
                </c:pt>
                <c:pt idx="7">
                  <c:v>3127</c:v>
                </c:pt>
                <c:pt idx="8">
                  <c:v>3026</c:v>
                </c:pt>
                <c:pt idx="9">
                  <c:v>3244</c:v>
                </c:pt>
                <c:pt idx="10">
                  <c:v>3170</c:v>
                </c:pt>
                <c:pt idx="11">
                  <c:v>3242</c:v>
                </c:pt>
                <c:pt idx="12">
                  <c:v>3389</c:v>
                </c:pt>
                <c:pt idx="13">
                  <c:v>3599</c:v>
                </c:pt>
                <c:pt idx="14">
                  <c:v>3527</c:v>
                </c:pt>
                <c:pt idx="15">
                  <c:v>3725</c:v>
                </c:pt>
                <c:pt idx="16">
                  <c:v>3857</c:v>
                </c:pt>
                <c:pt idx="17">
                  <c:v>4120</c:v>
                </c:pt>
                <c:pt idx="18">
                  <c:v>4209</c:v>
                </c:pt>
                <c:pt idx="19">
                  <c:v>4561</c:v>
                </c:pt>
                <c:pt idx="20">
                  <c:v>4663</c:v>
                </c:pt>
              </c:numCache>
            </c:numRef>
          </c:val>
          <c:smooth val="0"/>
          <c:extLst>
            <c:ext xmlns:c16="http://schemas.microsoft.com/office/drawing/2014/chart" uri="{C3380CC4-5D6E-409C-BE32-E72D297353CC}">
              <c16:uniqueId val="{00000005-3646-4EF6-8D0F-B65629DF816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(Ticker) Historical Return Histogram + Normal Distribution Overlay</a:t>
            </a:r>
          </a:p>
        </c:rich>
      </c:tx>
      <c:layout>
        <c:manualLayout>
          <c:xMode val="edge"/>
          <c:yMode val="edge"/>
          <c:x val="0.30108591378517141"/>
          <c:y val="1.88889486700445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5152794667284949E-2"/>
          <c:y val="7.3102355294668728E-2"/>
          <c:w val="0.94945999344094489"/>
          <c:h val="0.8723512307833301"/>
        </c:manualLayout>
      </c:layout>
      <c:scatterChart>
        <c:scatterStyle val="smoothMarker"/>
        <c:varyColors val="0"/>
        <c:ser>
          <c:idx val="0"/>
          <c:order val="0"/>
          <c:spPr>
            <a:ln w="1905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strRef>
              <c:f>'[1]Notes | Quant Analysis'!$I$182:$I$262</c:f>
              <c:strCache>
                <c:ptCount val="81"/>
                <c:pt idx="6">
                  <c:v>Notes:</c:v>
                </c:pt>
                <c:pt idx="42">
                  <c:v>Notes:</c:v>
                </c:pt>
              </c:strCache>
            </c:strRef>
          </c:xVal>
          <c:yVal>
            <c:numRef>
              <c:f>'[1]Notes | Quant Analysis'!$J$182:$J$262</c:f>
              <c:numCache>
                <c:formatCode>General</c:formatCode>
                <c:ptCount val="81"/>
                <c:pt idx="6">
                  <c:v>0</c:v>
                </c:pt>
                <c:pt idx="7">
                  <c:v>0</c:v>
                </c:pt>
                <c:pt idx="8">
                  <c:v>0</c:v>
                </c:pt>
                <c:pt idx="42">
                  <c:v>0</c:v>
                </c:pt>
                <c:pt idx="43">
                  <c:v>0</c:v>
                </c:pt>
                <c:pt idx="44">
                  <c:v>0</c:v>
                </c:pt>
                <c:pt idx="76">
                  <c:v>0</c:v>
                </c:pt>
                <c:pt idx="77">
                  <c:v>0</c:v>
                </c:pt>
              </c:numCache>
            </c:numRef>
          </c:yVal>
          <c:smooth val="1"/>
          <c:extLst>
            <c:ext xmlns:c16="http://schemas.microsoft.com/office/drawing/2014/chart" uri="{C3380CC4-5D6E-409C-BE32-E72D297353CC}">
              <c16:uniqueId val="{00000000-64C8-46E7-8417-05DC731C65AA}"/>
            </c:ext>
          </c:extLst>
        </c:ser>
        <c:ser>
          <c:idx val="1"/>
          <c:order val="1"/>
          <c:tx>
            <c:strRef>
              <c:f>'[1]Notes | Quant Analysis'!$L$180</c:f>
              <c:strCache>
                <c:ptCount val="1"/>
              </c:strCache>
            </c:strRef>
          </c:tx>
          <c:spPr>
            <a:ln w="19050" cap="rnd">
              <a:solidFill>
                <a:srgbClr val="FFC000"/>
              </a:solidFill>
              <a:round/>
            </a:ln>
            <a:effectLst/>
          </c:spPr>
          <c:marker>
            <c:symbol val="none"/>
          </c:marker>
          <c:xVal>
            <c:numRef>
              <c:f>'[1]Notes | Quant Analysis'!$L$182:$L$264</c:f>
              <c:numCache>
                <c:formatCode>General</c:formatCode>
                <c:ptCount val="83"/>
              </c:numCache>
            </c:numRef>
          </c:xVal>
          <c:yVal>
            <c:numRef>
              <c:f>'[1]Notes | Quant Analysis'!$M$182:$M$264</c:f>
              <c:numCache>
                <c:formatCode>General</c:formatCode>
                <c:ptCount val="83"/>
              </c:numCache>
            </c:numRef>
          </c:yVal>
          <c:smooth val="1"/>
          <c:extLst>
            <c:ext xmlns:c16="http://schemas.microsoft.com/office/drawing/2014/chart" uri="{C3380CC4-5D6E-409C-BE32-E72D297353CC}">
              <c16:uniqueId val="{00000001-64C8-46E7-8417-05DC731C65AA}"/>
            </c:ext>
          </c:extLst>
        </c:ser>
        <c:ser>
          <c:idx val="2"/>
          <c:order val="2"/>
          <c:tx>
            <c:strRef>
              <c:f>'[1]Notes | Quant Analysis'!$O$182</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64C8-46E7-8417-05DC731C65AA}"/>
                </c:ext>
              </c:extLst>
            </c:dLbl>
            <c:dLbl>
              <c:idx val="1"/>
              <c:layout>
                <c:manualLayout>
                  <c:x val="-6.5761321986558208E-2"/>
                  <c:y val="-2.1250002091535724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Analysis'!$P$182:$P$183</c:f>
              <c:numCache>
                <c:formatCode>General</c:formatCode>
                <c:ptCount val="2"/>
              </c:numCache>
            </c:numRef>
          </c:xVal>
          <c:yVal>
            <c:numRef>
              <c:f>'[1]Notes | Quant Analysis'!$Q$182:$Q$183</c:f>
              <c:numCache>
                <c:formatCode>General</c:formatCode>
                <c:ptCount val="2"/>
              </c:numCache>
            </c:numRef>
          </c:yVal>
          <c:smooth val="1"/>
          <c:extLst>
            <c:ext xmlns:c16="http://schemas.microsoft.com/office/drawing/2014/chart" uri="{C3380CC4-5D6E-409C-BE32-E72D297353CC}">
              <c16:uniqueId val="{00000004-64C8-46E7-8417-05DC731C65AA}"/>
            </c:ext>
          </c:extLst>
        </c:ser>
        <c:ser>
          <c:idx val="3"/>
          <c:order val="3"/>
          <c:tx>
            <c:strRef>
              <c:f>'[1]Notes | Quant Analysis'!$O$184</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64C8-46E7-8417-05DC731C65AA}"/>
                </c:ext>
              </c:extLst>
            </c:dLbl>
            <c:dLbl>
              <c:idx val="1"/>
              <c:layout>
                <c:manualLayout>
                  <c:x val="-4.0576134842769972E-2"/>
                  <c:y val="-4.9583338213583156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Analysis'!$P$184:$P$185</c:f>
              <c:numCache>
                <c:formatCode>General</c:formatCode>
                <c:ptCount val="2"/>
              </c:numCache>
            </c:numRef>
          </c:xVal>
          <c:yVal>
            <c:numRef>
              <c:f>'[1]Notes | Quant Analysis'!$Q$184:$Q$185</c:f>
              <c:numCache>
                <c:formatCode>General</c:formatCode>
                <c:ptCount val="2"/>
              </c:numCache>
            </c:numRef>
          </c:yVal>
          <c:smooth val="1"/>
          <c:extLst>
            <c:ext xmlns:c16="http://schemas.microsoft.com/office/drawing/2014/chart" uri="{C3380CC4-5D6E-409C-BE32-E72D297353CC}">
              <c16:uniqueId val="{00000007-64C8-46E7-8417-05DC731C65AA}"/>
            </c:ext>
          </c:extLst>
        </c:ser>
        <c:ser>
          <c:idx val="4"/>
          <c:order val="4"/>
          <c:tx>
            <c:strRef>
              <c:f>'[1]Notes | Quant Analysis'!$O$186</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64C8-46E7-8417-05DC731C65AA}"/>
                </c:ext>
              </c:extLst>
            </c:dLbl>
            <c:dLbl>
              <c:idx val="1"/>
              <c:layout>
                <c:manualLayout>
                  <c:x val="-5.3168728414664079E-2"/>
                  <c:y val="-3.541667015255957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Analysis'!$P$186:$P$187</c:f>
              <c:numCache>
                <c:formatCode>General</c:formatCode>
                <c:ptCount val="2"/>
              </c:numCache>
            </c:numRef>
          </c:xVal>
          <c:yVal>
            <c:numRef>
              <c:f>'[1]Notes | Quant Analysis'!$Q$186:$Q$187</c:f>
              <c:numCache>
                <c:formatCode>General</c:formatCode>
                <c:ptCount val="2"/>
              </c:numCache>
            </c:numRef>
          </c:yVal>
          <c:smooth val="1"/>
          <c:extLst>
            <c:ext xmlns:c16="http://schemas.microsoft.com/office/drawing/2014/chart" uri="{C3380CC4-5D6E-409C-BE32-E72D297353CC}">
              <c16:uniqueId val="{0000000A-64C8-46E7-8417-05DC731C65AA}"/>
            </c:ext>
          </c:extLst>
        </c:ser>
        <c:ser>
          <c:idx val="5"/>
          <c:order val="5"/>
          <c:tx>
            <c:strRef>
              <c:f>'[1]Notes | Quant Analysis'!$O$188</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64C8-46E7-8417-05DC731C65AA}"/>
                </c:ext>
              </c:extLst>
            </c:dLbl>
            <c:dLbl>
              <c:idx val="1"/>
              <c:layout>
                <c:manualLayout>
                  <c:x val="-9.5144040320977827E-2"/>
                  <c:y val="-2.1250002091535724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Analysis'!$P$188:$P$189</c:f>
              <c:numCache>
                <c:formatCode>General</c:formatCode>
                <c:ptCount val="2"/>
              </c:numCache>
            </c:numRef>
          </c:xVal>
          <c:yVal>
            <c:numRef>
              <c:f>'[1]Notes | Quant Analysis'!$Q$188:$Q$189</c:f>
              <c:numCache>
                <c:formatCode>General</c:formatCode>
                <c:ptCount val="2"/>
              </c:numCache>
            </c:numRef>
          </c:yVal>
          <c:smooth val="1"/>
          <c:extLst>
            <c:ext xmlns:c16="http://schemas.microsoft.com/office/drawing/2014/chart" uri="{C3380CC4-5D6E-409C-BE32-E72D297353CC}">
              <c16:uniqueId val="{0000000D-64C8-46E7-8417-05DC731C65AA}"/>
            </c:ext>
          </c:extLst>
        </c:ser>
        <c:ser>
          <c:idx val="6"/>
          <c:order val="6"/>
          <c:tx>
            <c:strRef>
              <c:f>'[1]Notes | Quant Analysis'!$O$190</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64C8-46E7-8417-05DC731C65AA}"/>
                </c:ext>
              </c:extLst>
            </c:dLbl>
            <c:dLbl>
              <c:idx val="1"/>
              <c:layout>
                <c:manualLayout>
                  <c:x val="-2.3786010080244464E-2"/>
                  <c:y val="-2.8333336122047612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1201295968475098E-2"/>
                      <c:h val="4.9276393738927629E-2"/>
                    </c:manualLayout>
                  </c15:layout>
                </c:ext>
                <c:ext xmlns:c16="http://schemas.microsoft.com/office/drawing/2014/chart" uri="{C3380CC4-5D6E-409C-BE32-E72D297353CC}">
                  <c16:uniqueId val="{0000000F-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Analysis'!$P$190:$P$191</c:f>
              <c:numCache>
                <c:formatCode>General</c:formatCode>
                <c:ptCount val="2"/>
              </c:numCache>
            </c:numRef>
          </c:xVal>
          <c:yVal>
            <c:numRef>
              <c:f>'[1]Notes | Quant Analysis'!$Q$190:$Q$191</c:f>
              <c:numCache>
                <c:formatCode>General</c:formatCode>
                <c:ptCount val="2"/>
              </c:numCache>
            </c:numRef>
          </c:yVal>
          <c:smooth val="1"/>
          <c:extLst>
            <c:ext xmlns:c16="http://schemas.microsoft.com/office/drawing/2014/chart" uri="{C3380CC4-5D6E-409C-BE32-E72D297353CC}">
              <c16:uniqueId val="{00000010-64C8-46E7-8417-05DC731C65AA}"/>
            </c:ext>
          </c:extLst>
        </c:ser>
        <c:ser>
          <c:idx val="7"/>
          <c:order val="7"/>
          <c:tx>
            <c:strRef>
              <c:f>'[1]Notes | Quant Analysis'!$O$192</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64C8-46E7-8417-05DC731C65AA}"/>
                </c:ext>
              </c:extLst>
            </c:dLbl>
            <c:dLbl>
              <c:idx val="1"/>
              <c:layout>
                <c:manualLayout>
                  <c:x val="-3.7777780715682475E-2"/>
                  <c:y val="-6.138889493110313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2-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Analysis'!$P$192:$P$193</c:f>
              <c:numCache>
                <c:formatCode>General</c:formatCode>
                <c:ptCount val="2"/>
              </c:numCache>
            </c:numRef>
          </c:xVal>
          <c:yVal>
            <c:numRef>
              <c:f>'[1]Notes | Quant Analysis'!$Q$192:$Q$193</c:f>
              <c:numCache>
                <c:formatCode>General</c:formatCode>
                <c:ptCount val="2"/>
              </c:numCache>
            </c:numRef>
          </c:yVal>
          <c:smooth val="1"/>
          <c:extLst>
            <c:ext xmlns:c16="http://schemas.microsoft.com/office/drawing/2014/chart" uri="{C3380CC4-5D6E-409C-BE32-E72D297353CC}">
              <c16:uniqueId val="{00000013-64C8-46E7-8417-05DC731C65AA}"/>
            </c:ext>
          </c:extLst>
        </c:ser>
        <c:ser>
          <c:idx val="8"/>
          <c:order val="8"/>
          <c:tx>
            <c:strRef>
              <c:f>'[1]Notes | Quant Analysis'!$O$194</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4-64C8-46E7-8417-05DC731C65AA}"/>
                </c:ext>
              </c:extLst>
            </c:dLbl>
            <c:dLbl>
              <c:idx val="1"/>
              <c:layout>
                <c:manualLayout>
                  <c:x val="-3.3580249525050995E-2"/>
                  <c:y val="-3.777778149606336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5-64C8-46E7-8417-05DC731C65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Analysis'!$P$194:$P$195</c:f>
              <c:numCache>
                <c:formatCode>General</c:formatCode>
                <c:ptCount val="2"/>
              </c:numCache>
            </c:numRef>
          </c:xVal>
          <c:yVal>
            <c:numRef>
              <c:f>'[1]Notes | Quant Analysis'!$Q$194:$Q$195</c:f>
              <c:numCache>
                <c:formatCode>General</c:formatCode>
                <c:ptCount val="2"/>
              </c:numCache>
            </c:numRef>
          </c:yVal>
          <c:smooth val="1"/>
          <c:extLst>
            <c:ext xmlns:c16="http://schemas.microsoft.com/office/drawing/2014/chart" uri="{C3380CC4-5D6E-409C-BE32-E72D297353CC}">
              <c16:uniqueId val="{00000016-64C8-46E7-8417-05DC731C65AA}"/>
            </c:ext>
          </c:extLst>
        </c:ser>
        <c:dLbls>
          <c:showLegendKey val="0"/>
          <c:showVal val="0"/>
          <c:showCatName val="0"/>
          <c:showSerName val="0"/>
          <c:showPercent val="0"/>
          <c:showBubbleSize val="0"/>
        </c:dLbls>
        <c:axId val="1297843279"/>
        <c:axId val="1297840879"/>
      </c:scatterChart>
      <c:valAx>
        <c:axId val="1297843279"/>
        <c:scaling>
          <c:orientation val="minMax"/>
          <c:max val="4.5000000000000012E-2"/>
          <c:min val="-4.5000000000000012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40879"/>
        <c:crosses val="autoZero"/>
        <c:crossBetween val="midCat"/>
        <c:majorUnit val="5.000000000000001E-3"/>
      </c:valAx>
      <c:valAx>
        <c:axId val="129784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43279"/>
        <c:crossesAt val="-10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(BSX)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a:ln>
              <a:no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[2]Model!$AW$70:$BQ$70</c:f>
              <c:numCache>
                <c:formatCode>General</c:formatCode>
                <c:ptCount val="21"/>
                <c:pt idx="0">
                  <c:v>11</c:v>
                </c:pt>
                <c:pt idx="1">
                  <c:v>-152</c:v>
                </c:pt>
                <c:pt idx="2">
                  <c:v>-169</c:v>
                </c:pt>
                <c:pt idx="3">
                  <c:v>196</c:v>
                </c:pt>
                <c:pt idx="4">
                  <c:v>327</c:v>
                </c:pt>
                <c:pt idx="5">
                  <c:v>172</c:v>
                </c:pt>
                <c:pt idx="6">
                  <c:v>405</c:v>
                </c:pt>
                <c:pt idx="7">
                  <c:v>80</c:v>
                </c:pt>
                <c:pt idx="8">
                  <c:v>97</c:v>
                </c:pt>
                <c:pt idx="9">
                  <c:v>246</c:v>
                </c:pt>
                <c:pt idx="10">
                  <c:v>174</c:v>
                </c:pt>
                <c:pt idx="11">
                  <c:v>124</c:v>
                </c:pt>
                <c:pt idx="12">
                  <c:v>300</c:v>
                </c:pt>
                <c:pt idx="13">
                  <c:v>261</c:v>
                </c:pt>
                <c:pt idx="14">
                  <c:v>504</c:v>
                </c:pt>
                <c:pt idx="15">
                  <c:v>504</c:v>
                </c:pt>
                <c:pt idx="16">
                  <c:v>495</c:v>
                </c:pt>
                <c:pt idx="17">
                  <c:v>324</c:v>
                </c:pt>
                <c:pt idx="18">
                  <c:v>468</c:v>
                </c:pt>
                <c:pt idx="19">
                  <c:v>565</c:v>
                </c:pt>
                <c:pt idx="20">
                  <c:v>674</c:v>
                </c:pt>
              </c:numCache>
            </c:numRef>
          </c:val>
          <c:extLst>
            <c:ext xmlns:c16="http://schemas.microsoft.com/office/drawing/2014/chart" uri="{C3380CC4-5D6E-409C-BE32-E72D297353CC}">
              <c16:uniqueId val="{00000003-185C-48BA-84D0-EF540439F646}"/>
            </c:ext>
          </c:extLst>
        </c:ser>
        <c:ser>
          <c:idx val="2"/>
          <c:order val="2"/>
          <c:tx>
            <c:v>FCF</c:v>
          </c:tx>
          <c:spPr>
            <a:solidFill>
              <a:srgbClr val="FFC000"/>
            </a:solidFill>
            <a:ln>
              <a:solidFill>
                <a:srgbClr val="FFC000"/>
              </a:solid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[2]Model!$AW$115:$BQ$115</c:f>
              <c:numCache>
                <c:formatCode>General</c:formatCode>
                <c:ptCount val="21"/>
                <c:pt idx="3">
                  <c:v>1.4515077424612877</c:v>
                </c:pt>
                <c:pt idx="4">
                  <c:v>1.3834364868847628</c:v>
                </c:pt>
                <c:pt idx="5">
                  <c:v>1.3083722072182666</c:v>
                </c:pt>
                <c:pt idx="6">
                  <c:v>1.1499254102436598</c:v>
                </c:pt>
                <c:pt idx="7">
                  <c:v>1.1015679850222326</c:v>
                </c:pt>
                <c:pt idx="8">
                  <c:v>0.77889564810481982</c:v>
                </c:pt>
                <c:pt idx="9">
                  <c:v>0.85784187483904195</c:v>
                </c:pt>
                <c:pt idx="10">
                  <c:v>0.94561848408002258</c:v>
                </c:pt>
                <c:pt idx="11">
                  <c:v>1.0236655272153563</c:v>
                </c:pt>
                <c:pt idx="12">
                  <c:v>0.89468528043105555</c:v>
                </c:pt>
                <c:pt idx="13">
                  <c:v>0.79701885138097328</c:v>
                </c:pt>
                <c:pt idx="14">
                  <c:v>0.89561039528281283</c:v>
                </c:pt>
                <c:pt idx="15">
                  <c:v>0.8169841913254966</c:v>
                </c:pt>
                <c:pt idx="16">
                  <c:v>1.1438161106590725</c:v>
                </c:pt>
                <c:pt idx="17">
                  <c:v>1.144906743185079</c:v>
                </c:pt>
                <c:pt idx="18">
                  <c:v>1.016579259008628</c:v>
                </c:pt>
                <c:pt idx="19">
                  <c:v>0.64223194748358858</c:v>
                </c:pt>
                <c:pt idx="20">
                  <c:v>0.88335310399367339</c:v>
                </c:pt>
              </c:numCache>
            </c:numRef>
          </c:val>
          <c:extLst>
            <c:ext xmlns:c16="http://schemas.microsoft.com/office/drawing/2014/chart" uri="{C3380CC4-5D6E-409C-BE32-E72D297353CC}">
              <c16:uniqueId val="{00000004-185C-48BA-84D0-EF540439F646}"/>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cap="rnd">
              <a:solidFill>
                <a:srgbClr val="00B0F0"/>
              </a:solidFill>
              <a:round/>
            </a:ln>
            <a:effectLst/>
          </c:spPr>
          <c:marker>
            <c:symbol val="none"/>
          </c:marker>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[2]Model!$AW$50:$BQ$50</c:f>
              <c:numCache>
                <c:formatCode>General</c:formatCode>
                <c:ptCount val="21"/>
                <c:pt idx="0">
                  <c:v>2543</c:v>
                </c:pt>
                <c:pt idx="1">
                  <c:v>2003</c:v>
                </c:pt>
                <c:pt idx="2">
                  <c:v>2659</c:v>
                </c:pt>
                <c:pt idx="3">
                  <c:v>2708</c:v>
                </c:pt>
                <c:pt idx="4">
                  <c:v>2752</c:v>
                </c:pt>
                <c:pt idx="5">
                  <c:v>3077</c:v>
                </c:pt>
                <c:pt idx="6">
                  <c:v>2932</c:v>
                </c:pt>
                <c:pt idx="7">
                  <c:v>3127</c:v>
                </c:pt>
                <c:pt idx="8">
                  <c:v>3026</c:v>
                </c:pt>
                <c:pt idx="9">
                  <c:v>3244</c:v>
                </c:pt>
                <c:pt idx="10">
                  <c:v>3170</c:v>
                </c:pt>
                <c:pt idx="11">
                  <c:v>3242</c:v>
                </c:pt>
                <c:pt idx="12">
                  <c:v>3389</c:v>
                </c:pt>
                <c:pt idx="13">
                  <c:v>3599</c:v>
                </c:pt>
                <c:pt idx="14">
                  <c:v>3527</c:v>
                </c:pt>
                <c:pt idx="15">
                  <c:v>3725</c:v>
                </c:pt>
                <c:pt idx="16">
                  <c:v>3857</c:v>
                </c:pt>
                <c:pt idx="17">
                  <c:v>4120</c:v>
                </c:pt>
                <c:pt idx="18">
                  <c:v>4209</c:v>
                </c:pt>
                <c:pt idx="19">
                  <c:v>4561</c:v>
                </c:pt>
                <c:pt idx="20">
                  <c:v>4663</c:v>
                </c:pt>
              </c:numCache>
            </c:numRef>
          </c:val>
          <c:smooth val="0"/>
          <c:extLst>
            <c:ext xmlns:c16="http://schemas.microsoft.com/office/drawing/2014/chart" uri="{C3380CC4-5D6E-409C-BE32-E72D297353CC}">
              <c16:uniqueId val="{00000005-185C-48BA-84D0-EF540439F64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9525</xdr:colOff>
      <xdr:row>2</xdr:row>
      <xdr:rowOff>9525</xdr:rowOff>
    </xdr:from>
    <xdr:to>
      <xdr:col>8</xdr:col>
      <xdr:colOff>0</xdr:colOff>
      <xdr:row>8</xdr:row>
      <xdr:rowOff>0</xdr:rowOff>
    </xdr:to>
    <xdr:pic>
      <xdr:nvPicPr>
        <xdr:cNvPr id="2" name="Picture 1">
          <a:extLst>
            <a:ext uri="{FF2B5EF4-FFF2-40B4-BE49-F238E27FC236}">
              <a16:creationId xmlns:a16="http://schemas.microsoft.com/office/drawing/2014/main" id="{F70C5431-70A8-7B45-C09F-D2CBF2CC583D}"/>
            </a:ext>
          </a:extLst>
        </xdr:cNvPr>
        <xdr:cNvPicPr>
          <a:picLocks noChangeAspect="1"/>
        </xdr:cNvPicPr>
      </xdr:nvPicPr>
      <xdr:blipFill rotWithShape="1">
        <a:blip xmlns:r="http://schemas.openxmlformats.org/officeDocument/2006/relationships" r:embed="rId1"/>
        <a:srcRect t="7258" r="7729" b="8064"/>
        <a:stretch>
          <a:fillRect/>
        </a:stretch>
      </xdr:blipFill>
      <xdr:spPr>
        <a:xfrm>
          <a:off x="3162300" y="390525"/>
          <a:ext cx="1819275" cy="1076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71</xdr:col>
      <xdr:colOff>0</xdr:colOff>
      <xdr:row>0</xdr:row>
      <xdr:rowOff>0</xdr:rowOff>
    </xdr:from>
    <xdr:to>
      <xdr:col>71</xdr:col>
      <xdr:colOff>0</xdr:colOff>
      <xdr:row>130</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44700825" y="0"/>
          <a:ext cx="0" cy="23774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103</xdr:col>
      <xdr:colOff>0</xdr:colOff>
      <xdr:row>0</xdr:row>
      <xdr:rowOff>0</xdr:rowOff>
    </xdr:from>
    <xdr:to>
      <xdr:col>103</xdr:col>
      <xdr:colOff>0</xdr:colOff>
      <xdr:row>129</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129</xdr:row>
      <xdr:rowOff>190499</xdr:rowOff>
    </xdr:from>
    <xdr:to>
      <xdr:col>23</xdr:col>
      <xdr:colOff>0</xdr:colOff>
      <xdr:row>160</xdr:row>
      <xdr:rowOff>180974</xdr:rowOff>
    </xdr:to>
    <xdr:graphicFrame macro="">
      <xdr:nvGraphicFramePr>
        <xdr:cNvPr id="2" name="Chart 1">
          <a:extLst>
            <a:ext uri="{FF2B5EF4-FFF2-40B4-BE49-F238E27FC236}">
              <a16:creationId xmlns:a16="http://schemas.microsoft.com/office/drawing/2014/main" id="{142CD92D-8EF4-4572-94B5-6164D3957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166</xdr:row>
      <xdr:rowOff>0</xdr:rowOff>
    </xdr:from>
    <xdr:to>
      <xdr:col>23</xdr:col>
      <xdr:colOff>0</xdr:colOff>
      <xdr:row>194</xdr:row>
      <xdr:rowOff>0</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231</xdr:row>
      <xdr:rowOff>0</xdr:rowOff>
    </xdr:from>
    <xdr:to>
      <xdr:col>23</xdr:col>
      <xdr:colOff>0</xdr:colOff>
      <xdr:row>259</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199</xdr:row>
      <xdr:rowOff>0</xdr:rowOff>
    </xdr:from>
    <xdr:to>
      <xdr:col>23</xdr:col>
      <xdr:colOff>0</xdr:colOff>
      <xdr:row>227</xdr:row>
      <xdr:rowOff>0</xdr:rowOff>
    </xdr:to>
    <xdr:graphicFrame macro="">
      <xdr:nvGraphicFramePr>
        <xdr:cNvPr id="5" name="Chart 4">
          <a:extLst>
            <a:ext uri="{FF2B5EF4-FFF2-40B4-BE49-F238E27FC236}">
              <a16:creationId xmlns:a16="http://schemas.microsoft.com/office/drawing/2014/main" id="{FF7CCC47-4E69-431D-A35B-BB93EEC5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SYK_Model.xlsx" TargetMode="External"/><Relationship Id="rId1" Type="http://schemas.openxmlformats.org/officeDocument/2006/relationships/externalLinkPath" Target="https://d.docs.live.net/Users/User/Desktop/Equity%20Research/Models/Health%20Care/MedTech/SYK_Mod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https://d.docs.live.net/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Notes | Quant Analysis"/>
      <sheetName val="M&amp;A"/>
      <sheetName val="Management"/>
      <sheetName val="Markets | Product Lines"/>
      <sheetName val="Debt Schedule"/>
    </sheetNames>
    <sheetDataSet>
      <sheetData sheetId="0"/>
      <sheetData sheetId="1">
        <row r="1">
          <cell r="AY1" t="str">
            <v>Q1 2021</v>
          </cell>
          <cell r="BC1" t="str">
            <v>Q1 2022</v>
          </cell>
          <cell r="BG1" t="str">
            <v>Q1 2023</v>
          </cell>
          <cell r="BK1" t="str">
            <v>Q1 2024</v>
          </cell>
          <cell r="BO1" t="str">
            <v>Q1 2025</v>
          </cell>
        </row>
        <row r="4">
          <cell r="B4" t="str">
            <v>Instruments</v>
          </cell>
          <cell r="AW4">
            <v>467</v>
          </cell>
          <cell r="AX4">
            <v>555</v>
          </cell>
          <cell r="AY4">
            <v>469</v>
          </cell>
          <cell r="AZ4">
            <v>517</v>
          </cell>
          <cell r="BA4">
            <v>525</v>
          </cell>
          <cell r="BB4">
            <v>600</v>
          </cell>
          <cell r="BC4">
            <v>528</v>
          </cell>
          <cell r="BD4">
            <v>563</v>
          </cell>
          <cell r="BE4">
            <v>535</v>
          </cell>
          <cell r="BF4">
            <v>653</v>
          </cell>
          <cell r="BG4">
            <v>566</v>
          </cell>
          <cell r="BH4">
            <v>622</v>
          </cell>
          <cell r="BI4">
            <v>620</v>
          </cell>
          <cell r="BJ4">
            <v>726</v>
          </cell>
          <cell r="BK4">
            <v>667</v>
          </cell>
          <cell r="BL4">
            <v>698</v>
          </cell>
          <cell r="BM4">
            <v>679</v>
          </cell>
          <cell r="BN4">
            <v>790</v>
          </cell>
          <cell r="BO4">
            <v>730</v>
          </cell>
          <cell r="BP4"/>
          <cell r="BQ4"/>
        </row>
        <row r="5">
          <cell r="B5" t="str">
            <v>Endoscopy</v>
          </cell>
          <cell r="AW5">
            <v>467</v>
          </cell>
          <cell r="AX5">
            <v>525</v>
          </cell>
          <cell r="AY5">
            <v>469</v>
          </cell>
          <cell r="AZ5">
            <v>518</v>
          </cell>
          <cell r="BA5">
            <v>525</v>
          </cell>
          <cell r="BB5">
            <v>629</v>
          </cell>
          <cell r="BC5">
            <v>538</v>
          </cell>
          <cell r="BD5">
            <v>600</v>
          </cell>
          <cell r="BE5">
            <v>590</v>
          </cell>
          <cell r="BF5">
            <v>997</v>
          </cell>
          <cell r="BG5">
            <v>707</v>
          </cell>
          <cell r="BH5">
            <v>713</v>
          </cell>
          <cell r="BI5">
            <v>746</v>
          </cell>
          <cell r="BJ5">
            <v>902</v>
          </cell>
          <cell r="BK5">
            <v>778</v>
          </cell>
          <cell r="BL5">
            <v>768</v>
          </cell>
          <cell r="BM5">
            <v>837</v>
          </cell>
          <cell r="BN5">
            <v>1006</v>
          </cell>
          <cell r="BO5">
            <v>867</v>
          </cell>
          <cell r="BP5"/>
          <cell r="BQ5"/>
        </row>
        <row r="6">
          <cell r="B6" t="str">
            <v>Medical</v>
          </cell>
          <cell r="AW6">
            <v>600</v>
          </cell>
          <cell r="AX6">
            <v>705</v>
          </cell>
          <cell r="AY6">
            <v>622</v>
          </cell>
          <cell r="AZ6">
            <v>640</v>
          </cell>
          <cell r="BA6">
            <v>636</v>
          </cell>
          <cell r="BB6">
            <v>709</v>
          </cell>
          <cell r="BC6">
            <v>664</v>
          </cell>
          <cell r="BD6">
            <v>666</v>
          </cell>
          <cell r="BE6">
            <v>765</v>
          </cell>
          <cell r="BF6">
            <v>936</v>
          </cell>
          <cell r="BG6">
            <v>778</v>
          </cell>
          <cell r="BH6">
            <v>841</v>
          </cell>
          <cell r="BI6">
            <v>798</v>
          </cell>
          <cell r="BJ6">
            <v>1042</v>
          </cell>
          <cell r="BK6">
            <v>864</v>
          </cell>
          <cell r="BL6">
            <v>908</v>
          </cell>
          <cell r="BM6">
            <v>938</v>
          </cell>
          <cell r="BN6">
            <v>1142</v>
          </cell>
          <cell r="BO6">
            <v>945</v>
          </cell>
          <cell r="BP6"/>
          <cell r="BQ6"/>
        </row>
        <row r="7">
          <cell r="B7" t="str">
            <v>Vascular</v>
          </cell>
          <cell r="AW7">
            <v>66</v>
          </cell>
          <cell r="AX7">
            <v>82</v>
          </cell>
          <cell r="AY7">
            <v>289</v>
          </cell>
          <cell r="AZ7">
            <v>301</v>
          </cell>
          <cell r="BA7">
            <v>295</v>
          </cell>
          <cell r="BB7">
            <v>303</v>
          </cell>
          <cell r="BC7">
            <v>301</v>
          </cell>
          <cell r="BD7">
            <v>306</v>
          </cell>
          <cell r="BE7">
            <v>294</v>
          </cell>
          <cell r="BF7">
            <v>299</v>
          </cell>
          <cell r="BG7">
            <v>284</v>
          </cell>
          <cell r="BH7">
            <v>311</v>
          </cell>
          <cell r="BI7">
            <v>311</v>
          </cell>
          <cell r="BJ7">
            <v>320</v>
          </cell>
          <cell r="BK7">
            <v>310</v>
          </cell>
          <cell r="BL7">
            <v>327</v>
          </cell>
          <cell r="BM7">
            <v>329</v>
          </cell>
          <cell r="BN7">
            <v>341</v>
          </cell>
          <cell r="BO7">
            <v>406</v>
          </cell>
          <cell r="BP7"/>
          <cell r="BQ7"/>
        </row>
        <row r="8">
          <cell r="B8" t="str">
            <v>Neuro Cranial</v>
          </cell>
          <cell r="AW8">
            <v>518</v>
          </cell>
          <cell r="AX8">
            <v>312</v>
          </cell>
          <cell r="AY8">
            <v>281</v>
          </cell>
          <cell r="AZ8">
            <v>310</v>
          </cell>
          <cell r="BA8">
            <v>299</v>
          </cell>
          <cell r="BB8">
            <v>324</v>
          </cell>
          <cell r="BC8">
            <v>323</v>
          </cell>
          <cell r="BD8">
            <v>337</v>
          </cell>
          <cell r="BE8">
            <v>332</v>
          </cell>
          <cell r="BF8">
            <v>384</v>
          </cell>
          <cell r="BG8">
            <v>355</v>
          </cell>
          <cell r="BH8">
            <v>373</v>
          </cell>
          <cell r="BI8">
            <v>384</v>
          </cell>
          <cell r="BJ8">
            <v>764</v>
          </cell>
          <cell r="BK8">
            <v>478</v>
          </cell>
          <cell r="BL8">
            <v>416</v>
          </cell>
          <cell r="BM8">
            <v>441</v>
          </cell>
          <cell r="BN8">
            <v>801</v>
          </cell>
          <cell r="BO8">
            <v>563</v>
          </cell>
          <cell r="BP8"/>
          <cell r="BQ8"/>
        </row>
        <row r="10">
          <cell r="B10" t="str">
            <v>Knees</v>
          </cell>
          <cell r="AW10">
            <v>435</v>
          </cell>
          <cell r="AX10">
            <v>459</v>
          </cell>
          <cell r="AY10">
            <v>412</v>
          </cell>
          <cell r="AZ10">
            <v>474</v>
          </cell>
          <cell r="BA10">
            <v>439</v>
          </cell>
          <cell r="BB10">
            <v>523</v>
          </cell>
          <cell r="BC10">
            <v>464</v>
          </cell>
          <cell r="BD10">
            <v>500</v>
          </cell>
          <cell r="BE10">
            <v>481</v>
          </cell>
          <cell r="BF10">
            <v>552</v>
          </cell>
          <cell r="BG10">
            <v>566</v>
          </cell>
          <cell r="BH10">
            <v>562</v>
          </cell>
          <cell r="BI10">
            <v>515</v>
          </cell>
          <cell r="BJ10">
            <v>630</v>
          </cell>
          <cell r="BK10">
            <v>588</v>
          </cell>
          <cell r="BL10">
            <v>602</v>
          </cell>
          <cell r="BM10">
            <v>570</v>
          </cell>
          <cell r="BN10">
            <v>687</v>
          </cell>
          <cell r="BO10">
            <v>639</v>
          </cell>
          <cell r="BP10"/>
          <cell r="BQ10"/>
        </row>
        <row r="11">
          <cell r="B11" t="str">
            <v>Hips</v>
          </cell>
          <cell r="AW11">
            <v>334</v>
          </cell>
          <cell r="AX11">
            <v>340</v>
          </cell>
          <cell r="AY11">
            <v>309</v>
          </cell>
          <cell r="AZ11">
            <v>353</v>
          </cell>
          <cell r="BA11">
            <v>328</v>
          </cell>
          <cell r="BB11">
            <v>352</v>
          </cell>
          <cell r="BC11">
            <v>327</v>
          </cell>
          <cell r="BD11">
            <v>364</v>
          </cell>
          <cell r="BE11">
            <v>347</v>
          </cell>
          <cell r="BF11">
            <v>375</v>
          </cell>
          <cell r="BG11">
            <v>375</v>
          </cell>
          <cell r="BH11">
            <v>393</v>
          </cell>
          <cell r="BI11">
            <v>362</v>
          </cell>
          <cell r="BJ11">
            <v>414</v>
          </cell>
          <cell r="BK11">
            <v>393</v>
          </cell>
          <cell r="BL11">
            <v>428</v>
          </cell>
          <cell r="BM11">
            <v>420</v>
          </cell>
          <cell r="BN11">
            <v>463</v>
          </cell>
          <cell r="BO11">
            <v>443</v>
          </cell>
          <cell r="BP11"/>
          <cell r="BQ11"/>
        </row>
        <row r="12">
          <cell r="B12" t="str">
            <v>Trauma and Extremities</v>
          </cell>
          <cell r="AW12">
            <v>430</v>
          </cell>
          <cell r="AX12">
            <v>570</v>
          </cell>
          <cell r="AY12">
            <v>640</v>
          </cell>
          <cell r="AZ12">
            <v>674</v>
          </cell>
          <cell r="BA12">
            <v>639</v>
          </cell>
          <cell r="BB12">
            <v>711</v>
          </cell>
          <cell r="BC12">
            <v>685</v>
          </cell>
          <cell r="BD12">
            <v>676</v>
          </cell>
          <cell r="BE12">
            <v>672</v>
          </cell>
          <cell r="BF12">
            <v>774</v>
          </cell>
          <cell r="BG12">
            <v>769</v>
          </cell>
          <cell r="BH12">
            <v>766</v>
          </cell>
          <cell r="BI12">
            <v>752</v>
          </cell>
          <cell r="BJ12">
            <v>860</v>
          </cell>
          <cell r="BK12">
            <v>830</v>
          </cell>
          <cell r="BL12">
            <v>832</v>
          </cell>
          <cell r="BM12">
            <v>849</v>
          </cell>
          <cell r="BN12">
            <v>996</v>
          </cell>
          <cell r="BO12">
            <v>945</v>
          </cell>
          <cell r="BP12"/>
          <cell r="BQ12"/>
        </row>
        <row r="13">
          <cell r="B13" t="str">
            <v>Spinal Implants</v>
          </cell>
          <cell r="AW13">
            <v>302</v>
          </cell>
          <cell r="AX13">
            <v>307</v>
          </cell>
          <cell r="AY13">
            <v>278</v>
          </cell>
          <cell r="AZ13">
            <v>307</v>
          </cell>
          <cell r="BA13">
            <v>282</v>
          </cell>
          <cell r="BB13">
            <v>300</v>
          </cell>
          <cell r="BC13">
            <v>279</v>
          </cell>
          <cell r="BD13">
            <v>290</v>
          </cell>
          <cell r="BE13">
            <v>280</v>
          </cell>
          <cell r="BF13">
            <v>297</v>
          </cell>
          <cell r="BG13">
            <v>284</v>
          </cell>
          <cell r="BH13">
            <v>296</v>
          </cell>
          <cell r="BI13">
            <v>291</v>
          </cell>
          <cell r="BJ13">
            <v>122</v>
          </cell>
          <cell r="BK13">
            <v>171</v>
          </cell>
          <cell r="BL13">
            <v>307</v>
          </cell>
          <cell r="BM13">
            <v>304</v>
          </cell>
          <cell r="BN13">
            <v>85</v>
          </cell>
          <cell r="BO13">
            <v>166</v>
          </cell>
          <cell r="BP13"/>
          <cell r="BQ13"/>
        </row>
        <row r="14">
          <cell r="B14" t="str">
            <v>Other</v>
          </cell>
          <cell r="AW14">
            <v>118</v>
          </cell>
          <cell r="AX14">
            <v>157</v>
          </cell>
          <cell r="AY14">
            <v>123</v>
          </cell>
          <cell r="AZ14">
            <v>127</v>
          </cell>
          <cell r="BA14">
            <v>123</v>
          </cell>
          <cell r="BB14">
            <v>176</v>
          </cell>
          <cell r="BC14">
            <v>97</v>
          </cell>
          <cell r="BD14">
            <v>114</v>
          </cell>
          <cell r="BE14">
            <v>111</v>
          </cell>
          <cell r="BF14">
            <v>153</v>
          </cell>
          <cell r="BG14">
            <v>94</v>
          </cell>
          <cell r="BH14">
            <v>119</v>
          </cell>
          <cell r="BI14">
            <v>130</v>
          </cell>
          <cell r="BJ14">
            <v>35</v>
          </cell>
          <cell r="BK14">
            <v>164</v>
          </cell>
          <cell r="BL14">
            <v>136</v>
          </cell>
          <cell r="BM14">
            <v>127</v>
          </cell>
          <cell r="BN14">
            <v>125</v>
          </cell>
          <cell r="BO14">
            <v>162</v>
          </cell>
          <cell r="BP14"/>
          <cell r="BQ14"/>
        </row>
      </sheetData>
      <sheetData sheetId="2">
        <row r="188">
          <cell r="I188" t="str">
            <v>Notes:</v>
          </cell>
          <cell r="J188" t="str">
            <v>[X]</v>
          </cell>
        </row>
        <row r="189">
          <cell r="J189" t="str">
            <v>[Y]</v>
          </cell>
        </row>
        <row r="190">
          <cell r="J190" t="str">
            <v>[Z]</v>
          </cell>
        </row>
        <row r="224">
          <cell r="I224" t="str">
            <v>Notes:</v>
          </cell>
          <cell r="J224" t="str">
            <v>[X]</v>
          </cell>
        </row>
        <row r="225">
          <cell r="J225" t="str">
            <v>[Y]</v>
          </cell>
        </row>
        <row r="226">
          <cell r="J226" t="str">
            <v>[Z]</v>
          </cell>
        </row>
        <row r="258">
          <cell r="J258" t="str">
            <v xml:space="preserve">The return distribution fits a Gaussian curve well, implying that daily change follows a roughly normal distribution </v>
          </cell>
        </row>
        <row r="259">
          <cell r="J259" t="str">
            <v xml:space="preserve">There is slight implied upside to mean 1-day returns </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row r="50">
          <cell r="AW50">
            <v>2543</v>
          </cell>
          <cell r="AX50">
            <v>2003</v>
          </cell>
          <cell r="AY50">
            <v>2659</v>
          </cell>
          <cell r="AZ50">
            <v>2708</v>
          </cell>
          <cell r="BA50">
            <v>2752</v>
          </cell>
          <cell r="BB50">
            <v>3077</v>
          </cell>
          <cell r="BC50">
            <v>2932</v>
          </cell>
          <cell r="BD50">
            <v>3127</v>
          </cell>
          <cell r="BE50">
            <v>3026</v>
          </cell>
          <cell r="BF50">
            <v>3244</v>
          </cell>
          <cell r="BG50">
            <v>3170</v>
          </cell>
          <cell r="BH50">
            <v>3242</v>
          </cell>
          <cell r="BI50">
            <v>3389</v>
          </cell>
          <cell r="BJ50">
            <v>3599</v>
          </cell>
          <cell r="BK50">
            <v>3527</v>
          </cell>
          <cell r="BL50">
            <v>3725</v>
          </cell>
          <cell r="BM50">
            <v>3857</v>
          </cell>
          <cell r="BN50">
            <v>4120</v>
          </cell>
          <cell r="BO50">
            <v>4209</v>
          </cell>
          <cell r="BP50">
            <v>4561</v>
          </cell>
          <cell r="BQ50">
            <v>4663</v>
          </cell>
        </row>
        <row r="70">
          <cell r="AW70">
            <v>11</v>
          </cell>
          <cell r="AX70">
            <v>-152</v>
          </cell>
          <cell r="AY70">
            <v>-169</v>
          </cell>
          <cell r="AZ70">
            <v>196</v>
          </cell>
          <cell r="BA70">
            <v>327</v>
          </cell>
          <cell r="BB70">
            <v>172</v>
          </cell>
          <cell r="BC70">
            <v>405</v>
          </cell>
          <cell r="BD70">
            <v>80</v>
          </cell>
          <cell r="BE70">
            <v>97</v>
          </cell>
          <cell r="BF70">
            <v>246</v>
          </cell>
          <cell r="BG70">
            <v>174</v>
          </cell>
          <cell r="BH70">
            <v>124</v>
          </cell>
          <cell r="BI70">
            <v>300</v>
          </cell>
          <cell r="BJ70">
            <v>261</v>
          </cell>
          <cell r="BK70">
            <v>504</v>
          </cell>
          <cell r="BL70">
            <v>504</v>
          </cell>
          <cell r="BM70">
            <v>495</v>
          </cell>
          <cell r="BN70">
            <v>324</v>
          </cell>
          <cell r="BO70">
            <v>468</v>
          </cell>
          <cell r="BP70">
            <v>565</v>
          </cell>
          <cell r="BQ70">
            <v>674</v>
          </cell>
        </row>
        <row r="115">
          <cell r="AZ115">
            <v>1.4515077424612877</v>
          </cell>
          <cell r="BA115">
            <v>1.3834364868847628</v>
          </cell>
          <cell r="BB115">
            <v>1.3083722072182666</v>
          </cell>
          <cell r="BC115">
            <v>1.1499254102436598</v>
          </cell>
          <cell r="BD115">
            <v>1.1015679850222326</v>
          </cell>
          <cell r="BE115">
            <v>0.77889564810481982</v>
          </cell>
          <cell r="BF115">
            <v>0.85784187483904195</v>
          </cell>
          <cell r="BG115">
            <v>0.94561848408002258</v>
          </cell>
          <cell r="BH115">
            <v>1.0236655272153563</v>
          </cell>
          <cell r="BI115">
            <v>0.89468528043105555</v>
          </cell>
          <cell r="BJ115">
            <v>0.79701885138097328</v>
          </cell>
          <cell r="BK115">
            <v>0.89561039528281283</v>
          </cell>
          <cell r="BL115">
            <v>0.8169841913254966</v>
          </cell>
          <cell r="BM115">
            <v>1.1438161106590725</v>
          </cell>
          <cell r="BN115">
            <v>1.144906743185079</v>
          </cell>
          <cell r="BO115">
            <v>1.016579259008628</v>
          </cell>
          <cell r="BP115">
            <v>0.64223194748358858</v>
          </cell>
          <cell r="BQ115">
            <v>0.88335310399367339</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www.coopercos.com/" TargetMode="External"/><Relationship Id="rId2" Type="http://schemas.openxmlformats.org/officeDocument/2006/relationships/hyperlink" Target="000%20Med-Devices%20Master%20List%20000.xlsx" TargetMode="External"/><Relationship Id="rId1" Type="http://schemas.openxmlformats.org/officeDocument/2006/relationships/hyperlink" Target="https://app.godelterminal.com/" TargetMode="External"/><Relationship Id="rId5" Type="http://schemas.openxmlformats.org/officeDocument/2006/relationships/drawing" Target="../drawings/drawing1.xml"/><Relationship Id="rId4" Type="http://schemas.openxmlformats.org/officeDocument/2006/relationships/hyperlink" Target="mailto:ir@cooperco.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3"/>
  <sheetViews>
    <sheetView tabSelected="1" zoomScale="85" zoomScaleNormal="85" workbookViewId="0">
      <selection activeCell="D4" sqref="D4"/>
    </sheetView>
  </sheetViews>
  <sheetFormatPr defaultColWidth="9.140625" defaultRowHeight="14.25"/>
  <cols>
    <col min="1" max="1" width="3.42578125" style="1" customWidth="1"/>
    <col min="2" max="4" width="11.5703125" style="1" customWidth="1"/>
    <col min="5" max="16384" width="9.140625" style="1"/>
  </cols>
  <sheetData>
    <row r="1" spans="1:18" ht="15">
      <c r="A1" s="68" t="s">
        <v>0</v>
      </c>
    </row>
    <row r="2" spans="1:18" ht="15">
      <c r="B2" s="2" t="s">
        <v>1499</v>
      </c>
    </row>
    <row r="3" spans="1:18">
      <c r="B3" s="1" t="s">
        <v>1</v>
      </c>
      <c r="C3" s="45">
        <v>83.6</v>
      </c>
      <c r="D3" s="44" t="s">
        <v>1529</v>
      </c>
    </row>
    <row r="4" spans="1:18">
      <c r="B4" s="1" t="s">
        <v>2</v>
      </c>
      <c r="C4" s="46">
        <v>195.97</v>
      </c>
      <c r="D4" s="1" t="s">
        <v>1528</v>
      </c>
    </row>
    <row r="5" spans="1:18">
      <c r="B5" s="1" t="s">
        <v>3</v>
      </c>
      <c r="C5" s="47">
        <f>C3*C4</f>
        <v>16383.091999999999</v>
      </c>
    </row>
    <row r="6" spans="1:18">
      <c r="B6" s="1" t="s">
        <v>4</v>
      </c>
      <c r="C6" s="48">
        <v>110.6</v>
      </c>
      <c r="D6" s="1" t="s">
        <v>1528</v>
      </c>
    </row>
    <row r="7" spans="1:18">
      <c r="B7" s="1" t="s">
        <v>5</v>
      </c>
      <c r="C7" s="48">
        <f>47.8+2457.5</f>
        <v>2505.3000000000002</v>
      </c>
      <c r="D7" s="1" t="s">
        <v>1528</v>
      </c>
    </row>
    <row r="8" spans="1:18">
      <c r="B8" s="1" t="s">
        <v>6</v>
      </c>
      <c r="C8" s="48">
        <f>C5-C6+C7</f>
        <v>18777.791999999998</v>
      </c>
    </row>
    <row r="10" spans="1:18" ht="15">
      <c r="B10" s="2" t="s">
        <v>1501</v>
      </c>
    </row>
    <row r="12" spans="1:18" ht="15">
      <c r="B12" s="1" t="s">
        <v>213</v>
      </c>
      <c r="F12" s="1" t="s">
        <v>1502</v>
      </c>
      <c r="N12" s="1" t="s">
        <v>218</v>
      </c>
      <c r="Q12" s="2"/>
    </row>
    <row r="13" spans="1:18">
      <c r="B13" s="1" t="s">
        <v>1504</v>
      </c>
      <c r="F13" s="1" t="s">
        <v>1513</v>
      </c>
      <c r="N13" s="1" t="s">
        <v>8</v>
      </c>
      <c r="Q13" s="49" t="s">
        <v>1508</v>
      </c>
    </row>
    <row r="14" spans="1:18" ht="15">
      <c r="B14" s="1" t="s">
        <v>1505</v>
      </c>
      <c r="F14" s="1" t="s">
        <v>7</v>
      </c>
      <c r="N14" s="1" t="s">
        <v>223</v>
      </c>
      <c r="Q14" s="68" t="s">
        <v>1506</v>
      </c>
    </row>
    <row r="15" spans="1:18">
      <c r="B15" s="1" t="s">
        <v>1503</v>
      </c>
      <c r="F15" s="1" t="s">
        <v>214</v>
      </c>
      <c r="O15" s="1" t="s">
        <v>222</v>
      </c>
      <c r="R15" s="49" t="s">
        <v>1507</v>
      </c>
    </row>
    <row r="16" spans="1:18" ht="15">
      <c r="B16" s="1" t="s">
        <v>1515</v>
      </c>
      <c r="F16" s="1" t="s">
        <v>206</v>
      </c>
      <c r="G16" s="1" t="s">
        <v>1514</v>
      </c>
      <c r="I16" s="1" t="s">
        <v>207</v>
      </c>
      <c r="J16" s="68" t="s">
        <v>1519</v>
      </c>
      <c r="N16" s="1" t="s">
        <v>210</v>
      </c>
      <c r="Q16" s="49" t="s">
        <v>1509</v>
      </c>
    </row>
    <row r="17" spans="1:17">
      <c r="B17" s="1" t="s">
        <v>1517</v>
      </c>
      <c r="N17" s="1" t="s">
        <v>211</v>
      </c>
      <c r="Q17" s="49" t="s">
        <v>1510</v>
      </c>
    </row>
    <row r="18" spans="1:17">
      <c r="B18" s="1" t="s">
        <v>1516</v>
      </c>
      <c r="N18" s="1" t="s">
        <v>224</v>
      </c>
      <c r="Q18" s="49" t="s">
        <v>1511</v>
      </c>
    </row>
    <row r="19" spans="1:17">
      <c r="B19" s="1" t="s">
        <v>1518</v>
      </c>
      <c r="N19" s="1" t="s">
        <v>225</v>
      </c>
      <c r="Q19" s="49" t="s">
        <v>1512</v>
      </c>
    </row>
    <row r="20" spans="1:17">
      <c r="B20" s="1" t="s">
        <v>1500</v>
      </c>
      <c r="N20" s="1" t="s">
        <v>9</v>
      </c>
      <c r="Q20" s="49" t="s">
        <v>212</v>
      </c>
    </row>
    <row r="21" spans="1:17">
      <c r="Q21" s="49"/>
    </row>
    <row r="22" spans="1:17" ht="15">
      <c r="A22" s="2" t="s">
        <v>10</v>
      </c>
    </row>
    <row r="23" spans="1:17">
      <c r="B23" s="1" t="s">
        <v>1520</v>
      </c>
    </row>
    <row r="24" spans="1:17">
      <c r="C24" s="1" t="s">
        <v>1523</v>
      </c>
    </row>
    <row r="25" spans="1:17">
      <c r="B25" s="1" t="s">
        <v>1521</v>
      </c>
    </row>
    <row r="26" spans="1:17">
      <c r="C26" s="1" t="s">
        <v>1522</v>
      </c>
    </row>
    <row r="27" spans="1:17">
      <c r="C27" s="1" t="s">
        <v>1524</v>
      </c>
    </row>
    <row r="28" spans="1:17">
      <c r="B28" s="1" t="s">
        <v>1525</v>
      </c>
    </row>
    <row r="29" spans="1:17">
      <c r="B29" s="1" t="s">
        <v>1526</v>
      </c>
    </row>
    <row r="30" spans="1:17">
      <c r="B30" s="1" t="s">
        <v>1527</v>
      </c>
    </row>
    <row r="32" spans="1:17" ht="15">
      <c r="A32" s="2" t="s">
        <v>215</v>
      </c>
    </row>
    <row r="33" spans="2:2">
      <c r="B33" s="1" t="s">
        <v>216</v>
      </c>
    </row>
  </sheetData>
  <hyperlinks>
    <hyperlink ref="Q20" r:id="rId1" xr:uid="{14375537-5C3D-4253-9650-337AB6789785}"/>
    <hyperlink ref="A1" r:id="rId2" xr:uid="{73498E7E-F6AD-43B6-ADC3-A10428E5B145}"/>
    <hyperlink ref="Q14" r:id="rId3" xr:uid="{B8D17093-A0B4-4BD1-94B4-64049185B406}"/>
    <hyperlink ref="J16" r:id="rId4" xr:uid="{53510D5F-5DA5-4060-8F99-48044724EFFC}"/>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FJ122"/>
  <sheetViews>
    <sheetView zoomScale="85" zoomScaleNormal="85" workbookViewId="0">
      <pane xSplit="2" ySplit="3" topLeftCell="BZ4" activePane="bottomRight" state="frozen"/>
      <selection pane="topRight" activeCell="C1" sqref="C1"/>
      <selection pane="bottomLeft" activeCell="A4" sqref="A4"/>
      <selection pane="bottomRight" activeCell="DI80" sqref="DI80"/>
    </sheetView>
  </sheetViews>
  <sheetFormatPr defaultColWidth="9.140625" defaultRowHeight="14.25"/>
  <cols>
    <col min="1" max="1" width="3.140625" style="1" customWidth="1"/>
    <col min="2" max="2" width="36.42578125" style="1" customWidth="1"/>
    <col min="3" max="4" width="9.140625" style="1" customWidth="1"/>
    <col min="5" max="71" width="9.140625" style="1"/>
    <col min="72" max="78" width="9.140625" style="36"/>
    <col min="79" max="103" width="9.140625" style="1"/>
    <col min="104" max="165" width="9.140625" style="36"/>
    <col min="166" max="16384" width="9.140625" style="1"/>
  </cols>
  <sheetData>
    <row r="1" spans="2:166" ht="15">
      <c r="B1" s="1" t="s">
        <v>125</v>
      </c>
      <c r="AY1" s="34" t="s">
        <v>97</v>
      </c>
      <c r="BC1" s="34" t="s">
        <v>101</v>
      </c>
      <c r="BG1" s="34" t="s">
        <v>105</v>
      </c>
      <c r="BK1" s="34" t="s">
        <v>109</v>
      </c>
      <c r="BO1" s="34" t="s">
        <v>113</v>
      </c>
      <c r="BS1" s="34" t="s">
        <v>117</v>
      </c>
    </row>
    <row r="2" spans="2:166">
      <c r="B2" s="1" t="s">
        <v>126</v>
      </c>
    </row>
    <row r="3" spans="2:166" ht="15">
      <c r="B3" s="2" t="s">
        <v>127</v>
      </c>
      <c r="C3" s="2" t="s">
        <v>129</v>
      </c>
      <c r="D3" s="34" t="s">
        <v>51</v>
      </c>
      <c r="E3" s="34" t="s">
        <v>52</v>
      </c>
      <c r="F3" s="34" t="s">
        <v>130</v>
      </c>
      <c r="G3" s="34" t="s">
        <v>53</v>
      </c>
      <c r="H3" s="34" t="s">
        <v>54</v>
      </c>
      <c r="I3" s="34" t="s">
        <v>55</v>
      </c>
      <c r="J3" s="34" t="s">
        <v>56</v>
      </c>
      <c r="K3" s="34" t="s">
        <v>57</v>
      </c>
      <c r="L3" s="34" t="s">
        <v>58</v>
      </c>
      <c r="M3" s="34" t="s">
        <v>59</v>
      </c>
      <c r="N3" s="34" t="s">
        <v>60</v>
      </c>
      <c r="O3" s="34" t="s">
        <v>61</v>
      </c>
      <c r="P3" s="34" t="s">
        <v>62</v>
      </c>
      <c r="Q3" s="34" t="s">
        <v>63</v>
      </c>
      <c r="R3" s="34" t="s">
        <v>64</v>
      </c>
      <c r="S3" s="34" t="s">
        <v>65</v>
      </c>
      <c r="T3" s="34" t="s">
        <v>66</v>
      </c>
      <c r="U3" s="34" t="s">
        <v>67</v>
      </c>
      <c r="V3" s="34" t="s">
        <v>68</v>
      </c>
      <c r="W3" s="34" t="s">
        <v>69</v>
      </c>
      <c r="X3" s="34" t="s">
        <v>70</v>
      </c>
      <c r="Y3" s="34" t="s">
        <v>71</v>
      </c>
      <c r="Z3" s="34" t="s">
        <v>72</v>
      </c>
      <c r="AA3" s="34" t="s">
        <v>73</v>
      </c>
      <c r="AB3" s="34" t="s">
        <v>74</v>
      </c>
      <c r="AC3" s="34" t="s">
        <v>75</v>
      </c>
      <c r="AD3" s="34" t="s">
        <v>76</v>
      </c>
      <c r="AE3" s="34" t="s">
        <v>77</v>
      </c>
      <c r="AF3" s="34" t="s">
        <v>78</v>
      </c>
      <c r="AG3" s="34" t="s">
        <v>79</v>
      </c>
      <c r="AH3" s="34" t="s">
        <v>80</v>
      </c>
      <c r="AI3" s="34" t="s">
        <v>81</v>
      </c>
      <c r="AJ3" s="34" t="s">
        <v>82</v>
      </c>
      <c r="AK3" s="34" t="s">
        <v>83</v>
      </c>
      <c r="AL3" s="34" t="s">
        <v>84</v>
      </c>
      <c r="AM3" s="34" t="s">
        <v>85</v>
      </c>
      <c r="AN3" s="34" t="s">
        <v>86</v>
      </c>
      <c r="AO3" s="34" t="s">
        <v>87</v>
      </c>
      <c r="AP3" s="34" t="s">
        <v>88</v>
      </c>
      <c r="AQ3" s="34" t="s">
        <v>89</v>
      </c>
      <c r="AR3" s="34" t="s">
        <v>90</v>
      </c>
      <c r="AS3" s="34" t="s">
        <v>91</v>
      </c>
      <c r="AT3" s="34" t="s">
        <v>92</v>
      </c>
      <c r="AU3" s="34" t="s">
        <v>93</v>
      </c>
      <c r="AV3" s="34" t="s">
        <v>94</v>
      </c>
      <c r="AW3" s="34" t="s">
        <v>95</v>
      </c>
      <c r="AX3" s="34" t="s">
        <v>96</v>
      </c>
      <c r="AY3" s="34" t="s">
        <v>97</v>
      </c>
      <c r="AZ3" s="34" t="s">
        <v>98</v>
      </c>
      <c r="BA3" s="34" t="s">
        <v>99</v>
      </c>
      <c r="BB3" s="34" t="s">
        <v>100</v>
      </c>
      <c r="BC3" s="34" t="s">
        <v>101</v>
      </c>
      <c r="BD3" s="34" t="s">
        <v>102</v>
      </c>
      <c r="BE3" s="34" t="s">
        <v>103</v>
      </c>
      <c r="BF3" s="34" t="s">
        <v>104</v>
      </c>
      <c r="BG3" s="34" t="s">
        <v>105</v>
      </c>
      <c r="BH3" s="34" t="s">
        <v>106</v>
      </c>
      <c r="BI3" s="34" t="s">
        <v>107</v>
      </c>
      <c r="BJ3" s="34" t="s">
        <v>108</v>
      </c>
      <c r="BK3" s="34" t="s">
        <v>109</v>
      </c>
      <c r="BL3" s="34" t="s">
        <v>110</v>
      </c>
      <c r="BM3" s="34" t="s">
        <v>111</v>
      </c>
      <c r="BN3" s="34" t="s">
        <v>112</v>
      </c>
      <c r="BO3" s="34" t="s">
        <v>113</v>
      </c>
      <c r="BP3" s="34" t="s">
        <v>114</v>
      </c>
      <c r="BQ3" s="34" t="s">
        <v>115</v>
      </c>
      <c r="BR3" s="34" t="s">
        <v>116</v>
      </c>
      <c r="BS3" s="34" t="s">
        <v>117</v>
      </c>
      <c r="BT3" s="35" t="s">
        <v>118</v>
      </c>
      <c r="BU3" s="35" t="s">
        <v>119</v>
      </c>
      <c r="BV3" s="35" t="s">
        <v>120</v>
      </c>
      <c r="BW3" s="35" t="s">
        <v>121</v>
      </c>
      <c r="BX3" s="35" t="s">
        <v>122</v>
      </c>
      <c r="BY3" s="35" t="s">
        <v>123</v>
      </c>
      <c r="BZ3" s="35" t="s">
        <v>124</v>
      </c>
      <c r="CI3" s="2">
        <v>2008</v>
      </c>
      <c r="CJ3" s="2">
        <f>CI3+1</f>
        <v>2009</v>
      </c>
      <c r="CK3" s="2">
        <f t="shared" ref="CK3:EV3" si="0">CJ3+1</f>
        <v>2010</v>
      </c>
      <c r="CL3" s="2">
        <f t="shared" si="0"/>
        <v>2011</v>
      </c>
      <c r="CM3" s="2">
        <f t="shared" si="0"/>
        <v>2012</v>
      </c>
      <c r="CN3" s="2">
        <f t="shared" si="0"/>
        <v>2013</v>
      </c>
      <c r="CO3" s="2">
        <f t="shared" si="0"/>
        <v>2014</v>
      </c>
      <c r="CP3" s="2">
        <f t="shared" si="0"/>
        <v>2015</v>
      </c>
      <c r="CQ3" s="2">
        <f t="shared" si="0"/>
        <v>2016</v>
      </c>
      <c r="CR3" s="2">
        <f t="shared" si="0"/>
        <v>2017</v>
      </c>
      <c r="CS3" s="2">
        <f t="shared" si="0"/>
        <v>2018</v>
      </c>
      <c r="CT3" s="2">
        <f t="shared" si="0"/>
        <v>2019</v>
      </c>
      <c r="CU3" s="2">
        <f t="shared" si="0"/>
        <v>2020</v>
      </c>
      <c r="CV3" s="2">
        <f t="shared" si="0"/>
        <v>2021</v>
      </c>
      <c r="CW3" s="2">
        <f t="shared" si="0"/>
        <v>2022</v>
      </c>
      <c r="CX3" s="2">
        <f t="shared" si="0"/>
        <v>2023</v>
      </c>
      <c r="CY3" s="2">
        <f t="shared" si="0"/>
        <v>2024</v>
      </c>
      <c r="CZ3" s="35">
        <f t="shared" si="0"/>
        <v>2025</v>
      </c>
      <c r="DA3" s="35">
        <f t="shared" si="0"/>
        <v>2026</v>
      </c>
      <c r="DB3" s="35">
        <f t="shared" si="0"/>
        <v>2027</v>
      </c>
      <c r="DC3" s="35">
        <f t="shared" si="0"/>
        <v>2028</v>
      </c>
      <c r="DD3" s="35">
        <f t="shared" si="0"/>
        <v>2029</v>
      </c>
      <c r="DE3" s="35">
        <f t="shared" si="0"/>
        <v>2030</v>
      </c>
      <c r="DF3" s="35">
        <f t="shared" si="0"/>
        <v>2031</v>
      </c>
      <c r="DG3" s="35">
        <f t="shared" si="0"/>
        <v>2032</v>
      </c>
      <c r="DH3" s="35">
        <f t="shared" si="0"/>
        <v>2033</v>
      </c>
      <c r="DI3" s="35">
        <f t="shared" si="0"/>
        <v>2034</v>
      </c>
      <c r="DJ3" s="35">
        <f t="shared" si="0"/>
        <v>2035</v>
      </c>
      <c r="DK3" s="35">
        <f t="shared" si="0"/>
        <v>2036</v>
      </c>
      <c r="DL3" s="35">
        <f t="shared" si="0"/>
        <v>2037</v>
      </c>
      <c r="DM3" s="35">
        <f t="shared" si="0"/>
        <v>2038</v>
      </c>
      <c r="DN3" s="35">
        <f t="shared" si="0"/>
        <v>2039</v>
      </c>
      <c r="DO3" s="35">
        <f t="shared" si="0"/>
        <v>2040</v>
      </c>
      <c r="DP3" s="35">
        <f t="shared" si="0"/>
        <v>2041</v>
      </c>
      <c r="DQ3" s="35">
        <f t="shared" si="0"/>
        <v>2042</v>
      </c>
      <c r="DR3" s="35">
        <f t="shared" si="0"/>
        <v>2043</v>
      </c>
      <c r="DS3" s="35">
        <f t="shared" si="0"/>
        <v>2044</v>
      </c>
      <c r="DT3" s="35">
        <f t="shared" si="0"/>
        <v>2045</v>
      </c>
      <c r="DU3" s="35">
        <f t="shared" si="0"/>
        <v>2046</v>
      </c>
      <c r="DV3" s="35">
        <f t="shared" si="0"/>
        <v>2047</v>
      </c>
      <c r="DW3" s="35">
        <f t="shared" si="0"/>
        <v>2048</v>
      </c>
      <c r="DX3" s="35">
        <f t="shared" si="0"/>
        <v>2049</v>
      </c>
      <c r="DY3" s="35">
        <f t="shared" si="0"/>
        <v>2050</v>
      </c>
      <c r="DZ3" s="35">
        <f t="shared" si="0"/>
        <v>2051</v>
      </c>
      <c r="EA3" s="35">
        <f t="shared" si="0"/>
        <v>2052</v>
      </c>
      <c r="EB3" s="35">
        <f t="shared" si="0"/>
        <v>2053</v>
      </c>
      <c r="EC3" s="35">
        <f t="shared" si="0"/>
        <v>2054</v>
      </c>
      <c r="ED3" s="35">
        <f t="shared" si="0"/>
        <v>2055</v>
      </c>
      <c r="EE3" s="35">
        <f t="shared" si="0"/>
        <v>2056</v>
      </c>
      <c r="EF3" s="35">
        <f t="shared" si="0"/>
        <v>2057</v>
      </c>
      <c r="EG3" s="35">
        <f t="shared" si="0"/>
        <v>2058</v>
      </c>
      <c r="EH3" s="35">
        <f t="shared" si="0"/>
        <v>2059</v>
      </c>
      <c r="EI3" s="35">
        <f t="shared" si="0"/>
        <v>2060</v>
      </c>
      <c r="EJ3" s="35">
        <f t="shared" si="0"/>
        <v>2061</v>
      </c>
      <c r="EK3" s="35">
        <f t="shared" si="0"/>
        <v>2062</v>
      </c>
      <c r="EL3" s="35">
        <f t="shared" si="0"/>
        <v>2063</v>
      </c>
      <c r="EM3" s="35">
        <f t="shared" si="0"/>
        <v>2064</v>
      </c>
      <c r="EN3" s="35">
        <f t="shared" si="0"/>
        <v>2065</v>
      </c>
      <c r="EO3" s="35">
        <f t="shared" si="0"/>
        <v>2066</v>
      </c>
      <c r="EP3" s="35">
        <f t="shared" si="0"/>
        <v>2067</v>
      </c>
      <c r="EQ3" s="35">
        <f t="shared" si="0"/>
        <v>2068</v>
      </c>
      <c r="ER3" s="35">
        <f t="shared" si="0"/>
        <v>2069</v>
      </c>
      <c r="ES3" s="35">
        <f t="shared" si="0"/>
        <v>2070</v>
      </c>
      <c r="ET3" s="35">
        <f t="shared" si="0"/>
        <v>2071</v>
      </c>
      <c r="EU3" s="35">
        <f t="shared" si="0"/>
        <v>2072</v>
      </c>
      <c r="EV3" s="35">
        <f t="shared" si="0"/>
        <v>2073</v>
      </c>
      <c r="EW3" s="35">
        <f t="shared" ref="EW3:FG3" si="1">EV3+1</f>
        <v>2074</v>
      </c>
      <c r="EX3" s="35">
        <f t="shared" si="1"/>
        <v>2075</v>
      </c>
      <c r="EY3" s="35">
        <f t="shared" si="1"/>
        <v>2076</v>
      </c>
      <c r="EZ3" s="35">
        <f t="shared" si="1"/>
        <v>2077</v>
      </c>
      <c r="FA3" s="35">
        <f t="shared" si="1"/>
        <v>2078</v>
      </c>
      <c r="FB3" s="35">
        <f t="shared" si="1"/>
        <v>2079</v>
      </c>
      <c r="FC3" s="35">
        <f t="shared" si="1"/>
        <v>2080</v>
      </c>
      <c r="FD3" s="35">
        <f t="shared" si="1"/>
        <v>2081</v>
      </c>
      <c r="FE3" s="35">
        <f t="shared" si="1"/>
        <v>2082</v>
      </c>
      <c r="FF3" s="35">
        <f t="shared" si="1"/>
        <v>2083</v>
      </c>
      <c r="FG3" s="35">
        <f t="shared" si="1"/>
        <v>2084</v>
      </c>
      <c r="FH3" s="35"/>
      <c r="FI3" s="35"/>
      <c r="FJ3" s="2"/>
    </row>
    <row r="4" spans="2:166">
      <c r="B4" s="37" t="s">
        <v>132</v>
      </c>
      <c r="CI4" s="1">
        <f>SUM(C4:F4)</f>
        <v>0</v>
      </c>
      <c r="CJ4" s="1">
        <f>SUM(G4:J4)</f>
        <v>0</v>
      </c>
      <c r="CK4" s="1">
        <f>SUM(K4:N4)</f>
        <v>0</v>
      </c>
      <c r="CL4" s="1">
        <f>SUM(O4:R4)</f>
        <v>0</v>
      </c>
      <c r="CM4" s="1">
        <f>SUM(S4:V4)</f>
        <v>0</v>
      </c>
      <c r="CN4" s="1">
        <f>SUM(W4:Z4)</f>
        <v>0</v>
      </c>
      <c r="CO4" s="1">
        <f>SUM(AA4:AD4)</f>
        <v>0</v>
      </c>
      <c r="CP4" s="1">
        <f>SUM(AE4:AH4)</f>
        <v>0</v>
      </c>
      <c r="CQ4" s="1">
        <f>SUM(AI4:AL4)</f>
        <v>0</v>
      </c>
      <c r="CR4" s="1">
        <f>SUM(AM4:AP4)</f>
        <v>0</v>
      </c>
      <c r="CS4" s="1">
        <f>SUM(AQ4:AT4)</f>
        <v>0</v>
      </c>
      <c r="CT4" s="1">
        <f>SUM(AU4:AX4)</f>
        <v>0</v>
      </c>
      <c r="CU4" s="1">
        <f>SUM(AY4:BB4)</f>
        <v>0</v>
      </c>
      <c r="CV4" s="1">
        <f>SUM(BC4:BF4)</f>
        <v>0</v>
      </c>
      <c r="CW4" s="1">
        <f>SUM(BG4:BJ4)</f>
        <v>0</v>
      </c>
      <c r="CX4" s="1">
        <f>SUM(BK4:BN4)</f>
        <v>0</v>
      </c>
      <c r="CY4" s="1">
        <f>SUM(BO4:BR4)</f>
        <v>0</v>
      </c>
      <c r="CZ4" s="36">
        <f t="shared" ref="CZ4:DI4" si="2">CY4*(1+CZ16)</f>
        <v>0</v>
      </c>
      <c r="DA4" s="36">
        <f t="shared" si="2"/>
        <v>0</v>
      </c>
      <c r="DB4" s="36">
        <f t="shared" si="2"/>
        <v>0</v>
      </c>
      <c r="DC4" s="36">
        <f t="shared" si="2"/>
        <v>0</v>
      </c>
      <c r="DD4" s="36">
        <f t="shared" si="2"/>
        <v>0</v>
      </c>
      <c r="DE4" s="36">
        <f t="shared" si="2"/>
        <v>0</v>
      </c>
      <c r="DF4" s="36">
        <f t="shared" si="2"/>
        <v>0</v>
      </c>
      <c r="DG4" s="36">
        <f t="shared" si="2"/>
        <v>0</v>
      </c>
      <c r="DH4" s="36">
        <f t="shared" si="2"/>
        <v>0</v>
      </c>
      <c r="DI4" s="36">
        <f t="shared" si="2"/>
        <v>0</v>
      </c>
    </row>
    <row r="5" spans="2:166">
      <c r="B5" s="37" t="s">
        <v>133</v>
      </c>
      <c r="CI5" s="1">
        <f t="shared" ref="CI5:CI14" si="3">SUM(C5:F5)</f>
        <v>0</v>
      </c>
      <c r="CJ5" s="1">
        <f t="shared" ref="CJ5:CJ14" si="4">SUM(G5:J5)</f>
        <v>0</v>
      </c>
      <c r="CK5" s="1">
        <f t="shared" ref="CK5:CK14" si="5">SUM(K5:N5)</f>
        <v>0</v>
      </c>
      <c r="CL5" s="1">
        <f t="shared" ref="CL5:CL14" si="6">SUM(O5:R5)</f>
        <v>0</v>
      </c>
      <c r="CM5" s="1">
        <f t="shared" ref="CM5:CM14" si="7">SUM(S5:V5)</f>
        <v>0</v>
      </c>
      <c r="CN5" s="1">
        <f t="shared" ref="CN5:CN14" si="8">SUM(W5:Z5)</f>
        <v>0</v>
      </c>
      <c r="CO5" s="1">
        <f t="shared" ref="CO5:CO14" si="9">SUM(AA5:AD5)</f>
        <v>0</v>
      </c>
      <c r="CP5" s="1">
        <f t="shared" ref="CP5:CP14" si="10">SUM(AE5:AH5)</f>
        <v>0</v>
      </c>
      <c r="CQ5" s="1">
        <f t="shared" ref="CQ5:CQ14" si="11">SUM(AI5:AL5)</f>
        <v>0</v>
      </c>
      <c r="CR5" s="1">
        <f t="shared" ref="CR5:CR14" si="12">SUM(AM5:AP5)</f>
        <v>0</v>
      </c>
      <c r="CS5" s="1">
        <f t="shared" ref="CS5:CS14" si="13">SUM(AQ5:AT5)</f>
        <v>0</v>
      </c>
      <c r="CT5" s="1">
        <f t="shared" ref="CT5:CT14" si="14">SUM(AU5:AX5)</f>
        <v>0</v>
      </c>
      <c r="CU5" s="1">
        <f t="shared" ref="CU5:CU14" si="15">SUM(AY5:BB5)</f>
        <v>0</v>
      </c>
      <c r="CV5" s="1">
        <f t="shared" ref="CV5:CV14" si="16">SUM(BC5:BF5)</f>
        <v>0</v>
      </c>
      <c r="CW5" s="1">
        <f t="shared" ref="CW5:CW14" si="17">SUM(BG5:BJ5)</f>
        <v>0</v>
      </c>
      <c r="CX5" s="1">
        <f t="shared" ref="CX5:CX14" si="18">SUM(BK5:BN5)</f>
        <v>0</v>
      </c>
      <c r="CY5" s="1">
        <f t="shared" ref="CY5:CY14" si="19">SUM(BO5:BR5)</f>
        <v>0</v>
      </c>
      <c r="CZ5" s="36">
        <f t="shared" ref="CZ5:DI5" si="20">CY5*(1+CZ17)</f>
        <v>0</v>
      </c>
      <c r="DA5" s="36">
        <f t="shared" si="20"/>
        <v>0</v>
      </c>
      <c r="DB5" s="36">
        <f t="shared" si="20"/>
        <v>0</v>
      </c>
      <c r="DC5" s="36">
        <f t="shared" si="20"/>
        <v>0</v>
      </c>
      <c r="DD5" s="36">
        <f t="shared" si="20"/>
        <v>0</v>
      </c>
      <c r="DE5" s="36">
        <f t="shared" si="20"/>
        <v>0</v>
      </c>
      <c r="DF5" s="36">
        <f t="shared" si="20"/>
        <v>0</v>
      </c>
      <c r="DG5" s="36">
        <f t="shared" si="20"/>
        <v>0</v>
      </c>
      <c r="DH5" s="36">
        <f t="shared" si="20"/>
        <v>0</v>
      </c>
      <c r="DI5" s="36">
        <f t="shared" si="20"/>
        <v>0</v>
      </c>
    </row>
    <row r="6" spans="2:166">
      <c r="B6" s="37" t="s">
        <v>134</v>
      </c>
      <c r="CI6" s="1">
        <f t="shared" si="3"/>
        <v>0</v>
      </c>
      <c r="CJ6" s="1">
        <f t="shared" si="4"/>
        <v>0</v>
      </c>
      <c r="CK6" s="1">
        <f t="shared" si="5"/>
        <v>0</v>
      </c>
      <c r="CL6" s="1">
        <f t="shared" si="6"/>
        <v>0</v>
      </c>
      <c r="CM6" s="1">
        <f t="shared" si="7"/>
        <v>0</v>
      </c>
      <c r="CN6" s="1">
        <f t="shared" si="8"/>
        <v>0</v>
      </c>
      <c r="CO6" s="1">
        <f t="shared" si="9"/>
        <v>0</v>
      </c>
      <c r="CP6" s="1">
        <f t="shared" si="10"/>
        <v>0</v>
      </c>
      <c r="CQ6" s="1">
        <f t="shared" si="11"/>
        <v>0</v>
      </c>
      <c r="CR6" s="1">
        <f t="shared" si="12"/>
        <v>0</v>
      </c>
      <c r="CS6" s="1">
        <f t="shared" si="13"/>
        <v>0</v>
      </c>
      <c r="CT6" s="1">
        <f t="shared" si="14"/>
        <v>0</v>
      </c>
      <c r="CU6" s="1">
        <f t="shared" si="15"/>
        <v>0</v>
      </c>
      <c r="CV6" s="1">
        <f t="shared" si="16"/>
        <v>0</v>
      </c>
      <c r="CW6" s="1">
        <f t="shared" si="17"/>
        <v>0</v>
      </c>
      <c r="CX6" s="1">
        <f t="shared" si="18"/>
        <v>0</v>
      </c>
      <c r="CY6" s="1">
        <f t="shared" si="19"/>
        <v>0</v>
      </c>
      <c r="CZ6" s="36">
        <f t="shared" ref="CZ6:DI6" si="21">CY6*(1+CZ18)</f>
        <v>0</v>
      </c>
      <c r="DA6" s="36">
        <f t="shared" si="21"/>
        <v>0</v>
      </c>
      <c r="DB6" s="36">
        <f t="shared" si="21"/>
        <v>0</v>
      </c>
      <c r="DC6" s="36">
        <f t="shared" si="21"/>
        <v>0</v>
      </c>
      <c r="DD6" s="36">
        <f t="shared" si="21"/>
        <v>0</v>
      </c>
      <c r="DE6" s="36">
        <f t="shared" si="21"/>
        <v>0</v>
      </c>
      <c r="DF6" s="36">
        <f t="shared" si="21"/>
        <v>0</v>
      </c>
      <c r="DG6" s="36">
        <f t="shared" si="21"/>
        <v>0</v>
      </c>
      <c r="DH6" s="36">
        <f t="shared" si="21"/>
        <v>0</v>
      </c>
      <c r="DI6" s="36">
        <f t="shared" si="21"/>
        <v>0</v>
      </c>
    </row>
    <row r="7" spans="2:166">
      <c r="B7" s="37" t="s">
        <v>131</v>
      </c>
      <c r="CI7" s="1">
        <f t="shared" si="3"/>
        <v>0</v>
      </c>
      <c r="CJ7" s="1">
        <f t="shared" si="4"/>
        <v>0</v>
      </c>
      <c r="CK7" s="1">
        <f t="shared" si="5"/>
        <v>0</v>
      </c>
      <c r="CL7" s="1">
        <f t="shared" si="6"/>
        <v>0</v>
      </c>
      <c r="CM7" s="1">
        <f t="shared" si="7"/>
        <v>0</v>
      </c>
      <c r="CN7" s="1">
        <f t="shared" si="8"/>
        <v>0</v>
      </c>
      <c r="CO7" s="1">
        <f t="shared" si="9"/>
        <v>0</v>
      </c>
      <c r="CP7" s="1">
        <f t="shared" si="10"/>
        <v>0</v>
      </c>
      <c r="CQ7" s="1">
        <f t="shared" si="11"/>
        <v>0</v>
      </c>
      <c r="CR7" s="1">
        <f t="shared" si="12"/>
        <v>0</v>
      </c>
      <c r="CS7" s="1">
        <f t="shared" si="13"/>
        <v>0</v>
      </c>
      <c r="CT7" s="1">
        <f t="shared" si="14"/>
        <v>0</v>
      </c>
      <c r="CU7" s="1">
        <f t="shared" si="15"/>
        <v>0</v>
      </c>
      <c r="CV7" s="1">
        <f t="shared" si="16"/>
        <v>0</v>
      </c>
      <c r="CW7" s="1">
        <f t="shared" si="17"/>
        <v>0</v>
      </c>
      <c r="CX7" s="1">
        <f t="shared" si="18"/>
        <v>0</v>
      </c>
      <c r="CY7" s="1">
        <f t="shared" si="19"/>
        <v>0</v>
      </c>
      <c r="CZ7" s="36">
        <f t="shared" ref="CZ7:DI7" si="22">CY7*(1+CZ19)</f>
        <v>0</v>
      </c>
      <c r="DA7" s="36">
        <f t="shared" si="22"/>
        <v>0</v>
      </c>
      <c r="DB7" s="36">
        <f t="shared" si="22"/>
        <v>0</v>
      </c>
      <c r="DC7" s="36">
        <f t="shared" si="22"/>
        <v>0</v>
      </c>
      <c r="DD7" s="36">
        <f t="shared" si="22"/>
        <v>0</v>
      </c>
      <c r="DE7" s="36">
        <f t="shared" si="22"/>
        <v>0</v>
      </c>
      <c r="DF7" s="36">
        <f t="shared" si="22"/>
        <v>0</v>
      </c>
      <c r="DG7" s="36">
        <f t="shared" si="22"/>
        <v>0</v>
      </c>
      <c r="DH7" s="36">
        <f t="shared" si="22"/>
        <v>0</v>
      </c>
      <c r="DI7" s="36">
        <f t="shared" si="22"/>
        <v>0</v>
      </c>
    </row>
    <row r="8" spans="2:166">
      <c r="B8" s="37" t="s">
        <v>135</v>
      </c>
      <c r="CI8" s="1">
        <f t="shared" si="3"/>
        <v>0</v>
      </c>
      <c r="CJ8" s="1">
        <f t="shared" si="4"/>
        <v>0</v>
      </c>
      <c r="CK8" s="1">
        <f t="shared" si="5"/>
        <v>0</v>
      </c>
      <c r="CL8" s="1">
        <f t="shared" si="6"/>
        <v>0</v>
      </c>
      <c r="CM8" s="1">
        <f t="shared" si="7"/>
        <v>0</v>
      </c>
      <c r="CN8" s="1">
        <f t="shared" si="8"/>
        <v>0</v>
      </c>
      <c r="CO8" s="1">
        <f t="shared" si="9"/>
        <v>0</v>
      </c>
      <c r="CP8" s="1">
        <f t="shared" si="10"/>
        <v>0</v>
      </c>
      <c r="CQ8" s="1">
        <f t="shared" si="11"/>
        <v>0</v>
      </c>
      <c r="CR8" s="1">
        <f t="shared" si="12"/>
        <v>0</v>
      </c>
      <c r="CS8" s="1">
        <f t="shared" si="13"/>
        <v>0</v>
      </c>
      <c r="CT8" s="1">
        <f t="shared" si="14"/>
        <v>0</v>
      </c>
      <c r="CU8" s="1">
        <f t="shared" si="15"/>
        <v>0</v>
      </c>
      <c r="CV8" s="1">
        <f t="shared" si="16"/>
        <v>0</v>
      </c>
      <c r="CW8" s="1">
        <f t="shared" si="17"/>
        <v>0</v>
      </c>
      <c r="CX8" s="1">
        <f t="shared" si="18"/>
        <v>0</v>
      </c>
      <c r="CY8" s="1">
        <f t="shared" si="19"/>
        <v>0</v>
      </c>
      <c r="CZ8" s="36">
        <f t="shared" ref="CZ8:DI8" si="23">CY8*(1+CZ20)</f>
        <v>0</v>
      </c>
      <c r="DA8" s="36">
        <f t="shared" si="23"/>
        <v>0</v>
      </c>
      <c r="DB8" s="36">
        <f t="shared" si="23"/>
        <v>0</v>
      </c>
      <c r="DC8" s="36">
        <f t="shared" si="23"/>
        <v>0</v>
      </c>
      <c r="DD8" s="36">
        <f t="shared" si="23"/>
        <v>0</v>
      </c>
      <c r="DE8" s="36">
        <f t="shared" si="23"/>
        <v>0</v>
      </c>
      <c r="DF8" s="36">
        <f t="shared" si="23"/>
        <v>0</v>
      </c>
      <c r="DG8" s="36">
        <f t="shared" si="23"/>
        <v>0</v>
      </c>
      <c r="DH8" s="36">
        <f t="shared" si="23"/>
        <v>0</v>
      </c>
      <c r="DI8" s="36">
        <f t="shared" si="23"/>
        <v>0</v>
      </c>
    </row>
    <row r="9" spans="2:166">
      <c r="B9" s="37" t="s">
        <v>136</v>
      </c>
      <c r="CI9" s="1">
        <f t="shared" si="3"/>
        <v>0</v>
      </c>
      <c r="CJ9" s="1">
        <f t="shared" si="4"/>
        <v>0</v>
      </c>
      <c r="CK9" s="1">
        <f t="shared" si="5"/>
        <v>0</v>
      </c>
      <c r="CL9" s="1">
        <f t="shared" si="6"/>
        <v>0</v>
      </c>
      <c r="CM9" s="1">
        <f t="shared" si="7"/>
        <v>0</v>
      </c>
      <c r="CN9" s="1">
        <f t="shared" si="8"/>
        <v>0</v>
      </c>
      <c r="CO9" s="1">
        <f t="shared" si="9"/>
        <v>0</v>
      </c>
      <c r="CP9" s="1">
        <f t="shared" si="10"/>
        <v>0</v>
      </c>
      <c r="CQ9" s="1">
        <f t="shared" si="11"/>
        <v>0</v>
      </c>
      <c r="CR9" s="1">
        <f t="shared" si="12"/>
        <v>0</v>
      </c>
      <c r="CS9" s="1">
        <f t="shared" si="13"/>
        <v>0</v>
      </c>
      <c r="CT9" s="1">
        <f t="shared" si="14"/>
        <v>0</v>
      </c>
      <c r="CU9" s="1">
        <f t="shared" si="15"/>
        <v>0</v>
      </c>
      <c r="CV9" s="1">
        <f t="shared" si="16"/>
        <v>0</v>
      </c>
      <c r="CW9" s="1">
        <f t="shared" si="17"/>
        <v>0</v>
      </c>
      <c r="CX9" s="1">
        <f t="shared" si="18"/>
        <v>0</v>
      </c>
      <c r="CY9" s="1">
        <f t="shared" si="19"/>
        <v>0</v>
      </c>
      <c r="CZ9" s="36">
        <f t="shared" ref="CZ9:DI9" si="24">CY9*(1+CZ21)</f>
        <v>0</v>
      </c>
      <c r="DA9" s="36">
        <f t="shared" si="24"/>
        <v>0</v>
      </c>
      <c r="DB9" s="36">
        <f t="shared" si="24"/>
        <v>0</v>
      </c>
      <c r="DC9" s="36">
        <f t="shared" si="24"/>
        <v>0</v>
      </c>
      <c r="DD9" s="36">
        <f t="shared" si="24"/>
        <v>0</v>
      </c>
      <c r="DE9" s="36">
        <f t="shared" si="24"/>
        <v>0</v>
      </c>
      <c r="DF9" s="36">
        <f t="shared" si="24"/>
        <v>0</v>
      </c>
      <c r="DG9" s="36">
        <f t="shared" si="24"/>
        <v>0</v>
      </c>
      <c r="DH9" s="36">
        <f t="shared" si="24"/>
        <v>0</v>
      </c>
      <c r="DI9" s="36">
        <f t="shared" si="24"/>
        <v>0</v>
      </c>
    </row>
    <row r="10" spans="2:166">
      <c r="B10" s="37" t="s">
        <v>137</v>
      </c>
      <c r="CI10" s="1">
        <f t="shared" si="3"/>
        <v>0</v>
      </c>
      <c r="CJ10" s="1">
        <f t="shared" si="4"/>
        <v>0</v>
      </c>
      <c r="CK10" s="1">
        <f t="shared" si="5"/>
        <v>0</v>
      </c>
      <c r="CL10" s="1">
        <f t="shared" si="6"/>
        <v>0</v>
      </c>
      <c r="CM10" s="1">
        <f t="shared" si="7"/>
        <v>0</v>
      </c>
      <c r="CN10" s="1">
        <f t="shared" si="8"/>
        <v>0</v>
      </c>
      <c r="CO10" s="1">
        <f t="shared" si="9"/>
        <v>0</v>
      </c>
      <c r="CP10" s="1">
        <f t="shared" si="10"/>
        <v>0</v>
      </c>
      <c r="CQ10" s="1">
        <f t="shared" si="11"/>
        <v>0</v>
      </c>
      <c r="CR10" s="1">
        <f t="shared" si="12"/>
        <v>0</v>
      </c>
      <c r="CS10" s="1">
        <f t="shared" si="13"/>
        <v>0</v>
      </c>
      <c r="CT10" s="1">
        <f t="shared" si="14"/>
        <v>0</v>
      </c>
      <c r="CU10" s="1">
        <f t="shared" si="15"/>
        <v>0</v>
      </c>
      <c r="CV10" s="1">
        <f t="shared" si="16"/>
        <v>0</v>
      </c>
      <c r="CW10" s="1">
        <f t="shared" si="17"/>
        <v>0</v>
      </c>
      <c r="CX10" s="1">
        <f t="shared" si="18"/>
        <v>0</v>
      </c>
      <c r="CY10" s="1">
        <f t="shared" si="19"/>
        <v>0</v>
      </c>
      <c r="CZ10" s="36">
        <f t="shared" ref="CZ10:DI10" si="25">CY10*(1+CZ22)</f>
        <v>0</v>
      </c>
      <c r="DA10" s="36">
        <f t="shared" si="25"/>
        <v>0</v>
      </c>
      <c r="DB10" s="36">
        <f t="shared" si="25"/>
        <v>0</v>
      </c>
      <c r="DC10" s="36">
        <f t="shared" si="25"/>
        <v>0</v>
      </c>
      <c r="DD10" s="36">
        <f t="shared" si="25"/>
        <v>0</v>
      </c>
      <c r="DE10" s="36">
        <f t="shared" si="25"/>
        <v>0</v>
      </c>
      <c r="DF10" s="36">
        <f t="shared" si="25"/>
        <v>0</v>
      </c>
      <c r="DG10" s="36">
        <f t="shared" si="25"/>
        <v>0</v>
      </c>
      <c r="DH10" s="36">
        <f t="shared" si="25"/>
        <v>0</v>
      </c>
      <c r="DI10" s="36">
        <f t="shared" si="25"/>
        <v>0</v>
      </c>
    </row>
    <row r="11" spans="2:166">
      <c r="B11" s="37" t="s">
        <v>138</v>
      </c>
      <c r="CI11" s="1">
        <f t="shared" si="3"/>
        <v>0</v>
      </c>
      <c r="CJ11" s="1">
        <f t="shared" si="4"/>
        <v>0</v>
      </c>
      <c r="CK11" s="1">
        <f t="shared" si="5"/>
        <v>0</v>
      </c>
      <c r="CL11" s="1">
        <f t="shared" si="6"/>
        <v>0</v>
      </c>
      <c r="CM11" s="1">
        <f t="shared" si="7"/>
        <v>0</v>
      </c>
      <c r="CN11" s="1">
        <f t="shared" si="8"/>
        <v>0</v>
      </c>
      <c r="CO11" s="1">
        <f t="shared" si="9"/>
        <v>0</v>
      </c>
      <c r="CP11" s="1">
        <f t="shared" si="10"/>
        <v>0</v>
      </c>
      <c r="CQ11" s="1">
        <f t="shared" si="11"/>
        <v>0</v>
      </c>
      <c r="CR11" s="1">
        <f t="shared" si="12"/>
        <v>0</v>
      </c>
      <c r="CS11" s="1">
        <f t="shared" si="13"/>
        <v>0</v>
      </c>
      <c r="CT11" s="1">
        <f t="shared" si="14"/>
        <v>0</v>
      </c>
      <c r="CU11" s="1">
        <f t="shared" si="15"/>
        <v>0</v>
      </c>
      <c r="CV11" s="1">
        <f t="shared" si="16"/>
        <v>0</v>
      </c>
      <c r="CW11" s="1">
        <f t="shared" si="17"/>
        <v>0</v>
      </c>
      <c r="CX11" s="1">
        <f t="shared" si="18"/>
        <v>0</v>
      </c>
      <c r="CY11" s="1">
        <f t="shared" si="19"/>
        <v>0</v>
      </c>
      <c r="CZ11" s="36">
        <f t="shared" ref="CZ11:DI11" si="26">CY11*(1+CZ23)</f>
        <v>0</v>
      </c>
      <c r="DA11" s="36">
        <f t="shared" si="26"/>
        <v>0</v>
      </c>
      <c r="DB11" s="36">
        <f t="shared" si="26"/>
        <v>0</v>
      </c>
      <c r="DC11" s="36">
        <f t="shared" si="26"/>
        <v>0</v>
      </c>
      <c r="DD11" s="36">
        <f t="shared" si="26"/>
        <v>0</v>
      </c>
      <c r="DE11" s="36">
        <f t="shared" si="26"/>
        <v>0</v>
      </c>
      <c r="DF11" s="36">
        <f t="shared" si="26"/>
        <v>0</v>
      </c>
      <c r="DG11" s="36">
        <f t="shared" si="26"/>
        <v>0</v>
      </c>
      <c r="DH11" s="36">
        <f t="shared" si="26"/>
        <v>0</v>
      </c>
      <c r="DI11" s="36">
        <f t="shared" si="26"/>
        <v>0</v>
      </c>
    </row>
    <row r="12" spans="2:166">
      <c r="B12" s="37" t="s">
        <v>139</v>
      </c>
      <c r="C12" s="37"/>
      <c r="CI12" s="1">
        <f t="shared" si="3"/>
        <v>0</v>
      </c>
      <c r="CJ12" s="1">
        <f t="shared" si="4"/>
        <v>0</v>
      </c>
      <c r="CK12" s="1">
        <f t="shared" si="5"/>
        <v>0</v>
      </c>
      <c r="CL12" s="1">
        <f t="shared" si="6"/>
        <v>0</v>
      </c>
      <c r="CM12" s="1">
        <f t="shared" si="7"/>
        <v>0</v>
      </c>
      <c r="CN12" s="1">
        <f t="shared" si="8"/>
        <v>0</v>
      </c>
      <c r="CO12" s="1">
        <f t="shared" si="9"/>
        <v>0</v>
      </c>
      <c r="CP12" s="1">
        <f t="shared" si="10"/>
        <v>0</v>
      </c>
      <c r="CQ12" s="1">
        <f t="shared" si="11"/>
        <v>0</v>
      </c>
      <c r="CR12" s="1">
        <f t="shared" si="12"/>
        <v>0</v>
      </c>
      <c r="CS12" s="1">
        <f t="shared" si="13"/>
        <v>0</v>
      </c>
      <c r="CT12" s="1">
        <f t="shared" si="14"/>
        <v>0</v>
      </c>
      <c r="CU12" s="1">
        <f t="shared" si="15"/>
        <v>0</v>
      </c>
      <c r="CV12" s="1">
        <f t="shared" si="16"/>
        <v>0</v>
      </c>
      <c r="CW12" s="1">
        <f t="shared" si="17"/>
        <v>0</v>
      </c>
      <c r="CX12" s="1">
        <f t="shared" si="18"/>
        <v>0</v>
      </c>
      <c r="CY12" s="1">
        <f t="shared" si="19"/>
        <v>0</v>
      </c>
      <c r="CZ12" s="36">
        <f t="shared" ref="CZ12:DI12" si="27">CY12*(1+CZ24)</f>
        <v>0</v>
      </c>
      <c r="DA12" s="36">
        <f t="shared" si="27"/>
        <v>0</v>
      </c>
      <c r="DB12" s="36">
        <f t="shared" si="27"/>
        <v>0</v>
      </c>
      <c r="DC12" s="36">
        <f t="shared" si="27"/>
        <v>0</v>
      </c>
      <c r="DD12" s="36">
        <f t="shared" si="27"/>
        <v>0</v>
      </c>
      <c r="DE12" s="36">
        <f t="shared" si="27"/>
        <v>0</v>
      </c>
      <c r="DF12" s="36">
        <f t="shared" si="27"/>
        <v>0</v>
      </c>
      <c r="DG12" s="36">
        <f t="shared" si="27"/>
        <v>0</v>
      </c>
      <c r="DH12" s="36">
        <f t="shared" si="27"/>
        <v>0</v>
      </c>
      <c r="DI12" s="36">
        <f t="shared" si="27"/>
        <v>0</v>
      </c>
    </row>
    <row r="13" spans="2:166">
      <c r="B13" s="37" t="s">
        <v>140</v>
      </c>
      <c r="C13" s="37"/>
      <c r="CI13" s="1">
        <f t="shared" si="3"/>
        <v>0</v>
      </c>
      <c r="CJ13" s="1">
        <f t="shared" si="4"/>
        <v>0</v>
      </c>
      <c r="CK13" s="1">
        <f t="shared" si="5"/>
        <v>0</v>
      </c>
      <c r="CL13" s="1">
        <f t="shared" si="6"/>
        <v>0</v>
      </c>
      <c r="CM13" s="1">
        <f t="shared" si="7"/>
        <v>0</v>
      </c>
      <c r="CN13" s="1">
        <f t="shared" si="8"/>
        <v>0</v>
      </c>
      <c r="CO13" s="1">
        <f t="shared" si="9"/>
        <v>0</v>
      </c>
      <c r="CP13" s="1">
        <f t="shared" si="10"/>
        <v>0</v>
      </c>
      <c r="CQ13" s="1">
        <f t="shared" si="11"/>
        <v>0</v>
      </c>
      <c r="CR13" s="1">
        <f t="shared" si="12"/>
        <v>0</v>
      </c>
      <c r="CS13" s="1">
        <f t="shared" si="13"/>
        <v>0</v>
      </c>
      <c r="CT13" s="1">
        <f t="shared" si="14"/>
        <v>0</v>
      </c>
      <c r="CU13" s="1">
        <f t="shared" si="15"/>
        <v>0</v>
      </c>
      <c r="CV13" s="1">
        <f t="shared" si="16"/>
        <v>0</v>
      </c>
      <c r="CW13" s="1">
        <f t="shared" si="17"/>
        <v>0</v>
      </c>
      <c r="CX13" s="1">
        <f t="shared" si="18"/>
        <v>0</v>
      </c>
      <c r="CY13" s="1">
        <f t="shared" si="19"/>
        <v>0</v>
      </c>
      <c r="CZ13" s="36">
        <f t="shared" ref="CZ13:DI13" si="28">CY13*(1+CZ25)</f>
        <v>0</v>
      </c>
      <c r="DA13" s="36">
        <f t="shared" si="28"/>
        <v>0</v>
      </c>
      <c r="DB13" s="36">
        <f t="shared" si="28"/>
        <v>0</v>
      </c>
      <c r="DC13" s="36">
        <f t="shared" si="28"/>
        <v>0</v>
      </c>
      <c r="DD13" s="36">
        <f t="shared" si="28"/>
        <v>0</v>
      </c>
      <c r="DE13" s="36">
        <f t="shared" si="28"/>
        <v>0</v>
      </c>
      <c r="DF13" s="36">
        <f t="shared" si="28"/>
        <v>0</v>
      </c>
      <c r="DG13" s="36">
        <f t="shared" si="28"/>
        <v>0</v>
      </c>
      <c r="DH13" s="36">
        <f t="shared" si="28"/>
        <v>0</v>
      </c>
      <c r="DI13" s="36">
        <f t="shared" si="28"/>
        <v>0</v>
      </c>
    </row>
    <row r="14" spans="2:166" s="2" customFormat="1" ht="15">
      <c r="B14" s="34" t="s">
        <v>128</v>
      </c>
      <c r="C14" s="51"/>
      <c r="BT14" s="35"/>
      <c r="BU14" s="35"/>
      <c r="BV14" s="35"/>
      <c r="BW14" s="35"/>
      <c r="BX14" s="35"/>
      <c r="BY14" s="35"/>
      <c r="BZ14" s="35"/>
      <c r="CI14" s="2">
        <f t="shared" si="3"/>
        <v>0</v>
      </c>
      <c r="CJ14" s="2">
        <f t="shared" si="4"/>
        <v>0</v>
      </c>
      <c r="CK14" s="2">
        <f t="shared" si="5"/>
        <v>0</v>
      </c>
      <c r="CL14" s="2">
        <f t="shared" si="6"/>
        <v>0</v>
      </c>
      <c r="CM14" s="2">
        <f t="shared" si="7"/>
        <v>0</v>
      </c>
      <c r="CN14" s="2">
        <f t="shared" si="8"/>
        <v>0</v>
      </c>
      <c r="CO14" s="2">
        <f t="shared" si="9"/>
        <v>0</v>
      </c>
      <c r="CP14" s="2">
        <f t="shared" si="10"/>
        <v>0</v>
      </c>
      <c r="CQ14" s="2">
        <f t="shared" si="11"/>
        <v>0</v>
      </c>
      <c r="CR14" s="2">
        <f t="shared" si="12"/>
        <v>0</v>
      </c>
      <c r="CS14" s="2">
        <f t="shared" si="13"/>
        <v>0</v>
      </c>
      <c r="CT14" s="2">
        <f t="shared" si="14"/>
        <v>0</v>
      </c>
      <c r="CU14" s="2">
        <f t="shared" si="15"/>
        <v>0</v>
      </c>
      <c r="CV14" s="2">
        <f t="shared" si="16"/>
        <v>0</v>
      </c>
      <c r="CW14" s="2">
        <f t="shared" si="17"/>
        <v>0</v>
      </c>
      <c r="CX14" s="2">
        <f t="shared" si="18"/>
        <v>0</v>
      </c>
      <c r="CY14" s="2">
        <f t="shared" si="19"/>
        <v>0</v>
      </c>
      <c r="CZ14" s="35">
        <f>SUM(CZ4:CZ13)</f>
        <v>0</v>
      </c>
      <c r="DA14" s="35">
        <f t="shared" ref="DA14:DI14" si="29">SUM(DA4:DA13)</f>
        <v>0</v>
      </c>
      <c r="DB14" s="35">
        <f t="shared" si="29"/>
        <v>0</v>
      </c>
      <c r="DC14" s="35">
        <f t="shared" si="29"/>
        <v>0</v>
      </c>
      <c r="DD14" s="35">
        <f t="shared" si="29"/>
        <v>0</v>
      </c>
      <c r="DE14" s="35">
        <f t="shared" si="29"/>
        <v>0</v>
      </c>
      <c r="DF14" s="35">
        <f t="shared" si="29"/>
        <v>0</v>
      </c>
      <c r="DG14" s="35">
        <f t="shared" si="29"/>
        <v>0</v>
      </c>
      <c r="DH14" s="35">
        <f t="shared" si="29"/>
        <v>0</v>
      </c>
      <c r="DI14" s="35">
        <f t="shared" si="29"/>
        <v>0</v>
      </c>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5"/>
      <c r="ES14" s="35"/>
      <c r="ET14" s="35"/>
      <c r="EU14" s="35"/>
      <c r="EV14" s="35"/>
      <c r="EW14" s="35"/>
      <c r="EX14" s="35"/>
      <c r="EY14" s="35"/>
      <c r="EZ14" s="35"/>
      <c r="FA14" s="35"/>
      <c r="FB14" s="35"/>
      <c r="FC14" s="35"/>
      <c r="FD14" s="35"/>
      <c r="FE14" s="35"/>
      <c r="FF14" s="35"/>
      <c r="FG14" s="35"/>
      <c r="FH14" s="35"/>
      <c r="FI14" s="35"/>
    </row>
    <row r="15" spans="2:166">
      <c r="B15" s="37"/>
      <c r="C15" s="37"/>
    </row>
    <row r="16" spans="2:166">
      <c r="B16" s="38" t="s">
        <v>143</v>
      </c>
      <c r="CJ16" s="1" t="e">
        <f t="shared" ref="CJ16:CY16" si="30">CJ4/CI4-1</f>
        <v>#DIV/0!</v>
      </c>
      <c r="CK16" s="1" t="e">
        <f t="shared" si="30"/>
        <v>#DIV/0!</v>
      </c>
      <c r="CL16" s="1" t="e">
        <f t="shared" si="30"/>
        <v>#DIV/0!</v>
      </c>
      <c r="CM16" s="1" t="e">
        <f t="shared" si="30"/>
        <v>#DIV/0!</v>
      </c>
      <c r="CN16" s="1" t="e">
        <f t="shared" si="30"/>
        <v>#DIV/0!</v>
      </c>
      <c r="CO16" s="1" t="e">
        <f t="shared" si="30"/>
        <v>#DIV/0!</v>
      </c>
      <c r="CP16" s="1" t="e">
        <f t="shared" si="30"/>
        <v>#DIV/0!</v>
      </c>
      <c r="CQ16" s="1" t="e">
        <f t="shared" si="30"/>
        <v>#DIV/0!</v>
      </c>
      <c r="CR16" s="1" t="e">
        <f t="shared" si="30"/>
        <v>#DIV/0!</v>
      </c>
      <c r="CS16" s="1" t="e">
        <f t="shared" si="30"/>
        <v>#DIV/0!</v>
      </c>
      <c r="CT16" s="1" t="e">
        <f t="shared" si="30"/>
        <v>#DIV/0!</v>
      </c>
      <c r="CU16" s="1" t="e">
        <f t="shared" si="30"/>
        <v>#DIV/0!</v>
      </c>
      <c r="CV16" s="1" t="e">
        <f t="shared" si="30"/>
        <v>#DIV/0!</v>
      </c>
      <c r="CW16" s="1" t="e">
        <f t="shared" si="30"/>
        <v>#DIV/0!</v>
      </c>
      <c r="CX16" s="1" t="e">
        <f t="shared" si="30"/>
        <v>#DIV/0!</v>
      </c>
      <c r="CY16" s="1" t="e">
        <f t="shared" si="30"/>
        <v>#DIV/0!</v>
      </c>
      <c r="CZ16" s="50">
        <v>1</v>
      </c>
      <c r="DA16" s="50">
        <v>1</v>
      </c>
      <c r="DB16" s="50">
        <v>1</v>
      </c>
      <c r="DC16" s="50">
        <v>1</v>
      </c>
      <c r="DD16" s="50">
        <v>1</v>
      </c>
      <c r="DE16" s="50">
        <v>1</v>
      </c>
      <c r="DF16" s="50">
        <v>1</v>
      </c>
      <c r="DG16" s="50">
        <v>1</v>
      </c>
      <c r="DH16" s="50">
        <v>1</v>
      </c>
      <c r="DI16" s="50">
        <v>1</v>
      </c>
    </row>
    <row r="17" spans="2:165">
      <c r="B17" s="38" t="s">
        <v>144</v>
      </c>
      <c r="CJ17" s="1" t="e">
        <f t="shared" ref="CJ17:CY17" si="31">CJ5/CI5-1</f>
        <v>#DIV/0!</v>
      </c>
      <c r="CK17" s="1" t="e">
        <f t="shared" si="31"/>
        <v>#DIV/0!</v>
      </c>
      <c r="CL17" s="1" t="e">
        <f t="shared" si="31"/>
        <v>#DIV/0!</v>
      </c>
      <c r="CM17" s="1" t="e">
        <f t="shared" si="31"/>
        <v>#DIV/0!</v>
      </c>
      <c r="CN17" s="1" t="e">
        <f t="shared" si="31"/>
        <v>#DIV/0!</v>
      </c>
      <c r="CO17" s="1" t="e">
        <f t="shared" si="31"/>
        <v>#DIV/0!</v>
      </c>
      <c r="CP17" s="1" t="e">
        <f t="shared" si="31"/>
        <v>#DIV/0!</v>
      </c>
      <c r="CQ17" s="1" t="e">
        <f t="shared" si="31"/>
        <v>#DIV/0!</v>
      </c>
      <c r="CR17" s="1" t="e">
        <f t="shared" si="31"/>
        <v>#DIV/0!</v>
      </c>
      <c r="CS17" s="1" t="e">
        <f t="shared" si="31"/>
        <v>#DIV/0!</v>
      </c>
      <c r="CT17" s="1" t="e">
        <f t="shared" si="31"/>
        <v>#DIV/0!</v>
      </c>
      <c r="CU17" s="1" t="e">
        <f t="shared" si="31"/>
        <v>#DIV/0!</v>
      </c>
      <c r="CV17" s="1" t="e">
        <f t="shared" si="31"/>
        <v>#DIV/0!</v>
      </c>
      <c r="CW17" s="1" t="e">
        <f t="shared" si="31"/>
        <v>#DIV/0!</v>
      </c>
      <c r="CX17" s="1" t="e">
        <f t="shared" si="31"/>
        <v>#DIV/0!</v>
      </c>
      <c r="CY17" s="1" t="e">
        <f t="shared" si="31"/>
        <v>#DIV/0!</v>
      </c>
      <c r="CZ17" s="50">
        <v>1</v>
      </c>
      <c r="DA17" s="50">
        <v>1</v>
      </c>
      <c r="DB17" s="50">
        <v>1</v>
      </c>
      <c r="DC17" s="50">
        <v>1</v>
      </c>
      <c r="DD17" s="50">
        <v>1</v>
      </c>
      <c r="DE17" s="50">
        <v>1</v>
      </c>
      <c r="DF17" s="50">
        <v>1</v>
      </c>
      <c r="DG17" s="50">
        <v>1</v>
      </c>
      <c r="DH17" s="50">
        <v>1</v>
      </c>
      <c r="DI17" s="50">
        <v>1</v>
      </c>
    </row>
    <row r="18" spans="2:165">
      <c r="B18" s="38" t="s">
        <v>145</v>
      </c>
      <c r="CJ18" s="1" t="e">
        <f t="shared" ref="CJ18:CY18" si="32">CJ6/CI6-1</f>
        <v>#DIV/0!</v>
      </c>
      <c r="CK18" s="1" t="e">
        <f t="shared" si="32"/>
        <v>#DIV/0!</v>
      </c>
      <c r="CL18" s="1" t="e">
        <f t="shared" si="32"/>
        <v>#DIV/0!</v>
      </c>
      <c r="CM18" s="1" t="e">
        <f t="shared" si="32"/>
        <v>#DIV/0!</v>
      </c>
      <c r="CN18" s="1" t="e">
        <f t="shared" si="32"/>
        <v>#DIV/0!</v>
      </c>
      <c r="CO18" s="1" t="e">
        <f t="shared" si="32"/>
        <v>#DIV/0!</v>
      </c>
      <c r="CP18" s="1" t="e">
        <f t="shared" si="32"/>
        <v>#DIV/0!</v>
      </c>
      <c r="CQ18" s="1" t="e">
        <f t="shared" si="32"/>
        <v>#DIV/0!</v>
      </c>
      <c r="CR18" s="1" t="e">
        <f t="shared" si="32"/>
        <v>#DIV/0!</v>
      </c>
      <c r="CS18" s="1" t="e">
        <f t="shared" si="32"/>
        <v>#DIV/0!</v>
      </c>
      <c r="CT18" s="1" t="e">
        <f t="shared" si="32"/>
        <v>#DIV/0!</v>
      </c>
      <c r="CU18" s="1" t="e">
        <f t="shared" si="32"/>
        <v>#DIV/0!</v>
      </c>
      <c r="CV18" s="1" t="e">
        <f t="shared" si="32"/>
        <v>#DIV/0!</v>
      </c>
      <c r="CW18" s="1" t="e">
        <f t="shared" si="32"/>
        <v>#DIV/0!</v>
      </c>
      <c r="CX18" s="1" t="e">
        <f t="shared" si="32"/>
        <v>#DIV/0!</v>
      </c>
      <c r="CY18" s="1" t="e">
        <f t="shared" si="32"/>
        <v>#DIV/0!</v>
      </c>
      <c r="CZ18" s="50">
        <v>1</v>
      </c>
      <c r="DA18" s="50">
        <v>1</v>
      </c>
      <c r="DB18" s="50">
        <v>1</v>
      </c>
      <c r="DC18" s="50">
        <v>1</v>
      </c>
      <c r="DD18" s="50">
        <v>1</v>
      </c>
      <c r="DE18" s="50">
        <v>1</v>
      </c>
      <c r="DF18" s="50">
        <v>1</v>
      </c>
      <c r="DG18" s="50">
        <v>1</v>
      </c>
      <c r="DH18" s="50">
        <v>1</v>
      </c>
      <c r="DI18" s="50">
        <v>1</v>
      </c>
    </row>
    <row r="19" spans="2:165">
      <c r="B19" s="38" t="s">
        <v>146</v>
      </c>
      <c r="CJ19" s="1" t="e">
        <f t="shared" ref="CJ19:CY19" si="33">CJ7/CI7-1</f>
        <v>#DIV/0!</v>
      </c>
      <c r="CK19" s="1" t="e">
        <f t="shared" si="33"/>
        <v>#DIV/0!</v>
      </c>
      <c r="CL19" s="1" t="e">
        <f t="shared" si="33"/>
        <v>#DIV/0!</v>
      </c>
      <c r="CM19" s="1" t="e">
        <f t="shared" si="33"/>
        <v>#DIV/0!</v>
      </c>
      <c r="CN19" s="1" t="e">
        <f t="shared" si="33"/>
        <v>#DIV/0!</v>
      </c>
      <c r="CO19" s="1" t="e">
        <f t="shared" si="33"/>
        <v>#DIV/0!</v>
      </c>
      <c r="CP19" s="1" t="e">
        <f t="shared" si="33"/>
        <v>#DIV/0!</v>
      </c>
      <c r="CQ19" s="1" t="e">
        <f t="shared" si="33"/>
        <v>#DIV/0!</v>
      </c>
      <c r="CR19" s="1" t="e">
        <f t="shared" si="33"/>
        <v>#DIV/0!</v>
      </c>
      <c r="CS19" s="1" t="e">
        <f t="shared" si="33"/>
        <v>#DIV/0!</v>
      </c>
      <c r="CT19" s="1" t="e">
        <f t="shared" si="33"/>
        <v>#DIV/0!</v>
      </c>
      <c r="CU19" s="1" t="e">
        <f t="shared" si="33"/>
        <v>#DIV/0!</v>
      </c>
      <c r="CV19" s="1" t="e">
        <f t="shared" si="33"/>
        <v>#DIV/0!</v>
      </c>
      <c r="CW19" s="1" t="e">
        <f t="shared" si="33"/>
        <v>#DIV/0!</v>
      </c>
      <c r="CX19" s="1" t="e">
        <f t="shared" si="33"/>
        <v>#DIV/0!</v>
      </c>
      <c r="CY19" s="1" t="e">
        <f t="shared" si="33"/>
        <v>#DIV/0!</v>
      </c>
      <c r="CZ19" s="50">
        <v>1</v>
      </c>
      <c r="DA19" s="50">
        <v>1</v>
      </c>
      <c r="DB19" s="50">
        <v>1</v>
      </c>
      <c r="DC19" s="50">
        <v>1</v>
      </c>
      <c r="DD19" s="50">
        <v>1</v>
      </c>
      <c r="DE19" s="50">
        <v>1</v>
      </c>
      <c r="DF19" s="50">
        <v>1</v>
      </c>
      <c r="DG19" s="50">
        <v>1</v>
      </c>
      <c r="DH19" s="50">
        <v>1</v>
      </c>
      <c r="DI19" s="50">
        <v>1</v>
      </c>
    </row>
    <row r="20" spans="2:165">
      <c r="B20" s="38" t="s">
        <v>147</v>
      </c>
      <c r="CJ20" s="1" t="e">
        <f t="shared" ref="CJ20:CY20" si="34">CJ8/CI8-1</f>
        <v>#DIV/0!</v>
      </c>
      <c r="CK20" s="1" t="e">
        <f t="shared" si="34"/>
        <v>#DIV/0!</v>
      </c>
      <c r="CL20" s="1" t="e">
        <f t="shared" si="34"/>
        <v>#DIV/0!</v>
      </c>
      <c r="CM20" s="1" t="e">
        <f t="shared" si="34"/>
        <v>#DIV/0!</v>
      </c>
      <c r="CN20" s="1" t="e">
        <f t="shared" si="34"/>
        <v>#DIV/0!</v>
      </c>
      <c r="CO20" s="1" t="e">
        <f t="shared" si="34"/>
        <v>#DIV/0!</v>
      </c>
      <c r="CP20" s="1" t="e">
        <f t="shared" si="34"/>
        <v>#DIV/0!</v>
      </c>
      <c r="CQ20" s="1" t="e">
        <f t="shared" si="34"/>
        <v>#DIV/0!</v>
      </c>
      <c r="CR20" s="1" t="e">
        <f t="shared" si="34"/>
        <v>#DIV/0!</v>
      </c>
      <c r="CS20" s="1" t="e">
        <f t="shared" si="34"/>
        <v>#DIV/0!</v>
      </c>
      <c r="CT20" s="1" t="e">
        <f t="shared" si="34"/>
        <v>#DIV/0!</v>
      </c>
      <c r="CU20" s="1" t="e">
        <f t="shared" si="34"/>
        <v>#DIV/0!</v>
      </c>
      <c r="CV20" s="1" t="e">
        <f t="shared" si="34"/>
        <v>#DIV/0!</v>
      </c>
      <c r="CW20" s="1" t="e">
        <f t="shared" si="34"/>
        <v>#DIV/0!</v>
      </c>
      <c r="CX20" s="1" t="e">
        <f t="shared" si="34"/>
        <v>#DIV/0!</v>
      </c>
      <c r="CY20" s="1" t="e">
        <f t="shared" si="34"/>
        <v>#DIV/0!</v>
      </c>
      <c r="CZ20" s="50">
        <v>1</v>
      </c>
      <c r="DA20" s="50">
        <v>1</v>
      </c>
      <c r="DB20" s="50">
        <v>1</v>
      </c>
      <c r="DC20" s="50">
        <v>1</v>
      </c>
      <c r="DD20" s="50">
        <v>1</v>
      </c>
      <c r="DE20" s="50">
        <v>1</v>
      </c>
      <c r="DF20" s="50">
        <v>1</v>
      </c>
      <c r="DG20" s="50">
        <v>1</v>
      </c>
      <c r="DH20" s="50">
        <v>1</v>
      </c>
      <c r="DI20" s="50">
        <v>1</v>
      </c>
    </row>
    <row r="21" spans="2:165">
      <c r="B21" s="38" t="s">
        <v>148</v>
      </c>
      <c r="CJ21" s="1" t="e">
        <f t="shared" ref="CJ21:CY21" si="35">CJ9/CI9-1</f>
        <v>#DIV/0!</v>
      </c>
      <c r="CK21" s="1" t="e">
        <f t="shared" si="35"/>
        <v>#DIV/0!</v>
      </c>
      <c r="CL21" s="1" t="e">
        <f t="shared" si="35"/>
        <v>#DIV/0!</v>
      </c>
      <c r="CM21" s="1" t="e">
        <f t="shared" si="35"/>
        <v>#DIV/0!</v>
      </c>
      <c r="CN21" s="1" t="e">
        <f t="shared" si="35"/>
        <v>#DIV/0!</v>
      </c>
      <c r="CO21" s="1" t="e">
        <f t="shared" si="35"/>
        <v>#DIV/0!</v>
      </c>
      <c r="CP21" s="1" t="e">
        <f t="shared" si="35"/>
        <v>#DIV/0!</v>
      </c>
      <c r="CQ21" s="1" t="e">
        <f t="shared" si="35"/>
        <v>#DIV/0!</v>
      </c>
      <c r="CR21" s="1" t="e">
        <f t="shared" si="35"/>
        <v>#DIV/0!</v>
      </c>
      <c r="CS21" s="1" t="e">
        <f t="shared" si="35"/>
        <v>#DIV/0!</v>
      </c>
      <c r="CT21" s="1" t="e">
        <f t="shared" si="35"/>
        <v>#DIV/0!</v>
      </c>
      <c r="CU21" s="1" t="e">
        <f t="shared" si="35"/>
        <v>#DIV/0!</v>
      </c>
      <c r="CV21" s="1" t="e">
        <f t="shared" si="35"/>
        <v>#DIV/0!</v>
      </c>
      <c r="CW21" s="1" t="e">
        <f t="shared" si="35"/>
        <v>#DIV/0!</v>
      </c>
      <c r="CX21" s="1" t="e">
        <f t="shared" si="35"/>
        <v>#DIV/0!</v>
      </c>
      <c r="CY21" s="1" t="e">
        <f t="shared" si="35"/>
        <v>#DIV/0!</v>
      </c>
      <c r="CZ21" s="50">
        <v>1</v>
      </c>
      <c r="DA21" s="50">
        <v>1</v>
      </c>
      <c r="DB21" s="50">
        <v>1</v>
      </c>
      <c r="DC21" s="50">
        <v>1</v>
      </c>
      <c r="DD21" s="50">
        <v>1</v>
      </c>
      <c r="DE21" s="50">
        <v>1</v>
      </c>
      <c r="DF21" s="50">
        <v>1</v>
      </c>
      <c r="DG21" s="50">
        <v>1</v>
      </c>
      <c r="DH21" s="50">
        <v>1</v>
      </c>
      <c r="DI21" s="50">
        <v>1</v>
      </c>
    </row>
    <row r="22" spans="2:165">
      <c r="B22" s="38" t="s">
        <v>151</v>
      </c>
      <c r="CJ22" s="1" t="e">
        <f t="shared" ref="CJ22:CY22" si="36">CJ10/CI10-1</f>
        <v>#DIV/0!</v>
      </c>
      <c r="CK22" s="1" t="e">
        <f t="shared" si="36"/>
        <v>#DIV/0!</v>
      </c>
      <c r="CL22" s="1" t="e">
        <f t="shared" si="36"/>
        <v>#DIV/0!</v>
      </c>
      <c r="CM22" s="1" t="e">
        <f t="shared" si="36"/>
        <v>#DIV/0!</v>
      </c>
      <c r="CN22" s="1" t="e">
        <f t="shared" si="36"/>
        <v>#DIV/0!</v>
      </c>
      <c r="CO22" s="1" t="e">
        <f t="shared" si="36"/>
        <v>#DIV/0!</v>
      </c>
      <c r="CP22" s="1" t="e">
        <f t="shared" si="36"/>
        <v>#DIV/0!</v>
      </c>
      <c r="CQ22" s="1" t="e">
        <f t="shared" si="36"/>
        <v>#DIV/0!</v>
      </c>
      <c r="CR22" s="1" t="e">
        <f t="shared" si="36"/>
        <v>#DIV/0!</v>
      </c>
      <c r="CS22" s="1" t="e">
        <f t="shared" si="36"/>
        <v>#DIV/0!</v>
      </c>
      <c r="CT22" s="1" t="e">
        <f t="shared" si="36"/>
        <v>#DIV/0!</v>
      </c>
      <c r="CU22" s="1" t="e">
        <f t="shared" si="36"/>
        <v>#DIV/0!</v>
      </c>
      <c r="CV22" s="1" t="e">
        <f t="shared" si="36"/>
        <v>#DIV/0!</v>
      </c>
      <c r="CW22" s="1" t="e">
        <f t="shared" si="36"/>
        <v>#DIV/0!</v>
      </c>
      <c r="CX22" s="1" t="e">
        <f t="shared" si="36"/>
        <v>#DIV/0!</v>
      </c>
      <c r="CY22" s="1" t="e">
        <f t="shared" si="36"/>
        <v>#DIV/0!</v>
      </c>
      <c r="CZ22" s="50">
        <v>1</v>
      </c>
      <c r="DA22" s="50">
        <v>1</v>
      </c>
      <c r="DB22" s="50">
        <v>1</v>
      </c>
      <c r="DC22" s="50">
        <v>1</v>
      </c>
      <c r="DD22" s="50">
        <v>1</v>
      </c>
      <c r="DE22" s="50">
        <v>1</v>
      </c>
      <c r="DF22" s="50">
        <v>1</v>
      </c>
      <c r="DG22" s="50">
        <v>1</v>
      </c>
      <c r="DH22" s="50">
        <v>1</v>
      </c>
      <c r="DI22" s="50">
        <v>1</v>
      </c>
    </row>
    <row r="23" spans="2:165">
      <c r="B23" s="38" t="s">
        <v>150</v>
      </c>
      <c r="CJ23" s="1" t="e">
        <f t="shared" ref="CJ23:CY23" si="37">CJ11/CI11-1</f>
        <v>#DIV/0!</v>
      </c>
      <c r="CK23" s="1" t="e">
        <f t="shared" si="37"/>
        <v>#DIV/0!</v>
      </c>
      <c r="CL23" s="1" t="e">
        <f t="shared" si="37"/>
        <v>#DIV/0!</v>
      </c>
      <c r="CM23" s="1" t="e">
        <f t="shared" si="37"/>
        <v>#DIV/0!</v>
      </c>
      <c r="CN23" s="1" t="e">
        <f t="shared" si="37"/>
        <v>#DIV/0!</v>
      </c>
      <c r="CO23" s="1" t="e">
        <f t="shared" si="37"/>
        <v>#DIV/0!</v>
      </c>
      <c r="CP23" s="1" t="e">
        <f t="shared" si="37"/>
        <v>#DIV/0!</v>
      </c>
      <c r="CQ23" s="1" t="e">
        <f t="shared" si="37"/>
        <v>#DIV/0!</v>
      </c>
      <c r="CR23" s="1" t="e">
        <f t="shared" si="37"/>
        <v>#DIV/0!</v>
      </c>
      <c r="CS23" s="1" t="e">
        <f t="shared" si="37"/>
        <v>#DIV/0!</v>
      </c>
      <c r="CT23" s="1" t="e">
        <f t="shared" si="37"/>
        <v>#DIV/0!</v>
      </c>
      <c r="CU23" s="1" t="e">
        <f t="shared" si="37"/>
        <v>#DIV/0!</v>
      </c>
      <c r="CV23" s="1" t="e">
        <f t="shared" si="37"/>
        <v>#DIV/0!</v>
      </c>
      <c r="CW23" s="1" t="e">
        <f t="shared" si="37"/>
        <v>#DIV/0!</v>
      </c>
      <c r="CX23" s="1" t="e">
        <f t="shared" si="37"/>
        <v>#DIV/0!</v>
      </c>
      <c r="CY23" s="1" t="e">
        <f t="shared" si="37"/>
        <v>#DIV/0!</v>
      </c>
      <c r="CZ23" s="50">
        <v>1</v>
      </c>
      <c r="DA23" s="50">
        <v>1</v>
      </c>
      <c r="DB23" s="50">
        <v>1</v>
      </c>
      <c r="DC23" s="50">
        <v>1</v>
      </c>
      <c r="DD23" s="50">
        <v>1</v>
      </c>
      <c r="DE23" s="50">
        <v>1</v>
      </c>
      <c r="DF23" s="50">
        <v>1</v>
      </c>
      <c r="DG23" s="50">
        <v>1</v>
      </c>
      <c r="DH23" s="50">
        <v>1</v>
      </c>
      <c r="DI23" s="50">
        <v>1</v>
      </c>
    </row>
    <row r="24" spans="2:165">
      <c r="B24" s="38" t="s">
        <v>152</v>
      </c>
      <c r="CJ24" s="1" t="e">
        <f t="shared" ref="CJ24:CY24" si="38">CJ12/CI12-1</f>
        <v>#DIV/0!</v>
      </c>
      <c r="CK24" s="1" t="e">
        <f t="shared" si="38"/>
        <v>#DIV/0!</v>
      </c>
      <c r="CL24" s="1" t="e">
        <f t="shared" si="38"/>
        <v>#DIV/0!</v>
      </c>
      <c r="CM24" s="1" t="e">
        <f t="shared" si="38"/>
        <v>#DIV/0!</v>
      </c>
      <c r="CN24" s="1" t="e">
        <f t="shared" si="38"/>
        <v>#DIV/0!</v>
      </c>
      <c r="CO24" s="1" t="e">
        <f t="shared" si="38"/>
        <v>#DIV/0!</v>
      </c>
      <c r="CP24" s="1" t="e">
        <f t="shared" si="38"/>
        <v>#DIV/0!</v>
      </c>
      <c r="CQ24" s="1" t="e">
        <f t="shared" si="38"/>
        <v>#DIV/0!</v>
      </c>
      <c r="CR24" s="1" t="e">
        <f t="shared" si="38"/>
        <v>#DIV/0!</v>
      </c>
      <c r="CS24" s="1" t="e">
        <f t="shared" si="38"/>
        <v>#DIV/0!</v>
      </c>
      <c r="CT24" s="1" t="e">
        <f t="shared" si="38"/>
        <v>#DIV/0!</v>
      </c>
      <c r="CU24" s="1" t="e">
        <f t="shared" si="38"/>
        <v>#DIV/0!</v>
      </c>
      <c r="CV24" s="1" t="e">
        <f t="shared" si="38"/>
        <v>#DIV/0!</v>
      </c>
      <c r="CW24" s="1" t="e">
        <f t="shared" si="38"/>
        <v>#DIV/0!</v>
      </c>
      <c r="CX24" s="1" t="e">
        <f t="shared" si="38"/>
        <v>#DIV/0!</v>
      </c>
      <c r="CY24" s="1" t="e">
        <f t="shared" si="38"/>
        <v>#DIV/0!</v>
      </c>
      <c r="CZ24" s="50">
        <v>1</v>
      </c>
      <c r="DA24" s="50">
        <v>1</v>
      </c>
      <c r="DB24" s="50">
        <v>1</v>
      </c>
      <c r="DC24" s="50">
        <v>1</v>
      </c>
      <c r="DD24" s="50">
        <v>1</v>
      </c>
      <c r="DE24" s="50">
        <v>1</v>
      </c>
      <c r="DF24" s="50">
        <v>1</v>
      </c>
      <c r="DG24" s="50">
        <v>1</v>
      </c>
      <c r="DH24" s="50">
        <v>1</v>
      </c>
      <c r="DI24" s="50">
        <v>1</v>
      </c>
    </row>
    <row r="25" spans="2:165">
      <c r="B25" s="38" t="s">
        <v>149</v>
      </c>
      <c r="CJ25" s="1" t="e">
        <f t="shared" ref="CJ25:CY25" si="39">CJ13/CI13-1</f>
        <v>#DIV/0!</v>
      </c>
      <c r="CK25" s="1" t="e">
        <f t="shared" si="39"/>
        <v>#DIV/0!</v>
      </c>
      <c r="CL25" s="1" t="e">
        <f t="shared" si="39"/>
        <v>#DIV/0!</v>
      </c>
      <c r="CM25" s="1" t="e">
        <f t="shared" si="39"/>
        <v>#DIV/0!</v>
      </c>
      <c r="CN25" s="1" t="e">
        <f t="shared" si="39"/>
        <v>#DIV/0!</v>
      </c>
      <c r="CO25" s="1" t="e">
        <f t="shared" si="39"/>
        <v>#DIV/0!</v>
      </c>
      <c r="CP25" s="1" t="e">
        <f t="shared" si="39"/>
        <v>#DIV/0!</v>
      </c>
      <c r="CQ25" s="1" t="e">
        <f t="shared" si="39"/>
        <v>#DIV/0!</v>
      </c>
      <c r="CR25" s="1" t="e">
        <f t="shared" si="39"/>
        <v>#DIV/0!</v>
      </c>
      <c r="CS25" s="1" t="e">
        <f t="shared" si="39"/>
        <v>#DIV/0!</v>
      </c>
      <c r="CT25" s="1" t="e">
        <f t="shared" si="39"/>
        <v>#DIV/0!</v>
      </c>
      <c r="CU25" s="1" t="e">
        <f t="shared" si="39"/>
        <v>#DIV/0!</v>
      </c>
      <c r="CV25" s="1" t="e">
        <f t="shared" si="39"/>
        <v>#DIV/0!</v>
      </c>
      <c r="CW25" s="1" t="e">
        <f t="shared" si="39"/>
        <v>#DIV/0!</v>
      </c>
      <c r="CX25" s="1" t="e">
        <f t="shared" si="39"/>
        <v>#DIV/0!</v>
      </c>
      <c r="CY25" s="1" t="e">
        <f t="shared" si="39"/>
        <v>#DIV/0!</v>
      </c>
      <c r="CZ25" s="50">
        <v>1</v>
      </c>
      <c r="DA25" s="50">
        <v>1</v>
      </c>
      <c r="DB25" s="50">
        <v>1</v>
      </c>
      <c r="DC25" s="50">
        <v>1</v>
      </c>
      <c r="DD25" s="50">
        <v>1</v>
      </c>
      <c r="DE25" s="50">
        <v>1</v>
      </c>
      <c r="DF25" s="50">
        <v>1</v>
      </c>
      <c r="DG25" s="50">
        <v>1</v>
      </c>
      <c r="DH25" s="50">
        <v>1</v>
      </c>
      <c r="DI25" s="50">
        <v>1</v>
      </c>
    </row>
    <row r="26" spans="2:165" s="2" customFormat="1" ht="15">
      <c r="B26" s="34" t="s">
        <v>226</v>
      </c>
      <c r="BT26" s="35"/>
      <c r="BU26" s="35"/>
      <c r="BV26" s="35"/>
      <c r="BW26" s="35"/>
      <c r="BX26" s="35"/>
      <c r="BY26" s="35"/>
      <c r="BZ26" s="35"/>
      <c r="CJ26" s="2" t="e">
        <f t="shared" ref="CJ26:CY26" si="40">CJ14/CI14-1</f>
        <v>#DIV/0!</v>
      </c>
      <c r="CK26" s="2" t="e">
        <f t="shared" si="40"/>
        <v>#DIV/0!</v>
      </c>
      <c r="CL26" s="2" t="e">
        <f t="shared" si="40"/>
        <v>#DIV/0!</v>
      </c>
      <c r="CM26" s="2" t="e">
        <f t="shared" si="40"/>
        <v>#DIV/0!</v>
      </c>
      <c r="CN26" s="2" t="e">
        <f t="shared" si="40"/>
        <v>#DIV/0!</v>
      </c>
      <c r="CO26" s="2" t="e">
        <f t="shared" si="40"/>
        <v>#DIV/0!</v>
      </c>
      <c r="CP26" s="2" t="e">
        <f t="shared" si="40"/>
        <v>#DIV/0!</v>
      </c>
      <c r="CQ26" s="2" t="e">
        <f t="shared" si="40"/>
        <v>#DIV/0!</v>
      </c>
      <c r="CR26" s="2" t="e">
        <f t="shared" si="40"/>
        <v>#DIV/0!</v>
      </c>
      <c r="CS26" s="2" t="e">
        <f t="shared" si="40"/>
        <v>#DIV/0!</v>
      </c>
      <c r="CT26" s="2" t="e">
        <f t="shared" si="40"/>
        <v>#DIV/0!</v>
      </c>
      <c r="CU26" s="2" t="e">
        <f t="shared" si="40"/>
        <v>#DIV/0!</v>
      </c>
      <c r="CV26" s="2" t="e">
        <f t="shared" si="40"/>
        <v>#DIV/0!</v>
      </c>
      <c r="CW26" s="2" t="e">
        <f t="shared" si="40"/>
        <v>#DIV/0!</v>
      </c>
      <c r="CX26" s="2" t="e">
        <f t="shared" si="40"/>
        <v>#DIV/0!</v>
      </c>
      <c r="CY26" s="2" t="e">
        <f t="shared" si="40"/>
        <v>#DIV/0!</v>
      </c>
      <c r="CZ26" s="52" t="e">
        <f>CZ14/CY14-1</f>
        <v>#DIV/0!</v>
      </c>
      <c r="DA26" s="52" t="e">
        <f t="shared" ref="DA26:DI26" si="41">DA14/CZ14-1</f>
        <v>#DIV/0!</v>
      </c>
      <c r="DB26" s="52" t="e">
        <f t="shared" si="41"/>
        <v>#DIV/0!</v>
      </c>
      <c r="DC26" s="52" t="e">
        <f t="shared" si="41"/>
        <v>#DIV/0!</v>
      </c>
      <c r="DD26" s="52" t="e">
        <f t="shared" si="41"/>
        <v>#DIV/0!</v>
      </c>
      <c r="DE26" s="52" t="e">
        <f t="shared" si="41"/>
        <v>#DIV/0!</v>
      </c>
      <c r="DF26" s="52" t="e">
        <f t="shared" si="41"/>
        <v>#DIV/0!</v>
      </c>
      <c r="DG26" s="52" t="e">
        <f t="shared" si="41"/>
        <v>#DIV/0!</v>
      </c>
      <c r="DH26" s="52" t="e">
        <f t="shared" si="41"/>
        <v>#DIV/0!</v>
      </c>
      <c r="DI26" s="52" t="e">
        <f t="shared" si="41"/>
        <v>#DIV/0!</v>
      </c>
      <c r="DJ26" s="35"/>
      <c r="DK26" s="35"/>
      <c r="DL26" s="35"/>
      <c r="DM26" s="35"/>
      <c r="DN26" s="35"/>
      <c r="DO26" s="35"/>
      <c r="DP26" s="35"/>
      <c r="DQ26" s="35"/>
      <c r="DR26" s="35"/>
      <c r="DS26" s="35"/>
      <c r="DT26" s="35"/>
      <c r="DU26" s="35"/>
      <c r="DV26" s="35"/>
      <c r="DW26" s="35"/>
      <c r="DX26" s="35"/>
      <c r="DY26" s="35"/>
      <c r="DZ26" s="35"/>
      <c r="EA26" s="35"/>
      <c r="EB26" s="35"/>
      <c r="EC26" s="35"/>
      <c r="ED26" s="35"/>
      <c r="EE26" s="35"/>
      <c r="EF26" s="35"/>
      <c r="EG26" s="35"/>
      <c r="EH26" s="35"/>
      <c r="EI26" s="35"/>
      <c r="EJ26" s="35"/>
      <c r="EK26" s="35"/>
      <c r="EL26" s="35"/>
      <c r="EM26" s="35"/>
      <c r="EN26" s="35"/>
      <c r="EO26" s="35"/>
      <c r="EP26" s="35"/>
      <c r="EQ26" s="35"/>
      <c r="ER26" s="35"/>
      <c r="ES26" s="35"/>
      <c r="ET26" s="35"/>
      <c r="EU26" s="35"/>
      <c r="EV26" s="35"/>
      <c r="EW26" s="35"/>
      <c r="EX26" s="35"/>
      <c r="EY26" s="35"/>
      <c r="EZ26" s="35"/>
      <c r="FA26" s="35"/>
      <c r="FB26" s="35"/>
      <c r="FC26" s="35"/>
      <c r="FD26" s="35"/>
      <c r="FE26" s="35"/>
      <c r="FF26" s="35"/>
      <c r="FG26" s="35"/>
      <c r="FH26" s="35"/>
      <c r="FI26" s="35"/>
    </row>
    <row r="28" spans="2:165" ht="15">
      <c r="B28" s="34" t="s">
        <v>141</v>
      </c>
      <c r="CY28" s="1" t="e">
        <f>CY4/CY14</f>
        <v>#DIV/0!</v>
      </c>
    </row>
    <row r="29" spans="2:165" ht="15">
      <c r="B29" s="34" t="s">
        <v>142</v>
      </c>
    </row>
    <row r="31" spans="2:165">
      <c r="B31" s="1" t="s">
        <v>153</v>
      </c>
      <c r="CI31" s="1">
        <f t="shared" ref="CI31:CI34" si="42">SUM(C31:F31)</f>
        <v>0</v>
      </c>
      <c r="CJ31" s="1">
        <f t="shared" ref="CJ31:CJ34" si="43">SUM(G31:J31)</f>
        <v>0</v>
      </c>
      <c r="CK31" s="1">
        <f t="shared" ref="CK31:CK34" si="44">SUM(K31:N31)</f>
        <v>0</v>
      </c>
      <c r="CL31" s="1">
        <f t="shared" ref="CL31:CL34" si="45">SUM(O31:R31)</f>
        <v>0</v>
      </c>
      <c r="CM31" s="1">
        <f t="shared" ref="CM31:CM34" si="46">SUM(S31:V31)</f>
        <v>0</v>
      </c>
      <c r="CN31" s="1">
        <f t="shared" ref="CN31:CN34" si="47">SUM(W31:Z31)</f>
        <v>0</v>
      </c>
      <c r="CO31" s="1">
        <f t="shared" ref="CO31:CO34" si="48">SUM(AA31:AD31)</f>
        <v>0</v>
      </c>
      <c r="CP31" s="1">
        <f t="shared" ref="CP31:CP34" si="49">SUM(AE31:AH31)</f>
        <v>0</v>
      </c>
      <c r="CQ31" s="1">
        <f t="shared" ref="CQ31:CQ34" si="50">SUM(AI31:AL31)</f>
        <v>0</v>
      </c>
      <c r="CR31" s="1">
        <f t="shared" ref="CR31:CR34" si="51">SUM(AM31:AP31)</f>
        <v>0</v>
      </c>
      <c r="CS31" s="1">
        <f t="shared" ref="CS31:CS34" si="52">SUM(AQ31:AT31)</f>
        <v>0</v>
      </c>
      <c r="CT31" s="1">
        <f t="shared" ref="CT31:CT34" si="53">SUM(AU31:AX31)</f>
        <v>0</v>
      </c>
      <c r="CU31" s="1">
        <f t="shared" ref="CU31:CU34" si="54">SUM(AY31:BB31)</f>
        <v>0</v>
      </c>
      <c r="CV31" s="1">
        <f t="shared" ref="CV31:CV34" si="55">SUM(BC31:BF31)</f>
        <v>0</v>
      </c>
      <c r="CW31" s="1">
        <f t="shared" ref="CW31:CW34" si="56">SUM(BG31:BJ31)</f>
        <v>0</v>
      </c>
      <c r="CX31" s="1">
        <f t="shared" ref="CX31:CX34" si="57">SUM(BK31:BN31)</f>
        <v>0</v>
      </c>
      <c r="CY31" s="1">
        <f t="shared" ref="CY31:CY34" si="58">SUM(BO31:BR31)</f>
        <v>0</v>
      </c>
    </row>
    <row r="32" spans="2:165">
      <c r="B32" s="1" t="s">
        <v>156</v>
      </c>
      <c r="CI32" s="1">
        <f t="shared" si="42"/>
        <v>0</v>
      </c>
      <c r="CJ32" s="1">
        <f t="shared" si="43"/>
        <v>0</v>
      </c>
      <c r="CK32" s="1">
        <f t="shared" si="44"/>
        <v>0</v>
      </c>
      <c r="CL32" s="1">
        <f t="shared" si="45"/>
        <v>0</v>
      </c>
      <c r="CM32" s="1">
        <f t="shared" si="46"/>
        <v>0</v>
      </c>
      <c r="CN32" s="1">
        <f t="shared" si="47"/>
        <v>0</v>
      </c>
      <c r="CO32" s="1">
        <f t="shared" si="48"/>
        <v>0</v>
      </c>
      <c r="CP32" s="1">
        <f t="shared" si="49"/>
        <v>0</v>
      </c>
      <c r="CQ32" s="1">
        <f t="shared" si="50"/>
        <v>0</v>
      </c>
      <c r="CR32" s="1">
        <f t="shared" si="51"/>
        <v>0</v>
      </c>
      <c r="CS32" s="1">
        <f t="shared" si="52"/>
        <v>0</v>
      </c>
      <c r="CT32" s="1">
        <f t="shared" si="53"/>
        <v>0</v>
      </c>
      <c r="CU32" s="1">
        <f t="shared" si="54"/>
        <v>0</v>
      </c>
      <c r="CV32" s="1">
        <f t="shared" si="55"/>
        <v>0</v>
      </c>
      <c r="CW32" s="1">
        <f t="shared" si="56"/>
        <v>0</v>
      </c>
      <c r="CX32" s="1">
        <f t="shared" si="57"/>
        <v>0</v>
      </c>
      <c r="CY32" s="1">
        <f t="shared" si="58"/>
        <v>0</v>
      </c>
    </row>
    <row r="33" spans="2:165">
      <c r="B33" s="1" t="s">
        <v>155</v>
      </c>
      <c r="CI33" s="1">
        <f t="shared" si="42"/>
        <v>0</v>
      </c>
      <c r="CJ33" s="1">
        <f t="shared" si="43"/>
        <v>0</v>
      </c>
      <c r="CK33" s="1">
        <f t="shared" si="44"/>
        <v>0</v>
      </c>
      <c r="CL33" s="1">
        <f t="shared" si="45"/>
        <v>0</v>
      </c>
      <c r="CM33" s="1">
        <f t="shared" si="46"/>
        <v>0</v>
      </c>
      <c r="CN33" s="1">
        <f t="shared" si="47"/>
        <v>0</v>
      </c>
      <c r="CO33" s="1">
        <f t="shared" si="48"/>
        <v>0</v>
      </c>
      <c r="CP33" s="1">
        <f t="shared" si="49"/>
        <v>0</v>
      </c>
      <c r="CQ33" s="1">
        <f t="shared" si="50"/>
        <v>0</v>
      </c>
      <c r="CR33" s="1">
        <f t="shared" si="51"/>
        <v>0</v>
      </c>
      <c r="CS33" s="1">
        <f t="shared" si="52"/>
        <v>0</v>
      </c>
      <c r="CT33" s="1">
        <f t="shared" si="53"/>
        <v>0</v>
      </c>
      <c r="CU33" s="1">
        <f t="shared" si="54"/>
        <v>0</v>
      </c>
      <c r="CV33" s="1">
        <f t="shared" si="55"/>
        <v>0</v>
      </c>
      <c r="CW33" s="1">
        <f t="shared" si="56"/>
        <v>0</v>
      </c>
      <c r="CX33" s="1">
        <f t="shared" si="57"/>
        <v>0</v>
      </c>
      <c r="CY33" s="1">
        <f t="shared" si="58"/>
        <v>0</v>
      </c>
    </row>
    <row r="34" spans="2:165">
      <c r="B34" s="1" t="s">
        <v>154</v>
      </c>
      <c r="CI34" s="1">
        <f t="shared" si="42"/>
        <v>0</v>
      </c>
      <c r="CJ34" s="1">
        <f t="shared" si="43"/>
        <v>0</v>
      </c>
      <c r="CK34" s="1">
        <f t="shared" si="44"/>
        <v>0</v>
      </c>
      <c r="CL34" s="1">
        <f t="shared" si="45"/>
        <v>0</v>
      </c>
      <c r="CM34" s="1">
        <f t="shared" si="46"/>
        <v>0</v>
      </c>
      <c r="CN34" s="1">
        <f t="shared" si="47"/>
        <v>0</v>
      </c>
      <c r="CO34" s="1">
        <f t="shared" si="48"/>
        <v>0</v>
      </c>
      <c r="CP34" s="1">
        <f t="shared" si="49"/>
        <v>0</v>
      </c>
      <c r="CQ34" s="1">
        <f t="shared" si="50"/>
        <v>0</v>
      </c>
      <c r="CR34" s="1">
        <f t="shared" si="51"/>
        <v>0</v>
      </c>
      <c r="CS34" s="1">
        <f t="shared" si="52"/>
        <v>0</v>
      </c>
      <c r="CT34" s="1">
        <f t="shared" si="53"/>
        <v>0</v>
      </c>
      <c r="CU34" s="1">
        <f t="shared" si="54"/>
        <v>0</v>
      </c>
      <c r="CV34" s="1">
        <f t="shared" si="55"/>
        <v>0</v>
      </c>
      <c r="CW34" s="1">
        <f t="shared" si="56"/>
        <v>0</v>
      </c>
      <c r="CX34" s="1">
        <f t="shared" si="57"/>
        <v>0</v>
      </c>
      <c r="CY34" s="1">
        <f t="shared" si="58"/>
        <v>0</v>
      </c>
    </row>
    <row r="36" spans="2:165">
      <c r="B36" s="1" t="s">
        <v>163</v>
      </c>
    </row>
    <row r="37" spans="2:165">
      <c r="B37" s="1" t="s">
        <v>161</v>
      </c>
    </row>
    <row r="38" spans="2:165">
      <c r="B38" s="1" t="s">
        <v>162</v>
      </c>
    </row>
    <row r="39" spans="2:165">
      <c r="B39" s="1" t="s">
        <v>164</v>
      </c>
    </row>
    <row r="41" spans="2:165">
      <c r="B41" s="39" t="s">
        <v>157</v>
      </c>
    </row>
    <row r="42" spans="2:165">
      <c r="B42" s="1" t="s">
        <v>158</v>
      </c>
    </row>
    <row r="43" spans="2:165">
      <c r="B43" s="1" t="s">
        <v>159</v>
      </c>
    </row>
    <row r="44" spans="2:165">
      <c r="B44" s="1" t="s">
        <v>160</v>
      </c>
    </row>
    <row r="46" spans="2:165" s="2" customFormat="1" ht="15">
      <c r="B46" s="2" t="s">
        <v>127</v>
      </c>
      <c r="AY46" s="2">
        <f t="shared" ref="AY46:BR46" si="59">AY14</f>
        <v>0</v>
      </c>
      <c r="AZ46" s="2">
        <f t="shared" si="59"/>
        <v>0</v>
      </c>
      <c r="BA46" s="2">
        <f t="shared" si="59"/>
        <v>0</v>
      </c>
      <c r="BB46" s="2">
        <f t="shared" si="59"/>
        <v>0</v>
      </c>
      <c r="BC46" s="2">
        <f t="shared" si="59"/>
        <v>0</v>
      </c>
      <c r="BD46" s="2">
        <f t="shared" si="59"/>
        <v>0</v>
      </c>
      <c r="BE46" s="2">
        <f t="shared" si="59"/>
        <v>0</v>
      </c>
      <c r="BF46" s="2">
        <f t="shared" si="59"/>
        <v>0</v>
      </c>
      <c r="BG46" s="2">
        <f t="shared" si="59"/>
        <v>0</v>
      </c>
      <c r="BH46" s="2">
        <f t="shared" si="59"/>
        <v>0</v>
      </c>
      <c r="BI46" s="2">
        <f t="shared" si="59"/>
        <v>0</v>
      </c>
      <c r="BJ46" s="2">
        <f t="shared" si="59"/>
        <v>0</v>
      </c>
      <c r="BK46" s="2">
        <f t="shared" si="59"/>
        <v>0</v>
      </c>
      <c r="BL46" s="2">
        <f t="shared" si="59"/>
        <v>0</v>
      </c>
      <c r="BM46" s="2">
        <f t="shared" si="59"/>
        <v>0</v>
      </c>
      <c r="BN46" s="2">
        <f t="shared" si="59"/>
        <v>0</v>
      </c>
      <c r="BO46" s="2">
        <f t="shared" si="59"/>
        <v>0</v>
      </c>
      <c r="BP46" s="2">
        <f t="shared" si="59"/>
        <v>0</v>
      </c>
      <c r="BQ46" s="2">
        <f t="shared" si="59"/>
        <v>0</v>
      </c>
      <c r="BR46" s="2">
        <f t="shared" si="59"/>
        <v>0</v>
      </c>
      <c r="BS46" s="2">
        <f>BS14</f>
        <v>0</v>
      </c>
      <c r="BT46" s="35"/>
      <c r="BU46" s="35"/>
      <c r="BV46" s="35"/>
      <c r="BW46" s="35"/>
      <c r="BX46" s="35"/>
      <c r="BY46" s="35"/>
      <c r="BZ46" s="35"/>
      <c r="CI46" s="2">
        <f>SUM(C46:F46)</f>
        <v>0</v>
      </c>
      <c r="CJ46" s="2">
        <f>SUM(G46:J46)</f>
        <v>0</v>
      </c>
      <c r="CK46" s="2">
        <f>SUM(K46:N46)</f>
        <v>0</v>
      </c>
      <c r="CL46" s="2">
        <f>SUM(O46:R46)</f>
        <v>0</v>
      </c>
      <c r="CM46" s="2">
        <f>SUM(S46:V46)</f>
        <v>0</v>
      </c>
      <c r="CN46" s="2">
        <f>SUM(W46:Z46)</f>
        <v>0</v>
      </c>
      <c r="CO46" s="2">
        <f>SUM(AA46:AD46)</f>
        <v>0</v>
      </c>
      <c r="CP46" s="2">
        <f>SUM(AE46:AH46)</f>
        <v>0</v>
      </c>
      <c r="CQ46" s="2">
        <f>SUM(AI46:AL46)</f>
        <v>0</v>
      </c>
      <c r="CR46" s="2">
        <f>SUM(AM46:AP46)</f>
        <v>0</v>
      </c>
      <c r="CS46" s="2">
        <f>SUM(AQ46:AT46)</f>
        <v>0</v>
      </c>
      <c r="CT46" s="2">
        <f>SUM(AU46:AX46)</f>
        <v>0</v>
      </c>
      <c r="CU46" s="2">
        <f>SUM(AY46:BB46)</f>
        <v>0</v>
      </c>
      <c r="CV46" s="2">
        <f>SUM(BC46:BF46)</f>
        <v>0</v>
      </c>
      <c r="CW46" s="2">
        <f>SUM(BG46:BJ46)</f>
        <v>0</v>
      </c>
      <c r="CX46" s="2">
        <f>SUM(BK46:BN46)</f>
        <v>0</v>
      </c>
      <c r="CY46" s="2">
        <f>SUM(BO46:BR46)</f>
        <v>0</v>
      </c>
      <c r="CZ46" s="35"/>
      <c r="DA46" s="35"/>
      <c r="DB46" s="35"/>
      <c r="DC46" s="35"/>
      <c r="DD46" s="35"/>
      <c r="DE46" s="35"/>
      <c r="DF46" s="35"/>
      <c r="DG46" s="35"/>
      <c r="DH46" s="35"/>
      <c r="DI46" s="35"/>
      <c r="DJ46" s="35"/>
      <c r="DK46" s="35"/>
      <c r="DL46" s="35"/>
      <c r="DM46" s="35"/>
      <c r="DN46" s="35"/>
      <c r="DO46" s="35"/>
      <c r="DP46" s="35"/>
      <c r="DQ46" s="35"/>
      <c r="DR46" s="35"/>
      <c r="DS46" s="35"/>
      <c r="DT46" s="35"/>
      <c r="DU46" s="35"/>
      <c r="DV46" s="35"/>
      <c r="DW46" s="35"/>
      <c r="DX46" s="35"/>
      <c r="DY46" s="35"/>
      <c r="DZ46" s="35"/>
      <c r="EA46" s="35"/>
      <c r="EB46" s="35"/>
      <c r="EC46" s="35"/>
      <c r="ED46" s="35"/>
      <c r="EE46" s="35"/>
      <c r="EF46" s="35"/>
      <c r="EG46" s="35"/>
      <c r="EH46" s="35"/>
      <c r="EI46" s="35"/>
      <c r="EJ46" s="35"/>
      <c r="EK46" s="35"/>
      <c r="EL46" s="35"/>
      <c r="EM46" s="35"/>
      <c r="EN46" s="35"/>
      <c r="EO46" s="35"/>
      <c r="EP46" s="35"/>
      <c r="EQ46" s="35"/>
      <c r="ER46" s="35"/>
      <c r="ES46" s="35"/>
      <c r="ET46" s="35"/>
      <c r="EU46" s="35"/>
      <c r="EV46" s="35"/>
      <c r="EW46" s="35"/>
      <c r="EX46" s="35"/>
      <c r="EY46" s="35"/>
      <c r="EZ46" s="35"/>
      <c r="FA46" s="35"/>
      <c r="FB46" s="35"/>
      <c r="FC46" s="35"/>
      <c r="FD46" s="35"/>
      <c r="FE46" s="35"/>
      <c r="FF46" s="35"/>
      <c r="FG46" s="35"/>
      <c r="FH46" s="35"/>
      <c r="FI46" s="35"/>
    </row>
    <row r="47" spans="2:165">
      <c r="B47" s="1" t="s">
        <v>165</v>
      </c>
    </row>
    <row r="48" spans="2:165">
      <c r="B48" s="1" t="s">
        <v>166</v>
      </c>
      <c r="AY48" s="1">
        <f t="shared" ref="AY48:BR48" si="60">AY46-AY47</f>
        <v>0</v>
      </c>
      <c r="AZ48" s="1">
        <f t="shared" si="60"/>
        <v>0</v>
      </c>
      <c r="BA48" s="1">
        <f t="shared" si="60"/>
        <v>0</v>
      </c>
      <c r="BB48" s="1">
        <f t="shared" si="60"/>
        <v>0</v>
      </c>
      <c r="BC48" s="1">
        <f t="shared" si="60"/>
        <v>0</v>
      </c>
      <c r="BD48" s="1">
        <f t="shared" si="60"/>
        <v>0</v>
      </c>
      <c r="BE48" s="1">
        <f t="shared" si="60"/>
        <v>0</v>
      </c>
      <c r="BF48" s="1">
        <f t="shared" si="60"/>
        <v>0</v>
      </c>
      <c r="BG48" s="1">
        <f t="shared" si="60"/>
        <v>0</v>
      </c>
      <c r="BH48" s="1">
        <f t="shared" si="60"/>
        <v>0</v>
      </c>
      <c r="BI48" s="1">
        <f t="shared" si="60"/>
        <v>0</v>
      </c>
      <c r="BJ48" s="1">
        <f t="shared" si="60"/>
        <v>0</v>
      </c>
      <c r="BK48" s="1">
        <f t="shared" si="60"/>
        <v>0</v>
      </c>
      <c r="BL48" s="1">
        <f t="shared" si="60"/>
        <v>0</v>
      </c>
      <c r="BM48" s="1">
        <f t="shared" si="60"/>
        <v>0</v>
      </c>
      <c r="BN48" s="1">
        <f t="shared" si="60"/>
        <v>0</v>
      </c>
      <c r="BO48" s="1">
        <f t="shared" si="60"/>
        <v>0</v>
      </c>
      <c r="BP48" s="1">
        <f t="shared" si="60"/>
        <v>0</v>
      </c>
      <c r="BQ48" s="1">
        <f t="shared" si="60"/>
        <v>0</v>
      </c>
      <c r="BR48" s="1">
        <f t="shared" si="60"/>
        <v>0</v>
      </c>
      <c r="BS48" s="1">
        <f>BS46-BS47</f>
        <v>0</v>
      </c>
    </row>
    <row r="66" spans="2:114">
      <c r="B66" s="38" t="s">
        <v>167</v>
      </c>
    </row>
    <row r="67" spans="2:114">
      <c r="B67" s="38" t="s">
        <v>168</v>
      </c>
    </row>
    <row r="68" spans="2:114">
      <c r="B68" s="38" t="s">
        <v>169</v>
      </c>
    </row>
    <row r="69" spans="2:114">
      <c r="B69" s="38" t="s">
        <v>170</v>
      </c>
    </row>
    <row r="70" spans="2:114">
      <c r="B70" s="38" t="s">
        <v>171</v>
      </c>
    </row>
    <row r="71" spans="2:114">
      <c r="B71" s="38" t="s">
        <v>172</v>
      </c>
    </row>
    <row r="72" spans="2:114">
      <c r="B72" s="38" t="s">
        <v>208</v>
      </c>
    </row>
    <row r="74" spans="2:114">
      <c r="B74" s="1" t="s">
        <v>173</v>
      </c>
      <c r="CI74" s="1">
        <f>F74</f>
        <v>0</v>
      </c>
      <c r="CJ74" s="1">
        <f>J74</f>
        <v>0</v>
      </c>
      <c r="CK74" s="1">
        <f>N74</f>
        <v>0</v>
      </c>
      <c r="CL74" s="1">
        <f>R74</f>
        <v>0</v>
      </c>
      <c r="CM74" s="1">
        <f>V74</f>
        <v>0</v>
      </c>
      <c r="CN74" s="1">
        <f>Z74</f>
        <v>0</v>
      </c>
      <c r="CO74" s="1">
        <f>AD74</f>
        <v>0</v>
      </c>
      <c r="CP74" s="1">
        <f>AH74</f>
        <v>0</v>
      </c>
      <c r="CQ74" s="1">
        <f>AL74</f>
        <v>0</v>
      </c>
      <c r="CR74" s="1">
        <f>AP74</f>
        <v>0</v>
      </c>
      <c r="CS74" s="1">
        <f>AT74</f>
        <v>0</v>
      </c>
      <c r="CT74" s="1">
        <f>AX74</f>
        <v>0</v>
      </c>
      <c r="CU74" s="1">
        <f>BB74</f>
        <v>0</v>
      </c>
      <c r="CV74" s="1">
        <f>BF74</f>
        <v>0</v>
      </c>
      <c r="CW74" s="1">
        <f>BJ74</f>
        <v>0</v>
      </c>
      <c r="CX74" s="1">
        <f>BN74</f>
        <v>0</v>
      </c>
      <c r="CY74" s="1">
        <f>BR74</f>
        <v>0</v>
      </c>
    </row>
    <row r="75" spans="2:114">
      <c r="B75" s="1" t="s">
        <v>174</v>
      </c>
    </row>
    <row r="76" spans="2:114">
      <c r="B76" s="1" t="s">
        <v>175</v>
      </c>
      <c r="DA76" s="53" t="s">
        <v>227</v>
      </c>
      <c r="DB76" s="54"/>
      <c r="DC76" s="54"/>
      <c r="DD76" s="53" t="s">
        <v>228</v>
      </c>
      <c r="DE76" s="54"/>
      <c r="DF76" s="55" t="s">
        <v>229</v>
      </c>
      <c r="DG76" s="54"/>
      <c r="DH76" s="56" t="s">
        <v>230</v>
      </c>
      <c r="DI76" s="57">
        <v>0.06</v>
      </c>
      <c r="DJ76" s="54"/>
    </row>
    <row r="77" spans="2:114" ht="13.5" customHeight="1">
      <c r="DA77" s="54">
        <v>2025</v>
      </c>
      <c r="DB77" s="54"/>
      <c r="DC77" s="54">
        <v>2023</v>
      </c>
      <c r="DD77" s="54">
        <v>2024</v>
      </c>
      <c r="DE77" s="54"/>
      <c r="DF77" s="55" t="s">
        <v>231</v>
      </c>
      <c r="DG77" s="54"/>
      <c r="DH77" s="56" t="s">
        <v>232</v>
      </c>
      <c r="DI77" s="57">
        <v>2.5000000000000001E-2</v>
      </c>
      <c r="DJ77" s="54"/>
    </row>
    <row r="78" spans="2:114" ht="13.5" customHeight="1">
      <c r="DA78" s="58" t="e">
        <f>AVERAGE(CZ56)*(1-CZ70)</f>
        <v>#DIV/0!</v>
      </c>
      <c r="DB78" s="54"/>
      <c r="DC78" s="59">
        <f>SUM(CX73:CX78)-CX89+CX79+CX82+CX81</f>
        <v>0</v>
      </c>
      <c r="DD78" s="59">
        <f>SUM(CY73:CY78)-CY89+CY79+CY82+CY81</f>
        <v>0</v>
      </c>
      <c r="DE78" s="54"/>
      <c r="DF78" s="59">
        <f>AVERAGE(DC78:DD78)</f>
        <v>0</v>
      </c>
      <c r="DG78" s="54"/>
      <c r="DH78" s="56" t="s">
        <v>233</v>
      </c>
      <c r="DI78" s="57">
        <v>4.3400000000000001E-2</v>
      </c>
      <c r="DJ78" s="54"/>
    </row>
    <row r="79" spans="2:114" ht="13.5" customHeight="1">
      <c r="DA79" s="60" t="e">
        <f>DA78/DF78</f>
        <v>#DIV/0!</v>
      </c>
      <c r="DB79" s="54"/>
      <c r="DC79" s="54"/>
      <c r="DD79" s="54"/>
      <c r="DE79" s="54"/>
      <c r="DF79" s="54"/>
      <c r="DG79" s="54"/>
      <c r="DH79" s="56" t="s">
        <v>234</v>
      </c>
      <c r="DI79" s="57">
        <f>13.4%-DI78</f>
        <v>9.0600000000000014E-2</v>
      </c>
      <c r="DJ79" s="54"/>
    </row>
    <row r="80" spans="2:114" ht="13.5" customHeight="1">
      <c r="DA80" s="54"/>
      <c r="DB80" s="54"/>
      <c r="DC80" s="54"/>
      <c r="DD80" s="54"/>
      <c r="DE80" s="54"/>
      <c r="DF80" s="54"/>
      <c r="DG80" s="54"/>
      <c r="DH80" s="56" t="s">
        <v>235</v>
      </c>
      <c r="DI80" s="54">
        <f>'Notes | Quant Analysis'!K267</f>
        <v>0.97</v>
      </c>
      <c r="DJ80" s="54"/>
    </row>
    <row r="81" spans="105:114" ht="13.5" customHeight="1">
      <c r="DA81" s="54"/>
      <c r="DB81" s="54"/>
      <c r="DC81" s="54"/>
      <c r="DD81" s="54"/>
      <c r="DE81" s="54"/>
      <c r="DF81" s="54"/>
      <c r="DG81" s="54"/>
      <c r="DH81" s="56" t="s">
        <v>236</v>
      </c>
      <c r="DI81" s="57">
        <f>+DI78+(DI79*DI80)</f>
        <v>0.13128200000000001</v>
      </c>
      <c r="DJ81" s="61"/>
    </row>
    <row r="82" spans="105:114" ht="13.5" customHeight="1">
      <c r="DA82" s="61"/>
      <c r="DB82" s="61"/>
      <c r="DC82" s="61"/>
      <c r="DD82" s="61"/>
      <c r="DE82" s="61"/>
      <c r="DF82" s="61"/>
      <c r="DG82" s="61"/>
      <c r="DH82" s="56"/>
      <c r="DI82" s="54"/>
      <c r="DJ82" s="54"/>
    </row>
    <row r="83" spans="105:114" ht="13.5" customHeight="1">
      <c r="DA83" s="54"/>
      <c r="DB83" s="54"/>
      <c r="DC83" s="54"/>
      <c r="DD83" s="54"/>
      <c r="DE83" s="54"/>
      <c r="DF83" s="54"/>
      <c r="DG83" s="54"/>
      <c r="DH83" s="56" t="s">
        <v>237</v>
      </c>
      <c r="DI83" s="59">
        <f>NPV(DI81,CZ62:EW62)</f>
        <v>0</v>
      </c>
      <c r="DJ83" s="54"/>
    </row>
    <row r="84" spans="105:114" ht="13.5" customHeight="1">
      <c r="DA84" s="54"/>
      <c r="DB84" s="54"/>
      <c r="DC84" s="54"/>
      <c r="DD84" s="54"/>
      <c r="DE84" s="54"/>
      <c r="DF84" s="54"/>
      <c r="DG84" s="54"/>
      <c r="DH84" s="56" t="s">
        <v>187</v>
      </c>
      <c r="DI84" s="59">
        <f>Main!C4</f>
        <v>195.97</v>
      </c>
      <c r="DJ84" s="62" t="s">
        <v>238</v>
      </c>
    </row>
    <row r="85" spans="105:114" ht="13.5" customHeight="1">
      <c r="DA85" s="54"/>
      <c r="DB85" s="54"/>
      <c r="DC85" s="54"/>
      <c r="DD85" s="54"/>
      <c r="DE85" s="54"/>
      <c r="DF85" s="54"/>
      <c r="DG85" s="54"/>
      <c r="DH85" s="56" t="s">
        <v>239</v>
      </c>
      <c r="DI85" s="63">
        <f>DI83/DI84</f>
        <v>0</v>
      </c>
      <c r="DJ85" s="53"/>
    </row>
    <row r="86" spans="105:114" ht="13.5" customHeight="1">
      <c r="DA86" s="54"/>
      <c r="DB86" s="54"/>
      <c r="DC86" s="54"/>
      <c r="DD86" s="54"/>
      <c r="DE86" s="54"/>
      <c r="DF86" s="54"/>
      <c r="DG86" s="54"/>
      <c r="DH86" s="56" t="s">
        <v>240</v>
      </c>
      <c r="DI86" s="63">
        <f>Main!C3</f>
        <v>83.6</v>
      </c>
      <c r="DJ86" s="64"/>
    </row>
    <row r="87" spans="105:114" ht="13.5" customHeight="1">
      <c r="DA87" s="61"/>
      <c r="DB87" s="61"/>
      <c r="DC87" s="61"/>
      <c r="DD87" s="61"/>
      <c r="DE87" s="61"/>
      <c r="DF87" s="61"/>
      <c r="DG87" s="61"/>
      <c r="DH87" s="56" t="s">
        <v>241</v>
      </c>
      <c r="DI87" s="57">
        <f>DI85/DI86-1</f>
        <v>-1</v>
      </c>
      <c r="DJ87" s="65" t="str">
        <f>IF(DI87&gt;0,"Upside","Downside")</f>
        <v>Downside</v>
      </c>
    </row>
    <row r="88" spans="105:114" ht="13.5" customHeight="1">
      <c r="DH88" s="69" t="str" cm="1">
        <f t="array" ref="DH88">_xlfn.IFS(DI87&gt;=25%,"Strong Buy",DI87&gt;=10.00001%,"Buy",AND(DI87&lt;=10%,DI87&gt;=-4.9999%),"Hold",AND(DI87&lt;=-5%,DI87&gt;=-14.999999%),"Sell",DI87&lt;=-15%,"Strong Sell")</f>
        <v>Strong Sell</v>
      </c>
      <c r="DI88" s="69"/>
    </row>
    <row r="89" spans="105:114" ht="13.5" customHeight="1"/>
    <row r="90" spans="105:114" ht="13.5" customHeight="1"/>
    <row r="91" spans="105:114" ht="13.5" customHeight="1"/>
    <row r="92" spans="105:114" ht="13.5" customHeight="1"/>
    <row r="93" spans="105:114" ht="13.5" customHeight="1"/>
    <row r="108" spans="2:2">
      <c r="B108" s="1" t="s">
        <v>176</v>
      </c>
    </row>
    <row r="109" spans="2:2">
      <c r="B109" s="1" t="s">
        <v>177</v>
      </c>
    </row>
    <row r="110" spans="2:2">
      <c r="B110" s="1" t="s">
        <v>178</v>
      </c>
    </row>
    <row r="111" spans="2:2">
      <c r="B111" s="1" t="s">
        <v>179</v>
      </c>
    </row>
    <row r="112" spans="2:2">
      <c r="B112" s="1" t="s">
        <v>180</v>
      </c>
    </row>
    <row r="113" spans="2:2">
      <c r="B113" s="1" t="s">
        <v>181</v>
      </c>
    </row>
    <row r="114" spans="2:2">
      <c r="B114" s="1" t="s">
        <v>182</v>
      </c>
    </row>
    <row r="117" spans="2:2">
      <c r="B117" s="1" t="s">
        <v>183</v>
      </c>
    </row>
    <row r="118" spans="2:2">
      <c r="B118" s="1" t="s">
        <v>184</v>
      </c>
    </row>
    <row r="119" spans="2:2">
      <c r="B119" s="1" t="s">
        <v>185</v>
      </c>
    </row>
    <row r="120" spans="2:2">
      <c r="B120" s="1" t="s">
        <v>186</v>
      </c>
    </row>
    <row r="121" spans="2:2">
      <c r="B121" s="1" t="s">
        <v>187</v>
      </c>
    </row>
    <row r="122" spans="2:2">
      <c r="B122" s="1" t="s">
        <v>188</v>
      </c>
    </row>
  </sheetData>
  <mergeCells count="1">
    <mergeCell ref="DH88:DI88"/>
  </mergeCells>
  <conditionalFormatting sqref="DH88">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Sell",DH88)))</formula>
    </cfRule>
    <cfRule type="containsText" dxfId="3" priority="3" operator="containsText" text="Sell">
      <formula>NOT(ISERROR(SEARCH("Sell",DH88)))</formula>
    </cfRule>
    <cfRule type="containsText" dxfId="2" priority="4" operator="containsText" text="Hold">
      <formula>NOT(ISERROR(SEARCH("Hold",DH88)))</formula>
    </cfRule>
    <cfRule type="beginsWith" dxfId="1" priority="5" operator="beginsWith" text="Buy">
      <formula>LEFT(DH88,LEN("Buy"))="Buy"</formula>
    </cfRule>
    <cfRule type="beginsWith" dxfId="0" priority="6" operator="beginsWith" text="Strong">
      <formula>LEFT(DH88,LEN("Strong"))="Strong"</formula>
    </cfRule>
  </conditionalFormatting>
  <pageMargins left="0.7" right="0.7" top="0.75" bottom="0.75" header="0.3" footer="0.3"/>
  <ignoredErrors>
    <ignoredError sqref="CZ26:DI26 CJ16:CY16 CJ17:CY28" evalError="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A1618"/>
  <sheetViews>
    <sheetView topLeftCell="A245" zoomScale="85" zoomScaleNormal="85" workbookViewId="0">
      <selection activeCell="K268" sqref="K268"/>
    </sheetView>
  </sheetViews>
  <sheetFormatPr defaultColWidth="9.140625" defaultRowHeight="14.25"/>
  <cols>
    <col min="1" max="7" width="9.140625" style="1"/>
    <col min="8" max="8" width="3.140625" style="1" customWidth="1"/>
    <col min="9" max="28" width="9.140625" style="1"/>
    <col min="29" max="29" width="2.85546875" style="1" customWidth="1"/>
    <col min="30" max="16384" width="9.140625" style="1"/>
  </cols>
  <sheetData>
    <row r="1" spans="8:79">
      <c r="CA1" s="1">
        <v>0</v>
      </c>
    </row>
    <row r="2" spans="8:79" ht="15">
      <c r="H2" s="2" t="s">
        <v>217</v>
      </c>
      <c r="AD2" s="2" t="s">
        <v>189</v>
      </c>
    </row>
    <row r="36" spans="8:30" ht="15">
      <c r="H36" s="2" t="s">
        <v>221</v>
      </c>
    </row>
    <row r="37" spans="8:30" ht="15">
      <c r="I37" s="1" t="s">
        <v>15</v>
      </c>
      <c r="AD37" s="2" t="s">
        <v>190</v>
      </c>
    </row>
    <row r="38" spans="8:30" ht="15">
      <c r="AD38" s="2" t="s">
        <v>191</v>
      </c>
    </row>
    <row r="39" spans="8:30">
      <c r="AD39" s="1" t="s">
        <v>192</v>
      </c>
    </row>
    <row r="69" spans="8:9" ht="15">
      <c r="H69" s="2" t="s">
        <v>16</v>
      </c>
    </row>
    <row r="70" spans="8:9">
      <c r="I70" s="1" t="s">
        <v>17</v>
      </c>
    </row>
    <row r="76" spans="8:9">
      <c r="I76" s="1" t="s">
        <v>18</v>
      </c>
    </row>
    <row r="92" spans="9:9">
      <c r="I92" s="1" t="s">
        <v>19</v>
      </c>
    </row>
    <row r="109" spans="9:9">
      <c r="I109" s="1" t="s">
        <v>20</v>
      </c>
    </row>
    <row r="130" spans="8:30" ht="15">
      <c r="H130" s="2" t="s">
        <v>21</v>
      </c>
    </row>
    <row r="137" spans="8:30" ht="15">
      <c r="AD137" s="2" t="s">
        <v>193</v>
      </c>
    </row>
    <row r="138" spans="8:30">
      <c r="AD138" s="1" t="s">
        <v>194</v>
      </c>
    </row>
    <row r="162" spans="8:10">
      <c r="I162" s="1" t="s">
        <v>22</v>
      </c>
      <c r="J162" s="1" t="s">
        <v>23</v>
      </c>
    </row>
    <row r="163" spans="8:10">
      <c r="J163" s="1" t="s">
        <v>24</v>
      </c>
    </row>
    <row r="164" spans="8:10">
      <c r="J164" s="1" t="s">
        <v>25</v>
      </c>
    </row>
    <row r="166" spans="8:10" ht="15">
      <c r="H166" s="2" t="s">
        <v>220</v>
      </c>
    </row>
    <row r="195" spans="8:10">
      <c r="I195" s="1" t="s">
        <v>22</v>
      </c>
      <c r="J195" s="1" t="s">
        <v>23</v>
      </c>
    </row>
    <row r="196" spans="8:10">
      <c r="J196" s="1" t="s">
        <v>24</v>
      </c>
    </row>
    <row r="197" spans="8:10">
      <c r="J197" s="1" t="s">
        <v>25</v>
      </c>
    </row>
    <row r="199" spans="8:10" ht="15">
      <c r="H199" s="2" t="s">
        <v>219</v>
      </c>
    </row>
    <row r="215" ht="15" customHeight="1"/>
    <row r="228" spans="9:30">
      <c r="I228" s="1" t="s">
        <v>22</v>
      </c>
      <c r="J228" s="1" t="s">
        <v>23</v>
      </c>
    </row>
    <row r="229" spans="9:30">
      <c r="J229" s="1" t="s">
        <v>24</v>
      </c>
    </row>
    <row r="230" spans="9:30">
      <c r="J230" s="1" t="s">
        <v>25</v>
      </c>
    </row>
    <row r="232" spans="9:30" ht="15">
      <c r="AD232" s="2" t="s">
        <v>195</v>
      </c>
    </row>
    <row r="233" spans="9:30">
      <c r="AD233" s="1" t="s">
        <v>196</v>
      </c>
    </row>
    <row r="246" spans="1:7">
      <c r="A246" s="1" t="s">
        <v>1498</v>
      </c>
    </row>
    <row r="247" spans="1:7">
      <c r="A247" s="24" t="s">
        <v>26</v>
      </c>
      <c r="B247" s="24" t="s">
        <v>27</v>
      </c>
      <c r="C247" s="24" t="s">
        <v>28</v>
      </c>
      <c r="D247" s="24" t="s">
        <v>29</v>
      </c>
      <c r="E247" s="24" t="s">
        <v>30</v>
      </c>
      <c r="F247" s="24" t="s">
        <v>31</v>
      </c>
      <c r="G247" s="24" t="s">
        <v>32</v>
      </c>
    </row>
    <row r="248" spans="1:7">
      <c r="A248" s="66">
        <v>68.17</v>
      </c>
      <c r="B248" s="66">
        <v>69.194999999999993</v>
      </c>
      <c r="C248" s="66">
        <v>66.809600000000003</v>
      </c>
      <c r="D248" s="66">
        <v>67.569999999999993</v>
      </c>
      <c r="E248" s="66">
        <v>5454163</v>
      </c>
      <c r="F248" s="66" t="s">
        <v>242</v>
      </c>
      <c r="G248" s="25">
        <f t="shared" ref="G248:G311" si="0">A248/D248-1</f>
        <v>8.8796803315080997E-3</v>
      </c>
    </row>
    <row r="249" spans="1:7">
      <c r="A249" s="66">
        <v>67.22</v>
      </c>
      <c r="B249" s="66">
        <v>67.37</v>
      </c>
      <c r="C249" s="66">
        <v>64.84</v>
      </c>
      <c r="D249" s="66">
        <v>65.849999999999994</v>
      </c>
      <c r="E249" s="66">
        <v>2618673</v>
      </c>
      <c r="F249" s="66" t="s">
        <v>243</v>
      </c>
      <c r="G249" s="25">
        <f t="shared" si="0"/>
        <v>2.0804859529233166E-2</v>
      </c>
    </row>
    <row r="250" spans="1:7">
      <c r="A250" s="66">
        <v>64.319999999999993</v>
      </c>
      <c r="B250" s="66">
        <v>65.954999999999998</v>
      </c>
      <c r="C250" s="66">
        <v>64.186000000000007</v>
      </c>
      <c r="D250" s="66">
        <v>65.16</v>
      </c>
      <c r="E250" s="66">
        <v>1955715</v>
      </c>
      <c r="F250" s="66" t="s">
        <v>244</v>
      </c>
      <c r="G250" s="25">
        <f t="shared" si="0"/>
        <v>-1.2891344383057168E-2</v>
      </c>
    </row>
    <row r="251" spans="1:7">
      <c r="A251" s="66">
        <v>65.16</v>
      </c>
      <c r="B251" s="66">
        <v>66.045000000000002</v>
      </c>
      <c r="C251" s="66">
        <v>64.86</v>
      </c>
      <c r="D251" s="66">
        <v>65.790000000000006</v>
      </c>
      <c r="E251" s="66">
        <v>1865774</v>
      </c>
      <c r="F251" s="66" t="s">
        <v>245</v>
      </c>
      <c r="G251" s="25">
        <f t="shared" si="0"/>
        <v>-9.5759233926130394E-3</v>
      </c>
    </row>
    <row r="252" spans="1:7">
      <c r="A252" s="66">
        <v>65.48</v>
      </c>
      <c r="B252" s="66">
        <v>67.328199999999995</v>
      </c>
      <c r="C252" s="66">
        <v>65.36</v>
      </c>
      <c r="D252" s="66">
        <v>66.88</v>
      </c>
      <c r="E252" s="66">
        <v>2922263</v>
      </c>
      <c r="F252" s="66" t="s">
        <v>246</v>
      </c>
      <c r="G252" s="25">
        <f t="shared" si="0"/>
        <v>-2.0933014354066914E-2</v>
      </c>
    </row>
    <row r="253" spans="1:7">
      <c r="A253" s="66">
        <v>66.680000000000007</v>
      </c>
      <c r="B253" s="66">
        <v>68.13</v>
      </c>
      <c r="C253" s="66">
        <v>66.344999999999999</v>
      </c>
      <c r="D253" s="66">
        <v>68.13</v>
      </c>
      <c r="E253" s="66">
        <v>3147581</v>
      </c>
      <c r="F253" s="66" t="s">
        <v>247</v>
      </c>
      <c r="G253" s="25">
        <f t="shared" si="0"/>
        <v>-2.1282841626302451E-2</v>
      </c>
    </row>
    <row r="254" spans="1:7">
      <c r="A254" s="66">
        <v>68.459999999999994</v>
      </c>
      <c r="B254" s="66">
        <v>68.73</v>
      </c>
      <c r="C254" s="66">
        <v>67.67</v>
      </c>
      <c r="D254" s="66">
        <v>67.67</v>
      </c>
      <c r="E254" s="66">
        <v>1713599</v>
      </c>
      <c r="F254" s="66" t="s">
        <v>248</v>
      </c>
      <c r="G254" s="25">
        <f t="shared" si="0"/>
        <v>1.16743017585339E-2</v>
      </c>
    </row>
    <row r="255" spans="1:7">
      <c r="A255" s="66">
        <v>67.66</v>
      </c>
      <c r="B255" s="66">
        <v>68.510000000000005</v>
      </c>
      <c r="C255" s="66">
        <v>67.3</v>
      </c>
      <c r="D255" s="66">
        <v>68.19</v>
      </c>
      <c r="E255" s="66">
        <v>2396616</v>
      </c>
      <c r="F255" s="66" t="s">
        <v>249</v>
      </c>
      <c r="G255" s="25">
        <f t="shared" si="0"/>
        <v>-7.7724006452559724E-3</v>
      </c>
    </row>
    <row r="256" spans="1:7">
      <c r="A256" s="66">
        <v>68.25</v>
      </c>
      <c r="B256" s="66">
        <v>68.48</v>
      </c>
      <c r="C256" s="66">
        <v>67.459999999999994</v>
      </c>
      <c r="D256" s="66">
        <v>68.31</v>
      </c>
      <c r="E256" s="66">
        <v>2358729</v>
      </c>
      <c r="F256" s="66" t="s">
        <v>250</v>
      </c>
      <c r="G256" s="25">
        <f t="shared" si="0"/>
        <v>-8.7834870443570523E-4</v>
      </c>
    </row>
    <row r="257" spans="1:20">
      <c r="A257" s="66">
        <v>68.790000000000006</v>
      </c>
      <c r="B257" s="66">
        <v>69.81</v>
      </c>
      <c r="C257" s="66">
        <v>68.34</v>
      </c>
      <c r="D257" s="66">
        <v>69.430000000000007</v>
      </c>
      <c r="E257" s="66">
        <v>3190864</v>
      </c>
      <c r="F257" s="66" t="s">
        <v>251</v>
      </c>
      <c r="G257" s="25">
        <f t="shared" si="0"/>
        <v>-9.2179173268039927E-3</v>
      </c>
    </row>
    <row r="258" spans="1:20">
      <c r="A258" s="66">
        <v>68.09</v>
      </c>
      <c r="B258" s="66">
        <v>69.760000000000005</v>
      </c>
      <c r="C258" s="66">
        <v>68.069999999999993</v>
      </c>
      <c r="D258" s="66">
        <v>68.28</v>
      </c>
      <c r="E258" s="66">
        <v>2680419</v>
      </c>
      <c r="F258" s="66" t="s">
        <v>252</v>
      </c>
      <c r="G258" s="25">
        <f t="shared" si="0"/>
        <v>-2.7826596367896972E-3</v>
      </c>
    </row>
    <row r="259" spans="1:20">
      <c r="A259" s="66">
        <v>68</v>
      </c>
      <c r="B259" s="66">
        <v>68.08</v>
      </c>
      <c r="C259" s="66">
        <v>65.967500000000001</v>
      </c>
      <c r="D259" s="66">
        <v>66.83</v>
      </c>
      <c r="E259" s="66">
        <v>3101896</v>
      </c>
      <c r="F259" s="66" t="s">
        <v>253</v>
      </c>
      <c r="G259" s="25">
        <f t="shared" si="0"/>
        <v>1.7507107586413273E-2</v>
      </c>
    </row>
    <row r="260" spans="1:20">
      <c r="A260" s="66">
        <v>67.14</v>
      </c>
      <c r="B260" s="66">
        <v>67.28</v>
      </c>
      <c r="C260" s="66">
        <v>65.55</v>
      </c>
      <c r="D260" s="66">
        <v>66.25</v>
      </c>
      <c r="E260" s="66">
        <v>3818617</v>
      </c>
      <c r="F260" s="66" t="s">
        <v>254</v>
      </c>
      <c r="G260" s="25">
        <f t="shared" si="0"/>
        <v>1.3433962264151056E-2</v>
      </c>
    </row>
    <row r="261" spans="1:20">
      <c r="A261" s="66">
        <v>65.33</v>
      </c>
      <c r="B261" s="66">
        <v>67.215000000000003</v>
      </c>
      <c r="C261" s="66">
        <v>64.89</v>
      </c>
      <c r="D261" s="66">
        <v>66.38</v>
      </c>
      <c r="E261" s="66">
        <v>3763925</v>
      </c>
      <c r="F261" s="66" t="s">
        <v>255</v>
      </c>
      <c r="G261" s="25">
        <f t="shared" si="0"/>
        <v>-1.5818017475143109E-2</v>
      </c>
      <c r="I261" s="26"/>
      <c r="J261" s="26" t="s">
        <v>33</v>
      </c>
      <c r="K261" s="27">
        <f>MIN(G248:G1503)</f>
        <v>-6.5104557319012324E-2</v>
      </c>
    </row>
    <row r="262" spans="1:20">
      <c r="A262" s="66">
        <v>67.394999999999996</v>
      </c>
      <c r="B262" s="66">
        <v>67.55</v>
      </c>
      <c r="C262" s="66">
        <v>64.823499999999996</v>
      </c>
      <c r="D262" s="66">
        <v>65.06</v>
      </c>
      <c r="E262" s="66">
        <v>4069928</v>
      </c>
      <c r="F262" s="66" t="s">
        <v>256</v>
      </c>
      <c r="G262" s="25">
        <f t="shared" si="0"/>
        <v>3.588994774054699E-2</v>
      </c>
      <c r="I262" s="26"/>
      <c r="J262" s="26" t="s">
        <v>34</v>
      </c>
      <c r="K262" s="27">
        <f>MAX(G248:G1503)</f>
        <v>0.10810810810810834</v>
      </c>
    </row>
    <row r="263" spans="1:20">
      <c r="A263" s="66">
        <v>64.58</v>
      </c>
      <c r="B263" s="66">
        <v>66.83</v>
      </c>
      <c r="C263" s="66">
        <v>61.774999999999999</v>
      </c>
      <c r="D263" s="66">
        <v>62.265000000000001</v>
      </c>
      <c r="E263" s="66">
        <v>14902075</v>
      </c>
      <c r="F263" s="66" t="s">
        <v>257</v>
      </c>
      <c r="G263" s="25">
        <f t="shared" si="0"/>
        <v>3.7179796033084411E-2</v>
      </c>
      <c r="I263" s="26"/>
      <c r="J263" s="26" t="s">
        <v>35</v>
      </c>
      <c r="K263" s="27">
        <f>AVERAGE(G248:G1503)</f>
        <v>-2.8830672467431155E-4</v>
      </c>
    </row>
    <row r="264" spans="1:20">
      <c r="A264" s="66">
        <v>74.105000000000004</v>
      </c>
      <c r="B264" s="66">
        <v>74.81</v>
      </c>
      <c r="C264" s="66">
        <v>73.650000000000006</v>
      </c>
      <c r="D264" s="66">
        <v>73.790000000000006</v>
      </c>
      <c r="E264" s="66">
        <v>3842725</v>
      </c>
      <c r="F264" s="66" t="s">
        <v>258</v>
      </c>
      <c r="G264" s="25">
        <f t="shared" si="0"/>
        <v>4.2688711207481411E-3</v>
      </c>
      <c r="I264" s="26"/>
      <c r="J264" s="26" t="s">
        <v>36</v>
      </c>
      <c r="K264" s="27">
        <f>MEDIAN(G248:G1503)</f>
        <v>-5.3339994906975718E-4</v>
      </c>
    </row>
    <row r="265" spans="1:20" ht="15">
      <c r="A265" s="66">
        <v>73.66</v>
      </c>
      <c r="B265" s="66">
        <v>73.790000000000006</v>
      </c>
      <c r="C265" s="66">
        <v>72.930000000000007</v>
      </c>
      <c r="D265" s="66">
        <v>73.48</v>
      </c>
      <c r="E265" s="66">
        <v>4306975</v>
      </c>
      <c r="F265" s="66" t="s">
        <v>259</v>
      </c>
      <c r="G265" s="25">
        <f t="shared" si="0"/>
        <v>2.4496461622209864E-3</v>
      </c>
      <c r="I265" s="26"/>
      <c r="J265" s="26" t="s">
        <v>37</v>
      </c>
      <c r="K265" s="27">
        <f>_xlfn.STDEV.P(G248:G1503)</f>
        <v>1.4488028373286351E-2</v>
      </c>
      <c r="M265" s="2"/>
    </row>
    <row r="266" spans="1:20" ht="15">
      <c r="A266" s="66">
        <v>73.48</v>
      </c>
      <c r="B266" s="66">
        <v>75.435000000000002</v>
      </c>
      <c r="C266" s="66">
        <v>73.275000000000006</v>
      </c>
      <c r="D266" s="66">
        <v>75.22</v>
      </c>
      <c r="E266" s="66">
        <v>1619702</v>
      </c>
      <c r="F266" s="66" t="s">
        <v>260</v>
      </c>
      <c r="G266" s="25">
        <f t="shared" si="0"/>
        <v>-2.3132145705929252E-2</v>
      </c>
      <c r="I266" s="26"/>
      <c r="J266" s="28" t="s">
        <v>38</v>
      </c>
      <c r="K266" s="27">
        <f>3*K265</f>
        <v>4.3464085119859053E-2</v>
      </c>
      <c r="L266" s="26"/>
      <c r="M266" s="2" t="s">
        <v>209</v>
      </c>
    </row>
    <row r="267" spans="1:20" ht="15">
      <c r="A267" s="66">
        <v>75.22</v>
      </c>
      <c r="B267" s="66">
        <v>75.540000000000006</v>
      </c>
      <c r="C267" s="66">
        <v>73.650000000000006</v>
      </c>
      <c r="D267" s="66">
        <v>73.84</v>
      </c>
      <c r="E267" s="66">
        <v>1992148</v>
      </c>
      <c r="F267" s="66" t="s">
        <v>261</v>
      </c>
      <c r="G267" s="25">
        <f t="shared" si="0"/>
        <v>1.8689057421451771E-2</v>
      </c>
      <c r="I267" s="26"/>
      <c r="J267" s="28" t="s">
        <v>39</v>
      </c>
      <c r="K267" s="26">
        <v>0.97</v>
      </c>
      <c r="L267" s="26"/>
      <c r="M267" s="2" t="s">
        <v>40</v>
      </c>
    </row>
    <row r="268" spans="1:20">
      <c r="A268" s="66">
        <v>73.040000000000006</v>
      </c>
      <c r="B268" s="66">
        <v>73.73</v>
      </c>
      <c r="C268" s="66">
        <v>72.642600000000002</v>
      </c>
      <c r="D268" s="66">
        <v>72.930000000000007</v>
      </c>
      <c r="E268" s="66">
        <v>1712141</v>
      </c>
      <c r="F268" s="66" t="s">
        <v>262</v>
      </c>
      <c r="G268" s="25">
        <f t="shared" si="0"/>
        <v>1.5082956259426794E-3</v>
      </c>
    </row>
    <row r="269" spans="1:20">
      <c r="A269" s="66">
        <v>73.5</v>
      </c>
      <c r="B269" s="66">
        <v>73.680000000000007</v>
      </c>
      <c r="C269" s="66">
        <v>70.64</v>
      </c>
      <c r="D269" s="66">
        <v>72.5</v>
      </c>
      <c r="E269" s="66">
        <v>3095195</v>
      </c>
      <c r="F269" s="66" t="s">
        <v>263</v>
      </c>
      <c r="G269" s="25">
        <f t="shared" si="0"/>
        <v>1.379310344827589E-2</v>
      </c>
      <c r="L269" s="29" t="s">
        <v>41</v>
      </c>
      <c r="M269" s="30">
        <v>1256</v>
      </c>
    </row>
    <row r="270" spans="1:20" ht="15" thickBot="1">
      <c r="A270" s="66">
        <v>74.02</v>
      </c>
      <c r="B270" s="66">
        <v>74.36</v>
      </c>
      <c r="C270" s="66">
        <v>73.27</v>
      </c>
      <c r="D270" s="66">
        <v>73.67</v>
      </c>
      <c r="E270" s="66">
        <v>1851176</v>
      </c>
      <c r="F270" s="66" t="s">
        <v>264</v>
      </c>
      <c r="G270" s="25">
        <f t="shared" si="0"/>
        <v>4.7509162481333966E-3</v>
      </c>
      <c r="L270" s="1" t="s">
        <v>42</v>
      </c>
      <c r="O270" s="1" t="s">
        <v>43</v>
      </c>
      <c r="S270" s="1" t="s">
        <v>44</v>
      </c>
    </row>
    <row r="271" spans="1:20" ht="15" customHeight="1">
      <c r="A271" s="66">
        <v>73.53</v>
      </c>
      <c r="B271" s="66">
        <v>74.2</v>
      </c>
      <c r="C271" s="66">
        <v>72.72</v>
      </c>
      <c r="D271" s="66">
        <v>73.459999999999994</v>
      </c>
      <c r="E271" s="66">
        <v>1832685</v>
      </c>
      <c r="F271" s="66" t="s">
        <v>265</v>
      </c>
      <c r="G271" s="25">
        <f t="shared" si="0"/>
        <v>9.5289953716326536E-4</v>
      </c>
      <c r="L271" s="31" t="s">
        <v>45</v>
      </c>
      <c r="M271" s="31" t="s">
        <v>46</v>
      </c>
      <c r="O271" s="32" t="s">
        <v>47</v>
      </c>
      <c r="P271" s="33" t="s">
        <v>48</v>
      </c>
      <c r="S271" s="32" t="s">
        <v>49</v>
      </c>
      <c r="T271" s="33" t="s">
        <v>50</v>
      </c>
    </row>
    <row r="272" spans="1:20">
      <c r="A272" s="66">
        <v>73.260000000000005</v>
      </c>
      <c r="B272" s="66">
        <v>74.33</v>
      </c>
      <c r="C272" s="66">
        <v>73.14</v>
      </c>
      <c r="D272" s="66">
        <v>73.84</v>
      </c>
      <c r="E272" s="66">
        <v>1397178</v>
      </c>
      <c r="F272" s="66" t="s">
        <v>266</v>
      </c>
      <c r="G272" s="25">
        <f t="shared" si="0"/>
        <v>-7.8548212351029489E-3</v>
      </c>
      <c r="R272" s="1" t="s">
        <v>199</v>
      </c>
      <c r="S272" s="67">
        <f>K263</f>
        <v>-2.8830672467431155E-4</v>
      </c>
    </row>
    <row r="273" spans="1:19">
      <c r="A273" s="66">
        <v>73.44</v>
      </c>
      <c r="B273" s="66">
        <v>73.81</v>
      </c>
      <c r="C273" s="66">
        <v>72.7273</v>
      </c>
      <c r="D273" s="66">
        <v>73.63</v>
      </c>
      <c r="E273" s="66">
        <v>1117490</v>
      </c>
      <c r="F273" s="66" t="s">
        <v>267</v>
      </c>
      <c r="G273" s="25">
        <f t="shared" si="0"/>
        <v>-2.5804699171533274E-3</v>
      </c>
      <c r="S273" s="67">
        <f>K263</f>
        <v>-2.8830672467431155E-4</v>
      </c>
    </row>
    <row r="274" spans="1:19">
      <c r="A274" s="66">
        <v>74.27</v>
      </c>
      <c r="B274" s="66">
        <v>74.489900000000006</v>
      </c>
      <c r="C274" s="66">
        <v>72.960099999999997</v>
      </c>
      <c r="D274" s="66">
        <v>73.13</v>
      </c>
      <c r="E274" s="66">
        <v>1450079</v>
      </c>
      <c r="F274" s="66" t="s">
        <v>268</v>
      </c>
      <c r="G274" s="25">
        <f t="shared" si="0"/>
        <v>1.5588677697251585E-2</v>
      </c>
      <c r="R274" s="40" t="s">
        <v>200</v>
      </c>
      <c r="S274" s="67">
        <f>($K$265*-3)+$K$263</f>
        <v>-4.3752391844533361E-2</v>
      </c>
    </row>
    <row r="275" spans="1:19">
      <c r="A275" s="66">
        <v>72.69</v>
      </c>
      <c r="B275" s="66">
        <v>72.83</v>
      </c>
      <c r="C275" s="66">
        <v>70.790000000000006</v>
      </c>
      <c r="D275" s="66">
        <v>71.22</v>
      </c>
      <c r="E275" s="66">
        <v>1469397</v>
      </c>
      <c r="F275" s="66" t="s">
        <v>269</v>
      </c>
      <c r="G275" s="25">
        <f t="shared" si="0"/>
        <v>2.064026958719456E-2</v>
      </c>
      <c r="R275" s="41"/>
      <c r="S275" s="67">
        <f>($K$265*-3)+$K$263</f>
        <v>-4.3752391844533361E-2</v>
      </c>
    </row>
    <row r="276" spans="1:19">
      <c r="A276" s="66">
        <v>70.88</v>
      </c>
      <c r="B276" s="66">
        <v>71.37</v>
      </c>
      <c r="C276" s="66">
        <v>69.48</v>
      </c>
      <c r="D276" s="66">
        <v>70.165000000000006</v>
      </c>
      <c r="E276" s="66">
        <v>2105057</v>
      </c>
      <c r="F276" s="66" t="s">
        <v>270</v>
      </c>
      <c r="G276" s="25">
        <f t="shared" si="0"/>
        <v>1.0190265802037857E-2</v>
      </c>
      <c r="R276" s="40" t="s">
        <v>201</v>
      </c>
      <c r="S276" s="67">
        <f>($K$265*-2)+$K$263</f>
        <v>-2.9264363471247015E-2</v>
      </c>
    </row>
    <row r="277" spans="1:19">
      <c r="A277" s="66">
        <v>70.290000000000006</v>
      </c>
      <c r="B277" s="66">
        <v>70.37</v>
      </c>
      <c r="C277" s="66">
        <v>68.882499999999993</v>
      </c>
      <c r="D277" s="66">
        <v>69.180000000000007</v>
      </c>
      <c r="E277" s="66">
        <v>956175</v>
      </c>
      <c r="F277" s="66" t="s">
        <v>271</v>
      </c>
      <c r="G277" s="25">
        <f t="shared" si="0"/>
        <v>1.6045099739809165E-2</v>
      </c>
      <c r="R277" s="41"/>
      <c r="S277" s="67">
        <f>($K$265*-2)+$K$263</f>
        <v>-2.9264363471247015E-2</v>
      </c>
    </row>
    <row r="278" spans="1:19">
      <c r="A278" s="66">
        <v>69.2</v>
      </c>
      <c r="B278" s="66">
        <v>69.888900000000007</v>
      </c>
      <c r="C278" s="66">
        <v>68.17</v>
      </c>
      <c r="D278" s="66">
        <v>68.849999999999994</v>
      </c>
      <c r="E278" s="66">
        <v>1197603</v>
      </c>
      <c r="F278" s="66" t="s">
        <v>272</v>
      </c>
      <c r="G278" s="25">
        <f t="shared" si="0"/>
        <v>5.0835148874366354E-3</v>
      </c>
      <c r="R278" s="42" t="s">
        <v>202</v>
      </c>
      <c r="S278" s="67">
        <f>($K$265*-1)+$K$263</f>
        <v>-1.4776335097960664E-2</v>
      </c>
    </row>
    <row r="279" spans="1:19">
      <c r="A279" s="66">
        <v>68.12</v>
      </c>
      <c r="B279" s="66">
        <v>69.89</v>
      </c>
      <c r="C279" s="66">
        <v>68.09</v>
      </c>
      <c r="D279" s="66">
        <v>69.55</v>
      </c>
      <c r="E279" s="66">
        <v>1805107</v>
      </c>
      <c r="F279" s="66" t="s">
        <v>273</v>
      </c>
      <c r="G279" s="25">
        <f t="shared" si="0"/>
        <v>-2.0560747663551315E-2</v>
      </c>
      <c r="S279" s="67">
        <f>($K$265*-1)+$K$263</f>
        <v>-1.4776335097960664E-2</v>
      </c>
    </row>
    <row r="280" spans="1:19">
      <c r="A280" s="66">
        <v>69.56</v>
      </c>
      <c r="B280" s="66">
        <v>71.41</v>
      </c>
      <c r="C280" s="66">
        <v>68.95</v>
      </c>
      <c r="D280" s="66">
        <v>71.41</v>
      </c>
      <c r="E280" s="66">
        <v>2162717</v>
      </c>
      <c r="F280" s="66" t="s">
        <v>274</v>
      </c>
      <c r="G280" s="25">
        <f t="shared" si="0"/>
        <v>-2.5906735751295207E-2</v>
      </c>
      <c r="R280" s="1" t="s">
        <v>203</v>
      </c>
      <c r="S280" s="67">
        <f>($K$265*1)+$K$263</f>
        <v>1.4199721648612039E-2</v>
      </c>
    </row>
    <row r="281" spans="1:19">
      <c r="A281" s="66">
        <v>71.45</v>
      </c>
      <c r="B281" s="66">
        <v>71.61</v>
      </c>
      <c r="C281" s="66">
        <v>70.984999999999999</v>
      </c>
      <c r="D281" s="66">
        <v>71.040000000000006</v>
      </c>
      <c r="E281" s="66">
        <v>1416982</v>
      </c>
      <c r="F281" s="66" t="s">
        <v>275</v>
      </c>
      <c r="G281" s="25">
        <f t="shared" si="0"/>
        <v>5.7713963963963444E-3</v>
      </c>
      <c r="S281" s="67">
        <f>($K$265*1)+$K$263</f>
        <v>1.4199721648612039E-2</v>
      </c>
    </row>
    <row r="282" spans="1:19">
      <c r="A282" s="66">
        <v>70.87</v>
      </c>
      <c r="B282" s="66">
        <v>71</v>
      </c>
      <c r="C282" s="66">
        <v>69.584999999999994</v>
      </c>
      <c r="D282" s="66">
        <v>70.5</v>
      </c>
      <c r="E282" s="66">
        <v>1359138</v>
      </c>
      <c r="F282" s="66" t="s">
        <v>276</v>
      </c>
      <c r="G282" s="25">
        <f t="shared" si="0"/>
        <v>5.2482269503546508E-3</v>
      </c>
      <c r="R282" s="43" t="s">
        <v>204</v>
      </c>
      <c r="S282" s="67">
        <f>($K$265*2)+$K$263</f>
        <v>2.8687750021898391E-2</v>
      </c>
    </row>
    <row r="283" spans="1:19">
      <c r="A283" s="66">
        <v>70.69</v>
      </c>
      <c r="B283" s="66">
        <v>72</v>
      </c>
      <c r="C283" s="66">
        <v>70.47</v>
      </c>
      <c r="D283" s="66">
        <v>71.41</v>
      </c>
      <c r="E283" s="66">
        <v>1494762</v>
      </c>
      <c r="F283" s="66" t="s">
        <v>277</v>
      </c>
      <c r="G283" s="25">
        <f t="shared" si="0"/>
        <v>-1.008262148158523E-2</v>
      </c>
      <c r="S283" s="67">
        <f>($K$265*2)+$K$263</f>
        <v>2.8687750021898391E-2</v>
      </c>
    </row>
    <row r="284" spans="1:19">
      <c r="A284" s="66">
        <v>72.28</v>
      </c>
      <c r="B284" s="66">
        <v>73.849999999999994</v>
      </c>
      <c r="C284" s="66">
        <v>71.89</v>
      </c>
      <c r="D284" s="66">
        <v>73.75</v>
      </c>
      <c r="E284" s="66">
        <v>1421870</v>
      </c>
      <c r="F284" s="66" t="s">
        <v>278</v>
      </c>
      <c r="G284" s="25">
        <f t="shared" si="0"/>
        <v>-1.9932203389830483E-2</v>
      </c>
      <c r="R284" s="43" t="s">
        <v>205</v>
      </c>
      <c r="S284" s="67">
        <f>($K$265*3)+$K$263</f>
        <v>4.3175778395184744E-2</v>
      </c>
    </row>
    <row r="285" spans="1:19">
      <c r="A285" s="66">
        <v>73.7</v>
      </c>
      <c r="B285" s="66">
        <v>73.72</v>
      </c>
      <c r="C285" s="66">
        <v>72.739999999999995</v>
      </c>
      <c r="D285" s="66">
        <v>73.03</v>
      </c>
      <c r="E285" s="66">
        <v>1079880</v>
      </c>
      <c r="F285" s="66" t="s">
        <v>279</v>
      </c>
      <c r="G285" s="25">
        <f t="shared" si="0"/>
        <v>9.1743119266054496E-3</v>
      </c>
      <c r="R285" s="43"/>
      <c r="S285" s="67">
        <f>($K$265*3)+$K$263</f>
        <v>4.3175778395184744E-2</v>
      </c>
    </row>
    <row r="286" spans="1:19">
      <c r="A286" s="66">
        <v>72.91</v>
      </c>
      <c r="B286" s="66">
        <v>74.375</v>
      </c>
      <c r="C286" s="66">
        <v>72.849999999999994</v>
      </c>
      <c r="D286" s="66">
        <v>74.349999999999994</v>
      </c>
      <c r="E286" s="66">
        <v>988418</v>
      </c>
      <c r="F286" s="66" t="s">
        <v>280</v>
      </c>
      <c r="G286" s="25">
        <f t="shared" si="0"/>
        <v>-1.9367854741089374E-2</v>
      </c>
    </row>
    <row r="287" spans="1:19">
      <c r="A287" s="66">
        <v>74.59</v>
      </c>
      <c r="B287" s="66">
        <v>74.73</v>
      </c>
      <c r="C287" s="66">
        <v>73.52</v>
      </c>
      <c r="D287" s="66">
        <v>74.040000000000006</v>
      </c>
      <c r="E287" s="66">
        <v>1269899</v>
      </c>
      <c r="F287" s="66" t="s">
        <v>281</v>
      </c>
      <c r="G287" s="25">
        <f t="shared" si="0"/>
        <v>7.428417071853044E-3</v>
      </c>
    </row>
    <row r="288" spans="1:19">
      <c r="A288" s="66">
        <v>73.8</v>
      </c>
      <c r="B288" s="66">
        <v>73.888999999999996</v>
      </c>
      <c r="C288" s="66">
        <v>72.745000000000005</v>
      </c>
      <c r="D288" s="66">
        <v>73.239999999999995</v>
      </c>
      <c r="E288" s="66">
        <v>2526697</v>
      </c>
      <c r="F288" s="66" t="s">
        <v>282</v>
      </c>
      <c r="G288" s="25">
        <f t="shared" si="0"/>
        <v>7.6460950300383246E-3</v>
      </c>
    </row>
    <row r="289" spans="1:7">
      <c r="A289" s="66">
        <v>73.38</v>
      </c>
      <c r="B289" s="66">
        <v>73.709999999999994</v>
      </c>
      <c r="C289" s="66">
        <v>72.319999999999993</v>
      </c>
      <c r="D289" s="66">
        <v>73.650000000000006</v>
      </c>
      <c r="E289" s="66">
        <v>2648312</v>
      </c>
      <c r="F289" s="66" t="s">
        <v>283</v>
      </c>
      <c r="G289" s="25">
        <f t="shared" si="0"/>
        <v>-3.6659877800409024E-3</v>
      </c>
    </row>
    <row r="290" spans="1:7">
      <c r="A290" s="66">
        <v>73.03</v>
      </c>
      <c r="B290" s="66">
        <v>73.75</v>
      </c>
      <c r="C290" s="66">
        <v>72.210099999999997</v>
      </c>
      <c r="D290" s="66">
        <v>72.3</v>
      </c>
      <c r="E290" s="66">
        <v>2829682</v>
      </c>
      <c r="F290" s="66" t="s">
        <v>284</v>
      </c>
      <c r="G290" s="25">
        <f t="shared" si="0"/>
        <v>1.0096818810511721E-2</v>
      </c>
    </row>
    <row r="291" spans="1:7">
      <c r="A291" s="66">
        <v>71.319999999999993</v>
      </c>
      <c r="B291" s="66">
        <v>72.87</v>
      </c>
      <c r="C291" s="66">
        <v>71.3</v>
      </c>
      <c r="D291" s="66">
        <v>72.739999999999995</v>
      </c>
      <c r="E291" s="66">
        <v>2019190</v>
      </c>
      <c r="F291" s="66" t="s">
        <v>285</v>
      </c>
      <c r="G291" s="25">
        <f t="shared" si="0"/>
        <v>-1.9521583722848512E-2</v>
      </c>
    </row>
    <row r="292" spans="1:7">
      <c r="A292" s="66">
        <v>72.63</v>
      </c>
      <c r="B292" s="66">
        <v>74.194999999999993</v>
      </c>
      <c r="C292" s="66">
        <v>72.28</v>
      </c>
      <c r="D292" s="66">
        <v>73.98</v>
      </c>
      <c r="E292" s="66">
        <v>1870492</v>
      </c>
      <c r="F292" s="66" t="s">
        <v>286</v>
      </c>
      <c r="G292" s="25">
        <f t="shared" si="0"/>
        <v>-1.8248175182481896E-2</v>
      </c>
    </row>
    <row r="293" spans="1:7">
      <c r="A293" s="66">
        <v>73.260000000000005</v>
      </c>
      <c r="B293" s="66">
        <v>73.34</v>
      </c>
      <c r="C293" s="66">
        <v>72.05</v>
      </c>
      <c r="D293" s="66">
        <v>72.3</v>
      </c>
      <c r="E293" s="66">
        <v>2614232</v>
      </c>
      <c r="F293" s="66" t="s">
        <v>287</v>
      </c>
      <c r="G293" s="25">
        <f t="shared" si="0"/>
        <v>1.3278008298755362E-2</v>
      </c>
    </row>
    <row r="294" spans="1:7">
      <c r="A294" s="66">
        <v>72.7</v>
      </c>
      <c r="B294" s="66">
        <v>73.83</v>
      </c>
      <c r="C294" s="66">
        <v>72.150000000000006</v>
      </c>
      <c r="D294" s="66">
        <v>73.099999999999994</v>
      </c>
      <c r="E294" s="66">
        <v>4252339</v>
      </c>
      <c r="F294" s="66" t="s">
        <v>288</v>
      </c>
      <c r="G294" s="25">
        <f t="shared" si="0"/>
        <v>-5.4719562243500386E-3</v>
      </c>
    </row>
    <row r="295" spans="1:7">
      <c r="A295" s="66">
        <v>72.2</v>
      </c>
      <c r="B295" s="66">
        <v>73.984999999999999</v>
      </c>
      <c r="C295" s="66">
        <v>72.099999999999994</v>
      </c>
      <c r="D295" s="66">
        <v>73.790000000000006</v>
      </c>
      <c r="E295" s="66">
        <v>2799876</v>
      </c>
      <c r="F295" s="66" t="s">
        <v>289</v>
      </c>
      <c r="G295" s="25">
        <f t="shared" si="0"/>
        <v>-2.1547635180918845E-2</v>
      </c>
    </row>
    <row r="296" spans="1:7">
      <c r="A296" s="66">
        <v>73.61</v>
      </c>
      <c r="B296" s="66">
        <v>75.180000000000007</v>
      </c>
      <c r="C296" s="66">
        <v>73.375</v>
      </c>
      <c r="D296" s="66">
        <v>74.8</v>
      </c>
      <c r="E296" s="66">
        <v>2205685</v>
      </c>
      <c r="F296" s="66" t="s">
        <v>290</v>
      </c>
      <c r="G296" s="25">
        <f t="shared" si="0"/>
        <v>-1.5909090909090873E-2</v>
      </c>
    </row>
    <row r="297" spans="1:7">
      <c r="A297" s="66">
        <v>74.77</v>
      </c>
      <c r="B297" s="66">
        <v>75.930000000000007</v>
      </c>
      <c r="C297" s="66">
        <v>74.62</v>
      </c>
      <c r="D297" s="66">
        <v>75.83</v>
      </c>
      <c r="E297" s="66">
        <v>2503173</v>
      </c>
      <c r="F297" s="66" t="s">
        <v>291</v>
      </c>
      <c r="G297" s="25">
        <f t="shared" si="0"/>
        <v>-1.3978636423579105E-2</v>
      </c>
    </row>
    <row r="298" spans="1:7">
      <c r="A298" s="66">
        <v>76.7</v>
      </c>
      <c r="B298" s="66">
        <v>77.06</v>
      </c>
      <c r="C298" s="66">
        <v>74.4375</v>
      </c>
      <c r="D298" s="66">
        <v>74.81</v>
      </c>
      <c r="E298" s="66">
        <v>2983927</v>
      </c>
      <c r="F298" s="66" t="s">
        <v>292</v>
      </c>
      <c r="G298" s="25">
        <f t="shared" si="0"/>
        <v>2.5264002138751573E-2</v>
      </c>
    </row>
    <row r="299" spans="1:7">
      <c r="A299" s="66">
        <v>74.95</v>
      </c>
      <c r="B299" s="66">
        <v>75.31</v>
      </c>
      <c r="C299" s="66">
        <v>73.61</v>
      </c>
      <c r="D299" s="66">
        <v>74.260000000000005</v>
      </c>
      <c r="E299" s="66">
        <v>3548875</v>
      </c>
      <c r="F299" s="66" t="s">
        <v>293</v>
      </c>
      <c r="G299" s="25">
        <f t="shared" si="0"/>
        <v>9.2916778884999385E-3</v>
      </c>
    </row>
    <row r="300" spans="1:7">
      <c r="A300" s="66">
        <v>74.260000000000005</v>
      </c>
      <c r="B300" s="66">
        <v>74.39</v>
      </c>
      <c r="C300" s="66">
        <v>72.905000000000001</v>
      </c>
      <c r="D300" s="66">
        <v>73.37</v>
      </c>
      <c r="E300" s="66">
        <v>2786069</v>
      </c>
      <c r="F300" s="66" t="s">
        <v>294</v>
      </c>
      <c r="G300" s="25">
        <f t="shared" si="0"/>
        <v>1.2130298487120106E-2</v>
      </c>
    </row>
    <row r="301" spans="1:7">
      <c r="A301" s="66">
        <v>73.290000000000006</v>
      </c>
      <c r="B301" s="66">
        <v>74.05</v>
      </c>
      <c r="C301" s="66">
        <v>72.819999999999993</v>
      </c>
      <c r="D301" s="66">
        <v>73.125</v>
      </c>
      <c r="E301" s="66">
        <v>3525977</v>
      </c>
      <c r="F301" s="66" t="s">
        <v>295</v>
      </c>
      <c r="G301" s="25">
        <f t="shared" si="0"/>
        <v>2.2564102564104349E-3</v>
      </c>
    </row>
    <row r="302" spans="1:7">
      <c r="A302" s="66">
        <v>73.3</v>
      </c>
      <c r="B302" s="66">
        <v>73.915000000000006</v>
      </c>
      <c r="C302" s="66">
        <v>72.77</v>
      </c>
      <c r="D302" s="66">
        <v>73.41</v>
      </c>
      <c r="E302" s="66">
        <v>1492296</v>
      </c>
      <c r="F302" s="66" t="s">
        <v>296</v>
      </c>
      <c r="G302" s="25">
        <f t="shared" si="0"/>
        <v>-1.4984334559324797E-3</v>
      </c>
    </row>
    <row r="303" spans="1:7">
      <c r="A303" s="66">
        <v>73.02</v>
      </c>
      <c r="B303" s="66">
        <v>73.39</v>
      </c>
      <c r="C303" s="66">
        <v>72.319999999999993</v>
      </c>
      <c r="D303" s="66">
        <v>72.66</v>
      </c>
      <c r="E303" s="66">
        <v>3367336</v>
      </c>
      <c r="F303" s="66" t="s">
        <v>297</v>
      </c>
      <c r="G303" s="25">
        <f t="shared" si="0"/>
        <v>4.9545829892649884E-3</v>
      </c>
    </row>
    <row r="304" spans="1:7">
      <c r="A304" s="66">
        <v>72.81</v>
      </c>
      <c r="B304" s="66">
        <v>73.8</v>
      </c>
      <c r="C304" s="66">
        <v>70.91</v>
      </c>
      <c r="D304" s="66">
        <v>71</v>
      </c>
      <c r="E304" s="66">
        <v>2582979</v>
      </c>
      <c r="F304" s="66" t="s">
        <v>298</v>
      </c>
      <c r="G304" s="25">
        <f t="shared" si="0"/>
        <v>2.5492957746478861E-2</v>
      </c>
    </row>
    <row r="305" spans="1:30">
      <c r="A305" s="66">
        <v>71.16</v>
      </c>
      <c r="B305" s="66">
        <v>71.665999999999997</v>
      </c>
      <c r="C305" s="66">
        <v>70.58</v>
      </c>
      <c r="D305" s="66">
        <v>71.22</v>
      </c>
      <c r="E305" s="66">
        <v>2132480</v>
      </c>
      <c r="F305" s="66" t="s">
        <v>299</v>
      </c>
      <c r="G305" s="25">
        <f t="shared" si="0"/>
        <v>-8.4245998315080062E-4</v>
      </c>
    </row>
    <row r="306" spans="1:30">
      <c r="A306" s="66">
        <v>71.14</v>
      </c>
      <c r="B306" s="66">
        <v>71.86</v>
      </c>
      <c r="C306" s="66">
        <v>69.489999999999995</v>
      </c>
      <c r="D306" s="66">
        <v>69.66</v>
      </c>
      <c r="E306" s="66">
        <v>5274917</v>
      </c>
      <c r="F306" s="66" t="s">
        <v>300</v>
      </c>
      <c r="G306" s="25">
        <f t="shared" si="0"/>
        <v>2.1246052253804271E-2</v>
      </c>
    </row>
    <row r="307" spans="1:30">
      <c r="A307" s="66">
        <v>69.69</v>
      </c>
      <c r="B307" s="66">
        <v>69.989900000000006</v>
      </c>
      <c r="C307" s="66">
        <v>69.010000000000005</v>
      </c>
      <c r="D307" s="66">
        <v>69.7</v>
      </c>
      <c r="E307" s="66">
        <v>1518908</v>
      </c>
      <c r="F307" s="66" t="s">
        <v>301</v>
      </c>
      <c r="G307" s="25">
        <f t="shared" si="0"/>
        <v>-1.4347202295561523E-4</v>
      </c>
    </row>
    <row r="308" spans="1:30">
      <c r="A308" s="66">
        <v>69.540000000000006</v>
      </c>
      <c r="B308" s="66">
        <v>70.739999999999995</v>
      </c>
      <c r="C308" s="66">
        <v>69.45</v>
      </c>
      <c r="D308" s="66">
        <v>70.58</v>
      </c>
      <c r="E308" s="66">
        <v>1993495</v>
      </c>
      <c r="F308" s="66" t="s">
        <v>302</v>
      </c>
      <c r="G308" s="25">
        <f t="shared" si="0"/>
        <v>-1.4735052422782502E-2</v>
      </c>
    </row>
    <row r="309" spans="1:30">
      <c r="A309" s="66">
        <v>70.930000000000007</v>
      </c>
      <c r="B309" s="66">
        <v>71.48</v>
      </c>
      <c r="C309" s="66">
        <v>69.180099999999996</v>
      </c>
      <c r="D309" s="66">
        <v>69.900000000000006</v>
      </c>
      <c r="E309" s="66">
        <v>4258363</v>
      </c>
      <c r="F309" s="66" t="s">
        <v>303</v>
      </c>
      <c r="G309" s="25">
        <f t="shared" si="0"/>
        <v>1.4735336194563686E-2</v>
      </c>
    </row>
    <row r="310" spans="1:30">
      <c r="A310" s="66">
        <v>69.52</v>
      </c>
      <c r="B310" s="66">
        <v>69.724999999999994</v>
      </c>
      <c r="C310" s="66">
        <v>68.12</v>
      </c>
      <c r="D310" s="66">
        <v>69.2</v>
      </c>
      <c r="E310" s="66">
        <v>4426663</v>
      </c>
      <c r="F310" s="66" t="s">
        <v>304</v>
      </c>
      <c r="G310" s="25">
        <f t="shared" si="0"/>
        <v>4.6242774566473965E-3</v>
      </c>
    </row>
    <row r="311" spans="1:30">
      <c r="A311" s="66">
        <v>69.47</v>
      </c>
      <c r="B311" s="66">
        <v>70.819999999999993</v>
      </c>
      <c r="C311" s="66">
        <v>69.42</v>
      </c>
      <c r="D311" s="66">
        <v>70.53</v>
      </c>
      <c r="E311" s="66">
        <v>4612412</v>
      </c>
      <c r="F311" s="66" t="s">
        <v>305</v>
      </c>
      <c r="G311" s="25">
        <f t="shared" si="0"/>
        <v>-1.5029065645824513E-2</v>
      </c>
    </row>
    <row r="312" spans="1:30">
      <c r="A312" s="66">
        <v>69.81</v>
      </c>
      <c r="B312" s="66">
        <v>70.290000000000006</v>
      </c>
      <c r="C312" s="66">
        <v>67.98</v>
      </c>
      <c r="D312" s="66">
        <v>68.819999999999993</v>
      </c>
      <c r="E312" s="66">
        <v>3924713</v>
      </c>
      <c r="F312" s="66" t="s">
        <v>306</v>
      </c>
      <c r="G312" s="25">
        <f t="shared" ref="G312:G375" si="1">A312/D312-1</f>
        <v>1.438535309503064E-2</v>
      </c>
    </row>
    <row r="313" spans="1:30">
      <c r="A313" s="66">
        <v>68.760000000000005</v>
      </c>
      <c r="B313" s="66">
        <v>70.45</v>
      </c>
      <c r="C313" s="66">
        <v>68.564999999999998</v>
      </c>
      <c r="D313" s="66">
        <v>70.34</v>
      </c>
      <c r="E313" s="66">
        <v>3224383</v>
      </c>
      <c r="F313" s="66" t="s">
        <v>307</v>
      </c>
      <c r="G313" s="25">
        <f t="shared" si="1"/>
        <v>-2.2462325845891362E-2</v>
      </c>
    </row>
    <row r="314" spans="1:30">
      <c r="A314" s="66">
        <v>69.739999999999995</v>
      </c>
      <c r="B314" s="66">
        <v>70.58</v>
      </c>
      <c r="C314" s="66">
        <v>69.349999999999994</v>
      </c>
      <c r="D314" s="66">
        <v>69.905000000000001</v>
      </c>
      <c r="E314" s="66">
        <v>2022253</v>
      </c>
      <c r="F314" s="66" t="s">
        <v>308</v>
      </c>
      <c r="G314" s="25">
        <f t="shared" si="1"/>
        <v>-2.3603461841070761E-3</v>
      </c>
    </row>
    <row r="315" spans="1:30">
      <c r="A315" s="66">
        <v>69.7</v>
      </c>
      <c r="B315" s="66">
        <v>70.75</v>
      </c>
      <c r="C315" s="66">
        <v>69.36</v>
      </c>
      <c r="D315" s="66">
        <v>69.760000000000005</v>
      </c>
      <c r="E315" s="66">
        <v>1571268</v>
      </c>
      <c r="F315" s="66" t="s">
        <v>309</v>
      </c>
      <c r="G315" s="25">
        <f t="shared" si="1"/>
        <v>-8.6009174311929559E-4</v>
      </c>
    </row>
    <row r="316" spans="1:30">
      <c r="A316" s="66">
        <v>70.88</v>
      </c>
      <c r="B316" s="66">
        <v>71.73</v>
      </c>
      <c r="C316" s="66">
        <v>70.62</v>
      </c>
      <c r="D316" s="66">
        <v>71.5</v>
      </c>
      <c r="E316" s="66">
        <v>1443075</v>
      </c>
      <c r="F316" s="66" t="s">
        <v>310</v>
      </c>
      <c r="G316" s="25">
        <f t="shared" si="1"/>
        <v>-8.671328671328693E-3</v>
      </c>
    </row>
    <row r="317" spans="1:30">
      <c r="A317" s="66">
        <v>71.42</v>
      </c>
      <c r="B317" s="66">
        <v>73.290000000000006</v>
      </c>
      <c r="C317" s="66">
        <v>70.650000000000006</v>
      </c>
      <c r="D317" s="66">
        <v>72.89</v>
      </c>
      <c r="E317" s="66">
        <v>2293895</v>
      </c>
      <c r="F317" s="66" t="s">
        <v>311</v>
      </c>
      <c r="G317" s="25">
        <f t="shared" si="1"/>
        <v>-2.0167375497324724E-2</v>
      </c>
    </row>
    <row r="318" spans="1:30" ht="15">
      <c r="A318" s="66">
        <v>72.69</v>
      </c>
      <c r="B318" s="66">
        <v>73.47</v>
      </c>
      <c r="C318" s="66">
        <v>72</v>
      </c>
      <c r="D318" s="66">
        <v>72.34</v>
      </c>
      <c r="E318" s="66">
        <v>1923329</v>
      </c>
      <c r="F318" s="66" t="s">
        <v>312</v>
      </c>
      <c r="G318" s="25">
        <f t="shared" si="1"/>
        <v>4.8382637544925888E-3</v>
      </c>
      <c r="AD318" s="2" t="s">
        <v>197</v>
      </c>
    </row>
    <row r="319" spans="1:30">
      <c r="A319" s="66">
        <v>71.97</v>
      </c>
      <c r="B319" s="66">
        <v>73.12</v>
      </c>
      <c r="C319" s="66">
        <v>71.39</v>
      </c>
      <c r="D319" s="66">
        <v>72.77</v>
      </c>
      <c r="E319" s="66">
        <v>2558240</v>
      </c>
      <c r="F319" s="66" t="s">
        <v>313</v>
      </c>
      <c r="G319" s="25">
        <f t="shared" si="1"/>
        <v>-1.0993541294489484E-2</v>
      </c>
      <c r="AD319" s="1" t="s">
        <v>198</v>
      </c>
    </row>
    <row r="320" spans="1:30">
      <c r="A320" s="66">
        <v>72.33</v>
      </c>
      <c r="B320" s="66">
        <v>72.97</v>
      </c>
      <c r="C320" s="66">
        <v>71.680000000000007</v>
      </c>
      <c r="D320" s="66">
        <v>71.84</v>
      </c>
      <c r="E320" s="66">
        <v>4071057</v>
      </c>
      <c r="F320" s="66" t="s">
        <v>314</v>
      </c>
      <c r="G320" s="25">
        <f t="shared" si="1"/>
        <v>6.8207126948773844E-3</v>
      </c>
    </row>
    <row r="321" spans="1:7">
      <c r="A321" s="66">
        <v>71.180000000000007</v>
      </c>
      <c r="B321" s="66">
        <v>71.63</v>
      </c>
      <c r="C321" s="66">
        <v>67.73</v>
      </c>
      <c r="D321" s="66">
        <v>67.73</v>
      </c>
      <c r="E321" s="66">
        <v>5055893</v>
      </c>
      <c r="F321" s="66" t="s">
        <v>315</v>
      </c>
      <c r="G321" s="25">
        <f t="shared" si="1"/>
        <v>5.0937546139081746E-2</v>
      </c>
    </row>
    <row r="322" spans="1:7">
      <c r="A322" s="66">
        <v>67.42</v>
      </c>
      <c r="B322" s="66">
        <v>68.19</v>
      </c>
      <c r="C322" s="66">
        <v>66.405299999999997</v>
      </c>
      <c r="D322" s="66">
        <v>67</v>
      </c>
      <c r="E322" s="66">
        <v>2954795</v>
      </c>
      <c r="F322" s="66" t="s">
        <v>316</v>
      </c>
      <c r="G322" s="25">
        <f t="shared" si="1"/>
        <v>6.268656716417853E-3</v>
      </c>
    </row>
    <row r="323" spans="1:7">
      <c r="A323" s="66">
        <v>66.91</v>
      </c>
      <c r="B323" s="66">
        <v>67.8</v>
      </c>
      <c r="C323" s="66">
        <v>65</v>
      </c>
      <c r="D323" s="66">
        <v>66.849999999999994</v>
      </c>
      <c r="E323" s="66">
        <v>4075040</v>
      </c>
      <c r="F323" s="66" t="s">
        <v>317</v>
      </c>
      <c r="G323" s="25">
        <f t="shared" si="1"/>
        <v>8.97531787584116E-4</v>
      </c>
    </row>
    <row r="324" spans="1:7">
      <c r="A324" s="66">
        <v>67</v>
      </c>
      <c r="B324" s="66">
        <v>68.64</v>
      </c>
      <c r="C324" s="66">
        <v>65.680000000000007</v>
      </c>
      <c r="D324" s="66">
        <v>68.37</v>
      </c>
      <c r="E324" s="66">
        <v>5047296</v>
      </c>
      <c r="F324" s="66" t="s">
        <v>318</v>
      </c>
      <c r="G324" s="25">
        <f t="shared" si="1"/>
        <v>-2.0038028375018335E-2</v>
      </c>
    </row>
    <row r="325" spans="1:7">
      <c r="A325" s="66">
        <v>68.28</v>
      </c>
      <c r="B325" s="66">
        <v>71.98</v>
      </c>
      <c r="C325" s="66">
        <v>65.95</v>
      </c>
      <c r="D325" s="66">
        <v>71.98</v>
      </c>
      <c r="E325" s="66">
        <v>8287946</v>
      </c>
      <c r="F325" s="66" t="s">
        <v>319</v>
      </c>
      <c r="G325" s="25">
        <f t="shared" si="1"/>
        <v>-5.1403167546540729E-2</v>
      </c>
    </row>
    <row r="326" spans="1:7">
      <c r="A326" s="66">
        <v>79.959999999999994</v>
      </c>
      <c r="B326" s="66">
        <v>80.78</v>
      </c>
      <c r="C326" s="66">
        <v>79.47</v>
      </c>
      <c r="D326" s="66">
        <v>80.739999999999995</v>
      </c>
      <c r="E326" s="66">
        <v>4049840</v>
      </c>
      <c r="F326" s="66" t="s">
        <v>320</v>
      </c>
      <c r="G326" s="25">
        <f t="shared" si="1"/>
        <v>-9.6606390884320659E-3</v>
      </c>
    </row>
    <row r="327" spans="1:7">
      <c r="A327" s="66">
        <v>80.12</v>
      </c>
      <c r="B327" s="66">
        <v>80.61</v>
      </c>
      <c r="C327" s="66">
        <v>79.222499999999997</v>
      </c>
      <c r="D327" s="66">
        <v>80.010000000000005</v>
      </c>
      <c r="E327" s="66">
        <v>2434673</v>
      </c>
      <c r="F327" s="66" t="s">
        <v>321</v>
      </c>
      <c r="G327" s="25">
        <f t="shared" si="1"/>
        <v>1.3748281464815992E-3</v>
      </c>
    </row>
    <row r="328" spans="1:7">
      <c r="A328" s="66">
        <v>80.59</v>
      </c>
      <c r="B328" s="66">
        <v>80.95</v>
      </c>
      <c r="C328" s="66">
        <v>79.62</v>
      </c>
      <c r="D328" s="66">
        <v>80.209999999999994</v>
      </c>
      <c r="E328" s="66">
        <v>2669247</v>
      </c>
      <c r="F328" s="66" t="s">
        <v>322</v>
      </c>
      <c r="G328" s="25">
        <f t="shared" si="1"/>
        <v>4.7375638947764198E-3</v>
      </c>
    </row>
    <row r="329" spans="1:7">
      <c r="A329" s="66">
        <v>78.83</v>
      </c>
      <c r="B329" s="66">
        <v>79.099999999999994</v>
      </c>
      <c r="C329" s="66">
        <v>78.155000000000001</v>
      </c>
      <c r="D329" s="66">
        <v>78.37</v>
      </c>
      <c r="E329" s="66">
        <v>1548959</v>
      </c>
      <c r="F329" s="66" t="s">
        <v>323</v>
      </c>
      <c r="G329" s="25">
        <f t="shared" si="1"/>
        <v>5.8695929564884786E-3</v>
      </c>
    </row>
    <row r="330" spans="1:7">
      <c r="A330" s="66">
        <v>79.3</v>
      </c>
      <c r="B330" s="66">
        <v>80.05</v>
      </c>
      <c r="C330" s="66">
        <v>78.840100000000007</v>
      </c>
      <c r="D330" s="66">
        <v>79.37</v>
      </c>
      <c r="E330" s="66">
        <v>2037369</v>
      </c>
      <c r="F330" s="66" t="s">
        <v>324</v>
      </c>
      <c r="G330" s="25">
        <f t="shared" si="1"/>
        <v>-8.819453193903426E-4</v>
      </c>
    </row>
    <row r="331" spans="1:7">
      <c r="A331" s="66">
        <v>79.37</v>
      </c>
      <c r="B331" s="66">
        <v>81.260000000000005</v>
      </c>
      <c r="C331" s="66">
        <v>79.33</v>
      </c>
      <c r="D331" s="66">
        <v>80.95</v>
      </c>
      <c r="E331" s="66">
        <v>1546590</v>
      </c>
      <c r="F331" s="66" t="s">
        <v>325</v>
      </c>
      <c r="G331" s="25">
        <f t="shared" si="1"/>
        <v>-1.9518221124150692E-2</v>
      </c>
    </row>
    <row r="332" spans="1:7">
      <c r="A332" s="66">
        <v>81.5</v>
      </c>
      <c r="B332" s="66">
        <v>82.034999999999997</v>
      </c>
      <c r="C332" s="66">
        <v>80.959999999999994</v>
      </c>
      <c r="D332" s="66">
        <v>81.55</v>
      </c>
      <c r="E332" s="66">
        <v>2115832</v>
      </c>
      <c r="F332" s="66" t="s">
        <v>326</v>
      </c>
      <c r="G332" s="25">
        <f t="shared" si="1"/>
        <v>-6.1312078479458521E-4</v>
      </c>
    </row>
    <row r="333" spans="1:7">
      <c r="A333" s="66">
        <v>81.91</v>
      </c>
      <c r="B333" s="66">
        <v>82.165000000000006</v>
      </c>
      <c r="C333" s="66">
        <v>81.25</v>
      </c>
      <c r="D333" s="66">
        <v>81.540000000000006</v>
      </c>
      <c r="E333" s="66">
        <v>1621067</v>
      </c>
      <c r="F333" s="66" t="s">
        <v>327</v>
      </c>
      <c r="G333" s="25">
        <f t="shared" si="1"/>
        <v>4.5376502330143342E-3</v>
      </c>
    </row>
    <row r="334" spans="1:7">
      <c r="A334" s="66">
        <v>82.92</v>
      </c>
      <c r="B334" s="66">
        <v>82.97</v>
      </c>
      <c r="C334" s="66">
        <v>80.8</v>
      </c>
      <c r="D334" s="66">
        <v>81.88</v>
      </c>
      <c r="E334" s="66">
        <v>1519774</v>
      </c>
      <c r="F334" s="66" t="s">
        <v>328</v>
      </c>
      <c r="G334" s="25">
        <f t="shared" si="1"/>
        <v>1.2701514411333825E-2</v>
      </c>
    </row>
    <row r="335" spans="1:7">
      <c r="A335" s="66">
        <v>81.45</v>
      </c>
      <c r="B335" s="66">
        <v>81.62</v>
      </c>
      <c r="C335" s="66">
        <v>79.67</v>
      </c>
      <c r="D335" s="66">
        <v>81.41</v>
      </c>
      <c r="E335" s="66">
        <v>2673003</v>
      </c>
      <c r="F335" s="66" t="s">
        <v>329</v>
      </c>
      <c r="G335" s="25">
        <f t="shared" si="1"/>
        <v>4.9134013020513123E-4</v>
      </c>
    </row>
    <row r="336" spans="1:7">
      <c r="A336" s="66">
        <v>80.47</v>
      </c>
      <c r="B336" s="66">
        <v>82.15</v>
      </c>
      <c r="C336" s="66">
        <v>78.98</v>
      </c>
      <c r="D336" s="66">
        <v>81.42</v>
      </c>
      <c r="E336" s="66">
        <v>2685381</v>
      </c>
      <c r="F336" s="66" t="s">
        <v>330</v>
      </c>
      <c r="G336" s="25">
        <f t="shared" si="1"/>
        <v>-1.1667894866126294E-2</v>
      </c>
    </row>
    <row r="337" spans="1:7">
      <c r="A337" s="66">
        <v>81.760000000000005</v>
      </c>
      <c r="B337" s="66">
        <v>84.5</v>
      </c>
      <c r="C337" s="66">
        <v>81.7</v>
      </c>
      <c r="D337" s="66">
        <v>84.19</v>
      </c>
      <c r="E337" s="66">
        <v>1568444</v>
      </c>
      <c r="F337" s="66" t="s">
        <v>331</v>
      </c>
      <c r="G337" s="25">
        <f t="shared" si="1"/>
        <v>-2.8863285425822505E-2</v>
      </c>
    </row>
    <row r="338" spans="1:7">
      <c r="A338" s="66">
        <v>84.44</v>
      </c>
      <c r="B338" s="66">
        <v>85.23</v>
      </c>
      <c r="C338" s="66">
        <v>83.688500000000005</v>
      </c>
      <c r="D338" s="66">
        <v>84.3</v>
      </c>
      <c r="E338" s="66">
        <v>1484741</v>
      </c>
      <c r="F338" s="66" t="s">
        <v>332</v>
      </c>
      <c r="G338" s="25">
        <f t="shared" si="1"/>
        <v>1.6607354685647113E-3</v>
      </c>
    </row>
    <row r="339" spans="1:7">
      <c r="A339" s="66">
        <v>82.27</v>
      </c>
      <c r="B339" s="66">
        <v>83.566800000000001</v>
      </c>
      <c r="C339" s="66">
        <v>81.944999999999993</v>
      </c>
      <c r="D339" s="66">
        <v>82.98</v>
      </c>
      <c r="E339" s="66">
        <v>1265544</v>
      </c>
      <c r="F339" s="66" t="s">
        <v>333</v>
      </c>
      <c r="G339" s="25">
        <f t="shared" si="1"/>
        <v>-8.5562786213546627E-3</v>
      </c>
    </row>
    <row r="340" spans="1:7">
      <c r="A340" s="66">
        <v>82.92</v>
      </c>
      <c r="B340" s="66">
        <v>84.37</v>
      </c>
      <c r="C340" s="66">
        <v>81.06</v>
      </c>
      <c r="D340" s="66">
        <v>81.06</v>
      </c>
      <c r="E340" s="66">
        <v>1779317</v>
      </c>
      <c r="F340" s="66" t="s">
        <v>334</v>
      </c>
      <c r="G340" s="25">
        <f t="shared" si="1"/>
        <v>2.2945965951147285E-2</v>
      </c>
    </row>
    <row r="341" spans="1:7">
      <c r="A341" s="66">
        <v>81.25</v>
      </c>
      <c r="B341" s="66">
        <v>81.52</v>
      </c>
      <c r="C341" s="66">
        <v>79.86</v>
      </c>
      <c r="D341" s="66">
        <v>80.55</v>
      </c>
      <c r="E341" s="66">
        <v>1412840</v>
      </c>
      <c r="F341" s="66" t="s">
        <v>335</v>
      </c>
      <c r="G341" s="25">
        <f t="shared" si="1"/>
        <v>8.6902545003104681E-3</v>
      </c>
    </row>
    <row r="342" spans="1:7">
      <c r="A342" s="66">
        <v>80.569999999999993</v>
      </c>
      <c r="B342" s="66">
        <v>82.36</v>
      </c>
      <c r="C342" s="66">
        <v>80.540000000000006</v>
      </c>
      <c r="D342" s="66">
        <v>81.5</v>
      </c>
      <c r="E342" s="66">
        <v>1633110</v>
      </c>
      <c r="F342" s="66" t="s">
        <v>336</v>
      </c>
      <c r="G342" s="25">
        <f t="shared" si="1"/>
        <v>-1.1411042944785343E-2</v>
      </c>
    </row>
    <row r="343" spans="1:7">
      <c r="A343" s="66">
        <v>81.569999999999993</v>
      </c>
      <c r="B343" s="66">
        <v>82.52</v>
      </c>
      <c r="C343" s="66">
        <v>80.91</v>
      </c>
      <c r="D343" s="66">
        <v>81.98</v>
      </c>
      <c r="E343" s="66">
        <v>1901475</v>
      </c>
      <c r="F343" s="66" t="s">
        <v>337</v>
      </c>
      <c r="G343" s="25">
        <f t="shared" si="1"/>
        <v>-5.0012198097098004E-3</v>
      </c>
    </row>
    <row r="344" spans="1:7">
      <c r="A344" s="66">
        <v>82.3</v>
      </c>
      <c r="B344" s="66">
        <v>83.42</v>
      </c>
      <c r="C344" s="66">
        <v>81.59</v>
      </c>
      <c r="D344" s="66">
        <v>82.6</v>
      </c>
      <c r="E344" s="66">
        <v>1708557</v>
      </c>
      <c r="F344" s="66" t="s">
        <v>338</v>
      </c>
      <c r="G344" s="25">
        <f t="shared" si="1"/>
        <v>-3.63196125907983E-3</v>
      </c>
    </row>
    <row r="345" spans="1:7">
      <c r="A345" s="66">
        <v>81.14</v>
      </c>
      <c r="B345" s="66">
        <v>82.91</v>
      </c>
      <c r="C345" s="66">
        <v>80.2</v>
      </c>
      <c r="D345" s="66">
        <v>82.91</v>
      </c>
      <c r="E345" s="66">
        <v>1387209</v>
      </c>
      <c r="F345" s="66" t="s">
        <v>339</v>
      </c>
      <c r="G345" s="25">
        <f t="shared" si="1"/>
        <v>-2.1348450126643326E-2</v>
      </c>
    </row>
    <row r="346" spans="1:7">
      <c r="A346" s="66">
        <v>81.67</v>
      </c>
      <c r="B346" s="66">
        <v>81.849999999999994</v>
      </c>
      <c r="C346" s="66">
        <v>79.86</v>
      </c>
      <c r="D346" s="66">
        <v>81.58</v>
      </c>
      <c r="E346" s="66">
        <v>1549388</v>
      </c>
      <c r="F346" s="66" t="s">
        <v>340</v>
      </c>
      <c r="G346" s="25">
        <f t="shared" si="1"/>
        <v>1.103211571463536E-3</v>
      </c>
    </row>
    <row r="347" spans="1:7">
      <c r="A347" s="66">
        <v>82.23</v>
      </c>
      <c r="B347" s="66">
        <v>82.83</v>
      </c>
      <c r="C347" s="66">
        <v>80.819999999999993</v>
      </c>
      <c r="D347" s="66">
        <v>81.73</v>
      </c>
      <c r="E347" s="66">
        <v>1298667</v>
      </c>
      <c r="F347" s="66" t="s">
        <v>341</v>
      </c>
      <c r="G347" s="25">
        <f t="shared" si="1"/>
        <v>6.1177046372200561E-3</v>
      </c>
    </row>
    <row r="348" spans="1:7">
      <c r="A348" s="66">
        <v>81.849999999999994</v>
      </c>
      <c r="B348" s="66">
        <v>83.24</v>
      </c>
      <c r="C348" s="66">
        <v>80.66</v>
      </c>
      <c r="D348" s="66">
        <v>81.03</v>
      </c>
      <c r="E348" s="66">
        <v>1532355</v>
      </c>
      <c r="F348" s="66" t="s">
        <v>342</v>
      </c>
      <c r="G348" s="25">
        <f t="shared" si="1"/>
        <v>1.0119708749845691E-2</v>
      </c>
    </row>
    <row r="349" spans="1:7">
      <c r="A349" s="66">
        <v>80.89</v>
      </c>
      <c r="B349" s="66">
        <v>82.53</v>
      </c>
      <c r="C349" s="66">
        <v>80.680000000000007</v>
      </c>
      <c r="D349" s="66">
        <v>82.34</v>
      </c>
      <c r="E349" s="66">
        <v>1150372</v>
      </c>
      <c r="F349" s="66" t="s">
        <v>343</v>
      </c>
      <c r="G349" s="25">
        <f t="shared" si="1"/>
        <v>-1.7609910128734585E-2</v>
      </c>
    </row>
    <row r="350" spans="1:7">
      <c r="A350" s="66">
        <v>82.58</v>
      </c>
      <c r="B350" s="66">
        <v>82.84</v>
      </c>
      <c r="C350" s="66">
        <v>80.709999999999994</v>
      </c>
      <c r="D350" s="66">
        <v>81.400000000000006</v>
      </c>
      <c r="E350" s="66">
        <v>1122975</v>
      </c>
      <c r="F350" s="66" t="s">
        <v>344</v>
      </c>
      <c r="G350" s="25">
        <f t="shared" si="1"/>
        <v>1.4496314496314389E-2</v>
      </c>
    </row>
    <row r="351" spans="1:7">
      <c r="A351" s="66">
        <v>80.84</v>
      </c>
      <c r="B351" s="66">
        <v>82.575000000000003</v>
      </c>
      <c r="C351" s="66">
        <v>79.95</v>
      </c>
      <c r="D351" s="66">
        <v>80.95</v>
      </c>
      <c r="E351" s="66">
        <v>1743079</v>
      </c>
      <c r="F351" s="66" t="s">
        <v>345</v>
      </c>
      <c r="G351" s="25">
        <f t="shared" si="1"/>
        <v>-1.3588634959851298E-3</v>
      </c>
    </row>
    <row r="352" spans="1:7">
      <c r="A352" s="66">
        <v>79.790000000000006</v>
      </c>
      <c r="B352" s="66">
        <v>80.040000000000006</v>
      </c>
      <c r="C352" s="66">
        <v>78.59</v>
      </c>
      <c r="D352" s="66">
        <v>79.64</v>
      </c>
      <c r="E352" s="66">
        <v>2200142</v>
      </c>
      <c r="F352" s="66" t="s">
        <v>346</v>
      </c>
      <c r="G352" s="25">
        <f t="shared" si="1"/>
        <v>1.8834756403818265E-3</v>
      </c>
    </row>
    <row r="353" spans="1:7">
      <c r="A353" s="66">
        <v>78.7</v>
      </c>
      <c r="B353" s="66">
        <v>79.19</v>
      </c>
      <c r="C353" s="66">
        <v>77.59</v>
      </c>
      <c r="D353" s="66">
        <v>79.19</v>
      </c>
      <c r="E353" s="66">
        <v>2258442</v>
      </c>
      <c r="F353" s="66" t="s">
        <v>347</v>
      </c>
      <c r="G353" s="25">
        <f t="shared" si="1"/>
        <v>-6.1876499558024545E-3</v>
      </c>
    </row>
    <row r="354" spans="1:7">
      <c r="A354" s="66">
        <v>79.510000000000005</v>
      </c>
      <c r="B354" s="66">
        <v>79.77</v>
      </c>
      <c r="C354" s="66">
        <v>77.98</v>
      </c>
      <c r="D354" s="66">
        <v>78.45</v>
      </c>
      <c r="E354" s="66">
        <v>2096454</v>
      </c>
      <c r="F354" s="66" t="s">
        <v>348</v>
      </c>
      <c r="G354" s="25">
        <f t="shared" si="1"/>
        <v>1.3511790949649383E-2</v>
      </c>
    </row>
    <row r="355" spans="1:7">
      <c r="A355" s="66">
        <v>78.23</v>
      </c>
      <c r="B355" s="66">
        <v>78.5</v>
      </c>
      <c r="C355" s="66">
        <v>76.825000000000003</v>
      </c>
      <c r="D355" s="66">
        <v>77.33</v>
      </c>
      <c r="E355" s="66">
        <v>2561322</v>
      </c>
      <c r="F355" s="66" t="s">
        <v>349</v>
      </c>
      <c r="G355" s="25">
        <f t="shared" si="1"/>
        <v>1.1638432691064349E-2</v>
      </c>
    </row>
    <row r="356" spans="1:7">
      <c r="A356" s="66">
        <v>77.8</v>
      </c>
      <c r="B356" s="66">
        <v>78.989999999999995</v>
      </c>
      <c r="C356" s="66">
        <v>77.31</v>
      </c>
      <c r="D356" s="66">
        <v>78.989999999999995</v>
      </c>
      <c r="E356" s="66">
        <v>1386329</v>
      </c>
      <c r="F356" s="66" t="s">
        <v>350</v>
      </c>
      <c r="G356" s="25">
        <f t="shared" si="1"/>
        <v>-1.5065198126345103E-2</v>
      </c>
    </row>
    <row r="357" spans="1:7">
      <c r="A357" s="66">
        <v>78.760000000000005</v>
      </c>
      <c r="B357" s="66">
        <v>79.040000000000006</v>
      </c>
      <c r="C357" s="66">
        <v>77.180000000000007</v>
      </c>
      <c r="D357" s="66">
        <v>77.92</v>
      </c>
      <c r="E357" s="66">
        <v>1906163</v>
      </c>
      <c r="F357" s="66" t="s">
        <v>351</v>
      </c>
      <c r="G357" s="25">
        <f t="shared" si="1"/>
        <v>1.0780287474332795E-2</v>
      </c>
    </row>
    <row r="358" spans="1:7">
      <c r="A358" s="66">
        <v>77.459999999999994</v>
      </c>
      <c r="B358" s="66">
        <v>77.81</v>
      </c>
      <c r="C358" s="66">
        <v>74.47</v>
      </c>
      <c r="D358" s="66">
        <v>74.47</v>
      </c>
      <c r="E358" s="66">
        <v>2672239</v>
      </c>
      <c r="F358" s="66" t="s">
        <v>352</v>
      </c>
      <c r="G358" s="25">
        <f t="shared" si="1"/>
        <v>4.0150396132670796E-2</v>
      </c>
    </row>
    <row r="359" spans="1:7">
      <c r="A359" s="66">
        <v>75.37</v>
      </c>
      <c r="B359" s="66">
        <v>77.599999999999994</v>
      </c>
      <c r="C359" s="66">
        <v>72.88</v>
      </c>
      <c r="D359" s="66">
        <v>77.599999999999994</v>
      </c>
      <c r="E359" s="66">
        <v>2499797</v>
      </c>
      <c r="F359" s="66" t="s">
        <v>353</v>
      </c>
      <c r="G359" s="25">
        <f t="shared" si="1"/>
        <v>-2.8737113402061754E-2</v>
      </c>
    </row>
    <row r="360" spans="1:7">
      <c r="A360" s="66">
        <v>77.900000000000006</v>
      </c>
      <c r="B360" s="66">
        <v>78.180000000000007</v>
      </c>
      <c r="C360" s="66">
        <v>69.81</v>
      </c>
      <c r="D360" s="66">
        <v>70.3</v>
      </c>
      <c r="E360" s="66">
        <v>2702043</v>
      </c>
      <c r="F360" s="66" t="s">
        <v>354</v>
      </c>
      <c r="G360" s="25">
        <f t="shared" si="1"/>
        <v>0.10810810810810834</v>
      </c>
    </row>
    <row r="361" spans="1:7">
      <c r="A361" s="66">
        <v>71.5</v>
      </c>
      <c r="B361" s="66">
        <v>76.075000000000003</v>
      </c>
      <c r="C361" s="66">
        <v>70.510000000000005</v>
      </c>
      <c r="D361" s="66">
        <v>75.739999999999995</v>
      </c>
      <c r="E361" s="66">
        <v>1525358</v>
      </c>
      <c r="F361" s="66" t="s">
        <v>355</v>
      </c>
      <c r="G361" s="25">
        <f t="shared" si="1"/>
        <v>-5.5980987589120623E-2</v>
      </c>
    </row>
    <row r="362" spans="1:7">
      <c r="A362" s="66">
        <v>73.31</v>
      </c>
      <c r="B362" s="66">
        <v>75.5</v>
      </c>
      <c r="C362" s="66">
        <v>70.8</v>
      </c>
      <c r="D362" s="66">
        <v>73.709999999999994</v>
      </c>
      <c r="E362" s="66">
        <v>2432502</v>
      </c>
      <c r="F362" s="66" t="s">
        <v>356</v>
      </c>
      <c r="G362" s="25">
        <f t="shared" si="1"/>
        <v>-5.4266720933386914E-3</v>
      </c>
    </row>
    <row r="363" spans="1:7">
      <c r="A363" s="66">
        <v>73.77</v>
      </c>
      <c r="B363" s="66">
        <v>76.834999999999994</v>
      </c>
      <c r="C363" s="66">
        <v>73.334999999999994</v>
      </c>
      <c r="D363" s="66">
        <v>76.72</v>
      </c>
      <c r="E363" s="66">
        <v>2661527</v>
      </c>
      <c r="F363" s="66" t="s">
        <v>357</v>
      </c>
      <c r="G363" s="25">
        <f t="shared" si="1"/>
        <v>-3.8451511991657972E-2</v>
      </c>
    </row>
    <row r="364" spans="1:7">
      <c r="A364" s="66">
        <v>78.17</v>
      </c>
      <c r="B364" s="66">
        <v>80.954999999999998</v>
      </c>
      <c r="C364" s="66">
        <v>77.91</v>
      </c>
      <c r="D364" s="66">
        <v>79.94</v>
      </c>
      <c r="E364" s="66">
        <v>2485039</v>
      </c>
      <c r="F364" s="66" t="s">
        <v>358</v>
      </c>
      <c r="G364" s="25">
        <f t="shared" si="1"/>
        <v>-2.2141606204653441E-2</v>
      </c>
    </row>
    <row r="365" spans="1:7">
      <c r="A365" s="66">
        <v>81.23</v>
      </c>
      <c r="B365" s="66">
        <v>82.28</v>
      </c>
      <c r="C365" s="66">
        <v>80.525000000000006</v>
      </c>
      <c r="D365" s="66">
        <v>80.77</v>
      </c>
      <c r="E365" s="66">
        <v>1813561</v>
      </c>
      <c r="F365" s="66" t="s">
        <v>359</v>
      </c>
      <c r="G365" s="25">
        <f t="shared" si="1"/>
        <v>5.6951838553920275E-3</v>
      </c>
    </row>
    <row r="366" spans="1:7">
      <c r="A366" s="66">
        <v>81.27</v>
      </c>
      <c r="B366" s="66">
        <v>84.19</v>
      </c>
      <c r="C366" s="66">
        <v>81.165000000000006</v>
      </c>
      <c r="D366" s="66">
        <v>84.19</v>
      </c>
      <c r="E366" s="66">
        <v>2059094</v>
      </c>
      <c r="F366" s="66" t="s">
        <v>360</v>
      </c>
      <c r="G366" s="25">
        <f t="shared" si="1"/>
        <v>-3.4683454091934962E-2</v>
      </c>
    </row>
    <row r="367" spans="1:7">
      <c r="A367" s="66">
        <v>84.35</v>
      </c>
      <c r="B367" s="66">
        <v>84.944999999999993</v>
      </c>
      <c r="C367" s="66">
        <v>83.1</v>
      </c>
      <c r="D367" s="66">
        <v>83.59</v>
      </c>
      <c r="E367" s="66">
        <v>1776507</v>
      </c>
      <c r="F367" s="66" t="s">
        <v>361</v>
      </c>
      <c r="G367" s="25">
        <f t="shared" si="1"/>
        <v>9.0919966503169025E-3</v>
      </c>
    </row>
    <row r="368" spans="1:7">
      <c r="A368" s="66">
        <v>83.77</v>
      </c>
      <c r="B368" s="66">
        <v>85.1</v>
      </c>
      <c r="C368" s="66">
        <v>83.4</v>
      </c>
      <c r="D368" s="66">
        <v>84.54</v>
      </c>
      <c r="E368" s="66">
        <v>1736366</v>
      </c>
      <c r="F368" s="66" t="s">
        <v>362</v>
      </c>
      <c r="G368" s="25">
        <f t="shared" si="1"/>
        <v>-9.1081145020109888E-3</v>
      </c>
    </row>
    <row r="369" spans="1:7">
      <c r="A369" s="66">
        <v>84.98</v>
      </c>
      <c r="B369" s="66">
        <v>85.27</v>
      </c>
      <c r="C369" s="66">
        <v>83.21</v>
      </c>
      <c r="D369" s="66">
        <v>83.83</v>
      </c>
      <c r="E369" s="66">
        <v>2256924</v>
      </c>
      <c r="F369" s="66" t="s">
        <v>363</v>
      </c>
      <c r="G369" s="25">
        <f t="shared" si="1"/>
        <v>1.3718239293808887E-2</v>
      </c>
    </row>
    <row r="370" spans="1:7">
      <c r="A370" s="66">
        <v>83.86</v>
      </c>
      <c r="B370" s="66">
        <v>84.42</v>
      </c>
      <c r="C370" s="66">
        <v>82.76</v>
      </c>
      <c r="D370" s="66">
        <v>83.67</v>
      </c>
      <c r="E370" s="66">
        <v>1523408</v>
      </c>
      <c r="F370" s="66" t="s">
        <v>364</v>
      </c>
      <c r="G370" s="25">
        <f t="shared" si="1"/>
        <v>2.2708258635113499E-3</v>
      </c>
    </row>
    <row r="371" spans="1:7">
      <c r="A371" s="66">
        <v>83.7</v>
      </c>
      <c r="B371" s="66">
        <v>84.58</v>
      </c>
      <c r="C371" s="66">
        <v>83.064999999999998</v>
      </c>
      <c r="D371" s="66">
        <v>83.98</v>
      </c>
      <c r="E371" s="66">
        <v>1670342</v>
      </c>
      <c r="F371" s="66" t="s">
        <v>365</v>
      </c>
      <c r="G371" s="25">
        <f t="shared" si="1"/>
        <v>-3.3341271731365252E-3</v>
      </c>
    </row>
    <row r="372" spans="1:7">
      <c r="A372" s="66">
        <v>84.07</v>
      </c>
      <c r="B372" s="66">
        <v>84.67</v>
      </c>
      <c r="C372" s="66">
        <v>82.16</v>
      </c>
      <c r="D372" s="66">
        <v>82.16</v>
      </c>
      <c r="E372" s="66">
        <v>2343447</v>
      </c>
      <c r="F372" s="66" t="s">
        <v>366</v>
      </c>
      <c r="G372" s="25">
        <f t="shared" si="1"/>
        <v>2.3247322297955231E-2</v>
      </c>
    </row>
    <row r="373" spans="1:7">
      <c r="A373" s="66">
        <v>81.709999999999994</v>
      </c>
      <c r="B373" s="66">
        <v>82.8</v>
      </c>
      <c r="C373" s="66">
        <v>78.6601</v>
      </c>
      <c r="D373" s="66">
        <v>79.95</v>
      </c>
      <c r="E373" s="66">
        <v>3706371</v>
      </c>
      <c r="F373" s="66" t="s">
        <v>367</v>
      </c>
      <c r="G373" s="25">
        <f t="shared" si="1"/>
        <v>2.2013758599124245E-2</v>
      </c>
    </row>
    <row r="374" spans="1:7">
      <c r="A374" s="66">
        <v>80.39</v>
      </c>
      <c r="B374" s="66">
        <v>81.83</v>
      </c>
      <c r="C374" s="66">
        <v>79.989999999999995</v>
      </c>
      <c r="D374" s="66">
        <v>80.12</v>
      </c>
      <c r="E374" s="66">
        <v>1820923</v>
      </c>
      <c r="F374" s="66" t="s">
        <v>368</v>
      </c>
      <c r="G374" s="25">
        <f t="shared" si="1"/>
        <v>3.3699450823763133E-3</v>
      </c>
    </row>
    <row r="375" spans="1:7">
      <c r="A375" s="66">
        <v>80.12</v>
      </c>
      <c r="B375" s="66">
        <v>81.59</v>
      </c>
      <c r="C375" s="66">
        <v>79.510000000000005</v>
      </c>
      <c r="D375" s="66">
        <v>80.900000000000006</v>
      </c>
      <c r="E375" s="66">
        <v>2779841</v>
      </c>
      <c r="F375" s="66" t="s">
        <v>369</v>
      </c>
      <c r="G375" s="25">
        <f t="shared" si="1"/>
        <v>-9.6415327564894904E-3</v>
      </c>
    </row>
    <row r="376" spans="1:7">
      <c r="A376" s="66">
        <v>80.040000000000006</v>
      </c>
      <c r="B376" s="66">
        <v>80.194999999999993</v>
      </c>
      <c r="C376" s="66">
        <v>79</v>
      </c>
      <c r="D376" s="66">
        <v>79.819999999999993</v>
      </c>
      <c r="E376" s="66">
        <v>1720018</v>
      </c>
      <c r="F376" s="66" t="s">
        <v>370</v>
      </c>
      <c r="G376" s="25">
        <f t="shared" ref="G376:G439" si="2">A376/D376-1</f>
        <v>2.7562014532700463E-3</v>
      </c>
    </row>
    <row r="377" spans="1:7">
      <c r="A377" s="66">
        <v>79.91</v>
      </c>
      <c r="B377" s="66">
        <v>81.605000000000004</v>
      </c>
      <c r="C377" s="66">
        <v>79.62</v>
      </c>
      <c r="D377" s="66">
        <v>81.260000000000005</v>
      </c>
      <c r="E377" s="66">
        <v>2923795</v>
      </c>
      <c r="F377" s="66" t="s">
        <v>371</v>
      </c>
      <c r="G377" s="25">
        <f t="shared" si="2"/>
        <v>-1.6613339896628165E-2</v>
      </c>
    </row>
    <row r="378" spans="1:7">
      <c r="A378" s="66">
        <v>81.22</v>
      </c>
      <c r="B378" s="66">
        <v>81.349999999999994</v>
      </c>
      <c r="C378" s="66">
        <v>77.849999999999994</v>
      </c>
      <c r="D378" s="66">
        <v>78.08</v>
      </c>
      <c r="E378" s="66">
        <v>2436702</v>
      </c>
      <c r="F378" s="66" t="s">
        <v>372</v>
      </c>
      <c r="G378" s="25">
        <f t="shared" si="2"/>
        <v>4.0215163934426146E-2</v>
      </c>
    </row>
    <row r="379" spans="1:7">
      <c r="A379" s="66">
        <v>77.73</v>
      </c>
      <c r="B379" s="66">
        <v>78.92</v>
      </c>
      <c r="C379" s="66">
        <v>77.05</v>
      </c>
      <c r="D379" s="66">
        <v>78.92</v>
      </c>
      <c r="E379" s="66">
        <v>2044574</v>
      </c>
      <c r="F379" s="66" t="s">
        <v>373</v>
      </c>
      <c r="G379" s="25">
        <f t="shared" si="2"/>
        <v>-1.5078560567663435E-2</v>
      </c>
    </row>
    <row r="380" spans="1:7">
      <c r="A380" s="66">
        <v>79.069999999999993</v>
      </c>
      <c r="B380" s="66">
        <v>81.760000000000005</v>
      </c>
      <c r="C380" s="66">
        <v>79.02</v>
      </c>
      <c r="D380" s="66">
        <v>81.67</v>
      </c>
      <c r="E380" s="66">
        <v>2938321</v>
      </c>
      <c r="F380" s="66" t="s">
        <v>374</v>
      </c>
      <c r="G380" s="25">
        <f t="shared" si="2"/>
        <v>-3.183543528835564E-2</v>
      </c>
    </row>
    <row r="381" spans="1:7">
      <c r="A381" s="66">
        <v>81.03</v>
      </c>
      <c r="B381" s="66">
        <v>81.795000000000002</v>
      </c>
      <c r="C381" s="66">
        <v>78.424999999999997</v>
      </c>
      <c r="D381" s="66">
        <v>80.930000000000007</v>
      </c>
      <c r="E381" s="66">
        <v>3370815</v>
      </c>
      <c r="F381" s="66" t="s">
        <v>375</v>
      </c>
      <c r="G381" s="25">
        <f t="shared" si="2"/>
        <v>1.2356357345852942E-3</v>
      </c>
    </row>
    <row r="382" spans="1:7">
      <c r="A382" s="66">
        <v>79.89</v>
      </c>
      <c r="B382" s="66">
        <v>85.34</v>
      </c>
      <c r="C382" s="66">
        <v>79.739999999999995</v>
      </c>
      <c r="D382" s="66">
        <v>85.3</v>
      </c>
      <c r="E382" s="66">
        <v>4074017</v>
      </c>
      <c r="F382" s="66" t="s">
        <v>376</v>
      </c>
      <c r="G382" s="25">
        <f t="shared" si="2"/>
        <v>-6.3423212192262546E-2</v>
      </c>
    </row>
    <row r="383" spans="1:7">
      <c r="A383" s="66">
        <v>85</v>
      </c>
      <c r="B383" s="66">
        <v>86.44</v>
      </c>
      <c r="C383" s="66">
        <v>82.61</v>
      </c>
      <c r="D383" s="66">
        <v>86.18</v>
      </c>
      <c r="E383" s="66">
        <v>5336869</v>
      </c>
      <c r="F383" s="66" t="s">
        <v>377</v>
      </c>
      <c r="G383" s="25">
        <f t="shared" si="2"/>
        <v>-1.3692271988860583E-2</v>
      </c>
    </row>
    <row r="384" spans="1:7">
      <c r="A384" s="66">
        <v>90.98</v>
      </c>
      <c r="B384" s="66">
        <v>91.59</v>
      </c>
      <c r="C384" s="66">
        <v>90.08</v>
      </c>
      <c r="D384" s="66">
        <v>90.53</v>
      </c>
      <c r="E384" s="66">
        <v>2924582</v>
      </c>
      <c r="F384" s="66" t="s">
        <v>378</v>
      </c>
      <c r="G384" s="25">
        <f t="shared" si="2"/>
        <v>4.9707279354911371E-3</v>
      </c>
    </row>
    <row r="385" spans="1:7">
      <c r="A385" s="66">
        <v>91.33</v>
      </c>
      <c r="B385" s="66">
        <v>91.6</v>
      </c>
      <c r="C385" s="66">
        <v>89.64</v>
      </c>
      <c r="D385" s="66">
        <v>90.39</v>
      </c>
      <c r="E385" s="66">
        <v>2078454</v>
      </c>
      <c r="F385" s="66" t="s">
        <v>379</v>
      </c>
      <c r="G385" s="25">
        <f t="shared" si="2"/>
        <v>1.0399380462440488E-2</v>
      </c>
    </row>
    <row r="386" spans="1:7">
      <c r="A386" s="66">
        <v>90.67</v>
      </c>
      <c r="B386" s="66">
        <v>91.765000000000001</v>
      </c>
      <c r="C386" s="66">
        <v>89.55</v>
      </c>
      <c r="D386" s="66">
        <v>91.57</v>
      </c>
      <c r="E386" s="66">
        <v>2636080</v>
      </c>
      <c r="F386" s="66" t="s">
        <v>380</v>
      </c>
      <c r="G386" s="25">
        <f t="shared" si="2"/>
        <v>-9.8285464671834522E-3</v>
      </c>
    </row>
    <row r="387" spans="1:7">
      <c r="A387" s="66">
        <v>91.65</v>
      </c>
      <c r="B387" s="66">
        <v>92.84</v>
      </c>
      <c r="C387" s="66">
        <v>90.52</v>
      </c>
      <c r="D387" s="66">
        <v>90.97</v>
      </c>
      <c r="E387" s="66">
        <v>1660376</v>
      </c>
      <c r="F387" s="66" t="s">
        <v>381</v>
      </c>
      <c r="G387" s="25">
        <f t="shared" si="2"/>
        <v>7.4749917555239076E-3</v>
      </c>
    </row>
    <row r="388" spans="1:7">
      <c r="A388" s="66">
        <v>90.38</v>
      </c>
      <c r="B388" s="66">
        <v>90.65</v>
      </c>
      <c r="C388" s="66">
        <v>88.8</v>
      </c>
      <c r="D388" s="66">
        <v>90.06</v>
      </c>
      <c r="E388" s="66">
        <v>1899096</v>
      </c>
      <c r="F388" s="66" t="s">
        <v>382</v>
      </c>
      <c r="G388" s="25">
        <f t="shared" si="2"/>
        <v>3.5531867643792125E-3</v>
      </c>
    </row>
    <row r="389" spans="1:7">
      <c r="A389" s="66">
        <v>89.87</v>
      </c>
      <c r="B389" s="66">
        <v>90.79</v>
      </c>
      <c r="C389" s="66">
        <v>89.69</v>
      </c>
      <c r="D389" s="66">
        <v>89.965000000000003</v>
      </c>
      <c r="E389" s="66">
        <v>1545895</v>
      </c>
      <c r="F389" s="66" t="s">
        <v>383</v>
      </c>
      <c r="G389" s="25">
        <f t="shared" si="2"/>
        <v>-1.0559662090813271E-3</v>
      </c>
    </row>
    <row r="390" spans="1:7">
      <c r="A390" s="66">
        <v>90.99</v>
      </c>
      <c r="B390" s="66">
        <v>92.48</v>
      </c>
      <c r="C390" s="66">
        <v>89.94</v>
      </c>
      <c r="D390" s="66">
        <v>89.95</v>
      </c>
      <c r="E390" s="66">
        <v>1076428</v>
      </c>
      <c r="F390" s="66" t="s">
        <v>384</v>
      </c>
      <c r="G390" s="25">
        <f t="shared" si="2"/>
        <v>1.1561978877153933E-2</v>
      </c>
    </row>
    <row r="391" spans="1:7">
      <c r="A391" s="66">
        <v>90.26</v>
      </c>
      <c r="B391" s="66">
        <v>90.5</v>
      </c>
      <c r="C391" s="66">
        <v>88.97</v>
      </c>
      <c r="D391" s="66">
        <v>90.17</v>
      </c>
      <c r="E391" s="66">
        <v>1353636</v>
      </c>
      <c r="F391" s="66" t="s">
        <v>385</v>
      </c>
      <c r="G391" s="25">
        <f t="shared" si="2"/>
        <v>9.9811467228572148E-4</v>
      </c>
    </row>
    <row r="392" spans="1:7">
      <c r="A392" s="66">
        <v>90.06</v>
      </c>
      <c r="B392" s="66">
        <v>90.88</v>
      </c>
      <c r="C392" s="66">
        <v>88.44</v>
      </c>
      <c r="D392" s="66">
        <v>88.54</v>
      </c>
      <c r="E392" s="66">
        <v>1736487</v>
      </c>
      <c r="F392" s="66" t="s">
        <v>386</v>
      </c>
      <c r="G392" s="25">
        <f t="shared" si="2"/>
        <v>1.716738197424883E-2</v>
      </c>
    </row>
    <row r="393" spans="1:7">
      <c r="A393" s="66">
        <v>88.48</v>
      </c>
      <c r="B393" s="66">
        <v>88.87</v>
      </c>
      <c r="C393" s="66">
        <v>87.605000000000004</v>
      </c>
      <c r="D393" s="66">
        <v>88.37</v>
      </c>
      <c r="E393" s="66">
        <v>1565009</v>
      </c>
      <c r="F393" s="66" t="s">
        <v>387</v>
      </c>
      <c r="G393" s="25">
        <f t="shared" si="2"/>
        <v>1.2447663234129713E-3</v>
      </c>
    </row>
    <row r="394" spans="1:7">
      <c r="A394" s="66">
        <v>88.69</v>
      </c>
      <c r="B394" s="66">
        <v>88.905000000000001</v>
      </c>
      <c r="C394" s="66">
        <v>86.344999999999999</v>
      </c>
      <c r="D394" s="66">
        <v>86.73</v>
      </c>
      <c r="E394" s="66">
        <v>1741172</v>
      </c>
      <c r="F394" s="66" t="s">
        <v>388</v>
      </c>
      <c r="G394" s="25">
        <f t="shared" si="2"/>
        <v>2.2598870056497189E-2</v>
      </c>
    </row>
    <row r="395" spans="1:7">
      <c r="A395" s="66">
        <v>86.46</v>
      </c>
      <c r="B395" s="66">
        <v>87.4</v>
      </c>
      <c r="C395" s="66">
        <v>85.947000000000003</v>
      </c>
      <c r="D395" s="66">
        <v>87.15</v>
      </c>
      <c r="E395" s="66">
        <v>5215625</v>
      </c>
      <c r="F395" s="66" t="s">
        <v>389</v>
      </c>
      <c r="G395" s="25">
        <f t="shared" si="2"/>
        <v>-7.9173838209983805E-3</v>
      </c>
    </row>
    <row r="396" spans="1:7">
      <c r="A396" s="66">
        <v>87.29</v>
      </c>
      <c r="B396" s="66">
        <v>88.144999999999996</v>
      </c>
      <c r="C396" s="66">
        <v>86.08</v>
      </c>
      <c r="D396" s="66">
        <v>87.99</v>
      </c>
      <c r="E396" s="66">
        <v>1754853</v>
      </c>
      <c r="F396" s="66" t="s">
        <v>390</v>
      </c>
      <c r="G396" s="25">
        <f t="shared" si="2"/>
        <v>-7.9554494828956157E-3</v>
      </c>
    </row>
    <row r="397" spans="1:7">
      <c r="A397" s="66">
        <v>88.1</v>
      </c>
      <c r="B397" s="66">
        <v>92.9983</v>
      </c>
      <c r="C397" s="66">
        <v>86.885000000000005</v>
      </c>
      <c r="D397" s="66">
        <v>92.85</v>
      </c>
      <c r="E397" s="66">
        <v>3052869</v>
      </c>
      <c r="F397" s="66" t="s">
        <v>391</v>
      </c>
      <c r="G397" s="25">
        <f t="shared" si="2"/>
        <v>-5.1157781367797472E-2</v>
      </c>
    </row>
    <row r="398" spans="1:7">
      <c r="A398" s="66">
        <v>93.68</v>
      </c>
      <c r="B398" s="66">
        <v>94.17</v>
      </c>
      <c r="C398" s="66">
        <v>92.254999999999995</v>
      </c>
      <c r="D398" s="66">
        <v>92.75</v>
      </c>
      <c r="E398" s="66">
        <v>1037848</v>
      </c>
      <c r="F398" s="66" t="s">
        <v>392</v>
      </c>
      <c r="G398" s="25">
        <f t="shared" si="2"/>
        <v>1.0026954177897673E-2</v>
      </c>
    </row>
    <row r="399" spans="1:7">
      <c r="A399" s="66">
        <v>92</v>
      </c>
      <c r="B399" s="66">
        <v>92.394999999999996</v>
      </c>
      <c r="C399" s="66">
        <v>91.01</v>
      </c>
      <c r="D399" s="66">
        <v>92.1</v>
      </c>
      <c r="E399" s="66">
        <v>880878</v>
      </c>
      <c r="F399" s="66" t="s">
        <v>393</v>
      </c>
      <c r="G399" s="25">
        <f t="shared" si="2"/>
        <v>-1.0857763300758938E-3</v>
      </c>
    </row>
    <row r="400" spans="1:7">
      <c r="A400" s="66">
        <v>93.45</v>
      </c>
      <c r="B400" s="66">
        <v>93.745000000000005</v>
      </c>
      <c r="C400" s="66">
        <v>92.78</v>
      </c>
      <c r="D400" s="66">
        <v>92.91</v>
      </c>
      <c r="E400" s="66">
        <v>681671</v>
      </c>
      <c r="F400" s="66" t="s">
        <v>394</v>
      </c>
      <c r="G400" s="25">
        <f t="shared" si="2"/>
        <v>5.8120762027769057E-3</v>
      </c>
    </row>
    <row r="401" spans="1:7">
      <c r="A401" s="66">
        <v>93.63</v>
      </c>
      <c r="B401" s="66">
        <v>94.33</v>
      </c>
      <c r="C401" s="66">
        <v>93.109399999999994</v>
      </c>
      <c r="D401" s="66">
        <v>93.7</v>
      </c>
      <c r="E401" s="66">
        <v>1130160</v>
      </c>
      <c r="F401" s="66" t="s">
        <v>395</v>
      </c>
      <c r="G401" s="25">
        <f t="shared" si="2"/>
        <v>-7.470651013874452E-4</v>
      </c>
    </row>
    <row r="402" spans="1:7">
      <c r="A402" s="66">
        <v>93.57</v>
      </c>
      <c r="B402" s="66">
        <v>95.432500000000005</v>
      </c>
      <c r="C402" s="66">
        <v>93.42</v>
      </c>
      <c r="D402" s="66">
        <v>95.02</v>
      </c>
      <c r="E402" s="66">
        <v>986790</v>
      </c>
      <c r="F402" s="66" t="s">
        <v>396</v>
      </c>
      <c r="G402" s="25">
        <f t="shared" si="2"/>
        <v>-1.5259945274678999E-2</v>
      </c>
    </row>
    <row r="403" spans="1:7">
      <c r="A403" s="66">
        <v>95.29</v>
      </c>
      <c r="B403" s="66">
        <v>96.78</v>
      </c>
      <c r="C403" s="66">
        <v>94.74</v>
      </c>
      <c r="D403" s="66">
        <v>96.57</v>
      </c>
      <c r="E403" s="66">
        <v>853031</v>
      </c>
      <c r="F403" s="66" t="s">
        <v>397</v>
      </c>
      <c r="G403" s="25">
        <f t="shared" si="2"/>
        <v>-1.325463394428894E-2</v>
      </c>
    </row>
    <row r="404" spans="1:7">
      <c r="A404" s="66">
        <v>96.67</v>
      </c>
      <c r="B404" s="66">
        <v>97.2119</v>
      </c>
      <c r="C404" s="66">
        <v>95.52</v>
      </c>
      <c r="D404" s="66">
        <v>96.29</v>
      </c>
      <c r="E404" s="66">
        <v>640277</v>
      </c>
      <c r="F404" s="66" t="s">
        <v>398</v>
      </c>
      <c r="G404" s="25">
        <f t="shared" si="2"/>
        <v>3.9464118807768234E-3</v>
      </c>
    </row>
    <row r="405" spans="1:7">
      <c r="A405" s="66">
        <v>95.3</v>
      </c>
      <c r="B405" s="66">
        <v>95.825500000000005</v>
      </c>
      <c r="C405" s="66">
        <v>94.025000000000006</v>
      </c>
      <c r="D405" s="66">
        <v>94.83</v>
      </c>
      <c r="E405" s="66">
        <v>867761</v>
      </c>
      <c r="F405" s="66" t="s">
        <v>399</v>
      </c>
      <c r="G405" s="25">
        <f t="shared" si="2"/>
        <v>4.9562374775915519E-3</v>
      </c>
    </row>
    <row r="406" spans="1:7">
      <c r="A406" s="66">
        <v>95.34</v>
      </c>
      <c r="B406" s="66">
        <v>96.078699999999998</v>
      </c>
      <c r="C406" s="66">
        <v>93.81</v>
      </c>
      <c r="D406" s="66">
        <v>95.26</v>
      </c>
      <c r="E406" s="66">
        <v>1126691</v>
      </c>
      <c r="F406" s="66" t="s">
        <v>400</v>
      </c>
      <c r="G406" s="25">
        <f t="shared" si="2"/>
        <v>8.3980684442575004E-4</v>
      </c>
    </row>
    <row r="407" spans="1:7">
      <c r="A407" s="66">
        <v>96.55</v>
      </c>
      <c r="B407" s="66">
        <v>97.95</v>
      </c>
      <c r="C407" s="66">
        <v>96.4</v>
      </c>
      <c r="D407" s="66">
        <v>97.88</v>
      </c>
      <c r="E407" s="66">
        <v>1156023</v>
      </c>
      <c r="F407" s="66" t="s">
        <v>401</v>
      </c>
      <c r="G407" s="25">
        <f t="shared" si="2"/>
        <v>-1.358806702084181E-2</v>
      </c>
    </row>
    <row r="408" spans="1:7">
      <c r="A408" s="66">
        <v>98.1</v>
      </c>
      <c r="B408" s="66">
        <v>99.537499999999994</v>
      </c>
      <c r="C408" s="66">
        <v>97.98</v>
      </c>
      <c r="D408" s="66">
        <v>98.11</v>
      </c>
      <c r="E408" s="66">
        <v>951384</v>
      </c>
      <c r="F408" s="66" t="s">
        <v>402</v>
      </c>
      <c r="G408" s="25">
        <f t="shared" si="2"/>
        <v>-1.0192640913264661E-4</v>
      </c>
    </row>
    <row r="409" spans="1:7">
      <c r="A409" s="66">
        <v>98</v>
      </c>
      <c r="B409" s="66">
        <v>98.72</v>
      </c>
      <c r="C409" s="66">
        <v>97.48</v>
      </c>
      <c r="D409" s="66">
        <v>97.79</v>
      </c>
      <c r="E409" s="66">
        <v>819083</v>
      </c>
      <c r="F409" s="66" t="s">
        <v>403</v>
      </c>
      <c r="G409" s="25">
        <f t="shared" si="2"/>
        <v>2.1474588403722628E-3</v>
      </c>
    </row>
    <row r="410" spans="1:7">
      <c r="A410" s="66">
        <v>98.5</v>
      </c>
      <c r="B410" s="66">
        <v>99.79</v>
      </c>
      <c r="C410" s="66">
        <v>97.71</v>
      </c>
      <c r="D410" s="66">
        <v>98.82</v>
      </c>
      <c r="E410" s="66">
        <v>858098</v>
      </c>
      <c r="F410" s="66" t="s">
        <v>404</v>
      </c>
      <c r="G410" s="25">
        <f t="shared" si="2"/>
        <v>-3.2382108884840832E-3</v>
      </c>
    </row>
    <row r="411" spans="1:7">
      <c r="A411" s="66">
        <v>99.45</v>
      </c>
      <c r="B411" s="66">
        <v>100.24</v>
      </c>
      <c r="C411" s="66">
        <v>97.74</v>
      </c>
      <c r="D411" s="66">
        <v>97.74</v>
      </c>
      <c r="E411" s="66">
        <v>2079063</v>
      </c>
      <c r="F411" s="66" t="s">
        <v>405</v>
      </c>
      <c r="G411" s="25">
        <f t="shared" si="2"/>
        <v>1.7495395948434744E-2</v>
      </c>
    </row>
    <row r="412" spans="1:7">
      <c r="A412" s="66">
        <v>97.7</v>
      </c>
      <c r="B412" s="66">
        <v>98.57</v>
      </c>
      <c r="C412" s="66">
        <v>94.95</v>
      </c>
      <c r="D412" s="66">
        <v>94.95</v>
      </c>
      <c r="E412" s="66">
        <v>2269972</v>
      </c>
      <c r="F412" s="66" t="s">
        <v>406</v>
      </c>
      <c r="G412" s="25">
        <f t="shared" si="2"/>
        <v>2.8962611901000468E-2</v>
      </c>
    </row>
    <row r="413" spans="1:7">
      <c r="A413" s="66">
        <v>95.68</v>
      </c>
      <c r="B413" s="66">
        <v>95.855000000000004</v>
      </c>
      <c r="C413" s="66">
        <v>94.015000000000001</v>
      </c>
      <c r="D413" s="66">
        <v>95.09</v>
      </c>
      <c r="E413" s="66">
        <v>983082</v>
      </c>
      <c r="F413" s="66" t="s">
        <v>407</v>
      </c>
      <c r="G413" s="25">
        <f t="shared" si="2"/>
        <v>6.2046482279944914E-3</v>
      </c>
    </row>
    <row r="414" spans="1:7">
      <c r="A414" s="66">
        <v>95.18</v>
      </c>
      <c r="B414" s="66">
        <v>96.33</v>
      </c>
      <c r="C414" s="66">
        <v>94.614999999999995</v>
      </c>
      <c r="D414" s="66">
        <v>95.35</v>
      </c>
      <c r="E414" s="66">
        <v>1377712</v>
      </c>
      <c r="F414" s="66" t="s">
        <v>408</v>
      </c>
      <c r="G414" s="25">
        <f t="shared" si="2"/>
        <v>-1.7829050865232343E-3</v>
      </c>
    </row>
    <row r="415" spans="1:7">
      <c r="A415" s="66">
        <v>95.35</v>
      </c>
      <c r="B415" s="66">
        <v>95.81</v>
      </c>
      <c r="C415" s="66">
        <v>93.51</v>
      </c>
      <c r="D415" s="66">
        <v>93.53</v>
      </c>
      <c r="E415" s="66">
        <v>1674826</v>
      </c>
      <c r="F415" s="66" t="s">
        <v>409</v>
      </c>
      <c r="G415" s="25">
        <f t="shared" si="2"/>
        <v>1.945899711322574E-2</v>
      </c>
    </row>
    <row r="416" spans="1:7">
      <c r="A416" s="66">
        <v>93.27</v>
      </c>
      <c r="B416" s="66">
        <v>93.82</v>
      </c>
      <c r="C416" s="66">
        <v>92.29</v>
      </c>
      <c r="D416" s="66">
        <v>92.68</v>
      </c>
      <c r="E416" s="66">
        <v>1950969</v>
      </c>
      <c r="F416" s="66" t="s">
        <v>410</v>
      </c>
      <c r="G416" s="25">
        <f t="shared" si="2"/>
        <v>6.3659905049631149E-3</v>
      </c>
    </row>
    <row r="417" spans="1:7">
      <c r="A417" s="66">
        <v>92.04</v>
      </c>
      <c r="B417" s="66">
        <v>92.56</v>
      </c>
      <c r="C417" s="66">
        <v>90.220100000000002</v>
      </c>
      <c r="D417" s="66">
        <v>90.27</v>
      </c>
      <c r="E417" s="66">
        <v>1384212</v>
      </c>
      <c r="F417" s="66" t="s">
        <v>411</v>
      </c>
      <c r="G417" s="25">
        <f t="shared" si="2"/>
        <v>1.9607843137255054E-2</v>
      </c>
    </row>
    <row r="418" spans="1:7">
      <c r="A418" s="66">
        <v>90.68</v>
      </c>
      <c r="B418" s="66">
        <v>91.27</v>
      </c>
      <c r="C418" s="66">
        <v>89.77</v>
      </c>
      <c r="D418" s="66">
        <v>90.62</v>
      </c>
      <c r="E418" s="66">
        <v>1897199</v>
      </c>
      <c r="F418" s="66" t="s">
        <v>412</v>
      </c>
      <c r="G418" s="25">
        <f t="shared" si="2"/>
        <v>6.6210549547562891E-4</v>
      </c>
    </row>
    <row r="419" spans="1:7">
      <c r="A419" s="66">
        <v>89.11</v>
      </c>
      <c r="B419" s="66">
        <v>91.46</v>
      </c>
      <c r="C419" s="66">
        <v>88.63</v>
      </c>
      <c r="D419" s="66">
        <v>91.1</v>
      </c>
      <c r="E419" s="66">
        <v>1854966</v>
      </c>
      <c r="F419" s="66" t="s">
        <v>413</v>
      </c>
      <c r="G419" s="25">
        <f t="shared" si="2"/>
        <v>-2.1844127332601437E-2</v>
      </c>
    </row>
    <row r="420" spans="1:7">
      <c r="A420" s="66">
        <v>91.28</v>
      </c>
      <c r="B420" s="66">
        <v>92.04</v>
      </c>
      <c r="C420" s="66">
        <v>89.067099999999996</v>
      </c>
      <c r="D420" s="66">
        <v>90.12</v>
      </c>
      <c r="E420" s="66">
        <v>1729293</v>
      </c>
      <c r="F420" s="66" t="s">
        <v>414</v>
      </c>
      <c r="G420" s="25">
        <f t="shared" si="2"/>
        <v>1.2871726586773047E-2</v>
      </c>
    </row>
    <row r="421" spans="1:7">
      <c r="A421" s="66">
        <v>90.31</v>
      </c>
      <c r="B421" s="66">
        <v>91.71</v>
      </c>
      <c r="C421" s="66">
        <v>89.43</v>
      </c>
      <c r="D421" s="66">
        <v>90.77</v>
      </c>
      <c r="E421" s="66">
        <v>1945207</v>
      </c>
      <c r="F421" s="66" t="s">
        <v>415</v>
      </c>
      <c r="G421" s="25">
        <f t="shared" si="2"/>
        <v>-5.0677536631045239E-3</v>
      </c>
    </row>
    <row r="422" spans="1:7">
      <c r="A422" s="66">
        <v>91.88</v>
      </c>
      <c r="B422" s="66">
        <v>92.605000000000004</v>
      </c>
      <c r="C422" s="66">
        <v>91.41</v>
      </c>
      <c r="D422" s="66">
        <v>92.36</v>
      </c>
      <c r="E422" s="66">
        <v>1107737</v>
      </c>
      <c r="F422" s="66" t="s">
        <v>416</v>
      </c>
      <c r="G422" s="25">
        <f t="shared" si="2"/>
        <v>-5.197055002165496E-3</v>
      </c>
    </row>
    <row r="423" spans="1:7">
      <c r="A423" s="66">
        <v>92.69</v>
      </c>
      <c r="B423" s="66">
        <v>94.85</v>
      </c>
      <c r="C423" s="66">
        <v>92.34</v>
      </c>
      <c r="D423" s="66">
        <v>92.86</v>
      </c>
      <c r="E423" s="66">
        <v>1127777</v>
      </c>
      <c r="F423" s="66" t="s">
        <v>417</v>
      </c>
      <c r="G423" s="25">
        <f t="shared" si="2"/>
        <v>-1.8307129011415624E-3</v>
      </c>
    </row>
    <row r="424" spans="1:7">
      <c r="A424" s="66">
        <v>93.01</v>
      </c>
      <c r="B424" s="66">
        <v>93.38</v>
      </c>
      <c r="C424" s="66">
        <v>91.74</v>
      </c>
      <c r="D424" s="66">
        <v>91.79</v>
      </c>
      <c r="E424" s="66">
        <v>1231678</v>
      </c>
      <c r="F424" s="66" t="s">
        <v>418</v>
      </c>
      <c r="G424" s="25">
        <f t="shared" si="2"/>
        <v>1.3291208192613535E-2</v>
      </c>
    </row>
    <row r="425" spans="1:7">
      <c r="A425" s="66">
        <v>91.79</v>
      </c>
      <c r="B425" s="66">
        <v>91.905000000000001</v>
      </c>
      <c r="C425" s="66">
        <v>90.43</v>
      </c>
      <c r="D425" s="66">
        <v>90.69</v>
      </c>
      <c r="E425" s="66">
        <v>764905</v>
      </c>
      <c r="F425" s="66" t="s">
        <v>419</v>
      </c>
      <c r="G425" s="25">
        <f t="shared" si="2"/>
        <v>1.2129231447789213E-2</v>
      </c>
    </row>
    <row r="426" spans="1:7">
      <c r="A426" s="66">
        <v>90.66</v>
      </c>
      <c r="B426" s="66">
        <v>92.62</v>
      </c>
      <c r="C426" s="66">
        <v>90.36</v>
      </c>
      <c r="D426" s="66">
        <v>92.57</v>
      </c>
      <c r="E426" s="66">
        <v>976177</v>
      </c>
      <c r="F426" s="66" t="s">
        <v>420</v>
      </c>
      <c r="G426" s="25">
        <f t="shared" si="2"/>
        <v>-2.0633034460408317E-2</v>
      </c>
    </row>
    <row r="427" spans="1:7">
      <c r="A427" s="66">
        <v>91.93</v>
      </c>
      <c r="B427" s="66">
        <v>92.57</v>
      </c>
      <c r="C427" s="66">
        <v>91.23</v>
      </c>
      <c r="D427" s="66">
        <v>91.54</v>
      </c>
      <c r="E427" s="66">
        <v>817504</v>
      </c>
      <c r="F427" s="66" t="s">
        <v>421</v>
      </c>
      <c r="G427" s="25">
        <f t="shared" si="2"/>
        <v>4.2604325977715352E-3</v>
      </c>
    </row>
    <row r="428" spans="1:7">
      <c r="A428" s="66">
        <v>91.43</v>
      </c>
      <c r="B428" s="66">
        <v>92.96</v>
      </c>
      <c r="C428" s="66">
        <v>91.06</v>
      </c>
      <c r="D428" s="66">
        <v>92.08</v>
      </c>
      <c r="E428" s="66">
        <v>835641</v>
      </c>
      <c r="F428" s="66" t="s">
        <v>422</v>
      </c>
      <c r="G428" s="25">
        <f t="shared" si="2"/>
        <v>-7.0590790616853472E-3</v>
      </c>
    </row>
    <row r="429" spans="1:7">
      <c r="A429" s="66">
        <v>92.34</v>
      </c>
      <c r="B429" s="66">
        <v>92.81</v>
      </c>
      <c r="C429" s="66">
        <v>91.694999999999993</v>
      </c>
      <c r="D429" s="66">
        <v>91.85</v>
      </c>
      <c r="E429" s="66">
        <v>671750</v>
      </c>
      <c r="F429" s="66" t="s">
        <v>423</v>
      </c>
      <c r="G429" s="25">
        <f t="shared" si="2"/>
        <v>5.3347849755036592E-3</v>
      </c>
    </row>
    <row r="430" spans="1:7">
      <c r="A430" s="66">
        <v>92.61</v>
      </c>
      <c r="B430" s="66">
        <v>92.69</v>
      </c>
      <c r="C430" s="66">
        <v>91.935000000000002</v>
      </c>
      <c r="D430" s="66">
        <v>92.26</v>
      </c>
      <c r="E430" s="66">
        <v>775164</v>
      </c>
      <c r="F430" s="66" t="s">
        <v>424</v>
      </c>
      <c r="G430" s="25">
        <f t="shared" si="2"/>
        <v>3.793626707131903E-3</v>
      </c>
    </row>
    <row r="431" spans="1:7">
      <c r="A431" s="66">
        <v>92.81</v>
      </c>
      <c r="B431" s="66">
        <v>92.81</v>
      </c>
      <c r="C431" s="66">
        <v>91.39</v>
      </c>
      <c r="D431" s="66">
        <v>92.2</v>
      </c>
      <c r="E431" s="66">
        <v>451163</v>
      </c>
      <c r="F431" s="66" t="s">
        <v>425</v>
      </c>
      <c r="G431" s="25">
        <f t="shared" si="2"/>
        <v>6.616052060737454E-3</v>
      </c>
    </row>
    <row r="432" spans="1:7">
      <c r="A432" s="66">
        <v>92.52</v>
      </c>
      <c r="B432" s="66">
        <v>93.44</v>
      </c>
      <c r="C432" s="66">
        <v>91.91</v>
      </c>
      <c r="D432" s="66">
        <v>92.72</v>
      </c>
      <c r="E432" s="66">
        <v>990571</v>
      </c>
      <c r="F432" s="66" t="s">
        <v>426</v>
      </c>
      <c r="G432" s="25">
        <f t="shared" si="2"/>
        <v>-2.1570319240724611E-3</v>
      </c>
    </row>
    <row r="433" spans="1:7">
      <c r="A433" s="66">
        <v>93.44</v>
      </c>
      <c r="B433" s="66">
        <v>94.71</v>
      </c>
      <c r="C433" s="66">
        <v>92.28</v>
      </c>
      <c r="D433" s="66">
        <v>92.42</v>
      </c>
      <c r="E433" s="66">
        <v>2784859</v>
      </c>
      <c r="F433" s="66" t="s">
        <v>427</v>
      </c>
      <c r="G433" s="25">
        <f t="shared" si="2"/>
        <v>1.1036572170525893E-2</v>
      </c>
    </row>
    <row r="434" spans="1:7">
      <c r="A434" s="66">
        <v>91.93</v>
      </c>
      <c r="B434" s="66">
        <v>92.72</v>
      </c>
      <c r="C434" s="66">
        <v>91.22</v>
      </c>
      <c r="D434" s="66">
        <v>92.35</v>
      </c>
      <c r="E434" s="66">
        <v>1639443</v>
      </c>
      <c r="F434" s="66" t="s">
        <v>428</v>
      </c>
      <c r="G434" s="25">
        <f t="shared" si="2"/>
        <v>-4.5479155387112558E-3</v>
      </c>
    </row>
    <row r="435" spans="1:7">
      <c r="A435" s="66">
        <v>92.39</v>
      </c>
      <c r="B435" s="66">
        <v>94.92</v>
      </c>
      <c r="C435" s="66">
        <v>92.27</v>
      </c>
      <c r="D435" s="66">
        <v>94.43</v>
      </c>
      <c r="E435" s="66">
        <v>1550873</v>
      </c>
      <c r="F435" s="66" t="s">
        <v>429</v>
      </c>
      <c r="G435" s="25">
        <f t="shared" si="2"/>
        <v>-2.160330403473476E-2</v>
      </c>
    </row>
    <row r="436" spans="1:7">
      <c r="A436" s="66">
        <v>94.49</v>
      </c>
      <c r="B436" s="66">
        <v>96.084999999999994</v>
      </c>
      <c r="C436" s="66">
        <v>93.42</v>
      </c>
      <c r="D436" s="66">
        <v>93.79</v>
      </c>
      <c r="E436" s="66">
        <v>1955994</v>
      </c>
      <c r="F436" s="66" t="s">
        <v>430</v>
      </c>
      <c r="G436" s="25">
        <f t="shared" si="2"/>
        <v>7.4634822475743157E-3</v>
      </c>
    </row>
    <row r="437" spans="1:7">
      <c r="A437" s="66">
        <v>93.98</v>
      </c>
      <c r="B437" s="66">
        <v>96.14</v>
      </c>
      <c r="C437" s="66">
        <v>93.85</v>
      </c>
      <c r="D437" s="66">
        <v>94.76</v>
      </c>
      <c r="E437" s="66">
        <v>1963229</v>
      </c>
      <c r="F437" s="66" t="s">
        <v>431</v>
      </c>
      <c r="G437" s="25">
        <f t="shared" si="2"/>
        <v>-8.2313212325876295E-3</v>
      </c>
    </row>
    <row r="438" spans="1:7">
      <c r="A438" s="66">
        <v>94.85</v>
      </c>
      <c r="B438" s="66">
        <v>96.73</v>
      </c>
      <c r="C438" s="66">
        <v>94.78</v>
      </c>
      <c r="D438" s="66">
        <v>96.41</v>
      </c>
      <c r="E438" s="66">
        <v>1779827</v>
      </c>
      <c r="F438" s="66" t="s">
        <v>432</v>
      </c>
      <c r="G438" s="25">
        <f t="shared" si="2"/>
        <v>-1.6180894098122622E-2</v>
      </c>
    </row>
    <row r="439" spans="1:7">
      <c r="A439" s="66">
        <v>96.72</v>
      </c>
      <c r="B439" s="66">
        <v>99.41</v>
      </c>
      <c r="C439" s="66">
        <v>96.63</v>
      </c>
      <c r="D439" s="66">
        <v>99.41</v>
      </c>
      <c r="E439" s="66">
        <v>1731922</v>
      </c>
      <c r="F439" s="66" t="s">
        <v>433</v>
      </c>
      <c r="G439" s="25">
        <f t="shared" si="2"/>
        <v>-2.7059651946484187E-2</v>
      </c>
    </row>
    <row r="440" spans="1:7">
      <c r="A440" s="66">
        <v>99.28</v>
      </c>
      <c r="B440" s="66">
        <v>100.47</v>
      </c>
      <c r="C440" s="66">
        <v>98.58</v>
      </c>
      <c r="D440" s="66">
        <v>99.35</v>
      </c>
      <c r="E440" s="66">
        <v>1186705</v>
      </c>
      <c r="F440" s="66" t="s">
        <v>434</v>
      </c>
      <c r="G440" s="25">
        <f t="shared" ref="G440:G503" si="3">A440/D440-1</f>
        <v>-7.0457976849513937E-4</v>
      </c>
    </row>
    <row r="441" spans="1:7">
      <c r="A441" s="66">
        <v>99.08</v>
      </c>
      <c r="B441" s="66">
        <v>100.08</v>
      </c>
      <c r="C441" s="66">
        <v>97.87</v>
      </c>
      <c r="D441" s="66">
        <v>99.6</v>
      </c>
      <c r="E441" s="66">
        <v>1574474</v>
      </c>
      <c r="F441" s="66" t="s">
        <v>435</v>
      </c>
      <c r="G441" s="25">
        <f t="shared" si="3"/>
        <v>-5.2208835341365223E-3</v>
      </c>
    </row>
    <row r="442" spans="1:7">
      <c r="A442" s="66">
        <v>99.26</v>
      </c>
      <c r="B442" s="66">
        <v>100.37</v>
      </c>
      <c r="C442" s="66">
        <v>98.6</v>
      </c>
      <c r="D442" s="66">
        <v>98.6</v>
      </c>
      <c r="E442" s="66">
        <v>1724737</v>
      </c>
      <c r="F442" s="66" t="s">
        <v>436</v>
      </c>
      <c r="G442" s="25">
        <f t="shared" si="3"/>
        <v>6.6937119675456458E-3</v>
      </c>
    </row>
    <row r="443" spans="1:7">
      <c r="A443" s="66">
        <v>98.7</v>
      </c>
      <c r="B443" s="66">
        <v>101.52500000000001</v>
      </c>
      <c r="C443" s="66">
        <v>97.24</v>
      </c>
      <c r="D443" s="66">
        <v>99.39</v>
      </c>
      <c r="E443" s="66">
        <v>3694044</v>
      </c>
      <c r="F443" s="66" t="s">
        <v>437</v>
      </c>
      <c r="G443" s="25">
        <f t="shared" si="3"/>
        <v>-6.9423483247811335E-3</v>
      </c>
    </row>
    <row r="444" spans="1:7">
      <c r="A444" s="66">
        <v>103.23</v>
      </c>
      <c r="B444" s="66">
        <v>104.47</v>
      </c>
      <c r="C444" s="66">
        <v>103.02</v>
      </c>
      <c r="D444" s="66">
        <v>103.57</v>
      </c>
      <c r="E444" s="66">
        <v>1850052</v>
      </c>
      <c r="F444" s="66" t="s">
        <v>438</v>
      </c>
      <c r="G444" s="25">
        <f t="shared" si="3"/>
        <v>-3.2828039007433141E-3</v>
      </c>
    </row>
    <row r="445" spans="1:7">
      <c r="A445" s="66">
        <v>104.98</v>
      </c>
      <c r="B445" s="66">
        <v>106.63</v>
      </c>
      <c r="C445" s="66">
        <v>102.8</v>
      </c>
      <c r="D445" s="66">
        <v>103.45</v>
      </c>
      <c r="E445" s="66">
        <v>2071297</v>
      </c>
      <c r="F445" s="66" t="s">
        <v>439</v>
      </c>
      <c r="G445" s="25">
        <f t="shared" si="3"/>
        <v>1.4789753504108383E-2</v>
      </c>
    </row>
    <row r="446" spans="1:7">
      <c r="A446" s="66">
        <v>103.29</v>
      </c>
      <c r="B446" s="66">
        <v>104</v>
      </c>
      <c r="C446" s="66">
        <v>101.395</v>
      </c>
      <c r="D446" s="66">
        <v>102.74</v>
      </c>
      <c r="E446" s="66">
        <v>1308082</v>
      </c>
      <c r="F446" s="66" t="s">
        <v>440</v>
      </c>
      <c r="G446" s="25">
        <f t="shared" si="3"/>
        <v>5.3533190578158862E-3</v>
      </c>
    </row>
    <row r="447" spans="1:7">
      <c r="A447" s="66">
        <v>103</v>
      </c>
      <c r="B447" s="66">
        <v>104.855</v>
      </c>
      <c r="C447" s="66">
        <v>102.75</v>
      </c>
      <c r="D447" s="66">
        <v>104.13</v>
      </c>
      <c r="E447" s="66">
        <v>1777160</v>
      </c>
      <c r="F447" s="66" t="s">
        <v>441</v>
      </c>
      <c r="G447" s="25">
        <f t="shared" si="3"/>
        <v>-1.085181984058381E-2</v>
      </c>
    </row>
    <row r="448" spans="1:7">
      <c r="A448" s="66">
        <v>104.46</v>
      </c>
      <c r="B448" s="66">
        <v>104.71</v>
      </c>
      <c r="C448" s="66">
        <v>103.34</v>
      </c>
      <c r="D448" s="66">
        <v>103.48</v>
      </c>
      <c r="E448" s="66">
        <v>740330</v>
      </c>
      <c r="F448" s="66" t="s">
        <v>442</v>
      </c>
      <c r="G448" s="25">
        <f t="shared" si="3"/>
        <v>9.4704290684188841E-3</v>
      </c>
    </row>
    <row r="449" spans="1:7">
      <c r="A449" s="66">
        <v>103.43</v>
      </c>
      <c r="B449" s="66">
        <v>103.55</v>
      </c>
      <c r="C449" s="66">
        <v>101.78</v>
      </c>
      <c r="D449" s="66">
        <v>102.02</v>
      </c>
      <c r="E449" s="66">
        <v>1536010</v>
      </c>
      <c r="F449" s="66" t="s">
        <v>443</v>
      </c>
      <c r="G449" s="25">
        <f t="shared" si="3"/>
        <v>1.3820819447167398E-2</v>
      </c>
    </row>
    <row r="450" spans="1:7">
      <c r="A450" s="66">
        <v>102.64</v>
      </c>
      <c r="B450" s="66">
        <v>103.49</v>
      </c>
      <c r="C450" s="66">
        <v>101.09</v>
      </c>
      <c r="D450" s="66">
        <v>102.75</v>
      </c>
      <c r="E450" s="66">
        <v>1312112</v>
      </c>
      <c r="F450" s="66" t="s">
        <v>444</v>
      </c>
      <c r="G450" s="25">
        <f t="shared" si="3"/>
        <v>-1.0705596107055682E-3</v>
      </c>
    </row>
    <row r="451" spans="1:7">
      <c r="A451" s="66">
        <v>102.4</v>
      </c>
      <c r="B451" s="66">
        <v>103.32</v>
      </c>
      <c r="C451" s="66">
        <v>101.465</v>
      </c>
      <c r="D451" s="66">
        <v>101.76</v>
      </c>
      <c r="E451" s="66">
        <v>3223616</v>
      </c>
      <c r="F451" s="66" t="s">
        <v>445</v>
      </c>
      <c r="G451" s="25">
        <f t="shared" si="3"/>
        <v>6.2893081761006275E-3</v>
      </c>
    </row>
    <row r="452" spans="1:7">
      <c r="A452" s="66">
        <v>100.8</v>
      </c>
      <c r="B452" s="66">
        <v>101.19</v>
      </c>
      <c r="C452" s="66">
        <v>99.5</v>
      </c>
      <c r="D452" s="66">
        <v>99.95</v>
      </c>
      <c r="E452" s="66">
        <v>1140361</v>
      </c>
      <c r="F452" s="66" t="s">
        <v>446</v>
      </c>
      <c r="G452" s="25">
        <f t="shared" si="3"/>
        <v>8.5042521260629833E-3</v>
      </c>
    </row>
    <row r="453" spans="1:7">
      <c r="A453" s="66">
        <v>99.91</v>
      </c>
      <c r="B453" s="66">
        <v>100.035</v>
      </c>
      <c r="C453" s="66">
        <v>98.13</v>
      </c>
      <c r="D453" s="66">
        <v>99.08</v>
      </c>
      <c r="E453" s="66">
        <v>992419</v>
      </c>
      <c r="F453" s="66" t="s">
        <v>447</v>
      </c>
      <c r="G453" s="25">
        <f t="shared" si="3"/>
        <v>8.3770690351230304E-3</v>
      </c>
    </row>
    <row r="454" spans="1:7">
      <c r="A454" s="66">
        <v>99.08</v>
      </c>
      <c r="B454" s="66">
        <v>99.185000000000002</v>
      </c>
      <c r="C454" s="66">
        <v>97.98</v>
      </c>
      <c r="D454" s="66">
        <v>98.7</v>
      </c>
      <c r="E454" s="66">
        <v>899067</v>
      </c>
      <c r="F454" s="66" t="s">
        <v>448</v>
      </c>
      <c r="G454" s="25">
        <f t="shared" si="3"/>
        <v>3.8500506585612548E-3</v>
      </c>
    </row>
    <row r="455" spans="1:7">
      <c r="A455" s="66">
        <v>99.05</v>
      </c>
      <c r="B455" s="66">
        <v>99.9</v>
      </c>
      <c r="C455" s="66">
        <v>98</v>
      </c>
      <c r="D455" s="66">
        <v>98.94</v>
      </c>
      <c r="E455" s="66">
        <v>887826</v>
      </c>
      <c r="F455" s="66" t="s">
        <v>449</v>
      </c>
      <c r="G455" s="25">
        <f t="shared" si="3"/>
        <v>1.1117849201536245E-3</v>
      </c>
    </row>
    <row r="456" spans="1:7">
      <c r="A456" s="66">
        <v>99.48</v>
      </c>
      <c r="B456" s="66">
        <v>99.96</v>
      </c>
      <c r="C456" s="66">
        <v>98.91</v>
      </c>
      <c r="D456" s="66">
        <v>99.28</v>
      </c>
      <c r="E456" s="66">
        <v>895871</v>
      </c>
      <c r="F456" s="66" t="s">
        <v>450</v>
      </c>
      <c r="G456" s="25">
        <f t="shared" si="3"/>
        <v>2.0145044319097583E-3</v>
      </c>
    </row>
    <row r="457" spans="1:7">
      <c r="A457" s="66">
        <v>99.63</v>
      </c>
      <c r="B457" s="66">
        <v>100.96</v>
      </c>
      <c r="C457" s="66">
        <v>98.93</v>
      </c>
      <c r="D457" s="66">
        <v>100.4</v>
      </c>
      <c r="E457" s="66">
        <v>1415083</v>
      </c>
      <c r="F457" s="66" t="s">
        <v>451</v>
      </c>
      <c r="G457" s="25">
        <f t="shared" si="3"/>
        <v>-7.6693227091634286E-3</v>
      </c>
    </row>
    <row r="458" spans="1:7">
      <c r="A458" s="66">
        <v>99.86</v>
      </c>
      <c r="B458" s="66">
        <v>101.72</v>
      </c>
      <c r="C458" s="66">
        <v>99.66</v>
      </c>
      <c r="D458" s="66">
        <v>101.375</v>
      </c>
      <c r="E458" s="66">
        <v>1322986</v>
      </c>
      <c r="F458" s="66" t="s">
        <v>452</v>
      </c>
      <c r="G458" s="25">
        <f t="shared" si="3"/>
        <v>-1.4944512946979072E-2</v>
      </c>
    </row>
    <row r="459" spans="1:7">
      <c r="A459" s="66">
        <v>101.88</v>
      </c>
      <c r="B459" s="66">
        <v>103.89</v>
      </c>
      <c r="C459" s="66">
        <v>101.62</v>
      </c>
      <c r="D459" s="66">
        <v>102.38</v>
      </c>
      <c r="E459" s="66">
        <v>1732093</v>
      </c>
      <c r="F459" s="66" t="s">
        <v>453</v>
      </c>
      <c r="G459" s="25">
        <f t="shared" si="3"/>
        <v>-4.8837663606172699E-3</v>
      </c>
    </row>
    <row r="460" spans="1:7">
      <c r="A460" s="66">
        <v>102</v>
      </c>
      <c r="B460" s="66">
        <v>103.59439999999999</v>
      </c>
      <c r="C460" s="66">
        <v>99.77</v>
      </c>
      <c r="D460" s="66">
        <v>103.5</v>
      </c>
      <c r="E460" s="66">
        <v>1798381</v>
      </c>
      <c r="F460" s="66" t="s">
        <v>454</v>
      </c>
      <c r="G460" s="25">
        <f t="shared" si="3"/>
        <v>-1.4492753623188359E-2</v>
      </c>
    </row>
    <row r="461" spans="1:7">
      <c r="A461" s="66">
        <v>103.55</v>
      </c>
      <c r="B461" s="66">
        <v>104.80500000000001</v>
      </c>
      <c r="C461" s="66">
        <v>102.87</v>
      </c>
      <c r="D461" s="66">
        <v>103.8</v>
      </c>
      <c r="E461" s="66">
        <v>877673</v>
      </c>
      <c r="F461" s="66" t="s">
        <v>455</v>
      </c>
      <c r="G461" s="25">
        <f t="shared" si="3"/>
        <v>-2.40847784200382E-3</v>
      </c>
    </row>
    <row r="462" spans="1:7">
      <c r="A462" s="66">
        <v>103.75</v>
      </c>
      <c r="B462" s="66">
        <v>104.57</v>
      </c>
      <c r="C462" s="66">
        <v>102.99</v>
      </c>
      <c r="D462" s="66">
        <v>103.45</v>
      </c>
      <c r="E462" s="66">
        <v>679183</v>
      </c>
      <c r="F462" s="66" t="s">
        <v>456</v>
      </c>
      <c r="G462" s="25">
        <f t="shared" si="3"/>
        <v>2.8999516674721448E-3</v>
      </c>
    </row>
    <row r="463" spans="1:7">
      <c r="A463" s="66">
        <v>103.33</v>
      </c>
      <c r="B463" s="66">
        <v>104.37</v>
      </c>
      <c r="C463" s="66">
        <v>102.25</v>
      </c>
      <c r="D463" s="66">
        <v>104.37</v>
      </c>
      <c r="E463" s="66">
        <v>1148586</v>
      </c>
      <c r="F463" s="66" t="s">
        <v>457</v>
      </c>
      <c r="G463" s="25">
        <f t="shared" si="3"/>
        <v>-9.9645491999617031E-3</v>
      </c>
    </row>
    <row r="464" spans="1:7">
      <c r="A464" s="66">
        <v>103.78</v>
      </c>
      <c r="B464" s="66">
        <v>107.84</v>
      </c>
      <c r="C464" s="66">
        <v>101.36</v>
      </c>
      <c r="D464" s="66">
        <v>107.84</v>
      </c>
      <c r="E464" s="66">
        <v>1245006</v>
      </c>
      <c r="F464" s="66" t="s">
        <v>458</v>
      </c>
      <c r="G464" s="25">
        <f t="shared" si="3"/>
        <v>-3.7648367952522244E-2</v>
      </c>
    </row>
    <row r="465" spans="1:7">
      <c r="A465" s="66">
        <v>105.21</v>
      </c>
      <c r="B465" s="66">
        <v>105.54</v>
      </c>
      <c r="C465" s="66">
        <v>103.25</v>
      </c>
      <c r="D465" s="66">
        <v>103.97</v>
      </c>
      <c r="E465" s="66">
        <v>638643</v>
      </c>
      <c r="F465" s="66" t="s">
        <v>459</v>
      </c>
      <c r="G465" s="25">
        <f t="shared" si="3"/>
        <v>1.1926517264595482E-2</v>
      </c>
    </row>
    <row r="466" spans="1:7">
      <c r="A466" s="66">
        <v>104.86</v>
      </c>
      <c r="B466" s="66">
        <v>106.375</v>
      </c>
      <c r="C466" s="66">
        <v>104.565</v>
      </c>
      <c r="D466" s="66">
        <v>106.06</v>
      </c>
      <c r="E466" s="66">
        <v>692427</v>
      </c>
      <c r="F466" s="66" t="s">
        <v>460</v>
      </c>
      <c r="G466" s="25">
        <f t="shared" si="3"/>
        <v>-1.1314350367716441E-2</v>
      </c>
    </row>
    <row r="467" spans="1:7">
      <c r="A467" s="66">
        <v>105.85</v>
      </c>
      <c r="B467" s="66">
        <v>106.26</v>
      </c>
      <c r="C467" s="66">
        <v>104.92</v>
      </c>
      <c r="D467" s="66">
        <v>104.92</v>
      </c>
      <c r="E467" s="66">
        <v>715874</v>
      </c>
      <c r="F467" s="66" t="s">
        <v>461</v>
      </c>
      <c r="G467" s="25">
        <f t="shared" si="3"/>
        <v>8.8638963019442851E-3</v>
      </c>
    </row>
    <row r="468" spans="1:7">
      <c r="A468" s="66">
        <v>104.68</v>
      </c>
      <c r="B468" s="66">
        <v>105.38</v>
      </c>
      <c r="C468" s="66">
        <v>104.44499999999999</v>
      </c>
      <c r="D468" s="66">
        <v>105.03</v>
      </c>
      <c r="E468" s="66">
        <v>1131611</v>
      </c>
      <c r="F468" s="66" t="s">
        <v>462</v>
      </c>
      <c r="G468" s="25">
        <f t="shared" si="3"/>
        <v>-3.3323812244120399E-3</v>
      </c>
    </row>
    <row r="469" spans="1:7">
      <c r="A469" s="66">
        <v>105.2</v>
      </c>
      <c r="B469" s="66">
        <v>105.83</v>
      </c>
      <c r="C469" s="66">
        <v>103.96</v>
      </c>
      <c r="D469" s="66">
        <v>103.96</v>
      </c>
      <c r="E469" s="66">
        <v>1414508</v>
      </c>
      <c r="F469" s="66" t="s">
        <v>463</v>
      </c>
      <c r="G469" s="25">
        <f t="shared" si="3"/>
        <v>1.1927664486341083E-2</v>
      </c>
    </row>
    <row r="470" spans="1:7">
      <c r="A470" s="66">
        <v>104.53</v>
      </c>
      <c r="B470" s="66">
        <v>105.435</v>
      </c>
      <c r="C470" s="66">
        <v>104.41</v>
      </c>
      <c r="D470" s="66">
        <v>105.12</v>
      </c>
      <c r="E470" s="66">
        <v>837051</v>
      </c>
      <c r="F470" s="66" t="s">
        <v>464</v>
      </c>
      <c r="G470" s="25">
        <f t="shared" si="3"/>
        <v>-5.6126331811263697E-3</v>
      </c>
    </row>
    <row r="471" spans="1:7">
      <c r="A471" s="66">
        <v>105.51</v>
      </c>
      <c r="B471" s="66">
        <v>108.01</v>
      </c>
      <c r="C471" s="66">
        <v>105.42</v>
      </c>
      <c r="D471" s="66">
        <v>108.01</v>
      </c>
      <c r="E471" s="66">
        <v>950918</v>
      </c>
      <c r="F471" s="66" t="s">
        <v>465</v>
      </c>
      <c r="G471" s="25">
        <f t="shared" si="3"/>
        <v>-2.3146004999537118E-2</v>
      </c>
    </row>
    <row r="472" spans="1:7">
      <c r="A472" s="66">
        <v>107.82</v>
      </c>
      <c r="B472" s="66">
        <v>108.32</v>
      </c>
      <c r="C472" s="66">
        <v>107.05</v>
      </c>
      <c r="D472" s="66">
        <v>107.44</v>
      </c>
      <c r="E472" s="66">
        <v>3270373</v>
      </c>
      <c r="F472" s="66" t="s">
        <v>466</v>
      </c>
      <c r="G472" s="25">
        <f t="shared" si="3"/>
        <v>3.5368577810870327E-3</v>
      </c>
    </row>
    <row r="473" spans="1:7">
      <c r="A473" s="66">
        <v>107.3</v>
      </c>
      <c r="B473" s="66">
        <v>109.035</v>
      </c>
      <c r="C473" s="66">
        <v>105.44499999999999</v>
      </c>
      <c r="D473" s="66">
        <v>105.8</v>
      </c>
      <c r="E473" s="66">
        <v>3239608</v>
      </c>
      <c r="F473" s="66" t="s">
        <v>467</v>
      </c>
      <c r="G473" s="25">
        <f t="shared" si="3"/>
        <v>1.4177693761814769E-2</v>
      </c>
    </row>
    <row r="474" spans="1:7">
      <c r="A474" s="66">
        <v>105.32</v>
      </c>
      <c r="B474" s="66">
        <v>106.21</v>
      </c>
      <c r="C474" s="66">
        <v>104.7</v>
      </c>
      <c r="D474" s="66">
        <v>105.61</v>
      </c>
      <c r="E474" s="66">
        <v>912377</v>
      </c>
      <c r="F474" s="66" t="s">
        <v>468</v>
      </c>
      <c r="G474" s="25">
        <f t="shared" si="3"/>
        <v>-2.7459520878705401E-3</v>
      </c>
    </row>
    <row r="475" spans="1:7">
      <c r="A475" s="66">
        <v>105.83</v>
      </c>
      <c r="B475" s="66">
        <v>106.48</v>
      </c>
      <c r="C475" s="66">
        <v>105.21</v>
      </c>
      <c r="D475" s="66">
        <v>106.4</v>
      </c>
      <c r="E475" s="66">
        <v>1999677</v>
      </c>
      <c r="F475" s="66" t="s">
        <v>469</v>
      </c>
      <c r="G475" s="25">
        <f t="shared" si="3"/>
        <v>-5.3571428571429491E-3</v>
      </c>
    </row>
    <row r="476" spans="1:7">
      <c r="A476" s="66">
        <v>106.72</v>
      </c>
      <c r="B476" s="66">
        <v>108.38249999999999</v>
      </c>
      <c r="C476" s="66">
        <v>106.6</v>
      </c>
      <c r="D476" s="66">
        <v>107.95</v>
      </c>
      <c r="E476" s="66">
        <v>765008</v>
      </c>
      <c r="F476" s="66" t="s">
        <v>470</v>
      </c>
      <c r="G476" s="25">
        <f t="shared" si="3"/>
        <v>-1.1394163964798532E-2</v>
      </c>
    </row>
    <row r="477" spans="1:7">
      <c r="A477" s="66">
        <v>108.26</v>
      </c>
      <c r="B477" s="66">
        <v>108.545</v>
      </c>
      <c r="C477" s="66">
        <v>106.54</v>
      </c>
      <c r="D477" s="66">
        <v>106.78</v>
      </c>
      <c r="E477" s="66">
        <v>733653</v>
      </c>
      <c r="F477" s="66" t="s">
        <v>471</v>
      </c>
      <c r="G477" s="25">
        <f t="shared" si="3"/>
        <v>1.386027345944929E-2</v>
      </c>
    </row>
    <row r="478" spans="1:7">
      <c r="A478" s="66">
        <v>106.78</v>
      </c>
      <c r="B478" s="66">
        <v>108.73</v>
      </c>
      <c r="C478" s="66">
        <v>106.6</v>
      </c>
      <c r="D478" s="66">
        <v>108.46</v>
      </c>
      <c r="E478" s="66">
        <v>1193332</v>
      </c>
      <c r="F478" s="66" t="s">
        <v>472</v>
      </c>
      <c r="G478" s="25">
        <f t="shared" si="3"/>
        <v>-1.5489581412502229E-2</v>
      </c>
    </row>
    <row r="479" spans="1:7">
      <c r="A479" s="66">
        <v>108.56</v>
      </c>
      <c r="B479" s="66">
        <v>109.03</v>
      </c>
      <c r="C479" s="66">
        <v>107.94499999999999</v>
      </c>
      <c r="D479" s="66">
        <v>108.53</v>
      </c>
      <c r="E479" s="66">
        <v>695801</v>
      </c>
      <c r="F479" s="66" t="s">
        <v>473</v>
      </c>
      <c r="G479" s="25">
        <f t="shared" si="3"/>
        <v>2.7642126600935235E-4</v>
      </c>
    </row>
    <row r="480" spans="1:7">
      <c r="A480" s="66">
        <v>108.55</v>
      </c>
      <c r="B480" s="66">
        <v>109.37</v>
      </c>
      <c r="C480" s="66">
        <v>107.46</v>
      </c>
      <c r="D480" s="66">
        <v>107.46</v>
      </c>
      <c r="E480" s="66">
        <v>829395</v>
      </c>
      <c r="F480" s="66" t="s">
        <v>474</v>
      </c>
      <c r="G480" s="25">
        <f t="shared" si="3"/>
        <v>1.0143309138284096E-2</v>
      </c>
    </row>
    <row r="481" spans="1:7">
      <c r="A481" s="66">
        <v>107.68</v>
      </c>
      <c r="B481" s="66">
        <v>107.7475</v>
      </c>
      <c r="C481" s="66">
        <v>106.73</v>
      </c>
      <c r="D481" s="66">
        <v>106.93</v>
      </c>
      <c r="E481" s="66">
        <v>521202</v>
      </c>
      <c r="F481" s="66" t="s">
        <v>475</v>
      </c>
      <c r="G481" s="25">
        <f t="shared" si="3"/>
        <v>7.0139343495745354E-3</v>
      </c>
    </row>
    <row r="482" spans="1:7">
      <c r="A482" s="66">
        <v>106.74</v>
      </c>
      <c r="B482" s="66">
        <v>107.21559999999999</v>
      </c>
      <c r="C482" s="66">
        <v>106.15</v>
      </c>
      <c r="D482" s="66">
        <v>106.53</v>
      </c>
      <c r="E482" s="66">
        <v>892665</v>
      </c>
      <c r="F482" s="66" t="s">
        <v>476</v>
      </c>
      <c r="G482" s="25">
        <f t="shared" si="3"/>
        <v>1.9712756969867407E-3</v>
      </c>
    </row>
    <row r="483" spans="1:7">
      <c r="A483" s="66">
        <v>106.3</v>
      </c>
      <c r="B483" s="66">
        <v>106.51</v>
      </c>
      <c r="C483" s="66">
        <v>105.49</v>
      </c>
      <c r="D483" s="66">
        <v>105.49</v>
      </c>
      <c r="E483" s="66">
        <v>674449</v>
      </c>
      <c r="F483" s="66" t="s">
        <v>477</v>
      </c>
      <c r="G483" s="25">
        <f t="shared" si="3"/>
        <v>7.6784529339273266E-3</v>
      </c>
    </row>
    <row r="484" spans="1:7">
      <c r="A484" s="66">
        <v>106.8</v>
      </c>
      <c r="B484" s="66">
        <v>106.91</v>
      </c>
      <c r="C484" s="66">
        <v>105.08</v>
      </c>
      <c r="D484" s="66">
        <v>105.6</v>
      </c>
      <c r="E484" s="66">
        <v>444492</v>
      </c>
      <c r="F484" s="66" t="s">
        <v>478</v>
      </c>
      <c r="G484" s="25">
        <f t="shared" si="3"/>
        <v>1.1363636363636465E-2</v>
      </c>
    </row>
    <row r="485" spans="1:7">
      <c r="A485" s="66">
        <v>105.61</v>
      </c>
      <c r="B485" s="66">
        <v>105.94</v>
      </c>
      <c r="C485" s="66">
        <v>105.06</v>
      </c>
      <c r="D485" s="66">
        <v>105.18</v>
      </c>
      <c r="E485" s="66">
        <v>698693</v>
      </c>
      <c r="F485" s="66" t="s">
        <v>479</v>
      </c>
      <c r="G485" s="25">
        <f t="shared" si="3"/>
        <v>4.0882297014641633E-3</v>
      </c>
    </row>
    <row r="486" spans="1:7">
      <c r="A486" s="66">
        <v>105.49</v>
      </c>
      <c r="B486" s="66">
        <v>106.83</v>
      </c>
      <c r="C486" s="66">
        <v>104.91</v>
      </c>
      <c r="D486" s="66">
        <v>106.48</v>
      </c>
      <c r="E486" s="66">
        <v>1151189</v>
      </c>
      <c r="F486" s="66" t="s">
        <v>480</v>
      </c>
      <c r="G486" s="25">
        <f t="shared" si="3"/>
        <v>-9.2975206611570771E-3</v>
      </c>
    </row>
    <row r="487" spans="1:7">
      <c r="A487" s="66">
        <v>105.92</v>
      </c>
      <c r="B487" s="66">
        <v>108.06</v>
      </c>
      <c r="C487" s="66">
        <v>105.01</v>
      </c>
      <c r="D487" s="66">
        <v>107.37</v>
      </c>
      <c r="E487" s="66">
        <v>1047380</v>
      </c>
      <c r="F487" s="66" t="s">
        <v>481</v>
      </c>
      <c r="G487" s="25">
        <f t="shared" si="3"/>
        <v>-1.3504703362205439E-2</v>
      </c>
    </row>
    <row r="488" spans="1:7">
      <c r="A488" s="66">
        <v>106.97</v>
      </c>
      <c r="B488" s="66">
        <v>107.55500000000001</v>
      </c>
      <c r="C488" s="66">
        <v>106.45</v>
      </c>
      <c r="D488" s="66">
        <v>107.23</v>
      </c>
      <c r="E488" s="66">
        <v>2004079</v>
      </c>
      <c r="F488" s="66" t="s">
        <v>482</v>
      </c>
      <c r="G488" s="25">
        <f t="shared" si="3"/>
        <v>-2.4246945817402166E-3</v>
      </c>
    </row>
    <row r="489" spans="1:7">
      <c r="A489" s="66">
        <v>107.8</v>
      </c>
      <c r="B489" s="66">
        <v>108.88</v>
      </c>
      <c r="C489" s="66">
        <v>106.765</v>
      </c>
      <c r="D489" s="66">
        <v>107.54</v>
      </c>
      <c r="E489" s="66">
        <v>1083007</v>
      </c>
      <c r="F489" s="66" t="s">
        <v>483</v>
      </c>
      <c r="G489" s="25">
        <f t="shared" si="3"/>
        <v>2.417705039984952E-3</v>
      </c>
    </row>
    <row r="490" spans="1:7">
      <c r="A490" s="66">
        <v>108.36</v>
      </c>
      <c r="B490" s="66">
        <v>110.13</v>
      </c>
      <c r="C490" s="66">
        <v>108.25</v>
      </c>
      <c r="D490" s="66">
        <v>109.84</v>
      </c>
      <c r="E490" s="66">
        <v>1193637</v>
      </c>
      <c r="F490" s="66" t="s">
        <v>484</v>
      </c>
      <c r="G490" s="25">
        <f t="shared" si="3"/>
        <v>-1.3474144209759675E-2</v>
      </c>
    </row>
    <row r="491" spans="1:7">
      <c r="A491" s="66">
        <v>110.34</v>
      </c>
      <c r="B491" s="66">
        <v>110.675</v>
      </c>
      <c r="C491" s="66">
        <v>109.63</v>
      </c>
      <c r="D491" s="66">
        <v>109.98</v>
      </c>
      <c r="E491" s="66">
        <v>776714</v>
      </c>
      <c r="F491" s="66" t="s">
        <v>485</v>
      </c>
      <c r="G491" s="25">
        <f t="shared" si="3"/>
        <v>3.2733224222585289E-3</v>
      </c>
    </row>
    <row r="492" spans="1:7">
      <c r="A492" s="66">
        <v>109.78</v>
      </c>
      <c r="B492" s="66">
        <v>111.44</v>
      </c>
      <c r="C492" s="66">
        <v>109.48</v>
      </c>
      <c r="D492" s="66">
        <v>110.08</v>
      </c>
      <c r="E492" s="66">
        <v>648075</v>
      </c>
      <c r="F492" s="66" t="s">
        <v>486</v>
      </c>
      <c r="G492" s="25">
        <f t="shared" si="3"/>
        <v>-2.7252906976743541E-3</v>
      </c>
    </row>
    <row r="493" spans="1:7">
      <c r="A493" s="66">
        <v>109.54</v>
      </c>
      <c r="B493" s="66">
        <v>109.8</v>
      </c>
      <c r="C493" s="66">
        <v>108.04</v>
      </c>
      <c r="D493" s="66">
        <v>108.77</v>
      </c>
      <c r="E493" s="66">
        <v>811711</v>
      </c>
      <c r="F493" s="66" t="s">
        <v>487</v>
      </c>
      <c r="G493" s="25">
        <f t="shared" si="3"/>
        <v>7.07915785602653E-3</v>
      </c>
    </row>
    <row r="494" spans="1:7">
      <c r="A494" s="66">
        <v>108.41</v>
      </c>
      <c r="B494" s="66">
        <v>110.21</v>
      </c>
      <c r="C494" s="66">
        <v>108.29</v>
      </c>
      <c r="D494" s="66">
        <v>110.21</v>
      </c>
      <c r="E494" s="66">
        <v>1468858</v>
      </c>
      <c r="F494" s="66" t="s">
        <v>488</v>
      </c>
      <c r="G494" s="25">
        <f t="shared" si="3"/>
        <v>-1.6332456219943725E-2</v>
      </c>
    </row>
    <row r="495" spans="1:7">
      <c r="A495" s="66">
        <v>109.85</v>
      </c>
      <c r="B495" s="66">
        <v>110.5</v>
      </c>
      <c r="C495" s="66">
        <v>109.07</v>
      </c>
      <c r="D495" s="66">
        <v>110.25</v>
      </c>
      <c r="E495" s="66">
        <v>961031</v>
      </c>
      <c r="F495" s="66" t="s">
        <v>489</v>
      </c>
      <c r="G495" s="25">
        <f t="shared" si="3"/>
        <v>-3.6281179138322184E-3</v>
      </c>
    </row>
    <row r="496" spans="1:7">
      <c r="A496" s="66">
        <v>109.81</v>
      </c>
      <c r="B496" s="66">
        <v>111</v>
      </c>
      <c r="C496" s="66">
        <v>109.35</v>
      </c>
      <c r="D496" s="66">
        <v>110.51</v>
      </c>
      <c r="E496" s="66">
        <v>705907</v>
      </c>
      <c r="F496" s="66" t="s">
        <v>490</v>
      </c>
      <c r="G496" s="25">
        <f t="shared" si="3"/>
        <v>-6.3342683920007969E-3</v>
      </c>
    </row>
    <row r="497" spans="1:7">
      <c r="A497" s="66">
        <v>110.49</v>
      </c>
      <c r="B497" s="66">
        <v>111.01</v>
      </c>
      <c r="C497" s="66">
        <v>109.44</v>
      </c>
      <c r="D497" s="66">
        <v>110.38</v>
      </c>
      <c r="E497" s="66">
        <v>1914533</v>
      </c>
      <c r="F497" s="66" t="s">
        <v>491</v>
      </c>
      <c r="G497" s="25">
        <f t="shared" si="3"/>
        <v>9.9655734734560575E-4</v>
      </c>
    </row>
    <row r="498" spans="1:7">
      <c r="A498" s="66">
        <v>111.1</v>
      </c>
      <c r="B498" s="66">
        <v>112.29</v>
      </c>
      <c r="C498" s="66">
        <v>109.91</v>
      </c>
      <c r="D498" s="66">
        <v>111.79</v>
      </c>
      <c r="E498" s="66">
        <v>987902</v>
      </c>
      <c r="F498" s="66" t="s">
        <v>492</v>
      </c>
      <c r="G498" s="25">
        <f t="shared" si="3"/>
        <v>-6.172287324447745E-3</v>
      </c>
    </row>
    <row r="499" spans="1:7">
      <c r="A499" s="66">
        <v>110.53</v>
      </c>
      <c r="B499" s="66">
        <v>111.96</v>
      </c>
      <c r="C499" s="66">
        <v>109.48</v>
      </c>
      <c r="D499" s="66">
        <v>110.08</v>
      </c>
      <c r="E499" s="66">
        <v>903710</v>
      </c>
      <c r="F499" s="66" t="s">
        <v>493</v>
      </c>
      <c r="G499" s="25">
        <f t="shared" si="3"/>
        <v>4.0879360465115866E-3</v>
      </c>
    </row>
    <row r="500" spans="1:7">
      <c r="A500" s="66">
        <v>109.83</v>
      </c>
      <c r="B500" s="66">
        <v>112.18</v>
      </c>
      <c r="C500" s="66">
        <v>109.38</v>
      </c>
      <c r="D500" s="66">
        <v>111.19</v>
      </c>
      <c r="E500" s="66">
        <v>881124</v>
      </c>
      <c r="F500" s="66" t="s">
        <v>494</v>
      </c>
      <c r="G500" s="25">
        <f t="shared" si="3"/>
        <v>-1.2231315765806272E-2</v>
      </c>
    </row>
    <row r="501" spans="1:7">
      <c r="A501" s="66">
        <v>111.23</v>
      </c>
      <c r="B501" s="66">
        <v>112.375</v>
      </c>
      <c r="C501" s="66">
        <v>110.66</v>
      </c>
      <c r="D501" s="66">
        <v>111</v>
      </c>
      <c r="E501" s="66">
        <v>885863</v>
      </c>
      <c r="F501" s="66" t="s">
        <v>495</v>
      </c>
      <c r="G501" s="25">
        <f t="shared" si="3"/>
        <v>2.0720720720721619E-3</v>
      </c>
    </row>
    <row r="502" spans="1:7">
      <c r="A502" s="66">
        <v>110.53</v>
      </c>
      <c r="B502" s="66">
        <v>110.69</v>
      </c>
      <c r="C502" s="66">
        <v>108.43</v>
      </c>
      <c r="D502" s="66">
        <v>108.89</v>
      </c>
      <c r="E502" s="66">
        <v>1287703</v>
      </c>
      <c r="F502" s="66" t="s">
        <v>496</v>
      </c>
      <c r="G502" s="25">
        <f t="shared" si="3"/>
        <v>1.5061070805399979E-2</v>
      </c>
    </row>
    <row r="503" spans="1:7">
      <c r="A503" s="66">
        <v>108.86</v>
      </c>
      <c r="B503" s="66">
        <v>109.595</v>
      </c>
      <c r="C503" s="66">
        <v>107.69</v>
      </c>
      <c r="D503" s="66">
        <v>108.35</v>
      </c>
      <c r="E503" s="66">
        <v>1030834</v>
      </c>
      <c r="F503" s="66" t="s">
        <v>497</v>
      </c>
      <c r="G503" s="25">
        <f t="shared" si="3"/>
        <v>4.7069681587448287E-3</v>
      </c>
    </row>
    <row r="504" spans="1:7">
      <c r="A504" s="66">
        <v>108.51</v>
      </c>
      <c r="B504" s="66">
        <v>108.65</v>
      </c>
      <c r="C504" s="66">
        <v>106.03</v>
      </c>
      <c r="D504" s="66">
        <v>108.05</v>
      </c>
      <c r="E504" s="66">
        <v>897120</v>
      </c>
      <c r="F504" s="66" t="s">
        <v>498</v>
      </c>
      <c r="G504" s="25">
        <f t="shared" ref="G504:G567" si="4">A504/D504-1</f>
        <v>4.2572882924571953E-3</v>
      </c>
    </row>
    <row r="505" spans="1:7">
      <c r="A505" s="66">
        <v>108.34</v>
      </c>
      <c r="B505" s="66">
        <v>108.53</v>
      </c>
      <c r="C505" s="66">
        <v>107.26</v>
      </c>
      <c r="D505" s="66">
        <v>108.11</v>
      </c>
      <c r="E505" s="66">
        <v>857609</v>
      </c>
      <c r="F505" s="66" t="s">
        <v>499</v>
      </c>
      <c r="G505" s="25">
        <f t="shared" si="4"/>
        <v>2.1274627694016779E-3</v>
      </c>
    </row>
    <row r="506" spans="1:7">
      <c r="A506" s="66">
        <v>108.03</v>
      </c>
      <c r="B506" s="66">
        <v>108.68</v>
      </c>
      <c r="C506" s="66">
        <v>106.07</v>
      </c>
      <c r="D506" s="66">
        <v>106.61</v>
      </c>
      <c r="E506" s="66">
        <v>1137000</v>
      </c>
      <c r="F506" s="66" t="s">
        <v>500</v>
      </c>
      <c r="G506" s="25">
        <f t="shared" si="4"/>
        <v>1.331957602476308E-2</v>
      </c>
    </row>
    <row r="507" spans="1:7">
      <c r="A507" s="66">
        <v>106.59</v>
      </c>
      <c r="B507" s="66">
        <v>107.82</v>
      </c>
      <c r="C507" s="66">
        <v>105.97</v>
      </c>
      <c r="D507" s="66">
        <v>106.59</v>
      </c>
      <c r="E507" s="66">
        <v>1235653</v>
      </c>
      <c r="F507" s="66" t="s">
        <v>501</v>
      </c>
      <c r="G507" s="25">
        <f t="shared" si="4"/>
        <v>0</v>
      </c>
    </row>
    <row r="508" spans="1:7">
      <c r="A508" s="66">
        <v>106.5</v>
      </c>
      <c r="B508" s="66">
        <v>107.36</v>
      </c>
      <c r="C508" s="66">
        <v>104.59</v>
      </c>
      <c r="D508" s="66">
        <v>105.65</v>
      </c>
      <c r="E508" s="66">
        <v>1228741</v>
      </c>
      <c r="F508" s="66" t="s">
        <v>502</v>
      </c>
      <c r="G508" s="25">
        <f t="shared" si="4"/>
        <v>8.0454330336015012E-3</v>
      </c>
    </row>
    <row r="509" spans="1:7">
      <c r="A509" s="66">
        <v>105.54</v>
      </c>
      <c r="B509" s="66">
        <v>107.455</v>
      </c>
      <c r="C509" s="66">
        <v>104.48</v>
      </c>
      <c r="D509" s="66">
        <v>106.32</v>
      </c>
      <c r="E509" s="66">
        <v>1585329</v>
      </c>
      <c r="F509" s="66" t="s">
        <v>503</v>
      </c>
      <c r="G509" s="25">
        <f t="shared" si="4"/>
        <v>-7.3363431151239888E-3</v>
      </c>
    </row>
    <row r="510" spans="1:7">
      <c r="A510" s="66">
        <v>106.06</v>
      </c>
      <c r="B510" s="66">
        <v>106.8</v>
      </c>
      <c r="C510" s="66">
        <v>104.71</v>
      </c>
      <c r="D510" s="66">
        <v>105</v>
      </c>
      <c r="E510" s="66">
        <v>1732021</v>
      </c>
      <c r="F510" s="66" t="s">
        <v>504</v>
      </c>
      <c r="G510" s="25">
        <f t="shared" si="4"/>
        <v>1.0095238095238157E-2</v>
      </c>
    </row>
    <row r="511" spans="1:7">
      <c r="A511" s="66">
        <v>105.73</v>
      </c>
      <c r="B511" s="66">
        <v>106.95</v>
      </c>
      <c r="C511" s="66">
        <v>104.495</v>
      </c>
      <c r="D511" s="66">
        <v>106.38</v>
      </c>
      <c r="E511" s="66">
        <v>1677051</v>
      </c>
      <c r="F511" s="66" t="s">
        <v>505</v>
      </c>
      <c r="G511" s="25">
        <f t="shared" si="4"/>
        <v>-6.1101710847902835E-3</v>
      </c>
    </row>
    <row r="512" spans="1:7">
      <c r="A512" s="66">
        <v>105.73</v>
      </c>
      <c r="B512" s="66">
        <v>106.58</v>
      </c>
      <c r="C512" s="66">
        <v>100.74</v>
      </c>
      <c r="D512" s="66">
        <v>104.1</v>
      </c>
      <c r="E512" s="66">
        <v>2657980</v>
      </c>
      <c r="F512" s="66" t="s">
        <v>506</v>
      </c>
      <c r="G512" s="25">
        <f t="shared" si="4"/>
        <v>1.5658021133525546E-2</v>
      </c>
    </row>
    <row r="513" spans="1:7">
      <c r="A513" s="66">
        <v>94.54</v>
      </c>
      <c r="B513" s="66">
        <v>95.435000000000002</v>
      </c>
      <c r="C513" s="66">
        <v>94.25</v>
      </c>
      <c r="D513" s="66">
        <v>94.55</v>
      </c>
      <c r="E513" s="66">
        <v>1231948</v>
      </c>
      <c r="F513" s="66" t="s">
        <v>507</v>
      </c>
      <c r="G513" s="25">
        <f t="shared" si="4"/>
        <v>-1.0576414595442341E-4</v>
      </c>
    </row>
    <row r="514" spans="1:7">
      <c r="A514" s="66">
        <v>94.35</v>
      </c>
      <c r="B514" s="66">
        <v>95.61</v>
      </c>
      <c r="C514" s="66">
        <v>94.1</v>
      </c>
      <c r="D514" s="66">
        <v>94.82</v>
      </c>
      <c r="E514" s="66">
        <v>1397835</v>
      </c>
      <c r="F514" s="66" t="s">
        <v>508</v>
      </c>
      <c r="G514" s="25">
        <f t="shared" si="4"/>
        <v>-4.9567601771778325E-3</v>
      </c>
    </row>
    <row r="515" spans="1:7">
      <c r="A515" s="66">
        <v>94.45</v>
      </c>
      <c r="B515" s="66">
        <v>95.38</v>
      </c>
      <c r="C515" s="66">
        <v>93.965000000000003</v>
      </c>
      <c r="D515" s="66">
        <v>94.78</v>
      </c>
      <c r="E515" s="66">
        <v>1166392</v>
      </c>
      <c r="F515" s="66" t="s">
        <v>509</v>
      </c>
      <c r="G515" s="25">
        <f t="shared" si="4"/>
        <v>-3.4817472040514774E-3</v>
      </c>
    </row>
    <row r="516" spans="1:7">
      <c r="A516" s="66">
        <v>94.62</v>
      </c>
      <c r="B516" s="66">
        <v>94.98</v>
      </c>
      <c r="C516" s="66">
        <v>93.69</v>
      </c>
      <c r="D516" s="66">
        <v>94.39</v>
      </c>
      <c r="E516" s="66">
        <v>1614938</v>
      </c>
      <c r="F516" s="66" t="s">
        <v>510</v>
      </c>
      <c r="G516" s="25">
        <f t="shared" si="4"/>
        <v>2.4366988028392544E-3</v>
      </c>
    </row>
    <row r="517" spans="1:7">
      <c r="A517" s="66">
        <v>94.11</v>
      </c>
      <c r="B517" s="66">
        <v>94.45</v>
      </c>
      <c r="C517" s="66">
        <v>93.29</v>
      </c>
      <c r="D517" s="66">
        <v>93.97</v>
      </c>
      <c r="E517" s="66">
        <v>886865</v>
      </c>
      <c r="F517" s="66" t="s">
        <v>511</v>
      </c>
      <c r="G517" s="25">
        <f t="shared" si="4"/>
        <v>1.4898371820792899E-3</v>
      </c>
    </row>
    <row r="518" spans="1:7">
      <c r="A518" s="66">
        <v>93.66</v>
      </c>
      <c r="B518" s="66">
        <v>95.94</v>
      </c>
      <c r="C518" s="66">
        <v>92.44</v>
      </c>
      <c r="D518" s="66">
        <v>95.88</v>
      </c>
      <c r="E518" s="66">
        <v>1230776</v>
      </c>
      <c r="F518" s="66" t="s">
        <v>512</v>
      </c>
      <c r="G518" s="25">
        <f t="shared" si="4"/>
        <v>-2.3153942428035035E-2</v>
      </c>
    </row>
    <row r="519" spans="1:7">
      <c r="A519" s="66">
        <v>95.89</v>
      </c>
      <c r="B519" s="66">
        <v>96.61</v>
      </c>
      <c r="C519" s="66">
        <v>94.94</v>
      </c>
      <c r="D519" s="66">
        <v>95.15</v>
      </c>
      <c r="E519" s="66">
        <v>947130</v>
      </c>
      <c r="F519" s="66" t="s">
        <v>513</v>
      </c>
      <c r="G519" s="25">
        <f t="shared" si="4"/>
        <v>7.7771939043613791E-3</v>
      </c>
    </row>
    <row r="520" spans="1:7">
      <c r="A520" s="66">
        <v>95.22</v>
      </c>
      <c r="B520" s="66">
        <v>95.36</v>
      </c>
      <c r="C520" s="66">
        <v>93.93</v>
      </c>
      <c r="D520" s="66">
        <v>94.4</v>
      </c>
      <c r="E520" s="66">
        <v>845530</v>
      </c>
      <c r="F520" s="66" t="s">
        <v>514</v>
      </c>
      <c r="G520" s="25">
        <f t="shared" si="4"/>
        <v>8.6864406779660897E-3</v>
      </c>
    </row>
    <row r="521" spans="1:7">
      <c r="A521" s="66">
        <v>94.14</v>
      </c>
      <c r="B521" s="66">
        <v>94.25</v>
      </c>
      <c r="C521" s="66">
        <v>91.91</v>
      </c>
      <c r="D521" s="66">
        <v>92.08</v>
      </c>
      <c r="E521" s="66">
        <v>785196</v>
      </c>
      <c r="F521" s="66" t="s">
        <v>515</v>
      </c>
      <c r="G521" s="25">
        <f t="shared" si="4"/>
        <v>2.2371850564726348E-2</v>
      </c>
    </row>
    <row r="522" spans="1:7">
      <c r="A522" s="66">
        <v>92</v>
      </c>
      <c r="B522" s="66">
        <v>92.490099999999998</v>
      </c>
      <c r="C522" s="66">
        <v>91.435000000000002</v>
      </c>
      <c r="D522" s="66">
        <v>91.97</v>
      </c>
      <c r="E522" s="66">
        <v>685273</v>
      </c>
      <c r="F522" s="66" t="s">
        <v>516</v>
      </c>
      <c r="G522" s="25">
        <f t="shared" si="4"/>
        <v>3.2619332391004008E-4</v>
      </c>
    </row>
    <row r="523" spans="1:7">
      <c r="A523" s="66">
        <v>91.42</v>
      </c>
      <c r="B523" s="66">
        <v>91.55</v>
      </c>
      <c r="C523" s="66">
        <v>90.23</v>
      </c>
      <c r="D523" s="66">
        <v>91.37</v>
      </c>
      <c r="E523" s="66">
        <v>786612</v>
      </c>
      <c r="F523" s="66" t="s">
        <v>517</v>
      </c>
      <c r="G523" s="25">
        <f t="shared" si="4"/>
        <v>5.472255663785397E-4</v>
      </c>
    </row>
    <row r="524" spans="1:7">
      <c r="A524" s="66">
        <v>91.99</v>
      </c>
      <c r="B524" s="66">
        <v>92.48</v>
      </c>
      <c r="C524" s="66">
        <v>90.745000000000005</v>
      </c>
      <c r="D524" s="66">
        <v>90.94</v>
      </c>
      <c r="E524" s="66">
        <v>1034695</v>
      </c>
      <c r="F524" s="66" t="s">
        <v>518</v>
      </c>
      <c r="G524" s="25">
        <f t="shared" si="4"/>
        <v>1.1546074334726208E-2</v>
      </c>
    </row>
    <row r="525" spans="1:7">
      <c r="A525" s="66">
        <v>90.97</v>
      </c>
      <c r="B525" s="66">
        <v>93.14</v>
      </c>
      <c r="C525" s="66">
        <v>90.644999999999996</v>
      </c>
      <c r="D525" s="66">
        <v>92.7</v>
      </c>
      <c r="E525" s="66">
        <v>1429931</v>
      </c>
      <c r="F525" s="66" t="s">
        <v>519</v>
      </c>
      <c r="G525" s="25">
        <f t="shared" si="4"/>
        <v>-1.8662351672060429E-2</v>
      </c>
    </row>
    <row r="526" spans="1:7">
      <c r="A526" s="66">
        <v>93.13</v>
      </c>
      <c r="B526" s="66">
        <v>93.584999999999994</v>
      </c>
      <c r="C526" s="66">
        <v>92.2</v>
      </c>
      <c r="D526" s="66">
        <v>93.17</v>
      </c>
      <c r="E526" s="66">
        <v>544900</v>
      </c>
      <c r="F526" s="66" t="s">
        <v>520</v>
      </c>
      <c r="G526" s="25">
        <f t="shared" si="4"/>
        <v>-4.2932274337237342E-4</v>
      </c>
    </row>
    <row r="527" spans="1:7">
      <c r="A527" s="66">
        <v>93.09</v>
      </c>
      <c r="B527" s="66">
        <v>93.17</v>
      </c>
      <c r="C527" s="66">
        <v>91.6</v>
      </c>
      <c r="D527" s="66">
        <v>92.01</v>
      </c>
      <c r="E527" s="66">
        <v>979514</v>
      </c>
      <c r="F527" s="66" t="s">
        <v>521</v>
      </c>
      <c r="G527" s="25">
        <f t="shared" si="4"/>
        <v>1.1737854581023832E-2</v>
      </c>
    </row>
    <row r="528" spans="1:7">
      <c r="A528" s="66">
        <v>91.8</v>
      </c>
      <c r="B528" s="66">
        <v>93.89</v>
      </c>
      <c r="C528" s="66">
        <v>91.46</v>
      </c>
      <c r="D528" s="66">
        <v>92.41</v>
      </c>
      <c r="E528" s="66">
        <v>717397</v>
      </c>
      <c r="F528" s="66" t="s">
        <v>522</v>
      </c>
      <c r="G528" s="25">
        <f t="shared" si="4"/>
        <v>-6.6010172059300931E-3</v>
      </c>
    </row>
    <row r="529" spans="1:7">
      <c r="A529" s="66">
        <v>92.49</v>
      </c>
      <c r="B529" s="66">
        <v>93.770700000000005</v>
      </c>
      <c r="C529" s="66">
        <v>90.88</v>
      </c>
      <c r="D529" s="66">
        <v>91.57</v>
      </c>
      <c r="E529" s="66">
        <v>677024</v>
      </c>
      <c r="F529" s="66" t="s">
        <v>523</v>
      </c>
      <c r="G529" s="25">
        <f t="shared" si="4"/>
        <v>1.0046958610898882E-2</v>
      </c>
    </row>
    <row r="530" spans="1:7">
      <c r="A530" s="66">
        <v>91.41</v>
      </c>
      <c r="B530" s="66">
        <v>93.17</v>
      </c>
      <c r="C530" s="66">
        <v>89.8</v>
      </c>
      <c r="D530" s="66">
        <v>93.13</v>
      </c>
      <c r="E530" s="66">
        <v>1000241</v>
      </c>
      <c r="F530" s="66" t="s">
        <v>524</v>
      </c>
      <c r="G530" s="25">
        <f t="shared" si="4"/>
        <v>-1.8468807043917068E-2</v>
      </c>
    </row>
    <row r="531" spans="1:7">
      <c r="A531" s="66">
        <v>93.27</v>
      </c>
      <c r="B531" s="66">
        <v>96</v>
      </c>
      <c r="C531" s="66">
        <v>92.314999999999998</v>
      </c>
      <c r="D531" s="66">
        <v>96</v>
      </c>
      <c r="E531" s="66">
        <v>880304</v>
      </c>
      <c r="F531" s="66" t="s">
        <v>525</v>
      </c>
      <c r="G531" s="25">
        <f t="shared" si="4"/>
        <v>-2.8437500000000004E-2</v>
      </c>
    </row>
    <row r="532" spans="1:7">
      <c r="A532" s="66">
        <v>94.2</v>
      </c>
      <c r="B532" s="66">
        <v>94.79</v>
      </c>
      <c r="C532" s="66">
        <v>93.09</v>
      </c>
      <c r="D532" s="66">
        <v>93.31</v>
      </c>
      <c r="E532" s="66">
        <v>774513</v>
      </c>
      <c r="F532" s="66" t="s">
        <v>526</v>
      </c>
      <c r="G532" s="25">
        <f t="shared" si="4"/>
        <v>9.5380988104170061E-3</v>
      </c>
    </row>
    <row r="533" spans="1:7">
      <c r="A533" s="66">
        <v>93.33</v>
      </c>
      <c r="B533" s="66">
        <v>94.71</v>
      </c>
      <c r="C533" s="66">
        <v>92.39</v>
      </c>
      <c r="D533" s="66">
        <v>92.69</v>
      </c>
      <c r="E533" s="66">
        <v>1246342</v>
      </c>
      <c r="F533" s="66" t="s">
        <v>527</v>
      </c>
      <c r="G533" s="25">
        <f t="shared" si="4"/>
        <v>6.9047362174992077E-3</v>
      </c>
    </row>
    <row r="534" spans="1:7">
      <c r="A534" s="66">
        <v>92.69</v>
      </c>
      <c r="B534" s="66">
        <v>93.42</v>
      </c>
      <c r="C534" s="66">
        <v>92.4</v>
      </c>
      <c r="D534" s="66">
        <v>92.46</v>
      </c>
      <c r="E534" s="66">
        <v>776707</v>
      </c>
      <c r="F534" s="66" t="s">
        <v>528</v>
      </c>
      <c r="G534" s="25">
        <f t="shared" si="4"/>
        <v>2.4875621890547706E-3</v>
      </c>
    </row>
    <row r="535" spans="1:7">
      <c r="A535" s="66">
        <v>92.61</v>
      </c>
      <c r="B535" s="66">
        <v>94</v>
      </c>
      <c r="C535" s="66">
        <v>92.2</v>
      </c>
      <c r="D535" s="66">
        <v>93.31</v>
      </c>
      <c r="E535" s="66">
        <v>666960</v>
      </c>
      <c r="F535" s="66" t="s">
        <v>529</v>
      </c>
      <c r="G535" s="25">
        <f t="shared" si="4"/>
        <v>-7.5018754688672695E-3</v>
      </c>
    </row>
    <row r="536" spans="1:7">
      <c r="A536" s="66">
        <v>93.21</v>
      </c>
      <c r="B536" s="66">
        <v>94.17</v>
      </c>
      <c r="C536" s="66">
        <v>92.405000000000001</v>
      </c>
      <c r="D536" s="66">
        <v>92.6</v>
      </c>
      <c r="E536" s="66">
        <v>1063395</v>
      </c>
      <c r="F536" s="66" t="s">
        <v>530</v>
      </c>
      <c r="G536" s="25">
        <f t="shared" si="4"/>
        <v>6.5874730021597827E-3</v>
      </c>
    </row>
    <row r="537" spans="1:7">
      <c r="A537" s="66">
        <v>92.68</v>
      </c>
      <c r="B537" s="66">
        <v>94.63</v>
      </c>
      <c r="C537" s="66">
        <v>91.89</v>
      </c>
      <c r="D537" s="66">
        <v>92.35</v>
      </c>
      <c r="E537" s="66">
        <v>1231080</v>
      </c>
      <c r="F537" s="66" t="s">
        <v>531</v>
      </c>
      <c r="G537" s="25">
        <f t="shared" si="4"/>
        <v>3.5733622089877404E-3</v>
      </c>
    </row>
    <row r="538" spans="1:7">
      <c r="A538" s="66">
        <v>91.99</v>
      </c>
      <c r="B538" s="66">
        <v>93.27</v>
      </c>
      <c r="C538" s="66">
        <v>90.39</v>
      </c>
      <c r="D538" s="66">
        <v>90.99</v>
      </c>
      <c r="E538" s="66">
        <v>1071528</v>
      </c>
      <c r="F538" s="66" t="s">
        <v>532</v>
      </c>
      <c r="G538" s="25">
        <f t="shared" si="4"/>
        <v>1.0990218705352328E-2</v>
      </c>
    </row>
    <row r="539" spans="1:7">
      <c r="A539" s="66">
        <v>90.67</v>
      </c>
      <c r="B539" s="66">
        <v>91.99</v>
      </c>
      <c r="C539" s="66">
        <v>90.32</v>
      </c>
      <c r="D539" s="66">
        <v>91.45</v>
      </c>
      <c r="E539" s="66">
        <v>1629957</v>
      </c>
      <c r="F539" s="66" t="s">
        <v>533</v>
      </c>
      <c r="G539" s="25">
        <f t="shared" si="4"/>
        <v>-8.5292509568070107E-3</v>
      </c>
    </row>
    <row r="540" spans="1:7">
      <c r="A540" s="66">
        <v>91.47</v>
      </c>
      <c r="B540" s="66">
        <v>91.81</v>
      </c>
      <c r="C540" s="66">
        <v>90.05</v>
      </c>
      <c r="D540" s="66">
        <v>91.54</v>
      </c>
      <c r="E540" s="66">
        <v>590695</v>
      </c>
      <c r="F540" s="66" t="s">
        <v>534</v>
      </c>
      <c r="G540" s="25">
        <f t="shared" si="4"/>
        <v>-7.6469303036930114E-4</v>
      </c>
    </row>
    <row r="541" spans="1:7">
      <c r="A541" s="66">
        <v>90.75</v>
      </c>
      <c r="B541" s="66">
        <v>92.01</v>
      </c>
      <c r="C541" s="66">
        <v>89.65</v>
      </c>
      <c r="D541" s="66">
        <v>91.8</v>
      </c>
      <c r="E541" s="66">
        <v>744890</v>
      </c>
      <c r="F541" s="66" t="s">
        <v>535</v>
      </c>
      <c r="G541" s="25">
        <f t="shared" si="4"/>
        <v>-1.1437908496731986E-2</v>
      </c>
    </row>
    <row r="542" spans="1:7">
      <c r="A542" s="66">
        <v>91.32</v>
      </c>
      <c r="B542" s="66">
        <v>92.805000000000007</v>
      </c>
      <c r="C542" s="66">
        <v>90.16</v>
      </c>
      <c r="D542" s="66">
        <v>90.16</v>
      </c>
      <c r="E542" s="66">
        <v>1463832</v>
      </c>
      <c r="F542" s="66" t="s">
        <v>536</v>
      </c>
      <c r="G542" s="25">
        <f t="shared" si="4"/>
        <v>1.2866015971606082E-2</v>
      </c>
    </row>
    <row r="543" spans="1:7">
      <c r="A543" s="66">
        <v>90.96</v>
      </c>
      <c r="B543" s="66">
        <v>94.03</v>
      </c>
      <c r="C543" s="66">
        <v>87.77</v>
      </c>
      <c r="D543" s="66">
        <v>88</v>
      </c>
      <c r="E543" s="66">
        <v>1665156</v>
      </c>
      <c r="F543" s="66" t="s">
        <v>537</v>
      </c>
      <c r="G543" s="25">
        <f t="shared" si="4"/>
        <v>3.3636363636363464E-2</v>
      </c>
    </row>
    <row r="544" spans="1:7">
      <c r="A544" s="66">
        <v>90.14</v>
      </c>
      <c r="B544" s="66">
        <v>91.99</v>
      </c>
      <c r="C544" s="66">
        <v>88.11</v>
      </c>
      <c r="D544" s="66">
        <v>91.99</v>
      </c>
      <c r="E544" s="66">
        <v>1936339</v>
      </c>
      <c r="F544" s="66" t="s">
        <v>538</v>
      </c>
      <c r="G544" s="25">
        <f t="shared" si="4"/>
        <v>-2.0110881617567022E-2</v>
      </c>
    </row>
    <row r="545" spans="1:7">
      <c r="A545" s="66">
        <v>88.67</v>
      </c>
      <c r="B545" s="66">
        <v>90.765000000000001</v>
      </c>
      <c r="C545" s="66">
        <v>88.37</v>
      </c>
      <c r="D545" s="66">
        <v>90.17</v>
      </c>
      <c r="E545" s="66">
        <v>1296527</v>
      </c>
      <c r="F545" s="66" t="s">
        <v>539</v>
      </c>
      <c r="G545" s="25">
        <f t="shared" si="4"/>
        <v>-1.6635244538094729E-2</v>
      </c>
    </row>
    <row r="546" spans="1:7">
      <c r="A546" s="66">
        <v>90.81</v>
      </c>
      <c r="B546" s="66">
        <v>91.596000000000004</v>
      </c>
      <c r="C546" s="66">
        <v>88.65</v>
      </c>
      <c r="D546" s="66">
        <v>88.82</v>
      </c>
      <c r="E546" s="66">
        <v>1609499</v>
      </c>
      <c r="F546" s="66" t="s">
        <v>540</v>
      </c>
      <c r="G546" s="25">
        <f t="shared" si="4"/>
        <v>2.2404863769421413E-2</v>
      </c>
    </row>
    <row r="547" spans="1:7">
      <c r="A547" s="66">
        <v>88.58</v>
      </c>
      <c r="B547" s="66">
        <v>89.55</v>
      </c>
      <c r="C547" s="66">
        <v>86.48</v>
      </c>
      <c r="D547" s="66">
        <v>86.55</v>
      </c>
      <c r="E547" s="66">
        <v>2861257</v>
      </c>
      <c r="F547" s="66" t="s">
        <v>541</v>
      </c>
      <c r="G547" s="25">
        <f t="shared" si="4"/>
        <v>2.3454650491045559E-2</v>
      </c>
    </row>
    <row r="548" spans="1:7">
      <c r="A548" s="66">
        <v>85.55</v>
      </c>
      <c r="B548" s="66">
        <v>86.53</v>
      </c>
      <c r="C548" s="66">
        <v>84.79</v>
      </c>
      <c r="D548" s="66">
        <v>85.97</v>
      </c>
      <c r="E548" s="66">
        <v>1067164</v>
      </c>
      <c r="F548" s="66" t="s">
        <v>542</v>
      </c>
      <c r="G548" s="25">
        <f t="shared" si="4"/>
        <v>-4.8854251483075872E-3</v>
      </c>
    </row>
    <row r="549" spans="1:7">
      <c r="A549" s="66">
        <v>85.68</v>
      </c>
      <c r="B549" s="66">
        <v>86.25</v>
      </c>
      <c r="C549" s="66">
        <v>85</v>
      </c>
      <c r="D549" s="66">
        <v>85.98</v>
      </c>
      <c r="E549" s="66">
        <v>1295506</v>
      </c>
      <c r="F549" s="66" t="s">
        <v>543</v>
      </c>
      <c r="G549" s="25">
        <f t="shared" si="4"/>
        <v>-3.4891835310536523E-3</v>
      </c>
    </row>
    <row r="550" spans="1:7">
      <c r="A550" s="66">
        <v>85.65</v>
      </c>
      <c r="B550" s="66">
        <v>87.05</v>
      </c>
      <c r="C550" s="66">
        <v>85.41</v>
      </c>
      <c r="D550" s="66">
        <v>86.11</v>
      </c>
      <c r="E550" s="66">
        <v>1117334</v>
      </c>
      <c r="F550" s="66" t="s">
        <v>544</v>
      </c>
      <c r="G550" s="25">
        <f t="shared" si="4"/>
        <v>-5.3420044129600663E-3</v>
      </c>
    </row>
    <row r="551" spans="1:7">
      <c r="A551" s="66">
        <v>85.9</v>
      </c>
      <c r="B551" s="66">
        <v>85.96</v>
      </c>
      <c r="C551" s="66">
        <v>84.76</v>
      </c>
      <c r="D551" s="66">
        <v>85.86</v>
      </c>
      <c r="E551" s="66">
        <v>968425</v>
      </c>
      <c r="F551" s="66" t="s">
        <v>545</v>
      </c>
      <c r="G551" s="25">
        <f t="shared" si="4"/>
        <v>4.6587467971126451E-4</v>
      </c>
    </row>
    <row r="552" spans="1:7">
      <c r="A552" s="66">
        <v>85.51</v>
      </c>
      <c r="B552" s="66">
        <v>86.685000000000002</v>
      </c>
      <c r="C552" s="66">
        <v>85.02</v>
      </c>
      <c r="D552" s="66">
        <v>86.32</v>
      </c>
      <c r="E552" s="66">
        <v>612098</v>
      </c>
      <c r="F552" s="66" t="s">
        <v>546</v>
      </c>
      <c r="G552" s="25">
        <f t="shared" si="4"/>
        <v>-9.3836886005559395E-3</v>
      </c>
    </row>
    <row r="553" spans="1:7">
      <c r="A553" s="66">
        <v>86.51</v>
      </c>
      <c r="B553" s="66">
        <v>87.05</v>
      </c>
      <c r="C553" s="66">
        <v>85.64</v>
      </c>
      <c r="D553" s="66">
        <v>85.75</v>
      </c>
      <c r="E553" s="66">
        <v>686299</v>
      </c>
      <c r="F553" s="66" t="s">
        <v>547</v>
      </c>
      <c r="G553" s="25">
        <f t="shared" si="4"/>
        <v>8.862973760932924E-3</v>
      </c>
    </row>
    <row r="554" spans="1:7">
      <c r="A554" s="66">
        <v>86.39</v>
      </c>
      <c r="B554" s="66">
        <v>88.105000000000004</v>
      </c>
      <c r="C554" s="66">
        <v>85.81</v>
      </c>
      <c r="D554" s="66">
        <v>87.3</v>
      </c>
      <c r="E554" s="66">
        <v>1013117</v>
      </c>
      <c r="F554" s="66" t="s">
        <v>548</v>
      </c>
      <c r="G554" s="25">
        <f t="shared" si="4"/>
        <v>-1.0423825887743376E-2</v>
      </c>
    </row>
    <row r="555" spans="1:7">
      <c r="A555" s="66">
        <v>87.3</v>
      </c>
      <c r="B555" s="66">
        <v>88.67</v>
      </c>
      <c r="C555" s="66">
        <v>86.7</v>
      </c>
      <c r="D555" s="66">
        <v>87.68</v>
      </c>
      <c r="E555" s="66">
        <v>1966387</v>
      </c>
      <c r="F555" s="66" t="s">
        <v>549</v>
      </c>
      <c r="G555" s="25">
        <f t="shared" si="4"/>
        <v>-4.333941605839553E-3</v>
      </c>
    </row>
    <row r="556" spans="1:7">
      <c r="A556" s="66">
        <v>87.62</v>
      </c>
      <c r="B556" s="66">
        <v>88.22</v>
      </c>
      <c r="C556" s="66">
        <v>86.86</v>
      </c>
      <c r="D556" s="66">
        <v>88</v>
      </c>
      <c r="E556" s="66">
        <v>1529943</v>
      </c>
      <c r="F556" s="66" t="s">
        <v>550</v>
      </c>
      <c r="G556" s="25">
        <f t="shared" si="4"/>
        <v>-4.3181818181817766E-3</v>
      </c>
    </row>
    <row r="557" spans="1:7">
      <c r="A557" s="66">
        <v>87.96</v>
      </c>
      <c r="B557" s="66">
        <v>89.14</v>
      </c>
      <c r="C557" s="66">
        <v>87.78</v>
      </c>
      <c r="D557" s="66">
        <v>88.53</v>
      </c>
      <c r="E557" s="66">
        <v>1250381</v>
      </c>
      <c r="F557" s="66" t="s">
        <v>551</v>
      </c>
      <c r="G557" s="25">
        <f t="shared" si="4"/>
        <v>-6.4384954252796334E-3</v>
      </c>
    </row>
    <row r="558" spans="1:7">
      <c r="A558" s="66">
        <v>89.21</v>
      </c>
      <c r="B558" s="66">
        <v>90.265000000000001</v>
      </c>
      <c r="C558" s="66">
        <v>88.27</v>
      </c>
      <c r="D558" s="66">
        <v>89.95</v>
      </c>
      <c r="E558" s="66">
        <v>1690466</v>
      </c>
      <c r="F558" s="66" t="s">
        <v>552</v>
      </c>
      <c r="G558" s="25">
        <f t="shared" si="4"/>
        <v>-8.2267926625904098E-3</v>
      </c>
    </row>
    <row r="559" spans="1:7">
      <c r="A559" s="66">
        <v>89.81</v>
      </c>
      <c r="B559" s="66">
        <v>92.14</v>
      </c>
      <c r="C559" s="66">
        <v>89.65</v>
      </c>
      <c r="D559" s="66">
        <v>92.14</v>
      </c>
      <c r="E559" s="66">
        <v>1725125</v>
      </c>
      <c r="F559" s="66" t="s">
        <v>553</v>
      </c>
      <c r="G559" s="25">
        <f t="shared" si="4"/>
        <v>-2.528760581723466E-2</v>
      </c>
    </row>
    <row r="560" spans="1:7">
      <c r="A560" s="66">
        <v>91.51</v>
      </c>
      <c r="B560" s="66">
        <v>92.55</v>
      </c>
      <c r="C560" s="66">
        <v>91.08</v>
      </c>
      <c r="D560" s="66">
        <v>91.78</v>
      </c>
      <c r="E560" s="66">
        <v>1345417</v>
      </c>
      <c r="F560" s="66" t="s">
        <v>554</v>
      </c>
      <c r="G560" s="25">
        <f t="shared" si="4"/>
        <v>-2.9418173894094624E-3</v>
      </c>
    </row>
    <row r="561" spans="1:7">
      <c r="A561" s="66">
        <v>91.73</v>
      </c>
      <c r="B561" s="66">
        <v>92.34</v>
      </c>
      <c r="C561" s="66">
        <v>90.49</v>
      </c>
      <c r="D561" s="66">
        <v>91.36</v>
      </c>
      <c r="E561" s="66">
        <v>1358773</v>
      </c>
      <c r="F561" s="66" t="s">
        <v>555</v>
      </c>
      <c r="G561" s="25">
        <f t="shared" si="4"/>
        <v>4.0499124343258419E-3</v>
      </c>
    </row>
    <row r="562" spans="1:7">
      <c r="A562" s="66">
        <v>91.66</v>
      </c>
      <c r="B562" s="66">
        <v>93.17</v>
      </c>
      <c r="C562" s="66">
        <v>91.45</v>
      </c>
      <c r="D562" s="66">
        <v>92.19</v>
      </c>
      <c r="E562" s="66">
        <v>899972</v>
      </c>
      <c r="F562" s="66" t="s">
        <v>556</v>
      </c>
      <c r="G562" s="25">
        <f t="shared" si="4"/>
        <v>-5.7489966373793777E-3</v>
      </c>
    </row>
    <row r="563" spans="1:7">
      <c r="A563" s="66">
        <v>92.46</v>
      </c>
      <c r="B563" s="66">
        <v>93.03</v>
      </c>
      <c r="C563" s="66">
        <v>91.76</v>
      </c>
      <c r="D563" s="66">
        <v>92.72</v>
      </c>
      <c r="E563" s="66">
        <v>789353</v>
      </c>
      <c r="F563" s="66" t="s">
        <v>557</v>
      </c>
      <c r="G563" s="25">
        <f t="shared" si="4"/>
        <v>-2.8041415012942661E-3</v>
      </c>
    </row>
    <row r="564" spans="1:7">
      <c r="A564" s="66">
        <v>93.47</v>
      </c>
      <c r="B564" s="66">
        <v>93.74</v>
      </c>
      <c r="C564" s="66">
        <v>92.765000000000001</v>
      </c>
      <c r="D564" s="66">
        <v>93.6</v>
      </c>
      <c r="E564" s="66">
        <v>668916</v>
      </c>
      <c r="F564" s="66" t="s">
        <v>558</v>
      </c>
      <c r="G564" s="25">
        <f t="shared" si="4"/>
        <v>-1.388888888888884E-3</v>
      </c>
    </row>
    <row r="565" spans="1:7">
      <c r="A565" s="66">
        <v>94.2</v>
      </c>
      <c r="B565" s="66">
        <v>95</v>
      </c>
      <c r="C565" s="66">
        <v>93.006900000000002</v>
      </c>
      <c r="D565" s="66">
        <v>94.73</v>
      </c>
      <c r="E565" s="66">
        <v>680053</v>
      </c>
      <c r="F565" s="66" t="s">
        <v>559</v>
      </c>
      <c r="G565" s="25">
        <f t="shared" si="4"/>
        <v>-5.5948485168373363E-3</v>
      </c>
    </row>
    <row r="566" spans="1:7">
      <c r="A566" s="66">
        <v>94.81</v>
      </c>
      <c r="B566" s="66">
        <v>96.09</v>
      </c>
      <c r="C566" s="66">
        <v>93.795000000000002</v>
      </c>
      <c r="D566" s="66">
        <v>94.61</v>
      </c>
      <c r="E566" s="66">
        <v>1061360</v>
      </c>
      <c r="F566" s="66" t="s">
        <v>560</v>
      </c>
      <c r="G566" s="25">
        <f t="shared" si="4"/>
        <v>2.1139414438220427E-3</v>
      </c>
    </row>
    <row r="567" spans="1:7">
      <c r="A567" s="66">
        <v>93.77</v>
      </c>
      <c r="B567" s="66">
        <v>94.62</v>
      </c>
      <c r="C567" s="66">
        <v>93.24</v>
      </c>
      <c r="D567" s="66">
        <v>94.53</v>
      </c>
      <c r="E567" s="66">
        <v>921342</v>
      </c>
      <c r="F567" s="66" t="s">
        <v>561</v>
      </c>
      <c r="G567" s="25">
        <f t="shared" si="4"/>
        <v>-8.0397757325717523E-3</v>
      </c>
    </row>
    <row r="568" spans="1:7">
      <c r="A568" s="66">
        <v>95.08</v>
      </c>
      <c r="B568" s="66">
        <v>95.1</v>
      </c>
      <c r="C568" s="66">
        <v>92.64</v>
      </c>
      <c r="D568" s="66">
        <v>93.61</v>
      </c>
      <c r="E568" s="66">
        <v>2409366</v>
      </c>
      <c r="F568" s="66" t="s">
        <v>562</v>
      </c>
      <c r="G568" s="25">
        <f t="shared" ref="G568:G631" si="5">A568/D568-1</f>
        <v>1.5703450486059145E-2</v>
      </c>
    </row>
    <row r="569" spans="1:7">
      <c r="A569" s="66">
        <v>94.38</v>
      </c>
      <c r="B569" s="66">
        <v>95.49</v>
      </c>
      <c r="C569" s="66">
        <v>94.29</v>
      </c>
      <c r="D569" s="66">
        <v>94.77</v>
      </c>
      <c r="E569" s="66">
        <v>759106</v>
      </c>
      <c r="F569" s="66" t="s">
        <v>563</v>
      </c>
      <c r="G569" s="25">
        <f t="shared" si="5"/>
        <v>-4.1152263374485409E-3</v>
      </c>
    </row>
    <row r="570" spans="1:7">
      <c r="A570" s="66">
        <v>95.25</v>
      </c>
      <c r="B570" s="66">
        <v>95.95</v>
      </c>
      <c r="C570" s="66">
        <v>93.25</v>
      </c>
      <c r="D570" s="66">
        <v>93.8</v>
      </c>
      <c r="E570" s="66">
        <v>1003735</v>
      </c>
      <c r="F570" s="66" t="s">
        <v>564</v>
      </c>
      <c r="G570" s="25">
        <f t="shared" si="5"/>
        <v>1.545842217484017E-2</v>
      </c>
    </row>
    <row r="571" spans="1:7">
      <c r="A571" s="66">
        <v>94.23</v>
      </c>
      <c r="B571" s="66">
        <v>94.95</v>
      </c>
      <c r="C571" s="66">
        <v>93.27</v>
      </c>
      <c r="D571" s="66">
        <v>94.95</v>
      </c>
      <c r="E571" s="66">
        <v>1060188</v>
      </c>
      <c r="F571" s="66" t="s">
        <v>565</v>
      </c>
      <c r="G571" s="25">
        <f t="shared" si="5"/>
        <v>-7.5829383886255597E-3</v>
      </c>
    </row>
    <row r="572" spans="1:7">
      <c r="A572" s="66">
        <v>94.56</v>
      </c>
      <c r="B572" s="66">
        <v>95.56</v>
      </c>
      <c r="C572" s="66">
        <v>92.9</v>
      </c>
      <c r="D572" s="66">
        <v>94.61</v>
      </c>
      <c r="E572" s="66">
        <v>1269256</v>
      </c>
      <c r="F572" s="66" t="s">
        <v>566</v>
      </c>
      <c r="G572" s="25">
        <f t="shared" si="5"/>
        <v>-5.2848536095551069E-4</v>
      </c>
    </row>
    <row r="573" spans="1:7">
      <c r="A573" s="66">
        <v>94.72</v>
      </c>
      <c r="B573" s="66">
        <v>95.23</v>
      </c>
      <c r="C573" s="66">
        <v>92.3</v>
      </c>
      <c r="D573" s="66">
        <v>94.33</v>
      </c>
      <c r="E573" s="66">
        <v>1675308</v>
      </c>
      <c r="F573" s="66" t="s">
        <v>567</v>
      </c>
      <c r="G573" s="25">
        <f t="shared" si="5"/>
        <v>4.1344217110146353E-3</v>
      </c>
    </row>
    <row r="574" spans="1:7">
      <c r="A574" s="66">
        <v>94.31</v>
      </c>
      <c r="B574" s="66">
        <v>96.13</v>
      </c>
      <c r="C574" s="66">
        <v>90.79</v>
      </c>
      <c r="D574" s="66">
        <v>96</v>
      </c>
      <c r="E574" s="66">
        <v>3403030</v>
      </c>
      <c r="F574" s="66" t="s">
        <v>568</v>
      </c>
      <c r="G574" s="25">
        <f t="shared" si="5"/>
        <v>-1.7604166666666643E-2</v>
      </c>
    </row>
    <row r="575" spans="1:7">
      <c r="A575" s="66">
        <v>90.23</v>
      </c>
      <c r="B575" s="66">
        <v>91.52</v>
      </c>
      <c r="C575" s="66">
        <v>89.67</v>
      </c>
      <c r="D575" s="66">
        <v>91.11</v>
      </c>
      <c r="E575" s="66">
        <v>1696367</v>
      </c>
      <c r="F575" s="66" t="s">
        <v>569</v>
      </c>
      <c r="G575" s="25">
        <f t="shared" si="5"/>
        <v>-9.6586543738337305E-3</v>
      </c>
    </row>
    <row r="576" spans="1:7">
      <c r="A576" s="66">
        <v>91.11</v>
      </c>
      <c r="B576" s="66">
        <v>91.73</v>
      </c>
      <c r="C576" s="66">
        <v>90.45</v>
      </c>
      <c r="D576" s="66">
        <v>90.62</v>
      </c>
      <c r="E576" s="66">
        <v>1241535</v>
      </c>
      <c r="F576" s="66" t="s">
        <v>570</v>
      </c>
      <c r="G576" s="25">
        <f t="shared" si="5"/>
        <v>5.4071948797174141E-3</v>
      </c>
    </row>
    <row r="577" spans="1:7">
      <c r="A577" s="66">
        <v>91.68</v>
      </c>
      <c r="B577" s="66">
        <v>94.62</v>
      </c>
      <c r="C577" s="66">
        <v>91.17</v>
      </c>
      <c r="D577" s="66">
        <v>94.08</v>
      </c>
      <c r="E577" s="66">
        <v>1682035</v>
      </c>
      <c r="F577" s="66" t="s">
        <v>571</v>
      </c>
      <c r="G577" s="25">
        <f t="shared" si="5"/>
        <v>-2.5510204081632515E-2</v>
      </c>
    </row>
    <row r="578" spans="1:7">
      <c r="A578" s="66">
        <v>94.89</v>
      </c>
      <c r="B578" s="66">
        <v>95.108999999999995</v>
      </c>
      <c r="C578" s="66">
        <v>93.79</v>
      </c>
      <c r="D578" s="66">
        <v>93.79</v>
      </c>
      <c r="E578" s="66">
        <v>691431</v>
      </c>
      <c r="F578" s="66" t="s">
        <v>572</v>
      </c>
      <c r="G578" s="25">
        <f t="shared" si="5"/>
        <v>1.1728329246188274E-2</v>
      </c>
    </row>
    <row r="579" spans="1:7">
      <c r="A579" s="66">
        <v>94.44</v>
      </c>
      <c r="B579" s="66">
        <v>96.55</v>
      </c>
      <c r="C579" s="66">
        <v>94.26</v>
      </c>
      <c r="D579" s="66">
        <v>96.35</v>
      </c>
      <c r="E579" s="66">
        <v>643198</v>
      </c>
      <c r="F579" s="66" t="s">
        <v>573</v>
      </c>
      <c r="G579" s="25">
        <f t="shared" si="5"/>
        <v>-1.9823559937726998E-2</v>
      </c>
    </row>
    <row r="580" spans="1:7">
      <c r="A580" s="66">
        <v>96.6</v>
      </c>
      <c r="B580" s="66">
        <v>97.33</v>
      </c>
      <c r="C580" s="66">
        <v>95.515000000000001</v>
      </c>
      <c r="D580" s="66">
        <v>96.37</v>
      </c>
      <c r="E580" s="66">
        <v>635200</v>
      </c>
      <c r="F580" s="66" t="s">
        <v>574</v>
      </c>
      <c r="G580" s="25">
        <f t="shared" si="5"/>
        <v>2.3866348448686736E-3</v>
      </c>
    </row>
    <row r="581" spans="1:7">
      <c r="A581" s="66">
        <v>96.76</v>
      </c>
      <c r="B581" s="66">
        <v>97.13</v>
      </c>
      <c r="C581" s="66">
        <v>95.3</v>
      </c>
      <c r="D581" s="66">
        <v>96.77</v>
      </c>
      <c r="E581" s="66">
        <v>847867</v>
      </c>
      <c r="F581" s="66" t="s">
        <v>575</v>
      </c>
      <c r="G581" s="25">
        <f t="shared" si="5"/>
        <v>-1.0333781130511532E-4</v>
      </c>
    </row>
    <row r="582" spans="1:7">
      <c r="A582" s="66">
        <v>97.21</v>
      </c>
      <c r="B582" s="66">
        <v>97.86</v>
      </c>
      <c r="C582" s="66">
        <v>96.88</v>
      </c>
      <c r="D582" s="66">
        <v>97.29</v>
      </c>
      <c r="E582" s="66">
        <v>572776</v>
      </c>
      <c r="F582" s="66" t="s">
        <v>576</v>
      </c>
      <c r="G582" s="25">
        <f t="shared" si="5"/>
        <v>-8.2228389351435283E-4</v>
      </c>
    </row>
    <row r="583" spans="1:7">
      <c r="A583" s="66">
        <v>97.31</v>
      </c>
      <c r="B583" s="66">
        <v>98.07</v>
      </c>
      <c r="C583" s="66">
        <v>96.55</v>
      </c>
      <c r="D583" s="66">
        <v>98.07</v>
      </c>
      <c r="E583" s="66">
        <v>547018</v>
      </c>
      <c r="F583" s="66" t="s">
        <v>577</v>
      </c>
      <c r="G583" s="25">
        <f t="shared" si="5"/>
        <v>-7.7495666360761772E-3</v>
      </c>
    </row>
    <row r="584" spans="1:7">
      <c r="A584" s="66">
        <v>97.9</v>
      </c>
      <c r="B584" s="66">
        <v>98.58</v>
      </c>
      <c r="C584" s="66">
        <v>97.83</v>
      </c>
      <c r="D584" s="66">
        <v>98.15</v>
      </c>
      <c r="E584" s="66">
        <v>781875</v>
      </c>
      <c r="F584" s="66" t="s">
        <v>578</v>
      </c>
      <c r="G584" s="25">
        <f t="shared" si="5"/>
        <v>-2.5471217524197787E-3</v>
      </c>
    </row>
    <row r="585" spans="1:7">
      <c r="A585" s="66">
        <v>97.9</v>
      </c>
      <c r="B585" s="66">
        <v>98.04</v>
      </c>
      <c r="C585" s="66">
        <v>96.52</v>
      </c>
      <c r="D585" s="66">
        <v>96.55</v>
      </c>
      <c r="E585" s="66">
        <v>776586</v>
      </c>
      <c r="F585" s="66" t="s">
        <v>579</v>
      </c>
      <c r="G585" s="25">
        <f t="shared" si="5"/>
        <v>1.3982392542724043E-2</v>
      </c>
    </row>
    <row r="586" spans="1:7">
      <c r="A586" s="66">
        <v>95.96</v>
      </c>
      <c r="B586" s="66">
        <v>96.71</v>
      </c>
      <c r="C586" s="66">
        <v>94.165000000000006</v>
      </c>
      <c r="D586" s="66">
        <v>94.25</v>
      </c>
      <c r="E586" s="66">
        <v>1081446</v>
      </c>
      <c r="F586" s="66" t="s">
        <v>580</v>
      </c>
      <c r="G586" s="25">
        <f t="shared" si="5"/>
        <v>1.8143236074270597E-2</v>
      </c>
    </row>
    <row r="587" spans="1:7">
      <c r="A587" s="66">
        <v>92.83</v>
      </c>
      <c r="B587" s="66">
        <v>95.59</v>
      </c>
      <c r="C587" s="66">
        <v>92.57</v>
      </c>
      <c r="D587" s="66">
        <v>94.72</v>
      </c>
      <c r="E587" s="66">
        <v>846111</v>
      </c>
      <c r="F587" s="66" t="s">
        <v>581</v>
      </c>
      <c r="G587" s="25">
        <f t="shared" si="5"/>
        <v>-1.9953547297297258E-2</v>
      </c>
    </row>
    <row r="588" spans="1:7">
      <c r="A588" s="66">
        <v>94.76</v>
      </c>
      <c r="B588" s="66">
        <v>95.238900000000001</v>
      </c>
      <c r="C588" s="66">
        <v>94.31</v>
      </c>
      <c r="D588" s="66">
        <v>94.61</v>
      </c>
      <c r="E588" s="66">
        <v>783053</v>
      </c>
      <c r="F588" s="66" t="s">
        <v>582</v>
      </c>
      <c r="G588" s="25">
        <f t="shared" si="5"/>
        <v>1.5854560828665321E-3</v>
      </c>
    </row>
    <row r="589" spans="1:7">
      <c r="A589" s="66">
        <v>94.69</v>
      </c>
      <c r="B589" s="66">
        <v>95.14</v>
      </c>
      <c r="C589" s="66">
        <v>92.14</v>
      </c>
      <c r="D589" s="66">
        <v>92.14</v>
      </c>
      <c r="E589" s="66">
        <v>984298</v>
      </c>
      <c r="F589" s="66" t="s">
        <v>583</v>
      </c>
      <c r="G589" s="25">
        <f t="shared" si="5"/>
        <v>2.7675276752767486E-2</v>
      </c>
    </row>
    <row r="590" spans="1:7">
      <c r="A590" s="66">
        <v>91.99</v>
      </c>
      <c r="B590" s="66">
        <v>93.08</v>
      </c>
      <c r="C590" s="66">
        <v>91.88</v>
      </c>
      <c r="D590" s="66">
        <v>92.85</v>
      </c>
      <c r="E590" s="66">
        <v>649900</v>
      </c>
      <c r="F590" s="66" t="s">
        <v>584</v>
      </c>
      <c r="G590" s="25">
        <f t="shared" si="5"/>
        <v>-9.2622509423802013E-3</v>
      </c>
    </row>
    <row r="591" spans="1:7">
      <c r="A591" s="66">
        <v>93.42</v>
      </c>
      <c r="B591" s="66">
        <v>94.34</v>
      </c>
      <c r="C591" s="66">
        <v>93.060100000000006</v>
      </c>
      <c r="D591" s="66">
        <v>93.11</v>
      </c>
      <c r="E591" s="66">
        <v>965595</v>
      </c>
      <c r="F591" s="66" t="s">
        <v>585</v>
      </c>
      <c r="G591" s="25">
        <f t="shared" si="5"/>
        <v>3.3293953388464637E-3</v>
      </c>
    </row>
    <row r="592" spans="1:7">
      <c r="A592" s="66">
        <v>92.4</v>
      </c>
      <c r="B592" s="66">
        <v>92.454999999999998</v>
      </c>
      <c r="C592" s="66">
        <v>90.39</v>
      </c>
      <c r="D592" s="66">
        <v>91.19</v>
      </c>
      <c r="E592" s="66">
        <v>847257</v>
      </c>
      <c r="F592" s="66" t="s">
        <v>586</v>
      </c>
      <c r="G592" s="25">
        <f t="shared" si="5"/>
        <v>1.326899879372756E-2</v>
      </c>
    </row>
    <row r="593" spans="1:7">
      <c r="A593" s="66">
        <v>90.64</v>
      </c>
      <c r="B593" s="66">
        <v>91.96</v>
      </c>
      <c r="C593" s="66">
        <v>90.58</v>
      </c>
      <c r="D593" s="66">
        <v>90.85</v>
      </c>
      <c r="E593" s="66">
        <v>801800</v>
      </c>
      <c r="F593" s="66" t="s">
        <v>587</v>
      </c>
      <c r="G593" s="25">
        <f t="shared" si="5"/>
        <v>-2.311502476609717E-3</v>
      </c>
    </row>
    <row r="594" spans="1:7">
      <c r="A594" s="66">
        <v>89.75</v>
      </c>
      <c r="B594" s="66">
        <v>90.05</v>
      </c>
      <c r="C594" s="66">
        <v>87.954999999999998</v>
      </c>
      <c r="D594" s="66">
        <v>89.81</v>
      </c>
      <c r="E594" s="66">
        <v>1259418</v>
      </c>
      <c r="F594" s="66" t="s">
        <v>588</v>
      </c>
      <c r="G594" s="25">
        <f t="shared" si="5"/>
        <v>-6.6807705155325081E-4</v>
      </c>
    </row>
    <row r="595" spans="1:7">
      <c r="A595" s="66">
        <v>89.66</v>
      </c>
      <c r="B595" s="66">
        <v>91.03</v>
      </c>
      <c r="C595" s="66">
        <v>88.81</v>
      </c>
      <c r="D595" s="66">
        <v>89.03</v>
      </c>
      <c r="E595" s="66">
        <v>742416</v>
      </c>
      <c r="F595" s="66" t="s">
        <v>589</v>
      </c>
      <c r="G595" s="25">
        <f t="shared" si="5"/>
        <v>7.0762664270469511E-3</v>
      </c>
    </row>
    <row r="596" spans="1:7">
      <c r="A596" s="66">
        <v>89.06</v>
      </c>
      <c r="B596" s="66">
        <v>89.65</v>
      </c>
      <c r="C596" s="66">
        <v>88.44</v>
      </c>
      <c r="D596" s="66">
        <v>89.06</v>
      </c>
      <c r="E596" s="66">
        <v>951362</v>
      </c>
      <c r="F596" s="66" t="s">
        <v>590</v>
      </c>
      <c r="G596" s="25">
        <f t="shared" si="5"/>
        <v>0</v>
      </c>
    </row>
    <row r="597" spans="1:7">
      <c r="A597" s="66">
        <v>89.89</v>
      </c>
      <c r="B597" s="66">
        <v>89.98</v>
      </c>
      <c r="C597" s="66">
        <v>88.87</v>
      </c>
      <c r="D597" s="66">
        <v>89.36</v>
      </c>
      <c r="E597" s="66">
        <v>1718220</v>
      </c>
      <c r="F597" s="66" t="s">
        <v>591</v>
      </c>
      <c r="G597" s="25">
        <f t="shared" si="5"/>
        <v>5.9310653536257529E-3</v>
      </c>
    </row>
    <row r="598" spans="1:7">
      <c r="A598" s="66">
        <v>88.84</v>
      </c>
      <c r="B598" s="66">
        <v>90.13</v>
      </c>
      <c r="C598" s="66">
        <v>88.77</v>
      </c>
      <c r="D598" s="66">
        <v>89.67</v>
      </c>
      <c r="E598" s="66">
        <v>1143255</v>
      </c>
      <c r="F598" s="66" t="s">
        <v>592</v>
      </c>
      <c r="G598" s="25">
        <f t="shared" si="5"/>
        <v>-9.2561614809858472E-3</v>
      </c>
    </row>
    <row r="599" spans="1:7">
      <c r="A599" s="66">
        <v>89.93</v>
      </c>
      <c r="B599" s="66">
        <v>90.860600000000005</v>
      </c>
      <c r="C599" s="66">
        <v>88.13</v>
      </c>
      <c r="D599" s="66">
        <v>90.09</v>
      </c>
      <c r="E599" s="66">
        <v>842092</v>
      </c>
      <c r="F599" s="66" t="s">
        <v>593</v>
      </c>
      <c r="G599" s="25">
        <f t="shared" si="5"/>
        <v>-1.7760017760017899E-3</v>
      </c>
    </row>
    <row r="600" spans="1:7">
      <c r="A600" s="66">
        <v>90.2</v>
      </c>
      <c r="B600" s="66">
        <v>92.114999999999995</v>
      </c>
      <c r="C600" s="66">
        <v>90.15</v>
      </c>
      <c r="D600" s="66">
        <v>91.14</v>
      </c>
      <c r="E600" s="66">
        <v>1004335</v>
      </c>
      <c r="F600" s="66" t="s">
        <v>594</v>
      </c>
      <c r="G600" s="25">
        <f t="shared" si="5"/>
        <v>-1.031380294053108E-2</v>
      </c>
    </row>
    <row r="601" spans="1:7">
      <c r="A601" s="66">
        <v>91.68</v>
      </c>
      <c r="B601" s="66">
        <v>92.04</v>
      </c>
      <c r="C601" s="66">
        <v>89.98</v>
      </c>
      <c r="D601" s="66">
        <v>89.98</v>
      </c>
      <c r="E601" s="66">
        <v>874962</v>
      </c>
      <c r="F601" s="66" t="s">
        <v>595</v>
      </c>
      <c r="G601" s="25">
        <f t="shared" si="5"/>
        <v>1.8893087352745086E-2</v>
      </c>
    </row>
    <row r="602" spans="1:7">
      <c r="A602" s="66">
        <v>90.04</v>
      </c>
      <c r="B602" s="66">
        <v>90.98</v>
      </c>
      <c r="C602" s="66">
        <v>89.75</v>
      </c>
      <c r="D602" s="66">
        <v>90.73</v>
      </c>
      <c r="E602" s="66">
        <v>912061</v>
      </c>
      <c r="F602" s="66" t="s">
        <v>596</v>
      </c>
      <c r="G602" s="25">
        <f t="shared" si="5"/>
        <v>-7.6049818141739056E-3</v>
      </c>
    </row>
    <row r="603" spans="1:7">
      <c r="A603" s="66">
        <v>90.42</v>
      </c>
      <c r="B603" s="66">
        <v>90.99</v>
      </c>
      <c r="C603" s="66">
        <v>90.28</v>
      </c>
      <c r="D603" s="66">
        <v>90.92</v>
      </c>
      <c r="E603" s="66">
        <v>1212269</v>
      </c>
      <c r="F603" s="66" t="s">
        <v>597</v>
      </c>
      <c r="G603" s="25">
        <f t="shared" si="5"/>
        <v>-5.4993400791905067E-3</v>
      </c>
    </row>
    <row r="604" spans="1:7">
      <c r="A604" s="66">
        <v>90.41</v>
      </c>
      <c r="B604" s="66">
        <v>90.81</v>
      </c>
      <c r="C604" s="66">
        <v>89.41</v>
      </c>
      <c r="D604" s="66">
        <v>89.75</v>
      </c>
      <c r="E604" s="66">
        <v>1575895</v>
      </c>
      <c r="F604" s="66" t="s">
        <v>598</v>
      </c>
      <c r="G604" s="25">
        <f t="shared" si="5"/>
        <v>7.3537604456823669E-3</v>
      </c>
    </row>
    <row r="605" spans="1:7">
      <c r="A605" s="66">
        <v>89.86</v>
      </c>
      <c r="B605" s="66">
        <v>90.855000000000004</v>
      </c>
      <c r="C605" s="66">
        <v>89.69</v>
      </c>
      <c r="D605" s="66">
        <v>90.82</v>
      </c>
      <c r="E605" s="66">
        <v>955663</v>
      </c>
      <c r="F605" s="66" t="s">
        <v>599</v>
      </c>
      <c r="G605" s="25">
        <f t="shared" si="5"/>
        <v>-1.0570358951772718E-2</v>
      </c>
    </row>
    <row r="606" spans="1:7">
      <c r="A606" s="66">
        <v>90.53</v>
      </c>
      <c r="B606" s="66">
        <v>92.19</v>
      </c>
      <c r="C606" s="66">
        <v>90.13</v>
      </c>
      <c r="D606" s="66">
        <v>91.74</v>
      </c>
      <c r="E606" s="66">
        <v>1183113</v>
      </c>
      <c r="F606" s="66" t="s">
        <v>600</v>
      </c>
      <c r="G606" s="25">
        <f t="shared" si="5"/>
        <v>-1.318944844124692E-2</v>
      </c>
    </row>
    <row r="607" spans="1:7">
      <c r="A607" s="66">
        <v>92.04</v>
      </c>
      <c r="B607" s="66">
        <v>94.45</v>
      </c>
      <c r="C607" s="66">
        <v>91.87</v>
      </c>
      <c r="D607" s="66">
        <v>94.14</v>
      </c>
      <c r="E607" s="66">
        <v>965674</v>
      </c>
      <c r="F607" s="66" t="s">
        <v>601</v>
      </c>
      <c r="G607" s="25">
        <f t="shared" si="5"/>
        <v>-2.2307202039515528E-2</v>
      </c>
    </row>
    <row r="608" spans="1:7">
      <c r="A608" s="66">
        <v>93.52</v>
      </c>
      <c r="B608" s="66">
        <v>96.17</v>
      </c>
      <c r="C608" s="66">
        <v>92.88</v>
      </c>
      <c r="D608" s="66">
        <v>95.97</v>
      </c>
      <c r="E608" s="66">
        <v>977998</v>
      </c>
      <c r="F608" s="66" t="s">
        <v>602</v>
      </c>
      <c r="G608" s="25">
        <f t="shared" si="5"/>
        <v>-2.5528811086797942E-2</v>
      </c>
    </row>
    <row r="609" spans="1:7">
      <c r="A609" s="66">
        <v>96.12</v>
      </c>
      <c r="B609" s="66">
        <v>97.279899999999998</v>
      </c>
      <c r="C609" s="66">
        <v>96.02</v>
      </c>
      <c r="D609" s="66">
        <v>96.58</v>
      </c>
      <c r="E609" s="66">
        <v>823897</v>
      </c>
      <c r="F609" s="66" t="s">
        <v>603</v>
      </c>
      <c r="G609" s="25">
        <f t="shared" si="5"/>
        <v>-4.7628908676744519E-3</v>
      </c>
    </row>
    <row r="610" spans="1:7">
      <c r="A610" s="66">
        <v>96.5</v>
      </c>
      <c r="B610" s="66">
        <v>98.38</v>
      </c>
      <c r="C610" s="66">
        <v>96.27</v>
      </c>
      <c r="D610" s="66">
        <v>97.75</v>
      </c>
      <c r="E610" s="66">
        <v>1140022</v>
      </c>
      <c r="F610" s="66" t="s">
        <v>604</v>
      </c>
      <c r="G610" s="25">
        <f t="shared" si="5"/>
        <v>-1.2787723785166238E-2</v>
      </c>
    </row>
    <row r="611" spans="1:7">
      <c r="A611" s="66">
        <v>98.92</v>
      </c>
      <c r="B611" s="66">
        <v>99.31</v>
      </c>
      <c r="C611" s="66">
        <v>98.4</v>
      </c>
      <c r="D611" s="66">
        <v>98.89</v>
      </c>
      <c r="E611" s="66">
        <v>906234</v>
      </c>
      <c r="F611" s="66" t="s">
        <v>605</v>
      </c>
      <c r="G611" s="25">
        <f t="shared" si="5"/>
        <v>3.0336737789471435E-4</v>
      </c>
    </row>
    <row r="612" spans="1:7">
      <c r="A612" s="66">
        <v>98.63</v>
      </c>
      <c r="B612" s="66">
        <v>98.91</v>
      </c>
      <c r="C612" s="66">
        <v>97.96</v>
      </c>
      <c r="D612" s="66">
        <v>98.91</v>
      </c>
      <c r="E612" s="66">
        <v>916610</v>
      </c>
      <c r="F612" s="66" t="s">
        <v>606</v>
      </c>
      <c r="G612" s="25">
        <f t="shared" si="5"/>
        <v>-2.8308563340410098E-3</v>
      </c>
    </row>
    <row r="613" spans="1:7">
      <c r="A613" s="66">
        <v>98.6</v>
      </c>
      <c r="B613" s="66">
        <v>99.28</v>
      </c>
      <c r="C613" s="66">
        <v>97.86</v>
      </c>
      <c r="D613" s="66">
        <v>99.23</v>
      </c>
      <c r="E613" s="66">
        <v>905975</v>
      </c>
      <c r="F613" s="66" t="s">
        <v>607</v>
      </c>
      <c r="G613" s="25">
        <f t="shared" si="5"/>
        <v>-6.3488864254762634E-3</v>
      </c>
    </row>
    <row r="614" spans="1:7">
      <c r="A614" s="66">
        <v>99.16</v>
      </c>
      <c r="B614" s="66">
        <v>100.85</v>
      </c>
      <c r="C614" s="66">
        <v>98.869</v>
      </c>
      <c r="D614" s="66">
        <v>99.98</v>
      </c>
      <c r="E614" s="66">
        <v>1377432</v>
      </c>
      <c r="F614" s="66" t="s">
        <v>608</v>
      </c>
      <c r="G614" s="25">
        <f t="shared" si="5"/>
        <v>-8.2016403280656958E-3</v>
      </c>
    </row>
    <row r="615" spans="1:7">
      <c r="A615" s="66">
        <v>98.96</v>
      </c>
      <c r="B615" s="66">
        <v>99.174999999999997</v>
      </c>
      <c r="C615" s="66">
        <v>97.780100000000004</v>
      </c>
      <c r="D615" s="66">
        <v>98.08</v>
      </c>
      <c r="E615" s="66">
        <v>773560</v>
      </c>
      <c r="F615" s="66" t="s">
        <v>609</v>
      </c>
      <c r="G615" s="25">
        <f t="shared" si="5"/>
        <v>8.97226753670477E-3</v>
      </c>
    </row>
    <row r="616" spans="1:7">
      <c r="A616" s="66">
        <v>98.06</v>
      </c>
      <c r="B616" s="66">
        <v>99.01</v>
      </c>
      <c r="C616" s="66">
        <v>97.49</v>
      </c>
      <c r="D616" s="66">
        <v>98.79</v>
      </c>
      <c r="E616" s="66">
        <v>900612</v>
      </c>
      <c r="F616" s="66" t="s">
        <v>610</v>
      </c>
      <c r="G616" s="25">
        <f t="shared" si="5"/>
        <v>-7.3894118837939393E-3</v>
      </c>
    </row>
    <row r="617" spans="1:7">
      <c r="A617" s="66">
        <v>99.24</v>
      </c>
      <c r="B617" s="66">
        <v>101.09</v>
      </c>
      <c r="C617" s="66">
        <v>98.89</v>
      </c>
      <c r="D617" s="66">
        <v>101.04</v>
      </c>
      <c r="E617" s="66">
        <v>877679</v>
      </c>
      <c r="F617" s="66" t="s">
        <v>611</v>
      </c>
      <c r="G617" s="25">
        <f t="shared" si="5"/>
        <v>-1.7814726840855166E-2</v>
      </c>
    </row>
    <row r="618" spans="1:7">
      <c r="A618" s="66">
        <v>101.46</v>
      </c>
      <c r="B618" s="66">
        <v>102.17</v>
      </c>
      <c r="C618" s="66">
        <v>101.3</v>
      </c>
      <c r="D618" s="66">
        <v>102.17</v>
      </c>
      <c r="E618" s="66">
        <v>887890</v>
      </c>
      <c r="F618" s="66" t="s">
        <v>612</v>
      </c>
      <c r="G618" s="25">
        <f t="shared" si="5"/>
        <v>-6.9492023098757238E-3</v>
      </c>
    </row>
    <row r="619" spans="1:7">
      <c r="A619" s="66">
        <v>101.84</v>
      </c>
      <c r="B619" s="66">
        <v>102.035</v>
      </c>
      <c r="C619" s="66">
        <v>101.29</v>
      </c>
      <c r="D619" s="66">
        <v>101.8</v>
      </c>
      <c r="E619" s="66">
        <v>986336</v>
      </c>
      <c r="F619" s="66" t="s">
        <v>613</v>
      </c>
      <c r="G619" s="25">
        <f t="shared" si="5"/>
        <v>3.9292730844797674E-4</v>
      </c>
    </row>
    <row r="620" spans="1:7">
      <c r="A620" s="66">
        <v>100.73</v>
      </c>
      <c r="B620" s="66">
        <v>101.31</v>
      </c>
      <c r="C620" s="66">
        <v>99.915000000000006</v>
      </c>
      <c r="D620" s="66">
        <v>100.95</v>
      </c>
      <c r="E620" s="66">
        <v>1056164</v>
      </c>
      <c r="F620" s="66" t="s">
        <v>614</v>
      </c>
      <c r="G620" s="25">
        <f t="shared" si="5"/>
        <v>-2.1792966815254999E-3</v>
      </c>
    </row>
    <row r="621" spans="1:7">
      <c r="A621" s="66">
        <v>100.87</v>
      </c>
      <c r="B621" s="66">
        <v>101.21</v>
      </c>
      <c r="C621" s="66">
        <v>100.47</v>
      </c>
      <c r="D621" s="66">
        <v>100.93</v>
      </c>
      <c r="E621" s="66">
        <v>862408</v>
      </c>
      <c r="F621" s="66" t="s">
        <v>615</v>
      </c>
      <c r="G621" s="25">
        <f t="shared" si="5"/>
        <v>-5.9447141583279794E-4</v>
      </c>
    </row>
    <row r="622" spans="1:7">
      <c r="A622" s="66">
        <v>100.42</v>
      </c>
      <c r="B622" s="66">
        <v>101.07</v>
      </c>
      <c r="C622" s="66">
        <v>99.370099999999994</v>
      </c>
      <c r="D622" s="66">
        <v>101</v>
      </c>
      <c r="E622" s="66">
        <v>1114207</v>
      </c>
      <c r="F622" s="66" t="s">
        <v>616</v>
      </c>
      <c r="G622" s="25">
        <f t="shared" si="5"/>
        <v>-5.7425742574257477E-3</v>
      </c>
    </row>
    <row r="623" spans="1:7">
      <c r="A623" s="66">
        <v>101.37</v>
      </c>
      <c r="B623" s="66">
        <v>103.47</v>
      </c>
      <c r="C623" s="66">
        <v>101.33</v>
      </c>
      <c r="D623" s="66">
        <v>101.48</v>
      </c>
      <c r="E623" s="66">
        <v>878501</v>
      </c>
      <c r="F623" s="66" t="s">
        <v>617</v>
      </c>
      <c r="G623" s="25">
        <f t="shared" si="5"/>
        <v>-1.0839574300354204E-3</v>
      </c>
    </row>
    <row r="624" spans="1:7">
      <c r="A624" s="66">
        <v>101.66</v>
      </c>
      <c r="B624" s="66">
        <v>102.57989999999999</v>
      </c>
      <c r="C624" s="66">
        <v>100.5724</v>
      </c>
      <c r="D624" s="66">
        <v>102.5</v>
      </c>
      <c r="E624" s="66">
        <v>884373</v>
      </c>
      <c r="F624" s="66" t="s">
        <v>618</v>
      </c>
      <c r="G624" s="25">
        <f t="shared" si="5"/>
        <v>-8.1951219512195195E-3</v>
      </c>
    </row>
    <row r="625" spans="1:7">
      <c r="A625" s="66">
        <v>102.25</v>
      </c>
      <c r="B625" s="66">
        <v>102.82</v>
      </c>
      <c r="C625" s="66">
        <v>101.17</v>
      </c>
      <c r="D625" s="66">
        <v>102.11</v>
      </c>
      <c r="E625" s="66">
        <v>1999369</v>
      </c>
      <c r="F625" s="66" t="s">
        <v>619</v>
      </c>
      <c r="G625" s="25">
        <f t="shared" si="5"/>
        <v>1.3710704142591013E-3</v>
      </c>
    </row>
    <row r="626" spans="1:7">
      <c r="A626" s="66">
        <v>100.82</v>
      </c>
      <c r="B626" s="66">
        <v>101.4525</v>
      </c>
      <c r="C626" s="66">
        <v>100.71</v>
      </c>
      <c r="D626" s="66">
        <v>101.3</v>
      </c>
      <c r="E626" s="66">
        <v>770226</v>
      </c>
      <c r="F626" s="66" t="s">
        <v>620</v>
      </c>
      <c r="G626" s="25">
        <f t="shared" si="5"/>
        <v>-4.7384007897335323E-3</v>
      </c>
    </row>
    <row r="627" spans="1:7">
      <c r="A627" s="66">
        <v>100.71</v>
      </c>
      <c r="B627" s="66">
        <v>101.24</v>
      </c>
      <c r="C627" s="66">
        <v>99.9</v>
      </c>
      <c r="D627" s="66">
        <v>99.94</v>
      </c>
      <c r="E627" s="66">
        <v>1283323</v>
      </c>
      <c r="F627" s="66" t="s">
        <v>621</v>
      </c>
      <c r="G627" s="25">
        <f t="shared" si="5"/>
        <v>7.7046227736641271E-3</v>
      </c>
    </row>
    <row r="628" spans="1:7">
      <c r="A628" s="66">
        <v>101.5</v>
      </c>
      <c r="B628" s="66">
        <v>101.94</v>
      </c>
      <c r="C628" s="66">
        <v>100.815</v>
      </c>
      <c r="D628" s="66">
        <v>101.71</v>
      </c>
      <c r="E628" s="66">
        <v>1224090</v>
      </c>
      <c r="F628" s="66" t="s">
        <v>622</v>
      </c>
      <c r="G628" s="25">
        <f t="shared" si="5"/>
        <v>-2.0646937370956131E-3</v>
      </c>
    </row>
    <row r="629" spans="1:7">
      <c r="A629" s="66">
        <v>102.36</v>
      </c>
      <c r="B629" s="66">
        <v>103.91</v>
      </c>
      <c r="C629" s="66">
        <v>101.89</v>
      </c>
      <c r="D629" s="66">
        <v>103.5</v>
      </c>
      <c r="E629" s="66">
        <v>1000594</v>
      </c>
      <c r="F629" s="66" t="s">
        <v>623</v>
      </c>
      <c r="G629" s="25">
        <f t="shared" si="5"/>
        <v>-1.1014492753623206E-2</v>
      </c>
    </row>
    <row r="630" spans="1:7">
      <c r="A630" s="66">
        <v>101.54</v>
      </c>
      <c r="B630" s="66">
        <v>102.1</v>
      </c>
      <c r="C630" s="66">
        <v>100.93</v>
      </c>
      <c r="D630" s="66">
        <v>101.06</v>
      </c>
      <c r="E630" s="66">
        <v>751313</v>
      </c>
      <c r="F630" s="66" t="s">
        <v>624</v>
      </c>
      <c r="G630" s="25">
        <f t="shared" si="5"/>
        <v>4.7496536710864845E-3</v>
      </c>
    </row>
    <row r="631" spans="1:7">
      <c r="A631" s="66">
        <v>101.44</v>
      </c>
      <c r="B631" s="66">
        <v>102.71</v>
      </c>
      <c r="C631" s="66">
        <v>100.78</v>
      </c>
      <c r="D631" s="66">
        <v>101.51</v>
      </c>
      <c r="E631" s="66">
        <v>952889</v>
      </c>
      <c r="F631" s="66" t="s">
        <v>625</v>
      </c>
      <c r="G631" s="25">
        <f t="shared" si="5"/>
        <v>-6.89587232785005E-4</v>
      </c>
    </row>
    <row r="632" spans="1:7">
      <c r="A632" s="66">
        <v>101.51</v>
      </c>
      <c r="B632" s="66">
        <v>102.56</v>
      </c>
      <c r="C632" s="66">
        <v>101.25</v>
      </c>
      <c r="D632" s="66">
        <v>102</v>
      </c>
      <c r="E632" s="66">
        <v>997660</v>
      </c>
      <c r="F632" s="66" t="s">
        <v>626</v>
      </c>
      <c r="G632" s="25">
        <f t="shared" ref="G632:G695" si="6">A632/D632-1</f>
        <v>-4.8039215686274117E-3</v>
      </c>
    </row>
    <row r="633" spans="1:7">
      <c r="A633" s="66">
        <v>102.08</v>
      </c>
      <c r="B633" s="66">
        <v>103.27</v>
      </c>
      <c r="C633" s="66">
        <v>101.89</v>
      </c>
      <c r="D633" s="66">
        <v>102.48</v>
      </c>
      <c r="E633" s="66">
        <v>1754087</v>
      </c>
      <c r="F633" s="66" t="s">
        <v>627</v>
      </c>
      <c r="G633" s="25">
        <f t="shared" si="6"/>
        <v>-3.9032006245121043E-3</v>
      </c>
    </row>
    <row r="634" spans="1:7">
      <c r="A634" s="66">
        <v>101.87</v>
      </c>
      <c r="B634" s="66">
        <v>102.82</v>
      </c>
      <c r="C634" s="66">
        <v>101.57</v>
      </c>
      <c r="D634" s="66">
        <v>102.82</v>
      </c>
      <c r="E634" s="66">
        <v>1440869</v>
      </c>
      <c r="F634" s="66" t="s">
        <v>628</v>
      </c>
      <c r="G634" s="25">
        <f t="shared" si="6"/>
        <v>-9.2394475782920926E-3</v>
      </c>
    </row>
    <row r="635" spans="1:7">
      <c r="A635" s="66">
        <v>101.42</v>
      </c>
      <c r="B635" s="66">
        <v>103.64</v>
      </c>
      <c r="C635" s="66">
        <v>100.81</v>
      </c>
      <c r="D635" s="66">
        <v>102.47</v>
      </c>
      <c r="E635" s="66">
        <v>1219764</v>
      </c>
      <c r="F635" s="66" t="s">
        <v>629</v>
      </c>
      <c r="G635" s="25">
        <f t="shared" si="6"/>
        <v>-1.0246901532155683E-2</v>
      </c>
    </row>
    <row r="636" spans="1:7">
      <c r="A636" s="66">
        <v>102.77</v>
      </c>
      <c r="B636" s="66">
        <v>104.07</v>
      </c>
      <c r="C636" s="66">
        <v>101.58</v>
      </c>
      <c r="D636" s="66">
        <v>102.02</v>
      </c>
      <c r="E636" s="66">
        <v>1758024</v>
      </c>
      <c r="F636" s="66" t="s">
        <v>630</v>
      </c>
      <c r="G636" s="25">
        <f t="shared" si="6"/>
        <v>7.3514997059400677E-3</v>
      </c>
    </row>
    <row r="637" spans="1:7">
      <c r="A637" s="66">
        <v>102.19</v>
      </c>
      <c r="B637" s="66">
        <v>102.55</v>
      </c>
      <c r="C637" s="66">
        <v>97.72</v>
      </c>
      <c r="D637" s="66">
        <v>102.04</v>
      </c>
      <c r="E637" s="66">
        <v>2804322</v>
      </c>
      <c r="F637" s="66" t="s">
        <v>631</v>
      </c>
      <c r="G637" s="25">
        <f t="shared" si="6"/>
        <v>1.4700117600940921E-3</v>
      </c>
    </row>
    <row r="638" spans="1:7">
      <c r="A638" s="66">
        <v>93.6</v>
      </c>
      <c r="B638" s="66">
        <v>95.05</v>
      </c>
      <c r="C638" s="66">
        <v>93.43</v>
      </c>
      <c r="D638" s="66">
        <v>94.51</v>
      </c>
      <c r="E638" s="66">
        <v>2355572</v>
      </c>
      <c r="F638" s="66" t="s">
        <v>632</v>
      </c>
      <c r="G638" s="25">
        <f t="shared" si="6"/>
        <v>-9.6286107290235456E-3</v>
      </c>
    </row>
    <row r="639" spans="1:7">
      <c r="A639" s="66">
        <v>94.51</v>
      </c>
      <c r="B639" s="66">
        <v>95.034999999999997</v>
      </c>
      <c r="C639" s="66">
        <v>93.29</v>
      </c>
      <c r="D639" s="66">
        <v>93.74</v>
      </c>
      <c r="E639" s="66">
        <v>1598066</v>
      </c>
      <c r="F639" s="66" t="s">
        <v>633</v>
      </c>
      <c r="G639" s="25">
        <f t="shared" si="6"/>
        <v>8.2142095156818584E-3</v>
      </c>
    </row>
    <row r="640" spans="1:7">
      <c r="A640" s="66">
        <v>93.74</v>
      </c>
      <c r="B640" s="66">
        <v>94.424999999999997</v>
      </c>
      <c r="C640" s="66">
        <v>93.45</v>
      </c>
      <c r="D640" s="66">
        <v>94</v>
      </c>
      <c r="E640" s="66">
        <v>1879458</v>
      </c>
      <c r="F640" s="66" t="s">
        <v>634</v>
      </c>
      <c r="G640" s="25">
        <f t="shared" si="6"/>
        <v>-2.7659574468085202E-3</v>
      </c>
    </row>
    <row r="641" spans="1:7">
      <c r="A641" s="66">
        <v>94.5</v>
      </c>
      <c r="B641" s="66">
        <v>96.48</v>
      </c>
      <c r="C641" s="66">
        <v>94.31</v>
      </c>
      <c r="D641" s="66">
        <v>96.29</v>
      </c>
      <c r="E641" s="66">
        <v>1215324</v>
      </c>
      <c r="F641" s="66" t="s">
        <v>635</v>
      </c>
      <c r="G641" s="25">
        <f t="shared" si="6"/>
        <v>-1.8589677017343487E-2</v>
      </c>
    </row>
    <row r="642" spans="1:7">
      <c r="A642" s="66">
        <v>96.75</v>
      </c>
      <c r="B642" s="66">
        <v>97.92</v>
      </c>
      <c r="C642" s="66">
        <v>96.004999999999995</v>
      </c>
      <c r="D642" s="66">
        <v>97.53</v>
      </c>
      <c r="E642" s="66">
        <v>1427662</v>
      </c>
      <c r="F642" s="66" t="s">
        <v>636</v>
      </c>
      <c r="G642" s="25">
        <f t="shared" si="6"/>
        <v>-7.9975392187019434E-3</v>
      </c>
    </row>
    <row r="643" spans="1:7">
      <c r="A643" s="66">
        <v>97.78</v>
      </c>
      <c r="B643" s="66">
        <v>98.92</v>
      </c>
      <c r="C643" s="66">
        <v>97.08</v>
      </c>
      <c r="D643" s="66">
        <v>98.08</v>
      </c>
      <c r="E643" s="66">
        <v>2149394</v>
      </c>
      <c r="F643" s="66" t="s">
        <v>637</v>
      </c>
      <c r="G643" s="25">
        <f t="shared" si="6"/>
        <v>-3.0587275693311211E-3</v>
      </c>
    </row>
    <row r="644" spans="1:7">
      <c r="A644" s="66">
        <v>98.08</v>
      </c>
      <c r="B644" s="66">
        <v>98.32</v>
      </c>
      <c r="C644" s="66">
        <v>95.2</v>
      </c>
      <c r="D644" s="66">
        <v>95.76</v>
      </c>
      <c r="E644" s="66">
        <v>1868532</v>
      </c>
      <c r="F644" s="66" t="s">
        <v>638</v>
      </c>
      <c r="G644" s="25">
        <f t="shared" si="6"/>
        <v>2.4227234753550375E-2</v>
      </c>
    </row>
    <row r="645" spans="1:7">
      <c r="A645" s="66">
        <v>95.7</v>
      </c>
      <c r="B645" s="66">
        <v>95.86</v>
      </c>
      <c r="C645" s="66">
        <v>93.36</v>
      </c>
      <c r="D645" s="66">
        <v>94.41</v>
      </c>
      <c r="E645" s="66">
        <v>1300021</v>
      </c>
      <c r="F645" s="66" t="s">
        <v>639</v>
      </c>
      <c r="G645" s="25">
        <f t="shared" si="6"/>
        <v>1.3663806800127132E-2</v>
      </c>
    </row>
    <row r="646" spans="1:7">
      <c r="A646" s="66">
        <v>93.002499999999998</v>
      </c>
      <c r="B646" s="66">
        <v>94.357500000000002</v>
      </c>
      <c r="C646" s="66">
        <v>92.967500000000001</v>
      </c>
      <c r="D646" s="66">
        <v>93.24</v>
      </c>
      <c r="E646" s="66">
        <v>675620</v>
      </c>
      <c r="F646" s="66" t="s">
        <v>640</v>
      </c>
      <c r="G646" s="25">
        <f t="shared" si="6"/>
        <v>-2.5471900471900621E-3</v>
      </c>
    </row>
    <row r="647" spans="1:7">
      <c r="A647" s="66">
        <v>93.642499999999998</v>
      </c>
      <c r="B647" s="66">
        <v>94.902249999999995</v>
      </c>
      <c r="C647" s="66">
        <v>93.46</v>
      </c>
      <c r="D647" s="66">
        <v>93.77</v>
      </c>
      <c r="E647" s="66">
        <v>651804</v>
      </c>
      <c r="F647" s="66" t="s">
        <v>641</v>
      </c>
      <c r="G647" s="25">
        <f t="shared" si="6"/>
        <v>-1.3597099285485026E-3</v>
      </c>
    </row>
    <row r="648" spans="1:7">
      <c r="A648" s="66">
        <v>93.122500000000002</v>
      </c>
      <c r="B648" s="66">
        <v>93.28</v>
      </c>
      <c r="C648" s="66">
        <v>90.672499999999999</v>
      </c>
      <c r="D648" s="66">
        <v>91.972499999999997</v>
      </c>
      <c r="E648" s="66">
        <v>853412</v>
      </c>
      <c r="F648" s="66" t="s">
        <v>642</v>
      </c>
      <c r="G648" s="25">
        <f t="shared" si="6"/>
        <v>1.2503737530240144E-2</v>
      </c>
    </row>
    <row r="649" spans="1:7">
      <c r="A649" s="66">
        <v>91.922499999999999</v>
      </c>
      <c r="B649" s="66">
        <v>93.745000000000005</v>
      </c>
      <c r="C649" s="66">
        <v>91.226249999999993</v>
      </c>
      <c r="D649" s="66">
        <v>93.347499999999997</v>
      </c>
      <c r="E649" s="66">
        <v>700984</v>
      </c>
      <c r="F649" s="66" t="s">
        <v>643</v>
      </c>
      <c r="G649" s="25">
        <f t="shared" si="6"/>
        <v>-1.526554005195635E-2</v>
      </c>
    </row>
    <row r="650" spans="1:7">
      <c r="A650" s="66">
        <v>94.752499999999998</v>
      </c>
      <c r="B650" s="66">
        <v>95.13</v>
      </c>
      <c r="C650" s="66">
        <v>93.802499999999995</v>
      </c>
      <c r="D650" s="66">
        <v>93.802499999999995</v>
      </c>
      <c r="E650" s="66">
        <v>480716</v>
      </c>
      <c r="F650" s="66" t="s">
        <v>644</v>
      </c>
      <c r="G650" s="25">
        <f t="shared" si="6"/>
        <v>1.012766184270153E-2</v>
      </c>
    </row>
    <row r="651" spans="1:7">
      <c r="A651" s="66">
        <v>94.15</v>
      </c>
      <c r="B651" s="66">
        <v>94.237499999999997</v>
      </c>
      <c r="C651" s="66">
        <v>92.622500000000002</v>
      </c>
      <c r="D651" s="66">
        <v>93.33</v>
      </c>
      <c r="E651" s="66">
        <v>654460</v>
      </c>
      <c r="F651" s="66" t="s">
        <v>645</v>
      </c>
      <c r="G651" s="25">
        <f t="shared" si="6"/>
        <v>8.786028072431229E-3</v>
      </c>
    </row>
    <row r="652" spans="1:7">
      <c r="A652" s="66">
        <v>93.412499999999994</v>
      </c>
      <c r="B652" s="66">
        <v>93.609750000000005</v>
      </c>
      <c r="C652" s="66">
        <v>92.114999999999995</v>
      </c>
      <c r="D652" s="66">
        <v>93.162499999999994</v>
      </c>
      <c r="E652" s="66">
        <v>632668</v>
      </c>
      <c r="F652" s="66" t="s">
        <v>646</v>
      </c>
      <c r="G652" s="25">
        <f t="shared" si="6"/>
        <v>2.6834831611430854E-3</v>
      </c>
    </row>
    <row r="653" spans="1:7">
      <c r="A653" s="66">
        <v>93.66</v>
      </c>
      <c r="B653" s="66">
        <v>94.707499999999996</v>
      </c>
      <c r="C653" s="66">
        <v>93.3125</v>
      </c>
      <c r="D653" s="66">
        <v>94.192499999999995</v>
      </c>
      <c r="E653" s="66">
        <v>1001220</v>
      </c>
      <c r="F653" s="66" t="s">
        <v>647</v>
      </c>
      <c r="G653" s="25">
        <f t="shared" si="6"/>
        <v>-5.6533163468428516E-3</v>
      </c>
    </row>
    <row r="654" spans="1:7">
      <c r="A654" s="66">
        <v>93.674999999999997</v>
      </c>
      <c r="B654" s="66">
        <v>93.86</v>
      </c>
      <c r="C654" s="66">
        <v>93.018749999999997</v>
      </c>
      <c r="D654" s="66">
        <v>93.337500000000006</v>
      </c>
      <c r="E654" s="66">
        <v>794272</v>
      </c>
      <c r="F654" s="66" t="s">
        <v>648</v>
      </c>
      <c r="G654" s="25">
        <f t="shared" si="6"/>
        <v>3.6159100040176195E-3</v>
      </c>
    </row>
    <row r="655" spans="1:7">
      <c r="A655" s="66">
        <v>92.84</v>
      </c>
      <c r="B655" s="66">
        <v>94.07</v>
      </c>
      <c r="C655" s="66">
        <v>92.702500000000001</v>
      </c>
      <c r="D655" s="66">
        <v>93.402500000000003</v>
      </c>
      <c r="E655" s="66">
        <v>772136</v>
      </c>
      <c r="F655" s="66" t="s">
        <v>649</v>
      </c>
      <c r="G655" s="25">
        <f t="shared" si="6"/>
        <v>-6.0223227429672122E-3</v>
      </c>
    </row>
    <row r="656" spans="1:7">
      <c r="A656" s="66">
        <v>94.072500000000005</v>
      </c>
      <c r="B656" s="66">
        <v>94.622500000000002</v>
      </c>
      <c r="C656" s="66">
        <v>92.995000000000005</v>
      </c>
      <c r="D656" s="66">
        <v>94.512500000000003</v>
      </c>
      <c r="E656" s="66">
        <v>998236</v>
      </c>
      <c r="F656" s="66" t="s">
        <v>650</v>
      </c>
      <c r="G656" s="25">
        <f t="shared" si="6"/>
        <v>-4.6554688533262389E-3</v>
      </c>
    </row>
    <row r="657" spans="1:7">
      <c r="A657" s="66">
        <v>95.38</v>
      </c>
      <c r="B657" s="66">
        <v>95.38</v>
      </c>
      <c r="C657" s="66">
        <v>93.185000000000002</v>
      </c>
      <c r="D657" s="66">
        <v>93.672499999999999</v>
      </c>
      <c r="E657" s="66">
        <v>1128904</v>
      </c>
      <c r="F657" s="66" t="s">
        <v>651</v>
      </c>
      <c r="G657" s="25">
        <f t="shared" si="6"/>
        <v>1.8228402145773703E-2</v>
      </c>
    </row>
    <row r="658" spans="1:7">
      <c r="A658" s="66">
        <v>93.257499999999993</v>
      </c>
      <c r="B658" s="66">
        <v>95.018124999999998</v>
      </c>
      <c r="C658" s="66">
        <v>93.1</v>
      </c>
      <c r="D658" s="66">
        <v>94.13</v>
      </c>
      <c r="E658" s="66">
        <v>964820</v>
      </c>
      <c r="F658" s="66" t="s">
        <v>652</v>
      </c>
      <c r="G658" s="25">
        <f t="shared" si="6"/>
        <v>-9.2690959311590992E-3</v>
      </c>
    </row>
    <row r="659" spans="1:7">
      <c r="A659" s="66">
        <v>93.8</v>
      </c>
      <c r="B659" s="66">
        <v>95.567499999999995</v>
      </c>
      <c r="C659" s="66">
        <v>93.75</v>
      </c>
      <c r="D659" s="66">
        <v>94.44</v>
      </c>
      <c r="E659" s="66">
        <v>899284</v>
      </c>
      <c r="F659" s="66" t="s">
        <v>653</v>
      </c>
      <c r="G659" s="25">
        <f t="shared" si="6"/>
        <v>-6.7767894959762653E-3</v>
      </c>
    </row>
    <row r="660" spans="1:7">
      <c r="A660" s="66">
        <v>94.53</v>
      </c>
      <c r="B660" s="66">
        <v>94.83</v>
      </c>
      <c r="C660" s="66">
        <v>92.148750000000007</v>
      </c>
      <c r="D660" s="66">
        <v>92.724999999999994</v>
      </c>
      <c r="E660" s="66">
        <v>941900</v>
      </c>
      <c r="F660" s="66" t="s">
        <v>654</v>
      </c>
      <c r="G660" s="25">
        <f t="shared" si="6"/>
        <v>1.9466163386357538E-2</v>
      </c>
    </row>
    <row r="661" spans="1:7">
      <c r="A661" s="66">
        <v>93.16</v>
      </c>
      <c r="B661" s="66">
        <v>94.75</v>
      </c>
      <c r="C661" s="66">
        <v>92.818749999999994</v>
      </c>
      <c r="D661" s="66">
        <v>94.75</v>
      </c>
      <c r="E661" s="66">
        <v>1462060</v>
      </c>
      <c r="F661" s="66" t="s">
        <v>655</v>
      </c>
      <c r="G661" s="25">
        <f t="shared" si="6"/>
        <v>-1.6781002638522446E-2</v>
      </c>
    </row>
    <row r="662" spans="1:7">
      <c r="A662" s="66">
        <v>94.822500000000005</v>
      </c>
      <c r="B662" s="66">
        <v>96.204999999999998</v>
      </c>
      <c r="C662" s="66">
        <v>94.432500000000005</v>
      </c>
      <c r="D662" s="66">
        <v>96.055000000000007</v>
      </c>
      <c r="E662" s="66">
        <v>923904</v>
      </c>
      <c r="F662" s="66" t="s">
        <v>656</v>
      </c>
      <c r="G662" s="25">
        <f t="shared" si="6"/>
        <v>-1.2831190463796771E-2</v>
      </c>
    </row>
    <row r="663" spans="1:7">
      <c r="A663" s="66">
        <v>94.982500000000002</v>
      </c>
      <c r="B663" s="66">
        <v>97.702500000000001</v>
      </c>
      <c r="C663" s="66">
        <v>94.791250000000005</v>
      </c>
      <c r="D663" s="66">
        <v>96.915000000000006</v>
      </c>
      <c r="E663" s="66">
        <v>940656</v>
      </c>
      <c r="F663" s="66" t="s">
        <v>657</v>
      </c>
      <c r="G663" s="25">
        <f t="shared" si="6"/>
        <v>-1.9940153742970645E-2</v>
      </c>
    </row>
    <row r="664" spans="1:7">
      <c r="A664" s="66">
        <v>96.64</v>
      </c>
      <c r="B664" s="66">
        <v>97.15</v>
      </c>
      <c r="C664" s="66">
        <v>95.864999999999995</v>
      </c>
      <c r="D664" s="66">
        <v>97.15</v>
      </c>
      <c r="E664" s="66">
        <v>736180</v>
      </c>
      <c r="F664" s="66" t="s">
        <v>658</v>
      </c>
      <c r="G664" s="25">
        <f t="shared" si="6"/>
        <v>-5.2496139989707258E-3</v>
      </c>
    </row>
    <row r="665" spans="1:7">
      <c r="A665" s="66">
        <v>97.004999999999995</v>
      </c>
      <c r="B665" s="66">
        <v>98.35</v>
      </c>
      <c r="C665" s="66">
        <v>96.987499999999997</v>
      </c>
      <c r="D665" s="66">
        <v>97.8</v>
      </c>
      <c r="E665" s="66">
        <v>989796</v>
      </c>
      <c r="F665" s="66" t="s">
        <v>659</v>
      </c>
      <c r="G665" s="25">
        <f t="shared" si="6"/>
        <v>-8.1288343558282294E-3</v>
      </c>
    </row>
    <row r="666" spans="1:7">
      <c r="A666" s="66">
        <v>96.875</v>
      </c>
      <c r="B666" s="66">
        <v>96.972499999999997</v>
      </c>
      <c r="C666" s="66">
        <v>95.652500000000003</v>
      </c>
      <c r="D666" s="66">
        <v>96.53</v>
      </c>
      <c r="E666" s="66">
        <v>1308776</v>
      </c>
      <c r="F666" s="66" t="s">
        <v>660</v>
      </c>
      <c r="G666" s="25">
        <f t="shared" si="6"/>
        <v>3.574018439863158E-3</v>
      </c>
    </row>
    <row r="667" spans="1:7">
      <c r="A667" s="66">
        <v>96.4375</v>
      </c>
      <c r="B667" s="66">
        <v>96.782499999999999</v>
      </c>
      <c r="C667" s="66">
        <v>94.702500000000001</v>
      </c>
      <c r="D667" s="66">
        <v>94.702500000000001</v>
      </c>
      <c r="E667" s="66">
        <v>1108324</v>
      </c>
      <c r="F667" s="66" t="s">
        <v>661</v>
      </c>
      <c r="G667" s="25">
        <f t="shared" si="6"/>
        <v>1.8320530081043174E-2</v>
      </c>
    </row>
    <row r="668" spans="1:7">
      <c r="A668" s="66">
        <v>94.702500000000001</v>
      </c>
      <c r="B668" s="66">
        <v>95.96875</v>
      </c>
      <c r="C668" s="66">
        <v>93.542500000000004</v>
      </c>
      <c r="D668" s="66">
        <v>94.575000000000003</v>
      </c>
      <c r="E668" s="66">
        <v>749056</v>
      </c>
      <c r="F668" s="66" t="s">
        <v>662</v>
      </c>
      <c r="G668" s="25">
        <f t="shared" si="6"/>
        <v>1.3481363996827866E-3</v>
      </c>
    </row>
    <row r="669" spans="1:7">
      <c r="A669" s="66">
        <v>95.704999999999998</v>
      </c>
      <c r="B669" s="66">
        <v>95.75</v>
      </c>
      <c r="C669" s="66">
        <v>94.03</v>
      </c>
      <c r="D669" s="66">
        <v>95.305000000000007</v>
      </c>
      <c r="E669" s="66">
        <v>1174068</v>
      </c>
      <c r="F669" s="66" t="s">
        <v>663</v>
      </c>
      <c r="G669" s="25">
        <f t="shared" si="6"/>
        <v>4.1970515712710377E-3</v>
      </c>
    </row>
    <row r="670" spans="1:7">
      <c r="A670" s="66">
        <v>95.942499999999995</v>
      </c>
      <c r="B670" s="66">
        <v>96.882499999999993</v>
      </c>
      <c r="C670" s="66">
        <v>95.547499999999999</v>
      </c>
      <c r="D670" s="66">
        <v>96.077500000000001</v>
      </c>
      <c r="E670" s="66">
        <v>740804</v>
      </c>
      <c r="F670" s="66" t="s">
        <v>664</v>
      </c>
      <c r="G670" s="25">
        <f t="shared" si="6"/>
        <v>-1.4051156618355432E-3</v>
      </c>
    </row>
    <row r="671" spans="1:7">
      <c r="A671" s="66">
        <v>95.132499999999993</v>
      </c>
      <c r="B671" s="66">
        <v>96.112499999999997</v>
      </c>
      <c r="C671" s="66">
        <v>94.754999999999995</v>
      </c>
      <c r="D671" s="66">
        <v>96.092500000000001</v>
      </c>
      <c r="E671" s="66">
        <v>710304</v>
      </c>
      <c r="F671" s="66" t="s">
        <v>665</v>
      </c>
      <c r="G671" s="25">
        <f t="shared" si="6"/>
        <v>-9.9903738585218615E-3</v>
      </c>
    </row>
    <row r="672" spans="1:7">
      <c r="A672" s="66">
        <v>96.217500000000001</v>
      </c>
      <c r="B672" s="66">
        <v>96.242500000000007</v>
      </c>
      <c r="C672" s="66">
        <v>92.296250000000001</v>
      </c>
      <c r="D672" s="66">
        <v>92.5</v>
      </c>
      <c r="E672" s="66">
        <v>1353468</v>
      </c>
      <c r="F672" s="66" t="s">
        <v>666</v>
      </c>
      <c r="G672" s="25">
        <f t="shared" si="6"/>
        <v>4.0189189189189234E-2</v>
      </c>
    </row>
    <row r="673" spans="1:7">
      <c r="A673" s="66">
        <v>92.832499999999996</v>
      </c>
      <c r="B673" s="66">
        <v>94.34375</v>
      </c>
      <c r="C673" s="66">
        <v>92.196250000000006</v>
      </c>
      <c r="D673" s="66">
        <v>92.882499999999993</v>
      </c>
      <c r="E673" s="66">
        <v>1525640</v>
      </c>
      <c r="F673" s="66" t="s">
        <v>667</v>
      </c>
      <c r="G673" s="25">
        <f t="shared" si="6"/>
        <v>-5.3831453718400368E-4</v>
      </c>
    </row>
    <row r="674" spans="1:7">
      <c r="A674" s="66">
        <v>93.392499999999998</v>
      </c>
      <c r="B674" s="66">
        <v>93.417500000000004</v>
      </c>
      <c r="C674" s="66">
        <v>91.377499999999998</v>
      </c>
      <c r="D674" s="66">
        <v>91.377499999999998</v>
      </c>
      <c r="E674" s="66">
        <v>747792</v>
      </c>
      <c r="F674" s="66" t="s">
        <v>668</v>
      </c>
      <c r="G674" s="25">
        <f t="shared" si="6"/>
        <v>2.2051380263193865E-2</v>
      </c>
    </row>
    <row r="675" spans="1:7">
      <c r="A675" s="66">
        <v>91.482500000000002</v>
      </c>
      <c r="B675" s="66">
        <v>92.087500000000006</v>
      </c>
      <c r="C675" s="66">
        <v>91.117500000000007</v>
      </c>
      <c r="D675" s="66">
        <v>91.435000000000002</v>
      </c>
      <c r="E675" s="66">
        <v>676804</v>
      </c>
      <c r="F675" s="66" t="s">
        <v>669</v>
      </c>
      <c r="G675" s="25">
        <f t="shared" si="6"/>
        <v>5.1949472302736943E-4</v>
      </c>
    </row>
    <row r="676" spans="1:7">
      <c r="A676" s="66">
        <v>91.495000000000005</v>
      </c>
      <c r="B676" s="66">
        <v>91.94</v>
      </c>
      <c r="C676" s="66">
        <v>90.722499999999997</v>
      </c>
      <c r="D676" s="66">
        <v>90.8125</v>
      </c>
      <c r="E676" s="66">
        <v>641516</v>
      </c>
      <c r="F676" s="66" t="s">
        <v>670</v>
      </c>
      <c r="G676" s="25">
        <f t="shared" si="6"/>
        <v>7.5154852030283603E-3</v>
      </c>
    </row>
    <row r="677" spans="1:7">
      <c r="A677" s="66">
        <v>90.97</v>
      </c>
      <c r="B677" s="66">
        <v>92.885000000000005</v>
      </c>
      <c r="C677" s="66">
        <v>90.612499999999997</v>
      </c>
      <c r="D677" s="66">
        <v>92.885000000000005</v>
      </c>
      <c r="E677" s="66">
        <v>1133832</v>
      </c>
      <c r="F677" s="66" t="s">
        <v>671</v>
      </c>
      <c r="G677" s="25">
        <f t="shared" si="6"/>
        <v>-2.0616891855520292E-2</v>
      </c>
    </row>
    <row r="678" spans="1:7">
      <c r="A678" s="66">
        <v>93.27</v>
      </c>
      <c r="B678" s="66">
        <v>95.237499999999997</v>
      </c>
      <c r="C678" s="66">
        <v>92.98</v>
      </c>
      <c r="D678" s="66">
        <v>93.517499999999998</v>
      </c>
      <c r="E678" s="66">
        <v>726520</v>
      </c>
      <c r="F678" s="66" t="s">
        <v>672</v>
      </c>
      <c r="G678" s="25">
        <f t="shared" si="6"/>
        <v>-2.6465634774240909E-3</v>
      </c>
    </row>
    <row r="679" spans="1:7">
      <c r="A679" s="66">
        <v>94.61</v>
      </c>
      <c r="B679" s="66">
        <v>95.131249999999994</v>
      </c>
      <c r="C679" s="66">
        <v>94.032499999999999</v>
      </c>
      <c r="D679" s="66">
        <v>94.417500000000004</v>
      </c>
      <c r="E679" s="66">
        <v>597520</v>
      </c>
      <c r="F679" s="66" t="s">
        <v>673</v>
      </c>
      <c r="G679" s="25">
        <f t="shared" si="6"/>
        <v>2.0388169566023517E-3</v>
      </c>
    </row>
    <row r="680" spans="1:7">
      <c r="A680" s="66">
        <v>94.885000000000005</v>
      </c>
      <c r="B680" s="66">
        <v>95.627499999999998</v>
      </c>
      <c r="C680" s="66">
        <v>94.72775</v>
      </c>
      <c r="D680" s="66">
        <v>94.897499999999994</v>
      </c>
      <c r="E680" s="66">
        <v>599840</v>
      </c>
      <c r="F680" s="66" t="s">
        <v>674</v>
      </c>
      <c r="G680" s="25">
        <f t="shared" si="6"/>
        <v>-1.3172106746739409E-4</v>
      </c>
    </row>
    <row r="681" spans="1:7">
      <c r="A681" s="66">
        <v>95</v>
      </c>
      <c r="B681" s="66">
        <v>95.279250000000005</v>
      </c>
      <c r="C681" s="66">
        <v>93.848749999999995</v>
      </c>
      <c r="D681" s="66">
        <v>94.24</v>
      </c>
      <c r="E681" s="66">
        <v>738444</v>
      </c>
      <c r="F681" s="66" t="s">
        <v>675</v>
      </c>
      <c r="G681" s="25">
        <f t="shared" si="6"/>
        <v>8.0645161290322509E-3</v>
      </c>
    </row>
    <row r="682" spans="1:7">
      <c r="A682" s="66">
        <v>94.242500000000007</v>
      </c>
      <c r="B682" s="66">
        <v>94.613749999999996</v>
      </c>
      <c r="C682" s="66">
        <v>92.644999999999996</v>
      </c>
      <c r="D682" s="66">
        <v>93.55</v>
      </c>
      <c r="E682" s="66">
        <v>630620</v>
      </c>
      <c r="F682" s="66" t="s">
        <v>676</v>
      </c>
      <c r="G682" s="25">
        <f t="shared" si="6"/>
        <v>7.4024585783005747E-3</v>
      </c>
    </row>
    <row r="683" spans="1:7">
      <c r="A683" s="66">
        <v>93.35</v>
      </c>
      <c r="B683" s="66">
        <v>93.807500000000005</v>
      </c>
      <c r="C683" s="66">
        <v>92.185000000000002</v>
      </c>
      <c r="D683" s="66">
        <v>92.792500000000004</v>
      </c>
      <c r="E683" s="66">
        <v>824820</v>
      </c>
      <c r="F683" s="66" t="s">
        <v>677</v>
      </c>
      <c r="G683" s="25">
        <f t="shared" si="6"/>
        <v>6.0080286661097215E-3</v>
      </c>
    </row>
    <row r="684" spans="1:7">
      <c r="A684" s="66">
        <v>92.114999999999995</v>
      </c>
      <c r="B684" s="66">
        <v>92.355000000000004</v>
      </c>
      <c r="C684" s="66">
        <v>90.99</v>
      </c>
      <c r="D684" s="66">
        <v>90.99</v>
      </c>
      <c r="E684" s="66">
        <v>499428</v>
      </c>
      <c r="F684" s="66" t="s">
        <v>678</v>
      </c>
      <c r="G684" s="25">
        <f t="shared" si="6"/>
        <v>1.2363996043521341E-2</v>
      </c>
    </row>
    <row r="685" spans="1:7">
      <c r="A685" s="66">
        <v>90.084999999999994</v>
      </c>
      <c r="B685" s="66">
        <v>91.837500000000006</v>
      </c>
      <c r="C685" s="66">
        <v>90.05</v>
      </c>
      <c r="D685" s="66">
        <v>91.422499999999999</v>
      </c>
      <c r="E685" s="66">
        <v>788556</v>
      </c>
      <c r="F685" s="66" t="s">
        <v>679</v>
      </c>
      <c r="G685" s="25">
        <f t="shared" si="6"/>
        <v>-1.4629877765320431E-2</v>
      </c>
    </row>
    <row r="686" spans="1:7">
      <c r="A686" s="66">
        <v>91.35</v>
      </c>
      <c r="B686" s="66">
        <v>92.986249999999998</v>
      </c>
      <c r="C686" s="66">
        <v>90.817499999999995</v>
      </c>
      <c r="D686" s="66">
        <v>91.444999999999993</v>
      </c>
      <c r="E686" s="66">
        <v>1513636</v>
      </c>
      <c r="F686" s="66" t="s">
        <v>680</v>
      </c>
      <c r="G686" s="25">
        <f t="shared" si="6"/>
        <v>-1.0388758269997966E-3</v>
      </c>
    </row>
    <row r="687" spans="1:7">
      <c r="A687" s="66">
        <v>91.42</v>
      </c>
      <c r="B687" s="66">
        <v>92.292500000000004</v>
      </c>
      <c r="C687" s="66">
        <v>90.31</v>
      </c>
      <c r="D687" s="66">
        <v>90.862499999999997</v>
      </c>
      <c r="E687" s="66">
        <v>1183212</v>
      </c>
      <c r="F687" s="66" t="s">
        <v>681</v>
      </c>
      <c r="G687" s="25">
        <f t="shared" si="6"/>
        <v>6.1356445178153418E-3</v>
      </c>
    </row>
    <row r="688" spans="1:7">
      <c r="A688" s="66">
        <v>90.8</v>
      </c>
      <c r="B688" s="66">
        <v>91.512500000000003</v>
      </c>
      <c r="C688" s="66">
        <v>90.484999999999999</v>
      </c>
      <c r="D688" s="66">
        <v>91.284999999999997</v>
      </c>
      <c r="E688" s="66">
        <v>2451620</v>
      </c>
      <c r="F688" s="66" t="s">
        <v>682</v>
      </c>
      <c r="G688" s="25">
        <f t="shared" si="6"/>
        <v>-5.3130306183929443E-3</v>
      </c>
    </row>
    <row r="689" spans="1:7">
      <c r="A689" s="66">
        <v>91.8125</v>
      </c>
      <c r="B689" s="66">
        <v>94.567499999999995</v>
      </c>
      <c r="C689" s="66">
        <v>89.07</v>
      </c>
      <c r="D689" s="66">
        <v>89.592500000000001</v>
      </c>
      <c r="E689" s="66">
        <v>2863508</v>
      </c>
      <c r="F689" s="66" t="s">
        <v>683</v>
      </c>
      <c r="G689" s="25">
        <f t="shared" si="6"/>
        <v>2.4778859837597977E-2</v>
      </c>
    </row>
    <row r="690" spans="1:7">
      <c r="A690" s="66">
        <v>88.902500000000003</v>
      </c>
      <c r="B690" s="66">
        <v>89.26</v>
      </c>
      <c r="C690" s="66">
        <v>84.79</v>
      </c>
      <c r="D690" s="66">
        <v>85.215000000000003</v>
      </c>
      <c r="E690" s="66">
        <v>1492336</v>
      </c>
      <c r="F690" s="66" t="s">
        <v>684</v>
      </c>
      <c r="G690" s="25">
        <f t="shared" si="6"/>
        <v>4.3272897963973378E-2</v>
      </c>
    </row>
    <row r="691" spans="1:7">
      <c r="A691" s="66">
        <v>85.064999999999998</v>
      </c>
      <c r="B691" s="66">
        <v>85.776250000000005</v>
      </c>
      <c r="C691" s="66">
        <v>84.263750000000002</v>
      </c>
      <c r="D691" s="66">
        <v>85.257499999999993</v>
      </c>
      <c r="E691" s="66">
        <v>1039008</v>
      </c>
      <c r="F691" s="66" t="s">
        <v>685</v>
      </c>
      <c r="G691" s="25">
        <f t="shared" si="6"/>
        <v>-2.2578658769022431E-3</v>
      </c>
    </row>
    <row r="692" spans="1:7">
      <c r="A692" s="66">
        <v>84.84</v>
      </c>
      <c r="B692" s="66">
        <v>84.852500000000006</v>
      </c>
      <c r="C692" s="66">
        <v>83.453000000000003</v>
      </c>
      <c r="D692" s="66">
        <v>83.737499999999997</v>
      </c>
      <c r="E692" s="66">
        <v>1359240</v>
      </c>
      <c r="F692" s="66" t="s">
        <v>686</v>
      </c>
      <c r="G692" s="25">
        <f t="shared" si="6"/>
        <v>1.3166144200627006E-2</v>
      </c>
    </row>
    <row r="693" spans="1:7">
      <c r="A693" s="66">
        <v>83.75</v>
      </c>
      <c r="B693" s="66">
        <v>86.501249999999999</v>
      </c>
      <c r="C693" s="66">
        <v>82.692499999999995</v>
      </c>
      <c r="D693" s="66">
        <v>86</v>
      </c>
      <c r="E693" s="66">
        <v>2311204</v>
      </c>
      <c r="F693" s="66" t="s">
        <v>687</v>
      </c>
      <c r="G693" s="25">
        <f t="shared" si="6"/>
        <v>-2.6162790697674465E-2</v>
      </c>
    </row>
    <row r="694" spans="1:7">
      <c r="A694" s="66">
        <v>86.237499999999997</v>
      </c>
      <c r="B694" s="66">
        <v>86.487499999999997</v>
      </c>
      <c r="C694" s="66">
        <v>85.358750000000001</v>
      </c>
      <c r="D694" s="66">
        <v>85.702500000000001</v>
      </c>
      <c r="E694" s="66">
        <v>1072288</v>
      </c>
      <c r="F694" s="66" t="s">
        <v>688</v>
      </c>
      <c r="G694" s="25">
        <f t="shared" si="6"/>
        <v>6.2425250138560262E-3</v>
      </c>
    </row>
    <row r="695" spans="1:7">
      <c r="A695" s="66">
        <v>85.642499999999998</v>
      </c>
      <c r="B695" s="66">
        <v>86.227500000000006</v>
      </c>
      <c r="C695" s="66">
        <v>84.245000000000005</v>
      </c>
      <c r="D695" s="66">
        <v>84.527500000000003</v>
      </c>
      <c r="E695" s="66">
        <v>1428700</v>
      </c>
      <c r="F695" s="66" t="s">
        <v>689</v>
      </c>
      <c r="G695" s="25">
        <f t="shared" si="6"/>
        <v>1.3190973351867585E-2</v>
      </c>
    </row>
    <row r="696" spans="1:7">
      <c r="A696" s="66">
        <v>83.822500000000005</v>
      </c>
      <c r="B696" s="66">
        <v>84.385000000000005</v>
      </c>
      <c r="C696" s="66">
        <v>82.552499999999995</v>
      </c>
      <c r="D696" s="66">
        <v>84.287499999999994</v>
      </c>
      <c r="E696" s="66">
        <v>892228</v>
      </c>
      <c r="F696" s="66" t="s">
        <v>690</v>
      </c>
      <c r="G696" s="25">
        <f t="shared" ref="G696:G759" si="7">A696/D696-1</f>
        <v>-5.5168322705025918E-3</v>
      </c>
    </row>
    <row r="697" spans="1:7">
      <c r="A697" s="66">
        <v>84.58</v>
      </c>
      <c r="B697" s="66">
        <v>85.084999999999994</v>
      </c>
      <c r="C697" s="66">
        <v>84.137500000000003</v>
      </c>
      <c r="D697" s="66">
        <v>84.61</v>
      </c>
      <c r="E697" s="66">
        <v>1087388</v>
      </c>
      <c r="F697" s="66" t="s">
        <v>691</v>
      </c>
      <c r="G697" s="25">
        <f t="shared" si="7"/>
        <v>-3.5456801796474036E-4</v>
      </c>
    </row>
    <row r="698" spans="1:7">
      <c r="A698" s="66">
        <v>85.27</v>
      </c>
      <c r="B698" s="66">
        <v>85.372500000000002</v>
      </c>
      <c r="C698" s="66">
        <v>83.482500000000002</v>
      </c>
      <c r="D698" s="66">
        <v>84.152500000000003</v>
      </c>
      <c r="E698" s="66">
        <v>871020</v>
      </c>
      <c r="F698" s="66" t="s">
        <v>692</v>
      </c>
      <c r="G698" s="25">
        <f t="shared" si="7"/>
        <v>1.327946287989068E-2</v>
      </c>
    </row>
    <row r="699" spans="1:7">
      <c r="A699" s="66">
        <v>84.23</v>
      </c>
      <c r="B699" s="66">
        <v>84.38</v>
      </c>
      <c r="C699" s="66">
        <v>82.215000000000003</v>
      </c>
      <c r="D699" s="66">
        <v>82.97</v>
      </c>
      <c r="E699" s="66">
        <v>1850820</v>
      </c>
      <c r="F699" s="66" t="s">
        <v>693</v>
      </c>
      <c r="G699" s="25">
        <f t="shared" si="7"/>
        <v>1.5186211883813527E-2</v>
      </c>
    </row>
    <row r="700" spans="1:7">
      <c r="A700" s="66">
        <v>82.897499999999994</v>
      </c>
      <c r="B700" s="66">
        <v>84.375</v>
      </c>
      <c r="C700" s="66">
        <v>82.547499999999999</v>
      </c>
      <c r="D700" s="66">
        <v>83.74</v>
      </c>
      <c r="E700" s="66">
        <v>1398900</v>
      </c>
      <c r="F700" s="66" t="s">
        <v>694</v>
      </c>
      <c r="G700" s="25">
        <f t="shared" si="7"/>
        <v>-1.0060902794363558E-2</v>
      </c>
    </row>
    <row r="701" spans="1:7">
      <c r="A701" s="66">
        <v>83.584999999999994</v>
      </c>
      <c r="B701" s="66">
        <v>84.305000000000007</v>
      </c>
      <c r="C701" s="66">
        <v>83.194999999999993</v>
      </c>
      <c r="D701" s="66">
        <v>83.702500000000001</v>
      </c>
      <c r="E701" s="66">
        <v>975320</v>
      </c>
      <c r="F701" s="66" t="s">
        <v>695</v>
      </c>
      <c r="G701" s="25">
        <f t="shared" si="7"/>
        <v>-1.4037812490667045E-3</v>
      </c>
    </row>
    <row r="702" spans="1:7">
      <c r="A702" s="66">
        <v>83.765000000000001</v>
      </c>
      <c r="B702" s="66">
        <v>84.6875</v>
      </c>
      <c r="C702" s="66">
        <v>83.66</v>
      </c>
      <c r="D702" s="66">
        <v>84.15</v>
      </c>
      <c r="E702" s="66">
        <v>1438420</v>
      </c>
      <c r="F702" s="66" t="s">
        <v>696</v>
      </c>
      <c r="G702" s="25">
        <f t="shared" si="7"/>
        <v>-4.5751633986929052E-3</v>
      </c>
    </row>
    <row r="703" spans="1:7">
      <c r="A703" s="66">
        <v>84.834999999999994</v>
      </c>
      <c r="B703" s="66">
        <v>84.987499999999997</v>
      </c>
      <c r="C703" s="66">
        <v>84.13</v>
      </c>
      <c r="D703" s="66">
        <v>84.545000000000002</v>
      </c>
      <c r="E703" s="66">
        <v>288520</v>
      </c>
      <c r="F703" s="66" t="s">
        <v>697</v>
      </c>
      <c r="G703" s="25">
        <f t="shared" si="7"/>
        <v>3.4301259684190732E-3</v>
      </c>
    </row>
    <row r="704" spans="1:7">
      <c r="A704" s="66">
        <v>84.76</v>
      </c>
      <c r="B704" s="66">
        <v>85.724999999999994</v>
      </c>
      <c r="C704" s="66">
        <v>84.542500000000004</v>
      </c>
      <c r="D704" s="66">
        <v>84.977500000000006</v>
      </c>
      <c r="E704" s="66">
        <v>709128</v>
      </c>
      <c r="F704" s="66" t="s">
        <v>698</v>
      </c>
      <c r="G704" s="25">
        <f t="shared" si="7"/>
        <v>-2.5595010443940636E-3</v>
      </c>
    </row>
    <row r="705" spans="1:7">
      <c r="A705" s="66">
        <v>84.347499999999997</v>
      </c>
      <c r="B705" s="66">
        <v>86.242500000000007</v>
      </c>
      <c r="C705" s="66">
        <v>84.125</v>
      </c>
      <c r="D705" s="66">
        <v>84.715000000000003</v>
      </c>
      <c r="E705" s="66">
        <v>1015164</v>
      </c>
      <c r="F705" s="66" t="s">
        <v>699</v>
      </c>
      <c r="G705" s="25">
        <f t="shared" si="7"/>
        <v>-4.3380747211237969E-3</v>
      </c>
    </row>
    <row r="706" spans="1:7">
      <c r="A706" s="66">
        <v>84.502499999999998</v>
      </c>
      <c r="B706" s="66">
        <v>84.666124999999994</v>
      </c>
      <c r="C706" s="66">
        <v>83.6</v>
      </c>
      <c r="D706" s="66">
        <v>83.75</v>
      </c>
      <c r="E706" s="66">
        <v>1433920</v>
      </c>
      <c r="F706" s="66" t="s">
        <v>700</v>
      </c>
      <c r="G706" s="25">
        <f t="shared" si="7"/>
        <v>8.9850746268655968E-3</v>
      </c>
    </row>
    <row r="707" spans="1:7">
      <c r="A707" s="66">
        <v>84.28</v>
      </c>
      <c r="B707" s="66">
        <v>86.017499999999998</v>
      </c>
      <c r="C707" s="66">
        <v>83.71</v>
      </c>
      <c r="D707" s="66">
        <v>86.017499999999998</v>
      </c>
      <c r="E707" s="66">
        <v>1393472</v>
      </c>
      <c r="F707" s="66" t="s">
        <v>701</v>
      </c>
      <c r="G707" s="25">
        <f t="shared" si="7"/>
        <v>-2.0199378033539661E-2</v>
      </c>
    </row>
    <row r="708" spans="1:7">
      <c r="A708" s="66">
        <v>85.142499999999998</v>
      </c>
      <c r="B708" s="66">
        <v>86.78</v>
      </c>
      <c r="C708" s="66">
        <v>85.027500000000003</v>
      </c>
      <c r="D708" s="66">
        <v>86.165000000000006</v>
      </c>
      <c r="E708" s="66">
        <v>870572</v>
      </c>
      <c r="F708" s="66" t="s">
        <v>702</v>
      </c>
      <c r="G708" s="25">
        <f t="shared" si="7"/>
        <v>-1.1866767248883026E-2</v>
      </c>
    </row>
    <row r="709" spans="1:7">
      <c r="A709" s="66">
        <v>85.377499999999998</v>
      </c>
      <c r="B709" s="66">
        <v>86.5</v>
      </c>
      <c r="C709" s="66">
        <v>84.77</v>
      </c>
      <c r="D709" s="66">
        <v>85.382499999999993</v>
      </c>
      <c r="E709" s="66">
        <v>1195188</v>
      </c>
      <c r="F709" s="66" t="s">
        <v>703</v>
      </c>
      <c r="G709" s="25">
        <f t="shared" si="7"/>
        <v>-5.8560009369545973E-5</v>
      </c>
    </row>
    <row r="710" spans="1:7">
      <c r="A710" s="66">
        <v>85.737499999999997</v>
      </c>
      <c r="B710" s="66">
        <v>86.082499999999996</v>
      </c>
      <c r="C710" s="66">
        <v>84.042500000000004</v>
      </c>
      <c r="D710" s="66">
        <v>84.042500000000004</v>
      </c>
      <c r="E710" s="66">
        <v>878172</v>
      </c>
      <c r="F710" s="66" t="s">
        <v>704</v>
      </c>
      <c r="G710" s="25">
        <f t="shared" si="7"/>
        <v>2.0168367195169123E-2</v>
      </c>
    </row>
    <row r="711" spans="1:7">
      <c r="A711" s="66">
        <v>82.642499999999998</v>
      </c>
      <c r="B711" s="66">
        <v>83.155000000000001</v>
      </c>
      <c r="C711" s="66">
        <v>81.992500000000007</v>
      </c>
      <c r="D711" s="66">
        <v>82.484999999999999</v>
      </c>
      <c r="E711" s="66">
        <v>650760</v>
      </c>
      <c r="F711" s="66" t="s">
        <v>705</v>
      </c>
      <c r="G711" s="25">
        <f t="shared" si="7"/>
        <v>1.909438079650938E-3</v>
      </c>
    </row>
    <row r="712" spans="1:7">
      <c r="A712" s="66">
        <v>82.32</v>
      </c>
      <c r="B712" s="66">
        <v>84.754750000000001</v>
      </c>
      <c r="C712" s="66">
        <v>80.479349999999997</v>
      </c>
      <c r="D712" s="66">
        <v>81.702500000000001</v>
      </c>
      <c r="E712" s="66">
        <v>715812</v>
      </c>
      <c r="F712" s="66" t="s">
        <v>706</v>
      </c>
      <c r="G712" s="25">
        <f t="shared" si="7"/>
        <v>7.5579082647407869E-3</v>
      </c>
    </row>
    <row r="713" spans="1:7">
      <c r="A713" s="66">
        <v>81.42</v>
      </c>
      <c r="B713" s="66">
        <v>83.39</v>
      </c>
      <c r="C713" s="66">
        <v>80.989999999999995</v>
      </c>
      <c r="D713" s="66">
        <v>83.39</v>
      </c>
      <c r="E713" s="66">
        <v>1022532</v>
      </c>
      <c r="F713" s="66" t="s">
        <v>707</v>
      </c>
      <c r="G713" s="25">
        <f t="shared" si="7"/>
        <v>-2.3623935723707912E-2</v>
      </c>
    </row>
    <row r="714" spans="1:7">
      <c r="A714" s="66">
        <v>83.167500000000004</v>
      </c>
      <c r="B714" s="66">
        <v>84.917500000000004</v>
      </c>
      <c r="C714" s="66">
        <v>82.65</v>
      </c>
      <c r="D714" s="66">
        <v>83.842500000000001</v>
      </c>
      <c r="E714" s="66">
        <v>693256</v>
      </c>
      <c r="F714" s="66" t="s">
        <v>708</v>
      </c>
      <c r="G714" s="25">
        <f t="shared" si="7"/>
        <v>-8.0508095536273583E-3</v>
      </c>
    </row>
    <row r="715" spans="1:7">
      <c r="A715" s="66">
        <v>83.4375</v>
      </c>
      <c r="B715" s="66">
        <v>83.582499999999996</v>
      </c>
      <c r="C715" s="66">
        <v>82.814999999999998</v>
      </c>
      <c r="D715" s="66">
        <v>83.442499999999995</v>
      </c>
      <c r="E715" s="66">
        <v>810124</v>
      </c>
      <c r="F715" s="66" t="s">
        <v>709</v>
      </c>
      <c r="G715" s="25">
        <f t="shared" si="7"/>
        <v>-5.9921502831183915E-5</v>
      </c>
    </row>
    <row r="716" spans="1:7">
      <c r="A716" s="66">
        <v>83.627499999999998</v>
      </c>
      <c r="B716" s="66">
        <v>84.117500000000007</v>
      </c>
      <c r="C716" s="66">
        <v>82.913475000000005</v>
      </c>
      <c r="D716" s="66">
        <v>83.527500000000003</v>
      </c>
      <c r="E716" s="66">
        <v>1180260</v>
      </c>
      <c r="F716" s="66" t="s">
        <v>710</v>
      </c>
      <c r="G716" s="25">
        <f t="shared" si="7"/>
        <v>1.1972104995359167E-3</v>
      </c>
    </row>
    <row r="717" spans="1:7">
      <c r="A717" s="66">
        <v>83.66</v>
      </c>
      <c r="B717" s="66">
        <v>84.378749999999997</v>
      </c>
      <c r="C717" s="66">
        <v>82.34</v>
      </c>
      <c r="D717" s="66">
        <v>82.752499999999998</v>
      </c>
      <c r="E717" s="66">
        <v>1120028</v>
      </c>
      <c r="F717" s="66" t="s">
        <v>711</v>
      </c>
      <c r="G717" s="25">
        <f t="shared" si="7"/>
        <v>1.0966436059333562E-2</v>
      </c>
    </row>
    <row r="718" spans="1:7">
      <c r="A718" s="66">
        <v>81.84</v>
      </c>
      <c r="B718" s="66">
        <v>82.166250000000005</v>
      </c>
      <c r="C718" s="66">
        <v>78.627499999999998</v>
      </c>
      <c r="D718" s="66">
        <v>79.257499999999993</v>
      </c>
      <c r="E718" s="66">
        <v>1211920</v>
      </c>
      <c r="F718" s="66" t="s">
        <v>712</v>
      </c>
      <c r="G718" s="25">
        <f t="shared" si="7"/>
        <v>3.2583667160836605E-2</v>
      </c>
    </row>
    <row r="719" spans="1:7">
      <c r="A719" s="66">
        <v>79.23</v>
      </c>
      <c r="B719" s="66">
        <v>79.444999999999993</v>
      </c>
      <c r="C719" s="66">
        <v>77.592500000000001</v>
      </c>
      <c r="D719" s="66">
        <v>78.007499999999993</v>
      </c>
      <c r="E719" s="66">
        <v>837820</v>
      </c>
      <c r="F719" s="66" t="s">
        <v>713</v>
      </c>
      <c r="G719" s="25">
        <f t="shared" si="7"/>
        <v>1.5671570041342342E-2</v>
      </c>
    </row>
    <row r="720" spans="1:7">
      <c r="A720" s="66">
        <v>77.9375</v>
      </c>
      <c r="B720" s="66">
        <v>78.146249999999995</v>
      </c>
      <c r="C720" s="66">
        <v>77.010000000000005</v>
      </c>
      <c r="D720" s="66">
        <v>77.802499999999995</v>
      </c>
      <c r="E720" s="66">
        <v>1283368</v>
      </c>
      <c r="F720" s="66" t="s">
        <v>714</v>
      </c>
      <c r="G720" s="25">
        <f t="shared" si="7"/>
        <v>1.7351627518396029E-3</v>
      </c>
    </row>
    <row r="721" spans="1:7">
      <c r="A721" s="66">
        <v>77.385000000000005</v>
      </c>
      <c r="B721" s="66">
        <v>77.657499999999999</v>
      </c>
      <c r="C721" s="66">
        <v>75.935000000000002</v>
      </c>
      <c r="D721" s="66">
        <v>77.599999999999994</v>
      </c>
      <c r="E721" s="66">
        <v>1139948</v>
      </c>
      <c r="F721" s="66" t="s">
        <v>715</v>
      </c>
      <c r="G721" s="25">
        <f t="shared" si="7"/>
        <v>-2.7706185567009101E-3</v>
      </c>
    </row>
    <row r="722" spans="1:7">
      <c r="A722" s="66">
        <v>76.72</v>
      </c>
      <c r="B722" s="66">
        <v>78.142499999999998</v>
      </c>
      <c r="C722" s="66">
        <v>76.363749999999996</v>
      </c>
      <c r="D722" s="66">
        <v>77.34</v>
      </c>
      <c r="E722" s="66">
        <v>703428</v>
      </c>
      <c r="F722" s="66" t="s">
        <v>716</v>
      </c>
      <c r="G722" s="25">
        <f t="shared" si="7"/>
        <v>-8.0165502973882363E-3</v>
      </c>
    </row>
    <row r="723" spans="1:7">
      <c r="A723" s="66">
        <v>76.965000000000003</v>
      </c>
      <c r="B723" s="66">
        <v>78.69</v>
      </c>
      <c r="C723" s="66">
        <v>76.89</v>
      </c>
      <c r="D723" s="66">
        <v>78.575000000000003</v>
      </c>
      <c r="E723" s="66">
        <v>1004048</v>
      </c>
      <c r="F723" s="66" t="s">
        <v>717</v>
      </c>
      <c r="G723" s="25">
        <f t="shared" si="7"/>
        <v>-2.0489977728285091E-2</v>
      </c>
    </row>
    <row r="724" spans="1:7">
      <c r="A724" s="66">
        <v>78.805000000000007</v>
      </c>
      <c r="B724" s="66">
        <v>79.997500000000002</v>
      </c>
      <c r="C724" s="66">
        <v>78.415000000000006</v>
      </c>
      <c r="D724" s="66">
        <v>79.997500000000002</v>
      </c>
      <c r="E724" s="66">
        <v>767640</v>
      </c>
      <c r="F724" s="66" t="s">
        <v>718</v>
      </c>
      <c r="G724" s="25">
        <f t="shared" si="7"/>
        <v>-1.4906715834869799E-2</v>
      </c>
    </row>
    <row r="725" spans="1:7">
      <c r="A725" s="66">
        <v>80.377499999999998</v>
      </c>
      <c r="B725" s="66">
        <v>81.222499999999997</v>
      </c>
      <c r="C725" s="66">
        <v>80.252499999999998</v>
      </c>
      <c r="D725" s="66">
        <v>80.257499999999993</v>
      </c>
      <c r="E725" s="66">
        <v>875156</v>
      </c>
      <c r="F725" s="66" t="s">
        <v>719</v>
      </c>
      <c r="G725" s="25">
        <f t="shared" si="7"/>
        <v>1.4951873656667836E-3</v>
      </c>
    </row>
    <row r="726" spans="1:7">
      <c r="A726" s="66">
        <v>80.599999999999994</v>
      </c>
      <c r="B726" s="66">
        <v>81.752499999999998</v>
      </c>
      <c r="C726" s="66">
        <v>80.545000000000002</v>
      </c>
      <c r="D726" s="66">
        <v>81.114999999999995</v>
      </c>
      <c r="E726" s="66">
        <v>866156</v>
      </c>
      <c r="F726" s="66" t="s">
        <v>720</v>
      </c>
      <c r="G726" s="25">
        <f t="shared" si="7"/>
        <v>-6.3490106638722787E-3</v>
      </c>
    </row>
    <row r="727" spans="1:7">
      <c r="A727" s="66">
        <v>81.117500000000007</v>
      </c>
      <c r="B727" s="66">
        <v>81.99</v>
      </c>
      <c r="C727" s="66">
        <v>81.094999999999999</v>
      </c>
      <c r="D727" s="66">
        <v>81.332499999999996</v>
      </c>
      <c r="E727" s="66">
        <v>760536</v>
      </c>
      <c r="F727" s="66" t="s">
        <v>721</v>
      </c>
      <c r="G727" s="25">
        <f t="shared" si="7"/>
        <v>-2.6434697076812563E-3</v>
      </c>
    </row>
    <row r="728" spans="1:7">
      <c r="A728" s="66">
        <v>80.95</v>
      </c>
      <c r="B728" s="66">
        <v>82.912499999999994</v>
      </c>
      <c r="C728" s="66">
        <v>80.78</v>
      </c>
      <c r="D728" s="66">
        <v>81.63</v>
      </c>
      <c r="E728" s="66">
        <v>947896</v>
      </c>
      <c r="F728" s="66" t="s">
        <v>722</v>
      </c>
      <c r="G728" s="25">
        <f t="shared" si="7"/>
        <v>-8.3302707337987725E-3</v>
      </c>
    </row>
    <row r="729" spans="1:7">
      <c r="A729" s="66">
        <v>81.712500000000006</v>
      </c>
      <c r="B729" s="66">
        <v>83.18</v>
      </c>
      <c r="C729" s="66">
        <v>81.625</v>
      </c>
      <c r="D729" s="66">
        <v>82.58</v>
      </c>
      <c r="E729" s="66">
        <v>1090292</v>
      </c>
      <c r="F729" s="66" t="s">
        <v>723</v>
      </c>
      <c r="G729" s="25">
        <f t="shared" si="7"/>
        <v>-1.0504964882538048E-2</v>
      </c>
    </row>
    <row r="730" spans="1:7">
      <c r="A730" s="66">
        <v>82.507499999999993</v>
      </c>
      <c r="B730" s="66">
        <v>83.297499999999999</v>
      </c>
      <c r="C730" s="66">
        <v>81.275000000000006</v>
      </c>
      <c r="D730" s="66">
        <v>82.152500000000003</v>
      </c>
      <c r="E730" s="66">
        <v>1249076</v>
      </c>
      <c r="F730" s="66" t="s">
        <v>724</v>
      </c>
      <c r="G730" s="25">
        <f t="shared" si="7"/>
        <v>4.3212318553906837E-3</v>
      </c>
    </row>
    <row r="731" spans="1:7">
      <c r="A731" s="66">
        <v>82.9</v>
      </c>
      <c r="B731" s="66">
        <v>83.075000000000003</v>
      </c>
      <c r="C731" s="66">
        <v>80.662499999999994</v>
      </c>
      <c r="D731" s="66">
        <v>82.17</v>
      </c>
      <c r="E731" s="66">
        <v>1686212</v>
      </c>
      <c r="F731" s="66" t="s">
        <v>725</v>
      </c>
      <c r="G731" s="25">
        <f t="shared" si="7"/>
        <v>8.8840209322138541E-3</v>
      </c>
    </row>
    <row r="732" spans="1:7">
      <c r="A732" s="66">
        <v>81.385000000000005</v>
      </c>
      <c r="B732" s="66">
        <v>81.507499999999993</v>
      </c>
      <c r="C732" s="66">
        <v>77.602500000000006</v>
      </c>
      <c r="D732" s="66">
        <v>77.989999999999995</v>
      </c>
      <c r="E732" s="66">
        <v>2200800</v>
      </c>
      <c r="F732" s="66" t="s">
        <v>726</v>
      </c>
      <c r="G732" s="25">
        <f t="shared" si="7"/>
        <v>4.3531221951532473E-2</v>
      </c>
    </row>
    <row r="733" spans="1:7">
      <c r="A733" s="66">
        <v>77.6875</v>
      </c>
      <c r="B733" s="66">
        <v>78.992500000000007</v>
      </c>
      <c r="C733" s="66">
        <v>77.13</v>
      </c>
      <c r="D733" s="66">
        <v>77.6875</v>
      </c>
      <c r="E733" s="66">
        <v>2189340</v>
      </c>
      <c r="F733" s="66" t="s">
        <v>727</v>
      </c>
      <c r="G733" s="25">
        <f t="shared" si="7"/>
        <v>0</v>
      </c>
    </row>
    <row r="734" spans="1:7">
      <c r="A734" s="66">
        <v>77.6875</v>
      </c>
      <c r="B734" s="66">
        <v>78.87</v>
      </c>
      <c r="C734" s="66">
        <v>76.83</v>
      </c>
      <c r="D734" s="66">
        <v>78.87</v>
      </c>
      <c r="E734" s="66">
        <v>1151464</v>
      </c>
      <c r="F734" s="66" t="s">
        <v>728</v>
      </c>
      <c r="G734" s="25">
        <f t="shared" si="7"/>
        <v>-1.4993026499302675E-2</v>
      </c>
    </row>
    <row r="735" spans="1:7">
      <c r="A735" s="66">
        <v>79.03</v>
      </c>
      <c r="B735" s="66">
        <v>79.252499999999998</v>
      </c>
      <c r="C735" s="66">
        <v>77.537499999999994</v>
      </c>
      <c r="D735" s="66">
        <v>77.995000000000005</v>
      </c>
      <c r="E735" s="66">
        <v>1206796</v>
      </c>
      <c r="F735" s="66" t="s">
        <v>729</v>
      </c>
      <c r="G735" s="25">
        <f t="shared" si="7"/>
        <v>1.3270081415475365E-2</v>
      </c>
    </row>
    <row r="736" spans="1:7">
      <c r="A736" s="66">
        <v>77.702500000000001</v>
      </c>
      <c r="B736" s="66">
        <v>78.694999999999993</v>
      </c>
      <c r="C736" s="66">
        <v>77.142499999999998</v>
      </c>
      <c r="D736" s="66">
        <v>77.900000000000006</v>
      </c>
      <c r="E736" s="66">
        <v>1934912</v>
      </c>
      <c r="F736" s="66" t="s">
        <v>730</v>
      </c>
      <c r="G736" s="25">
        <f t="shared" si="7"/>
        <v>-2.5353016688062224E-3</v>
      </c>
    </row>
    <row r="737" spans="1:7">
      <c r="A737" s="66">
        <v>78.364999999999995</v>
      </c>
      <c r="B737" s="66">
        <v>78.967500000000001</v>
      </c>
      <c r="C737" s="66">
        <v>76.337500000000006</v>
      </c>
      <c r="D737" s="66">
        <v>77.355000000000004</v>
      </c>
      <c r="E737" s="66">
        <v>1875464</v>
      </c>
      <c r="F737" s="66" t="s">
        <v>731</v>
      </c>
      <c r="G737" s="25">
        <f t="shared" si="7"/>
        <v>1.305668670415594E-2</v>
      </c>
    </row>
    <row r="738" spans="1:7">
      <c r="A738" s="66">
        <v>77.877499999999998</v>
      </c>
      <c r="B738" s="66">
        <v>78.442499999999995</v>
      </c>
      <c r="C738" s="66">
        <v>77.102500000000006</v>
      </c>
      <c r="D738" s="66">
        <v>78.442499999999995</v>
      </c>
      <c r="E738" s="66">
        <v>919752</v>
      </c>
      <c r="F738" s="66" t="s">
        <v>732</v>
      </c>
      <c r="G738" s="25">
        <f t="shared" si="7"/>
        <v>-7.2027281129489751E-3</v>
      </c>
    </row>
    <row r="739" spans="1:7">
      <c r="A739" s="66">
        <v>78.717500000000001</v>
      </c>
      <c r="B739" s="66">
        <v>79.135000000000005</v>
      </c>
      <c r="C739" s="66">
        <v>77.807500000000005</v>
      </c>
      <c r="D739" s="66">
        <v>78.444999999999993</v>
      </c>
      <c r="E739" s="66">
        <v>1077240</v>
      </c>
      <c r="F739" s="66" t="s">
        <v>733</v>
      </c>
      <c r="G739" s="25">
        <f t="shared" si="7"/>
        <v>3.4737714322137236E-3</v>
      </c>
    </row>
    <row r="740" spans="1:7">
      <c r="A740" s="66">
        <v>78.227500000000006</v>
      </c>
      <c r="B740" s="66">
        <v>78.525000000000006</v>
      </c>
      <c r="C740" s="66">
        <v>77.297499999999999</v>
      </c>
      <c r="D740" s="66">
        <v>77.5</v>
      </c>
      <c r="E740" s="66">
        <v>1178732</v>
      </c>
      <c r="F740" s="66" t="s">
        <v>734</v>
      </c>
      <c r="G740" s="25">
        <f t="shared" si="7"/>
        <v>9.3870967741935818E-3</v>
      </c>
    </row>
    <row r="741" spans="1:7">
      <c r="A741" s="66">
        <v>77.974999999999994</v>
      </c>
      <c r="B741" s="66">
        <v>79.400000000000006</v>
      </c>
      <c r="C741" s="66">
        <v>77.426000000000002</v>
      </c>
      <c r="D741" s="66">
        <v>78.790000000000006</v>
      </c>
      <c r="E741" s="66">
        <v>1311080</v>
      </c>
      <c r="F741" s="66" t="s">
        <v>735</v>
      </c>
      <c r="G741" s="25">
        <f t="shared" si="7"/>
        <v>-1.0343952278208057E-2</v>
      </c>
    </row>
    <row r="742" spans="1:7">
      <c r="A742" s="66">
        <v>79.502499999999998</v>
      </c>
      <c r="B742" s="66">
        <v>81.133750000000006</v>
      </c>
      <c r="C742" s="66">
        <v>79.332499999999996</v>
      </c>
      <c r="D742" s="66">
        <v>80.242500000000007</v>
      </c>
      <c r="E742" s="66">
        <v>1246104</v>
      </c>
      <c r="F742" s="66" t="s">
        <v>736</v>
      </c>
      <c r="G742" s="25">
        <f t="shared" si="7"/>
        <v>-9.2220456740506052E-3</v>
      </c>
    </row>
    <row r="743" spans="1:7">
      <c r="A743" s="66">
        <v>79.842500000000001</v>
      </c>
      <c r="B743" s="66">
        <v>80.077500000000001</v>
      </c>
      <c r="C743" s="66">
        <v>79.03</v>
      </c>
      <c r="D743" s="66">
        <v>79.099999999999994</v>
      </c>
      <c r="E743" s="66">
        <v>1927924</v>
      </c>
      <c r="F743" s="66" t="s">
        <v>737</v>
      </c>
      <c r="G743" s="25">
        <f t="shared" si="7"/>
        <v>9.3868520859672344E-3</v>
      </c>
    </row>
    <row r="744" spans="1:7">
      <c r="A744" s="66">
        <v>78.98</v>
      </c>
      <c r="B744" s="66">
        <v>81.819999999999993</v>
      </c>
      <c r="C744" s="66">
        <v>78.448750000000004</v>
      </c>
      <c r="D744" s="66">
        <v>80.545000000000002</v>
      </c>
      <c r="E744" s="66">
        <v>3007744</v>
      </c>
      <c r="F744" s="66" t="s">
        <v>738</v>
      </c>
      <c r="G744" s="25">
        <f t="shared" si="7"/>
        <v>-1.9430132224222407E-2</v>
      </c>
    </row>
    <row r="745" spans="1:7">
      <c r="A745" s="66">
        <v>80.517499999999998</v>
      </c>
      <c r="B745" s="66">
        <v>82.655000000000001</v>
      </c>
      <c r="C745" s="66">
        <v>80.417500000000004</v>
      </c>
      <c r="D745" s="66">
        <v>82.655000000000001</v>
      </c>
      <c r="E745" s="66">
        <v>1131172</v>
      </c>
      <c r="F745" s="66" t="s">
        <v>739</v>
      </c>
      <c r="G745" s="25">
        <f t="shared" si="7"/>
        <v>-2.5860504506684423E-2</v>
      </c>
    </row>
    <row r="746" spans="1:7">
      <c r="A746" s="66">
        <v>82.837500000000006</v>
      </c>
      <c r="B746" s="66">
        <v>83.46875</v>
      </c>
      <c r="C746" s="66">
        <v>81.917500000000004</v>
      </c>
      <c r="D746" s="66">
        <v>81.997500000000002</v>
      </c>
      <c r="E746" s="66">
        <v>1168380</v>
      </c>
      <c r="F746" s="66" t="s">
        <v>740</v>
      </c>
      <c r="G746" s="25">
        <f t="shared" si="7"/>
        <v>1.0244214762645143E-2</v>
      </c>
    </row>
    <row r="747" spans="1:7">
      <c r="A747" s="66">
        <v>82.217500000000001</v>
      </c>
      <c r="B747" s="66">
        <v>82.952500000000001</v>
      </c>
      <c r="C747" s="66">
        <v>81.545000000000002</v>
      </c>
      <c r="D747" s="66">
        <v>82.317499999999995</v>
      </c>
      <c r="E747" s="66">
        <v>626256</v>
      </c>
      <c r="F747" s="66" t="s">
        <v>741</v>
      </c>
      <c r="G747" s="25">
        <f t="shared" si="7"/>
        <v>-1.214808515807575E-3</v>
      </c>
    </row>
    <row r="748" spans="1:7">
      <c r="A748" s="66">
        <v>82.097499999999997</v>
      </c>
      <c r="B748" s="66">
        <v>83.822500000000005</v>
      </c>
      <c r="C748" s="66">
        <v>82.008750000000006</v>
      </c>
      <c r="D748" s="66">
        <v>83.727500000000006</v>
      </c>
      <c r="E748" s="66">
        <v>665512</v>
      </c>
      <c r="F748" s="66" t="s">
        <v>742</v>
      </c>
      <c r="G748" s="25">
        <f t="shared" si="7"/>
        <v>-1.946791675375481E-2</v>
      </c>
    </row>
    <row r="749" spans="1:7">
      <c r="A749" s="66">
        <v>84.155000000000001</v>
      </c>
      <c r="B749" s="66">
        <v>85.204999999999998</v>
      </c>
      <c r="C749" s="66">
        <v>83.972499999999997</v>
      </c>
      <c r="D749" s="66">
        <v>84.73</v>
      </c>
      <c r="E749" s="66">
        <v>625504</v>
      </c>
      <c r="F749" s="66" t="s">
        <v>743</v>
      </c>
      <c r="G749" s="25">
        <f t="shared" si="7"/>
        <v>-6.7862622447775189E-3</v>
      </c>
    </row>
    <row r="750" spans="1:7">
      <c r="A750" s="66">
        <v>84.18</v>
      </c>
      <c r="B750" s="66">
        <v>84.58</v>
      </c>
      <c r="C750" s="66">
        <v>83.622500000000002</v>
      </c>
      <c r="D750" s="66">
        <v>84.217500000000001</v>
      </c>
      <c r="E750" s="66">
        <v>764652</v>
      </c>
      <c r="F750" s="66" t="s">
        <v>744</v>
      </c>
      <c r="G750" s="25">
        <f t="shared" si="7"/>
        <v>-4.452756256121404E-4</v>
      </c>
    </row>
    <row r="751" spans="1:7">
      <c r="A751" s="66">
        <v>84.364999999999995</v>
      </c>
      <c r="B751" s="66">
        <v>85.662499999999994</v>
      </c>
      <c r="C751" s="66">
        <v>84.322500000000005</v>
      </c>
      <c r="D751" s="66">
        <v>85.397499999999994</v>
      </c>
      <c r="E751" s="66">
        <v>738324</v>
      </c>
      <c r="F751" s="66" t="s">
        <v>745</v>
      </c>
      <c r="G751" s="25">
        <f t="shared" si="7"/>
        <v>-1.2090517872303086E-2</v>
      </c>
    </row>
    <row r="752" spans="1:7">
      <c r="A752" s="66">
        <v>85.59</v>
      </c>
      <c r="B752" s="66">
        <v>86.15625</v>
      </c>
      <c r="C752" s="66">
        <v>84.905000000000001</v>
      </c>
      <c r="D752" s="66">
        <v>85.057500000000005</v>
      </c>
      <c r="E752" s="66">
        <v>1683156</v>
      </c>
      <c r="F752" s="66" t="s">
        <v>746</v>
      </c>
      <c r="G752" s="25">
        <f t="shared" si="7"/>
        <v>6.2604708579490076E-3</v>
      </c>
    </row>
    <row r="753" spans="1:7">
      <c r="A753" s="66">
        <v>85.03</v>
      </c>
      <c r="B753" s="66">
        <v>86.805000000000007</v>
      </c>
      <c r="C753" s="66">
        <v>84.782499999999999</v>
      </c>
      <c r="D753" s="66">
        <v>86.724999999999994</v>
      </c>
      <c r="E753" s="66">
        <v>2629524</v>
      </c>
      <c r="F753" s="66" t="s">
        <v>747</v>
      </c>
      <c r="G753" s="25">
        <f t="shared" si="7"/>
        <v>-1.9544537330642764E-2</v>
      </c>
    </row>
    <row r="754" spans="1:7">
      <c r="A754" s="66">
        <v>86.157499999999999</v>
      </c>
      <c r="B754" s="66">
        <v>86.842500000000001</v>
      </c>
      <c r="C754" s="66">
        <v>85.573750000000004</v>
      </c>
      <c r="D754" s="66">
        <v>86.605000000000004</v>
      </c>
      <c r="E754" s="66">
        <v>1109728</v>
      </c>
      <c r="F754" s="66" t="s">
        <v>748</v>
      </c>
      <c r="G754" s="25">
        <f t="shared" si="7"/>
        <v>-5.1671381559956764E-3</v>
      </c>
    </row>
    <row r="755" spans="1:7">
      <c r="A755" s="66">
        <v>86.96</v>
      </c>
      <c r="B755" s="66">
        <v>87.63</v>
      </c>
      <c r="C755" s="66">
        <v>86.796250000000001</v>
      </c>
      <c r="D755" s="66">
        <v>87.63</v>
      </c>
      <c r="E755" s="66">
        <v>949116</v>
      </c>
      <c r="F755" s="66" t="s">
        <v>749</v>
      </c>
      <c r="G755" s="25">
        <f t="shared" si="7"/>
        <v>-7.6457834075088771E-3</v>
      </c>
    </row>
    <row r="756" spans="1:7">
      <c r="A756" s="66">
        <v>87.897499999999994</v>
      </c>
      <c r="B756" s="66">
        <v>88.098749999999995</v>
      </c>
      <c r="C756" s="66">
        <v>87.297499999999999</v>
      </c>
      <c r="D756" s="66">
        <v>87.9</v>
      </c>
      <c r="E756" s="66">
        <v>1068616</v>
      </c>
      <c r="F756" s="66" t="s">
        <v>750</v>
      </c>
      <c r="G756" s="25">
        <f t="shared" si="7"/>
        <v>-2.8441410694135527E-5</v>
      </c>
    </row>
    <row r="757" spans="1:7">
      <c r="A757" s="66">
        <v>87.502499999999998</v>
      </c>
      <c r="B757" s="66">
        <v>89.78</v>
      </c>
      <c r="C757" s="66">
        <v>86.967500000000001</v>
      </c>
      <c r="D757" s="66">
        <v>88.27</v>
      </c>
      <c r="E757" s="66">
        <v>824352</v>
      </c>
      <c r="F757" s="66" t="s">
        <v>751</v>
      </c>
      <c r="G757" s="25">
        <f t="shared" si="7"/>
        <v>-8.6949133340885609E-3</v>
      </c>
    </row>
    <row r="758" spans="1:7">
      <c r="A758" s="66">
        <v>88.435000000000002</v>
      </c>
      <c r="B758" s="66">
        <v>89.407499999999999</v>
      </c>
      <c r="C758" s="66">
        <v>88.167500000000004</v>
      </c>
      <c r="D758" s="66">
        <v>89.217500000000001</v>
      </c>
      <c r="E758" s="66">
        <v>1043088</v>
      </c>
      <c r="F758" s="66" t="s">
        <v>752</v>
      </c>
      <c r="G758" s="25">
        <f t="shared" si="7"/>
        <v>-8.7707008154229715E-3</v>
      </c>
    </row>
    <row r="759" spans="1:7">
      <c r="A759" s="66">
        <v>89.162499999999994</v>
      </c>
      <c r="B759" s="66">
        <v>90.1</v>
      </c>
      <c r="C759" s="66">
        <v>87.65</v>
      </c>
      <c r="D759" s="66">
        <v>87.965000000000003</v>
      </c>
      <c r="E759" s="66">
        <v>1775724</v>
      </c>
      <c r="F759" s="66" t="s">
        <v>753</v>
      </c>
      <c r="G759" s="25">
        <f t="shared" si="7"/>
        <v>1.3613368953560911E-2</v>
      </c>
    </row>
    <row r="760" spans="1:7">
      <c r="A760" s="66">
        <v>88.052499999999995</v>
      </c>
      <c r="B760" s="66">
        <v>90.875</v>
      </c>
      <c r="C760" s="66">
        <v>88.01</v>
      </c>
      <c r="D760" s="66">
        <v>90.875</v>
      </c>
      <c r="E760" s="66">
        <v>1307076</v>
      </c>
      <c r="F760" s="66" t="s">
        <v>754</v>
      </c>
      <c r="G760" s="25">
        <f t="shared" ref="G760:G823" si="8">A760/D760-1</f>
        <v>-3.1059147180192648E-2</v>
      </c>
    </row>
    <row r="761" spans="1:7">
      <c r="A761" s="66">
        <v>91.172499999999999</v>
      </c>
      <c r="B761" s="66">
        <v>93.18</v>
      </c>
      <c r="C761" s="66">
        <v>89.916250000000005</v>
      </c>
      <c r="D761" s="66">
        <v>93.18</v>
      </c>
      <c r="E761" s="66">
        <v>1750228</v>
      </c>
      <c r="F761" s="66" t="s">
        <v>755</v>
      </c>
      <c r="G761" s="25">
        <f t="shared" si="8"/>
        <v>-2.1544322816055006E-2</v>
      </c>
    </row>
    <row r="762" spans="1:7">
      <c r="A762" s="66">
        <v>92.497500000000002</v>
      </c>
      <c r="B762" s="66">
        <v>94.572500000000005</v>
      </c>
      <c r="C762" s="66">
        <v>92.167500000000004</v>
      </c>
      <c r="D762" s="66">
        <v>94.572500000000005</v>
      </c>
      <c r="E762" s="66">
        <v>2200188</v>
      </c>
      <c r="F762" s="66" t="s">
        <v>756</v>
      </c>
      <c r="G762" s="25">
        <f t="shared" si="8"/>
        <v>-2.1940839038832705E-2</v>
      </c>
    </row>
    <row r="763" spans="1:7">
      <c r="A763" s="66">
        <v>95.215000000000003</v>
      </c>
      <c r="B763" s="66">
        <v>95.785875000000004</v>
      </c>
      <c r="C763" s="66">
        <v>94.53</v>
      </c>
      <c r="D763" s="66">
        <v>94.53</v>
      </c>
      <c r="E763" s="66">
        <v>824636</v>
      </c>
      <c r="F763" s="66" t="s">
        <v>757</v>
      </c>
      <c r="G763" s="25">
        <f t="shared" si="8"/>
        <v>7.2463768115942351E-3</v>
      </c>
    </row>
    <row r="764" spans="1:7">
      <c r="A764" s="66">
        <v>94.527500000000003</v>
      </c>
      <c r="B764" s="66">
        <v>94.657499999999999</v>
      </c>
      <c r="C764" s="66">
        <v>93.407749999999993</v>
      </c>
      <c r="D764" s="66">
        <v>93.534999999999997</v>
      </c>
      <c r="E764" s="66">
        <v>1036324</v>
      </c>
      <c r="F764" s="66" t="s">
        <v>758</v>
      </c>
      <c r="G764" s="25">
        <f t="shared" si="8"/>
        <v>1.0611001229486439E-2</v>
      </c>
    </row>
    <row r="765" spans="1:7">
      <c r="A765" s="66">
        <v>93.34</v>
      </c>
      <c r="B765" s="66">
        <v>94.22</v>
      </c>
      <c r="C765" s="66">
        <v>92.742500000000007</v>
      </c>
      <c r="D765" s="66">
        <v>93.557500000000005</v>
      </c>
      <c r="E765" s="66">
        <v>1057108</v>
      </c>
      <c r="F765" s="66" t="s">
        <v>759</v>
      </c>
      <c r="G765" s="25">
        <f t="shared" si="8"/>
        <v>-2.3247735349918308E-3</v>
      </c>
    </row>
    <row r="766" spans="1:7">
      <c r="A766" s="66">
        <v>92.844999999999999</v>
      </c>
      <c r="B766" s="66">
        <v>93.517499999999998</v>
      </c>
      <c r="C766" s="66">
        <v>91.767150000000001</v>
      </c>
      <c r="D766" s="66">
        <v>92.522499999999994</v>
      </c>
      <c r="E766" s="66">
        <v>749964</v>
      </c>
      <c r="F766" s="66" t="s">
        <v>760</v>
      </c>
      <c r="G766" s="25">
        <f t="shared" si="8"/>
        <v>3.4856386284418672E-3</v>
      </c>
    </row>
    <row r="767" spans="1:7">
      <c r="A767" s="66">
        <v>92.454999999999998</v>
      </c>
      <c r="B767" s="66">
        <v>94.055000000000007</v>
      </c>
      <c r="C767" s="66">
        <v>92.28</v>
      </c>
      <c r="D767" s="66">
        <v>93.192499999999995</v>
      </c>
      <c r="E767" s="66">
        <v>983752</v>
      </c>
      <c r="F767" s="66" t="s">
        <v>761</v>
      </c>
      <c r="G767" s="25">
        <f t="shared" si="8"/>
        <v>-7.9137269630066287E-3</v>
      </c>
    </row>
    <row r="768" spans="1:7">
      <c r="A768" s="66">
        <v>93.39</v>
      </c>
      <c r="B768" s="66">
        <v>94.135000000000005</v>
      </c>
      <c r="C768" s="66">
        <v>92.727500000000006</v>
      </c>
      <c r="D768" s="66">
        <v>92.992500000000007</v>
      </c>
      <c r="E768" s="66">
        <v>749976</v>
      </c>
      <c r="F768" s="66" t="s">
        <v>762</v>
      </c>
      <c r="G768" s="25">
        <f t="shared" si="8"/>
        <v>4.2745382692150891E-3</v>
      </c>
    </row>
    <row r="769" spans="1:7">
      <c r="A769" s="66">
        <v>92.545000000000002</v>
      </c>
      <c r="B769" s="66">
        <v>93.497500000000002</v>
      </c>
      <c r="C769" s="66">
        <v>92.4</v>
      </c>
      <c r="D769" s="66">
        <v>93.254999999999995</v>
      </c>
      <c r="E769" s="66">
        <v>620756</v>
      </c>
      <c r="F769" s="66" t="s">
        <v>763</v>
      </c>
      <c r="G769" s="25">
        <f t="shared" si="8"/>
        <v>-7.6135327864457203E-3</v>
      </c>
    </row>
    <row r="770" spans="1:7">
      <c r="A770" s="66">
        <v>93.02</v>
      </c>
      <c r="B770" s="66">
        <v>93.222499999999997</v>
      </c>
      <c r="C770" s="66">
        <v>92.022499999999994</v>
      </c>
      <c r="D770" s="66">
        <v>92.452500000000001</v>
      </c>
      <c r="E770" s="66">
        <v>609900</v>
      </c>
      <c r="F770" s="66" t="s">
        <v>764</v>
      </c>
      <c r="G770" s="25">
        <f t="shared" si="8"/>
        <v>6.1382872285766776E-3</v>
      </c>
    </row>
    <row r="771" spans="1:7">
      <c r="A771" s="66">
        <v>92.24</v>
      </c>
      <c r="B771" s="66">
        <v>92.607500000000002</v>
      </c>
      <c r="C771" s="66">
        <v>91.103750000000005</v>
      </c>
      <c r="D771" s="66">
        <v>91.66</v>
      </c>
      <c r="E771" s="66">
        <v>1039660</v>
      </c>
      <c r="F771" s="66" t="s">
        <v>765</v>
      </c>
      <c r="G771" s="25">
        <f t="shared" si="8"/>
        <v>6.3277329260309489E-3</v>
      </c>
    </row>
    <row r="772" spans="1:7">
      <c r="A772" s="66">
        <v>92.02</v>
      </c>
      <c r="B772" s="66">
        <v>94.855000000000004</v>
      </c>
      <c r="C772" s="66">
        <v>92.01</v>
      </c>
      <c r="D772" s="66">
        <v>93.582499999999996</v>
      </c>
      <c r="E772" s="66">
        <v>671028</v>
      </c>
      <c r="F772" s="66" t="s">
        <v>766</v>
      </c>
      <c r="G772" s="25">
        <f t="shared" si="8"/>
        <v>-1.6696497742633487E-2</v>
      </c>
    </row>
    <row r="773" spans="1:7">
      <c r="A773" s="66">
        <v>93.194999999999993</v>
      </c>
      <c r="B773" s="66">
        <v>94.838750000000005</v>
      </c>
      <c r="C773" s="66">
        <v>93.192499999999995</v>
      </c>
      <c r="D773" s="66">
        <v>93.922499999999999</v>
      </c>
      <c r="E773" s="66">
        <v>1196412</v>
      </c>
      <c r="F773" s="66" t="s">
        <v>767</v>
      </c>
      <c r="G773" s="25">
        <f t="shared" si="8"/>
        <v>-7.7457478240039457E-3</v>
      </c>
    </row>
    <row r="774" spans="1:7">
      <c r="A774" s="66">
        <v>94.247500000000002</v>
      </c>
      <c r="B774" s="66">
        <v>94.902500000000003</v>
      </c>
      <c r="C774" s="66">
        <v>93.9</v>
      </c>
      <c r="D774" s="66">
        <v>94.192499999999995</v>
      </c>
      <c r="E774" s="66">
        <v>1165828</v>
      </c>
      <c r="F774" s="66" t="s">
        <v>768</v>
      </c>
      <c r="G774" s="25">
        <f t="shared" si="8"/>
        <v>5.8391060859408483E-4</v>
      </c>
    </row>
    <row r="775" spans="1:7">
      <c r="A775" s="66">
        <v>94.48</v>
      </c>
      <c r="B775" s="66">
        <v>94.81</v>
      </c>
      <c r="C775" s="66">
        <v>93.55</v>
      </c>
      <c r="D775" s="66">
        <v>93.55</v>
      </c>
      <c r="E775" s="66">
        <v>1353800</v>
      </c>
      <c r="F775" s="66" t="s">
        <v>769</v>
      </c>
      <c r="G775" s="25">
        <f t="shared" si="8"/>
        <v>9.9412079102085826E-3</v>
      </c>
    </row>
    <row r="776" spans="1:7">
      <c r="A776" s="66">
        <v>93.622500000000002</v>
      </c>
      <c r="B776" s="66">
        <v>94.207499999999996</v>
      </c>
      <c r="C776" s="66">
        <v>93.052499999999995</v>
      </c>
      <c r="D776" s="66">
        <v>94.1</v>
      </c>
      <c r="E776" s="66">
        <v>1444240</v>
      </c>
      <c r="F776" s="66" t="s">
        <v>770</v>
      </c>
      <c r="G776" s="25">
        <f t="shared" si="8"/>
        <v>-5.074388947927666E-3</v>
      </c>
    </row>
    <row r="777" spans="1:7">
      <c r="A777" s="66">
        <v>94.442499999999995</v>
      </c>
      <c r="B777" s="66">
        <v>97.355000000000004</v>
      </c>
      <c r="C777" s="66">
        <v>94.442499999999995</v>
      </c>
      <c r="D777" s="66">
        <v>96.232500000000002</v>
      </c>
      <c r="E777" s="66">
        <v>1134020</v>
      </c>
      <c r="F777" s="66" t="s">
        <v>771</v>
      </c>
      <c r="G777" s="25">
        <f t="shared" si="8"/>
        <v>-1.8600784558231442E-2</v>
      </c>
    </row>
    <row r="778" spans="1:7">
      <c r="A778" s="66">
        <v>95.767499999999998</v>
      </c>
      <c r="B778" s="66">
        <v>97.19</v>
      </c>
      <c r="C778" s="66">
        <v>95.474999999999994</v>
      </c>
      <c r="D778" s="66">
        <v>96.227500000000006</v>
      </c>
      <c r="E778" s="66">
        <v>845884</v>
      </c>
      <c r="F778" s="66" t="s">
        <v>772</v>
      </c>
      <c r="G778" s="25">
        <f t="shared" si="8"/>
        <v>-4.7803382608921918E-3</v>
      </c>
    </row>
    <row r="779" spans="1:7">
      <c r="A779" s="66">
        <v>96.265000000000001</v>
      </c>
      <c r="B779" s="66">
        <v>96.95</v>
      </c>
      <c r="C779" s="66">
        <v>94.62</v>
      </c>
      <c r="D779" s="66">
        <v>96.682500000000005</v>
      </c>
      <c r="E779" s="66">
        <v>921532</v>
      </c>
      <c r="F779" s="66" t="s">
        <v>773</v>
      </c>
      <c r="G779" s="25">
        <f t="shared" si="8"/>
        <v>-4.318258216326698E-3</v>
      </c>
    </row>
    <row r="780" spans="1:7">
      <c r="A780" s="66">
        <v>97.457499999999996</v>
      </c>
      <c r="B780" s="66">
        <v>97.712500000000006</v>
      </c>
      <c r="C780" s="66">
        <v>96.952500000000001</v>
      </c>
      <c r="D780" s="66">
        <v>97.712500000000006</v>
      </c>
      <c r="E780" s="66">
        <v>459936</v>
      </c>
      <c r="F780" s="66" t="s">
        <v>774</v>
      </c>
      <c r="G780" s="25">
        <f t="shared" si="8"/>
        <v>-2.6096968146348543E-3</v>
      </c>
    </row>
    <row r="781" spans="1:7">
      <c r="A781" s="66">
        <v>97.197500000000005</v>
      </c>
      <c r="B781" s="66">
        <v>97.901250000000005</v>
      </c>
      <c r="C781" s="66">
        <v>97.002499999999998</v>
      </c>
      <c r="D781" s="66">
        <v>97.447500000000005</v>
      </c>
      <c r="E781" s="66">
        <v>1378220</v>
      </c>
      <c r="F781" s="66" t="s">
        <v>775</v>
      </c>
      <c r="G781" s="25">
        <f t="shared" si="8"/>
        <v>-2.5654839785526073E-3</v>
      </c>
    </row>
    <row r="782" spans="1:7">
      <c r="A782" s="66">
        <v>97.454999999999998</v>
      </c>
      <c r="B782" s="66">
        <v>97.642499999999998</v>
      </c>
      <c r="C782" s="66">
        <v>95.847499999999997</v>
      </c>
      <c r="D782" s="66">
        <v>95.847499999999997</v>
      </c>
      <c r="E782" s="66">
        <v>1414420</v>
      </c>
      <c r="F782" s="66" t="s">
        <v>776</v>
      </c>
      <c r="G782" s="25">
        <f t="shared" si="8"/>
        <v>1.6771433788048684E-2</v>
      </c>
    </row>
    <row r="783" spans="1:7">
      <c r="A783" s="66">
        <v>96.965000000000003</v>
      </c>
      <c r="B783" s="66">
        <v>97.54</v>
      </c>
      <c r="C783" s="66">
        <v>96.275000000000006</v>
      </c>
      <c r="D783" s="66">
        <v>96.974999999999994</v>
      </c>
      <c r="E783" s="66">
        <v>1851064</v>
      </c>
      <c r="F783" s="66" t="s">
        <v>777</v>
      </c>
      <c r="G783" s="25">
        <f t="shared" si="8"/>
        <v>-1.031193606598757E-4</v>
      </c>
    </row>
    <row r="784" spans="1:7">
      <c r="A784" s="66">
        <v>97.502499999999998</v>
      </c>
      <c r="B784" s="66">
        <v>97.726249999999993</v>
      </c>
      <c r="C784" s="66">
        <v>96.747500000000002</v>
      </c>
      <c r="D784" s="66">
        <v>96.94</v>
      </c>
      <c r="E784" s="66">
        <v>1189952</v>
      </c>
      <c r="F784" s="66" t="s">
        <v>778</v>
      </c>
      <c r="G784" s="25">
        <f t="shared" si="8"/>
        <v>5.8025582834744238E-3</v>
      </c>
    </row>
    <row r="785" spans="1:7">
      <c r="A785" s="66">
        <v>97.814999999999998</v>
      </c>
      <c r="B785" s="66">
        <v>98.64</v>
      </c>
      <c r="C785" s="66">
        <v>97.224999999999994</v>
      </c>
      <c r="D785" s="66">
        <v>98.64</v>
      </c>
      <c r="E785" s="66">
        <v>862860</v>
      </c>
      <c r="F785" s="66" t="s">
        <v>779</v>
      </c>
      <c r="G785" s="25">
        <f t="shared" si="8"/>
        <v>-8.3637469586375079E-3</v>
      </c>
    </row>
    <row r="786" spans="1:7">
      <c r="A786" s="66">
        <v>98.362499999999997</v>
      </c>
      <c r="B786" s="66">
        <v>98.891249999999999</v>
      </c>
      <c r="C786" s="66">
        <v>97.16</v>
      </c>
      <c r="D786" s="66">
        <v>98.234999999999999</v>
      </c>
      <c r="E786" s="66">
        <v>928008</v>
      </c>
      <c r="F786" s="66" t="s">
        <v>780</v>
      </c>
      <c r="G786" s="25">
        <f t="shared" si="8"/>
        <v>1.297908077569021E-3</v>
      </c>
    </row>
    <row r="787" spans="1:7">
      <c r="A787" s="66">
        <v>97.162499999999994</v>
      </c>
      <c r="B787" s="66">
        <v>97.94</v>
      </c>
      <c r="C787" s="66">
        <v>96.984375</v>
      </c>
      <c r="D787" s="66">
        <v>97.94</v>
      </c>
      <c r="E787" s="66">
        <v>1046828</v>
      </c>
      <c r="F787" s="66" t="s">
        <v>781</v>
      </c>
      <c r="G787" s="25">
        <f t="shared" si="8"/>
        <v>-7.9385337962017966E-3</v>
      </c>
    </row>
    <row r="788" spans="1:7">
      <c r="A788" s="66">
        <v>97.367500000000007</v>
      </c>
      <c r="B788" s="66">
        <v>97.377499999999998</v>
      </c>
      <c r="C788" s="66">
        <v>95.727500000000006</v>
      </c>
      <c r="D788" s="66">
        <v>96.405000000000001</v>
      </c>
      <c r="E788" s="66">
        <v>644412</v>
      </c>
      <c r="F788" s="66" t="s">
        <v>782</v>
      </c>
      <c r="G788" s="25">
        <f t="shared" si="8"/>
        <v>9.9839219957471581E-3</v>
      </c>
    </row>
    <row r="789" spans="1:7">
      <c r="A789" s="66">
        <v>96.572500000000034</v>
      </c>
      <c r="B789" s="66">
        <v>97.303693214174814</v>
      </c>
      <c r="C789" s="66">
        <v>96.085037857216847</v>
      </c>
      <c r="D789" s="66">
        <v>96.679991651998378</v>
      </c>
      <c r="E789" s="66">
        <v>1016534.9398638326</v>
      </c>
      <c r="F789" s="66" t="s">
        <v>783</v>
      </c>
      <c r="G789" s="25">
        <f t="shared" si="8"/>
        <v>-1.1118293471235052E-3</v>
      </c>
    </row>
    <row r="790" spans="1:7">
      <c r="A790" s="66">
        <v>96.732487575067324</v>
      </c>
      <c r="B790" s="66">
        <v>97.022465054876818</v>
      </c>
      <c r="C790" s="66">
        <v>95.901302126475485</v>
      </c>
      <c r="D790" s="66">
        <v>96.97496874352872</v>
      </c>
      <c r="E790" s="66">
        <v>790673.40039866394</v>
      </c>
      <c r="F790" s="66" t="s">
        <v>784</v>
      </c>
      <c r="G790" s="25">
        <f t="shared" si="8"/>
        <v>-2.5004511123142281E-3</v>
      </c>
    </row>
    <row r="791" spans="1:7">
      <c r="A791" s="66">
        <v>96.894974955995067</v>
      </c>
      <c r="B791" s="66">
        <v>98.143627983278151</v>
      </c>
      <c r="C791" s="66">
        <v>96.867477091530375</v>
      </c>
      <c r="D791" s="66">
        <v>97.957392446676366</v>
      </c>
      <c r="E791" s="66">
        <v>1141020.6069015502</v>
      </c>
      <c r="F791" s="66" t="s">
        <v>785</v>
      </c>
      <c r="G791" s="25">
        <f t="shared" si="8"/>
        <v>-1.0845710202623371E-2</v>
      </c>
    </row>
    <row r="792" spans="1:7">
      <c r="A792" s="66">
        <v>97.954892640815942</v>
      </c>
      <c r="B792" s="66">
        <v>99.452276351211452</v>
      </c>
      <c r="C792" s="66">
        <v>97.804904289190347</v>
      </c>
      <c r="D792" s="66">
        <v>98.839823915406953</v>
      </c>
      <c r="E792" s="66">
        <v>792537.54516037146</v>
      </c>
      <c r="F792" s="66" t="s">
        <v>786</v>
      </c>
      <c r="G792" s="25">
        <f t="shared" si="8"/>
        <v>-8.9531854624548268E-3</v>
      </c>
    </row>
    <row r="793" spans="1:7">
      <c r="A793" s="66">
        <v>98.702334593083478</v>
      </c>
      <c r="B793" s="66">
        <v>99.249792076516897</v>
      </c>
      <c r="C793" s="66">
        <v>97.227449135431797</v>
      </c>
      <c r="D793" s="66">
        <v>98.09738157486025</v>
      </c>
      <c r="E793" s="66">
        <v>1228063.36627922</v>
      </c>
      <c r="F793" s="66" t="s">
        <v>787</v>
      </c>
      <c r="G793" s="25">
        <f t="shared" si="8"/>
        <v>6.1668620355741499E-3</v>
      </c>
    </row>
    <row r="794" spans="1:7">
      <c r="A794" s="66">
        <v>98.304865461275654</v>
      </c>
      <c r="B794" s="66">
        <v>98.784828186477569</v>
      </c>
      <c r="C794" s="66">
        <v>97.247447582315203</v>
      </c>
      <c r="D794" s="66">
        <v>98.03238662248917</v>
      </c>
      <c r="E794" s="66">
        <v>907050.4377540187</v>
      </c>
      <c r="F794" s="66" t="s">
        <v>788</v>
      </c>
      <c r="G794" s="25">
        <f t="shared" si="8"/>
        <v>2.7794777641776403E-3</v>
      </c>
    </row>
    <row r="795" spans="1:7">
      <c r="A795" s="66">
        <v>98.484851483226379</v>
      </c>
      <c r="B795" s="66">
        <v>99.897241794367403</v>
      </c>
      <c r="C795" s="66">
        <v>98.429855754296995</v>
      </c>
      <c r="D795" s="66">
        <v>99.257291494098197</v>
      </c>
      <c r="E795" s="66">
        <v>999761.6373191122</v>
      </c>
      <c r="F795" s="66" t="s">
        <v>789</v>
      </c>
      <c r="G795" s="25">
        <f t="shared" si="8"/>
        <v>-7.7821991638543642E-3</v>
      </c>
    </row>
    <row r="796" spans="1:7">
      <c r="A796" s="66">
        <v>99.332285669910988</v>
      </c>
      <c r="B796" s="66">
        <v>99.437277516048894</v>
      </c>
      <c r="C796" s="66">
        <v>97.574922150031085</v>
      </c>
      <c r="D796" s="66">
        <v>97.574922150031085</v>
      </c>
      <c r="E796" s="66">
        <v>1159902.0731574721</v>
      </c>
      <c r="F796" s="66" t="s">
        <v>790</v>
      </c>
      <c r="G796" s="25">
        <f t="shared" si="8"/>
        <v>1.8010401455178959E-2</v>
      </c>
    </row>
    <row r="797" spans="1:7">
      <c r="A797" s="66">
        <v>97.514926809380853</v>
      </c>
      <c r="B797" s="66">
        <v>97.687413413750278</v>
      </c>
      <c r="C797" s="66">
        <v>96.495006018326805</v>
      </c>
      <c r="D797" s="66">
        <v>96.967469325947434</v>
      </c>
      <c r="E797" s="66">
        <v>728780.59406145616</v>
      </c>
      <c r="F797" s="66" t="s">
        <v>791</v>
      </c>
      <c r="G797" s="25">
        <f t="shared" si="8"/>
        <v>5.6457849961328854E-3</v>
      </c>
    </row>
    <row r="798" spans="1:7">
      <c r="A798" s="66">
        <v>96.832479809484397</v>
      </c>
      <c r="B798" s="66">
        <v>97.174953212362851</v>
      </c>
      <c r="C798" s="66">
        <v>95.845056494615903</v>
      </c>
      <c r="D798" s="66">
        <v>96.310020384655232</v>
      </c>
      <c r="E798" s="66">
        <v>795613.78404825367</v>
      </c>
      <c r="F798" s="66" t="s">
        <v>792</v>
      </c>
      <c r="G798" s="25">
        <f t="shared" si="8"/>
        <v>5.4247670464868669E-3</v>
      </c>
    </row>
    <row r="799" spans="1:7">
      <c r="A799" s="66">
        <v>95.615074355456656</v>
      </c>
      <c r="B799" s="66">
        <v>96.542502329674917</v>
      </c>
      <c r="C799" s="66">
        <v>95.143860950766239</v>
      </c>
      <c r="D799" s="66">
        <v>96.070039022054289</v>
      </c>
      <c r="E799" s="66">
        <v>675620.46586761216</v>
      </c>
      <c r="F799" s="66" t="s">
        <v>793</v>
      </c>
      <c r="G799" s="25">
        <f t="shared" si="8"/>
        <v>-4.7357601935936744E-3</v>
      </c>
    </row>
    <row r="800" spans="1:7">
      <c r="A800" s="66">
        <v>95.852555912197175</v>
      </c>
      <c r="B800" s="66">
        <v>96.012543487264466</v>
      </c>
      <c r="C800" s="66">
        <v>94.772639780492895</v>
      </c>
      <c r="D800" s="66">
        <v>94.817636285980569</v>
      </c>
      <c r="E800" s="66">
        <v>632765.13790157635</v>
      </c>
      <c r="F800" s="66" t="s">
        <v>794</v>
      </c>
      <c r="G800" s="25">
        <f t="shared" si="8"/>
        <v>1.091484313208535E-2</v>
      </c>
    </row>
    <row r="801" spans="1:7">
      <c r="A801" s="66">
        <v>94.587654146821322</v>
      </c>
      <c r="B801" s="66">
        <v>94.947626190722744</v>
      </c>
      <c r="C801" s="66">
        <v>93.580232385069408</v>
      </c>
      <c r="D801" s="66">
        <v>93.635228113998792</v>
      </c>
      <c r="E801" s="66">
        <v>802110.28853969788</v>
      </c>
      <c r="F801" s="66" t="s">
        <v>795</v>
      </c>
      <c r="G801" s="25">
        <f t="shared" si="8"/>
        <v>1.017166350748866E-2</v>
      </c>
    </row>
    <row r="802" spans="1:7">
      <c r="A802" s="66">
        <v>93.940204428970844</v>
      </c>
      <c r="B802" s="66">
        <v>94.752641333609475</v>
      </c>
      <c r="C802" s="66">
        <v>93.24525839977224</v>
      </c>
      <c r="D802" s="66">
        <v>93.53273607372131</v>
      </c>
      <c r="E802" s="66">
        <v>1385699.6076522814</v>
      </c>
      <c r="F802" s="66" t="s">
        <v>796</v>
      </c>
      <c r="G802" s="25">
        <f t="shared" si="8"/>
        <v>4.3564250587984077E-3</v>
      </c>
    </row>
    <row r="803" spans="1:7">
      <c r="A803" s="66">
        <v>94.317675113895248</v>
      </c>
      <c r="B803" s="66">
        <v>94.647649487471554</v>
      </c>
      <c r="C803" s="66">
        <v>93.292754711120338</v>
      </c>
      <c r="D803" s="66">
        <v>94.525159000310651</v>
      </c>
      <c r="E803" s="66">
        <v>1227943.3569597967</v>
      </c>
      <c r="F803" s="66" t="s">
        <v>797</v>
      </c>
      <c r="G803" s="25">
        <f t="shared" si="8"/>
        <v>-2.1950122973579678E-3</v>
      </c>
    </row>
    <row r="804" spans="1:7">
      <c r="A804" s="66">
        <v>94.347672784220364</v>
      </c>
      <c r="B804" s="66">
        <v>95.155110077138147</v>
      </c>
      <c r="C804" s="66">
        <v>93.812714330089065</v>
      </c>
      <c r="D804" s="66">
        <v>95.155110077138147</v>
      </c>
      <c r="E804" s="66">
        <v>544590.29061068094</v>
      </c>
      <c r="F804" s="66" t="s">
        <v>798</v>
      </c>
      <c r="G804" s="25">
        <f t="shared" si="8"/>
        <v>-8.4854853539996222E-3</v>
      </c>
    </row>
    <row r="805" spans="1:7">
      <c r="A805" s="66">
        <v>95.850056106336751</v>
      </c>
      <c r="B805" s="66">
        <v>96.398138541235284</v>
      </c>
      <c r="C805" s="66">
        <v>94.987623084489584</v>
      </c>
      <c r="D805" s="66">
        <v>95.987545428660212</v>
      </c>
      <c r="E805" s="66">
        <v>839841.21856636181</v>
      </c>
      <c r="F805" s="66" t="s">
        <v>799</v>
      </c>
      <c r="G805" s="25">
        <f t="shared" si="8"/>
        <v>-1.4323662690765016E-3</v>
      </c>
    </row>
    <row r="806" spans="1:7">
      <c r="A806" s="66">
        <v>94.987623084489584</v>
      </c>
      <c r="B806" s="66">
        <v>95.751313774849905</v>
      </c>
      <c r="C806" s="66">
        <v>94.787638615655453</v>
      </c>
      <c r="D806" s="66">
        <v>94.787638615655453</v>
      </c>
      <c r="E806" s="66">
        <v>999293.60097336164</v>
      </c>
      <c r="F806" s="66" t="s">
        <v>800</v>
      </c>
      <c r="G806" s="25">
        <f t="shared" si="8"/>
        <v>2.1098159185610754E-3</v>
      </c>
    </row>
    <row r="807" spans="1:7">
      <c r="A807" s="66">
        <v>95.117612989231759</v>
      </c>
      <c r="B807" s="66">
        <v>95.354594584800196</v>
      </c>
      <c r="C807" s="66">
        <v>94.278928123058634</v>
      </c>
      <c r="D807" s="66">
        <v>94.660148516773688</v>
      </c>
      <c r="E807" s="66">
        <v>873315.81806414842</v>
      </c>
      <c r="F807" s="66" t="s">
        <v>801</v>
      </c>
      <c r="G807" s="25">
        <f t="shared" si="8"/>
        <v>4.8327039374653769E-3</v>
      </c>
    </row>
    <row r="808" spans="1:7">
      <c r="A808" s="66">
        <v>94.64514968161113</v>
      </c>
      <c r="B808" s="66">
        <v>94.720143857423935</v>
      </c>
      <c r="C808" s="66">
        <v>92.776544800942247</v>
      </c>
      <c r="D808" s="66">
        <v>93.557734132325564</v>
      </c>
      <c r="E808" s="66">
        <v>916863.19977219158</v>
      </c>
      <c r="F808" s="66" t="s">
        <v>802</v>
      </c>
      <c r="G808" s="25">
        <f t="shared" si="8"/>
        <v>1.1622935926895783E-2</v>
      </c>
    </row>
    <row r="809" spans="1:7">
      <c r="A809" s="66">
        <v>93.412745392420831</v>
      </c>
      <c r="B809" s="66">
        <v>93.93020520552912</v>
      </c>
      <c r="C809" s="66">
        <v>92.337828872437385</v>
      </c>
      <c r="D809" s="66">
        <v>93.242758593911816</v>
      </c>
      <c r="E809" s="66">
        <v>908310.53560796264</v>
      </c>
      <c r="F809" s="66" t="s">
        <v>803</v>
      </c>
      <c r="G809" s="25">
        <f t="shared" si="8"/>
        <v>1.8230563002681333E-3</v>
      </c>
    </row>
    <row r="810" spans="1:7">
      <c r="A810" s="66">
        <v>93.187762864982417</v>
      </c>
      <c r="B810" s="66">
        <v>93.95020365241254</v>
      </c>
      <c r="C810" s="66">
        <v>92.515315088527672</v>
      </c>
      <c r="D810" s="66">
        <v>92.947781502381474</v>
      </c>
      <c r="E810" s="66">
        <v>1247012.8378161481</v>
      </c>
      <c r="F810" s="66" t="s">
        <v>804</v>
      </c>
      <c r="G810" s="25">
        <f t="shared" si="8"/>
        <v>2.5818944650637388E-3</v>
      </c>
    </row>
    <row r="811" spans="1:7">
      <c r="A811" s="66">
        <v>93.257757429074374</v>
      </c>
      <c r="B811" s="66">
        <v>93.735220348415865</v>
      </c>
      <c r="C811" s="66">
        <v>92.577810235038342</v>
      </c>
      <c r="D811" s="66">
        <v>92.900285191033376</v>
      </c>
      <c r="E811" s="66">
        <v>1120567.0185611842</v>
      </c>
      <c r="F811" s="66" t="s">
        <v>805</v>
      </c>
      <c r="G811" s="25">
        <f t="shared" si="8"/>
        <v>3.847913247046808E-3</v>
      </c>
    </row>
    <row r="812" spans="1:7">
      <c r="A812" s="66">
        <v>92.670303051874114</v>
      </c>
      <c r="B812" s="66">
        <v>92.771545189221399</v>
      </c>
      <c r="C812" s="66">
        <v>91.389152548405491</v>
      </c>
      <c r="D812" s="66">
        <v>91.947859158210832</v>
      </c>
      <c r="E812" s="66">
        <v>790861.41499909363</v>
      </c>
      <c r="F812" s="66" t="s">
        <v>806</v>
      </c>
      <c r="G812" s="25">
        <f t="shared" si="8"/>
        <v>7.8571040182697782E-3</v>
      </c>
    </row>
    <row r="813" spans="1:7">
      <c r="A813" s="66">
        <v>92.275333725926728</v>
      </c>
      <c r="B813" s="66">
        <v>92.437821106854443</v>
      </c>
      <c r="C813" s="66">
        <v>90.787949238972899</v>
      </c>
      <c r="D813" s="66">
        <v>90.800448268275034</v>
      </c>
      <c r="E813" s="66">
        <v>985476.52799710026</v>
      </c>
      <c r="F813" s="66" t="s">
        <v>807</v>
      </c>
      <c r="G813" s="25">
        <f t="shared" si="8"/>
        <v>1.6243151722049376E-2</v>
      </c>
    </row>
    <row r="814" spans="1:7">
      <c r="A814" s="66">
        <v>91.84536711793335</v>
      </c>
      <c r="B814" s="66">
        <v>93.945204040691692</v>
      </c>
      <c r="C814" s="66">
        <v>91.662881290122215</v>
      </c>
      <c r="D814" s="66">
        <v>92.982778784427438</v>
      </c>
      <c r="E814" s="66">
        <v>2514239.2453338159</v>
      </c>
      <c r="F814" s="66" t="s">
        <v>808</v>
      </c>
      <c r="G814" s="25">
        <f t="shared" si="8"/>
        <v>-1.223249811807714E-2</v>
      </c>
    </row>
    <row r="815" spans="1:7">
      <c r="A815" s="66">
        <v>91.885364011700176</v>
      </c>
      <c r="B815" s="66">
        <v>92.495316641644266</v>
      </c>
      <c r="C815" s="66">
        <v>90.49797175916342</v>
      </c>
      <c r="D815" s="66">
        <v>90.925438561296374</v>
      </c>
      <c r="E815" s="66">
        <v>1209925.9578037222</v>
      </c>
      <c r="F815" s="66" t="s">
        <v>809</v>
      </c>
      <c r="G815" s="25">
        <f t="shared" si="8"/>
        <v>1.0557281500013671E-2</v>
      </c>
    </row>
    <row r="816" spans="1:7">
      <c r="A816" s="66">
        <v>90.677957781114131</v>
      </c>
      <c r="B816" s="66">
        <v>92.122845568440695</v>
      </c>
      <c r="C816" s="66">
        <v>90.184246123679884</v>
      </c>
      <c r="D816" s="66">
        <v>90.997932931248727</v>
      </c>
      <c r="E816" s="66">
        <v>1535631.2507183717</v>
      </c>
      <c r="F816" s="66" t="s">
        <v>810</v>
      </c>
      <c r="G816" s="25">
        <f t="shared" si="8"/>
        <v>-3.5162903137189172E-3</v>
      </c>
    </row>
    <row r="817" spans="1:7">
      <c r="A817" s="66">
        <v>89.788026894802272</v>
      </c>
      <c r="B817" s="66">
        <v>90.093003209774309</v>
      </c>
      <c r="C817" s="66">
        <v>88.995588437047033</v>
      </c>
      <c r="D817" s="66">
        <v>88.995588437047033</v>
      </c>
      <c r="E817" s="66">
        <v>1038432.6403479248</v>
      </c>
      <c r="F817" s="66" t="s">
        <v>811</v>
      </c>
      <c r="G817" s="25">
        <f t="shared" si="8"/>
        <v>8.9042442628017859E-3</v>
      </c>
    </row>
    <row r="818" spans="1:7">
      <c r="A818" s="66">
        <v>88.988089019465761</v>
      </c>
      <c r="B818" s="66">
        <v>89.15682591504455</v>
      </c>
      <c r="C818" s="66">
        <v>87.021991710240243</v>
      </c>
      <c r="D818" s="66">
        <v>87.068238118658144</v>
      </c>
      <c r="E818" s="66">
        <v>1372518.5840689633</v>
      </c>
      <c r="F818" s="66" t="s">
        <v>812</v>
      </c>
      <c r="G818" s="25">
        <f t="shared" si="8"/>
        <v>2.2049956933677839E-2</v>
      </c>
    </row>
    <row r="819" spans="1:7">
      <c r="A819" s="66">
        <v>86.530779858666421</v>
      </c>
      <c r="B819" s="66">
        <v>87.423210550838718</v>
      </c>
      <c r="C819" s="66">
        <v>86.088314221370908</v>
      </c>
      <c r="D819" s="66">
        <v>87.42071074497828</v>
      </c>
      <c r="E819" s="66">
        <v>1182703.843847886</v>
      </c>
      <c r="F819" s="66" t="s">
        <v>813</v>
      </c>
      <c r="G819" s="25">
        <f t="shared" si="8"/>
        <v>-1.0179863315318283E-2</v>
      </c>
    </row>
    <row r="820" spans="1:7">
      <c r="A820" s="66">
        <v>87.4407091918617</v>
      </c>
      <c r="B820" s="66">
        <v>87.643193466556255</v>
      </c>
      <c r="C820" s="66">
        <v>86.345794224994862</v>
      </c>
      <c r="D820" s="66">
        <v>87.588197737626871</v>
      </c>
      <c r="E820" s="66">
        <v>1118430.8526754507</v>
      </c>
      <c r="F820" s="66" t="s">
        <v>814</v>
      </c>
      <c r="G820" s="25">
        <f t="shared" si="8"/>
        <v>-1.6838860665563393E-3</v>
      </c>
    </row>
    <row r="821" spans="1:7">
      <c r="A821" s="66">
        <v>87.690689777904367</v>
      </c>
      <c r="B821" s="66">
        <v>87.870675799855064</v>
      </c>
      <c r="C821" s="66">
        <v>86.631522034841609</v>
      </c>
      <c r="D821" s="66">
        <v>87.655692495858375</v>
      </c>
      <c r="E821" s="66">
        <v>986400.59975665912</v>
      </c>
      <c r="F821" s="66" t="s">
        <v>815</v>
      </c>
      <c r="G821" s="25">
        <f t="shared" si="8"/>
        <v>3.992585198917542E-4</v>
      </c>
    </row>
    <row r="822" spans="1:7">
      <c r="A822" s="66">
        <v>88.150654056222848</v>
      </c>
      <c r="B822" s="66">
        <v>89.221820867415644</v>
      </c>
      <c r="C822" s="66">
        <v>87.550700649720469</v>
      </c>
      <c r="D822" s="66">
        <v>88.330640078173573</v>
      </c>
      <c r="E822" s="66">
        <v>1014490.7811229902</v>
      </c>
      <c r="F822" s="66" t="s">
        <v>816</v>
      </c>
      <c r="G822" s="25">
        <f t="shared" si="8"/>
        <v>-2.0376397339749719E-3</v>
      </c>
    </row>
    <row r="823" spans="1:7">
      <c r="A823" s="66">
        <v>88.380636195382095</v>
      </c>
      <c r="B823" s="66">
        <v>89.95301408159041</v>
      </c>
      <c r="C823" s="66">
        <v>88.245646678919059</v>
      </c>
      <c r="D823" s="66">
        <v>89.840522817871218</v>
      </c>
      <c r="E823" s="66">
        <v>1284267.7308757664</v>
      </c>
      <c r="F823" s="66" t="s">
        <v>817</v>
      </c>
      <c r="G823" s="25">
        <f t="shared" si="8"/>
        <v>-1.6249756531901194E-2</v>
      </c>
    </row>
    <row r="824" spans="1:7">
      <c r="A824" s="66">
        <v>89.110579506626664</v>
      </c>
      <c r="B824" s="66">
        <v>91.11792361254922</v>
      </c>
      <c r="C824" s="66">
        <v>89.005587660488743</v>
      </c>
      <c r="D824" s="66">
        <v>90.025508451542791</v>
      </c>
      <c r="E824" s="66">
        <v>2806877.9704367174</v>
      </c>
      <c r="F824" s="66" t="s">
        <v>818</v>
      </c>
      <c r="G824" s="25">
        <f t="shared" ref="G824:G887" si="9">A824/D824-1</f>
        <v>-1.0162996695637583E-2</v>
      </c>
    </row>
    <row r="825" spans="1:7">
      <c r="A825" s="66">
        <v>93.540235491302582</v>
      </c>
      <c r="B825" s="66">
        <v>93.882708894181022</v>
      </c>
      <c r="C825" s="66">
        <v>91.8028704183061</v>
      </c>
      <c r="D825" s="66">
        <v>92.742797421826495</v>
      </c>
      <c r="E825" s="66">
        <v>1451184.6929508913</v>
      </c>
      <c r="F825" s="66" t="s">
        <v>819</v>
      </c>
      <c r="G825" s="25">
        <f t="shared" si="9"/>
        <v>8.5983827493261167E-3</v>
      </c>
    </row>
    <row r="826" spans="1:7">
      <c r="A826" s="66">
        <v>92.875287132429094</v>
      </c>
      <c r="B826" s="66">
        <v>92.965280143404456</v>
      </c>
      <c r="C826" s="66">
        <v>91.139171962362838</v>
      </c>
      <c r="D826" s="66">
        <v>91.712877407330737</v>
      </c>
      <c r="E826" s="66">
        <v>5394338.9018612942</v>
      </c>
      <c r="F826" s="66" t="s">
        <v>820</v>
      </c>
      <c r="G826" s="25">
        <f t="shared" si="9"/>
        <v>1.2674443959877824E-2</v>
      </c>
    </row>
    <row r="827" spans="1:7">
      <c r="A827" s="66">
        <v>92.042851780907043</v>
      </c>
      <c r="B827" s="66">
        <v>92.455319747877439</v>
      </c>
      <c r="C827" s="66">
        <v>91.455397403706812</v>
      </c>
      <c r="D827" s="66">
        <v>91.912861876164868</v>
      </c>
      <c r="E827" s="66">
        <v>1700036.0177069036</v>
      </c>
      <c r="F827" s="66" t="s">
        <v>821</v>
      </c>
      <c r="G827" s="25">
        <f t="shared" si="9"/>
        <v>1.4142732811139869E-3</v>
      </c>
    </row>
    <row r="828" spans="1:7">
      <c r="A828" s="66">
        <v>92.340328678297809</v>
      </c>
      <c r="B828" s="66">
        <v>93.090270436425783</v>
      </c>
      <c r="C828" s="66">
        <v>91.685379542866045</v>
      </c>
      <c r="D828" s="66">
        <v>92.745297227686919</v>
      </c>
      <c r="E828" s="66">
        <v>1703932.3202775111</v>
      </c>
      <c r="F828" s="66" t="s">
        <v>822</v>
      </c>
      <c r="G828" s="25">
        <f t="shared" si="9"/>
        <v>-4.3664591250910378E-3</v>
      </c>
    </row>
    <row r="829" spans="1:7">
      <c r="A829" s="66">
        <v>92.852788879685264</v>
      </c>
      <c r="B829" s="66">
        <v>94.797637839097163</v>
      </c>
      <c r="C829" s="66">
        <v>92.157842850486674</v>
      </c>
      <c r="D829" s="66">
        <v>94.455164436218723</v>
      </c>
      <c r="E829" s="66">
        <v>1692379.4231277015</v>
      </c>
      <c r="F829" s="66" t="s">
        <v>823</v>
      </c>
      <c r="G829" s="25">
        <f t="shared" si="9"/>
        <v>-1.6964403863967359E-2</v>
      </c>
    </row>
    <row r="830" spans="1:7">
      <c r="A830" s="66">
        <v>94.485162106543839</v>
      </c>
      <c r="B830" s="66">
        <v>94.810136868399283</v>
      </c>
      <c r="C830" s="66">
        <v>93.66022617260306</v>
      </c>
      <c r="D830" s="66">
        <v>94.655148905052826</v>
      </c>
      <c r="E830" s="66">
        <v>1386111.6396489679</v>
      </c>
      <c r="F830" s="66" t="s">
        <v>824</v>
      </c>
      <c r="G830" s="25">
        <f t="shared" si="9"/>
        <v>-1.7958536907431988E-3</v>
      </c>
    </row>
    <row r="831" spans="1:7">
      <c r="A831" s="66">
        <v>95.002621919652142</v>
      </c>
      <c r="B831" s="66">
        <v>96.92247282045976</v>
      </c>
      <c r="C831" s="66">
        <v>94.460164047939571</v>
      </c>
      <c r="D831" s="66">
        <v>96.714988934044342</v>
      </c>
      <c r="E831" s="66">
        <v>1744083.4382458769</v>
      </c>
      <c r="F831" s="66" t="s">
        <v>825</v>
      </c>
      <c r="G831" s="25">
        <f t="shared" si="9"/>
        <v>-1.7705290909560745E-2</v>
      </c>
    </row>
    <row r="832" spans="1:7">
      <c r="A832" s="66">
        <v>97.527425838682987</v>
      </c>
      <c r="B832" s="66">
        <v>98.708584107734552</v>
      </c>
      <c r="C832" s="66">
        <v>96.54750194139578</v>
      </c>
      <c r="D832" s="66">
        <v>96.54750194139578</v>
      </c>
      <c r="E832" s="66">
        <v>1267758.4488337773</v>
      </c>
      <c r="F832" s="66" t="s">
        <v>826</v>
      </c>
      <c r="G832" s="25">
        <f t="shared" si="9"/>
        <v>1.0149655636683574E-2</v>
      </c>
    </row>
    <row r="833" spans="1:7">
      <c r="A833" s="66">
        <v>96.517504271070649</v>
      </c>
      <c r="B833" s="66">
        <v>97.327441369848856</v>
      </c>
      <c r="C833" s="66">
        <v>96.447509706978707</v>
      </c>
      <c r="D833" s="66">
        <v>97.149955153758569</v>
      </c>
      <c r="E833" s="66">
        <v>2300930.6806803173</v>
      </c>
      <c r="F833" s="66" t="s">
        <v>827</v>
      </c>
      <c r="G833" s="25">
        <f t="shared" si="9"/>
        <v>-6.5100481177469138E-3</v>
      </c>
    </row>
    <row r="834" spans="1:7">
      <c r="A834" s="66">
        <v>96.967469325947434</v>
      </c>
      <c r="B834" s="66">
        <v>97.508677294729793</v>
      </c>
      <c r="C834" s="66">
        <v>96.452509318699555</v>
      </c>
      <c r="D834" s="66">
        <v>96.520004076931073</v>
      </c>
      <c r="E834" s="66">
        <v>1055885.99570271</v>
      </c>
      <c r="F834" s="66" t="s">
        <v>828</v>
      </c>
      <c r="G834" s="25">
        <f t="shared" si="9"/>
        <v>4.6359845639842856E-3</v>
      </c>
    </row>
    <row r="835" spans="1:7">
      <c r="A835" s="66">
        <v>96.422511648374439</v>
      </c>
      <c r="B835" s="66">
        <v>97.00746621971426</v>
      </c>
      <c r="C835" s="66">
        <v>94.392669289708053</v>
      </c>
      <c r="D835" s="66">
        <v>97.00746621971426</v>
      </c>
      <c r="E835" s="66">
        <v>1499640.4558233446</v>
      </c>
      <c r="F835" s="66" t="s">
        <v>829</v>
      </c>
      <c r="G835" s="25">
        <f t="shared" si="9"/>
        <v>-6.0299953615420288E-3</v>
      </c>
    </row>
    <row r="836" spans="1:7">
      <c r="A836" s="66">
        <v>96.919973014599321</v>
      </c>
      <c r="B836" s="66">
        <v>97.092459618968761</v>
      </c>
      <c r="C836" s="66">
        <v>96.297521355353112</v>
      </c>
      <c r="D836" s="66">
        <v>97.092459618968761</v>
      </c>
      <c r="E836" s="66">
        <v>1121395.0828652044</v>
      </c>
      <c r="F836" s="66" t="s">
        <v>830</v>
      </c>
      <c r="G836" s="25">
        <f t="shared" si="9"/>
        <v>-1.7765190525231844E-3</v>
      </c>
    </row>
    <row r="837" spans="1:7">
      <c r="A837" s="66">
        <v>97.329941175709294</v>
      </c>
      <c r="B837" s="66">
        <v>97.736159628028616</v>
      </c>
      <c r="C837" s="66">
        <v>96.784983498136299</v>
      </c>
      <c r="D837" s="66">
        <v>97.6599155492856</v>
      </c>
      <c r="E837" s="66">
        <v>992185.0489528589</v>
      </c>
      <c r="F837" s="66" t="s">
        <v>831</v>
      </c>
      <c r="G837" s="25">
        <f t="shared" si="9"/>
        <v>-3.3788107610003282E-3</v>
      </c>
    </row>
    <row r="838" spans="1:7">
      <c r="A838" s="66">
        <v>97.532425450403849</v>
      </c>
      <c r="B838" s="66">
        <v>98.411107210343786</v>
      </c>
      <c r="C838" s="66">
        <v>96.757485633671607</v>
      </c>
      <c r="D838" s="66">
        <v>97.824902736073753</v>
      </c>
      <c r="E838" s="66">
        <v>1737086.8949235026</v>
      </c>
      <c r="F838" s="66" t="s">
        <v>832</v>
      </c>
      <c r="G838" s="25">
        <f t="shared" si="9"/>
        <v>-2.9898040017375394E-3</v>
      </c>
    </row>
    <row r="839" spans="1:7">
      <c r="A839" s="66">
        <v>98.014887981466174</v>
      </c>
      <c r="B839" s="66">
        <v>98.414856919134422</v>
      </c>
      <c r="C839" s="66">
        <v>97.309942728825874</v>
      </c>
      <c r="D839" s="66">
        <v>97.492428556637023</v>
      </c>
      <c r="E839" s="66">
        <v>1050277.5601749977</v>
      </c>
      <c r="F839" s="66" t="s">
        <v>833</v>
      </c>
      <c r="G839" s="25">
        <f t="shared" si="9"/>
        <v>5.3589743589743666E-3</v>
      </c>
    </row>
    <row r="840" spans="1:7">
      <c r="A840" s="66">
        <v>97.717411084075408</v>
      </c>
      <c r="B840" s="66">
        <v>98.792327604058841</v>
      </c>
      <c r="C840" s="66">
        <v>96.679991651998378</v>
      </c>
      <c r="D840" s="66">
        <v>96.679991651998378</v>
      </c>
      <c r="E840" s="66">
        <v>1043457.0305211107</v>
      </c>
      <c r="F840" s="66" t="s">
        <v>834</v>
      </c>
      <c r="G840" s="25">
        <f t="shared" si="9"/>
        <v>1.0730446024563634E-2</v>
      </c>
    </row>
    <row r="841" spans="1:7">
      <c r="A841" s="66">
        <v>96.315019996376094</v>
      </c>
      <c r="B841" s="66">
        <v>96.847478644646955</v>
      </c>
      <c r="C841" s="66">
        <v>96.118785236332599</v>
      </c>
      <c r="D841" s="66">
        <v>96.382514754607612</v>
      </c>
      <c r="E841" s="66">
        <v>486185.75515804172</v>
      </c>
      <c r="F841" s="66" t="s">
        <v>835</v>
      </c>
      <c r="G841" s="25">
        <f t="shared" si="9"/>
        <v>-7.0028011204481544E-4</v>
      </c>
    </row>
    <row r="842" spans="1:7">
      <c r="A842" s="66">
        <v>96.520004076931073</v>
      </c>
      <c r="B842" s="66">
        <v>96.994967190412126</v>
      </c>
      <c r="C842" s="66">
        <v>95.520081732760445</v>
      </c>
      <c r="D842" s="66">
        <v>96.095037080658557</v>
      </c>
      <c r="E842" s="66">
        <v>733712.97708975093</v>
      </c>
      <c r="F842" s="66" t="s">
        <v>836</v>
      </c>
      <c r="G842" s="25">
        <f t="shared" si="9"/>
        <v>4.4223615410627914E-3</v>
      </c>
    </row>
    <row r="843" spans="1:7">
      <c r="A843" s="66">
        <v>96.477507377303823</v>
      </c>
      <c r="B843" s="66">
        <v>96.642494564091976</v>
      </c>
      <c r="C843" s="66">
        <v>95.19010735918414</v>
      </c>
      <c r="D843" s="66">
        <v>95.280100370159474</v>
      </c>
      <c r="E843" s="66">
        <v>525968.84454684285</v>
      </c>
      <c r="F843" s="66" t="s">
        <v>837</v>
      </c>
      <c r="G843" s="25">
        <f t="shared" si="9"/>
        <v>1.2567230749048974E-2</v>
      </c>
    </row>
    <row r="844" spans="1:7">
      <c r="A844" s="66">
        <v>94.810136868399283</v>
      </c>
      <c r="B844" s="66">
        <v>95.59757571443366</v>
      </c>
      <c r="C844" s="66">
        <v>94.195184626734346</v>
      </c>
      <c r="D844" s="66">
        <v>94.737642498446917</v>
      </c>
      <c r="E844" s="66">
        <v>528621.05050609633</v>
      </c>
      <c r="F844" s="66" t="s">
        <v>838</v>
      </c>
      <c r="G844" s="25">
        <f t="shared" si="9"/>
        <v>7.6521188453204658E-4</v>
      </c>
    </row>
    <row r="845" spans="1:7">
      <c r="A845" s="66">
        <v>95.225104641230104</v>
      </c>
      <c r="B845" s="66">
        <v>96.694990487160936</v>
      </c>
      <c r="C845" s="66">
        <v>94.677647157796684</v>
      </c>
      <c r="D845" s="66">
        <v>96.517504271070649</v>
      </c>
      <c r="E845" s="66">
        <v>901646.01806932583</v>
      </c>
      <c r="F845" s="66" t="s">
        <v>839</v>
      </c>
      <c r="G845" s="25">
        <f t="shared" si="9"/>
        <v>-1.339031339031338E-2</v>
      </c>
    </row>
    <row r="846" spans="1:7">
      <c r="A846" s="66">
        <v>95.55507901480641</v>
      </c>
      <c r="B846" s="66">
        <v>96.457508930420417</v>
      </c>
      <c r="C846" s="66">
        <v>94.627651040588148</v>
      </c>
      <c r="D846" s="66">
        <v>95.510082509318735</v>
      </c>
      <c r="E846" s="66">
        <v>714039.44932563591</v>
      </c>
      <c r="F846" s="66" t="s">
        <v>840</v>
      </c>
      <c r="G846" s="25">
        <f t="shared" si="9"/>
        <v>4.7111785798414907E-4</v>
      </c>
    </row>
    <row r="847" spans="1:7">
      <c r="A847" s="66">
        <v>95.935049505591252</v>
      </c>
      <c r="B847" s="66">
        <v>96.35501689014292</v>
      </c>
      <c r="C847" s="66">
        <v>95.060117454441937</v>
      </c>
      <c r="D847" s="66">
        <v>95.060117454441937</v>
      </c>
      <c r="E847" s="66">
        <v>421176.70682647737</v>
      </c>
      <c r="F847" s="66" t="s">
        <v>841</v>
      </c>
      <c r="G847" s="25">
        <f t="shared" si="9"/>
        <v>9.2039866410709159E-3</v>
      </c>
    </row>
    <row r="848" spans="1:7">
      <c r="A848" s="66">
        <v>95.355094545972278</v>
      </c>
      <c r="B848" s="66">
        <v>95.658820958014118</v>
      </c>
      <c r="C848" s="66">
        <v>94.165186956409229</v>
      </c>
      <c r="D848" s="66">
        <v>94.542657641333633</v>
      </c>
      <c r="E848" s="66">
        <v>697542.16821558913</v>
      </c>
      <c r="F848" s="66" t="s">
        <v>842</v>
      </c>
      <c r="G848" s="25">
        <f t="shared" si="9"/>
        <v>8.593336858804923E-3</v>
      </c>
    </row>
    <row r="849" spans="1:7">
      <c r="A849" s="66">
        <v>94.532658417891938</v>
      </c>
      <c r="B849" s="66">
        <v>94.782639003934605</v>
      </c>
      <c r="C849" s="66">
        <v>93.150265777076029</v>
      </c>
      <c r="D849" s="66">
        <v>93.822713553530775</v>
      </c>
      <c r="E849" s="66">
        <v>767619.61013746122</v>
      </c>
      <c r="F849" s="66" t="s">
        <v>843</v>
      </c>
      <c r="G849" s="25">
        <f t="shared" si="9"/>
        <v>7.5668762655867194E-3</v>
      </c>
    </row>
    <row r="850" spans="1:7">
      <c r="A850" s="66">
        <v>93.980201322737656</v>
      </c>
      <c r="B850" s="66">
        <v>95.050118231000241</v>
      </c>
      <c r="C850" s="66">
        <v>93.280255681818204</v>
      </c>
      <c r="D850" s="66">
        <v>94.262679384965864</v>
      </c>
      <c r="E850" s="66">
        <v>987496.684874058</v>
      </c>
      <c r="F850" s="66" t="s">
        <v>844</v>
      </c>
      <c r="G850" s="25">
        <f t="shared" si="9"/>
        <v>-2.9967115731409644E-3</v>
      </c>
    </row>
    <row r="851" spans="1:7">
      <c r="A851" s="66">
        <v>94.745141916028189</v>
      </c>
      <c r="B851" s="66">
        <v>96.247525238144576</v>
      </c>
      <c r="C851" s="66">
        <v>94.500160941706383</v>
      </c>
      <c r="D851" s="66">
        <v>95.99254504038106</v>
      </c>
      <c r="E851" s="66">
        <v>667995.87377358961</v>
      </c>
      <c r="F851" s="66" t="s">
        <v>845</v>
      </c>
      <c r="G851" s="25">
        <f t="shared" si="9"/>
        <v>-1.2994791666666727E-2</v>
      </c>
    </row>
    <row r="852" spans="1:7">
      <c r="A852" s="66">
        <v>96.36501611358463</v>
      </c>
      <c r="B852" s="66">
        <v>97.064961754504083</v>
      </c>
      <c r="C852" s="66">
        <v>95.837557077034617</v>
      </c>
      <c r="D852" s="66">
        <v>96.792482915717571</v>
      </c>
      <c r="E852" s="66">
        <v>717423.71213337104</v>
      </c>
      <c r="F852" s="66" t="s">
        <v>846</v>
      </c>
      <c r="G852" s="25">
        <f t="shared" si="9"/>
        <v>-4.4163223140495367E-3</v>
      </c>
    </row>
    <row r="853" spans="1:7">
      <c r="A853" s="66">
        <v>96.342517860840786</v>
      </c>
      <c r="B853" s="66">
        <v>97.042463501760224</v>
      </c>
      <c r="C853" s="66">
        <v>95.733815133826909</v>
      </c>
      <c r="D853" s="66">
        <v>97.042463501760224</v>
      </c>
      <c r="E853" s="66">
        <v>849281.95169432263</v>
      </c>
      <c r="F853" s="66" t="s">
        <v>847</v>
      </c>
      <c r="G853" s="25">
        <f t="shared" si="9"/>
        <v>-7.2127769191138169E-3</v>
      </c>
    </row>
    <row r="854" spans="1:7">
      <c r="A854" s="66">
        <v>96.312520190515656</v>
      </c>
      <c r="B854" s="66">
        <v>96.607497282045998</v>
      </c>
      <c r="C854" s="66">
        <v>95.445087556947641</v>
      </c>
      <c r="D854" s="66">
        <v>95.872554359080581</v>
      </c>
      <c r="E854" s="66">
        <v>1248712.9698413105</v>
      </c>
      <c r="F854" s="66" t="s">
        <v>848</v>
      </c>
      <c r="G854" s="25">
        <f t="shared" si="9"/>
        <v>4.5890696704213862E-3</v>
      </c>
    </row>
    <row r="855" spans="1:7">
      <c r="A855" s="66">
        <v>96.377515142886764</v>
      </c>
      <c r="B855" s="66">
        <v>96.472507765582975</v>
      </c>
      <c r="C855" s="66">
        <v>94.327674337336944</v>
      </c>
      <c r="D855" s="66">
        <v>94.327674337336944</v>
      </c>
      <c r="E855" s="66">
        <v>803162.37023997493</v>
      </c>
      <c r="F855" s="66" t="s">
        <v>849</v>
      </c>
      <c r="G855" s="25">
        <f t="shared" si="9"/>
        <v>2.173106482217646E-2</v>
      </c>
    </row>
    <row r="856" spans="1:7">
      <c r="A856" s="66">
        <v>94.505160553427245</v>
      </c>
      <c r="B856" s="66">
        <v>94.670147740215398</v>
      </c>
      <c r="C856" s="66">
        <v>92.874187217850519</v>
      </c>
      <c r="D856" s="66">
        <v>93.68272442534689</v>
      </c>
      <c r="E856" s="66">
        <v>897805.7198477824</v>
      </c>
      <c r="F856" s="66" t="s">
        <v>850</v>
      </c>
      <c r="G856" s="25">
        <f t="shared" si="9"/>
        <v>8.7789518625254193E-3</v>
      </c>
    </row>
    <row r="857" spans="1:7">
      <c r="A857" s="66">
        <v>92.862788103126974</v>
      </c>
      <c r="B857" s="66">
        <v>93.740219960136713</v>
      </c>
      <c r="C857" s="66">
        <v>92.376575863274013</v>
      </c>
      <c r="D857" s="66">
        <v>93.270256458376508</v>
      </c>
      <c r="E857" s="66">
        <v>702686.56770819821</v>
      </c>
      <c r="F857" s="66" t="s">
        <v>851</v>
      </c>
      <c r="G857" s="25">
        <f t="shared" si="9"/>
        <v>-4.3686848382514798E-3</v>
      </c>
    </row>
    <row r="858" spans="1:7">
      <c r="A858" s="66">
        <v>93.420244810002103</v>
      </c>
      <c r="B858" s="66">
        <v>94.68764638123838</v>
      </c>
      <c r="C858" s="66">
        <v>92.952781114102322</v>
      </c>
      <c r="D858" s="66">
        <v>93.92020598208741</v>
      </c>
      <c r="E858" s="66">
        <v>762159.18610370427</v>
      </c>
      <c r="F858" s="66" t="s">
        <v>852</v>
      </c>
      <c r="G858" s="25">
        <f t="shared" si="9"/>
        <v>-5.3232546378855217E-3</v>
      </c>
    </row>
    <row r="859" spans="1:7">
      <c r="A859" s="66">
        <v>94.377670454545495</v>
      </c>
      <c r="B859" s="66">
        <v>94.643899778680918</v>
      </c>
      <c r="C859" s="66">
        <v>93.19276247670328</v>
      </c>
      <c r="D859" s="66">
        <v>93.617729472975796</v>
      </c>
      <c r="E859" s="66">
        <v>625072.54052654724</v>
      </c>
      <c r="F859" s="66" t="s">
        <v>853</v>
      </c>
      <c r="G859" s="25">
        <f t="shared" si="9"/>
        <v>8.1174899866489625E-3</v>
      </c>
    </row>
    <row r="860" spans="1:7">
      <c r="A860" s="66">
        <v>93.2127609235867</v>
      </c>
      <c r="B860" s="66">
        <v>94.723893566214571</v>
      </c>
      <c r="C860" s="66">
        <v>92.864038006057186</v>
      </c>
      <c r="D860" s="66">
        <v>93.747719377717985</v>
      </c>
      <c r="E860" s="66">
        <v>962666.75668539153</v>
      </c>
      <c r="F860" s="66" t="s">
        <v>854</v>
      </c>
      <c r="G860" s="25">
        <f t="shared" si="9"/>
        <v>-5.7063623273424513E-3</v>
      </c>
    </row>
    <row r="861" spans="1:7">
      <c r="A861" s="66">
        <v>92.97777917270659</v>
      </c>
      <c r="B861" s="66">
        <v>93.773967339252465</v>
      </c>
      <c r="C861" s="66">
        <v>92.755296451128629</v>
      </c>
      <c r="D861" s="66">
        <v>92.847789267964416</v>
      </c>
      <c r="E861" s="66">
        <v>614735.73781355959</v>
      </c>
      <c r="F861" s="66" t="s">
        <v>855</v>
      </c>
      <c r="G861" s="25">
        <f t="shared" si="9"/>
        <v>1.4000323084377708E-3</v>
      </c>
    </row>
    <row r="862" spans="1:7">
      <c r="A862" s="66">
        <v>92.522814506108958</v>
      </c>
      <c r="B862" s="66">
        <v>92.525314311969382</v>
      </c>
      <c r="C862" s="66">
        <v>91.52539196779874</v>
      </c>
      <c r="D862" s="66">
        <v>92.440320912714881</v>
      </c>
      <c r="E862" s="66">
        <v>593802.11219550064</v>
      </c>
      <c r="F862" s="66" t="s">
        <v>856</v>
      </c>
      <c r="G862" s="25">
        <f t="shared" si="9"/>
        <v>8.9239838827448459E-4</v>
      </c>
    </row>
    <row r="863" spans="1:7">
      <c r="A863" s="66">
        <v>93.067772183681953</v>
      </c>
      <c r="B863" s="66">
        <v>93.483989859442971</v>
      </c>
      <c r="C863" s="66">
        <v>91.495394297473624</v>
      </c>
      <c r="D863" s="66">
        <v>93.310253352143334</v>
      </c>
      <c r="E863" s="66">
        <v>1145512.9557586266</v>
      </c>
      <c r="F863" s="66" t="s">
        <v>857</v>
      </c>
      <c r="G863" s="25">
        <f t="shared" si="9"/>
        <v>-2.5986551289951532E-3</v>
      </c>
    </row>
    <row r="864" spans="1:7">
      <c r="A864" s="66">
        <v>93.392746945537411</v>
      </c>
      <c r="B864" s="66">
        <v>93.540235491302582</v>
      </c>
      <c r="C864" s="66">
        <v>91.352905363429315</v>
      </c>
      <c r="D864" s="66">
        <v>92.172841685649246</v>
      </c>
      <c r="E864" s="66">
        <v>871551.68106862693</v>
      </c>
      <c r="F864" s="66" t="s">
        <v>858</v>
      </c>
      <c r="G864" s="25">
        <f t="shared" si="9"/>
        <v>1.3234975048817432E-2</v>
      </c>
    </row>
    <row r="865" spans="1:7">
      <c r="A865" s="66">
        <v>92.5078156709464</v>
      </c>
      <c r="B865" s="66">
        <v>92.867787714847822</v>
      </c>
      <c r="C865" s="66">
        <v>91.807870030026947</v>
      </c>
      <c r="D865" s="66">
        <v>92.202839355974348</v>
      </c>
      <c r="E865" s="66">
        <v>1045205.1662740425</v>
      </c>
      <c r="F865" s="66" t="s">
        <v>859</v>
      </c>
      <c r="G865" s="25">
        <f t="shared" si="9"/>
        <v>3.3076672812060171E-3</v>
      </c>
    </row>
    <row r="866" spans="1:7">
      <c r="A866" s="66">
        <v>92.087848286394731</v>
      </c>
      <c r="B866" s="66">
        <v>93.062772571961091</v>
      </c>
      <c r="C866" s="66">
        <v>91.562889055705142</v>
      </c>
      <c r="D866" s="66">
        <v>92.892785773452104</v>
      </c>
      <c r="E866" s="66">
        <v>1415801.9452742753</v>
      </c>
      <c r="F866" s="66" t="s">
        <v>860</v>
      </c>
      <c r="G866" s="25">
        <f t="shared" si="9"/>
        <v>-8.6652314316471024E-3</v>
      </c>
    </row>
    <row r="867" spans="1:7">
      <c r="A867" s="66">
        <v>93.332751604887179</v>
      </c>
      <c r="B867" s="66">
        <v>93.470240927210639</v>
      </c>
      <c r="C867" s="66">
        <v>92.18159100616073</v>
      </c>
      <c r="D867" s="66">
        <v>92.390324795506345</v>
      </c>
      <c r="E867" s="66">
        <v>1498512.3682207663</v>
      </c>
      <c r="F867" s="66" t="s">
        <v>861</v>
      </c>
      <c r="G867" s="25">
        <f t="shared" si="9"/>
        <v>1.0200492437566044E-2</v>
      </c>
    </row>
    <row r="868" spans="1:7">
      <c r="A868" s="66">
        <v>91.860365953095922</v>
      </c>
      <c r="B868" s="66">
        <v>92.310331007972692</v>
      </c>
      <c r="C868" s="66">
        <v>90.89891562111724</v>
      </c>
      <c r="D868" s="66">
        <v>91.242913905570546</v>
      </c>
      <c r="E868" s="66">
        <v>1468590.0445779073</v>
      </c>
      <c r="F868" s="66" t="s">
        <v>862</v>
      </c>
      <c r="G868" s="25">
        <f t="shared" si="9"/>
        <v>6.7671232876713727E-3</v>
      </c>
    </row>
    <row r="869" spans="1:7">
      <c r="A869" s="66">
        <v>90.447975641954883</v>
      </c>
      <c r="B869" s="66">
        <v>90.852944191343994</v>
      </c>
      <c r="C869" s="66">
        <v>89.15057640039349</v>
      </c>
      <c r="D869" s="66">
        <v>89.388057957134009</v>
      </c>
      <c r="E869" s="66">
        <v>1245276.7029951587</v>
      </c>
      <c r="F869" s="66" t="s">
        <v>863</v>
      </c>
      <c r="G869" s="25">
        <f t="shared" si="9"/>
        <v>1.1857486436601672E-2</v>
      </c>
    </row>
    <row r="870" spans="1:7">
      <c r="A870" s="66">
        <v>88.693111927935419</v>
      </c>
      <c r="B870" s="66">
        <v>89.875520099917196</v>
      </c>
      <c r="C870" s="66">
        <v>88.448130953613614</v>
      </c>
      <c r="D870" s="66">
        <v>88.743108045143956</v>
      </c>
      <c r="E870" s="66">
        <v>1035176.3874809077</v>
      </c>
      <c r="F870" s="66" t="s">
        <v>864</v>
      </c>
      <c r="G870" s="25">
        <f t="shared" si="9"/>
        <v>-5.6338028169022891E-4</v>
      </c>
    </row>
    <row r="871" spans="1:7">
      <c r="A871" s="66">
        <v>89.14057717695178</v>
      </c>
      <c r="B871" s="66">
        <v>90.412978359908919</v>
      </c>
      <c r="C871" s="66">
        <v>88.805603191654612</v>
      </c>
      <c r="D871" s="66">
        <v>89.348061063367197</v>
      </c>
      <c r="E871" s="66">
        <v>1484275.2626265236</v>
      </c>
      <c r="F871" s="66" t="s">
        <v>865</v>
      </c>
      <c r="G871" s="25">
        <f t="shared" si="9"/>
        <v>-2.3221979743720533E-3</v>
      </c>
    </row>
    <row r="872" spans="1:7">
      <c r="A872" s="66">
        <v>88.748107656864804</v>
      </c>
      <c r="B872" s="66">
        <v>89.51554805601576</v>
      </c>
      <c r="C872" s="66">
        <v>85.959574219558945</v>
      </c>
      <c r="D872" s="66">
        <v>86.253301408159075</v>
      </c>
      <c r="E872" s="66">
        <v>1492867.9298972269</v>
      </c>
      <c r="F872" s="66" t="s">
        <v>866</v>
      </c>
      <c r="G872" s="25">
        <f t="shared" si="9"/>
        <v>2.8924182703454537E-2</v>
      </c>
    </row>
    <row r="873" spans="1:7">
      <c r="A873" s="66">
        <v>86.233302961275655</v>
      </c>
      <c r="B873" s="66">
        <v>88.188151144129236</v>
      </c>
      <c r="C873" s="66">
        <v>86.08106478437567</v>
      </c>
      <c r="D873" s="66">
        <v>86.483283547318308</v>
      </c>
      <c r="E873" s="66">
        <v>994733.24683527881</v>
      </c>
      <c r="F873" s="66" t="s">
        <v>867</v>
      </c>
      <c r="G873" s="25">
        <f t="shared" si="9"/>
        <v>-2.890507573129808E-3</v>
      </c>
    </row>
    <row r="874" spans="1:7">
      <c r="A874" s="66">
        <v>86.12581130927731</v>
      </c>
      <c r="B874" s="66">
        <v>88.558122411472382</v>
      </c>
      <c r="C874" s="66">
        <v>86.025819074860252</v>
      </c>
      <c r="D874" s="66">
        <v>87.490705309070236</v>
      </c>
      <c r="E874" s="66">
        <v>1155049.696342126</v>
      </c>
      <c r="F874" s="66" t="s">
        <v>868</v>
      </c>
      <c r="G874" s="25">
        <f t="shared" si="9"/>
        <v>-1.5600445727020906E-2</v>
      </c>
    </row>
    <row r="875" spans="1:7">
      <c r="A875" s="66">
        <v>87.700689001346063</v>
      </c>
      <c r="B875" s="66">
        <v>87.788182206461002</v>
      </c>
      <c r="C875" s="66">
        <v>86.248301796438213</v>
      </c>
      <c r="D875" s="66">
        <v>86.638271510664765</v>
      </c>
      <c r="E875" s="66">
        <v>1030236.0038313181</v>
      </c>
      <c r="F875" s="66" t="s">
        <v>869</v>
      </c>
      <c r="G875" s="25">
        <f t="shared" si="9"/>
        <v>1.2262681054879154E-2</v>
      </c>
    </row>
    <row r="876" spans="1:7">
      <c r="A876" s="66">
        <v>86.120811697556462</v>
      </c>
      <c r="B876" s="66">
        <v>86.653270345827323</v>
      </c>
      <c r="C876" s="66">
        <v>85.290876151894835</v>
      </c>
      <c r="D876" s="66">
        <v>85.290876151894835</v>
      </c>
      <c r="E876" s="66">
        <v>734257.01933780301</v>
      </c>
      <c r="F876" s="66" t="s">
        <v>870</v>
      </c>
      <c r="G876" s="25">
        <f t="shared" si="9"/>
        <v>9.7306486122101798E-3</v>
      </c>
    </row>
    <row r="877" spans="1:7">
      <c r="A877" s="66">
        <v>85.36837013356805</v>
      </c>
      <c r="B877" s="66">
        <v>87.228225693725435</v>
      </c>
      <c r="C877" s="66">
        <v>84.253456719817805</v>
      </c>
      <c r="D877" s="66">
        <v>86.275799660902905</v>
      </c>
      <c r="E877" s="66">
        <v>2188961.9856584426</v>
      </c>
      <c r="F877" s="66" t="s">
        <v>871</v>
      </c>
      <c r="G877" s="25">
        <f t="shared" si="9"/>
        <v>-1.0517775910526495E-2</v>
      </c>
    </row>
    <row r="878" spans="1:7">
      <c r="A878" s="66">
        <v>86.315796554669731</v>
      </c>
      <c r="B878" s="66">
        <v>86.715765492337979</v>
      </c>
      <c r="C878" s="66">
        <v>82.816068350072513</v>
      </c>
      <c r="D878" s="66">
        <v>83.830989529405713</v>
      </c>
      <c r="E878" s="66">
        <v>1288068.0259908354</v>
      </c>
      <c r="F878" s="66" t="s">
        <v>872</v>
      </c>
      <c r="G878" s="25">
        <f t="shared" si="9"/>
        <v>2.9640673922767036E-2</v>
      </c>
    </row>
    <row r="879" spans="1:7">
      <c r="A879" s="66">
        <v>84.65092585162563</v>
      </c>
      <c r="B879" s="66">
        <v>84.71592080399671</v>
      </c>
      <c r="C879" s="66">
        <v>82.778571262166111</v>
      </c>
      <c r="D879" s="66">
        <v>83.178540199834359</v>
      </c>
      <c r="E879" s="66">
        <v>1373378.6508581631</v>
      </c>
      <c r="F879" s="66" t="s">
        <v>873</v>
      </c>
      <c r="G879" s="25">
        <f t="shared" si="9"/>
        <v>1.7701508685460166E-2</v>
      </c>
    </row>
    <row r="880" spans="1:7">
      <c r="A880" s="66">
        <v>84.77841595050738</v>
      </c>
      <c r="B880" s="66">
        <v>85.373369745288898</v>
      </c>
      <c r="C880" s="66">
        <v>83.503514961689831</v>
      </c>
      <c r="D880" s="66">
        <v>84.948402749016381</v>
      </c>
      <c r="E880" s="66">
        <v>1078783.7738486626</v>
      </c>
      <c r="F880" s="66" t="s">
        <v>874</v>
      </c>
      <c r="G880" s="25">
        <f t="shared" si="9"/>
        <v>-2.0010593843798885E-3</v>
      </c>
    </row>
    <row r="881" spans="1:7">
      <c r="A881" s="66">
        <v>83.483516514806396</v>
      </c>
      <c r="B881" s="66">
        <v>83.848488170428695</v>
      </c>
      <c r="C881" s="66">
        <v>80.476250064713227</v>
      </c>
      <c r="D881" s="66">
        <v>80.938714148892132</v>
      </c>
      <c r="E881" s="66">
        <v>1109486.1580677726</v>
      </c>
      <c r="F881" s="66" t="s">
        <v>875</v>
      </c>
      <c r="G881" s="25">
        <f t="shared" si="9"/>
        <v>3.144110198282779E-2</v>
      </c>
    </row>
    <row r="882" spans="1:7">
      <c r="A882" s="66">
        <v>81.188694734934785</v>
      </c>
      <c r="B882" s="66">
        <v>83.703499430523934</v>
      </c>
      <c r="C882" s="66">
        <v>80.648736669082652</v>
      </c>
      <c r="D882" s="66">
        <v>83.703499430523934</v>
      </c>
      <c r="E882" s="66">
        <v>1200117.1960961968</v>
      </c>
      <c r="F882" s="66" t="s">
        <v>876</v>
      </c>
      <c r="G882" s="25">
        <f t="shared" si="9"/>
        <v>-3.0044200215028072E-2</v>
      </c>
    </row>
    <row r="883" spans="1:7">
      <c r="A883" s="66">
        <v>83.703499430523934</v>
      </c>
      <c r="B883" s="66">
        <v>85.752090333143542</v>
      </c>
      <c r="C883" s="66">
        <v>83.518513796852389</v>
      </c>
      <c r="D883" s="66">
        <v>84.385946430420404</v>
      </c>
      <c r="E883" s="66">
        <v>875844.01439333113</v>
      </c>
      <c r="F883" s="66" t="s">
        <v>877</v>
      </c>
      <c r="G883" s="25">
        <f t="shared" si="9"/>
        <v>-8.0872115413100909E-3</v>
      </c>
    </row>
    <row r="884" spans="1:7">
      <c r="A884" s="66">
        <v>83.818490500103579</v>
      </c>
      <c r="B884" s="66">
        <v>84.42594332418723</v>
      </c>
      <c r="C884" s="66">
        <v>82.66358019258648</v>
      </c>
      <c r="D884" s="66">
        <v>83.443519621039584</v>
      </c>
      <c r="E884" s="66">
        <v>881556.45799787692</v>
      </c>
      <c r="F884" s="66" t="s">
        <v>878</v>
      </c>
      <c r="G884" s="25">
        <f t="shared" si="9"/>
        <v>4.4937088076693055E-3</v>
      </c>
    </row>
    <row r="885" spans="1:7">
      <c r="A885" s="66">
        <v>84.078470309587928</v>
      </c>
      <c r="B885" s="66">
        <v>86.572026655363459</v>
      </c>
      <c r="C885" s="66">
        <v>83.76349477117418</v>
      </c>
      <c r="D885" s="66">
        <v>86.475784129737036</v>
      </c>
      <c r="E885" s="66">
        <v>1442143.9908876745</v>
      </c>
      <c r="F885" s="66" t="s">
        <v>879</v>
      </c>
      <c r="G885" s="25">
        <f t="shared" si="9"/>
        <v>-2.7722371578065008E-2</v>
      </c>
    </row>
    <row r="886" spans="1:7">
      <c r="A886" s="66">
        <v>86.490782964899594</v>
      </c>
      <c r="B886" s="66">
        <v>88.003165510457691</v>
      </c>
      <c r="C886" s="66">
        <v>86.490782964899594</v>
      </c>
      <c r="D886" s="66">
        <v>87.743185700973314</v>
      </c>
      <c r="E886" s="66">
        <v>1442191.994615444</v>
      </c>
      <c r="F886" s="66" t="s">
        <v>880</v>
      </c>
      <c r="G886" s="25">
        <f t="shared" si="9"/>
        <v>-1.4273504273504267E-2</v>
      </c>
    </row>
    <row r="887" spans="1:7">
      <c r="A887" s="66">
        <v>87.945669975667869</v>
      </c>
      <c r="B887" s="66">
        <v>88.913094843652956</v>
      </c>
      <c r="C887" s="66">
        <v>85.532032423250186</v>
      </c>
      <c r="D887" s="66">
        <v>86.243302184717365</v>
      </c>
      <c r="E887" s="66">
        <v>2466583.5445908508</v>
      </c>
      <c r="F887" s="66" t="s">
        <v>881</v>
      </c>
      <c r="G887" s="25">
        <f t="shared" si="9"/>
        <v>1.9739130434782481E-2</v>
      </c>
    </row>
    <row r="888" spans="1:7">
      <c r="A888" s="66">
        <v>81.958634939946194</v>
      </c>
      <c r="B888" s="66">
        <v>82.153619797059463</v>
      </c>
      <c r="C888" s="66">
        <v>80.003786757092598</v>
      </c>
      <c r="D888" s="66">
        <v>80.246267925553965</v>
      </c>
      <c r="E888" s="66">
        <v>1564189.4684304532</v>
      </c>
      <c r="F888" s="66" t="s">
        <v>882</v>
      </c>
      <c r="G888" s="25">
        <f t="shared" ref="G888:G951" si="10">A888/D888-1</f>
        <v>2.1338899099716757E-2</v>
      </c>
    </row>
    <row r="889" spans="1:7">
      <c r="A889" s="66">
        <v>80.883718419962747</v>
      </c>
      <c r="B889" s="66">
        <v>82.253612031476536</v>
      </c>
      <c r="C889" s="66">
        <v>80.40625550062127</v>
      </c>
      <c r="D889" s="66">
        <v>81.316184833816564</v>
      </c>
      <c r="E889" s="66">
        <v>1753004.1309896703</v>
      </c>
      <c r="F889" s="66" t="s">
        <v>883</v>
      </c>
      <c r="G889" s="25">
        <f t="shared" si="10"/>
        <v>-5.3183313351166106E-3</v>
      </c>
    </row>
    <row r="890" spans="1:7">
      <c r="A890" s="66">
        <v>81.736152218368233</v>
      </c>
      <c r="B890" s="66">
        <v>82.941058643093839</v>
      </c>
      <c r="C890" s="66">
        <v>80.641237251501366</v>
      </c>
      <c r="D890" s="66">
        <v>82.941058643093839</v>
      </c>
      <c r="E890" s="66">
        <v>5298471.4571953695</v>
      </c>
      <c r="F890" s="66" t="s">
        <v>884</v>
      </c>
      <c r="G890" s="25">
        <f t="shared" si="10"/>
        <v>-1.4527261219445919E-2</v>
      </c>
    </row>
    <row r="891" spans="1:7">
      <c r="A891" s="66">
        <v>83.06854874197559</v>
      </c>
      <c r="B891" s="66">
        <v>84.04097322168154</v>
      </c>
      <c r="C891" s="66">
        <v>82.601085046075823</v>
      </c>
      <c r="D891" s="66">
        <v>83.243535152205453</v>
      </c>
      <c r="E891" s="66">
        <v>893521.38714437315</v>
      </c>
      <c r="F891" s="66" t="s">
        <v>885</v>
      </c>
      <c r="G891" s="25">
        <f t="shared" si="10"/>
        <v>-2.1021021021021546E-3</v>
      </c>
    </row>
    <row r="892" spans="1:7">
      <c r="A892" s="66">
        <v>82.621083492959229</v>
      </c>
      <c r="B892" s="66">
        <v>84.380946818699556</v>
      </c>
      <c r="C892" s="66">
        <v>82.046128145061118</v>
      </c>
      <c r="D892" s="66">
        <v>83.893484675916369</v>
      </c>
      <c r="E892" s="66">
        <v>1157165.8606746222</v>
      </c>
      <c r="F892" s="66" t="s">
        <v>886</v>
      </c>
      <c r="G892" s="25">
        <f t="shared" si="10"/>
        <v>-1.5166865315852318E-2</v>
      </c>
    </row>
    <row r="893" spans="1:7">
      <c r="A893" s="66">
        <v>85.008398089666628</v>
      </c>
      <c r="B893" s="66">
        <v>85.663347225098391</v>
      </c>
      <c r="C893" s="66">
        <v>83.693500207082238</v>
      </c>
      <c r="D893" s="66">
        <v>85.000898672085341</v>
      </c>
      <c r="E893" s="66">
        <v>1080575.913018716</v>
      </c>
      <c r="F893" s="66" t="s">
        <v>887</v>
      </c>
      <c r="G893" s="25">
        <f t="shared" si="10"/>
        <v>8.8227509337457377E-5</v>
      </c>
    </row>
    <row r="894" spans="1:7">
      <c r="A894" s="66">
        <v>84.605929346137941</v>
      </c>
      <c r="B894" s="66">
        <v>84.882157893715089</v>
      </c>
      <c r="C894" s="66">
        <v>83.191039229136507</v>
      </c>
      <c r="D894" s="66">
        <v>84.190961573307135</v>
      </c>
      <c r="E894" s="66">
        <v>1210566.0075073128</v>
      </c>
      <c r="F894" s="66" t="s">
        <v>888</v>
      </c>
      <c r="G894" s="25">
        <f t="shared" si="10"/>
        <v>4.9288874372752645E-3</v>
      </c>
    </row>
    <row r="895" spans="1:7">
      <c r="A895" s="66">
        <v>84.303452837026327</v>
      </c>
      <c r="B895" s="66">
        <v>85.530857514495779</v>
      </c>
      <c r="C895" s="66">
        <v>83.818490500103579</v>
      </c>
      <c r="D895" s="66">
        <v>85.530857514495779</v>
      </c>
      <c r="E895" s="66">
        <v>778764.47560123203</v>
      </c>
      <c r="F895" s="66" t="s">
        <v>889</v>
      </c>
      <c r="G895" s="25">
        <f t="shared" si="10"/>
        <v>-1.4350431097471805E-2</v>
      </c>
    </row>
    <row r="896" spans="1:7">
      <c r="A896" s="66">
        <v>86.273299855042481</v>
      </c>
      <c r="B896" s="66">
        <v>86.620772869641769</v>
      </c>
      <c r="C896" s="66">
        <v>84.895906825947435</v>
      </c>
      <c r="D896" s="66">
        <v>85.558355378960471</v>
      </c>
      <c r="E896" s="66">
        <v>684445.15115586715</v>
      </c>
      <c r="F896" s="66" t="s">
        <v>890</v>
      </c>
      <c r="G896" s="25">
        <f t="shared" si="10"/>
        <v>8.3562204172267229E-3</v>
      </c>
    </row>
    <row r="897" spans="1:7">
      <c r="A897" s="66">
        <v>85.925826840443193</v>
      </c>
      <c r="B897" s="66">
        <v>86.905750737730401</v>
      </c>
      <c r="C897" s="66">
        <v>84.483438858977038</v>
      </c>
      <c r="D897" s="66">
        <v>85.193383723338201</v>
      </c>
      <c r="E897" s="66">
        <v>822043.83649589657</v>
      </c>
      <c r="F897" s="66" t="s">
        <v>891</v>
      </c>
      <c r="G897" s="25">
        <f t="shared" si="10"/>
        <v>8.5974178403755985E-3</v>
      </c>
    </row>
    <row r="898" spans="1:7">
      <c r="A898" s="66">
        <v>86.513281217643424</v>
      </c>
      <c r="B898" s="66">
        <v>86.645770928246051</v>
      </c>
      <c r="C898" s="66">
        <v>83.908483511078927</v>
      </c>
      <c r="D898" s="66">
        <v>83.978478075170869</v>
      </c>
      <c r="E898" s="66">
        <v>1464925.7600248512</v>
      </c>
      <c r="F898" s="66" t="s">
        <v>892</v>
      </c>
      <c r="G898" s="25">
        <f t="shared" si="10"/>
        <v>3.0183961421682337E-2</v>
      </c>
    </row>
    <row r="899" spans="1:7">
      <c r="A899" s="66">
        <v>84.388446236280828</v>
      </c>
      <c r="B899" s="66">
        <v>85.945825287326599</v>
      </c>
      <c r="C899" s="66">
        <v>83.965979045868735</v>
      </c>
      <c r="D899" s="66">
        <v>84.410944489024672</v>
      </c>
      <c r="E899" s="66">
        <v>726720.434078024</v>
      </c>
      <c r="F899" s="66" t="s">
        <v>893</v>
      </c>
      <c r="G899" s="25">
        <f t="shared" si="10"/>
        <v>-2.6653241330298894E-4</v>
      </c>
    </row>
    <row r="900" spans="1:7">
      <c r="A900" s="66">
        <v>84.590930510975383</v>
      </c>
      <c r="B900" s="66">
        <v>84.945902943155957</v>
      </c>
      <c r="C900" s="66">
        <v>83.77349399461589</v>
      </c>
      <c r="D900" s="66">
        <v>84.093469144750486</v>
      </c>
      <c r="E900" s="66">
        <v>962334.73090165388</v>
      </c>
      <c r="F900" s="66" t="s">
        <v>894</v>
      </c>
      <c r="G900" s="25">
        <f t="shared" si="10"/>
        <v>5.9155766944114507E-3</v>
      </c>
    </row>
    <row r="901" spans="1:7">
      <c r="A901" s="66">
        <v>83.778493606336738</v>
      </c>
      <c r="B901" s="66">
        <v>84.275954972561635</v>
      </c>
      <c r="C901" s="66">
        <v>82.833566991095495</v>
      </c>
      <c r="D901" s="66">
        <v>83.676001566059256</v>
      </c>
      <c r="E901" s="66">
        <v>1119034.8995832142</v>
      </c>
      <c r="F901" s="66" t="s">
        <v>895</v>
      </c>
      <c r="G901" s="25">
        <f t="shared" si="10"/>
        <v>1.2248678039015193E-3</v>
      </c>
    </row>
    <row r="902" spans="1:7">
      <c r="A902" s="66">
        <v>83.898484287637217</v>
      </c>
      <c r="B902" s="66">
        <v>86.613273452060497</v>
      </c>
      <c r="C902" s="66">
        <v>83.548511467177505</v>
      </c>
      <c r="D902" s="66">
        <v>86.613273452060497</v>
      </c>
      <c r="E902" s="66">
        <v>937956.83781614818</v>
      </c>
      <c r="F902" s="66" t="s">
        <v>896</v>
      </c>
      <c r="G902" s="25">
        <f t="shared" si="10"/>
        <v>-3.1343800507965813E-2</v>
      </c>
    </row>
    <row r="903" spans="1:7">
      <c r="A903" s="66">
        <v>86.108312668254314</v>
      </c>
      <c r="B903" s="66">
        <v>87.58929765220546</v>
      </c>
      <c r="C903" s="66">
        <v>86.053316939324944</v>
      </c>
      <c r="D903" s="66">
        <v>86.438287041830634</v>
      </c>
      <c r="E903" s="66">
        <v>756050.7117450618</v>
      </c>
      <c r="F903" s="66" t="s">
        <v>897</v>
      </c>
      <c r="G903" s="25">
        <f t="shared" si="10"/>
        <v>-3.8174561860143674E-3</v>
      </c>
    </row>
    <row r="904" spans="1:7">
      <c r="A904" s="66">
        <v>87.228225693725435</v>
      </c>
      <c r="B904" s="66">
        <v>87.703188807206487</v>
      </c>
      <c r="C904" s="66">
        <v>85.073393042037722</v>
      </c>
      <c r="D904" s="66">
        <v>86.13581053271902</v>
      </c>
      <c r="E904" s="66">
        <v>861678.91439074243</v>
      </c>
      <c r="F904" s="66" t="s">
        <v>898</v>
      </c>
      <c r="G904" s="25">
        <f t="shared" si="10"/>
        <v>1.2682473807934525E-2</v>
      </c>
    </row>
    <row r="905" spans="1:7">
      <c r="A905" s="66">
        <v>86.603274228618787</v>
      </c>
      <c r="B905" s="66">
        <v>88.393135224684229</v>
      </c>
      <c r="C905" s="66">
        <v>86.255801214019499</v>
      </c>
      <c r="D905" s="66">
        <v>87.488205503209812</v>
      </c>
      <c r="E905" s="66">
        <v>1001725.7898470057</v>
      </c>
      <c r="F905" s="66" t="s">
        <v>899</v>
      </c>
      <c r="G905" s="25">
        <f t="shared" si="10"/>
        <v>-1.0114863706497612E-2</v>
      </c>
    </row>
    <row r="906" spans="1:7">
      <c r="A906" s="66">
        <v>88.615617946262205</v>
      </c>
      <c r="B906" s="66">
        <v>90.537968652930246</v>
      </c>
      <c r="C906" s="66">
        <v>88.529374644077478</v>
      </c>
      <c r="D906" s="66">
        <v>89.228070382066704</v>
      </c>
      <c r="E906" s="66">
        <v>1045833.2150456907</v>
      </c>
      <c r="F906" s="66" t="s">
        <v>900</v>
      </c>
      <c r="G906" s="25">
        <f t="shared" si="10"/>
        <v>-6.8638986944582481E-3</v>
      </c>
    </row>
    <row r="907" spans="1:7">
      <c r="A907" s="66">
        <v>90.625461858045171</v>
      </c>
      <c r="B907" s="66">
        <v>92.932782667218916</v>
      </c>
      <c r="C907" s="66">
        <v>89.550545338061738</v>
      </c>
      <c r="D907" s="66">
        <v>90.018009033961519</v>
      </c>
      <c r="E907" s="66">
        <v>2079477.4835486286</v>
      </c>
      <c r="F907" s="66" t="s">
        <v>901</v>
      </c>
      <c r="G907" s="25">
        <f t="shared" si="10"/>
        <v>6.748125520688486E-3</v>
      </c>
    </row>
    <row r="908" spans="1:7">
      <c r="A908" s="66">
        <v>89.138077371091356</v>
      </c>
      <c r="B908" s="66">
        <v>89.360560092669331</v>
      </c>
      <c r="C908" s="66">
        <v>86.848255202940607</v>
      </c>
      <c r="D908" s="66">
        <v>87.45320822116382</v>
      </c>
      <c r="E908" s="66">
        <v>1209225.9034404201</v>
      </c>
      <c r="F908" s="66" t="s">
        <v>902</v>
      </c>
      <c r="G908" s="25">
        <f t="shared" si="10"/>
        <v>1.9265950148639632E-2</v>
      </c>
    </row>
    <row r="909" spans="1:7">
      <c r="A909" s="66">
        <v>87.225725887865011</v>
      </c>
      <c r="B909" s="66">
        <v>87.333217539863355</v>
      </c>
      <c r="C909" s="66">
        <v>84.785915368088666</v>
      </c>
      <c r="D909" s="66">
        <v>85.645848584075409</v>
      </c>
      <c r="E909" s="66">
        <v>1084412.2109296122</v>
      </c>
      <c r="F909" s="66" t="s">
        <v>903</v>
      </c>
      <c r="G909" s="25">
        <f t="shared" si="10"/>
        <v>1.8446630279326248E-2</v>
      </c>
    </row>
    <row r="910" spans="1:7">
      <c r="A910" s="66">
        <v>85.205882752640335</v>
      </c>
      <c r="B910" s="66">
        <v>85.780838100538432</v>
      </c>
      <c r="C910" s="66">
        <v>84.647176142834979</v>
      </c>
      <c r="D910" s="66">
        <v>85.103390712362838</v>
      </c>
      <c r="E910" s="66">
        <v>953922.07761008537</v>
      </c>
      <c r="F910" s="66" t="s">
        <v>904</v>
      </c>
      <c r="G910" s="25">
        <f t="shared" si="10"/>
        <v>1.2043238162378067E-3</v>
      </c>
    </row>
    <row r="911" spans="1:7">
      <c r="A911" s="66">
        <v>86.11331227997519</v>
      </c>
      <c r="B911" s="66">
        <v>87.283221422654833</v>
      </c>
      <c r="C911" s="66">
        <v>86.005820627976846</v>
      </c>
      <c r="D911" s="66">
        <v>86.690767433733726</v>
      </c>
      <c r="E911" s="66">
        <v>620228.16433249612</v>
      </c>
      <c r="F911" s="66" t="s">
        <v>905</v>
      </c>
      <c r="G911" s="25">
        <f t="shared" si="10"/>
        <v>-6.6610917269817049E-3</v>
      </c>
    </row>
    <row r="912" spans="1:7">
      <c r="A912" s="66">
        <v>87.270722393352699</v>
      </c>
      <c r="B912" s="66">
        <v>87.358215598467609</v>
      </c>
      <c r="C912" s="66">
        <v>85.663347225098391</v>
      </c>
      <c r="D912" s="66">
        <v>86.413288983226366</v>
      </c>
      <c r="E912" s="66">
        <v>775860.25007118983</v>
      </c>
      <c r="F912" s="66" t="s">
        <v>906</v>
      </c>
      <c r="G912" s="25">
        <f t="shared" si="10"/>
        <v>9.9224716500811994E-3</v>
      </c>
    </row>
    <row r="913" spans="1:7">
      <c r="A913" s="66">
        <v>85.888329752536777</v>
      </c>
      <c r="B913" s="66">
        <v>85.995821404535121</v>
      </c>
      <c r="C913" s="66">
        <v>84.440942159349802</v>
      </c>
      <c r="D913" s="66">
        <v>84.77841595050738</v>
      </c>
      <c r="E913" s="66">
        <v>709351.08524683502</v>
      </c>
      <c r="F913" s="66" t="s">
        <v>907</v>
      </c>
      <c r="G913" s="25">
        <f t="shared" si="10"/>
        <v>1.3091938432505668E-2</v>
      </c>
    </row>
    <row r="914" spans="1:7">
      <c r="A914" s="66">
        <v>85.780838100538432</v>
      </c>
      <c r="B914" s="66">
        <v>87.308219481259087</v>
      </c>
      <c r="C914" s="66">
        <v>85.045895177573016</v>
      </c>
      <c r="D914" s="66">
        <v>86.998243554566187</v>
      </c>
      <c r="E914" s="66">
        <v>875712.00414196553</v>
      </c>
      <c r="F914" s="66" t="s">
        <v>908</v>
      </c>
      <c r="G914" s="25">
        <f t="shared" si="10"/>
        <v>-1.3993448652376395E-2</v>
      </c>
    </row>
    <row r="915" spans="1:7">
      <c r="A915" s="66">
        <v>86.528280052805997</v>
      </c>
      <c r="B915" s="66">
        <v>86.533279664526859</v>
      </c>
      <c r="C915" s="66">
        <v>85.40836702733489</v>
      </c>
      <c r="D915" s="66">
        <v>85.920827228722331</v>
      </c>
      <c r="E915" s="66">
        <v>1257741.670972585</v>
      </c>
      <c r="F915" s="66" t="s">
        <v>909</v>
      </c>
      <c r="G915" s="25">
        <f t="shared" si="10"/>
        <v>7.0699135899450205E-3</v>
      </c>
    </row>
    <row r="916" spans="1:7">
      <c r="A916" s="66">
        <v>85.925826840443193</v>
      </c>
      <c r="B916" s="66">
        <v>86.43578723597021</v>
      </c>
      <c r="C916" s="66">
        <v>84.97090100176024</v>
      </c>
      <c r="D916" s="66">
        <v>85.670846642679663</v>
      </c>
      <c r="E916" s="66">
        <v>1019443.1657045222</v>
      </c>
      <c r="F916" s="66" t="s">
        <v>910</v>
      </c>
      <c r="G916" s="25">
        <f t="shared" si="10"/>
        <v>2.976277319016285E-3</v>
      </c>
    </row>
    <row r="917" spans="1:7">
      <c r="A917" s="66">
        <v>85.583353437564753</v>
      </c>
      <c r="B917" s="66">
        <v>86.200751384323681</v>
      </c>
      <c r="C917" s="66">
        <v>84.073602992858753</v>
      </c>
      <c r="D917" s="66">
        <v>84.073602992858753</v>
      </c>
      <c r="E917" s="66">
        <v>772459.66317770781</v>
      </c>
      <c r="F917" s="66" t="s">
        <v>911</v>
      </c>
      <c r="G917" s="25">
        <f t="shared" si="10"/>
        <v>1.7957484762895604E-2</v>
      </c>
    </row>
    <row r="918" spans="1:7">
      <c r="A918" s="66">
        <v>84.840976149356678</v>
      </c>
      <c r="B918" s="66">
        <v>87.665509266107989</v>
      </c>
      <c r="C918" s="66">
        <v>84.367304445264296</v>
      </c>
      <c r="D918" s="66">
        <v>86.47070676185389</v>
      </c>
      <c r="E918" s="66">
        <v>1780658.2865577454</v>
      </c>
      <c r="F918" s="66" t="s">
        <v>912</v>
      </c>
      <c r="G918" s="25">
        <f t="shared" si="10"/>
        <v>-1.8847198936231657E-2</v>
      </c>
    </row>
    <row r="919" spans="1:7">
      <c r="A919" s="66">
        <v>86.318231965285889</v>
      </c>
      <c r="B919" s="66">
        <v>87.847979104623775</v>
      </c>
      <c r="C919" s="66">
        <v>85.763323689251578</v>
      </c>
      <c r="D919" s="66">
        <v>87.29307082858945</v>
      </c>
      <c r="E919" s="66">
        <v>1600004.4301827534</v>
      </c>
      <c r="F919" s="66" t="s">
        <v>913</v>
      </c>
      <c r="G919" s="25">
        <f t="shared" si="10"/>
        <v>-1.1167425478910809E-2</v>
      </c>
    </row>
    <row r="920" spans="1:7">
      <c r="A920" s="66">
        <v>87.58302290075153</v>
      </c>
      <c r="B920" s="66">
        <v>88.011702041922206</v>
      </c>
      <c r="C920" s="66">
        <v>86.8931369359521</v>
      </c>
      <c r="D920" s="66">
        <v>87.023115451059226</v>
      </c>
      <c r="E920" s="66">
        <v>824384.24467055534</v>
      </c>
      <c r="F920" s="66" t="s">
        <v>914</v>
      </c>
      <c r="G920" s="25">
        <f t="shared" si="10"/>
        <v>6.4340083297429462E-3</v>
      </c>
    </row>
    <row r="921" spans="1:7">
      <c r="A921" s="66">
        <v>87.348061738827084</v>
      </c>
      <c r="B921" s="66">
        <v>88.467876638211678</v>
      </c>
      <c r="C921" s="66">
        <v>86.580688582329159</v>
      </c>
      <c r="D921" s="66">
        <v>88.235415063116221</v>
      </c>
      <c r="E921" s="66">
        <v>908974.22472177399</v>
      </c>
      <c r="F921" s="66" t="s">
        <v>915</v>
      </c>
      <c r="G921" s="25">
        <f t="shared" si="10"/>
        <v>-1.0056657223796117E-2</v>
      </c>
    </row>
    <row r="922" spans="1:7">
      <c r="A922" s="66">
        <v>87.563026206119659</v>
      </c>
      <c r="B922" s="66">
        <v>88.125433242640938</v>
      </c>
      <c r="C922" s="66">
        <v>86.509450357703145</v>
      </c>
      <c r="D922" s="66">
        <v>86.913133630583957</v>
      </c>
      <c r="E922" s="66">
        <v>1436861.4678053109</v>
      </c>
      <c r="F922" s="66" t="s">
        <v>916</v>
      </c>
      <c r="G922" s="25">
        <f t="shared" si="10"/>
        <v>7.4774956141612225E-3</v>
      </c>
    </row>
    <row r="923" spans="1:7">
      <c r="A923" s="66">
        <v>85.948293114596353</v>
      </c>
      <c r="B923" s="66">
        <v>86.978122888137534</v>
      </c>
      <c r="C923" s="66">
        <v>85.888303030700754</v>
      </c>
      <c r="D923" s="66">
        <v>86.033279066781787</v>
      </c>
      <c r="E923" s="66">
        <v>1273082.4002997873</v>
      </c>
      <c r="F923" s="66" t="s">
        <v>917</v>
      </c>
      <c r="G923" s="25">
        <f t="shared" si="10"/>
        <v>-9.8782649118211996E-4</v>
      </c>
    </row>
    <row r="924" spans="1:7">
      <c r="A924" s="66">
        <v>86.04827658775568</v>
      </c>
      <c r="B924" s="66">
        <v>86.995619995940416</v>
      </c>
      <c r="C924" s="66">
        <v>85.229661901263611</v>
      </c>
      <c r="D924" s="66">
        <v>86.870640654491254</v>
      </c>
      <c r="E924" s="66">
        <v>1487237.7934203765</v>
      </c>
      <c r="F924" s="66" t="s">
        <v>918</v>
      </c>
      <c r="G924" s="25">
        <f t="shared" si="10"/>
        <v>-9.4665362260460961E-3</v>
      </c>
    </row>
    <row r="925" spans="1:7">
      <c r="A925" s="66">
        <v>86.278238576022162</v>
      </c>
      <c r="B925" s="66">
        <v>86.960625780334638</v>
      </c>
      <c r="C925" s="66">
        <v>83.456205046099839</v>
      </c>
      <c r="D925" s="66">
        <v>85.73082906047479</v>
      </c>
      <c r="E925" s="66">
        <v>1086555.5733082995</v>
      </c>
      <c r="F925" s="66" t="s">
        <v>919</v>
      </c>
      <c r="G925" s="25">
        <f t="shared" si="10"/>
        <v>6.3852119657121786E-3</v>
      </c>
    </row>
    <row r="926" spans="1:7">
      <c r="A926" s="66">
        <v>84.825978628382771</v>
      </c>
      <c r="B926" s="66">
        <v>85.238410455165038</v>
      </c>
      <c r="C926" s="66">
        <v>84.141091837241305</v>
      </c>
      <c r="D926" s="66">
        <v>84.561022424510526</v>
      </c>
      <c r="E926" s="66">
        <v>1044860.682460125</v>
      </c>
      <c r="F926" s="66" t="s">
        <v>920</v>
      </c>
      <c r="G926" s="25">
        <f t="shared" si="10"/>
        <v>3.133313626958234E-3</v>
      </c>
    </row>
    <row r="927" spans="1:7">
      <c r="A927" s="66">
        <v>85.378387317588121</v>
      </c>
      <c r="B927" s="66">
        <v>85.483369964405426</v>
      </c>
      <c r="C927" s="66">
        <v>83.906130675316859</v>
      </c>
      <c r="D927" s="66">
        <v>84.546024903536633</v>
      </c>
      <c r="E927" s="66">
        <v>1176546.4459564318</v>
      </c>
      <c r="F927" s="66" t="s">
        <v>921</v>
      </c>
      <c r="G927" s="25">
        <f t="shared" si="10"/>
        <v>9.8450804162724115E-3</v>
      </c>
    </row>
    <row r="928" spans="1:7">
      <c r="A928" s="66">
        <v>83.156254626621816</v>
      </c>
      <c r="B928" s="66">
        <v>84.678503005472749</v>
      </c>
      <c r="C928" s="66">
        <v>82.098929397961811</v>
      </c>
      <c r="D928" s="66">
        <v>83.463703806586793</v>
      </c>
      <c r="E928" s="66">
        <v>1078658.2681332566</v>
      </c>
      <c r="F928" s="66" t="s">
        <v>922</v>
      </c>
      <c r="G928" s="25">
        <f t="shared" si="10"/>
        <v>-3.6836273247283779E-3</v>
      </c>
    </row>
    <row r="929" spans="1:7">
      <c r="A929" s="66">
        <v>82.653837673996151</v>
      </c>
      <c r="B929" s="66">
        <v>83.568686453404084</v>
      </c>
      <c r="C929" s="66">
        <v>81.771483523364978</v>
      </c>
      <c r="D929" s="66">
        <v>82.986282722250948</v>
      </c>
      <c r="E929" s="66">
        <v>1027949.8876400104</v>
      </c>
      <c r="F929" s="66" t="s">
        <v>923</v>
      </c>
      <c r="G929" s="25">
        <f t="shared" si="10"/>
        <v>-4.0060240963855076E-3</v>
      </c>
    </row>
    <row r="930" spans="1:7">
      <c r="A930" s="66">
        <v>83.581184387549001</v>
      </c>
      <c r="B930" s="66">
        <v>84.468537711838138</v>
      </c>
      <c r="C930" s="66">
        <v>82.462594285710622</v>
      </c>
      <c r="D930" s="66">
        <v>82.813811231051091</v>
      </c>
      <c r="E930" s="66">
        <v>560536.63899717643</v>
      </c>
      <c r="F930" s="66" t="s">
        <v>924</v>
      </c>
      <c r="G930" s="25">
        <f t="shared" si="10"/>
        <v>9.2662461139112473E-3</v>
      </c>
    </row>
    <row r="931" spans="1:7">
      <c r="A931" s="66">
        <v>82.083931876987904</v>
      </c>
      <c r="B931" s="66">
        <v>84.008613735305175</v>
      </c>
      <c r="C931" s="66">
        <v>82.056436421869094</v>
      </c>
      <c r="D931" s="66">
        <v>83.356221572940498</v>
      </c>
      <c r="E931" s="66">
        <v>612625.24759852281</v>
      </c>
      <c r="F931" s="66" t="s">
        <v>925</v>
      </c>
      <c r="G931" s="25">
        <f t="shared" si="10"/>
        <v>-1.5263284154971912E-2</v>
      </c>
    </row>
    <row r="932" spans="1:7">
      <c r="A932" s="66">
        <v>83.346223225624556</v>
      </c>
      <c r="B932" s="66">
        <v>84.036109190424</v>
      </c>
      <c r="C932" s="66">
        <v>82.558853374494774</v>
      </c>
      <c r="D932" s="66">
        <v>83.396214962204226</v>
      </c>
      <c r="E932" s="66">
        <v>896992.24447899114</v>
      </c>
      <c r="F932" s="66" t="s">
        <v>926</v>
      </c>
      <c r="G932" s="25">
        <f t="shared" si="10"/>
        <v>-5.9944850737325694E-4</v>
      </c>
    </row>
    <row r="933" spans="1:7">
      <c r="A933" s="66">
        <v>83.168752560766748</v>
      </c>
      <c r="B933" s="66">
        <v>83.258737686610132</v>
      </c>
      <c r="C933" s="66">
        <v>81.993946751144506</v>
      </c>
      <c r="D933" s="66">
        <v>82.381382709636938</v>
      </c>
      <c r="E933" s="66">
        <v>936898.83977840969</v>
      </c>
      <c r="F933" s="66" t="s">
        <v>927</v>
      </c>
      <c r="G933" s="25">
        <f t="shared" si="10"/>
        <v>9.5576187875481278E-3</v>
      </c>
    </row>
    <row r="934" spans="1:7">
      <c r="A934" s="66">
        <v>82.693831063259879</v>
      </c>
      <c r="B934" s="66">
        <v>82.79381453641922</v>
      </c>
      <c r="C934" s="66">
        <v>80.644169863493445</v>
      </c>
      <c r="D934" s="66">
        <v>82.041438900895201</v>
      </c>
      <c r="E934" s="66">
        <v>1154250.7611841352</v>
      </c>
      <c r="F934" s="66" t="s">
        <v>928</v>
      </c>
      <c r="G934" s="25">
        <f t="shared" si="10"/>
        <v>7.9519834257508748E-3</v>
      </c>
    </row>
    <row r="935" spans="1:7">
      <c r="A935" s="66">
        <v>82.158919481857424</v>
      </c>
      <c r="B935" s="66">
        <v>82.856304207143808</v>
      </c>
      <c r="C935" s="66">
        <v>80.641670276664456</v>
      </c>
      <c r="D935" s="66">
        <v>80.689162426415137</v>
      </c>
      <c r="E935" s="66">
        <v>1267029.3999300611</v>
      </c>
      <c r="F935" s="66" t="s">
        <v>929</v>
      </c>
      <c r="G935" s="25">
        <f t="shared" si="10"/>
        <v>1.8215049100089864E-2</v>
      </c>
    </row>
    <row r="936" spans="1:7">
      <c r="A936" s="66">
        <v>79.959283072351965</v>
      </c>
      <c r="B936" s="66">
        <v>80.06676530599826</v>
      </c>
      <c r="C936" s="66">
        <v>78.209572292063541</v>
      </c>
      <c r="D936" s="66">
        <v>78.846966933454325</v>
      </c>
      <c r="E936" s="66">
        <v>987723.23944595992</v>
      </c>
      <c r="F936" s="66" t="s">
        <v>930</v>
      </c>
      <c r="G936" s="25">
        <f t="shared" si="10"/>
        <v>1.4107278721785521E-2</v>
      </c>
    </row>
    <row r="937" spans="1:7">
      <c r="A937" s="66">
        <v>79.051933053430972</v>
      </c>
      <c r="B937" s="66">
        <v>79.511857029963934</v>
      </c>
      <c r="C937" s="66">
        <v>78.696991723715314</v>
      </c>
      <c r="D937" s="66">
        <v>79.166914047564219</v>
      </c>
      <c r="E937" s="66">
        <v>851704.75988857332</v>
      </c>
      <c r="F937" s="66" t="s">
        <v>931</v>
      </c>
      <c r="G937" s="25">
        <f t="shared" si="10"/>
        <v>-1.4523869664058164E-3</v>
      </c>
    </row>
    <row r="938" spans="1:7">
      <c r="A938" s="66">
        <v>79.451866946068336</v>
      </c>
      <c r="B938" s="66">
        <v>80.41420787522695</v>
      </c>
      <c r="C938" s="66">
        <v>78.86321424784272</v>
      </c>
      <c r="D938" s="66">
        <v>79.951784311865026</v>
      </c>
      <c r="E938" s="66">
        <v>1983415.795968255</v>
      </c>
      <c r="F938" s="66" t="s">
        <v>932</v>
      </c>
      <c r="G938" s="25">
        <f t="shared" si="10"/>
        <v>-6.2527355718126065E-3</v>
      </c>
    </row>
    <row r="939" spans="1:7">
      <c r="A939" s="66">
        <v>81.011609127354021</v>
      </c>
      <c r="B939" s="66">
        <v>81.823974846773638</v>
      </c>
      <c r="C939" s="66">
        <v>79.961782659180955</v>
      </c>
      <c r="D939" s="66">
        <v>80.496694240583423</v>
      </c>
      <c r="E939" s="66">
        <v>2008119.8787726569</v>
      </c>
      <c r="F939" s="66" t="s">
        <v>933</v>
      </c>
      <c r="G939" s="25">
        <f t="shared" si="10"/>
        <v>6.3967209042354867E-3</v>
      </c>
    </row>
    <row r="940" spans="1:7">
      <c r="A940" s="66">
        <v>81.20157772635676</v>
      </c>
      <c r="B940" s="66">
        <v>83.683667447537331</v>
      </c>
      <c r="C940" s="66">
        <v>80.419207048884928</v>
      </c>
      <c r="D940" s="66">
        <v>81.156585163435054</v>
      </c>
      <c r="E940" s="66">
        <v>2658775.4115758184</v>
      </c>
      <c r="F940" s="66" t="s">
        <v>934</v>
      </c>
      <c r="G940" s="25">
        <f t="shared" si="10"/>
        <v>5.5439201675500094E-4</v>
      </c>
    </row>
    <row r="941" spans="1:7">
      <c r="A941" s="66">
        <v>82.443872380361526</v>
      </c>
      <c r="B941" s="66">
        <v>82.956287680303149</v>
      </c>
      <c r="C941" s="66">
        <v>80.059266545511321</v>
      </c>
      <c r="D941" s="66">
        <v>81.09909466636843</v>
      </c>
      <c r="E941" s="66">
        <v>2009412.0923347333</v>
      </c>
      <c r="F941" s="66" t="s">
        <v>935</v>
      </c>
      <c r="G941" s="25">
        <f t="shared" si="10"/>
        <v>1.6581907844043675E-2</v>
      </c>
    </row>
    <row r="942" spans="1:7">
      <c r="A942" s="66">
        <v>78.517021472028517</v>
      </c>
      <c r="B942" s="66">
        <v>79.204407849998972</v>
      </c>
      <c r="C942" s="66">
        <v>77.164744997548453</v>
      </c>
      <c r="D942" s="66">
        <v>77.742149555043639</v>
      </c>
      <c r="E942" s="66">
        <v>1992201.2479259013</v>
      </c>
      <c r="F942" s="66" t="s">
        <v>936</v>
      </c>
      <c r="G942" s="25">
        <f t="shared" si="10"/>
        <v>9.9672046813710224E-3</v>
      </c>
    </row>
    <row r="943" spans="1:7">
      <c r="A943" s="66">
        <v>77.354713596551207</v>
      </c>
      <c r="B943" s="66">
        <v>81.893963277985165</v>
      </c>
      <c r="C943" s="66">
        <v>76.23864807741009</v>
      </c>
      <c r="D943" s="66">
        <v>78.127085926707096</v>
      </c>
      <c r="E943" s="66">
        <v>3266867.9100541165</v>
      </c>
      <c r="F943" s="66" t="s">
        <v>937</v>
      </c>
      <c r="G943" s="25">
        <f t="shared" si="10"/>
        <v>-9.8861018684412993E-3</v>
      </c>
    </row>
    <row r="944" spans="1:7">
      <c r="A944" s="66">
        <v>79.844302078218732</v>
      </c>
      <c r="B944" s="66">
        <v>80.347968824258899</v>
      </c>
      <c r="C944" s="66">
        <v>77.933692893748642</v>
      </c>
      <c r="D944" s="66">
        <v>78.622004118845823</v>
      </c>
      <c r="E944" s="66">
        <v>1373907.0634312106</v>
      </c>
      <c r="F944" s="66" t="s">
        <v>938</v>
      </c>
      <c r="G944" s="25">
        <f t="shared" si="10"/>
        <v>1.5546512367266452E-2</v>
      </c>
    </row>
    <row r="945" spans="1:7">
      <c r="A945" s="66">
        <v>78.632002466161751</v>
      </c>
      <c r="B945" s="66">
        <v>79.919289683088238</v>
      </c>
      <c r="C945" s="66">
        <v>78.109588818904214</v>
      </c>
      <c r="D945" s="66">
        <v>78.489526016909693</v>
      </c>
      <c r="E945" s="66">
        <v>1074673.6095950892</v>
      </c>
      <c r="F945" s="66" t="s">
        <v>939</v>
      </c>
      <c r="G945" s="25">
        <f t="shared" si="10"/>
        <v>1.8152288143689077E-3</v>
      </c>
    </row>
    <row r="946" spans="1:7">
      <c r="A946" s="66">
        <v>78.262063615472201</v>
      </c>
      <c r="B946" s="66">
        <v>80.799144246890421</v>
      </c>
      <c r="C946" s="66">
        <v>77.509687979948168</v>
      </c>
      <c r="D946" s="66">
        <v>80.171747952815565</v>
      </c>
      <c r="E946" s="66">
        <v>1335928.7868219493</v>
      </c>
      <c r="F946" s="66" t="s">
        <v>940</v>
      </c>
      <c r="G946" s="25">
        <f t="shared" si="10"/>
        <v>-2.3819916443225009E-2</v>
      </c>
    </row>
    <row r="947" spans="1:7">
      <c r="A947" s="66">
        <v>80.376714072792211</v>
      </c>
      <c r="B947" s="66">
        <v>80.495444447168936</v>
      </c>
      <c r="C947" s="66">
        <v>78.604507011042941</v>
      </c>
      <c r="D947" s="66">
        <v>79.53685289825377</v>
      </c>
      <c r="E947" s="66">
        <v>1237796.5686666172</v>
      </c>
      <c r="F947" s="66" t="s">
        <v>941</v>
      </c>
      <c r="G947" s="25">
        <f t="shared" si="10"/>
        <v>1.05593966059081E-2</v>
      </c>
    </row>
    <row r="948" spans="1:7">
      <c r="A948" s="66">
        <v>80.56668267179495</v>
      </c>
      <c r="B948" s="66">
        <v>81.511526493150711</v>
      </c>
      <c r="C948" s="66">
        <v>80.282979566705336</v>
      </c>
      <c r="D948" s="66">
        <v>80.282979566705336</v>
      </c>
      <c r="E948" s="66">
        <v>1154086.7340756364</v>
      </c>
      <c r="F948" s="66" t="s">
        <v>942</v>
      </c>
      <c r="G948" s="25">
        <f t="shared" si="10"/>
        <v>3.5337889378395104E-3</v>
      </c>
    </row>
    <row r="949" spans="1:7">
      <c r="A949" s="66">
        <v>81.641505008257838</v>
      </c>
      <c r="B949" s="66">
        <v>82.201412457950141</v>
      </c>
      <c r="C949" s="66">
        <v>79.924288856746202</v>
      </c>
      <c r="D949" s="66">
        <v>80.21924010256626</v>
      </c>
      <c r="E949" s="66">
        <v>1270750.0148301572</v>
      </c>
      <c r="F949" s="66" t="s">
        <v>943</v>
      </c>
      <c r="G949" s="25">
        <f t="shared" si="10"/>
        <v>1.7729722992552821E-2</v>
      </c>
    </row>
    <row r="950" spans="1:7">
      <c r="A950" s="66">
        <v>79.074429334891832</v>
      </c>
      <c r="B950" s="66">
        <v>79.449367359239346</v>
      </c>
      <c r="C950" s="66">
        <v>76.458611718360629</v>
      </c>
      <c r="D950" s="66">
        <v>79.449367359239346</v>
      </c>
      <c r="E950" s="66">
        <v>4776701.4378355071</v>
      </c>
      <c r="F950" s="66" t="s">
        <v>944</v>
      </c>
      <c r="G950" s="25">
        <f t="shared" si="10"/>
        <v>-4.7192071731948504E-3</v>
      </c>
    </row>
    <row r="951" spans="1:7">
      <c r="A951" s="66">
        <v>76.847297470267563</v>
      </c>
      <c r="B951" s="66">
        <v>77.937117327704357</v>
      </c>
      <c r="C951" s="66">
        <v>76.654829284435834</v>
      </c>
      <c r="D951" s="66">
        <v>76.952280117084868</v>
      </c>
      <c r="E951" s="66">
        <v>1219181.4921825877</v>
      </c>
      <c r="F951" s="66" t="s">
        <v>945</v>
      </c>
      <c r="G951" s="25">
        <f t="shared" si="10"/>
        <v>-1.3642564802183177E-3</v>
      </c>
    </row>
    <row r="952" spans="1:7">
      <c r="A952" s="66">
        <v>77.069760698047091</v>
      </c>
      <c r="B952" s="66">
        <v>79.253149793164141</v>
      </c>
      <c r="C952" s="66">
        <v>76.849797057096538</v>
      </c>
      <c r="D952" s="66">
        <v>78.229568986695426</v>
      </c>
      <c r="E952" s="66">
        <v>935990.68968989165</v>
      </c>
      <c r="F952" s="66" t="s">
        <v>946</v>
      </c>
      <c r="G952" s="25">
        <f t="shared" ref="G952:G1015" si="11">A952/D952-1</f>
        <v>-1.4825702143975605E-2</v>
      </c>
    </row>
    <row r="953" spans="1:7">
      <c r="A953" s="66">
        <v>78.58201072958208</v>
      </c>
      <c r="B953" s="66">
        <v>78.911956191007903</v>
      </c>
      <c r="C953" s="66">
        <v>77.30097247972806</v>
      </c>
      <c r="D953" s="66">
        <v>78.739484699808045</v>
      </c>
      <c r="E953" s="66">
        <v>477542.92275793455</v>
      </c>
      <c r="F953" s="66" t="s">
        <v>947</v>
      </c>
      <c r="G953" s="25">
        <f t="shared" si="11"/>
        <v>-1.999936509952116E-3</v>
      </c>
    </row>
    <row r="954" spans="1:7">
      <c r="A954" s="66">
        <v>78.262063615472201</v>
      </c>
      <c r="B954" s="66">
        <v>78.507023124712575</v>
      </c>
      <c r="C954" s="66">
        <v>77.317219794116454</v>
      </c>
      <c r="D954" s="66">
        <v>77.489691285316312</v>
      </c>
      <c r="E954" s="66">
        <v>678432.12339603016</v>
      </c>
      <c r="F954" s="66" t="s">
        <v>948</v>
      </c>
      <c r="G954" s="25">
        <f t="shared" si="11"/>
        <v>9.967420405793348E-3</v>
      </c>
    </row>
    <row r="955" spans="1:7">
      <c r="A955" s="66">
        <v>77.294723512655608</v>
      </c>
      <c r="B955" s="66">
        <v>77.577176824330735</v>
      </c>
      <c r="C955" s="66">
        <v>75.706236082836611</v>
      </c>
      <c r="D955" s="66">
        <v>76.80980366783281</v>
      </c>
      <c r="E955" s="66">
        <v>831469.41562546964</v>
      </c>
      <c r="F955" s="66" t="s">
        <v>949</v>
      </c>
      <c r="G955" s="25">
        <f t="shared" si="11"/>
        <v>6.313254580363914E-3</v>
      </c>
    </row>
    <row r="956" spans="1:7">
      <c r="A956" s="66">
        <v>76.777309039056036</v>
      </c>
      <c r="B956" s="66">
        <v>77.544682195553946</v>
      </c>
      <c r="C956" s="66">
        <v>75.917451169885723</v>
      </c>
      <c r="D956" s="66">
        <v>76.16990943961305</v>
      </c>
      <c r="E956" s="66">
        <v>1043100.3915396493</v>
      </c>
      <c r="F956" s="66" t="s">
        <v>950</v>
      </c>
      <c r="G956" s="25">
        <f t="shared" si="11"/>
        <v>7.9742723066320575E-3</v>
      </c>
    </row>
    <row r="957" spans="1:7">
      <c r="A957" s="66">
        <v>76.83729912295162</v>
      </c>
      <c r="B957" s="66">
        <v>77.257229710220841</v>
      </c>
      <c r="C957" s="66">
        <v>75.801220382337988</v>
      </c>
      <c r="D957" s="66">
        <v>77.254730123391866</v>
      </c>
      <c r="E957" s="66">
        <v>886950.58490991441</v>
      </c>
      <c r="F957" s="66" t="s">
        <v>951</v>
      </c>
      <c r="G957" s="25">
        <f t="shared" si="11"/>
        <v>-5.4033066942764663E-3</v>
      </c>
    </row>
    <row r="958" spans="1:7">
      <c r="A958" s="66">
        <v>75.737480918198898</v>
      </c>
      <c r="B958" s="66">
        <v>76.704821021015505</v>
      </c>
      <c r="C958" s="66">
        <v>75.350044959706466</v>
      </c>
      <c r="D958" s="66">
        <v>75.927449517201651</v>
      </c>
      <c r="E958" s="66">
        <v>1116528.5268905796</v>
      </c>
      <c r="F958" s="66" t="s">
        <v>952</v>
      </c>
      <c r="G958" s="25">
        <f t="shared" si="11"/>
        <v>-2.5019752436135079E-3</v>
      </c>
    </row>
    <row r="959" spans="1:7">
      <c r="A959" s="66">
        <v>77.57467723750176</v>
      </c>
      <c r="B959" s="66">
        <v>79.664331826531921</v>
      </c>
      <c r="C959" s="66">
        <v>77.419702854104784</v>
      </c>
      <c r="D959" s="66">
        <v>79.146917352932348</v>
      </c>
      <c r="E959" s="66">
        <v>1254303.296707259</v>
      </c>
      <c r="F959" s="66" t="s">
        <v>953</v>
      </c>
      <c r="G959" s="25">
        <f t="shared" si="11"/>
        <v>-1.9864830722587046E-2</v>
      </c>
    </row>
    <row r="960" spans="1:7">
      <c r="A960" s="66">
        <v>78.93195288563976</v>
      </c>
      <c r="B960" s="66">
        <v>79.851800838705671</v>
      </c>
      <c r="C960" s="66">
        <v>78.142258418759027</v>
      </c>
      <c r="D960" s="66">
        <v>78.756981807610927</v>
      </c>
      <c r="E960" s="66">
        <v>1265705.1810785213</v>
      </c>
      <c r="F960" s="66" t="s">
        <v>954</v>
      </c>
      <c r="G960" s="25">
        <f t="shared" si="11"/>
        <v>2.2216579916209955E-3</v>
      </c>
    </row>
    <row r="961" spans="1:7">
      <c r="A961" s="66">
        <v>78.61200577152988</v>
      </c>
      <c r="B961" s="66">
        <v>80.999111193209089</v>
      </c>
      <c r="C961" s="66">
        <v>78.569512795437163</v>
      </c>
      <c r="D961" s="66">
        <v>80.461700024977645</v>
      </c>
      <c r="E961" s="66">
        <v>1642683.4836819211</v>
      </c>
      <c r="F961" s="66" t="s">
        <v>955</v>
      </c>
      <c r="G961" s="25">
        <f t="shared" si="11"/>
        <v>-2.298850574712652E-2</v>
      </c>
    </row>
    <row r="962" spans="1:7">
      <c r="A962" s="66">
        <v>81.066600037591641</v>
      </c>
      <c r="B962" s="66">
        <v>81.952703568466291</v>
      </c>
      <c r="C962" s="66">
        <v>75.683739801375765</v>
      </c>
      <c r="D962" s="66">
        <v>76.092422247914556</v>
      </c>
      <c r="E962" s="66">
        <v>4078850.1050576847</v>
      </c>
      <c r="F962" s="66" t="s">
        <v>956</v>
      </c>
      <c r="G962" s="25">
        <f t="shared" si="11"/>
        <v>6.5370212206819378E-2</v>
      </c>
    </row>
    <row r="963" spans="1:7">
      <c r="A963" s="66">
        <v>75.495020995787499</v>
      </c>
      <c r="B963" s="66">
        <v>75.6175007504077</v>
      </c>
      <c r="C963" s="66">
        <v>71.130742392382388</v>
      </c>
      <c r="D963" s="66">
        <v>71.530676285019737</v>
      </c>
      <c r="E963" s="66">
        <v>1849537.6701437193</v>
      </c>
      <c r="F963" s="66" t="s">
        <v>957</v>
      </c>
      <c r="G963" s="25">
        <f t="shared" si="11"/>
        <v>5.5421602543942239E-2</v>
      </c>
    </row>
    <row r="964" spans="1:7">
      <c r="A964" s="66">
        <v>68.381196880500568</v>
      </c>
      <c r="B964" s="66">
        <v>68.678647713149601</v>
      </c>
      <c r="C964" s="66">
        <v>67.644368675052831</v>
      </c>
      <c r="D964" s="66">
        <v>68.146235718576122</v>
      </c>
      <c r="E964" s="66">
        <v>1366905.9063611371</v>
      </c>
      <c r="F964" s="66" t="s">
        <v>958</v>
      </c>
      <c r="G964" s="25">
        <f t="shared" si="11"/>
        <v>3.4478964163884296E-3</v>
      </c>
    </row>
    <row r="965" spans="1:7">
      <c r="A965" s="66">
        <v>68.366199359526675</v>
      </c>
      <c r="B965" s="66">
        <v>69.101077887247811</v>
      </c>
      <c r="C965" s="66">
        <v>66.85894850164965</v>
      </c>
      <c r="D965" s="66">
        <v>67.856283646414056</v>
      </c>
      <c r="E965" s="66">
        <v>919547.97222817631</v>
      </c>
      <c r="F965" s="66" t="s">
        <v>959</v>
      </c>
      <c r="G965" s="25">
        <f t="shared" si="11"/>
        <v>7.5146425019338992E-3</v>
      </c>
    </row>
    <row r="966" spans="1:7">
      <c r="A966" s="66">
        <v>67.631320831805539</v>
      </c>
      <c r="B966" s="66">
        <v>68.216224149787678</v>
      </c>
      <c r="C966" s="66">
        <v>66.781461309951169</v>
      </c>
      <c r="D966" s="66">
        <v>68.216224149787678</v>
      </c>
      <c r="E966" s="66">
        <v>854649.246519187</v>
      </c>
      <c r="F966" s="66" t="s">
        <v>960</v>
      </c>
      <c r="G966" s="25">
        <f t="shared" si="11"/>
        <v>-8.5742552489833646E-3</v>
      </c>
    </row>
    <row r="967" spans="1:7">
      <c r="A967" s="66">
        <v>67.643818765950456</v>
      </c>
      <c r="B967" s="66">
        <v>68.018756790297971</v>
      </c>
      <c r="C967" s="66">
        <v>66.44464198474563</v>
      </c>
      <c r="D967" s="66">
        <v>67.536336532304162</v>
      </c>
      <c r="E967" s="66">
        <v>1183983.6750954413</v>
      </c>
      <c r="F967" s="66" t="s">
        <v>961</v>
      </c>
      <c r="G967" s="25">
        <f t="shared" si="11"/>
        <v>1.5914726673822432E-3</v>
      </c>
    </row>
    <row r="968" spans="1:7">
      <c r="A968" s="66">
        <v>66.379027830484816</v>
      </c>
      <c r="B968" s="66">
        <v>66.833952633359814</v>
      </c>
      <c r="C968" s="66">
        <v>64.309369936086512</v>
      </c>
      <c r="D968" s="66">
        <v>66.833952633359814</v>
      </c>
      <c r="E968" s="66">
        <v>1059687.1328039491</v>
      </c>
      <c r="F968" s="66" t="s">
        <v>962</v>
      </c>
      <c r="G968" s="25">
        <f t="shared" si="11"/>
        <v>-6.8067918318499565E-3</v>
      </c>
    </row>
    <row r="969" spans="1:7">
      <c r="A969" s="66">
        <v>67.596326616199775</v>
      </c>
      <c r="B969" s="66">
        <v>70.56583576903212</v>
      </c>
      <c r="C969" s="66">
        <v>67.596326616199775</v>
      </c>
      <c r="D969" s="66">
        <v>69.498512193056186</v>
      </c>
      <c r="E969" s="66">
        <v>2009636.1293609757</v>
      </c>
      <c r="F969" s="66" t="s">
        <v>963</v>
      </c>
      <c r="G969" s="25">
        <f t="shared" si="11"/>
        <v>-2.7370162566537126E-2</v>
      </c>
    </row>
    <row r="970" spans="1:7">
      <c r="A970" s="66">
        <v>69.738472528638596</v>
      </c>
      <c r="B970" s="66">
        <v>69.998429558852877</v>
      </c>
      <c r="C970" s="66">
        <v>68.906110114587108</v>
      </c>
      <c r="D970" s="66">
        <v>69.076082018957976</v>
      </c>
      <c r="E970" s="66">
        <v>1176506.4393446029</v>
      </c>
      <c r="F970" s="66" t="s">
        <v>964</v>
      </c>
      <c r="G970" s="25">
        <f t="shared" si="11"/>
        <v>9.5892889451782981E-3</v>
      </c>
    </row>
    <row r="971" spans="1:7">
      <c r="A971" s="66">
        <v>68.336204317578876</v>
      </c>
      <c r="B971" s="66">
        <v>69.098578300418822</v>
      </c>
      <c r="C971" s="66">
        <v>67.968765053718315</v>
      </c>
      <c r="D971" s="66">
        <v>67.968765053718315</v>
      </c>
      <c r="E971" s="66">
        <v>856773.59760730644</v>
      </c>
      <c r="F971" s="66" t="s">
        <v>965</v>
      </c>
      <c r="G971" s="25">
        <f t="shared" si="11"/>
        <v>5.4060017652248771E-3</v>
      </c>
    </row>
    <row r="972" spans="1:7">
      <c r="A972" s="66">
        <v>68.84362044386252</v>
      </c>
      <c r="B972" s="66">
        <v>68.971099372140671</v>
      </c>
      <c r="C972" s="66">
        <v>67.01892205870459</v>
      </c>
      <c r="D972" s="66">
        <v>67.223888178681236</v>
      </c>
      <c r="E972" s="66">
        <v>926225.07574243494</v>
      </c>
      <c r="F972" s="66" t="s">
        <v>966</v>
      </c>
      <c r="G972" s="25">
        <f t="shared" si="11"/>
        <v>2.4094593589648161E-2</v>
      </c>
    </row>
    <row r="973" spans="1:7">
      <c r="A973" s="66">
        <v>67.296376196721752</v>
      </c>
      <c r="B973" s="66">
        <v>68.703643581439451</v>
      </c>
      <c r="C973" s="66">
        <v>67.163898094785623</v>
      </c>
      <c r="D973" s="66">
        <v>68.703643581439451</v>
      </c>
      <c r="E973" s="66">
        <v>876480.85459426744</v>
      </c>
      <c r="F973" s="66" t="s">
        <v>967</v>
      </c>
      <c r="G973" s="25">
        <f t="shared" si="11"/>
        <v>-2.0483155060758373E-2</v>
      </c>
    </row>
    <row r="974" spans="1:7">
      <c r="A974" s="66">
        <v>68.556167958529414</v>
      </c>
      <c r="B974" s="66">
        <v>68.862367345079889</v>
      </c>
      <c r="C974" s="66">
        <v>66.534002213881791</v>
      </c>
      <c r="D974" s="66">
        <v>66.803957591412015</v>
      </c>
      <c r="E974" s="66">
        <v>1606361.48080238</v>
      </c>
      <c r="F974" s="66" t="s">
        <v>968</v>
      </c>
      <c r="G974" s="25">
        <f t="shared" si="11"/>
        <v>2.6229140163136933E-2</v>
      </c>
    </row>
    <row r="975" spans="1:7">
      <c r="A975" s="66">
        <v>66.30404022561531</v>
      </c>
      <c r="B975" s="66">
        <v>66.601491058264344</v>
      </c>
      <c r="C975" s="66">
        <v>64.666810852631144</v>
      </c>
      <c r="D975" s="66">
        <v>64.666810852631144</v>
      </c>
      <c r="E975" s="66">
        <v>1082510.9048523884</v>
      </c>
      <c r="F975" s="66" t="s">
        <v>969</v>
      </c>
      <c r="G975" s="25">
        <f t="shared" si="11"/>
        <v>2.5317923543736187E-2</v>
      </c>
    </row>
    <row r="976" spans="1:7">
      <c r="A976" s="66">
        <v>64.634316223854356</v>
      </c>
      <c r="B976" s="66">
        <v>65.645049154022118</v>
      </c>
      <c r="C976" s="66">
        <v>64.244380678532934</v>
      </c>
      <c r="D976" s="66">
        <v>65.584159218868081</v>
      </c>
      <c r="E976" s="66">
        <v>1003373.8259934613</v>
      </c>
      <c r="F976" s="66" t="s">
        <v>970</v>
      </c>
      <c r="G976" s="25">
        <f t="shared" si="11"/>
        <v>-1.4482811189877376E-2</v>
      </c>
    </row>
    <row r="977" spans="1:7">
      <c r="A977" s="66">
        <v>64.986757966741038</v>
      </c>
      <c r="B977" s="66">
        <v>65.119236068677154</v>
      </c>
      <c r="C977" s="66">
        <v>62.6346467606676</v>
      </c>
      <c r="D977" s="66">
        <v>63.994421995634596</v>
      </c>
      <c r="E977" s="66">
        <v>957898.31032744714</v>
      </c>
      <c r="F977" s="66" t="s">
        <v>971</v>
      </c>
      <c r="G977" s="25">
        <f t="shared" si="11"/>
        <v>1.5506601046793245E-2</v>
      </c>
    </row>
    <row r="978" spans="1:7">
      <c r="A978" s="66">
        <v>63.914435217107126</v>
      </c>
      <c r="B978" s="66">
        <v>64.839282343831002</v>
      </c>
      <c r="C978" s="66">
        <v>63.551995126904529</v>
      </c>
      <c r="D978" s="66">
        <v>64.219384810243113</v>
      </c>
      <c r="E978" s="66">
        <v>1201754.6120698792</v>
      </c>
      <c r="F978" s="66" t="s">
        <v>972</v>
      </c>
      <c r="G978" s="25">
        <f t="shared" si="11"/>
        <v>-4.7485598629924963E-3</v>
      </c>
    </row>
    <row r="979" spans="1:7">
      <c r="A979" s="66">
        <v>64.109402989767844</v>
      </c>
      <c r="B979" s="66">
        <v>64.916769535529497</v>
      </c>
      <c r="C979" s="66">
        <v>63.656977773721827</v>
      </c>
      <c r="D979" s="66">
        <v>64.47434266679943</v>
      </c>
      <c r="E979" s="66">
        <v>1263628.8379245966</v>
      </c>
      <c r="F979" s="66" t="s">
        <v>973</v>
      </c>
      <c r="G979" s="25">
        <f t="shared" si="11"/>
        <v>-5.6602310614871643E-3</v>
      </c>
    </row>
    <row r="980" spans="1:7">
      <c r="A980" s="66">
        <v>64.60682076873556</v>
      </c>
      <c r="B980" s="66">
        <v>67.446351406460749</v>
      </c>
      <c r="C980" s="66">
        <v>64.430599897292211</v>
      </c>
      <c r="D980" s="66">
        <v>66.898941890913378</v>
      </c>
      <c r="E980" s="66">
        <v>1185795.9746112947</v>
      </c>
      <c r="F980" s="66" t="s">
        <v>974</v>
      </c>
      <c r="G980" s="25">
        <f t="shared" si="11"/>
        <v>-3.4262442086384404E-2</v>
      </c>
    </row>
    <row r="981" spans="1:7">
      <c r="A981" s="66">
        <v>65.016753008688838</v>
      </c>
      <c r="B981" s="66">
        <v>65.764129470554892</v>
      </c>
      <c r="C981" s="66">
        <v>62.572157089943012</v>
      </c>
      <c r="D981" s="66">
        <v>63.204552557675825</v>
      </c>
      <c r="E981" s="66">
        <v>1434553.086302778</v>
      </c>
      <c r="F981" s="66" t="s">
        <v>975</v>
      </c>
      <c r="G981" s="25">
        <f t="shared" si="11"/>
        <v>2.8671992406865465E-2</v>
      </c>
    </row>
    <row r="982" spans="1:7">
      <c r="A982" s="66">
        <v>62.157225676331748</v>
      </c>
      <c r="B982" s="66">
        <v>65.121735655506129</v>
      </c>
      <c r="C982" s="66">
        <v>62.014749227079697</v>
      </c>
      <c r="D982" s="66">
        <v>64.594322834590628</v>
      </c>
      <c r="E982" s="66">
        <v>1572615.9037246262</v>
      </c>
      <c r="F982" s="66" t="s">
        <v>976</v>
      </c>
      <c r="G982" s="25">
        <f t="shared" si="11"/>
        <v>-3.7729277919665738E-2</v>
      </c>
    </row>
    <row r="983" spans="1:7">
      <c r="A983" s="66">
        <v>63.799454222973893</v>
      </c>
      <c r="B983" s="66">
        <v>64.748047424573116</v>
      </c>
      <c r="C983" s="66">
        <v>61.043659744019621</v>
      </c>
      <c r="D983" s="66">
        <v>61.562324011033688</v>
      </c>
      <c r="E983" s="66">
        <v>1937436.1969931955</v>
      </c>
      <c r="F983" s="66" t="s">
        <v>977</v>
      </c>
      <c r="G983" s="25">
        <f t="shared" si="11"/>
        <v>3.6339274838604885E-2</v>
      </c>
    </row>
    <row r="984" spans="1:7">
      <c r="A984" s="66">
        <v>63.189555036701925</v>
      </c>
      <c r="B984" s="66">
        <v>63.457010827403153</v>
      </c>
      <c r="C984" s="66">
        <v>61.797285172958134</v>
      </c>
      <c r="D984" s="66">
        <v>62.469674029954682</v>
      </c>
      <c r="E984" s="66">
        <v>1751149.4096726817</v>
      </c>
      <c r="F984" s="66" t="s">
        <v>978</v>
      </c>
      <c r="G984" s="25">
        <f t="shared" si="11"/>
        <v>1.1523687580025754E-2</v>
      </c>
    </row>
    <row r="985" spans="1:7">
      <c r="A985" s="66">
        <v>64.069409600504102</v>
      </c>
      <c r="B985" s="66">
        <v>65.464179051076869</v>
      </c>
      <c r="C985" s="66">
        <v>63.559493887391476</v>
      </c>
      <c r="D985" s="66">
        <v>64.374359193640089</v>
      </c>
      <c r="E985" s="66">
        <v>1412089.3737607996</v>
      </c>
      <c r="F985" s="66" t="s">
        <v>979</v>
      </c>
      <c r="G985" s="25">
        <f t="shared" si="11"/>
        <v>-4.7371282130931336E-3</v>
      </c>
    </row>
    <row r="986" spans="1:7">
      <c r="A986" s="66">
        <v>64.401854648758899</v>
      </c>
      <c r="B986" s="66">
        <v>65.901606746148971</v>
      </c>
      <c r="C986" s="66">
        <v>64.298921663141371</v>
      </c>
      <c r="D986" s="66">
        <v>65.901606746148971</v>
      </c>
      <c r="E986" s="66">
        <v>944180.04313128616</v>
      </c>
      <c r="F986" s="66" t="s">
        <v>980</v>
      </c>
      <c r="G986" s="25">
        <f t="shared" si="11"/>
        <v>-2.2757443580504355E-2</v>
      </c>
    </row>
    <row r="987" spans="1:7">
      <c r="A987" s="66">
        <v>65.586658805697056</v>
      </c>
      <c r="B987" s="66">
        <v>66.643984034357075</v>
      </c>
      <c r="C987" s="66">
        <v>65.001755487714931</v>
      </c>
      <c r="D987" s="66">
        <v>66.571496016316544</v>
      </c>
      <c r="E987" s="66">
        <v>1114840.2478713961</v>
      </c>
      <c r="F987" s="66" t="s">
        <v>981</v>
      </c>
      <c r="G987" s="25">
        <f t="shared" si="11"/>
        <v>-1.479367701723433E-2</v>
      </c>
    </row>
    <row r="988" spans="1:7">
      <c r="A988" s="66">
        <v>67.371363801591244</v>
      </c>
      <c r="B988" s="66">
        <v>69.718475834006725</v>
      </c>
      <c r="C988" s="66">
        <v>67.125154498936382</v>
      </c>
      <c r="D988" s="66">
        <v>69.233555989183941</v>
      </c>
      <c r="E988" s="66">
        <v>1134595.5127925519</v>
      </c>
      <c r="F988" s="66" t="s">
        <v>982</v>
      </c>
      <c r="G988" s="25">
        <f t="shared" si="11"/>
        <v>-2.6897248898837711E-2</v>
      </c>
    </row>
    <row r="989" spans="1:7">
      <c r="A989" s="66">
        <v>69.353536156975139</v>
      </c>
      <c r="B989" s="66">
        <v>69.798462612534195</v>
      </c>
      <c r="C989" s="66">
        <v>68.602410314865608</v>
      </c>
      <c r="D989" s="66">
        <v>69.143570863340528</v>
      </c>
      <c r="E989" s="66">
        <v>956722.11593967478</v>
      </c>
      <c r="F989" s="66" t="s">
        <v>983</v>
      </c>
      <c r="G989" s="25">
        <f t="shared" si="11"/>
        <v>3.0366567854818172E-3</v>
      </c>
    </row>
    <row r="990" spans="1:7">
      <c r="A990" s="66">
        <v>69.880948977890654</v>
      </c>
      <c r="B990" s="66">
        <v>69.880948977890654</v>
      </c>
      <c r="C990" s="66">
        <v>68.693645234123508</v>
      </c>
      <c r="D990" s="66">
        <v>68.876115072639308</v>
      </c>
      <c r="E990" s="66">
        <v>1606853.5621278768</v>
      </c>
      <c r="F990" s="66" t="s">
        <v>984</v>
      </c>
      <c r="G990" s="25">
        <f t="shared" si="11"/>
        <v>1.4589003810560497E-2</v>
      </c>
    </row>
    <row r="991" spans="1:7">
      <c r="A991" s="66">
        <v>68.303709688802087</v>
      </c>
      <c r="B991" s="66">
        <v>68.803627054598778</v>
      </c>
      <c r="C991" s="66">
        <v>66.407773079018128</v>
      </c>
      <c r="D991" s="66">
        <v>67.066414208455271</v>
      </c>
      <c r="E991" s="66">
        <v>1354195.8057830667</v>
      </c>
      <c r="F991" s="66" t="s">
        <v>985</v>
      </c>
      <c r="G991" s="25">
        <f t="shared" si="11"/>
        <v>1.844880921322356E-2</v>
      </c>
    </row>
    <row r="992" spans="1:7">
      <c r="A992" s="66">
        <v>65.964096416873559</v>
      </c>
      <c r="B992" s="66">
        <v>68.623656802911981</v>
      </c>
      <c r="C992" s="66">
        <v>65.909105506635939</v>
      </c>
      <c r="D992" s="66">
        <v>67.528837771817223</v>
      </c>
      <c r="E992" s="66">
        <v>1601880.7402775332</v>
      </c>
      <c r="F992" s="66" t="s">
        <v>986</v>
      </c>
      <c r="G992" s="25">
        <f t="shared" si="11"/>
        <v>-2.3171453953213184E-2</v>
      </c>
    </row>
    <row r="993" spans="1:7">
      <c r="A993" s="66">
        <v>67.338869172814469</v>
      </c>
      <c r="B993" s="66">
        <v>67.796293562518443</v>
      </c>
      <c r="C993" s="66">
        <v>65.901606746148971</v>
      </c>
      <c r="D993" s="66">
        <v>66.593992297777405</v>
      </c>
      <c r="E993" s="66">
        <v>1025701.5160552212</v>
      </c>
      <c r="F993" s="66" t="s">
        <v>987</v>
      </c>
      <c r="G993" s="25">
        <f t="shared" si="11"/>
        <v>1.1185346445461875E-2</v>
      </c>
    </row>
    <row r="994" spans="1:7">
      <c r="A994" s="66">
        <v>67.266381154773953</v>
      </c>
      <c r="B994" s="66">
        <v>67.73130430496488</v>
      </c>
      <c r="C994" s="66">
        <v>65.71663732080421</v>
      </c>
      <c r="D994" s="66">
        <v>66.324036920247181</v>
      </c>
      <c r="E994" s="66">
        <v>1689919.2902684109</v>
      </c>
      <c r="F994" s="66" t="s">
        <v>988</v>
      </c>
      <c r="G994" s="25">
        <f t="shared" si="11"/>
        <v>1.4208185723976863E-2</v>
      </c>
    </row>
    <row r="995" spans="1:7">
      <c r="A995" s="66">
        <v>65.941600135412713</v>
      </c>
      <c r="B995" s="66">
        <v>67.986262161521196</v>
      </c>
      <c r="C995" s="66">
        <v>65.761629883725902</v>
      </c>
      <c r="D995" s="66">
        <v>67.896277035677784</v>
      </c>
      <c r="E995" s="66">
        <v>1418238.3899989156</v>
      </c>
      <c r="F995" s="66" t="s">
        <v>989</v>
      </c>
      <c r="G995" s="25">
        <f t="shared" si="11"/>
        <v>-2.8789161727349799E-2</v>
      </c>
    </row>
    <row r="996" spans="1:7">
      <c r="A996" s="66">
        <v>67.238885699655128</v>
      </c>
      <c r="B996" s="66">
        <v>68.943603917021846</v>
      </c>
      <c r="C996" s="66">
        <v>66.32653650707617</v>
      </c>
      <c r="D996" s="66">
        <v>68.496177874633801</v>
      </c>
      <c r="E996" s="66">
        <v>1576616.5649075252</v>
      </c>
      <c r="F996" s="66" t="s">
        <v>990</v>
      </c>
      <c r="G996" s="25">
        <f t="shared" si="11"/>
        <v>-1.8355654490384121E-2</v>
      </c>
    </row>
    <row r="997" spans="1:7">
      <c r="A997" s="66">
        <v>68.908609701416083</v>
      </c>
      <c r="B997" s="66">
        <v>69.108576647734765</v>
      </c>
      <c r="C997" s="66">
        <v>67.498842729869423</v>
      </c>
      <c r="D997" s="66">
        <v>67.951267945915419</v>
      </c>
      <c r="E997" s="66">
        <v>1591639.0476493114</v>
      </c>
      <c r="F997" s="66" t="s">
        <v>991</v>
      </c>
      <c r="G997" s="25">
        <f t="shared" si="11"/>
        <v>1.4088651830053367E-2</v>
      </c>
    </row>
    <row r="998" spans="1:7">
      <c r="A998" s="66">
        <v>68.536171263897543</v>
      </c>
      <c r="B998" s="66">
        <v>68.826123336059638</v>
      </c>
      <c r="C998" s="66">
        <v>67.873780754216938</v>
      </c>
      <c r="D998" s="66">
        <v>68.446186138054145</v>
      </c>
      <c r="E998" s="66">
        <v>1353771.7356976795</v>
      </c>
      <c r="F998" s="66" t="s">
        <v>992</v>
      </c>
      <c r="G998" s="25">
        <f t="shared" si="11"/>
        <v>1.3146842931746061E-3</v>
      </c>
    </row>
    <row r="999" spans="1:7">
      <c r="A999" s="66">
        <v>69.08108119261594</v>
      </c>
      <c r="B999" s="66">
        <v>71.490682895755995</v>
      </c>
      <c r="C999" s="66">
        <v>69.076082018957976</v>
      </c>
      <c r="D999" s="66">
        <v>70.96327007484048</v>
      </c>
      <c r="E999" s="66">
        <v>811734.15401022835</v>
      </c>
      <c r="F999" s="66" t="s">
        <v>993</v>
      </c>
      <c r="G999" s="25">
        <f t="shared" si="11"/>
        <v>-2.6523423740753671E-2</v>
      </c>
    </row>
    <row r="1000" spans="1:7">
      <c r="A1000" s="66">
        <v>70.870785362168093</v>
      </c>
      <c r="B1000" s="66">
        <v>72.39053415419005</v>
      </c>
      <c r="C1000" s="66">
        <v>70.45585394855685</v>
      </c>
      <c r="D1000" s="66">
        <v>71.770636620602147</v>
      </c>
      <c r="E1000" s="66">
        <v>1180859.1587115971</v>
      </c>
      <c r="F1000" s="66" t="s">
        <v>994</v>
      </c>
      <c r="G1000" s="25">
        <f t="shared" si="11"/>
        <v>-1.25378748302164E-2</v>
      </c>
    </row>
    <row r="1001" spans="1:7">
      <c r="A1001" s="66">
        <v>72.575503579534825</v>
      </c>
      <c r="B1001" s="66">
        <v>72.802965980972317</v>
      </c>
      <c r="C1001" s="66">
        <v>71.030758919223047</v>
      </c>
      <c r="D1001" s="66">
        <v>72.325544896636487</v>
      </c>
      <c r="E1001" s="66">
        <v>1378819.8753638107</v>
      </c>
      <c r="F1001" s="66" t="s">
        <v>995</v>
      </c>
      <c r="G1001" s="25">
        <f t="shared" si="11"/>
        <v>3.4560221185413464E-3</v>
      </c>
    </row>
    <row r="1002" spans="1:7">
      <c r="A1002" s="66">
        <v>72.850458130722998</v>
      </c>
      <c r="B1002" s="66">
        <v>74.342711467626131</v>
      </c>
      <c r="C1002" s="66">
        <v>72.701882689608226</v>
      </c>
      <c r="D1002" s="66">
        <v>74.342711467626131</v>
      </c>
      <c r="E1002" s="66">
        <v>1311508.7509615333</v>
      </c>
      <c r="F1002" s="66" t="s">
        <v>996</v>
      </c>
      <c r="G1002" s="25">
        <f t="shared" si="11"/>
        <v>-2.0072624571313424E-2</v>
      </c>
    </row>
    <row r="1003" spans="1:7">
      <c r="A1003" s="66">
        <v>74.977606522187926</v>
      </c>
      <c r="B1003" s="66">
        <v>77.194740039496253</v>
      </c>
      <c r="C1003" s="66">
        <v>74.673906722466441</v>
      </c>
      <c r="D1003" s="66">
        <v>75.769975546975687</v>
      </c>
      <c r="E1003" s="66">
        <v>1002105.6163984822</v>
      </c>
      <c r="F1003" s="66" t="s">
        <v>997</v>
      </c>
      <c r="G1003" s="25">
        <f t="shared" si="11"/>
        <v>-1.0457559462936694E-2</v>
      </c>
    </row>
    <row r="1004" spans="1:7">
      <c r="A1004" s="66">
        <v>75.712485049909063</v>
      </c>
      <c r="B1004" s="66">
        <v>76.578591886151841</v>
      </c>
      <c r="C1004" s="66">
        <v>75.250061486547125</v>
      </c>
      <c r="D1004" s="66">
        <v>76.217401589363732</v>
      </c>
      <c r="E1004" s="66">
        <v>1053034.0332567878</v>
      </c>
      <c r="F1004" s="66" t="s">
        <v>998</v>
      </c>
      <c r="G1004" s="25">
        <f t="shared" si="11"/>
        <v>-6.6246884428703412E-3</v>
      </c>
    </row>
    <row r="1005" spans="1:7">
      <c r="A1005" s="66">
        <v>76.379874733247647</v>
      </c>
      <c r="B1005" s="66">
        <v>77.987109064284027</v>
      </c>
      <c r="C1005" s="66">
        <v>76.274892086430341</v>
      </c>
      <c r="D1005" s="66">
        <v>77.564678890185817</v>
      </c>
      <c r="E1005" s="66">
        <v>1096233.1727097323</v>
      </c>
      <c r="F1005" s="66" t="s">
        <v>999</v>
      </c>
      <c r="G1005" s="25">
        <f t="shared" si="11"/>
        <v>-1.5275047533112152E-2</v>
      </c>
    </row>
    <row r="1006" spans="1:7">
      <c r="A1006" s="66">
        <v>79.681828934334803</v>
      </c>
      <c r="B1006" s="66">
        <v>79.714323563111606</v>
      </c>
      <c r="C1006" s="66">
        <v>78.799474783703644</v>
      </c>
      <c r="D1006" s="66">
        <v>78.799474783703644</v>
      </c>
      <c r="E1006" s="66">
        <v>767642.86711349734</v>
      </c>
      <c r="F1006" s="66" t="s">
        <v>1000</v>
      </c>
      <c r="G1006" s="25">
        <f t="shared" si="11"/>
        <v>1.1197462331482999E-2</v>
      </c>
    </row>
    <row r="1007" spans="1:7">
      <c r="A1007" s="66">
        <v>78.66199750810955</v>
      </c>
      <c r="B1007" s="66">
        <v>78.731985939321092</v>
      </c>
      <c r="C1007" s="66">
        <v>76.632333002974974</v>
      </c>
      <c r="D1007" s="66">
        <v>77.149747476574561</v>
      </c>
      <c r="E1007" s="66">
        <v>923844.68233860994</v>
      </c>
      <c r="F1007" s="66" t="s">
        <v>1001</v>
      </c>
      <c r="G1007" s="25">
        <f t="shared" si="11"/>
        <v>1.9601490361250473E-2</v>
      </c>
    </row>
    <row r="1008" spans="1:7">
      <c r="A1008" s="66">
        <v>76.962278464400796</v>
      </c>
      <c r="B1008" s="66">
        <v>77.624668974081416</v>
      </c>
      <c r="C1008" s="66">
        <v>75.040096192912515</v>
      </c>
      <c r="D1008" s="66">
        <v>75.72498298405398</v>
      </c>
      <c r="E1008" s="66">
        <v>1270405.9579684278</v>
      </c>
      <c r="F1008" s="66" t="s">
        <v>1002</v>
      </c>
      <c r="G1008" s="25">
        <f t="shared" si="11"/>
        <v>1.633932992242948E-2</v>
      </c>
    </row>
    <row r="1009" spans="1:7">
      <c r="A1009" s="66">
        <v>76.514852422012765</v>
      </c>
      <c r="B1009" s="66">
        <v>77.014769787809456</v>
      </c>
      <c r="C1009" s="66">
        <v>74.33396291372469</v>
      </c>
      <c r="D1009" s="66">
        <v>74.347710641284095</v>
      </c>
      <c r="E1009" s="66">
        <v>1600880.5749818084</v>
      </c>
      <c r="F1009" s="66" t="s">
        <v>1003</v>
      </c>
      <c r="G1009" s="25">
        <f t="shared" si="11"/>
        <v>2.9148735879505283E-2</v>
      </c>
    </row>
    <row r="1010" spans="1:7">
      <c r="A1010" s="66">
        <v>74.03276270083218</v>
      </c>
      <c r="B1010" s="66">
        <v>74.970107761700987</v>
      </c>
      <c r="C1010" s="66">
        <v>73.577837897957195</v>
      </c>
      <c r="D1010" s="66">
        <v>74.202734605203062</v>
      </c>
      <c r="E1010" s="66">
        <v>1060607.284876016</v>
      </c>
      <c r="F1010" s="66" t="s">
        <v>1004</v>
      </c>
      <c r="G1010" s="25">
        <f t="shared" si="11"/>
        <v>-2.2906420534932748E-3</v>
      </c>
    </row>
    <row r="1011" spans="1:7">
      <c r="A1011" s="66">
        <v>73.870289556948251</v>
      </c>
      <c r="B1011" s="66">
        <v>75.837464391358239</v>
      </c>
      <c r="C1011" s="66">
        <v>73.579087691371683</v>
      </c>
      <c r="D1011" s="66">
        <v>75.542513145538194</v>
      </c>
      <c r="E1011" s="66">
        <v>1749077.0671799399</v>
      </c>
      <c r="F1011" s="66" t="s">
        <v>1005</v>
      </c>
      <c r="G1011" s="25">
        <f t="shared" si="11"/>
        <v>-2.2136192177883762E-2</v>
      </c>
    </row>
    <row r="1012" spans="1:7">
      <c r="A1012" s="66">
        <v>75.017599911451669</v>
      </c>
      <c r="B1012" s="66">
        <v>75.260059833863053</v>
      </c>
      <c r="C1012" s="66">
        <v>70.745806020718916</v>
      </c>
      <c r="D1012" s="66">
        <v>71.495682069413959</v>
      </c>
      <c r="E1012" s="66">
        <v>3459043.6706358581</v>
      </c>
      <c r="F1012" s="66" t="s">
        <v>1006</v>
      </c>
      <c r="G1012" s="25">
        <f t="shared" si="11"/>
        <v>4.9260567073384109E-2</v>
      </c>
    </row>
    <row r="1013" spans="1:7">
      <c r="A1013" s="66">
        <v>71.848123812300642</v>
      </c>
      <c r="B1013" s="66">
        <v>73.315381280913925</v>
      </c>
      <c r="C1013" s="66">
        <v>71.389449629182181</v>
      </c>
      <c r="D1013" s="66">
        <v>72.815463915117235</v>
      </c>
      <c r="E1013" s="66">
        <v>2185145.1354547595</v>
      </c>
      <c r="F1013" s="66" t="s">
        <v>1007</v>
      </c>
      <c r="G1013" s="25">
        <f t="shared" si="11"/>
        <v>-1.3284816861762305E-2</v>
      </c>
    </row>
    <row r="1014" spans="1:7">
      <c r="A1014" s="66">
        <v>72.053089932277274</v>
      </c>
      <c r="B1014" s="66">
        <v>73.372871777980549</v>
      </c>
      <c r="C1014" s="66">
        <v>71.913113069854205</v>
      </c>
      <c r="D1014" s="66">
        <v>72.817963501946224</v>
      </c>
      <c r="E1014" s="66">
        <v>1733990.5738592274</v>
      </c>
      <c r="F1014" s="66" t="s">
        <v>1008</v>
      </c>
      <c r="G1014" s="25">
        <f t="shared" si="11"/>
        <v>-1.0503913222573269E-2</v>
      </c>
    </row>
    <row r="1015" spans="1:7">
      <c r="A1015" s="66">
        <v>72.81296432828826</v>
      </c>
      <c r="B1015" s="66">
        <v>73.516598020647095</v>
      </c>
      <c r="C1015" s="66">
        <v>72.121828570074328</v>
      </c>
      <c r="D1015" s="66">
        <v>73.042926316554741</v>
      </c>
      <c r="E1015" s="66">
        <v>1510805.6884488349</v>
      </c>
      <c r="F1015" s="66" t="s">
        <v>1009</v>
      </c>
      <c r="G1015" s="25">
        <f t="shared" si="11"/>
        <v>-3.1483129149271205E-3</v>
      </c>
    </row>
    <row r="1016" spans="1:7">
      <c r="A1016" s="66">
        <v>74.130246587162532</v>
      </c>
      <c r="B1016" s="66">
        <v>78.695741930300827</v>
      </c>
      <c r="C1016" s="66">
        <v>74.125247413504567</v>
      </c>
      <c r="D1016" s="66">
        <v>78.487026430080718</v>
      </c>
      <c r="E1016" s="66">
        <v>1249370.4814687443</v>
      </c>
      <c r="F1016" s="66" t="s">
        <v>1010</v>
      </c>
      <c r="G1016" s="25">
        <f t="shared" ref="G1016:G1079" si="12">A1016/D1016-1</f>
        <v>-5.5509554140127482E-2</v>
      </c>
    </row>
    <row r="1017" spans="1:7">
      <c r="A1017" s="66">
        <v>78.494525190567657</v>
      </c>
      <c r="B1017" s="66">
        <v>78.578261349338618</v>
      </c>
      <c r="C1017" s="66">
        <v>77.20223879998322</v>
      </c>
      <c r="D1017" s="66">
        <v>78.149582208167942</v>
      </c>
      <c r="E1017" s="66">
        <v>1321042.3265603818</v>
      </c>
      <c r="F1017" s="66" t="s">
        <v>1011</v>
      </c>
      <c r="G1017" s="25">
        <f t="shared" si="12"/>
        <v>4.413881336958303E-3</v>
      </c>
    </row>
    <row r="1018" spans="1:7">
      <c r="A1018" s="66">
        <v>77.439699548736641</v>
      </c>
      <c r="B1018" s="66">
        <v>78.050848528423103</v>
      </c>
      <c r="C1018" s="66">
        <v>76.609836721514128</v>
      </c>
      <c r="D1018" s="66">
        <v>77.469694590684441</v>
      </c>
      <c r="E1018" s="66">
        <v>1831038.6128339937</v>
      </c>
      <c r="F1018" s="66" t="s">
        <v>1012</v>
      </c>
      <c r="G1018" s="25">
        <f t="shared" si="12"/>
        <v>-3.8718420288452737E-4</v>
      </c>
    </row>
    <row r="1019" spans="1:7">
      <c r="A1019" s="66">
        <v>77.817137159913145</v>
      </c>
      <c r="B1019" s="66">
        <v>78.237067747182365</v>
      </c>
      <c r="C1019" s="66">
        <v>77.197239626325242</v>
      </c>
      <c r="D1019" s="66">
        <v>78.237067747182365</v>
      </c>
      <c r="E1019" s="66">
        <v>729632.58521477296</v>
      </c>
      <c r="F1019" s="66" t="s">
        <v>1013</v>
      </c>
      <c r="G1019" s="25">
        <f t="shared" si="12"/>
        <v>-5.3674121405751229E-3</v>
      </c>
    </row>
    <row r="1020" spans="1:7">
      <c r="A1020" s="66">
        <v>78.592009076898023</v>
      </c>
      <c r="B1020" s="66">
        <v>80.119256629406905</v>
      </c>
      <c r="C1020" s="66">
        <v>78.282060310104072</v>
      </c>
      <c r="D1020" s="66">
        <v>79.739319431401427</v>
      </c>
      <c r="E1020" s="66">
        <v>949968.9998629411</v>
      </c>
      <c r="F1020" s="66" t="s">
        <v>1014</v>
      </c>
      <c r="G1020" s="25">
        <f t="shared" si="12"/>
        <v>-1.4388263690793268E-2</v>
      </c>
    </row>
    <row r="1021" spans="1:7">
      <c r="A1021" s="66">
        <v>80.659167384467338</v>
      </c>
      <c r="B1021" s="66">
        <v>81.554019469243414</v>
      </c>
      <c r="C1021" s="66">
        <v>80.136753737209801</v>
      </c>
      <c r="D1021" s="66">
        <v>81.329056654634911</v>
      </c>
      <c r="E1021" s="66">
        <v>1153522.6408488476</v>
      </c>
      <c r="F1021" s="66" t="s">
        <v>1015</v>
      </c>
      <c r="G1021" s="25">
        <f t="shared" si="12"/>
        <v>-8.2367765928020864E-3</v>
      </c>
    </row>
    <row r="1022" spans="1:7">
      <c r="A1022" s="66">
        <v>81.728990547272275</v>
      </c>
      <c r="B1022" s="66">
        <v>82.753821147155477</v>
      </c>
      <c r="C1022" s="66">
        <v>81.042853962716308</v>
      </c>
      <c r="D1022" s="66">
        <v>82.253903781358787</v>
      </c>
      <c r="E1022" s="66">
        <v>789474.47518857778</v>
      </c>
      <c r="F1022" s="66" t="s">
        <v>1016</v>
      </c>
      <c r="G1022" s="25">
        <f t="shared" si="12"/>
        <v>-6.3816209317164585E-3</v>
      </c>
    </row>
    <row r="1023" spans="1:7">
      <c r="A1023" s="66">
        <v>82.253903781358787</v>
      </c>
      <c r="B1023" s="66">
        <v>84.298565807467256</v>
      </c>
      <c r="C1023" s="66">
        <v>82.168917829173353</v>
      </c>
      <c r="D1023" s="66">
        <v>83.676168687050378</v>
      </c>
      <c r="E1023" s="66">
        <v>1087195.6790975633</v>
      </c>
      <c r="F1023" s="66" t="s">
        <v>1017</v>
      </c>
      <c r="G1023" s="25">
        <f t="shared" si="12"/>
        <v>-1.69972517624567E-2</v>
      </c>
    </row>
    <row r="1024" spans="1:7">
      <c r="A1024" s="66">
        <v>84.30356498112522</v>
      </c>
      <c r="B1024" s="66">
        <v>84.346057957217951</v>
      </c>
      <c r="C1024" s="66">
        <v>82.266401715503704</v>
      </c>
      <c r="D1024" s="66">
        <v>82.751321560326502</v>
      </c>
      <c r="E1024" s="66">
        <v>888630.86260673206</v>
      </c>
      <c r="F1024" s="66" t="s">
        <v>1018</v>
      </c>
      <c r="G1024" s="25">
        <f t="shared" si="12"/>
        <v>1.875792907630025E-2</v>
      </c>
    </row>
    <row r="1025" spans="1:7">
      <c r="A1025" s="66">
        <v>83.32122735733472</v>
      </c>
      <c r="B1025" s="66">
        <v>84.378552585994726</v>
      </c>
      <c r="C1025" s="66">
        <v>82.853804620314833</v>
      </c>
      <c r="D1025" s="66">
        <v>83.081267021752311</v>
      </c>
      <c r="E1025" s="66">
        <v>581364.0811153492</v>
      </c>
      <c r="F1025" s="66" t="s">
        <v>1019</v>
      </c>
      <c r="G1025" s="25">
        <f t="shared" si="12"/>
        <v>2.8882604248150479E-3</v>
      </c>
    </row>
    <row r="1026" spans="1:7">
      <c r="A1026" s="66">
        <v>83.503697195850521</v>
      </c>
      <c r="B1026" s="66">
        <v>83.531192650969345</v>
      </c>
      <c r="C1026" s="66">
        <v>82.121425679422671</v>
      </c>
      <c r="D1026" s="66">
        <v>82.74132321301056</v>
      </c>
      <c r="E1026" s="66">
        <v>589713.46100405965</v>
      </c>
      <c r="F1026" s="66" t="s">
        <v>1020</v>
      </c>
      <c r="G1026" s="25">
        <f t="shared" si="12"/>
        <v>9.2139447767507487E-3</v>
      </c>
    </row>
    <row r="1027" spans="1:7">
      <c r="A1027" s="66">
        <v>82.171417416002342</v>
      </c>
      <c r="B1027" s="66">
        <v>84.276069526006424</v>
      </c>
      <c r="C1027" s="66">
        <v>82.033940140408248</v>
      </c>
      <c r="D1027" s="66">
        <v>83.74365753143293</v>
      </c>
      <c r="E1027" s="66">
        <v>1080522.5762444877</v>
      </c>
      <c r="F1027" s="66" t="s">
        <v>1021</v>
      </c>
      <c r="G1027" s="25">
        <f t="shared" si="12"/>
        <v>-1.8774438110019886E-2</v>
      </c>
    </row>
    <row r="1028" spans="1:7">
      <c r="A1028" s="66">
        <v>83.046272806146547</v>
      </c>
      <c r="B1028" s="66">
        <v>83.102513509798669</v>
      </c>
      <c r="C1028" s="66">
        <v>81.921458733103989</v>
      </c>
      <c r="D1028" s="66">
        <v>82.798813710077184</v>
      </c>
      <c r="E1028" s="66">
        <v>1202342.7092637653</v>
      </c>
      <c r="F1028" s="66" t="s">
        <v>1022</v>
      </c>
      <c r="G1028" s="25">
        <f t="shared" si="12"/>
        <v>2.9886792452831212E-3</v>
      </c>
    </row>
    <row r="1029" spans="1:7">
      <c r="A1029" s="66">
        <v>81.394045912188474</v>
      </c>
      <c r="B1029" s="66">
        <v>83.481200914389674</v>
      </c>
      <c r="C1029" s="66">
        <v>81.241571115620488</v>
      </c>
      <c r="D1029" s="66">
        <v>83.338724465137616</v>
      </c>
      <c r="E1029" s="66">
        <v>789610.49766879634</v>
      </c>
      <c r="F1029" s="66" t="s">
        <v>1023</v>
      </c>
      <c r="G1029" s="25">
        <f t="shared" si="12"/>
        <v>-2.3334633034402197E-2</v>
      </c>
    </row>
    <row r="1030" spans="1:7">
      <c r="A1030" s="66">
        <v>83.40371372269118</v>
      </c>
      <c r="B1030" s="66">
        <v>83.651172818760557</v>
      </c>
      <c r="C1030" s="66">
        <v>82.866302554459736</v>
      </c>
      <c r="D1030" s="66">
        <v>83.428709590981015</v>
      </c>
      <c r="E1030" s="66">
        <v>645394.66334764939</v>
      </c>
      <c r="F1030" s="66" t="s">
        <v>1024</v>
      </c>
      <c r="G1030" s="25">
        <f t="shared" si="12"/>
        <v>-2.9960751415647469E-4</v>
      </c>
    </row>
    <row r="1031" spans="1:7">
      <c r="A1031" s="66">
        <v>82.71382775789175</v>
      </c>
      <c r="B1031" s="66">
        <v>82.74132321301056</v>
      </c>
      <c r="C1031" s="66">
        <v>81.294062439029148</v>
      </c>
      <c r="D1031" s="66">
        <v>81.294062439029148</v>
      </c>
      <c r="E1031" s="66">
        <v>590857.65010236879</v>
      </c>
      <c r="F1031" s="66" t="s">
        <v>1025</v>
      </c>
      <c r="G1031" s="25">
        <f t="shared" si="12"/>
        <v>1.746456353964887E-2</v>
      </c>
    </row>
    <row r="1032" spans="1:7">
      <c r="A1032" s="66">
        <v>81.853969888721437</v>
      </c>
      <c r="B1032" s="66">
        <v>82.578850069126645</v>
      </c>
      <c r="C1032" s="66">
        <v>81.306560373174051</v>
      </c>
      <c r="D1032" s="66">
        <v>82.226408326239962</v>
      </c>
      <c r="E1032" s="66">
        <v>722907.47376631957</v>
      </c>
      <c r="F1032" s="66" t="s">
        <v>1026</v>
      </c>
      <c r="G1032" s="25">
        <f t="shared" si="12"/>
        <v>-4.5294260700388111E-3</v>
      </c>
    </row>
    <row r="1033" spans="1:7">
      <c r="A1033" s="66">
        <v>82.271400889161669</v>
      </c>
      <c r="B1033" s="66">
        <v>83.0837666085813</v>
      </c>
      <c r="C1033" s="66">
        <v>81.236571941962524</v>
      </c>
      <c r="D1033" s="66">
        <v>81.641505008257838</v>
      </c>
      <c r="E1033" s="66">
        <v>815954.85155818693</v>
      </c>
      <c r="F1033" s="66" t="s">
        <v>1027</v>
      </c>
      <c r="G1033" s="25">
        <f t="shared" si="12"/>
        <v>7.7153879125588798E-3</v>
      </c>
    </row>
    <row r="1034" spans="1:7">
      <c r="A1034" s="66">
        <v>81.189079792211842</v>
      </c>
      <c r="B1034" s="66">
        <v>82.418876512071705</v>
      </c>
      <c r="C1034" s="66">
        <v>80.389212006937129</v>
      </c>
      <c r="D1034" s="66">
        <v>80.979114498577232</v>
      </c>
      <c r="E1034" s="66">
        <v>774455.99310797453</v>
      </c>
      <c r="F1034" s="66" t="s">
        <v>1028</v>
      </c>
      <c r="G1034" s="25">
        <f t="shared" si="12"/>
        <v>2.5928326696915693E-3</v>
      </c>
    </row>
    <row r="1035" spans="1:7">
      <c r="A1035" s="66">
        <v>81.334055828292875</v>
      </c>
      <c r="B1035" s="66">
        <v>82.284623703487</v>
      </c>
      <c r="C1035" s="66">
        <v>80.931622348826536</v>
      </c>
      <c r="D1035" s="66">
        <v>81.206576900014724</v>
      </c>
      <c r="E1035" s="66">
        <v>1165396.603239692</v>
      </c>
      <c r="F1035" s="66" t="s">
        <v>1029</v>
      </c>
      <c r="G1035" s="25">
        <f t="shared" si="12"/>
        <v>1.5698103915291473E-3</v>
      </c>
    </row>
    <row r="1036" spans="1:7">
      <c r="A1036" s="66">
        <v>81.736489307759214</v>
      </c>
      <c r="B1036" s="66">
        <v>82.338889733544235</v>
      </c>
      <c r="C1036" s="66">
        <v>80.931622348826536</v>
      </c>
      <c r="D1036" s="66">
        <v>81.559018642901393</v>
      </c>
      <c r="E1036" s="66">
        <v>1171073.541458226</v>
      </c>
      <c r="F1036" s="66" t="s">
        <v>1030</v>
      </c>
      <c r="G1036" s="25">
        <f t="shared" si="12"/>
        <v>2.1759784241011104E-3</v>
      </c>
    </row>
    <row r="1037" spans="1:7">
      <c r="A1037" s="66">
        <v>81.594012858507156</v>
      </c>
      <c r="B1037" s="66">
        <v>82.263902128674729</v>
      </c>
      <c r="C1037" s="66">
        <v>79.019438424654183</v>
      </c>
      <c r="D1037" s="66">
        <v>80.366715725476269</v>
      </c>
      <c r="E1037" s="66">
        <v>928537.45790615061</v>
      </c>
      <c r="F1037" s="66" t="s">
        <v>1031</v>
      </c>
      <c r="G1037" s="25">
        <f t="shared" si="12"/>
        <v>1.5271211744215085E-2</v>
      </c>
    </row>
    <row r="1038" spans="1:7">
      <c r="A1038" s="66">
        <v>79.626838024097168</v>
      </c>
      <c r="B1038" s="66">
        <v>79.82680497041585</v>
      </c>
      <c r="C1038" s="66">
        <v>78.159580555483885</v>
      </c>
      <c r="D1038" s="66">
        <v>78.159580555483885</v>
      </c>
      <c r="E1038" s="66">
        <v>1010314.9731457912</v>
      </c>
      <c r="F1038" s="66" t="s">
        <v>1032</v>
      </c>
      <c r="G1038" s="25">
        <f t="shared" si="12"/>
        <v>1.8772586267549185E-2</v>
      </c>
    </row>
    <row r="1039" spans="1:7">
      <c r="A1039" s="66">
        <v>77.699656578950922</v>
      </c>
      <c r="B1039" s="66">
        <v>78.562014034950224</v>
      </c>
      <c r="C1039" s="66">
        <v>77.507188393119193</v>
      </c>
      <c r="D1039" s="66">
        <v>78.562014034950224</v>
      </c>
      <c r="E1039" s="66">
        <v>974589.0687825022</v>
      </c>
      <c r="F1039" s="66" t="s">
        <v>1033</v>
      </c>
      <c r="G1039" s="25">
        <f t="shared" si="12"/>
        <v>-1.0976773783009985E-2</v>
      </c>
    </row>
    <row r="1040" spans="1:7">
      <c r="A1040" s="66">
        <v>78.407039651553205</v>
      </c>
      <c r="B1040" s="66">
        <v>78.80193660303533</v>
      </c>
      <c r="C1040" s="66">
        <v>77.929664222862812</v>
      </c>
      <c r="D1040" s="66">
        <v>78.581993997146554</v>
      </c>
      <c r="E1040" s="66">
        <v>692464.65178748092</v>
      </c>
      <c r="F1040" s="66" t="s">
        <v>1034</v>
      </c>
      <c r="G1040" s="25">
        <f t="shared" si="12"/>
        <v>-2.2263922903216216E-3</v>
      </c>
    </row>
    <row r="1041" spans="1:7">
      <c r="A1041" s="66">
        <v>78.339557261110059</v>
      </c>
      <c r="B1041" s="66">
        <v>79.736692678062596</v>
      </c>
      <c r="C1041" s="66">
        <v>77.857183136831281</v>
      </c>
      <c r="D1041" s="66">
        <v>78.976890948628665</v>
      </c>
      <c r="E1041" s="66">
        <v>775198.23551705736</v>
      </c>
      <c r="F1041" s="66" t="s">
        <v>1035</v>
      </c>
      <c r="G1041" s="25">
        <f t="shared" si="12"/>
        <v>-8.0698756289756535E-3</v>
      </c>
    </row>
    <row r="1042" spans="1:7">
      <c r="A1042" s="66">
        <v>78.949398122892575</v>
      </c>
      <c r="B1042" s="66">
        <v>79.039374643483427</v>
      </c>
      <c r="C1042" s="66">
        <v>76.849945975772471</v>
      </c>
      <c r="D1042" s="66">
        <v>77.134871624310193</v>
      </c>
      <c r="E1042" s="66">
        <v>879865.54136702931</v>
      </c>
      <c r="F1042" s="66" t="s">
        <v>1036</v>
      </c>
      <c r="G1042" s="25">
        <f t="shared" si="12"/>
        <v>2.3524074914133886E-2</v>
      </c>
    </row>
    <row r="1043" spans="1:7">
      <c r="A1043" s="66">
        <v>76.757470107387419</v>
      </c>
      <c r="B1043" s="66">
        <v>77.154866406663714</v>
      </c>
      <c r="C1043" s="66">
        <v>75.727738816180889</v>
      </c>
      <c r="D1043" s="66">
        <v>75.727738816180889</v>
      </c>
      <c r="E1043" s="66">
        <v>1048797.6127583717</v>
      </c>
      <c r="F1043" s="66" t="s">
        <v>1037</v>
      </c>
      <c r="G1043" s="25">
        <f t="shared" si="12"/>
        <v>1.3597808508531761E-2</v>
      </c>
    </row>
    <row r="1044" spans="1:7">
      <c r="A1044" s="66">
        <v>75.755231641916993</v>
      </c>
      <c r="B1044" s="66">
        <v>75.990170334570905</v>
      </c>
      <c r="C1044" s="66">
        <v>74.245625574225869</v>
      </c>
      <c r="D1044" s="66">
        <v>74.742995785269798</v>
      </c>
      <c r="E1044" s="66">
        <v>1159254.4289892653</v>
      </c>
      <c r="F1044" s="66" t="s">
        <v>1038</v>
      </c>
      <c r="G1044" s="25">
        <f t="shared" si="12"/>
        <v>1.3542885805049254E-2</v>
      </c>
    </row>
    <row r="1045" spans="1:7">
      <c r="A1045" s="66">
        <v>73.515816018322212</v>
      </c>
      <c r="B1045" s="66">
        <v>74.285615138932926</v>
      </c>
      <c r="C1045" s="66">
        <v>72.863361276648746</v>
      </c>
      <c r="D1045" s="66">
        <v>73.718263189651651</v>
      </c>
      <c r="E1045" s="66">
        <v>1577575.5615784137</v>
      </c>
      <c r="F1045" s="66" t="s">
        <v>1039</v>
      </c>
      <c r="G1045" s="25">
        <f t="shared" si="12"/>
        <v>-2.7462281742668404E-3</v>
      </c>
    </row>
    <row r="1046" spans="1:7">
      <c r="A1046" s="66">
        <v>73.358357107288199</v>
      </c>
      <c r="B1046" s="66">
        <v>73.533311452881534</v>
      </c>
      <c r="C1046" s="66">
        <v>71.906236038863469</v>
      </c>
      <c r="D1046" s="66">
        <v>72.481086031527312</v>
      </c>
      <c r="E1046" s="66">
        <v>1258216.2463781494</v>
      </c>
      <c r="F1046" s="66" t="s">
        <v>1040</v>
      </c>
      <c r="G1046" s="25">
        <f t="shared" si="12"/>
        <v>1.2103448275861961E-2</v>
      </c>
    </row>
    <row r="1047" spans="1:7">
      <c r="A1047" s="66">
        <v>72.106183862398709</v>
      </c>
      <c r="B1047" s="66">
        <v>72.431099075643502</v>
      </c>
      <c r="C1047" s="66">
        <v>70.983976702807141</v>
      </c>
      <c r="D1047" s="66">
        <v>72.323627120493299</v>
      </c>
      <c r="E1047" s="66">
        <v>1051278.2599153665</v>
      </c>
      <c r="F1047" s="66" t="s">
        <v>1041</v>
      </c>
      <c r="G1047" s="25">
        <f t="shared" si="12"/>
        <v>-3.0065314303487911E-3</v>
      </c>
    </row>
    <row r="1048" spans="1:7">
      <c r="A1048" s="66">
        <v>73.023444502866667</v>
      </c>
      <c r="B1048" s="66">
        <v>73.375852541847536</v>
      </c>
      <c r="C1048" s="66">
        <v>71.728782345475935</v>
      </c>
      <c r="D1048" s="66">
        <v>73.023444502866667</v>
      </c>
      <c r="E1048" s="66">
        <v>1277469.2691514699</v>
      </c>
      <c r="F1048" s="66" t="s">
        <v>1042</v>
      </c>
      <c r="G1048" s="25">
        <f t="shared" si="12"/>
        <v>0</v>
      </c>
    </row>
    <row r="1049" spans="1:7">
      <c r="A1049" s="66">
        <v>74.275617747756158</v>
      </c>
      <c r="B1049" s="66">
        <v>76.587514457382454</v>
      </c>
      <c r="C1049" s="66">
        <v>74.210634705107196</v>
      </c>
      <c r="D1049" s="66">
        <v>75.835210771331091</v>
      </c>
      <c r="E1049" s="66">
        <v>1546895.5577077109</v>
      </c>
      <c r="F1049" s="66" t="s">
        <v>1043</v>
      </c>
      <c r="G1049" s="25">
        <f t="shared" si="12"/>
        <v>-2.0565552699228773E-2</v>
      </c>
    </row>
    <row r="1050" spans="1:7">
      <c r="A1050" s="66">
        <v>76.120136419868814</v>
      </c>
      <c r="B1050" s="66">
        <v>77.702223573591453</v>
      </c>
      <c r="C1050" s="66">
        <v>75.6977466426506</v>
      </c>
      <c r="D1050" s="66">
        <v>77.462286185349171</v>
      </c>
      <c r="E1050" s="66">
        <v>1151184.3236414292</v>
      </c>
      <c r="F1050" s="66" t="s">
        <v>1044</v>
      </c>
      <c r="G1050" s="25">
        <f t="shared" si="12"/>
        <v>-1.7326493079082406E-2</v>
      </c>
    </row>
    <row r="1051" spans="1:7">
      <c r="A1051" s="66">
        <v>77.872179223596419</v>
      </c>
      <c r="B1051" s="66">
        <v>78.950847744613199</v>
      </c>
      <c r="C1051" s="66">
        <v>77.499776402262015</v>
      </c>
      <c r="D1051" s="66">
        <v>78.149606828751587</v>
      </c>
      <c r="E1051" s="66">
        <v>1392467.2700971845</v>
      </c>
      <c r="F1051" s="66" t="s">
        <v>1045</v>
      </c>
      <c r="G1051" s="25">
        <f t="shared" si="12"/>
        <v>-3.5499552257900469E-3</v>
      </c>
    </row>
    <row r="1052" spans="1:7">
      <c r="A1052" s="66">
        <v>79.241821814812866</v>
      </c>
      <c r="B1052" s="66">
        <v>79.301806161873444</v>
      </c>
      <c r="C1052" s="66">
        <v>77.583504553367419</v>
      </c>
      <c r="D1052" s="66">
        <v>78.212090523606349</v>
      </c>
      <c r="E1052" s="66">
        <v>1685415.6951630579</v>
      </c>
      <c r="F1052" s="66" t="s">
        <v>1046</v>
      </c>
      <c r="G1052" s="25">
        <f t="shared" si="12"/>
        <v>1.3165883743968099E-2</v>
      </c>
    </row>
    <row r="1053" spans="1:7">
      <c r="A1053" s="66">
        <v>78.129612046398066</v>
      </c>
      <c r="B1053" s="66">
        <v>79.424274203788769</v>
      </c>
      <c r="C1053" s="66">
        <v>77.727217051533373</v>
      </c>
      <c r="D1053" s="66">
        <v>78.836927472153988</v>
      </c>
      <c r="E1053" s="66">
        <v>1096778.1300272122</v>
      </c>
      <c r="F1053" s="66" t="s">
        <v>1047</v>
      </c>
      <c r="G1053" s="25">
        <f t="shared" si="12"/>
        <v>-8.9718796563419412E-3</v>
      </c>
    </row>
    <row r="1054" spans="1:7">
      <c r="A1054" s="66">
        <v>78.95189747068676</v>
      </c>
      <c r="B1054" s="66">
        <v>79.234323771430297</v>
      </c>
      <c r="C1054" s="66">
        <v>76.992408800041332</v>
      </c>
      <c r="D1054" s="66">
        <v>78.794438559652747</v>
      </c>
      <c r="E1054" s="66">
        <v>1137520.75905895</v>
      </c>
      <c r="F1054" s="66" t="s">
        <v>1048</v>
      </c>
      <c r="G1054" s="25">
        <f t="shared" si="12"/>
        <v>1.9983505677854119E-3</v>
      </c>
    </row>
    <row r="1055" spans="1:7">
      <c r="A1055" s="66">
        <v>79.606726592764687</v>
      </c>
      <c r="B1055" s="66">
        <v>80.151584411898241</v>
      </c>
      <c r="C1055" s="66">
        <v>78.094621177279379</v>
      </c>
      <c r="D1055" s="66">
        <v>78.337057913315874</v>
      </c>
      <c r="E1055" s="66">
        <v>1121272.5201806345</v>
      </c>
      <c r="F1055" s="66" t="s">
        <v>1049</v>
      </c>
      <c r="G1055" s="25">
        <f t="shared" si="12"/>
        <v>1.6207765689308484E-2</v>
      </c>
    </row>
    <row r="1056" spans="1:7">
      <c r="A1056" s="66">
        <v>78.25957813169596</v>
      </c>
      <c r="B1056" s="66">
        <v>79.226825728047729</v>
      </c>
      <c r="C1056" s="66">
        <v>77.649737269913459</v>
      </c>
      <c r="D1056" s="66">
        <v>78.337057913315874</v>
      </c>
      <c r="E1056" s="66">
        <v>1629101.0036554756</v>
      </c>
      <c r="F1056" s="66" t="s">
        <v>1050</v>
      </c>
      <c r="G1056" s="25">
        <f t="shared" si="12"/>
        <v>-9.8905656765468919E-4</v>
      </c>
    </row>
    <row r="1057" spans="1:7">
      <c r="A1057" s="66">
        <v>79.406778769229447</v>
      </c>
      <c r="B1057" s="66">
        <v>79.501753985408683</v>
      </c>
      <c r="C1057" s="66">
        <v>77.839687702271945</v>
      </c>
      <c r="D1057" s="66">
        <v>78.7294555170038</v>
      </c>
      <c r="E1057" s="66">
        <v>944050.28603236761</v>
      </c>
      <c r="F1057" s="66" t="s">
        <v>1051</v>
      </c>
      <c r="G1057" s="25">
        <f t="shared" si="12"/>
        <v>8.6031746031745016E-3</v>
      </c>
    </row>
    <row r="1058" spans="1:7">
      <c r="A1058" s="66">
        <v>78.499515519938257</v>
      </c>
      <c r="B1058" s="66">
        <v>81.368766787669074</v>
      </c>
      <c r="C1058" s="66">
        <v>78.334558565521689</v>
      </c>
      <c r="D1058" s="66">
        <v>80.836405707506472</v>
      </c>
      <c r="E1058" s="66">
        <v>1339101.3478713846</v>
      </c>
      <c r="F1058" s="66" t="s">
        <v>1052</v>
      </c>
      <c r="G1058" s="25">
        <f t="shared" si="12"/>
        <v>-2.8908882911294675E-2</v>
      </c>
    </row>
    <row r="1059" spans="1:7">
      <c r="A1059" s="66">
        <v>80.496494407496542</v>
      </c>
      <c r="B1059" s="66">
        <v>81.193812442075725</v>
      </c>
      <c r="C1059" s="66">
        <v>79.745440395342271</v>
      </c>
      <c r="D1059" s="66">
        <v>80.886392663390282</v>
      </c>
      <c r="E1059" s="66">
        <v>1440171.7153437142</v>
      </c>
      <c r="F1059" s="66" t="s">
        <v>1053</v>
      </c>
      <c r="G1059" s="25">
        <f t="shared" si="12"/>
        <v>-4.8203195006644162E-3</v>
      </c>
    </row>
    <row r="1060" spans="1:7">
      <c r="A1060" s="66">
        <v>80.851401794271609</v>
      </c>
      <c r="B1060" s="66">
        <v>80.931380923685708</v>
      </c>
      <c r="C1060" s="66">
        <v>77.157365754457899</v>
      </c>
      <c r="D1060" s="66">
        <v>77.809695528741656</v>
      </c>
      <c r="E1060" s="66">
        <v>2157930.9660449382</v>
      </c>
      <c r="F1060" s="66" t="s">
        <v>1054</v>
      </c>
      <c r="G1060" s="25">
        <f t="shared" si="12"/>
        <v>3.909160991905436E-2</v>
      </c>
    </row>
    <row r="1061" spans="1:7">
      <c r="A1061" s="66">
        <v>76.907430975038849</v>
      </c>
      <c r="B1061" s="66">
        <v>77.047394451513526</v>
      </c>
      <c r="C1061" s="66">
        <v>75.410321646318693</v>
      </c>
      <c r="D1061" s="66">
        <v>75.410321646318693</v>
      </c>
      <c r="E1061" s="66">
        <v>1834270.5287579494</v>
      </c>
      <c r="F1061" s="66" t="s">
        <v>1055</v>
      </c>
      <c r="G1061" s="25">
        <f t="shared" si="12"/>
        <v>1.9852843696142042E-2</v>
      </c>
    </row>
    <row r="1062" spans="1:7">
      <c r="A1062" s="66">
        <v>75.330342516904579</v>
      </c>
      <c r="B1062" s="66">
        <v>76.317584895609883</v>
      </c>
      <c r="C1062" s="66">
        <v>74.585536874235785</v>
      </c>
      <c r="D1062" s="66">
        <v>74.805479480124561</v>
      </c>
      <c r="E1062" s="66">
        <v>2068311.5859328005</v>
      </c>
      <c r="F1062" s="66" t="s">
        <v>1056</v>
      </c>
      <c r="G1062" s="25">
        <f t="shared" si="12"/>
        <v>7.0163715335782584E-3</v>
      </c>
    </row>
    <row r="1063" spans="1:7">
      <c r="A1063" s="66">
        <v>75.972674900011569</v>
      </c>
      <c r="B1063" s="66">
        <v>77.234845536077813</v>
      </c>
      <c r="C1063" s="66">
        <v>75.484052406247301</v>
      </c>
      <c r="D1063" s="66">
        <v>77.234845536077813</v>
      </c>
      <c r="E1063" s="66">
        <v>1157786.0459140765</v>
      </c>
      <c r="F1063" s="66" t="s">
        <v>1057</v>
      </c>
      <c r="G1063" s="25">
        <f t="shared" si="12"/>
        <v>-1.6341984337583271E-2</v>
      </c>
    </row>
    <row r="1064" spans="1:7">
      <c r="A1064" s="66">
        <v>76.21511163604805</v>
      </c>
      <c r="B1064" s="66">
        <v>78.225836936474394</v>
      </c>
      <c r="C1064" s="66">
        <v>76.21511163604805</v>
      </c>
      <c r="D1064" s="66">
        <v>76.70498380370941</v>
      </c>
      <c r="E1064" s="66">
        <v>1964212.4283026564</v>
      </c>
      <c r="F1064" s="66" t="s">
        <v>1058</v>
      </c>
      <c r="G1064" s="25">
        <f t="shared" si="12"/>
        <v>-6.3864450961225172E-3</v>
      </c>
    </row>
    <row r="1065" spans="1:7">
      <c r="A1065" s="66">
        <v>76.270097287520258</v>
      </c>
      <c r="B1065" s="66">
        <v>76.654996847825601</v>
      </c>
      <c r="C1065" s="66">
        <v>74.3156073124632</v>
      </c>
      <c r="D1065" s="66">
        <v>76.057652725014051</v>
      </c>
      <c r="E1065" s="66">
        <v>2272632.8897493342</v>
      </c>
      <c r="F1065" s="66" t="s">
        <v>1059</v>
      </c>
      <c r="G1065" s="25">
        <f t="shared" si="12"/>
        <v>2.7932042982485861E-3</v>
      </c>
    </row>
    <row r="1066" spans="1:7">
      <c r="A1066" s="66">
        <v>78.814433342006268</v>
      </c>
      <c r="B1066" s="66">
        <v>80.409017234699888</v>
      </c>
      <c r="C1066" s="66">
        <v>77.874678571390604</v>
      </c>
      <c r="D1066" s="66">
        <v>79.54174355011574</v>
      </c>
      <c r="E1066" s="66">
        <v>1138761.0826374474</v>
      </c>
      <c r="F1066" s="66" t="s">
        <v>1060</v>
      </c>
      <c r="G1066" s="25">
        <f t="shared" si="12"/>
        <v>-9.1437549096623494E-3</v>
      </c>
    </row>
    <row r="1067" spans="1:7">
      <c r="A1067" s="66">
        <v>78.709460734650278</v>
      </c>
      <c r="B1067" s="66">
        <v>80.014120283217764</v>
      </c>
      <c r="C1067" s="66">
        <v>78.415787368832881</v>
      </c>
      <c r="D1067" s="66">
        <v>79.686705722178786</v>
      </c>
      <c r="E1067" s="66">
        <v>1454735.5147815542</v>
      </c>
      <c r="F1067" s="66" t="s">
        <v>1061</v>
      </c>
      <c r="G1067" s="25">
        <f t="shared" si="12"/>
        <v>-1.2263588746353693E-2</v>
      </c>
    </row>
    <row r="1068" spans="1:7">
      <c r="A1068" s="66">
        <v>80.016619631011949</v>
      </c>
      <c r="B1068" s="66">
        <v>81.441247873700604</v>
      </c>
      <c r="C1068" s="66">
        <v>79.706700504532321</v>
      </c>
      <c r="D1068" s="66">
        <v>81.423752439141253</v>
      </c>
      <c r="E1068" s="66">
        <v>1094373.5027024478</v>
      </c>
      <c r="F1068" s="66" t="s">
        <v>1062</v>
      </c>
      <c r="G1068" s="25">
        <f t="shared" si="12"/>
        <v>-1.7281601080483711E-2</v>
      </c>
    </row>
    <row r="1069" spans="1:7">
      <c r="A1069" s="66">
        <v>83.065823939924485</v>
      </c>
      <c r="B1069" s="66">
        <v>83.813128930387464</v>
      </c>
      <c r="C1069" s="66">
        <v>82.008599822981864</v>
      </c>
      <c r="D1069" s="66">
        <v>82.823387203887989</v>
      </c>
      <c r="E1069" s="66">
        <v>1163447.5228933468</v>
      </c>
      <c r="F1069" s="66" t="s">
        <v>1063</v>
      </c>
      <c r="G1069" s="25">
        <f t="shared" si="12"/>
        <v>2.9271531172672116E-3</v>
      </c>
    </row>
    <row r="1070" spans="1:7">
      <c r="A1070" s="66">
        <v>84.245516098782446</v>
      </c>
      <c r="B1070" s="66">
        <v>85.763444994628216</v>
      </c>
      <c r="C1070" s="66">
        <v>84.178033708339299</v>
      </c>
      <c r="D1070" s="66">
        <v>85.032810653952495</v>
      </c>
      <c r="E1070" s="66">
        <v>1023162.9251214921</v>
      </c>
      <c r="F1070" s="66" t="s">
        <v>1064</v>
      </c>
      <c r="G1070" s="25">
        <f t="shared" si="12"/>
        <v>-9.2587149491506482E-3</v>
      </c>
    </row>
    <row r="1071" spans="1:7">
      <c r="A1071" s="66">
        <v>85.992560206921667</v>
      </c>
      <c r="B1071" s="66">
        <v>87.001047041877584</v>
      </c>
      <c r="C1071" s="66">
        <v>85.945072598832056</v>
      </c>
      <c r="D1071" s="66">
        <v>86.377459767227023</v>
      </c>
      <c r="E1071" s="66">
        <v>767012.09989897464</v>
      </c>
      <c r="F1071" s="66" t="s">
        <v>1065</v>
      </c>
      <c r="G1071" s="25">
        <f t="shared" si="12"/>
        <v>-4.456018518518623E-3</v>
      </c>
    </row>
    <row r="1072" spans="1:7">
      <c r="A1072" s="66">
        <v>86.854835195917431</v>
      </c>
      <c r="B1072" s="66">
        <v>87.119766062101633</v>
      </c>
      <c r="C1072" s="66">
        <v>85.320235650284403</v>
      </c>
      <c r="D1072" s="66">
        <v>85.43020695322879</v>
      </c>
      <c r="E1072" s="66">
        <v>1014080.55569185</v>
      </c>
      <c r="F1072" s="66" t="s">
        <v>1066</v>
      </c>
      <c r="G1072" s="25">
        <f t="shared" si="12"/>
        <v>1.6675931072818173E-2</v>
      </c>
    </row>
    <row r="1073" spans="1:7">
      <c r="A1073" s="66">
        <v>86.130024335602158</v>
      </c>
      <c r="B1073" s="66">
        <v>87.002296715774676</v>
      </c>
      <c r="C1073" s="66">
        <v>85.857595426035374</v>
      </c>
      <c r="D1073" s="66">
        <v>86.602401068704182</v>
      </c>
      <c r="E1073" s="66">
        <v>938960.95831672684</v>
      </c>
      <c r="F1073" s="66" t="s">
        <v>1067</v>
      </c>
      <c r="G1073" s="25">
        <f t="shared" si="12"/>
        <v>-5.4545454545454897E-3</v>
      </c>
    </row>
    <row r="1074" spans="1:7">
      <c r="A1074" s="66">
        <v>85.545176951761547</v>
      </c>
      <c r="B1074" s="66">
        <v>88.481910609935497</v>
      </c>
      <c r="C1074" s="66">
        <v>85.315236954696019</v>
      </c>
      <c r="D1074" s="66">
        <v>86.797350196651038</v>
      </c>
      <c r="E1074" s="66">
        <v>1926706.6437064165</v>
      </c>
      <c r="F1074" s="66" t="s">
        <v>1068</v>
      </c>
      <c r="G1074" s="25">
        <f t="shared" si="12"/>
        <v>-1.4426399447131977E-2</v>
      </c>
    </row>
    <row r="1075" spans="1:7">
      <c r="A1075" s="66">
        <v>88.179489526838438</v>
      </c>
      <c r="B1075" s="66">
        <v>88.199734243971392</v>
      </c>
      <c r="C1075" s="66">
        <v>84.712894136296086</v>
      </c>
      <c r="D1075" s="66">
        <v>85.885088251771478</v>
      </c>
      <c r="E1075" s="66">
        <v>1516795.7051882406</v>
      </c>
      <c r="F1075" s="66" t="s">
        <v>1069</v>
      </c>
      <c r="G1075" s="25">
        <f t="shared" si="12"/>
        <v>2.6714780432441687E-2</v>
      </c>
    </row>
    <row r="1076" spans="1:7">
      <c r="A1076" s="66">
        <v>85.78011564441546</v>
      </c>
      <c r="B1076" s="66">
        <v>88.48940865331808</v>
      </c>
      <c r="C1076" s="66">
        <v>84.937835437773231</v>
      </c>
      <c r="D1076" s="66">
        <v>88.062020180511482</v>
      </c>
      <c r="E1076" s="66">
        <v>1546979.5796275446</v>
      </c>
      <c r="F1076" s="66" t="s">
        <v>1070</v>
      </c>
      <c r="G1076" s="25">
        <f t="shared" si="12"/>
        <v>-2.5912470908781349E-2</v>
      </c>
    </row>
    <row r="1077" spans="1:7">
      <c r="A1077" s="66">
        <v>87.662124533440988</v>
      </c>
      <c r="B1077" s="66">
        <v>87.974543007714814</v>
      </c>
      <c r="C1077" s="66">
        <v>86.429946070905032</v>
      </c>
      <c r="D1077" s="66">
        <v>87.549653882702415</v>
      </c>
      <c r="E1077" s="66">
        <v>4380702.8479386782</v>
      </c>
      <c r="F1077" s="66" t="s">
        <v>1071</v>
      </c>
      <c r="G1077" s="25">
        <f t="shared" si="12"/>
        <v>1.2846498615433077E-3</v>
      </c>
    </row>
    <row r="1078" spans="1:7">
      <c r="A1078" s="66">
        <v>88.019531268010255</v>
      </c>
      <c r="B1078" s="66">
        <v>88.320077840261661</v>
      </c>
      <c r="C1078" s="66">
        <v>86.000058250304235</v>
      </c>
      <c r="D1078" s="66">
        <v>88.141999309925595</v>
      </c>
      <c r="E1078" s="66">
        <v>1806987.4110748086</v>
      </c>
      <c r="F1078" s="66" t="s">
        <v>1072</v>
      </c>
      <c r="G1078" s="25">
        <f t="shared" si="12"/>
        <v>-1.3894402540690631E-3</v>
      </c>
    </row>
    <row r="1079" spans="1:7">
      <c r="A1079" s="66">
        <v>85.905083034124999</v>
      </c>
      <c r="B1079" s="66">
        <v>86.832341065769711</v>
      </c>
      <c r="C1079" s="66">
        <v>84.830438463056865</v>
      </c>
      <c r="D1079" s="66">
        <v>85.28524478116573</v>
      </c>
      <c r="E1079" s="66">
        <v>1880962.7099226729</v>
      </c>
      <c r="F1079" s="66" t="s">
        <v>1073</v>
      </c>
      <c r="G1079" s="25">
        <f t="shared" si="12"/>
        <v>7.2678252205258254E-3</v>
      </c>
    </row>
    <row r="1080" spans="1:7">
      <c r="A1080" s="66">
        <v>84.937835437773231</v>
      </c>
      <c r="B1080" s="66">
        <v>85.705135210589759</v>
      </c>
      <c r="C1080" s="66">
        <v>84.220522620840541</v>
      </c>
      <c r="D1080" s="66">
        <v>84.69539870173675</v>
      </c>
      <c r="E1080" s="66">
        <v>1397656.6239078655</v>
      </c>
      <c r="F1080" s="66" t="s">
        <v>1074</v>
      </c>
      <c r="G1080" s="25">
        <f t="shared" ref="G1080:G1143" si="13">A1080/D1080-1</f>
        <v>2.8624546286186714E-3</v>
      </c>
    </row>
    <row r="1081" spans="1:7">
      <c r="A1081" s="66">
        <v>85.240256520870304</v>
      </c>
      <c r="B1081" s="66">
        <v>85.616408363895985</v>
      </c>
      <c r="C1081" s="66">
        <v>83.2182841553701</v>
      </c>
      <c r="D1081" s="66">
        <v>84.320496532608161</v>
      </c>
      <c r="E1081" s="66">
        <v>1410776.0465333264</v>
      </c>
      <c r="F1081" s="66" t="s">
        <v>1075</v>
      </c>
      <c r="G1081" s="25">
        <f t="shared" si="13"/>
        <v>1.090790526721408E-2</v>
      </c>
    </row>
    <row r="1082" spans="1:7">
      <c r="A1082" s="66">
        <v>84.657908484823892</v>
      </c>
      <c r="B1082" s="66">
        <v>86.312476724578062</v>
      </c>
      <c r="C1082" s="66">
        <v>83.568192846556798</v>
      </c>
      <c r="D1082" s="66">
        <v>85.890086947359848</v>
      </c>
      <c r="E1082" s="66">
        <v>1507381.2491230655</v>
      </c>
      <c r="F1082" s="66" t="s">
        <v>1076</v>
      </c>
      <c r="G1082" s="25">
        <f t="shared" si="13"/>
        <v>-1.4345991561181326E-2</v>
      </c>
    </row>
    <row r="1083" spans="1:7">
      <c r="A1083" s="66">
        <v>85.280246085577346</v>
      </c>
      <c r="B1083" s="66">
        <v>85.647650211323366</v>
      </c>
      <c r="C1083" s="66">
        <v>83.604433389572549</v>
      </c>
      <c r="D1083" s="66">
        <v>85.055304784100201</v>
      </c>
      <c r="E1083" s="66">
        <v>1456115.8748931079</v>
      </c>
      <c r="F1083" s="66" t="s">
        <v>1077</v>
      </c>
      <c r="G1083" s="25">
        <f t="shared" si="13"/>
        <v>2.6446475272543513E-3</v>
      </c>
    </row>
    <row r="1084" spans="1:7">
      <c r="A1084" s="66">
        <v>84.647911093647124</v>
      </c>
      <c r="B1084" s="66">
        <v>84.900345220860373</v>
      </c>
      <c r="C1084" s="66">
        <v>82.870874811977615</v>
      </c>
      <c r="D1084" s="66">
        <v>82.870874811977615</v>
      </c>
      <c r="E1084" s="66">
        <v>1702912.2597074741</v>
      </c>
      <c r="F1084" s="66" t="s">
        <v>1078</v>
      </c>
      <c r="G1084" s="25">
        <f t="shared" si="13"/>
        <v>2.1443435775251096E-2</v>
      </c>
    </row>
    <row r="1085" spans="1:7">
      <c r="A1085" s="66">
        <v>83.418231978905354</v>
      </c>
      <c r="B1085" s="66">
        <v>84.676653593280321</v>
      </c>
      <c r="C1085" s="66">
        <v>83.208286764193346</v>
      </c>
      <c r="D1085" s="66">
        <v>83.890608712007378</v>
      </c>
      <c r="E1085" s="66">
        <v>2027544.950638253</v>
      </c>
      <c r="F1085" s="66" t="s">
        <v>1079</v>
      </c>
      <c r="G1085" s="25">
        <f t="shared" si="13"/>
        <v>-5.630865484880121E-3</v>
      </c>
    </row>
    <row r="1086" spans="1:7">
      <c r="A1086" s="66">
        <v>85.04030869733505</v>
      </c>
      <c r="B1086" s="66">
        <v>85.145281304691068</v>
      </c>
      <c r="C1086" s="66">
        <v>83.448224152435643</v>
      </c>
      <c r="D1086" s="66">
        <v>83.545698716409078</v>
      </c>
      <c r="E1086" s="66">
        <v>1801862.0739649534</v>
      </c>
      <c r="F1086" s="66" t="s">
        <v>1080</v>
      </c>
      <c r="G1086" s="25">
        <f t="shared" si="13"/>
        <v>1.7889729859095871E-2</v>
      </c>
    </row>
    <row r="1087" spans="1:7">
      <c r="A1087" s="66">
        <v>81.956113519303869</v>
      </c>
      <c r="B1087" s="66">
        <v>82.271031341371881</v>
      </c>
      <c r="C1087" s="66">
        <v>81.143850479669851</v>
      </c>
      <c r="D1087" s="66">
        <v>81.478738090613447</v>
      </c>
      <c r="E1087" s="66">
        <v>1182656.5341848496</v>
      </c>
      <c r="F1087" s="66" t="s">
        <v>1081</v>
      </c>
      <c r="G1087" s="25">
        <f t="shared" si="13"/>
        <v>5.8588957055216717E-3</v>
      </c>
    </row>
    <row r="1088" spans="1:7">
      <c r="A1088" s="66">
        <v>81.926121345773581</v>
      </c>
      <c r="B1088" s="66">
        <v>82.194801233649059</v>
      </c>
      <c r="C1088" s="66">
        <v>79.919145067038514</v>
      </c>
      <c r="D1088" s="66">
        <v>79.919145067038514</v>
      </c>
      <c r="E1088" s="66">
        <v>1349512.0638431592</v>
      </c>
      <c r="F1088" s="66" t="s">
        <v>1082</v>
      </c>
      <c r="G1088" s="25">
        <f t="shared" si="13"/>
        <v>2.5112584438328867E-2</v>
      </c>
    </row>
    <row r="1089" spans="1:7">
      <c r="A1089" s="66">
        <v>79.394282030258495</v>
      </c>
      <c r="B1089" s="66">
        <v>80.184075933222715</v>
      </c>
      <c r="C1089" s="66">
        <v>77.723468029842081</v>
      </c>
      <c r="D1089" s="66">
        <v>78.771944429505041</v>
      </c>
      <c r="E1089" s="66">
        <v>1385953.5707881725</v>
      </c>
      <c r="F1089" s="66" t="s">
        <v>1083</v>
      </c>
      <c r="G1089" s="25">
        <f t="shared" si="13"/>
        <v>7.9004981438588473E-3</v>
      </c>
    </row>
    <row r="1090" spans="1:7">
      <c r="A1090" s="66">
        <v>78.999385078776371</v>
      </c>
      <c r="B1090" s="66">
        <v>81.953614171509656</v>
      </c>
      <c r="C1090" s="66">
        <v>78.869418993478476</v>
      </c>
      <c r="D1090" s="66">
        <v>78.886914428037798</v>
      </c>
      <c r="E1090" s="66">
        <v>1850518.7676362649</v>
      </c>
      <c r="F1090" s="66" t="s">
        <v>1084</v>
      </c>
      <c r="G1090" s="25">
        <f t="shared" si="13"/>
        <v>1.4257199885940874E-3</v>
      </c>
    </row>
    <row r="1091" spans="1:7">
      <c r="A1091" s="66">
        <v>79.236823119224482</v>
      </c>
      <c r="B1091" s="66">
        <v>80.150334738001149</v>
      </c>
      <c r="C1091" s="66">
        <v>77.337318795639632</v>
      </c>
      <c r="D1091" s="66">
        <v>78.694464647885127</v>
      </c>
      <c r="E1091" s="66">
        <v>1854743.8698907592</v>
      </c>
      <c r="F1091" s="66" t="s">
        <v>1085</v>
      </c>
      <c r="G1091" s="25">
        <f t="shared" si="13"/>
        <v>6.8919519786572181E-3</v>
      </c>
    </row>
    <row r="1092" spans="1:7">
      <c r="A1092" s="66">
        <v>77.882176614773186</v>
      </c>
      <c r="B1092" s="66">
        <v>83.345750892873838</v>
      </c>
      <c r="C1092" s="66">
        <v>77.612247053000587</v>
      </c>
      <c r="D1092" s="66">
        <v>83.305761328166781</v>
      </c>
      <c r="E1092" s="66">
        <v>2072832.7654286136</v>
      </c>
      <c r="F1092" s="66" t="s">
        <v>1086</v>
      </c>
      <c r="G1092" s="25">
        <f t="shared" si="13"/>
        <v>-6.5104557319012324E-2</v>
      </c>
    </row>
    <row r="1093" spans="1:7">
      <c r="A1093" s="66">
        <v>84.365484792903601</v>
      </c>
      <c r="B1093" s="66">
        <v>86.462437592229506</v>
      </c>
      <c r="C1093" s="66">
        <v>83.710655670825659</v>
      </c>
      <c r="D1093" s="66">
        <v>86.227498899575593</v>
      </c>
      <c r="E1093" s="66">
        <v>1498038.8118463191</v>
      </c>
      <c r="F1093" s="66" t="s">
        <v>1087</v>
      </c>
      <c r="G1093" s="25">
        <f t="shared" si="13"/>
        <v>-2.1594202898550741E-2</v>
      </c>
    </row>
    <row r="1094" spans="1:7">
      <c r="A1094" s="66">
        <v>86.949810412096667</v>
      </c>
      <c r="B1094" s="66">
        <v>90.173969066602538</v>
      </c>
      <c r="C1094" s="66">
        <v>85.983812489641991</v>
      </c>
      <c r="D1094" s="66">
        <v>90.173969066602538</v>
      </c>
      <c r="E1094" s="66">
        <v>1037770.7360411499</v>
      </c>
      <c r="F1094" s="66" t="s">
        <v>1088</v>
      </c>
      <c r="G1094" s="25">
        <f t="shared" si="13"/>
        <v>-3.5754871254746523E-2</v>
      </c>
    </row>
    <row r="1095" spans="1:7">
      <c r="A1095" s="66">
        <v>90.596358843820752</v>
      </c>
      <c r="B1095" s="66">
        <v>90.896280579123626</v>
      </c>
      <c r="C1095" s="66">
        <v>87.082275845188775</v>
      </c>
      <c r="D1095" s="66">
        <v>88.271965395223503</v>
      </c>
      <c r="E1095" s="66">
        <v>1156789.786007477</v>
      </c>
      <c r="F1095" s="66" t="s">
        <v>1089</v>
      </c>
      <c r="G1095" s="25">
        <f t="shared" si="13"/>
        <v>2.6332181890254214E-2</v>
      </c>
    </row>
    <row r="1096" spans="1:7">
      <c r="A1096" s="66">
        <v>88.499406044494833</v>
      </c>
      <c r="B1096" s="66">
        <v>89.91903559159509</v>
      </c>
      <c r="C1096" s="66">
        <v>88.381936698167877</v>
      </c>
      <c r="D1096" s="66">
        <v>89.661602768793472</v>
      </c>
      <c r="E1096" s="66">
        <v>950003.83920915506</v>
      </c>
      <c r="F1096" s="66" t="s">
        <v>1090</v>
      </c>
      <c r="G1096" s="25">
        <f t="shared" si="13"/>
        <v>-1.2962033784914007E-2</v>
      </c>
    </row>
    <row r="1097" spans="1:7">
      <c r="A1097" s="66">
        <v>89.236713643781073</v>
      </c>
      <c r="B1097" s="66">
        <v>90.912526339785856</v>
      </c>
      <c r="C1097" s="66">
        <v>87.212241930486684</v>
      </c>
      <c r="D1097" s="66">
        <v>90.521378409995037</v>
      </c>
      <c r="E1097" s="66">
        <v>1337953.048300324</v>
      </c>
      <c r="F1097" s="66" t="s">
        <v>1091</v>
      </c>
      <c r="G1097" s="25">
        <f t="shared" si="13"/>
        <v>-1.4191838312441307E-2</v>
      </c>
    </row>
    <row r="1098" spans="1:7">
      <c r="A1098" s="66">
        <v>90.236452761457315</v>
      </c>
      <c r="B1098" s="66">
        <v>93.228172071103444</v>
      </c>
      <c r="C1098" s="66">
        <v>90.020259177259817</v>
      </c>
      <c r="D1098" s="66">
        <v>92.895758814476096</v>
      </c>
      <c r="E1098" s="66">
        <v>1365064.1210999957</v>
      </c>
      <c r="F1098" s="66" t="s">
        <v>1092</v>
      </c>
      <c r="G1098" s="25">
        <f t="shared" si="13"/>
        <v>-2.8626775721050213E-2</v>
      </c>
    </row>
    <row r="1099" spans="1:7">
      <c r="A1099" s="66">
        <v>93.265662288016316</v>
      </c>
      <c r="B1099" s="66">
        <v>94.790264442472562</v>
      </c>
      <c r="C1099" s="66">
        <v>91.881023610034717</v>
      </c>
      <c r="D1099" s="66">
        <v>94.790264442472562</v>
      </c>
      <c r="E1099" s="66">
        <v>1025943.6505636072</v>
      </c>
      <c r="F1099" s="66" t="s">
        <v>1093</v>
      </c>
      <c r="G1099" s="25">
        <f t="shared" si="13"/>
        <v>-1.6083952961029158E-2</v>
      </c>
    </row>
    <row r="1100" spans="1:7">
      <c r="A1100" s="66">
        <v>94.320387057164737</v>
      </c>
      <c r="B1100" s="66">
        <v>96.67227333149809</v>
      </c>
      <c r="C1100" s="66">
        <v>94.147932059365587</v>
      </c>
      <c r="D1100" s="66">
        <v>95.899974863093192</v>
      </c>
      <c r="E1100" s="66">
        <v>807518.66734641802</v>
      </c>
      <c r="F1100" s="66" t="s">
        <v>1094</v>
      </c>
      <c r="G1100" s="25">
        <f t="shared" si="13"/>
        <v>-1.6471201459473561E-2</v>
      </c>
    </row>
    <row r="1101" spans="1:7">
      <c r="A1101" s="66">
        <v>95.645041388085758</v>
      </c>
      <c r="B1101" s="66">
        <v>98.151887225658925</v>
      </c>
      <c r="C1101" s="66">
        <v>95.607551171172886</v>
      </c>
      <c r="D1101" s="66">
        <v>97.607029406525371</v>
      </c>
      <c r="E1101" s="66">
        <v>862721.06867715437</v>
      </c>
      <c r="F1101" s="66" t="s">
        <v>1095</v>
      </c>
      <c r="G1101" s="25">
        <f t="shared" si="13"/>
        <v>-2.0100888536091932E-2</v>
      </c>
    </row>
    <row r="1102" spans="1:7">
      <c r="A1102" s="66">
        <v>98.489299177874656</v>
      </c>
      <c r="B1102" s="66">
        <v>98.936682433034775</v>
      </c>
      <c r="C1102" s="66">
        <v>96.214892685161203</v>
      </c>
      <c r="D1102" s="66">
        <v>97.46206723446231</v>
      </c>
      <c r="E1102" s="66">
        <v>1234189.9783495148</v>
      </c>
      <c r="F1102" s="66" t="s">
        <v>1096</v>
      </c>
      <c r="G1102" s="25">
        <f t="shared" si="13"/>
        <v>1.0539812796512393E-2</v>
      </c>
    </row>
    <row r="1103" spans="1:7">
      <c r="A1103" s="66">
        <v>97.702004622704621</v>
      </c>
      <c r="B1103" s="66">
        <v>101.640976746349</v>
      </c>
      <c r="C1103" s="66">
        <v>97.522051581522888</v>
      </c>
      <c r="D1103" s="66">
        <v>101.640976746349</v>
      </c>
      <c r="E1103" s="66">
        <v>1501595.7397859455</v>
      </c>
      <c r="F1103" s="66" t="s">
        <v>1097</v>
      </c>
      <c r="G1103" s="25">
        <f t="shared" si="13"/>
        <v>-3.8753780706715424E-2</v>
      </c>
    </row>
    <row r="1104" spans="1:7">
      <c r="A1104" s="66">
        <v>102.33579543313398</v>
      </c>
      <c r="B1104" s="66">
        <v>105.29002452586727</v>
      </c>
      <c r="C1104" s="66">
        <v>102.14334565298131</v>
      </c>
      <c r="D1104" s="66">
        <v>105.29002452586727</v>
      </c>
      <c r="E1104" s="66">
        <v>689095.77290652995</v>
      </c>
      <c r="F1104" s="66" t="s">
        <v>1098</v>
      </c>
      <c r="G1104" s="25">
        <f t="shared" si="13"/>
        <v>-2.80580150497306E-2</v>
      </c>
    </row>
    <row r="1105" spans="1:7">
      <c r="A1105" s="66">
        <v>104.61769996922999</v>
      </c>
      <c r="B1105" s="66">
        <v>105.03509105085983</v>
      </c>
      <c r="C1105" s="66">
        <v>103.13683640117206</v>
      </c>
      <c r="D1105" s="66">
        <v>103.37802346331146</v>
      </c>
      <c r="E1105" s="66">
        <v>923560.94072435133</v>
      </c>
      <c r="F1105" s="66" t="s">
        <v>1099</v>
      </c>
      <c r="G1105" s="25">
        <f t="shared" si="13"/>
        <v>1.1991683187466684E-2</v>
      </c>
    </row>
    <row r="1106" spans="1:7">
      <c r="A1106" s="66">
        <v>102.66570934196713</v>
      </c>
      <c r="B1106" s="66">
        <v>103.02811477212478</v>
      </c>
      <c r="C1106" s="66">
        <v>98.98916873671277</v>
      </c>
      <c r="D1106" s="66">
        <v>98.98916873671277</v>
      </c>
      <c r="E1106" s="66">
        <v>867062.20120189514</v>
      </c>
      <c r="F1106" s="66" t="s">
        <v>1100</v>
      </c>
      <c r="G1106" s="25">
        <f t="shared" si="13"/>
        <v>3.7140837246881775E-2</v>
      </c>
    </row>
    <row r="1107" spans="1:7">
      <c r="A1107" s="66">
        <v>98.779223522000777</v>
      </c>
      <c r="B1107" s="66">
        <v>99.76861533980906</v>
      </c>
      <c r="C1107" s="66">
        <v>98.041915922714537</v>
      </c>
      <c r="D1107" s="66">
        <v>99.509033077904419</v>
      </c>
      <c r="E1107" s="66">
        <v>622778.47189493652</v>
      </c>
      <c r="F1107" s="66" t="s">
        <v>1101</v>
      </c>
      <c r="G1107" s="25">
        <f t="shared" si="13"/>
        <v>-7.3341035816545386E-3</v>
      </c>
    </row>
    <row r="1108" spans="1:7">
      <c r="A1108" s="66">
        <v>99.878936551444625</v>
      </c>
      <c r="B1108" s="66">
        <v>101.75594674488177</v>
      </c>
      <c r="C1108" s="66">
        <v>99.499035686727666</v>
      </c>
      <c r="D1108" s="66">
        <v>101.3985400103125</v>
      </c>
      <c r="E1108" s="66">
        <v>871015.23247788032</v>
      </c>
      <c r="F1108" s="66" t="s">
        <v>1102</v>
      </c>
      <c r="G1108" s="25">
        <f t="shared" si="13"/>
        <v>-1.4986443184619169E-2</v>
      </c>
    </row>
    <row r="1109" spans="1:7">
      <c r="A1109" s="66">
        <v>101.12611110074573</v>
      </c>
      <c r="B1109" s="66">
        <v>101.3185608808984</v>
      </c>
      <c r="C1109" s="66">
        <v>100.07888437497988</v>
      </c>
      <c r="D1109" s="66">
        <v>100.44128980513752</v>
      </c>
      <c r="E1109" s="66">
        <v>805454.1287447901</v>
      </c>
      <c r="F1109" s="66" t="s">
        <v>1103</v>
      </c>
      <c r="G1109" s="25">
        <f t="shared" si="13"/>
        <v>6.8181252643888524E-3</v>
      </c>
    </row>
    <row r="1110" spans="1:7">
      <c r="A1110" s="66">
        <v>100.6862258889682</v>
      </c>
      <c r="B1110" s="66">
        <v>102.91064542579782</v>
      </c>
      <c r="C1110" s="66">
        <v>100.41379697940141</v>
      </c>
      <c r="D1110" s="66">
        <v>101.51850870443366</v>
      </c>
      <c r="E1110" s="66">
        <v>879837.53406041814</v>
      </c>
      <c r="F1110" s="66" t="s">
        <v>1104</v>
      </c>
      <c r="G1110" s="25">
        <f t="shared" si="13"/>
        <v>-8.1983357132304757E-3</v>
      </c>
    </row>
    <row r="1111" spans="1:7">
      <c r="A1111" s="66">
        <v>101.71345783238051</v>
      </c>
      <c r="B1111" s="66">
        <v>103.23805998683679</v>
      </c>
      <c r="C1111" s="66">
        <v>101.54850087796395</v>
      </c>
      <c r="D1111" s="66">
        <v>102.36578760666427</v>
      </c>
      <c r="E1111" s="66">
        <v>937652.61699360213</v>
      </c>
      <c r="F1111" s="66" t="s">
        <v>1105</v>
      </c>
      <c r="G1111" s="25">
        <f t="shared" si="13"/>
        <v>-6.3725370510536727E-3</v>
      </c>
    </row>
    <row r="1112" spans="1:7">
      <c r="A1112" s="66">
        <v>102.8356649919721</v>
      </c>
      <c r="B1112" s="66">
        <v>104.2190539960566</v>
      </c>
      <c r="C1112" s="66">
        <v>100.90991751654825</v>
      </c>
      <c r="D1112" s="66">
        <v>103.40801563684175</v>
      </c>
      <c r="E1112" s="66">
        <v>1483386.9894448437</v>
      </c>
      <c r="F1112" s="66" t="s">
        <v>1106</v>
      </c>
      <c r="G1112" s="25">
        <f t="shared" si="13"/>
        <v>-5.5348769758787331E-3</v>
      </c>
    </row>
    <row r="1113" spans="1:7">
      <c r="A1113" s="66">
        <v>103.96786954274044</v>
      </c>
      <c r="B1113" s="66">
        <v>106.06232299427217</v>
      </c>
      <c r="C1113" s="66">
        <v>103.52298563537451</v>
      </c>
      <c r="D1113" s="66">
        <v>104.54022018761009</v>
      </c>
      <c r="E1113" s="66">
        <v>1876153.4552731444</v>
      </c>
      <c r="F1113" s="66" t="s">
        <v>1107</v>
      </c>
      <c r="G1113" s="25">
        <f t="shared" si="13"/>
        <v>-5.4749324598942772E-3</v>
      </c>
    </row>
    <row r="1114" spans="1:7">
      <c r="A1114" s="66">
        <v>104.87763213982582</v>
      </c>
      <c r="B1114" s="66">
        <v>105.40999321998842</v>
      </c>
      <c r="C1114" s="66">
        <v>103.3155397684567</v>
      </c>
      <c r="D1114" s="66">
        <v>104.84014192291296</v>
      </c>
      <c r="E1114" s="66">
        <v>836646.26622209826</v>
      </c>
      <c r="F1114" s="66" t="s">
        <v>1108</v>
      </c>
      <c r="G1114" s="25">
        <f t="shared" si="13"/>
        <v>3.5759410684921278E-4</v>
      </c>
    </row>
    <row r="1115" spans="1:7">
      <c r="A1115" s="66">
        <v>105.10257344130297</v>
      </c>
      <c r="B1115" s="66">
        <v>105.61743908690623</v>
      </c>
      <c r="C1115" s="66">
        <v>103.98786432509397</v>
      </c>
      <c r="D1115" s="66">
        <v>103.98786432509397</v>
      </c>
      <c r="E1115" s="66">
        <v>1122800.9189128473</v>
      </c>
      <c r="F1115" s="66" t="s">
        <v>1109</v>
      </c>
      <c r="G1115" s="25">
        <f t="shared" si="13"/>
        <v>1.0719607748882254E-2</v>
      </c>
    </row>
    <row r="1116" spans="1:7">
      <c r="A1116" s="66">
        <v>104.30278214716198</v>
      </c>
      <c r="B1116" s="66">
        <v>107.44321265056246</v>
      </c>
      <c r="C1116" s="66">
        <v>104.03285258538941</v>
      </c>
      <c r="D1116" s="66">
        <v>107.21952102298241</v>
      </c>
      <c r="E1116" s="66">
        <v>801709.15174648829</v>
      </c>
      <c r="F1116" s="66" t="s">
        <v>1110</v>
      </c>
      <c r="G1116" s="25">
        <f t="shared" si="13"/>
        <v>-2.720343131541525E-2</v>
      </c>
    </row>
    <row r="1117" spans="1:7">
      <c r="A1117" s="66">
        <v>107.07705819871354</v>
      </c>
      <c r="B1117" s="66">
        <v>107.07955754650774</v>
      </c>
      <c r="C1117" s="66">
        <v>104.22530236554208</v>
      </c>
      <c r="D1117" s="66">
        <v>104.58270910011133</v>
      </c>
      <c r="E1117" s="66">
        <v>1650818.6694105845</v>
      </c>
      <c r="F1117" s="66" t="s">
        <v>1111</v>
      </c>
      <c r="G1117" s="25">
        <f t="shared" si="13"/>
        <v>2.3850492304750892E-2</v>
      </c>
    </row>
    <row r="1118" spans="1:7">
      <c r="A1118" s="66">
        <v>104.37026453760512</v>
      </c>
      <c r="B1118" s="66">
        <v>106.37724081634018</v>
      </c>
      <c r="C1118" s="66">
        <v>104.37026453760512</v>
      </c>
      <c r="D1118" s="66">
        <v>104.97260735600506</v>
      </c>
      <c r="E1118" s="66">
        <v>1090248.4265429936</v>
      </c>
      <c r="F1118" s="66" t="s">
        <v>1112</v>
      </c>
      <c r="G1118" s="25">
        <f t="shared" si="13"/>
        <v>-5.7380952380952088E-3</v>
      </c>
    </row>
    <row r="1119" spans="1:7">
      <c r="A1119" s="66">
        <v>105.32251604719174</v>
      </c>
      <c r="B1119" s="66">
        <v>105.52996191410956</v>
      </c>
      <c r="C1119" s="66">
        <v>103.98536497729978</v>
      </c>
      <c r="D1119" s="66">
        <v>103.98536497729978</v>
      </c>
      <c r="E1119" s="66">
        <v>639870.93101539055</v>
      </c>
      <c r="F1119" s="66" t="s">
        <v>1113</v>
      </c>
      <c r="G1119" s="25">
        <f t="shared" si="13"/>
        <v>1.2859031366422302E-2</v>
      </c>
    </row>
    <row r="1120" spans="1:7">
      <c r="A1120" s="66">
        <v>104.37526323319351</v>
      </c>
      <c r="B1120" s="66">
        <v>105.28752517807308</v>
      </c>
      <c r="C1120" s="66">
        <v>103.23056194345421</v>
      </c>
      <c r="D1120" s="66">
        <v>104.3277756251039</v>
      </c>
      <c r="E1120" s="66">
        <v>1307817.1863866395</v>
      </c>
      <c r="F1120" s="66" t="s">
        <v>1114</v>
      </c>
      <c r="G1120" s="25">
        <f t="shared" si="13"/>
        <v>4.5517703991171388E-4</v>
      </c>
    </row>
    <row r="1121" spans="1:7">
      <c r="A1121" s="66">
        <v>103.16058020521687</v>
      </c>
      <c r="B1121" s="66">
        <v>103.22806259566002</v>
      </c>
      <c r="C1121" s="66">
        <v>101.1386078397167</v>
      </c>
      <c r="D1121" s="66">
        <v>102.20832869563026</v>
      </c>
      <c r="E1121" s="66">
        <v>742533.7139207588</v>
      </c>
      <c r="F1121" s="66" t="s">
        <v>1115</v>
      </c>
      <c r="G1121" s="25">
        <f t="shared" si="13"/>
        <v>9.3167701863354768E-3</v>
      </c>
    </row>
    <row r="1122" spans="1:7">
      <c r="A1122" s="66">
        <v>102.07586326253816</v>
      </c>
      <c r="B1122" s="66">
        <v>103.19807042212973</v>
      </c>
      <c r="C1122" s="66">
        <v>101.37104718457641</v>
      </c>
      <c r="D1122" s="66">
        <v>103.10559455374468</v>
      </c>
      <c r="E1122" s="66">
        <v>721500.22665572423</v>
      </c>
      <c r="F1122" s="66" t="s">
        <v>1116</v>
      </c>
      <c r="G1122" s="25">
        <f t="shared" si="13"/>
        <v>-9.9871524495187547E-3</v>
      </c>
    </row>
    <row r="1123" spans="1:7">
      <c r="A1123" s="66">
        <v>102.95813303388744</v>
      </c>
      <c r="B1123" s="66">
        <v>103.09559716256793</v>
      </c>
      <c r="C1123" s="66">
        <v>101.31106283751585</v>
      </c>
      <c r="D1123" s="66">
        <v>102.08086195812655</v>
      </c>
      <c r="E1123" s="66">
        <v>1309177.5412791851</v>
      </c>
      <c r="F1123" s="66" t="s">
        <v>1117</v>
      </c>
      <c r="G1123" s="25">
        <f t="shared" si="13"/>
        <v>8.5938838968733222E-3</v>
      </c>
    </row>
    <row r="1124" spans="1:7">
      <c r="A1124" s="66">
        <v>101.75344739708757</v>
      </c>
      <c r="B1124" s="66">
        <v>104.07034280230225</v>
      </c>
      <c r="C1124" s="66">
        <v>101.51101066105107</v>
      </c>
      <c r="D1124" s="66">
        <v>104.07034280230225</v>
      </c>
      <c r="E1124" s="66">
        <v>1138945.1306523213</v>
      </c>
      <c r="F1124" s="66" t="s">
        <v>1118</v>
      </c>
      <c r="G1124" s="25">
        <f t="shared" si="13"/>
        <v>-2.2262782487571742E-2</v>
      </c>
    </row>
    <row r="1125" spans="1:7">
      <c r="A1125" s="66">
        <v>104.62519801261257</v>
      </c>
      <c r="B1125" s="66">
        <v>104.97260735600506</v>
      </c>
      <c r="C1125" s="66">
        <v>104.00036106406492</v>
      </c>
      <c r="D1125" s="66">
        <v>104.5102280140798</v>
      </c>
      <c r="E1125" s="66">
        <v>951288.17426947004</v>
      </c>
      <c r="F1125" s="66" t="s">
        <v>1119</v>
      </c>
      <c r="G1125" s="25">
        <f t="shared" si="13"/>
        <v>1.1000837020207488E-3</v>
      </c>
    </row>
    <row r="1126" spans="1:7">
      <c r="A1126" s="66">
        <v>104.49023323172628</v>
      </c>
      <c r="B1126" s="66">
        <v>105.34001148175109</v>
      </c>
      <c r="C1126" s="66">
        <v>103.82290737067738</v>
      </c>
      <c r="D1126" s="66">
        <v>104.6726856207022</v>
      </c>
      <c r="E1126" s="66">
        <v>1300003.1478421062</v>
      </c>
      <c r="F1126" s="66" t="s">
        <v>1120</v>
      </c>
      <c r="G1126" s="25">
        <f t="shared" si="13"/>
        <v>-1.7430754536772453E-3</v>
      </c>
    </row>
    <row r="1127" spans="1:7">
      <c r="A1127" s="66">
        <v>105.30002191704403</v>
      </c>
      <c r="B1127" s="66">
        <v>105.60994104352366</v>
      </c>
      <c r="C1127" s="66">
        <v>103.83040541405997</v>
      </c>
      <c r="D1127" s="66">
        <v>104.64769214276028</v>
      </c>
      <c r="E1127" s="66">
        <v>1888724.7348977856</v>
      </c>
      <c r="F1127" s="66" t="s">
        <v>1121</v>
      </c>
      <c r="G1127" s="25">
        <f t="shared" si="13"/>
        <v>6.2335801289707948E-3</v>
      </c>
    </row>
    <row r="1128" spans="1:7">
      <c r="A1128" s="66">
        <v>104.42774953687152</v>
      </c>
      <c r="B1128" s="66">
        <v>105.36625463359007</v>
      </c>
      <c r="C1128" s="66">
        <v>101.16360131765859</v>
      </c>
      <c r="D1128" s="66">
        <v>101.16360131765859</v>
      </c>
      <c r="E1128" s="66">
        <v>1307449.090356892</v>
      </c>
      <c r="F1128" s="66" t="s">
        <v>1122</v>
      </c>
      <c r="G1128" s="25">
        <f t="shared" si="13"/>
        <v>3.2266034193102255E-2</v>
      </c>
    </row>
    <row r="1129" spans="1:7">
      <c r="A1129" s="66">
        <v>101.75344739708757</v>
      </c>
      <c r="B1129" s="66">
        <v>101.96339261179958</v>
      </c>
      <c r="C1129" s="66">
        <v>98.411819396254742</v>
      </c>
      <c r="D1129" s="66">
        <v>98.411819396254742</v>
      </c>
      <c r="E1129" s="66">
        <v>1250942.3487468325</v>
      </c>
      <c r="F1129" s="66" t="s">
        <v>1123</v>
      </c>
      <c r="G1129" s="25">
        <f t="shared" si="13"/>
        <v>3.3955555555555517E-2</v>
      </c>
    </row>
    <row r="1130" spans="1:7">
      <c r="A1130" s="66">
        <v>97.592033319760233</v>
      </c>
      <c r="B1130" s="66">
        <v>97.642020275644043</v>
      </c>
      <c r="C1130" s="66">
        <v>95.592555084407763</v>
      </c>
      <c r="D1130" s="66">
        <v>96.862223763856576</v>
      </c>
      <c r="E1130" s="66">
        <v>952588.51350499154</v>
      </c>
      <c r="F1130" s="66" t="s">
        <v>1124</v>
      </c>
      <c r="G1130" s="25">
        <f t="shared" si="13"/>
        <v>7.5345116759129027E-3</v>
      </c>
    </row>
    <row r="1131" spans="1:7">
      <c r="A1131" s="66">
        <v>95.427598129991168</v>
      </c>
      <c r="B1131" s="66">
        <v>96.239886163103122</v>
      </c>
      <c r="C1131" s="66">
        <v>94.192920319661013</v>
      </c>
      <c r="D1131" s="66">
        <v>96.064931817509773</v>
      </c>
      <c r="E1131" s="66">
        <v>1099930.9525428764</v>
      </c>
      <c r="F1131" s="66" t="s">
        <v>1125</v>
      </c>
      <c r="G1131" s="25">
        <f t="shared" si="13"/>
        <v>-6.6344052450827418E-3</v>
      </c>
    </row>
    <row r="1132" spans="1:7">
      <c r="A1132" s="66">
        <v>94.965218788065911</v>
      </c>
      <c r="B1132" s="66">
        <v>97.514553538140333</v>
      </c>
      <c r="C1132" s="66">
        <v>94.887739006445997</v>
      </c>
      <c r="D1132" s="66">
        <v>97.329601801370217</v>
      </c>
      <c r="E1132" s="66">
        <v>1440535.8103296601</v>
      </c>
      <c r="F1132" s="66" t="s">
        <v>1126</v>
      </c>
      <c r="G1132" s="25">
        <f t="shared" si="13"/>
        <v>-2.4292537620050347E-2</v>
      </c>
    </row>
    <row r="1133" spans="1:7">
      <c r="A1133" s="66">
        <v>96.2998705101637</v>
      </c>
      <c r="B1133" s="66">
        <v>96.864723111650761</v>
      </c>
      <c r="C1133" s="66">
        <v>95.021004230832247</v>
      </c>
      <c r="D1133" s="66">
        <v>95.060194004245147</v>
      </c>
      <c r="E1133" s="66">
        <v>1014556.679904241</v>
      </c>
      <c r="F1133" s="66" t="s">
        <v>1127</v>
      </c>
      <c r="G1133" s="25">
        <f t="shared" si="13"/>
        <v>1.3040963348583068E-2</v>
      </c>
    </row>
    <row r="1134" spans="1:7">
      <c r="A1134" s="66">
        <v>96.657277244732953</v>
      </c>
      <c r="B1134" s="66">
        <v>97.317105062399264</v>
      </c>
      <c r="C1134" s="66">
        <v>95.395106608666694</v>
      </c>
      <c r="D1134" s="66">
        <v>96.504817029287324</v>
      </c>
      <c r="E1134" s="66">
        <v>1634402.3866926015</v>
      </c>
      <c r="F1134" s="66" t="s">
        <v>1128</v>
      </c>
      <c r="G1134" s="25">
        <f t="shared" si="13"/>
        <v>1.579819745156863E-3</v>
      </c>
    </row>
    <row r="1135" spans="1:7">
      <c r="A1135" s="66">
        <v>95.0726907432161</v>
      </c>
      <c r="B1135" s="66">
        <v>100.32631980660474</v>
      </c>
      <c r="C1135" s="66">
        <v>95.052945895641997</v>
      </c>
      <c r="D1135" s="66">
        <v>99.863940464679487</v>
      </c>
      <c r="E1135" s="66">
        <v>1971090.2225976144</v>
      </c>
      <c r="F1135" s="66" t="s">
        <v>1129</v>
      </c>
      <c r="G1135" s="25">
        <f t="shared" si="13"/>
        <v>-4.7977775553108559E-2</v>
      </c>
    </row>
    <row r="1136" spans="1:7">
      <c r="A1136" s="66">
        <v>100.27633285072092</v>
      </c>
      <c r="B1136" s="66">
        <v>105.08257865894944</v>
      </c>
      <c r="C1136" s="66">
        <v>99.392813405474556</v>
      </c>
      <c r="D1136" s="66">
        <v>104.91762170453286</v>
      </c>
      <c r="E1136" s="66">
        <v>2291669.856157368</v>
      </c>
      <c r="F1136" s="66" t="s">
        <v>1130</v>
      </c>
      <c r="G1136" s="25">
        <f t="shared" si="13"/>
        <v>-4.4237457715946449E-2</v>
      </c>
    </row>
    <row r="1137" spans="1:7">
      <c r="A1137" s="66">
        <v>106.10731125456759</v>
      </c>
      <c r="B1137" s="66">
        <v>107.63941145240643</v>
      </c>
      <c r="C1137" s="66">
        <v>102.47825825740284</v>
      </c>
      <c r="D1137" s="66">
        <v>103.17057759639364</v>
      </c>
      <c r="E1137" s="66">
        <v>2553654.2032426246</v>
      </c>
      <c r="F1137" s="66" t="s">
        <v>1131</v>
      </c>
      <c r="G1137" s="25">
        <f t="shared" si="13"/>
        <v>2.8464836841977759E-2</v>
      </c>
    </row>
    <row r="1138" spans="1:7">
      <c r="A1138" s="66">
        <v>104.25779388686655</v>
      </c>
      <c r="B1138" s="66">
        <v>104.78515627144077</v>
      </c>
      <c r="C1138" s="66">
        <v>103.09809651036211</v>
      </c>
      <c r="D1138" s="66">
        <v>103.90538584788568</v>
      </c>
      <c r="E1138" s="66">
        <v>1272511.975881282</v>
      </c>
      <c r="F1138" s="66" t="s">
        <v>1132</v>
      </c>
      <c r="G1138" s="25">
        <f t="shared" si="13"/>
        <v>3.3916243715872429E-3</v>
      </c>
    </row>
    <row r="1139" spans="1:7">
      <c r="A1139" s="66">
        <v>103.90538584788568</v>
      </c>
      <c r="B1139" s="66">
        <v>104.64769214276028</v>
      </c>
      <c r="C1139" s="66">
        <v>102.37703467173813</v>
      </c>
      <c r="D1139" s="66">
        <v>103.43800781037204</v>
      </c>
      <c r="E1139" s="66">
        <v>1641184.155936321</v>
      </c>
      <c r="F1139" s="66" t="s">
        <v>1133</v>
      </c>
      <c r="G1139" s="25">
        <f t="shared" si="13"/>
        <v>4.5184361861498878E-3</v>
      </c>
    </row>
    <row r="1140" spans="1:7">
      <c r="A1140" s="66">
        <v>102.79817477505925</v>
      </c>
      <c r="B1140" s="66">
        <v>103.41926270191561</v>
      </c>
      <c r="C1140" s="66">
        <v>101.02863653677231</v>
      </c>
      <c r="D1140" s="66">
        <v>101.97838869856473</v>
      </c>
      <c r="E1140" s="66">
        <v>1587098.0458262323</v>
      </c>
      <c r="F1140" s="66" t="s">
        <v>1134</v>
      </c>
      <c r="G1140" s="25">
        <f t="shared" si="13"/>
        <v>8.0388216263909129E-3</v>
      </c>
    </row>
    <row r="1141" spans="1:7">
      <c r="A1141" s="66">
        <v>102.22832347798378</v>
      </c>
      <c r="B1141" s="66">
        <v>102.82066890520696</v>
      </c>
      <c r="C1141" s="66">
        <v>100.95865479853497</v>
      </c>
      <c r="D1141" s="66">
        <v>101.7434500059108</v>
      </c>
      <c r="E1141" s="66">
        <v>1299575.0361553344</v>
      </c>
      <c r="F1141" s="66" t="s">
        <v>1135</v>
      </c>
      <c r="G1141" s="25">
        <f t="shared" si="13"/>
        <v>4.7656480298712278E-3</v>
      </c>
    </row>
    <row r="1142" spans="1:7">
      <c r="A1142" s="66">
        <v>102.69570151549742</v>
      </c>
      <c r="B1142" s="66">
        <v>102.80067412285344</v>
      </c>
      <c r="C1142" s="66">
        <v>99.221608081572498</v>
      </c>
      <c r="D1142" s="66">
        <v>100.14386741762883</v>
      </c>
      <c r="E1142" s="66">
        <v>1047601.300661692</v>
      </c>
      <c r="F1142" s="66" t="s">
        <v>1136</v>
      </c>
      <c r="G1142" s="25">
        <f t="shared" si="13"/>
        <v>2.5481681142058399E-2</v>
      </c>
    </row>
    <row r="1143" spans="1:7">
      <c r="A1143" s="66">
        <v>99.888933942621392</v>
      </c>
      <c r="B1143" s="66">
        <v>100.25133937277903</v>
      </c>
      <c r="C1143" s="66">
        <v>95.130175742482493</v>
      </c>
      <c r="D1143" s="66">
        <v>96.69976615723418</v>
      </c>
      <c r="E1143" s="66">
        <v>1551168.6724878245</v>
      </c>
      <c r="F1143" s="66" t="s">
        <v>1137</v>
      </c>
      <c r="G1143" s="25">
        <f t="shared" si="13"/>
        <v>3.2980098216593534E-2</v>
      </c>
    </row>
    <row r="1144" spans="1:7">
      <c r="A1144" s="66">
        <v>98.836708521267141</v>
      </c>
      <c r="B1144" s="66">
        <v>100.71121936691009</v>
      </c>
      <c r="C1144" s="66">
        <v>98.548033851038142</v>
      </c>
      <c r="D1144" s="66">
        <v>99.224107429366683</v>
      </c>
      <c r="E1144" s="66">
        <v>1342034.1129779606</v>
      </c>
      <c r="F1144" s="66" t="s">
        <v>1138</v>
      </c>
      <c r="G1144" s="25">
        <f t="shared" ref="G1144:G1207" si="14">A1144/D1144-1</f>
        <v>-3.9042821158690177E-3</v>
      </c>
    </row>
    <row r="1145" spans="1:7">
      <c r="A1145" s="66">
        <v>98.6392600455261</v>
      </c>
      <c r="B1145" s="66">
        <v>99.229106124955067</v>
      </c>
      <c r="C1145" s="66">
        <v>96.665300151152294</v>
      </c>
      <c r="D1145" s="66">
        <v>97.087165065333721</v>
      </c>
      <c r="E1145" s="66">
        <v>1303412.0371610729</v>
      </c>
      <c r="F1145" s="66" t="s">
        <v>1139</v>
      </c>
      <c r="G1145" s="25">
        <f t="shared" si="14"/>
        <v>1.5986613463766508E-2</v>
      </c>
    </row>
    <row r="1146" spans="1:7">
      <c r="A1146" s="66">
        <v>97.219630498425829</v>
      </c>
      <c r="B1146" s="66">
        <v>98.67799993633605</v>
      </c>
      <c r="C1146" s="66">
        <v>96.752252460912189</v>
      </c>
      <c r="D1146" s="66">
        <v>96.932205502093908</v>
      </c>
      <c r="E1146" s="66">
        <v>1040167.361278311</v>
      </c>
      <c r="F1146" s="66" t="s">
        <v>1140</v>
      </c>
      <c r="G1146" s="25">
        <f t="shared" si="14"/>
        <v>2.9652167186653422E-3</v>
      </c>
    </row>
    <row r="1147" spans="1:7">
      <c r="A1147" s="66">
        <v>97.21213245504326</v>
      </c>
      <c r="B1147" s="66">
        <v>99.783961335265388</v>
      </c>
      <c r="C1147" s="66">
        <v>96.992189849154485</v>
      </c>
      <c r="D1147" s="66">
        <v>99.783961335265388</v>
      </c>
      <c r="E1147" s="66">
        <v>938920.94787871081</v>
      </c>
      <c r="F1147" s="66" t="s">
        <v>1141</v>
      </c>
      <c r="G1147" s="25">
        <f t="shared" si="14"/>
        <v>-2.5773970544033742E-2</v>
      </c>
    </row>
    <row r="1148" spans="1:7">
      <c r="A1148" s="66">
        <v>100.29632763307445</v>
      </c>
      <c r="B1148" s="66">
        <v>100.72871480146942</v>
      </c>
      <c r="C1148" s="66">
        <v>98.371829831547686</v>
      </c>
      <c r="D1148" s="66">
        <v>98.81171504332525</v>
      </c>
      <c r="E1148" s="66">
        <v>1087687.7585099668</v>
      </c>
      <c r="F1148" s="66" t="s">
        <v>1142</v>
      </c>
      <c r="G1148" s="25">
        <f t="shared" si="14"/>
        <v>1.5024661692171426E-2</v>
      </c>
    </row>
    <row r="1149" spans="1:7">
      <c r="A1149" s="66">
        <v>99.461545469814794</v>
      </c>
      <c r="B1149" s="66">
        <v>100.57125589043542</v>
      </c>
      <c r="C1149" s="66">
        <v>98.643009067217378</v>
      </c>
      <c r="D1149" s="66">
        <v>99.908928724974913</v>
      </c>
      <c r="E1149" s="66">
        <v>916903.20383848157</v>
      </c>
      <c r="F1149" s="66" t="s">
        <v>1143</v>
      </c>
      <c r="G1149" s="25">
        <f t="shared" si="14"/>
        <v>-4.477910641917271E-3</v>
      </c>
    </row>
    <row r="1150" spans="1:7">
      <c r="A1150" s="66">
        <v>97.811975925649008</v>
      </c>
      <c r="B1150" s="66">
        <v>99.046653735979163</v>
      </c>
      <c r="C1150" s="66">
        <v>97.292111584457359</v>
      </c>
      <c r="D1150" s="66">
        <v>98.336838962429027</v>
      </c>
      <c r="E1150" s="66">
        <v>661356.53623000637</v>
      </c>
      <c r="F1150" s="66" t="s">
        <v>1144</v>
      </c>
      <c r="G1150" s="25">
        <f t="shared" si="14"/>
        <v>-5.3373999237513736E-3</v>
      </c>
    </row>
    <row r="1151" spans="1:7">
      <c r="A1151" s="66">
        <v>98.474303091109505</v>
      </c>
      <c r="B1151" s="66">
        <v>101.15110457868764</v>
      </c>
      <c r="C1151" s="66">
        <v>98.39932265728379</v>
      </c>
      <c r="D1151" s="66">
        <v>100.02889741909607</v>
      </c>
      <c r="E1151" s="66">
        <v>808106.82078525377</v>
      </c>
      <c r="F1151" s="66" t="s">
        <v>1145</v>
      </c>
      <c r="G1151" s="25">
        <f t="shared" si="14"/>
        <v>-1.5541452201289441E-2</v>
      </c>
    </row>
    <row r="1152" spans="1:7">
      <c r="A1152" s="66">
        <v>100.64623632426114</v>
      </c>
      <c r="B1152" s="66">
        <v>101.95464489451992</v>
      </c>
      <c r="C1152" s="66">
        <v>100.13636937424626</v>
      </c>
      <c r="D1152" s="66">
        <v>100.58875132499475</v>
      </c>
      <c r="E1152" s="66">
        <v>624282.86436433974</v>
      </c>
      <c r="F1152" s="66" t="s">
        <v>1146</v>
      </c>
      <c r="G1152" s="25">
        <f t="shared" si="14"/>
        <v>5.7148536500539748E-4</v>
      </c>
    </row>
    <row r="1153" spans="1:7">
      <c r="A1153" s="66">
        <v>101.68096631105604</v>
      </c>
      <c r="B1153" s="66">
        <v>102.68570412432067</v>
      </c>
      <c r="C1153" s="66">
        <v>101.34605370663451</v>
      </c>
      <c r="D1153" s="66">
        <v>101.76344478826434</v>
      </c>
      <c r="E1153" s="66">
        <v>1298578.7762487349</v>
      </c>
      <c r="F1153" s="66" t="s">
        <v>1147</v>
      </c>
      <c r="G1153" s="25">
        <f t="shared" si="14"/>
        <v>-8.1049218980266957E-4</v>
      </c>
    </row>
    <row r="1154" spans="1:7">
      <c r="A1154" s="66">
        <v>101.2410810992785</v>
      </c>
      <c r="B1154" s="66">
        <v>101.44602761840213</v>
      </c>
      <c r="C1154" s="66">
        <v>97.283363867177698</v>
      </c>
      <c r="D1154" s="66">
        <v>98.304347441104554</v>
      </c>
      <c r="E1154" s="66">
        <v>1661173.3707691366</v>
      </c>
      <c r="F1154" s="66" t="s">
        <v>1148</v>
      </c>
      <c r="G1154" s="25">
        <f t="shared" si="14"/>
        <v>2.9873894030306047E-2</v>
      </c>
    </row>
    <row r="1155" spans="1:7">
      <c r="A1155" s="66">
        <v>96.69976615723418</v>
      </c>
      <c r="B1155" s="66">
        <v>97.786982447707103</v>
      </c>
      <c r="C1155" s="66">
        <v>96.589794854289792</v>
      </c>
      <c r="D1155" s="66">
        <v>97.034678761655726</v>
      </c>
      <c r="E1155" s="66">
        <v>707060.45957573387</v>
      </c>
      <c r="F1155" s="66" t="s">
        <v>1149</v>
      </c>
      <c r="G1155" s="25">
        <f t="shared" si="14"/>
        <v>-3.4514733154750177E-3</v>
      </c>
    </row>
    <row r="1156" spans="1:7">
      <c r="A1156" s="66">
        <v>97.139651369011744</v>
      </c>
      <c r="B1156" s="66">
        <v>97.967010469322645</v>
      </c>
      <c r="C1156" s="66">
        <v>95.804999646913956</v>
      </c>
      <c r="D1156" s="66">
        <v>97.134652673423346</v>
      </c>
      <c r="E1156" s="66">
        <v>895157.53077676147</v>
      </c>
      <c r="F1156" s="66" t="s">
        <v>1150</v>
      </c>
      <c r="G1156" s="25">
        <f t="shared" si="14"/>
        <v>5.1461506793026857E-5</v>
      </c>
    </row>
    <row r="1157" spans="1:7">
      <c r="A1157" s="66">
        <v>97.682009840351085</v>
      </c>
      <c r="B1157" s="66">
        <v>99.096640691862973</v>
      </c>
      <c r="C1157" s="66">
        <v>97.227128541808398</v>
      </c>
      <c r="D1157" s="66">
        <v>98.169382660218247</v>
      </c>
      <c r="E1157" s="66">
        <v>971373.41415352433</v>
      </c>
      <c r="F1157" s="66" t="s">
        <v>1151</v>
      </c>
      <c r="G1157" s="25">
        <f t="shared" si="14"/>
        <v>-4.9646112327511593E-3</v>
      </c>
    </row>
    <row r="1158" spans="1:7">
      <c r="A1158" s="66">
        <v>99.371568949223928</v>
      </c>
      <c r="B1158" s="66">
        <v>99.693984814674522</v>
      </c>
      <c r="C1158" s="66">
        <v>98.046914618302921</v>
      </c>
      <c r="D1158" s="66">
        <v>98.929184389652193</v>
      </c>
      <c r="E1158" s="66">
        <v>993351.14775573753</v>
      </c>
      <c r="F1158" s="66" t="s">
        <v>1152</v>
      </c>
      <c r="G1158" s="25">
        <f t="shared" si="14"/>
        <v>4.4717295740488439E-3</v>
      </c>
    </row>
    <row r="1159" spans="1:7">
      <c r="A1159" s="66">
        <v>99.141628952158399</v>
      </c>
      <c r="B1159" s="66">
        <v>99.798957422030526</v>
      </c>
      <c r="C1159" s="66">
        <v>98.136891138893773</v>
      </c>
      <c r="D1159" s="66">
        <v>99.206611994807361</v>
      </c>
      <c r="E1159" s="66">
        <v>998092.38466063875</v>
      </c>
      <c r="F1159" s="66" t="s">
        <v>1153</v>
      </c>
      <c r="G1159" s="25">
        <f t="shared" si="14"/>
        <v>-6.5502733479461117E-4</v>
      </c>
    </row>
    <row r="1160" spans="1:7">
      <c r="A1160" s="66">
        <v>99.549022642611476</v>
      </c>
      <c r="B1160" s="66">
        <v>99.695234488571614</v>
      </c>
      <c r="C1160" s="66">
        <v>95.882479428533856</v>
      </c>
      <c r="D1160" s="66">
        <v>95.882479428533856</v>
      </c>
      <c r="E1160" s="66">
        <v>1618850.329435765</v>
      </c>
      <c r="F1160" s="66" t="s">
        <v>1154</v>
      </c>
      <c r="G1160" s="25">
        <f t="shared" si="14"/>
        <v>3.8239970805203027E-2</v>
      </c>
    </row>
    <row r="1161" spans="1:7">
      <c r="A1161" s="66">
        <v>96.274877032221781</v>
      </c>
      <c r="B1161" s="66">
        <v>96.329862683693989</v>
      </c>
      <c r="C1161" s="66">
        <v>93.569333045010467</v>
      </c>
      <c r="D1161" s="66">
        <v>94.875242267475059</v>
      </c>
      <c r="E1161" s="66">
        <v>1260484.8382136591</v>
      </c>
      <c r="F1161" s="66" t="s">
        <v>1155</v>
      </c>
      <c r="G1161" s="25">
        <f t="shared" si="14"/>
        <v>1.4752370916754298E-2</v>
      </c>
    </row>
    <row r="1162" spans="1:7">
      <c r="A1162" s="66">
        <v>94.840251398356372</v>
      </c>
      <c r="B1162" s="66">
        <v>96.992189849154485</v>
      </c>
      <c r="C1162" s="66">
        <v>94.090447060099194</v>
      </c>
      <c r="D1162" s="66">
        <v>96.222390728543786</v>
      </c>
      <c r="E1162" s="66">
        <v>1091936.8670272706</v>
      </c>
      <c r="F1162" s="66" t="s">
        <v>1156</v>
      </c>
      <c r="G1162" s="25">
        <f t="shared" si="14"/>
        <v>-1.4364009454791216E-2</v>
      </c>
    </row>
    <row r="1163" spans="1:7">
      <c r="A1163" s="66">
        <v>95.565062258671659</v>
      </c>
      <c r="B1163" s="66">
        <v>99.416557209519368</v>
      </c>
      <c r="C1163" s="66">
        <v>94.595315314525706</v>
      </c>
      <c r="D1163" s="66">
        <v>98.034417879331968</v>
      </c>
      <c r="E1163" s="66">
        <v>1408915.5611655803</v>
      </c>
      <c r="F1163" s="66" t="s">
        <v>1157</v>
      </c>
      <c r="G1163" s="25">
        <f t="shared" si="14"/>
        <v>-2.5188660004079155E-2</v>
      </c>
    </row>
    <row r="1164" spans="1:7">
      <c r="A1164" s="66">
        <v>97.372090713871458</v>
      </c>
      <c r="B1164" s="66">
        <v>98.851704608032293</v>
      </c>
      <c r="C1164" s="66">
        <v>96.129914860158735</v>
      </c>
      <c r="D1164" s="66">
        <v>97.11215854327564</v>
      </c>
      <c r="E1164" s="66">
        <v>1504428.4787974814</v>
      </c>
      <c r="F1164" s="66" t="s">
        <v>1158</v>
      </c>
      <c r="G1164" s="25">
        <f t="shared" si="14"/>
        <v>2.6766181958564061E-3</v>
      </c>
    </row>
    <row r="1165" spans="1:7">
      <c r="A1165" s="66">
        <v>98.301848093310355</v>
      </c>
      <c r="B1165" s="66">
        <v>98.619265263172565</v>
      </c>
      <c r="C1165" s="66">
        <v>92.838273815209718</v>
      </c>
      <c r="D1165" s="66">
        <v>95.225150958661729</v>
      </c>
      <c r="E1165" s="66">
        <v>2440972.8066580393</v>
      </c>
      <c r="F1165" s="66" t="s">
        <v>1159</v>
      </c>
      <c r="G1165" s="25">
        <f t="shared" si="14"/>
        <v>3.2309711286089282E-2</v>
      </c>
    </row>
    <row r="1166" spans="1:7">
      <c r="A1166" s="66">
        <v>97.049674848420878</v>
      </c>
      <c r="B1166" s="66">
        <v>98.886445542371547</v>
      </c>
      <c r="C1166" s="66">
        <v>96.952200284447443</v>
      </c>
      <c r="D1166" s="66">
        <v>98.211871572719488</v>
      </c>
      <c r="E1166" s="66">
        <v>965972.00502135837</v>
      </c>
      <c r="F1166" s="66" t="s">
        <v>1160</v>
      </c>
      <c r="G1166" s="25">
        <f t="shared" si="14"/>
        <v>-1.1833566611528012E-2</v>
      </c>
    </row>
    <row r="1167" spans="1:7">
      <c r="A1167" s="66">
        <v>98.359333092576748</v>
      </c>
      <c r="B1167" s="66">
        <v>100.9736508853001</v>
      </c>
      <c r="C1167" s="66">
        <v>98.099400921980916</v>
      </c>
      <c r="D1167" s="66">
        <v>99.87643720365044</v>
      </c>
      <c r="E1167" s="66">
        <v>1192383.0716665501</v>
      </c>
      <c r="F1167" s="66" t="s">
        <v>1161</v>
      </c>
      <c r="G1167" s="25">
        <f t="shared" si="14"/>
        <v>-1.5189810064813236E-2</v>
      </c>
    </row>
    <row r="1168" spans="1:7">
      <c r="A1168" s="66">
        <v>99.50403438231605</v>
      </c>
      <c r="B1168" s="66">
        <v>100.72042528058456</v>
      </c>
      <c r="C1168" s="66">
        <v>99.251619275632294</v>
      </c>
      <c r="D1168" s="66">
        <v>99.983873000962404</v>
      </c>
      <c r="E1168" s="66">
        <v>2390935.8593030195</v>
      </c>
      <c r="F1168" s="66" t="s">
        <v>1162</v>
      </c>
      <c r="G1168" s="25">
        <f t="shared" si="14"/>
        <v>-4.7991601469742351E-3</v>
      </c>
    </row>
    <row r="1169" spans="1:7">
      <c r="A1169" s="66">
        <v>99.933889811520075</v>
      </c>
      <c r="B1169" s="66">
        <v>101.64831320939196</v>
      </c>
      <c r="C1169" s="66">
        <v>99.091673069416842</v>
      </c>
      <c r="D1169" s="66">
        <v>101.39089978376396</v>
      </c>
      <c r="E1169" s="66">
        <v>1834744.8616861864</v>
      </c>
      <c r="F1169" s="66" t="s">
        <v>1163</v>
      </c>
      <c r="G1169" s="25">
        <f t="shared" si="14"/>
        <v>-1.437022430367263E-2</v>
      </c>
    </row>
    <row r="1170" spans="1:7">
      <c r="A1170" s="66">
        <v>102.59549464932408</v>
      </c>
      <c r="B1170" s="66">
        <v>104.06500041892855</v>
      </c>
      <c r="C1170" s="66">
        <v>101.12348972024751</v>
      </c>
      <c r="D1170" s="66">
        <v>103.67763070075051</v>
      </c>
      <c r="E1170" s="66">
        <v>3041714.6583936857</v>
      </c>
      <c r="F1170" s="66" t="s">
        <v>1164</v>
      </c>
      <c r="G1170" s="25">
        <f t="shared" si="14"/>
        <v>-1.0437507532843338E-2</v>
      </c>
    </row>
    <row r="1171" spans="1:7">
      <c r="A1171" s="66">
        <v>103.9975231131814</v>
      </c>
      <c r="B1171" s="66">
        <v>106.25176495703043</v>
      </c>
      <c r="C1171" s="66">
        <v>103.87006598010348</v>
      </c>
      <c r="D1171" s="66">
        <v>105.31707931445889</v>
      </c>
      <c r="E1171" s="66">
        <v>2315598.5300526563</v>
      </c>
      <c r="F1171" s="66" t="s">
        <v>1165</v>
      </c>
      <c r="G1171" s="25">
        <f t="shared" si="14"/>
        <v>-1.2529365700861494E-2</v>
      </c>
    </row>
    <row r="1172" spans="1:7">
      <c r="A1172" s="66">
        <v>105.13963899193863</v>
      </c>
      <c r="B1172" s="66">
        <v>105.93187254459953</v>
      </c>
      <c r="C1172" s="66">
        <v>103.61265255447547</v>
      </c>
      <c r="D1172" s="66">
        <v>105.65196668372249</v>
      </c>
      <c r="E1172" s="66">
        <v>1388082.6888818769</v>
      </c>
      <c r="F1172" s="66" t="s">
        <v>1166</v>
      </c>
      <c r="G1172" s="25">
        <f t="shared" si="14"/>
        <v>-4.8492016558249196E-3</v>
      </c>
    </row>
    <row r="1173" spans="1:7">
      <c r="A1173" s="66">
        <v>105.53700534800514</v>
      </c>
      <c r="B1173" s="66">
        <v>105.57449274008688</v>
      </c>
      <c r="C1173" s="66">
        <v>102.92538369964345</v>
      </c>
      <c r="D1173" s="66">
        <v>103.69762397652744</v>
      </c>
      <c r="E1173" s="66">
        <v>1591899.214270965</v>
      </c>
      <c r="F1173" s="66" t="s">
        <v>1167</v>
      </c>
      <c r="G1173" s="25">
        <f t="shared" si="14"/>
        <v>1.7737931699322695E-2</v>
      </c>
    </row>
    <row r="1174" spans="1:7">
      <c r="A1174" s="66">
        <v>103.98752647529294</v>
      </c>
      <c r="B1174" s="66">
        <v>104.0874928541776</v>
      </c>
      <c r="C1174" s="66">
        <v>100.77110823467909</v>
      </c>
      <c r="D1174" s="66">
        <v>101.8057602561353</v>
      </c>
      <c r="E1174" s="66">
        <v>2408973.9239015235</v>
      </c>
      <c r="F1174" s="66" t="s">
        <v>1168</v>
      </c>
      <c r="G1174" s="25">
        <f t="shared" si="14"/>
        <v>2.1430675569520607E-2</v>
      </c>
    </row>
    <row r="1175" spans="1:7">
      <c r="A1175" s="66">
        <v>102.12565266856619</v>
      </c>
      <c r="B1175" s="66">
        <v>103.61765087341972</v>
      </c>
      <c r="C1175" s="66">
        <v>101.57708716443663</v>
      </c>
      <c r="D1175" s="66">
        <v>102.22311988797873</v>
      </c>
      <c r="E1175" s="66">
        <v>1232842.4953973677</v>
      </c>
      <c r="F1175" s="66" t="s">
        <v>1169</v>
      </c>
      <c r="G1175" s="25">
        <f t="shared" si="14"/>
        <v>-9.5347529521061514E-4</v>
      </c>
    </row>
    <row r="1176" spans="1:7">
      <c r="A1176" s="66">
        <v>102.64797699823853</v>
      </c>
      <c r="B1176" s="66">
        <v>103.66013658444568</v>
      </c>
      <c r="C1176" s="66">
        <v>101.03601913872342</v>
      </c>
      <c r="D1176" s="66">
        <v>102.03568292756999</v>
      </c>
      <c r="E1176" s="66">
        <v>1206877.76576567</v>
      </c>
      <c r="F1176" s="66" t="s">
        <v>1170</v>
      </c>
      <c r="G1176" s="25">
        <f t="shared" si="14"/>
        <v>6.0007837758402349E-3</v>
      </c>
    </row>
    <row r="1177" spans="1:7">
      <c r="A1177" s="66">
        <v>102.58549801143563</v>
      </c>
      <c r="B1177" s="66">
        <v>105.62197677005709</v>
      </c>
      <c r="C1177" s="66">
        <v>102.4755349946625</v>
      </c>
      <c r="D1177" s="66">
        <v>104.34490627980558</v>
      </c>
      <c r="E1177" s="66">
        <v>728144.8104065666</v>
      </c>
      <c r="F1177" s="66" t="s">
        <v>1171</v>
      </c>
      <c r="G1177" s="25">
        <f t="shared" si="14"/>
        <v>-1.6861467714121225E-2</v>
      </c>
    </row>
    <row r="1178" spans="1:7">
      <c r="A1178" s="66">
        <v>104.21494998725554</v>
      </c>
      <c r="B1178" s="66">
        <v>106.19928260811599</v>
      </c>
      <c r="C1178" s="66">
        <v>104.16996511675744</v>
      </c>
      <c r="D1178" s="66">
        <v>105.60198349428016</v>
      </c>
      <c r="E1178" s="66">
        <v>794871.24457796314</v>
      </c>
      <c r="F1178" s="66" t="s">
        <v>1172</v>
      </c>
      <c r="G1178" s="25">
        <f t="shared" si="14"/>
        <v>-1.3134540291089847E-2</v>
      </c>
    </row>
    <row r="1179" spans="1:7">
      <c r="A1179" s="66">
        <v>105.3645633444291</v>
      </c>
      <c r="B1179" s="66">
        <v>107.37138840053861</v>
      </c>
      <c r="C1179" s="66">
        <v>104.57732811071241</v>
      </c>
      <c r="D1179" s="66">
        <v>107.0040119581375</v>
      </c>
      <c r="E1179" s="66">
        <v>1390303.4355216662</v>
      </c>
      <c r="F1179" s="66" t="s">
        <v>1173</v>
      </c>
      <c r="G1179" s="25">
        <f t="shared" si="14"/>
        <v>-1.5321375186846176E-2</v>
      </c>
    </row>
    <row r="1180" spans="1:7">
      <c r="A1180" s="66">
        <v>104.69978692484612</v>
      </c>
      <c r="B1180" s="66">
        <v>106.08931959134287</v>
      </c>
      <c r="C1180" s="66">
        <v>104.6198138217384</v>
      </c>
      <c r="D1180" s="66">
        <v>105.50701543433975</v>
      </c>
      <c r="E1180" s="66">
        <v>608920.72593961202</v>
      </c>
      <c r="F1180" s="66" t="s">
        <v>1174</v>
      </c>
      <c r="G1180" s="25">
        <f t="shared" si="14"/>
        <v>-7.6509463012531809E-3</v>
      </c>
    </row>
    <row r="1181" spans="1:7">
      <c r="A1181" s="66">
        <v>105.96935993668127</v>
      </c>
      <c r="B1181" s="66">
        <v>106.91154305766918</v>
      </c>
      <c r="C1181" s="66">
        <v>105.06716336724725</v>
      </c>
      <c r="D1181" s="66">
        <v>105.27709276290503</v>
      </c>
      <c r="E1181" s="66">
        <v>650202.60536791012</v>
      </c>
      <c r="F1181" s="66" t="s">
        <v>1175</v>
      </c>
      <c r="G1181" s="25">
        <f t="shared" si="14"/>
        <v>6.5756676557862104E-3</v>
      </c>
    </row>
    <row r="1182" spans="1:7">
      <c r="A1182" s="66">
        <v>105.13464067299439</v>
      </c>
      <c r="B1182" s="66">
        <v>105.83815406439517</v>
      </c>
      <c r="C1182" s="66">
        <v>104.6797936490692</v>
      </c>
      <c r="D1182" s="66">
        <v>105.25460032765598</v>
      </c>
      <c r="E1182" s="66">
        <v>637830.44570984109</v>
      </c>
      <c r="F1182" s="66" t="s">
        <v>1176</v>
      </c>
      <c r="G1182" s="25">
        <f t="shared" si="14"/>
        <v>-1.1397093741095654E-3</v>
      </c>
    </row>
    <row r="1183" spans="1:7">
      <c r="A1183" s="66">
        <v>105.06716336724725</v>
      </c>
      <c r="B1183" s="66">
        <v>105.57449274008688</v>
      </c>
      <c r="C1183" s="66">
        <v>104.72977683851153</v>
      </c>
      <c r="D1183" s="66">
        <v>105.05966588883089</v>
      </c>
      <c r="E1183" s="66">
        <v>599269.48108344688</v>
      </c>
      <c r="F1183" s="66" t="s">
        <v>1177</v>
      </c>
      <c r="G1183" s="25">
        <f t="shared" si="14"/>
        <v>7.1364003996432501E-5</v>
      </c>
    </row>
    <row r="1184" spans="1:7">
      <c r="A1184" s="66">
        <v>104.97219530730682</v>
      </c>
      <c r="B1184" s="66">
        <v>105.06466420777512</v>
      </c>
      <c r="C1184" s="66">
        <v>103.04284419483292</v>
      </c>
      <c r="D1184" s="66">
        <v>103.04284419483292</v>
      </c>
      <c r="E1184" s="66">
        <v>783283.34859809</v>
      </c>
      <c r="F1184" s="66" t="s">
        <v>1178</v>
      </c>
      <c r="G1184" s="25">
        <f t="shared" si="14"/>
        <v>1.8723775799762254E-2</v>
      </c>
    </row>
    <row r="1185" spans="1:7">
      <c r="A1185" s="66">
        <v>102.76793665290012</v>
      </c>
      <c r="B1185" s="66">
        <v>103.32025089623785</v>
      </c>
      <c r="C1185" s="66">
        <v>101.00602922505804</v>
      </c>
      <c r="D1185" s="66">
        <v>101.84074848874492</v>
      </c>
      <c r="E1185" s="66">
        <v>846036.44688964763</v>
      </c>
      <c r="F1185" s="66" t="s">
        <v>1179</v>
      </c>
      <c r="G1185" s="25">
        <f t="shared" si="14"/>
        <v>9.1042944785275637E-3</v>
      </c>
    </row>
    <row r="1186" spans="1:7">
      <c r="A1186" s="66">
        <v>101.12099056077538</v>
      </c>
      <c r="B1186" s="66">
        <v>101.15847795285713</v>
      </c>
      <c r="C1186" s="66">
        <v>99.011699966309109</v>
      </c>
      <c r="D1186" s="66">
        <v>99.011699966309109</v>
      </c>
      <c r="E1186" s="66">
        <v>1037612.8570154648</v>
      </c>
      <c r="F1186" s="66" t="s">
        <v>1180</v>
      </c>
      <c r="G1186" s="25">
        <f t="shared" si="14"/>
        <v>2.1303447927709662E-2</v>
      </c>
    </row>
    <row r="1187" spans="1:7">
      <c r="A1187" s="66">
        <v>98.914232746896573</v>
      </c>
      <c r="B1187" s="66">
        <v>99.324094900323672</v>
      </c>
      <c r="C1187" s="66">
        <v>97.48221436937385</v>
      </c>
      <c r="D1187" s="66">
        <v>97.524700080399839</v>
      </c>
      <c r="E1187" s="66">
        <v>2317911.3076342745</v>
      </c>
      <c r="F1187" s="66" t="s">
        <v>1181</v>
      </c>
      <c r="G1187" s="25">
        <f t="shared" si="14"/>
        <v>1.4248007585270228E-2</v>
      </c>
    </row>
    <row r="1188" spans="1:7">
      <c r="A1188" s="66">
        <v>97.399742106794008</v>
      </c>
      <c r="B1188" s="66">
        <v>97.754622751834532</v>
      </c>
      <c r="C1188" s="66">
        <v>96.10767665970981</v>
      </c>
      <c r="D1188" s="66">
        <v>97.447226136764229</v>
      </c>
      <c r="E1188" s="66">
        <v>1620964.9865077739</v>
      </c>
      <c r="F1188" s="66" t="s">
        <v>1182</v>
      </c>
      <c r="G1188" s="25">
        <f t="shared" si="14"/>
        <v>-4.8727944193693862E-4</v>
      </c>
    </row>
    <row r="1189" spans="1:7">
      <c r="A1189" s="66">
        <v>98.33442774936556</v>
      </c>
      <c r="B1189" s="66">
        <v>99.971377203601818</v>
      </c>
      <c r="C1189" s="66">
        <v>97.106090868820331</v>
      </c>
      <c r="D1189" s="66">
        <v>98.316933633060742</v>
      </c>
      <c r="E1189" s="66">
        <v>2198203.0603863928</v>
      </c>
      <c r="F1189" s="66" t="s">
        <v>1183</v>
      </c>
      <c r="G1189" s="25">
        <f t="shared" si="14"/>
        <v>1.7793594306048099E-4</v>
      </c>
    </row>
    <row r="1190" spans="1:7">
      <c r="A1190" s="66">
        <v>98.684310075461866</v>
      </c>
      <c r="B1190" s="66">
        <v>102.08066779806809</v>
      </c>
      <c r="C1190" s="66">
        <v>98.079513483209681</v>
      </c>
      <c r="D1190" s="66">
        <v>100.47620741696934</v>
      </c>
      <c r="E1190" s="66">
        <v>2020759.4018492883</v>
      </c>
      <c r="F1190" s="66" t="s">
        <v>1184</v>
      </c>
      <c r="G1190" s="25">
        <f t="shared" si="14"/>
        <v>-1.7834046363545797E-2</v>
      </c>
    </row>
    <row r="1191" spans="1:7">
      <c r="A1191" s="66">
        <v>100.103832655624</v>
      </c>
      <c r="B1191" s="66">
        <v>100.63365446371269</v>
      </c>
      <c r="C1191" s="66">
        <v>97.024868185976544</v>
      </c>
      <c r="D1191" s="66">
        <v>98.117000875291438</v>
      </c>
      <c r="E1191" s="66">
        <v>1304798.6878718357</v>
      </c>
      <c r="F1191" s="66" t="s">
        <v>1185</v>
      </c>
      <c r="G1191" s="25">
        <f t="shared" si="14"/>
        <v>2.0249617931737074E-2</v>
      </c>
    </row>
    <row r="1192" spans="1:7">
      <c r="A1192" s="66">
        <v>98.049523569544277</v>
      </c>
      <c r="B1192" s="66">
        <v>100.85607965673104</v>
      </c>
      <c r="C1192" s="66">
        <v>97.772116868139364</v>
      </c>
      <c r="D1192" s="66">
        <v>98.209469775759743</v>
      </c>
      <c r="E1192" s="66">
        <v>1714576.4597291593</v>
      </c>
      <c r="F1192" s="66" t="s">
        <v>1186</v>
      </c>
      <c r="G1192" s="25">
        <f t="shared" si="14"/>
        <v>-1.6286230501056931E-3</v>
      </c>
    </row>
    <row r="1193" spans="1:7">
      <c r="A1193" s="66">
        <v>98.554353782911804</v>
      </c>
      <c r="B1193" s="66">
        <v>100.00136711726722</v>
      </c>
      <c r="C1193" s="66">
        <v>98.329429430421314</v>
      </c>
      <c r="D1193" s="66">
        <v>99.646486472226698</v>
      </c>
      <c r="E1193" s="66">
        <v>2433122.0427684207</v>
      </c>
      <c r="F1193" s="66" t="s">
        <v>1187</v>
      </c>
      <c r="G1193" s="25">
        <f t="shared" si="14"/>
        <v>-1.0960072231139706E-2</v>
      </c>
    </row>
    <row r="1194" spans="1:7">
      <c r="A1194" s="66">
        <v>99.861414186828696</v>
      </c>
      <c r="B1194" s="66">
        <v>102.70795682556933</v>
      </c>
      <c r="C1194" s="66">
        <v>99.196637767245733</v>
      </c>
      <c r="D1194" s="66">
        <v>102.70795682556933</v>
      </c>
      <c r="E1194" s="66">
        <v>1517918.3410762567</v>
      </c>
      <c r="F1194" s="66" t="s">
        <v>1188</v>
      </c>
      <c r="G1194" s="25">
        <f t="shared" si="14"/>
        <v>-2.7714918363870855E-2</v>
      </c>
    </row>
    <row r="1195" spans="1:7">
      <c r="A1195" s="66">
        <v>102.07317031965175</v>
      </c>
      <c r="B1195" s="66">
        <v>104.0539541340618</v>
      </c>
      <c r="C1195" s="66">
        <v>102.07317031965175</v>
      </c>
      <c r="D1195" s="66">
        <v>103.07033494902622</v>
      </c>
      <c r="E1195" s="66">
        <v>773159.94499688875</v>
      </c>
      <c r="F1195" s="66" t="s">
        <v>1189</v>
      </c>
      <c r="G1195" s="25">
        <f t="shared" si="14"/>
        <v>-9.6746035594782454E-3</v>
      </c>
    </row>
    <row r="1196" spans="1:7">
      <c r="A1196" s="66">
        <v>103.69762397652744</v>
      </c>
      <c r="B1196" s="66">
        <v>103.92229841307071</v>
      </c>
      <c r="C1196" s="66">
        <v>101.5033619600092</v>
      </c>
      <c r="D1196" s="66">
        <v>101.5033619600092</v>
      </c>
      <c r="E1196" s="66">
        <v>1589382.3680792039</v>
      </c>
      <c r="F1196" s="66" t="s">
        <v>1190</v>
      </c>
      <c r="G1196" s="25">
        <f t="shared" si="14"/>
        <v>2.1617628954819779E-2</v>
      </c>
    </row>
    <row r="1197" spans="1:7">
      <c r="A1197" s="66">
        <v>101.50836027895343</v>
      </c>
      <c r="B1197" s="66">
        <v>102.27185349768502</v>
      </c>
      <c r="C1197" s="66">
        <v>100.31368707649762</v>
      </c>
      <c r="D1197" s="66">
        <v>100.51619396852321</v>
      </c>
      <c r="E1197" s="66">
        <v>1184250.1581116014</v>
      </c>
      <c r="F1197" s="66" t="s">
        <v>1191</v>
      </c>
      <c r="G1197" s="25">
        <f t="shared" si="14"/>
        <v>9.8707110890103866E-3</v>
      </c>
    </row>
    <row r="1198" spans="1:7">
      <c r="A1198" s="66">
        <v>99.958881406241247</v>
      </c>
      <c r="B1198" s="66">
        <v>100.53118892535591</v>
      </c>
      <c r="C1198" s="66">
        <v>97.307273206325704</v>
      </c>
      <c r="D1198" s="66">
        <v>98.131995832124133</v>
      </c>
      <c r="E1198" s="66">
        <v>1355947.8848023324</v>
      </c>
      <c r="F1198" s="66" t="s">
        <v>1192</v>
      </c>
      <c r="G1198" s="25">
        <f t="shared" si="14"/>
        <v>1.8616614883104843E-2</v>
      </c>
    </row>
    <row r="1199" spans="1:7">
      <c r="A1199" s="66">
        <v>97.857088290191314</v>
      </c>
      <c r="B1199" s="66">
        <v>98.691807553878206</v>
      </c>
      <c r="C1199" s="66">
        <v>93.476061735571193</v>
      </c>
      <c r="D1199" s="66">
        <v>94.555698627525501</v>
      </c>
      <c r="E1199" s="66">
        <v>3727101.0929573914</v>
      </c>
      <c r="F1199" s="66" t="s">
        <v>1193</v>
      </c>
      <c r="G1199" s="25">
        <f t="shared" si="14"/>
        <v>3.4914761464252653E-2</v>
      </c>
    </row>
    <row r="1200" spans="1:7">
      <c r="A1200" s="66">
        <v>94.455732248640842</v>
      </c>
      <c r="B1200" s="66">
        <v>94.829356589722252</v>
      </c>
      <c r="C1200" s="66">
        <v>92.164003012710054</v>
      </c>
      <c r="D1200" s="66">
        <v>93.271130658857643</v>
      </c>
      <c r="E1200" s="66">
        <v>2011856.4085636467</v>
      </c>
      <c r="F1200" s="66" t="s">
        <v>1194</v>
      </c>
      <c r="G1200" s="25">
        <f t="shared" si="14"/>
        <v>1.2700624313389364E-2</v>
      </c>
    </row>
    <row r="1201" spans="1:7">
      <c r="A1201" s="66">
        <v>93.351103761965362</v>
      </c>
      <c r="B1201" s="66">
        <v>96.292614460646433</v>
      </c>
      <c r="C1201" s="66">
        <v>93.326112167244219</v>
      </c>
      <c r="D1201" s="66">
        <v>95.392917050684503</v>
      </c>
      <c r="E1201" s="66">
        <v>1121264.9817928227</v>
      </c>
      <c r="F1201" s="66" t="s">
        <v>1195</v>
      </c>
      <c r="G1201" s="25">
        <f t="shared" si="14"/>
        <v>-2.1404244170814879E-2</v>
      </c>
    </row>
    <row r="1202" spans="1:7">
      <c r="A1202" s="66">
        <v>94.08585664676761</v>
      </c>
      <c r="B1202" s="66">
        <v>95.735301898364455</v>
      </c>
      <c r="C1202" s="66">
        <v>93.216149150471097</v>
      </c>
      <c r="D1202" s="66">
        <v>94.68565492007555</v>
      </c>
      <c r="E1202" s="66">
        <v>2279090.2555635804</v>
      </c>
      <c r="F1202" s="66" t="s">
        <v>1196</v>
      </c>
      <c r="G1202" s="25">
        <f t="shared" si="14"/>
        <v>-6.3346266529415995E-3</v>
      </c>
    </row>
    <row r="1203" spans="1:7">
      <c r="A1203" s="66">
        <v>95.265459917606563</v>
      </c>
      <c r="B1203" s="66">
        <v>97.384747149961314</v>
      </c>
      <c r="C1203" s="66">
        <v>95.212977568692125</v>
      </c>
      <c r="D1203" s="66">
        <v>96.007710280825151</v>
      </c>
      <c r="E1203" s="66">
        <v>1818035.2437262589</v>
      </c>
      <c r="F1203" s="66" t="s">
        <v>1197</v>
      </c>
      <c r="G1203" s="25">
        <f t="shared" si="14"/>
        <v>-7.7311536859642205E-3</v>
      </c>
    </row>
    <row r="1204" spans="1:7">
      <c r="A1204" s="66">
        <v>94.953064983592014</v>
      </c>
      <c r="B1204" s="66">
        <v>96.9748849965342</v>
      </c>
      <c r="C1204" s="66">
        <v>94.683155760603441</v>
      </c>
      <c r="D1204" s="66">
        <v>96.724969049322567</v>
      </c>
      <c r="E1204" s="66">
        <v>1113166.2589118616</v>
      </c>
      <c r="F1204" s="66" t="s">
        <v>1198</v>
      </c>
      <c r="G1204" s="25">
        <f t="shared" si="14"/>
        <v>-1.8318993359687896E-2</v>
      </c>
    </row>
    <row r="1205" spans="1:7">
      <c r="A1205" s="66">
        <v>97.677148808198922</v>
      </c>
      <c r="B1205" s="66">
        <v>99.374078089765987</v>
      </c>
      <c r="C1205" s="66">
        <v>97.322268163158398</v>
      </c>
      <c r="D1205" s="66">
        <v>98.939224341617731</v>
      </c>
      <c r="E1205" s="66">
        <v>1308908.0694917699</v>
      </c>
      <c r="F1205" s="66" t="s">
        <v>1199</v>
      </c>
      <c r="G1205" s="25">
        <f t="shared" si="14"/>
        <v>-1.2756068604915627E-2</v>
      </c>
    </row>
    <row r="1206" spans="1:7">
      <c r="A1206" s="66">
        <v>99.576510007007428</v>
      </c>
      <c r="B1206" s="66">
        <v>101.09849812552633</v>
      </c>
      <c r="C1206" s="66">
        <v>98.871747035870598</v>
      </c>
      <c r="D1206" s="66">
        <v>100.48620405485781</v>
      </c>
      <c r="E1206" s="66">
        <v>992917.83004889602</v>
      </c>
      <c r="F1206" s="66" t="s">
        <v>1200</v>
      </c>
      <c r="G1206" s="25">
        <f t="shared" si="14"/>
        <v>-9.0529247910863253E-3</v>
      </c>
    </row>
    <row r="1207" spans="1:7">
      <c r="A1207" s="66">
        <v>100.68363765315502</v>
      </c>
      <c r="B1207" s="66">
        <v>101.37340566745915</v>
      </c>
      <c r="C1207" s="66">
        <v>100.23628810764616</v>
      </c>
      <c r="D1207" s="66">
        <v>100.94105107878299</v>
      </c>
      <c r="E1207" s="66">
        <v>851278.20922860957</v>
      </c>
      <c r="F1207" s="66" t="s">
        <v>1201</v>
      </c>
      <c r="G1207" s="25">
        <f t="shared" si="14"/>
        <v>-2.5501361723196947E-3</v>
      </c>
    </row>
    <row r="1208" spans="1:7">
      <c r="A1208" s="66">
        <v>101.23345273702063</v>
      </c>
      <c r="B1208" s="66">
        <v>101.87823588082667</v>
      </c>
      <c r="C1208" s="66">
        <v>100.70363092893194</v>
      </c>
      <c r="D1208" s="66">
        <v>101.55584430892365</v>
      </c>
      <c r="E1208" s="66">
        <v>2349225.8359279511</v>
      </c>
      <c r="F1208" s="66" t="s">
        <v>1202</v>
      </c>
      <c r="G1208" s="25">
        <f t="shared" ref="G1208:G1271" si="15">A1208/D1208-1</f>
        <v>-3.1745250516783674E-3</v>
      </c>
    </row>
    <row r="1209" spans="1:7">
      <c r="A1209" s="66">
        <v>101.18846786652253</v>
      </c>
      <c r="B1209" s="66">
        <v>102.09316359542868</v>
      </c>
      <c r="C1209" s="66">
        <v>99.296604146130377</v>
      </c>
      <c r="D1209" s="66">
        <v>102.09316359542868</v>
      </c>
      <c r="E1209" s="66">
        <v>1582976.2142588389</v>
      </c>
      <c r="F1209" s="66" t="s">
        <v>1203</v>
      </c>
      <c r="G1209" s="25">
        <f t="shared" si="15"/>
        <v>-8.8614721793836004E-3</v>
      </c>
    </row>
    <row r="1210" spans="1:7">
      <c r="A1210" s="66">
        <v>102.1106577117335</v>
      </c>
      <c r="B1210" s="66">
        <v>104.55483567546338</v>
      </c>
      <c r="C1210" s="66">
        <v>101.92072159185264</v>
      </c>
      <c r="D1210" s="66">
        <v>104.117482767843</v>
      </c>
      <c r="E1210" s="66">
        <v>932625.55911494279</v>
      </c>
      <c r="F1210" s="66" t="s">
        <v>1204</v>
      </c>
      <c r="G1210" s="25">
        <f t="shared" si="15"/>
        <v>-1.927462134850344E-2</v>
      </c>
    </row>
    <row r="1211" spans="1:7">
      <c r="A1211" s="66">
        <v>103.89255841535251</v>
      </c>
      <c r="B1211" s="66">
        <v>105.08715664302417</v>
      </c>
      <c r="C1211" s="66">
        <v>103.75760380385823</v>
      </c>
      <c r="D1211" s="66">
        <v>104.58732474860089</v>
      </c>
      <c r="E1211" s="66">
        <v>830447.20561285689</v>
      </c>
      <c r="F1211" s="66" t="s">
        <v>1205</v>
      </c>
      <c r="G1211" s="25">
        <f t="shared" si="15"/>
        <v>-6.6429305359746449E-3</v>
      </c>
    </row>
    <row r="1212" spans="1:7">
      <c r="A1212" s="66">
        <v>104.07499705681701</v>
      </c>
      <c r="B1212" s="66">
        <v>105.68320617712395</v>
      </c>
      <c r="C1212" s="66">
        <v>103.80133909462027</v>
      </c>
      <c r="D1212" s="66">
        <v>105.06966252671937</v>
      </c>
      <c r="E1212" s="66">
        <v>771583.41494990315</v>
      </c>
      <c r="F1212" s="66" t="s">
        <v>1206</v>
      </c>
      <c r="G1212" s="25">
        <f t="shared" si="15"/>
        <v>-9.4667237524381775E-3</v>
      </c>
    </row>
    <row r="1213" spans="1:7">
      <c r="A1213" s="66">
        <v>104.39488946924793</v>
      </c>
      <c r="B1213" s="66">
        <v>104.67479533012497</v>
      </c>
      <c r="C1213" s="66">
        <v>102.13564930645467</v>
      </c>
      <c r="D1213" s="66">
        <v>102.6754677524318</v>
      </c>
      <c r="E1213" s="66">
        <v>910734.19899550709</v>
      </c>
      <c r="F1213" s="66" t="s">
        <v>1207</v>
      </c>
      <c r="G1213" s="25">
        <f t="shared" si="15"/>
        <v>1.6746178560997249E-2</v>
      </c>
    </row>
    <row r="1214" spans="1:7">
      <c r="A1214" s="66">
        <v>102.6754677524318</v>
      </c>
      <c r="B1214" s="66">
        <v>107.27642034059818</v>
      </c>
      <c r="C1214" s="66">
        <v>102.23686526507537</v>
      </c>
      <c r="D1214" s="66">
        <v>107.27642034059818</v>
      </c>
      <c r="E1214" s="66">
        <v>1415383.8678427453</v>
      </c>
      <c r="F1214" s="66" t="s">
        <v>1208</v>
      </c>
      <c r="G1214" s="25">
        <f t="shared" si="15"/>
        <v>-4.2888759464181803E-2</v>
      </c>
    </row>
    <row r="1215" spans="1:7">
      <c r="A1215" s="66">
        <v>108.49351100351889</v>
      </c>
      <c r="B1215" s="66">
        <v>108.91087063536233</v>
      </c>
      <c r="C1215" s="66">
        <v>107.73376652399548</v>
      </c>
      <c r="D1215" s="66">
        <v>108.23859673736301</v>
      </c>
      <c r="E1215" s="66">
        <v>776729.14500173915</v>
      </c>
      <c r="F1215" s="66" t="s">
        <v>1209</v>
      </c>
      <c r="G1215" s="25">
        <f t="shared" si="15"/>
        <v>2.3551142923112778E-3</v>
      </c>
    </row>
    <row r="1216" spans="1:7">
      <c r="A1216" s="66">
        <v>108.37105218938518</v>
      </c>
      <c r="B1216" s="66">
        <v>108.68844544234396</v>
      </c>
      <c r="C1216" s="66">
        <v>107.41387411156458</v>
      </c>
      <c r="D1216" s="66">
        <v>107.93619844123691</v>
      </c>
      <c r="E1216" s="66">
        <v>431893.20731338684</v>
      </c>
      <c r="F1216" s="66" t="s">
        <v>1210</v>
      </c>
      <c r="G1216" s="25">
        <f t="shared" si="15"/>
        <v>4.0288036305542452E-3</v>
      </c>
    </row>
    <row r="1217" spans="1:7">
      <c r="A1217" s="66">
        <v>107.86622197601766</v>
      </c>
      <c r="B1217" s="66">
        <v>108.00367574698407</v>
      </c>
      <c r="C1217" s="66">
        <v>105.99060279219428</v>
      </c>
      <c r="D1217" s="66">
        <v>106.78158676511912</v>
      </c>
      <c r="E1217" s="66">
        <v>619972.44164969819</v>
      </c>
      <c r="F1217" s="66" t="s">
        <v>1211</v>
      </c>
      <c r="G1217" s="25">
        <f t="shared" si="15"/>
        <v>1.0157511643691386E-2</v>
      </c>
    </row>
    <row r="1218" spans="1:7">
      <c r="A1218" s="66">
        <v>106.01934312612362</v>
      </c>
      <c r="B1218" s="66">
        <v>106.46419351216034</v>
      </c>
      <c r="C1218" s="66">
        <v>104.83724069581254</v>
      </c>
      <c r="D1218" s="66">
        <v>104.83724069581254</v>
      </c>
      <c r="E1218" s="66">
        <v>661618.44350001577</v>
      </c>
      <c r="F1218" s="66" t="s">
        <v>1212</v>
      </c>
      <c r="G1218" s="25">
        <f t="shared" si="15"/>
        <v>1.1275596557724921E-2</v>
      </c>
    </row>
    <row r="1219" spans="1:7">
      <c r="A1219" s="66">
        <v>105.12964235405016</v>
      </c>
      <c r="B1219" s="66">
        <v>105.8643952388524</v>
      </c>
      <c r="C1219" s="66">
        <v>104.58732474860089</v>
      </c>
      <c r="D1219" s="66">
        <v>105.37705914178967</v>
      </c>
      <c r="E1219" s="66">
        <v>612149.81159422442</v>
      </c>
      <c r="F1219" s="66" t="s">
        <v>1213</v>
      </c>
      <c r="G1219" s="25">
        <f t="shared" si="15"/>
        <v>-2.347918890074574E-3</v>
      </c>
    </row>
    <row r="1220" spans="1:7">
      <c r="A1220" s="66">
        <v>105.59448601586381</v>
      </c>
      <c r="B1220" s="66">
        <v>105.86189607938027</v>
      </c>
      <c r="C1220" s="66">
        <v>104.03001218631893</v>
      </c>
      <c r="D1220" s="66">
        <v>105.16213142718767</v>
      </c>
      <c r="E1220" s="66">
        <v>612589.95957688533</v>
      </c>
      <c r="F1220" s="66" t="s">
        <v>1214</v>
      </c>
      <c r="G1220" s="25">
        <f t="shared" si="15"/>
        <v>4.1113144323770001E-3</v>
      </c>
    </row>
    <row r="1221" spans="1:7">
      <c r="A1221" s="66">
        <v>105.12464403510592</v>
      </c>
      <c r="B1221" s="66">
        <v>105.80191625204948</v>
      </c>
      <c r="C1221" s="66">
        <v>104.65980037329226</v>
      </c>
      <c r="D1221" s="66">
        <v>105.46203056384165</v>
      </c>
      <c r="E1221" s="66">
        <v>727980.75524939294</v>
      </c>
      <c r="F1221" s="66" t="s">
        <v>1215</v>
      </c>
      <c r="G1221" s="25">
        <f t="shared" si="15"/>
        <v>-3.1991279414205209E-3</v>
      </c>
    </row>
    <row r="1222" spans="1:7">
      <c r="A1222" s="66">
        <v>105.44953476648107</v>
      </c>
      <c r="B1222" s="66">
        <v>106.08931959134287</v>
      </c>
      <c r="C1222" s="66">
        <v>104.01751638895834</v>
      </c>
      <c r="D1222" s="66">
        <v>104.26243401722576</v>
      </c>
      <c r="E1222" s="66">
        <v>1052645.9112959839</v>
      </c>
      <c r="F1222" s="66" t="s">
        <v>1216</v>
      </c>
      <c r="G1222" s="25">
        <f t="shared" si="15"/>
        <v>1.1385699561350826E-2</v>
      </c>
    </row>
    <row r="1223" spans="1:7">
      <c r="A1223" s="66">
        <v>104.19495671147861</v>
      </c>
      <c r="B1223" s="66">
        <v>104.93220875575295</v>
      </c>
      <c r="C1223" s="66">
        <v>103.27026770679554</v>
      </c>
      <c r="D1223" s="66">
        <v>104.0724978973449</v>
      </c>
      <c r="E1223" s="66">
        <v>871613.04602754442</v>
      </c>
      <c r="F1223" s="66" t="s">
        <v>1217</v>
      </c>
      <c r="G1223" s="25">
        <f t="shared" si="15"/>
        <v>1.1766683476215345E-3</v>
      </c>
    </row>
    <row r="1224" spans="1:7">
      <c r="A1224" s="66">
        <v>104.14997184098051</v>
      </c>
      <c r="B1224" s="66">
        <v>104.67479533012497</v>
      </c>
      <c r="C1224" s="66">
        <v>102.92538369964345</v>
      </c>
      <c r="D1224" s="66">
        <v>103.35024080990326</v>
      </c>
      <c r="E1224" s="66">
        <v>648458.018818454</v>
      </c>
      <c r="F1224" s="66" t="s">
        <v>1218</v>
      </c>
      <c r="G1224" s="25">
        <f t="shared" si="15"/>
        <v>7.7380664506456753E-3</v>
      </c>
    </row>
    <row r="1225" spans="1:7">
      <c r="A1225" s="66">
        <v>102.95287445383673</v>
      </c>
      <c r="B1225" s="66">
        <v>103.95003908321119</v>
      </c>
      <c r="C1225" s="66">
        <v>102.33308290475186</v>
      </c>
      <c r="D1225" s="66">
        <v>103.95003908321119</v>
      </c>
      <c r="E1225" s="66">
        <v>707509.87271036289</v>
      </c>
      <c r="F1225" s="66" t="s">
        <v>1219</v>
      </c>
      <c r="G1225" s="25">
        <f t="shared" si="15"/>
        <v>-9.5927297206328532E-3</v>
      </c>
    </row>
    <row r="1226" spans="1:7">
      <c r="A1226" s="66">
        <v>104.09998865153818</v>
      </c>
      <c r="B1226" s="66">
        <v>104.8622322905337</v>
      </c>
      <c r="C1226" s="66">
        <v>102.69796018768086</v>
      </c>
      <c r="D1226" s="66">
        <v>104.8622322905337</v>
      </c>
      <c r="E1226" s="66">
        <v>655776.47936651623</v>
      </c>
      <c r="F1226" s="66" t="s">
        <v>1220</v>
      </c>
      <c r="G1226" s="25">
        <f t="shared" si="15"/>
        <v>-7.2690006911508842E-3</v>
      </c>
    </row>
    <row r="1227" spans="1:7">
      <c r="A1227" s="66">
        <v>103.70262229547167</v>
      </c>
      <c r="B1227" s="66">
        <v>104.59482222701723</v>
      </c>
      <c r="C1227" s="66">
        <v>103.10032486269161</v>
      </c>
      <c r="D1227" s="66">
        <v>104.59482222701723</v>
      </c>
      <c r="E1227" s="66">
        <v>1054166.4225088127</v>
      </c>
      <c r="F1227" s="66" t="s">
        <v>1221</v>
      </c>
      <c r="G1227" s="25">
        <f t="shared" si="15"/>
        <v>-8.5300583006785446E-3</v>
      </c>
    </row>
    <row r="1228" spans="1:7">
      <c r="A1228" s="66">
        <v>104.21994830619977</v>
      </c>
      <c r="B1228" s="66">
        <v>104.32241384455655</v>
      </c>
      <c r="C1228" s="66">
        <v>102.46553835677403</v>
      </c>
      <c r="D1228" s="66">
        <v>102.71545430398568</v>
      </c>
      <c r="E1228" s="66">
        <v>769286.64274947252</v>
      </c>
      <c r="F1228" s="66" t="s">
        <v>1222</v>
      </c>
      <c r="G1228" s="25">
        <f t="shared" si="15"/>
        <v>1.4647201946471844E-2</v>
      </c>
    </row>
    <row r="1229" spans="1:7">
      <c r="A1229" s="66">
        <v>102.85540723442419</v>
      </c>
      <c r="B1229" s="66">
        <v>104.02001554843046</v>
      </c>
      <c r="C1229" s="66">
        <v>102.49552827043944</v>
      </c>
      <c r="D1229" s="66">
        <v>102.8404122775915</v>
      </c>
      <c r="E1229" s="66">
        <v>541666.11418902222</v>
      </c>
      <c r="F1229" s="66" t="s">
        <v>1223</v>
      </c>
      <c r="G1229" s="25">
        <f t="shared" si="15"/>
        <v>1.4580801944097388E-4</v>
      </c>
    </row>
    <row r="1230" spans="1:7">
      <c r="A1230" s="66">
        <v>102.61548792510102</v>
      </c>
      <c r="B1230" s="66">
        <v>103.11531981952432</v>
      </c>
      <c r="C1230" s="66">
        <v>100.67114185579443</v>
      </c>
      <c r="D1230" s="66">
        <v>101.03351997925131</v>
      </c>
      <c r="E1230" s="66">
        <v>1073716.9956295516</v>
      </c>
      <c r="F1230" s="66" t="s">
        <v>1224</v>
      </c>
      <c r="G1230" s="25">
        <f t="shared" si="15"/>
        <v>1.5657852425359442E-2</v>
      </c>
    </row>
    <row r="1231" spans="1:7">
      <c r="A1231" s="66">
        <v>100.51619396852321</v>
      </c>
      <c r="B1231" s="66">
        <v>101.71828967461121</v>
      </c>
      <c r="C1231" s="66">
        <v>99.716462937445954</v>
      </c>
      <c r="D1231" s="66">
        <v>99.733957053750757</v>
      </c>
      <c r="E1231" s="66">
        <v>780574.43783207692</v>
      </c>
      <c r="F1231" s="66" t="s">
        <v>1225</v>
      </c>
      <c r="G1231" s="25">
        <f t="shared" si="15"/>
        <v>7.8432355225901418E-3</v>
      </c>
    </row>
    <row r="1232" spans="1:7">
      <c r="A1232" s="66">
        <v>99.141656258859157</v>
      </c>
      <c r="B1232" s="66">
        <v>99.312848682699141</v>
      </c>
      <c r="C1232" s="66">
        <v>97.992042901685608</v>
      </c>
      <c r="D1232" s="66">
        <v>99.06668147469567</v>
      </c>
      <c r="E1232" s="66">
        <v>1198831.0603735689</v>
      </c>
      <c r="F1232" s="66" t="s">
        <v>1226</v>
      </c>
      <c r="G1232" s="25">
        <f t="shared" si="15"/>
        <v>7.5681130171534328E-4</v>
      </c>
    </row>
    <row r="1233" spans="1:7">
      <c r="A1233" s="66">
        <v>99.544020933869916</v>
      </c>
      <c r="B1233" s="66">
        <v>101.15505410438034</v>
      </c>
      <c r="C1233" s="66">
        <v>99.356583973461184</v>
      </c>
      <c r="D1233" s="66">
        <v>100.70363092893194</v>
      </c>
      <c r="E1233" s="66">
        <v>853490.95317780494</v>
      </c>
      <c r="F1233" s="66" t="s">
        <v>1227</v>
      </c>
      <c r="G1233" s="25">
        <f t="shared" si="15"/>
        <v>-1.1515076312197503E-2</v>
      </c>
    </row>
    <row r="1234" spans="1:7">
      <c r="A1234" s="66">
        <v>100.29126961603274</v>
      </c>
      <c r="B1234" s="66">
        <v>101.5933317010054</v>
      </c>
      <c r="C1234" s="66">
        <v>99.84142091105177</v>
      </c>
      <c r="D1234" s="66">
        <v>100.77860571309543</v>
      </c>
      <c r="E1234" s="66">
        <v>881204.27070425567</v>
      </c>
      <c r="F1234" s="66" t="s">
        <v>1228</v>
      </c>
      <c r="G1234" s="25">
        <f t="shared" si="15"/>
        <v>-4.8357098574084434E-3</v>
      </c>
    </row>
    <row r="1235" spans="1:7">
      <c r="A1235" s="66">
        <v>100.24128642659041</v>
      </c>
      <c r="B1235" s="66">
        <v>101.36340902957068</v>
      </c>
      <c r="C1235" s="66">
        <v>99.580258746215591</v>
      </c>
      <c r="D1235" s="66">
        <v>100.51119564957898</v>
      </c>
      <c r="E1235" s="66">
        <v>974715.71029321826</v>
      </c>
      <c r="F1235" s="66" t="s">
        <v>1229</v>
      </c>
      <c r="G1235" s="25">
        <f t="shared" si="15"/>
        <v>-2.6853647620468379E-3</v>
      </c>
    </row>
    <row r="1236" spans="1:7">
      <c r="A1236" s="66">
        <v>100.42622422752702</v>
      </c>
      <c r="B1236" s="66">
        <v>102.0119409125849</v>
      </c>
      <c r="C1236" s="66">
        <v>100.17880743978749</v>
      </c>
      <c r="D1236" s="66">
        <v>101.53585103314671</v>
      </c>
      <c r="E1236" s="66">
        <v>764240.94633005955</v>
      </c>
      <c r="F1236" s="66" t="s">
        <v>1230</v>
      </c>
      <c r="G1236" s="25">
        <f t="shared" si="15"/>
        <v>-1.0928423747169402E-2</v>
      </c>
    </row>
    <row r="1237" spans="1:7">
      <c r="A1237" s="66">
        <v>100.96604267350416</v>
      </c>
      <c r="B1237" s="66">
        <v>103.04284419483292</v>
      </c>
      <c r="C1237" s="66">
        <v>100.91356032458972</v>
      </c>
      <c r="D1237" s="66">
        <v>102.30309299108647</v>
      </c>
      <c r="E1237" s="66">
        <v>856555.9836752438</v>
      </c>
      <c r="F1237" s="66" t="s">
        <v>1231</v>
      </c>
      <c r="G1237" s="25">
        <f t="shared" si="15"/>
        <v>-1.3069500427507208E-2</v>
      </c>
    </row>
    <row r="1238" spans="1:7">
      <c r="A1238" s="66">
        <v>102.6129887656289</v>
      </c>
      <c r="B1238" s="66">
        <v>104.19995503042284</v>
      </c>
      <c r="C1238" s="66">
        <v>102.46553835677403</v>
      </c>
      <c r="D1238" s="66">
        <v>103.61265255447547</v>
      </c>
      <c r="E1238" s="66">
        <v>623713.69950231607</v>
      </c>
      <c r="F1238" s="66" t="s">
        <v>1232</v>
      </c>
      <c r="G1238" s="25">
        <f t="shared" si="15"/>
        <v>-9.6480860609277075E-3</v>
      </c>
    </row>
    <row r="1239" spans="1:7">
      <c r="A1239" s="66">
        <v>103.68512817916685</v>
      </c>
      <c r="B1239" s="66">
        <v>106.11056244685585</v>
      </c>
      <c r="C1239" s="66">
        <v>103.55767104608891</v>
      </c>
      <c r="D1239" s="66">
        <v>104.82474489845195</v>
      </c>
      <c r="E1239" s="66">
        <v>917632.5182873928</v>
      </c>
      <c r="F1239" s="66" t="s">
        <v>1233</v>
      </c>
      <c r="G1239" s="25">
        <f t="shared" si="15"/>
        <v>-1.0871638374976178E-2</v>
      </c>
    </row>
    <row r="1240" spans="1:7">
      <c r="A1240" s="66">
        <v>103.62514835183606</v>
      </c>
      <c r="B1240" s="66">
        <v>103.63014667078031</v>
      </c>
      <c r="C1240" s="66">
        <v>101.45087961109476</v>
      </c>
      <c r="D1240" s="66">
        <v>103.04034503536082</v>
      </c>
      <c r="E1240" s="66">
        <v>932393.48108772165</v>
      </c>
      <c r="F1240" s="66" t="s">
        <v>1234</v>
      </c>
      <c r="G1240" s="25">
        <f t="shared" si="15"/>
        <v>5.6754790201309913E-3</v>
      </c>
    </row>
    <row r="1241" spans="1:7">
      <c r="A1241" s="66">
        <v>103.70512145494378</v>
      </c>
      <c r="B1241" s="66">
        <v>104.96219866941836</v>
      </c>
      <c r="C1241" s="66">
        <v>102.78293160973281</v>
      </c>
      <c r="D1241" s="66">
        <v>102.85290807495208</v>
      </c>
      <c r="E1241" s="66">
        <v>1473411.3773386432</v>
      </c>
      <c r="F1241" s="66" t="s">
        <v>1235</v>
      </c>
      <c r="G1241" s="25">
        <f t="shared" si="15"/>
        <v>8.2857489976915222E-3</v>
      </c>
    </row>
    <row r="1242" spans="1:7">
      <c r="A1242" s="66">
        <v>102.1106577117335</v>
      </c>
      <c r="B1242" s="66">
        <v>103.68012986022262</v>
      </c>
      <c r="C1242" s="66">
        <v>101.17847122863407</v>
      </c>
      <c r="D1242" s="66">
        <v>103.68012986022262</v>
      </c>
      <c r="E1242" s="66">
        <v>780118.28446822823</v>
      </c>
      <c r="F1242" s="66" t="s">
        <v>1236</v>
      </c>
      <c r="G1242" s="25">
        <f t="shared" si="15"/>
        <v>-1.5137636793135067E-2</v>
      </c>
    </row>
    <row r="1243" spans="1:7">
      <c r="A1243" s="66">
        <v>104.18496007359015</v>
      </c>
      <c r="B1243" s="66">
        <v>104.57357937150425</v>
      </c>
      <c r="C1243" s="66">
        <v>102.13564930645467</v>
      </c>
      <c r="D1243" s="66">
        <v>103.4327130724831</v>
      </c>
      <c r="E1243" s="66">
        <v>731305.8731911314</v>
      </c>
      <c r="F1243" s="66" t="s">
        <v>1237</v>
      </c>
      <c r="G1243" s="25">
        <f t="shared" si="15"/>
        <v>7.2728151351872938E-3</v>
      </c>
    </row>
    <row r="1244" spans="1:7">
      <c r="A1244" s="66">
        <v>103.29276014204457</v>
      </c>
      <c r="B1244" s="66">
        <v>107.00151279866536</v>
      </c>
      <c r="C1244" s="66">
        <v>103.26027106890706</v>
      </c>
      <c r="D1244" s="66">
        <v>105.63947088636191</v>
      </c>
      <c r="E1244" s="66">
        <v>939707.94029048679</v>
      </c>
      <c r="F1244" s="66" t="s">
        <v>1238</v>
      </c>
      <c r="G1244" s="25">
        <f t="shared" si="15"/>
        <v>-2.221433640880055E-2</v>
      </c>
    </row>
    <row r="1245" spans="1:7">
      <c r="A1245" s="66">
        <v>105.53950450747726</v>
      </c>
      <c r="B1245" s="66">
        <v>106.29550024779248</v>
      </c>
      <c r="C1245" s="66">
        <v>104.78475834689809</v>
      </c>
      <c r="D1245" s="66">
        <v>106.19928260811599</v>
      </c>
      <c r="E1245" s="66">
        <v>805014.65490564913</v>
      </c>
      <c r="F1245" s="66" t="s">
        <v>1239</v>
      </c>
      <c r="G1245" s="25">
        <f t="shared" si="15"/>
        <v>-6.2126417847224724E-3</v>
      </c>
    </row>
    <row r="1246" spans="1:7">
      <c r="A1246" s="66">
        <v>105.96436161773704</v>
      </c>
      <c r="B1246" s="66">
        <v>107.77875139449358</v>
      </c>
      <c r="C1246" s="66">
        <v>104.73477515745576</v>
      </c>
      <c r="D1246" s="66">
        <v>107.42636990892517</v>
      </c>
      <c r="E1246" s="66">
        <v>1233366.671631264</v>
      </c>
      <c r="F1246" s="66" t="s">
        <v>1240</v>
      </c>
      <c r="G1246" s="25">
        <f t="shared" si="15"/>
        <v>-1.3609398627428271E-2</v>
      </c>
    </row>
    <row r="1247" spans="1:7">
      <c r="A1247" s="66">
        <v>107.83373290288014</v>
      </c>
      <c r="B1247" s="66">
        <v>109.54440756154385</v>
      </c>
      <c r="C1247" s="66">
        <v>107.20894303485103</v>
      </c>
      <c r="D1247" s="66">
        <v>109.32573110773366</v>
      </c>
      <c r="E1247" s="66">
        <v>1449927.4817910343</v>
      </c>
      <c r="F1247" s="66" t="s">
        <v>1241</v>
      </c>
      <c r="G1247" s="25">
        <f t="shared" si="15"/>
        <v>-1.3647273974168539E-2</v>
      </c>
    </row>
    <row r="1248" spans="1:7">
      <c r="A1248" s="66">
        <v>109.80806888585214</v>
      </c>
      <c r="B1248" s="66">
        <v>110.41786379704854</v>
      </c>
      <c r="C1248" s="66">
        <v>109.08331263893837</v>
      </c>
      <c r="D1248" s="66">
        <v>109.75558653693768</v>
      </c>
      <c r="E1248" s="66">
        <v>1220726.4218383015</v>
      </c>
      <c r="F1248" s="66" t="s">
        <v>1242</v>
      </c>
      <c r="G1248" s="25">
        <f t="shared" si="15"/>
        <v>4.781747387117008E-4</v>
      </c>
    </row>
    <row r="1249" spans="1:7">
      <c r="A1249" s="66">
        <v>109.79807224796366</v>
      </c>
      <c r="B1249" s="66">
        <v>111.01766207035649</v>
      </c>
      <c r="C1249" s="66">
        <v>108.42353453829962</v>
      </c>
      <c r="D1249" s="66">
        <v>108.65845552867856</v>
      </c>
      <c r="E1249" s="66">
        <v>2156336.9845447447</v>
      </c>
      <c r="F1249" s="66" t="s">
        <v>1243</v>
      </c>
      <c r="G1249" s="25">
        <f t="shared" si="15"/>
        <v>1.0488062928377673E-2</v>
      </c>
    </row>
    <row r="1250" spans="1:7">
      <c r="A1250" s="66">
        <v>108.40354126252269</v>
      </c>
      <c r="B1250" s="66">
        <v>109.02083365213545</v>
      </c>
      <c r="C1250" s="66">
        <v>106.21677672442081</v>
      </c>
      <c r="D1250" s="66">
        <v>107.06524136520433</v>
      </c>
      <c r="E1250" s="66">
        <v>1575605.7362219167</v>
      </c>
      <c r="F1250" s="66" t="s">
        <v>1244</v>
      </c>
      <c r="G1250" s="25">
        <f t="shared" si="15"/>
        <v>1.2499854110012754E-2</v>
      </c>
    </row>
    <row r="1251" spans="1:7">
      <c r="A1251" s="66">
        <v>106.65163047256907</v>
      </c>
      <c r="B1251" s="66">
        <v>108.92836475166715</v>
      </c>
      <c r="C1251" s="66">
        <v>106.6416338346806</v>
      </c>
      <c r="D1251" s="66">
        <v>108.39354462463423</v>
      </c>
      <c r="E1251" s="66">
        <v>878103.22809914465</v>
      </c>
      <c r="F1251" s="66" t="s">
        <v>1245</v>
      </c>
      <c r="G1251" s="25">
        <f t="shared" si="15"/>
        <v>-1.6070275753942709E-2</v>
      </c>
    </row>
    <row r="1252" spans="1:7">
      <c r="A1252" s="66">
        <v>107.43886570628574</v>
      </c>
      <c r="B1252" s="66">
        <v>108.56348746873815</v>
      </c>
      <c r="C1252" s="66">
        <v>106.52917165843536</v>
      </c>
      <c r="D1252" s="66">
        <v>108.023669022761</v>
      </c>
      <c r="E1252" s="66">
        <v>1375110.3274292704</v>
      </c>
      <c r="F1252" s="66" t="s">
        <v>1246</v>
      </c>
      <c r="G1252" s="25">
        <f t="shared" si="15"/>
        <v>-5.4136590782899452E-3</v>
      </c>
    </row>
    <row r="1253" spans="1:7">
      <c r="A1253" s="66">
        <v>109.11330255260377</v>
      </c>
      <c r="B1253" s="66">
        <v>110.39287220232738</v>
      </c>
      <c r="C1253" s="66">
        <v>108.81090425647767</v>
      </c>
      <c r="D1253" s="66">
        <v>110.35288565077352</v>
      </c>
      <c r="E1253" s="66">
        <v>1926615.7497034129</v>
      </c>
      <c r="F1253" s="66" t="s">
        <v>1247</v>
      </c>
      <c r="G1253" s="25">
        <f t="shared" si="15"/>
        <v>-1.1232901530935702E-2</v>
      </c>
    </row>
    <row r="1254" spans="1:7">
      <c r="A1254" s="66">
        <v>110.65028562795537</v>
      </c>
      <c r="B1254" s="66">
        <v>111.34755112067586</v>
      </c>
      <c r="C1254" s="66">
        <v>109.87304703212716</v>
      </c>
      <c r="D1254" s="66">
        <v>111.34755112067586</v>
      </c>
      <c r="E1254" s="66">
        <v>672338.04755045788</v>
      </c>
      <c r="F1254" s="66" t="s">
        <v>1248</v>
      </c>
      <c r="G1254" s="25">
        <f t="shared" si="15"/>
        <v>-6.2620640122099669E-3</v>
      </c>
    </row>
    <row r="1255" spans="1:7">
      <c r="A1255" s="66">
        <v>111.22009398759792</v>
      </c>
      <c r="B1255" s="66">
        <v>111.61496118419232</v>
      </c>
      <c r="C1255" s="66">
        <v>109.79057476954732</v>
      </c>
      <c r="D1255" s="66">
        <v>110.10047054408976</v>
      </c>
      <c r="E1255" s="66">
        <v>749351.94048022944</v>
      </c>
      <c r="F1255" s="66" t="s">
        <v>1249</v>
      </c>
      <c r="G1255" s="25">
        <f t="shared" si="15"/>
        <v>1.0169106798320282E-2</v>
      </c>
    </row>
    <row r="1256" spans="1:7">
      <c r="A1256" s="66">
        <v>110.33039321552448</v>
      </c>
      <c r="B1256" s="66">
        <v>111.10513265188057</v>
      </c>
      <c r="C1256" s="66">
        <v>109.52566386550298</v>
      </c>
      <c r="D1256" s="66">
        <v>110.93269064830453</v>
      </c>
      <c r="E1256" s="66">
        <v>840558.60517816746</v>
      </c>
      <c r="F1256" s="66" t="s">
        <v>1250</v>
      </c>
      <c r="G1256" s="25">
        <f t="shared" si="15"/>
        <v>-5.4293953320716515E-3</v>
      </c>
    </row>
    <row r="1257" spans="1:7">
      <c r="A1257" s="66">
        <v>110.10546886303399</v>
      </c>
      <c r="B1257" s="66">
        <v>113.40435936622768</v>
      </c>
      <c r="C1257" s="66">
        <v>108.97959752084553</v>
      </c>
      <c r="D1257" s="66">
        <v>113.40435936622768</v>
      </c>
      <c r="E1257" s="66">
        <v>1039973.6507406462</v>
      </c>
      <c r="F1257" s="66" t="s">
        <v>1251</v>
      </c>
      <c r="G1257" s="25">
        <f t="shared" si="15"/>
        <v>-2.9089626903497257E-2</v>
      </c>
    </row>
    <row r="1258" spans="1:7">
      <c r="A1258" s="66">
        <v>112.80206193344763</v>
      </c>
      <c r="B1258" s="66">
        <v>112.94201486388616</v>
      </c>
      <c r="C1258" s="66">
        <v>111.09638559372816</v>
      </c>
      <c r="D1258" s="66">
        <v>112.36970734477148</v>
      </c>
      <c r="E1258" s="66">
        <v>1124257.9880749169</v>
      </c>
      <c r="F1258" s="66" t="s">
        <v>1252</v>
      </c>
      <c r="G1258" s="25">
        <f t="shared" si="15"/>
        <v>3.8476080332718876E-3</v>
      </c>
    </row>
    <row r="1259" spans="1:7">
      <c r="A1259" s="66">
        <v>111.99733258342613</v>
      </c>
      <c r="B1259" s="66">
        <v>113.94042907299666</v>
      </c>
      <c r="C1259" s="66">
        <v>111.95984519134439</v>
      </c>
      <c r="D1259" s="66">
        <v>113.7092568218259</v>
      </c>
      <c r="E1259" s="66">
        <v>645725.09998065943</v>
      </c>
      <c r="F1259" s="66" t="s">
        <v>1253</v>
      </c>
      <c r="G1259" s="25">
        <f t="shared" si="15"/>
        <v>-1.5055275940130675E-2</v>
      </c>
    </row>
    <row r="1260" spans="1:7">
      <c r="A1260" s="66">
        <v>113.4668383530306</v>
      </c>
      <c r="B1260" s="66">
        <v>113.96167192850966</v>
      </c>
      <c r="C1260" s="66">
        <v>111.09263685451998</v>
      </c>
      <c r="D1260" s="66">
        <v>111.84988217457126</v>
      </c>
      <c r="E1260" s="66">
        <v>1254217.6819735011</v>
      </c>
      <c r="F1260" s="66" t="s">
        <v>1254</v>
      </c>
      <c r="G1260" s="25">
        <f t="shared" si="15"/>
        <v>1.4456485308903977E-2</v>
      </c>
    </row>
    <row r="1261" spans="1:7">
      <c r="A1261" s="66">
        <v>111.91985863979052</v>
      </c>
      <c r="B1261" s="66">
        <v>113.90169210117885</v>
      </c>
      <c r="C1261" s="66">
        <v>111.76241159304719</v>
      </c>
      <c r="D1261" s="66">
        <v>113.63178287819029</v>
      </c>
      <c r="E1261" s="66">
        <v>1583660.4443046118</v>
      </c>
      <c r="F1261" s="66" t="s">
        <v>1255</v>
      </c>
      <c r="G1261" s="25">
        <f t="shared" si="15"/>
        <v>-1.5065540599982552E-2</v>
      </c>
    </row>
    <row r="1262" spans="1:7">
      <c r="A1262" s="66">
        <v>113.94167865273273</v>
      </c>
      <c r="B1262" s="66">
        <v>115.85853396784603</v>
      </c>
      <c r="C1262" s="66">
        <v>112.71209219245144</v>
      </c>
      <c r="D1262" s="66">
        <v>113.76173917074034</v>
      </c>
      <c r="E1262" s="66">
        <v>1376562.8157720515</v>
      </c>
      <c r="F1262" s="66" t="s">
        <v>1256</v>
      </c>
      <c r="G1262" s="25">
        <f t="shared" si="15"/>
        <v>1.5817223198595354E-3</v>
      </c>
    </row>
    <row r="1263" spans="1:7">
      <c r="A1263" s="66">
        <v>112.55464514570809</v>
      </c>
      <c r="B1263" s="66">
        <v>113.91293831880338</v>
      </c>
      <c r="C1263" s="66">
        <v>111.89236788559725</v>
      </c>
      <c r="D1263" s="66">
        <v>113.1769358542651</v>
      </c>
      <c r="E1263" s="66">
        <v>1035260.0659808774</v>
      </c>
      <c r="F1263" s="66" t="s">
        <v>1257</v>
      </c>
      <c r="G1263" s="25">
        <f t="shared" si="15"/>
        <v>-5.4983880227885695E-3</v>
      </c>
    </row>
    <row r="1264" spans="1:7">
      <c r="A1264" s="66">
        <v>112.7045947140351</v>
      </c>
      <c r="B1264" s="66">
        <v>112.92701990705345</v>
      </c>
      <c r="C1264" s="66">
        <v>111.5049981674192</v>
      </c>
      <c r="D1264" s="66">
        <v>112.10229728125502</v>
      </c>
      <c r="E1264" s="66">
        <v>1027197.3552075885</v>
      </c>
      <c r="F1264" s="66" t="s">
        <v>1258</v>
      </c>
      <c r="G1264" s="25">
        <f t="shared" si="15"/>
        <v>5.3727483502765683E-3</v>
      </c>
    </row>
    <row r="1265" spans="1:7">
      <c r="A1265" s="66">
        <v>112.63961656776006</v>
      </c>
      <c r="B1265" s="66">
        <v>112.83954932552938</v>
      </c>
      <c r="C1265" s="66">
        <v>111.11512928976903</v>
      </c>
      <c r="D1265" s="66">
        <v>112.07730568653385</v>
      </c>
      <c r="E1265" s="66">
        <v>1405252.4615509501</v>
      </c>
      <c r="F1265" s="66" t="s">
        <v>1259</v>
      </c>
      <c r="G1265" s="25">
        <f t="shared" si="15"/>
        <v>5.0171698702226042E-3</v>
      </c>
    </row>
    <row r="1266" spans="1:7">
      <c r="A1266" s="66">
        <v>112.30722835796857</v>
      </c>
      <c r="B1266" s="66">
        <v>113.71925345971435</v>
      </c>
      <c r="C1266" s="66">
        <v>111.73991915779814</v>
      </c>
      <c r="D1266" s="66">
        <v>111.97983846712131</v>
      </c>
      <c r="E1266" s="66">
        <v>777317.34276038606</v>
      </c>
      <c r="F1266" s="66" t="s">
        <v>1260</v>
      </c>
      <c r="G1266" s="25">
        <f t="shared" si="15"/>
        <v>2.9236503224943089E-3</v>
      </c>
    </row>
    <row r="1267" spans="1:7">
      <c r="A1267" s="66">
        <v>111.60746370577597</v>
      </c>
      <c r="B1267" s="66">
        <v>112.40344599764505</v>
      </c>
      <c r="C1267" s="66">
        <v>111.19260323340464</v>
      </c>
      <c r="D1267" s="66">
        <v>111.95734603187228</v>
      </c>
      <c r="E1267" s="66">
        <v>644268.61029258138</v>
      </c>
      <c r="F1267" s="66" t="s">
        <v>1261</v>
      </c>
      <c r="G1267" s="25">
        <f t="shared" si="15"/>
        <v>-3.1251395151569161E-3</v>
      </c>
    </row>
    <row r="1268" spans="1:7">
      <c r="A1268" s="66">
        <v>111.48000657269803</v>
      </c>
      <c r="B1268" s="66">
        <v>111.63745361944136</v>
      </c>
      <c r="C1268" s="66">
        <v>110.81772931258718</v>
      </c>
      <c r="D1268" s="66">
        <v>111.31256288806622</v>
      </c>
      <c r="E1268" s="66">
        <v>772499.72302289726</v>
      </c>
      <c r="F1268" s="66" t="s">
        <v>1262</v>
      </c>
      <c r="G1268" s="25">
        <f t="shared" si="15"/>
        <v>1.5042658284687427E-3</v>
      </c>
    </row>
    <row r="1269" spans="1:7">
      <c r="A1269" s="66">
        <v>111.64745025732984</v>
      </c>
      <c r="B1269" s="66">
        <v>112.45842750603163</v>
      </c>
      <c r="C1269" s="66">
        <v>110.91519653199971</v>
      </c>
      <c r="D1269" s="66">
        <v>111.58996958947115</v>
      </c>
      <c r="E1269" s="66">
        <v>604215.14387043694</v>
      </c>
      <c r="F1269" s="66" t="s">
        <v>1263</v>
      </c>
      <c r="G1269" s="25">
        <f t="shared" si="15"/>
        <v>5.1510604465754284E-4</v>
      </c>
    </row>
    <row r="1270" spans="1:7">
      <c r="A1270" s="66">
        <v>111.90986200190206</v>
      </c>
      <c r="B1270" s="66">
        <v>112.46217624523979</v>
      </c>
      <c r="C1270" s="66">
        <v>111.01266375141225</v>
      </c>
      <c r="D1270" s="66">
        <v>111.01266375141225</v>
      </c>
      <c r="E1270" s="66">
        <v>789265.35981698171</v>
      </c>
      <c r="F1270" s="66" t="s">
        <v>1264</v>
      </c>
      <c r="G1270" s="25">
        <f t="shared" si="15"/>
        <v>8.0819450697884321E-3</v>
      </c>
    </row>
    <row r="1271" spans="1:7">
      <c r="A1271" s="66">
        <v>111.1726099576277</v>
      </c>
      <c r="B1271" s="66">
        <v>111.60246538683174</v>
      </c>
      <c r="C1271" s="66">
        <v>110.55031924907072</v>
      </c>
      <c r="D1271" s="66">
        <v>111.46251245639321</v>
      </c>
      <c r="E1271" s="66">
        <v>900482.75234480435</v>
      </c>
      <c r="F1271" s="66" t="s">
        <v>1265</v>
      </c>
      <c r="G1271" s="25">
        <f t="shared" si="15"/>
        <v>-2.6008968609866345E-3</v>
      </c>
    </row>
    <row r="1272" spans="1:7">
      <c r="A1272" s="66">
        <v>111.00766543246803</v>
      </c>
      <c r="B1272" s="66">
        <v>111.41502842642301</v>
      </c>
      <c r="C1272" s="66">
        <v>109.93052769998584</v>
      </c>
      <c r="D1272" s="66">
        <v>110.18544196614171</v>
      </c>
      <c r="E1272" s="66">
        <v>2161438.6997983148</v>
      </c>
      <c r="F1272" s="66" t="s">
        <v>1266</v>
      </c>
      <c r="G1272" s="25">
        <f t="shared" ref="G1272:G1335" si="16">A1272/D1272-1</f>
        <v>7.4621787747510826E-3</v>
      </c>
    </row>
    <row r="1273" spans="1:7">
      <c r="A1273" s="66">
        <v>110.47284530543511</v>
      </c>
      <c r="B1273" s="66">
        <v>111.30256625017776</v>
      </c>
      <c r="C1273" s="66">
        <v>107.58881527461273</v>
      </c>
      <c r="D1273" s="66">
        <v>107.58881527461273</v>
      </c>
      <c r="E1273" s="66">
        <v>1120100.5903114197</v>
      </c>
      <c r="F1273" s="66" t="s">
        <v>1267</v>
      </c>
      <c r="G1273" s="25">
        <f t="shared" si="16"/>
        <v>2.6806039488966427E-2</v>
      </c>
    </row>
    <row r="1274" spans="1:7">
      <c r="A1274" s="66">
        <v>108.1161379232293</v>
      </c>
      <c r="B1274" s="66">
        <v>110.61779655481786</v>
      </c>
      <c r="C1274" s="66">
        <v>108.03241608091339</v>
      </c>
      <c r="D1274" s="66">
        <v>109.75808569640981</v>
      </c>
      <c r="E1274" s="66">
        <v>1240697.1362152169</v>
      </c>
      <c r="F1274" s="66" t="s">
        <v>1268</v>
      </c>
      <c r="G1274" s="25">
        <f t="shared" si="16"/>
        <v>-1.4959697618288637E-2</v>
      </c>
    </row>
    <row r="1275" spans="1:7">
      <c r="A1275" s="66">
        <v>109.61063528755493</v>
      </c>
      <c r="B1275" s="66">
        <v>111.02765870824496</v>
      </c>
      <c r="C1275" s="66">
        <v>109.21576809096054</v>
      </c>
      <c r="D1275" s="66">
        <v>109.80307056690791</v>
      </c>
      <c r="E1275" s="66">
        <v>1185434.5563194889</v>
      </c>
      <c r="F1275" s="66" t="s">
        <v>1269</v>
      </c>
      <c r="G1275" s="25">
        <f t="shared" si="16"/>
        <v>-1.7525491624181821E-3</v>
      </c>
    </row>
    <row r="1276" spans="1:7">
      <c r="A1276" s="66">
        <v>109.848055437406</v>
      </c>
      <c r="B1276" s="66">
        <v>109.85555291582234</v>
      </c>
      <c r="C1276" s="66">
        <v>108.10864044481295</v>
      </c>
      <c r="D1276" s="66">
        <v>109.26325212093074</v>
      </c>
      <c r="E1276" s="66">
        <v>1011824.1865768314</v>
      </c>
      <c r="F1276" s="66" t="s">
        <v>1270</v>
      </c>
      <c r="G1276" s="25">
        <f t="shared" si="16"/>
        <v>5.3522415370541587E-3</v>
      </c>
    </row>
    <row r="1277" spans="1:7">
      <c r="A1277" s="66">
        <v>109.21076977201631</v>
      </c>
      <c r="B1277" s="66">
        <v>110.63029235217844</v>
      </c>
      <c r="C1277" s="66">
        <v>108.70094123970455</v>
      </c>
      <c r="D1277" s="66">
        <v>109.71559998538382</v>
      </c>
      <c r="E1277" s="66">
        <v>987660.06232874643</v>
      </c>
      <c r="F1277" s="66" t="s">
        <v>1271</v>
      </c>
      <c r="G1277" s="25">
        <f t="shared" si="16"/>
        <v>-4.6012619302521207E-3</v>
      </c>
    </row>
    <row r="1278" spans="1:7">
      <c r="A1278" s="66">
        <v>109.99300668678875</v>
      </c>
      <c r="B1278" s="66">
        <v>110.05548567359166</v>
      </c>
      <c r="C1278" s="66">
        <v>102.94037865647616</v>
      </c>
      <c r="D1278" s="66">
        <v>102.94037865647616</v>
      </c>
      <c r="E1278" s="66">
        <v>2879192.0164687862</v>
      </c>
      <c r="F1278" s="66" t="s">
        <v>1272</v>
      </c>
      <c r="G1278" s="25">
        <f t="shared" si="16"/>
        <v>6.8511774702597616E-2</v>
      </c>
    </row>
    <row r="1279" spans="1:7">
      <c r="A1279" s="66">
        <v>102.01568965179307</v>
      </c>
      <c r="B1279" s="66">
        <v>102.62048624404525</v>
      </c>
      <c r="C1279" s="66">
        <v>101.43838381373418</v>
      </c>
      <c r="D1279" s="66">
        <v>101.8682392429382</v>
      </c>
      <c r="E1279" s="66">
        <v>667800.52198375331</v>
      </c>
      <c r="F1279" s="66" t="s">
        <v>1273</v>
      </c>
      <c r="G1279" s="25">
        <f t="shared" si="16"/>
        <v>1.4474620347881828E-3</v>
      </c>
    </row>
    <row r="1280" spans="1:7">
      <c r="A1280" s="66">
        <v>101.60332833889386</v>
      </c>
      <c r="B1280" s="66">
        <v>101.90572663501995</v>
      </c>
      <c r="C1280" s="66">
        <v>100.46371161960876</v>
      </c>
      <c r="D1280" s="66">
        <v>101.60832665783809</v>
      </c>
      <c r="E1280" s="66">
        <v>584472.50617544586</v>
      </c>
      <c r="F1280" s="66" t="s">
        <v>1274</v>
      </c>
      <c r="G1280" s="25">
        <f t="shared" si="16"/>
        <v>-4.9192021054134116E-5</v>
      </c>
    </row>
    <row r="1281" spans="1:7">
      <c r="A1281" s="66">
        <v>101.78576698035835</v>
      </c>
      <c r="B1281" s="66">
        <v>103.53267945136774</v>
      </c>
      <c r="C1281" s="66">
        <v>101.53085271420248</v>
      </c>
      <c r="D1281" s="66">
        <v>103.53267945136774</v>
      </c>
      <c r="E1281" s="66">
        <v>1034159.696024225</v>
      </c>
      <c r="F1281" s="66" t="s">
        <v>1275</v>
      </c>
      <c r="G1281" s="25">
        <f t="shared" si="16"/>
        <v>-1.6873053805489202E-2</v>
      </c>
    </row>
    <row r="1282" spans="1:7">
      <c r="A1282" s="66">
        <v>103.21528619840896</v>
      </c>
      <c r="B1282" s="66">
        <v>103.53018029189563</v>
      </c>
      <c r="C1282" s="66">
        <v>102.37806777524995</v>
      </c>
      <c r="D1282" s="66">
        <v>103.48269626192543</v>
      </c>
      <c r="E1282" s="66">
        <v>889539.07295773493</v>
      </c>
      <c r="F1282" s="66" t="s">
        <v>1276</v>
      </c>
      <c r="G1282" s="25">
        <f t="shared" si="16"/>
        <v>-2.5841041369817352E-3</v>
      </c>
    </row>
    <row r="1283" spans="1:7">
      <c r="A1283" s="66">
        <v>102.89039546703383</v>
      </c>
      <c r="B1283" s="66">
        <v>103.9113021113934</v>
      </c>
      <c r="C1283" s="66">
        <v>101.99194763680796</v>
      </c>
      <c r="D1283" s="66">
        <v>103.74760716596977</v>
      </c>
      <c r="E1283" s="66">
        <v>821760.28497324896</v>
      </c>
      <c r="F1283" s="66" t="s">
        <v>1277</v>
      </c>
      <c r="G1283" s="25">
        <f t="shared" si="16"/>
        <v>-8.2624719967239191E-3</v>
      </c>
    </row>
    <row r="1284" spans="1:7">
      <c r="A1284" s="66">
        <v>103.49769121875812</v>
      </c>
      <c r="B1284" s="66">
        <v>105.73693810577444</v>
      </c>
      <c r="C1284" s="66">
        <v>103.32275005570997</v>
      </c>
      <c r="D1284" s="66">
        <v>105.68695491633211</v>
      </c>
      <c r="E1284" s="66">
        <v>1004533.7354458476</v>
      </c>
      <c r="F1284" s="66" t="s">
        <v>1278</v>
      </c>
      <c r="G1284" s="25">
        <f t="shared" si="16"/>
        <v>-2.0714606635295119E-2</v>
      </c>
    </row>
    <row r="1285" spans="1:7">
      <c r="A1285" s="66">
        <v>105.95936329879282</v>
      </c>
      <c r="B1285" s="66">
        <v>106.22427420283717</v>
      </c>
      <c r="C1285" s="66">
        <v>105.13963899193863</v>
      </c>
      <c r="D1285" s="66">
        <v>106.21927588389292</v>
      </c>
      <c r="E1285" s="66">
        <v>674322.71481772896</v>
      </c>
      <c r="F1285" s="66" t="s">
        <v>1279</v>
      </c>
      <c r="G1285" s="25">
        <f t="shared" si="16"/>
        <v>-2.4469436732388328E-3</v>
      </c>
    </row>
    <row r="1286" spans="1:7">
      <c r="A1286" s="66">
        <v>105.8668943983245</v>
      </c>
      <c r="B1286" s="66">
        <v>106.22552378257322</v>
      </c>
      <c r="C1286" s="66">
        <v>104.95969950994625</v>
      </c>
      <c r="D1286" s="66">
        <v>105.66946080002731</v>
      </c>
      <c r="E1286" s="66">
        <v>846844.71863962489</v>
      </c>
      <c r="F1286" s="66" t="s">
        <v>1280</v>
      </c>
      <c r="G1286" s="25">
        <f t="shared" si="16"/>
        <v>1.8684073601058504E-3</v>
      </c>
    </row>
    <row r="1287" spans="1:7">
      <c r="A1287" s="66">
        <v>105.40704905545508</v>
      </c>
      <c r="B1287" s="66">
        <v>106.09681706975921</v>
      </c>
      <c r="C1287" s="66">
        <v>104.2549365388094</v>
      </c>
      <c r="D1287" s="66">
        <v>104.6173146622663</v>
      </c>
      <c r="E1287" s="66">
        <v>713423.861059207</v>
      </c>
      <c r="F1287" s="66" t="s">
        <v>1281</v>
      </c>
      <c r="G1287" s="25">
        <f t="shared" si="16"/>
        <v>7.5487924320964961E-3</v>
      </c>
    </row>
    <row r="1288" spans="1:7">
      <c r="A1288" s="66">
        <v>104.18995839253436</v>
      </c>
      <c r="B1288" s="66">
        <v>104.67729448959709</v>
      </c>
      <c r="C1288" s="66">
        <v>103.70387187520772</v>
      </c>
      <c r="D1288" s="66">
        <v>103.89255841535251</v>
      </c>
      <c r="E1288" s="66">
        <v>985255.25380529906</v>
      </c>
      <c r="F1288" s="66" t="s">
        <v>1282</v>
      </c>
      <c r="G1288" s="25">
        <f t="shared" si="16"/>
        <v>2.8625724663828844E-3</v>
      </c>
    </row>
    <row r="1289" spans="1:7">
      <c r="A1289" s="66">
        <v>103.37523240462441</v>
      </c>
      <c r="B1289" s="66">
        <v>103.90755337218522</v>
      </c>
      <c r="C1289" s="66">
        <v>102.74044589870685</v>
      </c>
      <c r="D1289" s="66">
        <v>102.74044589870685</v>
      </c>
      <c r="E1289" s="66">
        <v>708594.23728582752</v>
      </c>
      <c r="F1289" s="66" t="s">
        <v>1283</v>
      </c>
      <c r="G1289" s="25">
        <f t="shared" si="16"/>
        <v>6.1785453660907486E-3</v>
      </c>
    </row>
    <row r="1290" spans="1:7">
      <c r="A1290" s="66">
        <v>102.46553835677403</v>
      </c>
      <c r="B1290" s="66">
        <v>102.49802742991155</v>
      </c>
      <c r="C1290" s="66">
        <v>100.2775242389361</v>
      </c>
      <c r="D1290" s="66">
        <v>100.93355360036665</v>
      </c>
      <c r="E1290" s="66">
        <v>934854.30844532582</v>
      </c>
      <c r="F1290" s="66" t="s">
        <v>1284</v>
      </c>
      <c r="G1290" s="25">
        <f t="shared" si="16"/>
        <v>1.5178151385346839E-2</v>
      </c>
    </row>
    <row r="1291" spans="1:7">
      <c r="A1291" s="66">
        <v>101.36840734851492</v>
      </c>
      <c r="B1291" s="66">
        <v>102.18063417695276</v>
      </c>
      <c r="C1291" s="66">
        <v>101.26594181015814</v>
      </c>
      <c r="D1291" s="66">
        <v>102.01069133284884</v>
      </c>
      <c r="E1291" s="66">
        <v>579362.78823128226</v>
      </c>
      <c r="F1291" s="66" t="s">
        <v>1285</v>
      </c>
      <c r="G1291" s="25">
        <f t="shared" si="16"/>
        <v>-6.2962418540838394E-3</v>
      </c>
    </row>
    <row r="1292" spans="1:7">
      <c r="A1292" s="66">
        <v>102.47553499466248</v>
      </c>
      <c r="B1292" s="66">
        <v>102.54550634052663</v>
      </c>
      <c r="C1292" s="66">
        <v>101.13858249332992</v>
      </c>
      <c r="D1292" s="66">
        <v>101.31600983462826</v>
      </c>
      <c r="E1292" s="66">
        <v>510741.0691998445</v>
      </c>
      <c r="F1292" s="66" t="s">
        <v>1286</v>
      </c>
      <c r="G1292" s="25">
        <f t="shared" si="16"/>
        <v>1.1444639025232517E-2</v>
      </c>
    </row>
    <row r="1293" spans="1:7">
      <c r="A1293" s="66">
        <v>100.97864798849761</v>
      </c>
      <c r="B1293" s="66">
        <v>100.97864798849761</v>
      </c>
      <c r="C1293" s="66">
        <v>100.06152356234986</v>
      </c>
      <c r="D1293" s="66">
        <v>100.56881581986482</v>
      </c>
      <c r="E1293" s="66">
        <v>639281.68663293321</v>
      </c>
      <c r="F1293" s="66" t="s">
        <v>1287</v>
      </c>
      <c r="G1293" s="25">
        <f t="shared" si="16"/>
        <v>4.0751416360202963E-3</v>
      </c>
    </row>
    <row r="1294" spans="1:7">
      <c r="A1294" s="66">
        <v>100.33391201589238</v>
      </c>
      <c r="B1294" s="66">
        <v>100.89868073608146</v>
      </c>
      <c r="C1294" s="66">
        <v>99.229364341894254</v>
      </c>
      <c r="D1294" s="66">
        <v>100.89868073608146</v>
      </c>
      <c r="E1294" s="66">
        <v>880216.31196849246</v>
      </c>
      <c r="F1294" s="66" t="s">
        <v>1288</v>
      </c>
      <c r="G1294" s="25">
        <f t="shared" si="16"/>
        <v>-5.5973845849018877E-3</v>
      </c>
    </row>
    <row r="1295" spans="1:7">
      <c r="A1295" s="66">
        <v>100.53882810020878</v>
      </c>
      <c r="B1295" s="66">
        <v>101.73833688645107</v>
      </c>
      <c r="C1295" s="66">
        <v>99.324325454138432</v>
      </c>
      <c r="D1295" s="66">
        <v>99.426783496296636</v>
      </c>
      <c r="E1295" s="66">
        <v>767942.35320751346</v>
      </c>
      <c r="F1295" s="66" t="s">
        <v>1289</v>
      </c>
      <c r="G1295" s="25">
        <f t="shared" si="16"/>
        <v>1.1184557770125947E-2</v>
      </c>
    </row>
    <row r="1296" spans="1:7">
      <c r="A1296" s="66">
        <v>99.1493970894781</v>
      </c>
      <c r="B1296" s="66">
        <v>100.6013025161589</v>
      </c>
      <c r="C1296" s="66">
        <v>98.222276756778328</v>
      </c>
      <c r="D1296" s="66">
        <v>100.11900002502396</v>
      </c>
      <c r="E1296" s="66">
        <v>1089469.9688644228</v>
      </c>
      <c r="F1296" s="66" t="s">
        <v>1290</v>
      </c>
      <c r="G1296" s="25">
        <f t="shared" si="16"/>
        <v>-9.6845047923322936E-3</v>
      </c>
    </row>
    <row r="1297" spans="1:7">
      <c r="A1297" s="66">
        <v>100.93116743237552</v>
      </c>
      <c r="B1297" s="66">
        <v>101.70834916679502</v>
      </c>
      <c r="C1297" s="66">
        <v>100.61754586430592</v>
      </c>
      <c r="D1297" s="66">
        <v>101.00113877823966</v>
      </c>
      <c r="E1297" s="66">
        <v>638437.34100444242</v>
      </c>
      <c r="F1297" s="66" t="s">
        <v>1291</v>
      </c>
      <c r="G1297" s="25">
        <f t="shared" si="16"/>
        <v>-6.9277779152354668E-4</v>
      </c>
    </row>
    <row r="1298" spans="1:7">
      <c r="A1298" s="66">
        <v>100.64878307228098</v>
      </c>
      <c r="B1298" s="66">
        <v>101.32850471781829</v>
      </c>
      <c r="C1298" s="66">
        <v>99.934075753811612</v>
      </c>
      <c r="D1298" s="66">
        <v>100.80621860047528</v>
      </c>
      <c r="E1298" s="66">
        <v>665240.31266146339</v>
      </c>
      <c r="F1298" s="66" t="s">
        <v>1292</v>
      </c>
      <c r="G1298" s="25">
        <f t="shared" si="16"/>
        <v>-1.5617640496788932E-3</v>
      </c>
    </row>
    <row r="1299" spans="1:7">
      <c r="A1299" s="66">
        <v>101.3360016477323</v>
      </c>
      <c r="B1299" s="66">
        <v>102.25562505051806</v>
      </c>
      <c r="C1299" s="66">
        <v>100.99614082496365</v>
      </c>
      <c r="D1299" s="66">
        <v>102.12317928870381</v>
      </c>
      <c r="E1299" s="66">
        <v>734476.65419770952</v>
      </c>
      <c r="F1299" s="66" t="s">
        <v>1293</v>
      </c>
      <c r="G1299" s="25">
        <f t="shared" si="16"/>
        <v>-7.7081192189105696E-3</v>
      </c>
    </row>
    <row r="1300" spans="1:7">
      <c r="A1300" s="66">
        <v>102.22813630750001</v>
      </c>
      <c r="B1300" s="66">
        <v>102.65046335932281</v>
      </c>
      <c r="C1300" s="66">
        <v>101.57340442834276</v>
      </c>
      <c r="D1300" s="66">
        <v>102.3280953730202</v>
      </c>
      <c r="E1300" s="66">
        <v>1031510.2433522861</v>
      </c>
      <c r="F1300" s="66" t="s">
        <v>1294</v>
      </c>
      <c r="G1300" s="25">
        <f t="shared" si="16"/>
        <v>-9.7684868613856501E-4</v>
      </c>
    </row>
    <row r="1301" spans="1:7">
      <c r="A1301" s="66">
        <v>102.67045517242687</v>
      </c>
      <c r="B1301" s="66">
        <v>103.35017681796415</v>
      </c>
      <c r="C1301" s="66">
        <v>102.65796028923684</v>
      </c>
      <c r="D1301" s="66">
        <v>103.18024640657983</v>
      </c>
      <c r="E1301" s="66">
        <v>1566885.3963862036</v>
      </c>
      <c r="F1301" s="66" t="s">
        <v>1295</v>
      </c>
      <c r="G1301" s="25">
        <f t="shared" si="16"/>
        <v>-4.9407832594635659E-3</v>
      </c>
    </row>
    <row r="1302" spans="1:7">
      <c r="A1302" s="66">
        <v>102.76541628467105</v>
      </c>
      <c r="B1302" s="66">
        <v>103.16775152338981</v>
      </c>
      <c r="C1302" s="66">
        <v>102.21064347103398</v>
      </c>
      <c r="D1302" s="66">
        <v>102.6379684761328</v>
      </c>
      <c r="E1302" s="66">
        <v>739006.50846999197</v>
      </c>
      <c r="F1302" s="66" t="s">
        <v>1296</v>
      </c>
      <c r="G1302" s="25">
        <f t="shared" si="16"/>
        <v>1.2417218543046005E-3</v>
      </c>
    </row>
    <row r="1303" spans="1:7">
      <c r="A1303" s="66">
        <v>102.62047563966675</v>
      </c>
      <c r="B1303" s="66">
        <v>102.90535897639931</v>
      </c>
      <c r="C1303" s="66">
        <v>101.48344126937458</v>
      </c>
      <c r="D1303" s="66">
        <v>102.47803397130049</v>
      </c>
      <c r="E1303" s="66">
        <v>856122.44927113154</v>
      </c>
      <c r="F1303" s="66" t="s">
        <v>1297</v>
      </c>
      <c r="G1303" s="25">
        <f t="shared" si="16"/>
        <v>1.3899726882558028E-3</v>
      </c>
    </row>
    <row r="1304" spans="1:7">
      <c r="A1304" s="66">
        <v>103.41265123391427</v>
      </c>
      <c r="B1304" s="66">
        <v>103.70753047719884</v>
      </c>
      <c r="C1304" s="66">
        <v>102.0157232932696</v>
      </c>
      <c r="D1304" s="66">
        <v>102.51301964423256</v>
      </c>
      <c r="E1304" s="66">
        <v>999461.12421208282</v>
      </c>
      <c r="F1304" s="66" t="s">
        <v>1298</v>
      </c>
      <c r="G1304" s="25">
        <f t="shared" si="16"/>
        <v>8.7757788503728396E-3</v>
      </c>
    </row>
    <row r="1305" spans="1:7">
      <c r="A1305" s="66">
        <v>102.34558820948624</v>
      </c>
      <c r="B1305" s="66">
        <v>102.44304829836842</v>
      </c>
      <c r="C1305" s="66">
        <v>100.85120017995936</v>
      </c>
      <c r="D1305" s="66">
        <v>101.66586656394892</v>
      </c>
      <c r="E1305" s="66">
        <v>676236.8140220925</v>
      </c>
      <c r="F1305" s="66" t="s">
        <v>1299</v>
      </c>
      <c r="G1305" s="25">
        <f t="shared" si="16"/>
        <v>6.6858392940540856E-3</v>
      </c>
    </row>
    <row r="1306" spans="1:7">
      <c r="A1306" s="66">
        <v>101.89577241464538</v>
      </c>
      <c r="B1306" s="66">
        <v>101.98573557361355</v>
      </c>
      <c r="C1306" s="66">
        <v>100.72125339478312</v>
      </c>
      <c r="D1306" s="66">
        <v>100.76373599762921</v>
      </c>
      <c r="E1306" s="66">
        <v>838339.16977817821</v>
      </c>
      <c r="F1306" s="66" t="s">
        <v>1300</v>
      </c>
      <c r="G1306" s="25">
        <f t="shared" si="16"/>
        <v>1.1234561777689667E-2</v>
      </c>
    </row>
    <row r="1307" spans="1:7">
      <c r="A1307" s="66">
        <v>100.7087585115931</v>
      </c>
      <c r="B1307" s="66">
        <v>101.15857430643396</v>
      </c>
      <c r="C1307" s="66">
        <v>99.139401182926093</v>
      </c>
      <c r="D1307" s="66">
        <v>99.139401182926093</v>
      </c>
      <c r="E1307" s="66">
        <v>1055063.8849129349</v>
      </c>
      <c r="F1307" s="66" t="s">
        <v>1301</v>
      </c>
      <c r="G1307" s="25">
        <f t="shared" si="16"/>
        <v>1.5829804396047642E-2</v>
      </c>
    </row>
    <row r="1308" spans="1:7">
      <c r="A1308" s="66">
        <v>99.026947234215868</v>
      </c>
      <c r="B1308" s="66">
        <v>99.374304986898551</v>
      </c>
      <c r="C1308" s="66">
        <v>98.374714331696623</v>
      </c>
      <c r="D1308" s="66">
        <v>99.049438023957919</v>
      </c>
      <c r="E1308" s="66">
        <v>932089.54600700585</v>
      </c>
      <c r="F1308" s="66" t="s">
        <v>1302</v>
      </c>
      <c r="G1308" s="25">
        <f t="shared" si="16"/>
        <v>-2.2706630336066791E-4</v>
      </c>
    </row>
    <row r="1309" spans="1:7">
      <c r="A1309" s="66">
        <v>99.239360248446275</v>
      </c>
      <c r="B1309" s="66">
        <v>99.451773262676696</v>
      </c>
      <c r="C1309" s="66">
        <v>98.504661116872867</v>
      </c>
      <c r="D1309" s="66">
        <v>98.894501472401615</v>
      </c>
      <c r="E1309" s="66">
        <v>754909.01807957713</v>
      </c>
      <c r="F1309" s="66" t="s">
        <v>1303</v>
      </c>
      <c r="G1309" s="25">
        <f t="shared" si="16"/>
        <v>3.4871380199119617E-3</v>
      </c>
    </row>
    <row r="1310" spans="1:7">
      <c r="A1310" s="66">
        <v>98.834526033089503</v>
      </c>
      <c r="B1310" s="66">
        <v>99.320576989181433</v>
      </c>
      <c r="C1310" s="66">
        <v>97.974878069615855</v>
      </c>
      <c r="D1310" s="66">
        <v>99.304333641034404</v>
      </c>
      <c r="E1310" s="66">
        <v>803881.06453204399</v>
      </c>
      <c r="F1310" s="66" t="s">
        <v>1304</v>
      </c>
      <c r="G1310" s="25">
        <f t="shared" si="16"/>
        <v>-4.7309879712114089E-3</v>
      </c>
    </row>
    <row r="1311" spans="1:7">
      <c r="A1311" s="66">
        <v>99.066930860423952</v>
      </c>
      <c r="B1311" s="66">
        <v>99.209372528790226</v>
      </c>
      <c r="C1311" s="66">
        <v>97.678749338012281</v>
      </c>
      <c r="D1311" s="66">
        <v>97.734976312367394</v>
      </c>
      <c r="E1311" s="66">
        <v>2013008.0143591783</v>
      </c>
      <c r="F1311" s="66" t="s">
        <v>1305</v>
      </c>
      <c r="G1311" s="25">
        <f t="shared" si="16"/>
        <v>1.3628228074661353E-2</v>
      </c>
    </row>
    <row r="1312" spans="1:7">
      <c r="A1312" s="66">
        <v>97.612526457105162</v>
      </c>
      <c r="B1312" s="66">
        <v>98.234771639968358</v>
      </c>
      <c r="C1312" s="66">
        <v>97.260170751146475</v>
      </c>
      <c r="D1312" s="66">
        <v>97.417606279340788</v>
      </c>
      <c r="E1312" s="66">
        <v>885522.48402242048</v>
      </c>
      <c r="F1312" s="66" t="s">
        <v>1306</v>
      </c>
      <c r="G1312" s="25">
        <f t="shared" si="16"/>
        <v>2.0008721750506275E-3</v>
      </c>
    </row>
    <row r="1313" spans="1:7">
      <c r="A1313" s="66">
        <v>96.882825278807758</v>
      </c>
      <c r="B1313" s="66">
        <v>97.460088882186866</v>
      </c>
      <c r="C1313" s="66">
        <v>96.465496180260956</v>
      </c>
      <c r="D1313" s="66">
        <v>97.055254666830095</v>
      </c>
      <c r="E1313" s="66">
        <v>757277.9878050111</v>
      </c>
      <c r="F1313" s="66" t="s">
        <v>1307</v>
      </c>
      <c r="G1313" s="25">
        <f t="shared" si="16"/>
        <v>-1.7766105360730311E-3</v>
      </c>
    </row>
    <row r="1314" spans="1:7">
      <c r="A1314" s="66">
        <v>97.645013153399219</v>
      </c>
      <c r="B1314" s="66">
        <v>98.634607902049112</v>
      </c>
      <c r="C1314" s="66">
        <v>97.302653353992568</v>
      </c>
      <c r="D1314" s="66">
        <v>97.605029527191135</v>
      </c>
      <c r="E1314" s="66">
        <v>1724954.1009881722</v>
      </c>
      <c r="F1314" s="66" t="s">
        <v>1308</v>
      </c>
      <c r="G1314" s="25">
        <f t="shared" si="16"/>
        <v>4.0964719135661021E-4</v>
      </c>
    </row>
    <row r="1315" spans="1:7">
      <c r="A1315" s="66">
        <v>97.320146190458601</v>
      </c>
      <c r="B1315" s="66">
        <v>98.452182607474782</v>
      </c>
      <c r="C1315" s="66">
        <v>96.100645591112254</v>
      </c>
      <c r="D1315" s="66">
        <v>96.44300539051892</v>
      </c>
      <c r="E1315" s="66">
        <v>1043239.0444760137</v>
      </c>
      <c r="F1315" s="66" t="s">
        <v>1309</v>
      </c>
      <c r="G1315" s="25">
        <f t="shared" si="16"/>
        <v>9.094913585365294E-3</v>
      </c>
    </row>
    <row r="1316" spans="1:7">
      <c r="A1316" s="66">
        <v>95.950706992831968</v>
      </c>
      <c r="B1316" s="66">
        <v>96.335549395084712</v>
      </c>
      <c r="C1316" s="66">
        <v>94.626249374689436</v>
      </c>
      <c r="D1316" s="66">
        <v>95.438416782041003</v>
      </c>
      <c r="E1316" s="66">
        <v>2943592.9444594895</v>
      </c>
      <c r="F1316" s="66" t="s">
        <v>1310</v>
      </c>
      <c r="G1316" s="25">
        <f t="shared" si="16"/>
        <v>5.3677568013403842E-3</v>
      </c>
    </row>
    <row r="1317" spans="1:7">
      <c r="A1317" s="66">
        <v>95.430919852126976</v>
      </c>
      <c r="B1317" s="66">
        <v>96.535467526125103</v>
      </c>
      <c r="C1317" s="66">
        <v>94.781185926245726</v>
      </c>
      <c r="D1317" s="66">
        <v>94.781185926245726</v>
      </c>
      <c r="E1317" s="66">
        <v>1081738.8041523648</v>
      </c>
      <c r="F1317" s="66" t="s">
        <v>1311</v>
      </c>
      <c r="G1317" s="25">
        <f t="shared" si="16"/>
        <v>6.8550938620544066E-3</v>
      </c>
    </row>
    <row r="1318" spans="1:7">
      <c r="A1318" s="66">
        <v>95.343455669796796</v>
      </c>
      <c r="B1318" s="66">
        <v>95.958203922745994</v>
      </c>
      <c r="C1318" s="66">
        <v>94.211419252780644</v>
      </c>
      <c r="D1318" s="66">
        <v>94.69372174391556</v>
      </c>
      <c r="E1318" s="66">
        <v>1470017.7441166444</v>
      </c>
      <c r="F1318" s="66" t="s">
        <v>1312</v>
      </c>
      <c r="G1318" s="25">
        <f t="shared" si="16"/>
        <v>6.8614255931174206E-3</v>
      </c>
    </row>
    <row r="1319" spans="1:7">
      <c r="A1319" s="66">
        <v>94.178932556486572</v>
      </c>
      <c r="B1319" s="66">
        <v>94.858654202023871</v>
      </c>
      <c r="C1319" s="66">
        <v>93.979014425446195</v>
      </c>
      <c r="D1319" s="66">
        <v>94.306380365024822</v>
      </c>
      <c r="E1319" s="66">
        <v>866982.89493807021</v>
      </c>
      <c r="F1319" s="66" t="s">
        <v>1313</v>
      </c>
      <c r="G1319" s="25">
        <f t="shared" si="16"/>
        <v>-1.3514229688907919E-3</v>
      </c>
    </row>
    <row r="1320" spans="1:7">
      <c r="A1320" s="66">
        <v>94.096466327432424</v>
      </c>
      <c r="B1320" s="66">
        <v>94.251402878988728</v>
      </c>
      <c r="C1320" s="66">
        <v>93.619161789573496</v>
      </c>
      <c r="D1320" s="66">
        <v>94.251402878988728</v>
      </c>
      <c r="E1320" s="66">
        <v>765077.18036391435</v>
      </c>
      <c r="F1320" s="66" t="s">
        <v>1314</v>
      </c>
      <c r="G1320" s="25">
        <f t="shared" si="16"/>
        <v>-1.6438646728179629E-3</v>
      </c>
    </row>
    <row r="1321" spans="1:7">
      <c r="A1321" s="66">
        <v>93.759104481301776</v>
      </c>
      <c r="B1321" s="66">
        <v>94.198924369590614</v>
      </c>
      <c r="C1321" s="66">
        <v>92.839481078516002</v>
      </c>
      <c r="D1321" s="66">
        <v>93.40674877534309</v>
      </c>
      <c r="E1321" s="66">
        <v>1123283.8103845522</v>
      </c>
      <c r="F1321" s="66" t="s">
        <v>1315</v>
      </c>
      <c r="G1321" s="25">
        <f t="shared" si="16"/>
        <v>3.7722724597357704E-3</v>
      </c>
    </row>
    <row r="1322" spans="1:7">
      <c r="A1322" s="66">
        <v>93.491713981035261</v>
      </c>
      <c r="B1322" s="66">
        <v>94.268895715454747</v>
      </c>
      <c r="C1322" s="66">
        <v>92.836982101878007</v>
      </c>
      <c r="D1322" s="66">
        <v>93.324282546288941</v>
      </c>
      <c r="E1322" s="66">
        <v>1103851.8560151146</v>
      </c>
      <c r="F1322" s="66" t="s">
        <v>1316</v>
      </c>
      <c r="G1322" s="25">
        <f t="shared" si="16"/>
        <v>1.7940822064532735E-3</v>
      </c>
    </row>
    <row r="1323" spans="1:7">
      <c r="A1323" s="66">
        <v>93.064388975936438</v>
      </c>
      <c r="B1323" s="66">
        <v>93.776597317767809</v>
      </c>
      <c r="C1323" s="66">
        <v>92.565843136654493</v>
      </c>
      <c r="D1323" s="66">
        <v>93.171844971370632</v>
      </c>
      <c r="E1323" s="66">
        <v>949400.63221009227</v>
      </c>
      <c r="F1323" s="66" t="s">
        <v>1317</v>
      </c>
      <c r="G1323" s="25">
        <f t="shared" si="16"/>
        <v>-1.1533097307154794E-3</v>
      </c>
    </row>
    <row r="1324" spans="1:7">
      <c r="A1324" s="66">
        <v>93.051894092746423</v>
      </c>
      <c r="B1324" s="66">
        <v>93.956523635704158</v>
      </c>
      <c r="C1324" s="66">
        <v>92.272213381688928</v>
      </c>
      <c r="D1324" s="66">
        <v>93.956523635704158</v>
      </c>
      <c r="E1324" s="66">
        <v>1236570.1835721103</v>
      </c>
      <c r="F1324" s="66" t="s">
        <v>1318</v>
      </c>
      <c r="G1324" s="25">
        <f t="shared" si="16"/>
        <v>-9.6281717112612908E-3</v>
      </c>
    </row>
    <row r="1325" spans="1:7">
      <c r="A1325" s="66">
        <v>93.561685326899394</v>
      </c>
      <c r="B1325" s="66">
        <v>96.123136380854305</v>
      </c>
      <c r="C1325" s="66">
        <v>93.414245705257116</v>
      </c>
      <c r="D1325" s="66">
        <v>95.538375847561184</v>
      </c>
      <c r="E1325" s="66">
        <v>1397396.0167903355</v>
      </c>
      <c r="F1325" s="66" t="s">
        <v>1319</v>
      </c>
      <c r="G1325" s="25">
        <f t="shared" si="16"/>
        <v>-2.069001595563813E-2</v>
      </c>
    </row>
    <row r="1326" spans="1:7">
      <c r="A1326" s="66">
        <v>95.450911665231004</v>
      </c>
      <c r="B1326" s="66">
        <v>97.632518270209204</v>
      </c>
      <c r="C1326" s="66">
        <v>95.119172516535883</v>
      </c>
      <c r="D1326" s="66">
        <v>96.243087259478528</v>
      </c>
      <c r="E1326" s="66">
        <v>1655645.7299670309</v>
      </c>
      <c r="F1326" s="66" t="s">
        <v>1320</v>
      </c>
      <c r="G1326" s="25">
        <f t="shared" si="16"/>
        <v>-8.2309869394749935E-3</v>
      </c>
    </row>
    <row r="1327" spans="1:7">
      <c r="A1327" s="66">
        <v>95.983193689126026</v>
      </c>
      <c r="B1327" s="66">
        <v>96.305561675428649</v>
      </c>
      <c r="C1327" s="66">
        <v>94.507547984384203</v>
      </c>
      <c r="D1327" s="66">
        <v>95.345954646434819</v>
      </c>
      <c r="E1327" s="66">
        <v>1243128.8683356005</v>
      </c>
      <c r="F1327" s="66" t="s">
        <v>1321</v>
      </c>
      <c r="G1327" s="25">
        <f t="shared" si="16"/>
        <v>6.683440792577322E-3</v>
      </c>
    </row>
    <row r="1328" spans="1:7">
      <c r="A1328" s="66">
        <v>96.133132287406326</v>
      </c>
      <c r="B1328" s="66">
        <v>98.274755266176427</v>
      </c>
      <c r="C1328" s="66">
        <v>95.940711086279961</v>
      </c>
      <c r="D1328" s="66">
        <v>97.620023387019174</v>
      </c>
      <c r="E1328" s="66">
        <v>1325830.7219091526</v>
      </c>
      <c r="F1328" s="66" t="s">
        <v>1322</v>
      </c>
      <c r="G1328" s="25">
        <f t="shared" si="16"/>
        <v>-1.5231415113659552E-2</v>
      </c>
    </row>
    <row r="1329" spans="1:7">
      <c r="A1329" s="66">
        <v>97.557548971069053</v>
      </c>
      <c r="B1329" s="66">
        <v>99.226865365256259</v>
      </c>
      <c r="C1329" s="66">
        <v>97.345135956838647</v>
      </c>
      <c r="D1329" s="66">
        <v>98.844521939641524</v>
      </c>
      <c r="E1329" s="66">
        <v>846886.66865237907</v>
      </c>
      <c r="F1329" s="66" t="s">
        <v>1323</v>
      </c>
      <c r="G1329" s="25">
        <f t="shared" si="16"/>
        <v>-1.3020174950700292E-2</v>
      </c>
    </row>
    <row r="1330" spans="1:7">
      <c r="A1330" s="66">
        <v>98.322235822298524</v>
      </c>
      <c r="B1330" s="66">
        <v>99.69667297320116</v>
      </c>
      <c r="C1330" s="66">
        <v>98.239769593244361</v>
      </c>
      <c r="D1330" s="66">
        <v>99.429282472934645</v>
      </c>
      <c r="E1330" s="66">
        <v>722571.78099979414</v>
      </c>
      <c r="F1330" s="66" t="s">
        <v>1324</v>
      </c>
      <c r="G1330" s="25">
        <f t="shared" si="16"/>
        <v>-1.1134010254348015E-2</v>
      </c>
    </row>
    <row r="1331" spans="1:7">
      <c r="A1331" s="66">
        <v>98.727070037655295</v>
      </c>
      <c r="B1331" s="66">
        <v>99.014452351025852</v>
      </c>
      <c r="C1331" s="66">
        <v>97.709986545987348</v>
      </c>
      <c r="D1331" s="66">
        <v>98.574632462737</v>
      </c>
      <c r="E1331" s="66">
        <v>2053108.4292554168</v>
      </c>
      <c r="F1331" s="66" t="s">
        <v>1325</v>
      </c>
      <c r="G1331" s="25">
        <f t="shared" si="16"/>
        <v>1.5464178877453438E-3</v>
      </c>
    </row>
    <row r="1332" spans="1:7">
      <c r="A1332" s="66">
        <v>97.987372952805885</v>
      </c>
      <c r="B1332" s="66">
        <v>98.577131439375023</v>
      </c>
      <c r="C1332" s="66">
        <v>97.410109349426776</v>
      </c>
      <c r="D1332" s="66">
        <v>98.429691817732731</v>
      </c>
      <c r="E1332" s="66">
        <v>1208950.8777529465</v>
      </c>
      <c r="F1332" s="66" t="s">
        <v>1326</v>
      </c>
      <c r="G1332" s="25">
        <f t="shared" si="16"/>
        <v>-4.4937544429775045E-3</v>
      </c>
    </row>
    <row r="1333" spans="1:7">
      <c r="A1333" s="66">
        <v>98.582129392651026</v>
      </c>
      <c r="B1333" s="66">
        <v>99.301834664396395</v>
      </c>
      <c r="C1333" s="66">
        <v>98.172297224018237</v>
      </c>
      <c r="D1333" s="66">
        <v>98.54714371971896</v>
      </c>
      <c r="E1333" s="66">
        <v>1182940.23042977</v>
      </c>
      <c r="F1333" s="66" t="s">
        <v>1327</v>
      </c>
      <c r="G1333" s="25">
        <f t="shared" si="16"/>
        <v>3.5501458095610339E-4</v>
      </c>
    </row>
    <row r="1334" spans="1:7">
      <c r="A1334" s="66">
        <v>98.584628369289021</v>
      </c>
      <c r="B1334" s="66">
        <v>98.979466678093772</v>
      </c>
      <c r="C1334" s="66">
        <v>97.285160517526535</v>
      </c>
      <c r="D1334" s="66">
        <v>98.052346345394</v>
      </c>
      <c r="E1334" s="66">
        <v>1063995.5410399085</v>
      </c>
      <c r="F1334" s="66" t="s">
        <v>1328</v>
      </c>
      <c r="G1334" s="25">
        <f t="shared" si="16"/>
        <v>5.4285495833015229E-3</v>
      </c>
    </row>
    <row r="1335" spans="1:7">
      <c r="A1335" s="66">
        <v>97.06774955002011</v>
      </c>
      <c r="B1335" s="66">
        <v>99.099417556718009</v>
      </c>
      <c r="C1335" s="66">
        <v>96.642923521559311</v>
      </c>
      <c r="D1335" s="66">
        <v>97.632518270209204</v>
      </c>
      <c r="E1335" s="66">
        <v>2465589.2761443998</v>
      </c>
      <c r="F1335" s="66" t="s">
        <v>1329</v>
      </c>
      <c r="G1335" s="25">
        <f t="shared" si="16"/>
        <v>-5.7846374363307307E-3</v>
      </c>
    </row>
    <row r="1336" spans="1:7">
      <c r="A1336" s="66">
        <v>97.237679961404439</v>
      </c>
      <c r="B1336" s="66">
        <v>97.502571485032959</v>
      </c>
      <c r="C1336" s="66">
        <v>95.028584613408199</v>
      </c>
      <c r="D1336" s="66">
        <v>95.410928039022934</v>
      </c>
      <c r="E1336" s="66">
        <v>721331.27320438111</v>
      </c>
      <c r="F1336" s="66" t="s">
        <v>1330</v>
      </c>
      <c r="G1336" s="25">
        <f t="shared" ref="G1336:G1399" si="17">A1336/D1336-1</f>
        <v>1.9146149816657854E-2</v>
      </c>
    </row>
    <row r="1337" spans="1:7">
      <c r="A1337" s="66">
        <v>95.453410641869027</v>
      </c>
      <c r="B1337" s="66">
        <v>95.638334913081366</v>
      </c>
      <c r="C1337" s="66">
        <v>94.694971232234565</v>
      </c>
      <c r="D1337" s="66">
        <v>95.535876870923175</v>
      </c>
      <c r="E1337" s="66">
        <v>1065676.2290207909</v>
      </c>
      <c r="F1337" s="66" t="s">
        <v>1331</v>
      </c>
      <c r="G1337" s="25">
        <f t="shared" si="17"/>
        <v>-8.6319644258425754E-4</v>
      </c>
    </row>
    <row r="1338" spans="1:7">
      <c r="A1338" s="66">
        <v>96.228093399650504</v>
      </c>
      <c r="B1338" s="66">
        <v>97.942391373321797</v>
      </c>
      <c r="C1338" s="66">
        <v>96.195606703356447</v>
      </c>
      <c r="D1338" s="66">
        <v>97.085242386486144</v>
      </c>
      <c r="E1338" s="66">
        <v>1118849.995425463</v>
      </c>
      <c r="F1338" s="66" t="s">
        <v>1332</v>
      </c>
      <c r="G1338" s="25">
        <f t="shared" si="17"/>
        <v>-8.8288288288287387E-3</v>
      </c>
    </row>
    <row r="1339" spans="1:7">
      <c r="A1339" s="66">
        <v>97.015271040622025</v>
      </c>
      <c r="B1339" s="66">
        <v>97.440097069082839</v>
      </c>
      <c r="C1339" s="66">
        <v>96.368036091378769</v>
      </c>
      <c r="D1339" s="66">
        <v>97.192698381920351</v>
      </c>
      <c r="E1339" s="66">
        <v>542946.25222398678</v>
      </c>
      <c r="F1339" s="66" t="s">
        <v>1333</v>
      </c>
      <c r="G1339" s="25">
        <f t="shared" si="17"/>
        <v>-1.825521302033617E-3</v>
      </c>
    </row>
    <row r="1340" spans="1:7">
      <c r="A1340" s="66">
        <v>97.257671774508481</v>
      </c>
      <c r="B1340" s="66">
        <v>97.827438447973577</v>
      </c>
      <c r="C1340" s="66">
        <v>96.92530788165385</v>
      </c>
      <c r="D1340" s="66">
        <v>97.480080695290908</v>
      </c>
      <c r="E1340" s="66">
        <v>969024.66520591651</v>
      </c>
      <c r="F1340" s="66" t="s">
        <v>1334</v>
      </c>
      <c r="G1340" s="25">
        <f t="shared" si="17"/>
        <v>-2.2815832649712986E-3</v>
      </c>
    </row>
    <row r="1341" spans="1:7">
      <c r="A1341" s="66">
        <v>96.930305834929854</v>
      </c>
      <c r="B1341" s="66">
        <v>97.808696123188525</v>
      </c>
      <c r="C1341" s="66">
        <v>96.070657871456206</v>
      </c>
      <c r="D1341" s="66">
        <v>96.20060465663245</v>
      </c>
      <c r="E1341" s="66">
        <v>1000093.3830239385</v>
      </c>
      <c r="F1341" s="66" t="s">
        <v>1335</v>
      </c>
      <c r="G1341" s="25">
        <f t="shared" si="17"/>
        <v>7.5852036575227988E-3</v>
      </c>
    </row>
    <row r="1342" spans="1:7">
      <c r="A1342" s="66">
        <v>96.140629217320338</v>
      </c>
      <c r="B1342" s="66">
        <v>97.487577625204921</v>
      </c>
      <c r="C1342" s="66">
        <v>96.090649684560233</v>
      </c>
      <c r="D1342" s="66">
        <v>97.110232152866203</v>
      </c>
      <c r="E1342" s="66">
        <v>1015439.6649446127</v>
      </c>
      <c r="F1342" s="66" t="s">
        <v>1336</v>
      </c>
      <c r="G1342" s="25">
        <f t="shared" si="17"/>
        <v>-9.9845599588266332E-3</v>
      </c>
    </row>
    <row r="1343" spans="1:7">
      <c r="A1343" s="66">
        <v>97.037761830364062</v>
      </c>
      <c r="B1343" s="66">
        <v>99.936574730449621</v>
      </c>
      <c r="C1343" s="66">
        <v>96.907815045187817</v>
      </c>
      <c r="D1343" s="66">
        <v>99.374304986898551</v>
      </c>
      <c r="E1343" s="66">
        <v>1238270.879743241</v>
      </c>
      <c r="F1343" s="66" t="s">
        <v>1337</v>
      </c>
      <c r="G1343" s="25">
        <f t="shared" si="17"/>
        <v>-2.351254840818795E-2</v>
      </c>
    </row>
    <row r="1344" spans="1:7">
      <c r="A1344" s="66">
        <v>100.41387926830853</v>
      </c>
      <c r="B1344" s="66">
        <v>101.9057683211974</v>
      </c>
      <c r="C1344" s="66">
        <v>100.41387926830853</v>
      </c>
      <c r="D1344" s="66">
        <v>101.04362138108573</v>
      </c>
      <c r="E1344" s="66">
        <v>675104.35045402183</v>
      </c>
      <c r="F1344" s="66" t="s">
        <v>1338</v>
      </c>
      <c r="G1344" s="25">
        <f t="shared" si="17"/>
        <v>-6.2323786912003021E-3</v>
      </c>
    </row>
    <row r="1345" spans="1:7">
      <c r="A1345" s="66">
        <v>101.04362138108573</v>
      </c>
      <c r="B1345" s="66">
        <v>102.89786204648529</v>
      </c>
      <c r="C1345" s="66">
        <v>101.03362547453372</v>
      </c>
      <c r="D1345" s="66">
        <v>101.18356407281401</v>
      </c>
      <c r="E1345" s="66">
        <v>804933.49533912016</v>
      </c>
      <c r="F1345" s="66" t="s">
        <v>1339</v>
      </c>
      <c r="G1345" s="25">
        <f t="shared" si="17"/>
        <v>-1.3830575450729521E-3</v>
      </c>
    </row>
    <row r="1346" spans="1:7">
      <c r="A1346" s="66">
        <v>101.33350267109429</v>
      </c>
      <c r="B1346" s="66">
        <v>101.41346992351045</v>
      </c>
      <c r="C1346" s="66">
        <v>99.229989086053763</v>
      </c>
      <c r="D1346" s="66">
        <v>99.759147389151266</v>
      </c>
      <c r="E1346" s="66">
        <v>876998.99497651798</v>
      </c>
      <c r="F1346" s="66" t="s">
        <v>1340</v>
      </c>
      <c r="G1346" s="25">
        <f t="shared" si="17"/>
        <v>1.5781563126252562E-2</v>
      </c>
    </row>
    <row r="1347" spans="1:7">
      <c r="A1347" s="66">
        <v>100.17897546433608</v>
      </c>
      <c r="B1347" s="66">
        <v>103.05029962140358</v>
      </c>
      <c r="C1347" s="66">
        <v>99.458020704271703</v>
      </c>
      <c r="D1347" s="66">
        <v>102.91285590631333</v>
      </c>
      <c r="E1347" s="66">
        <v>1415459.4109467692</v>
      </c>
      <c r="F1347" s="66" t="s">
        <v>1341</v>
      </c>
      <c r="G1347" s="25">
        <f t="shared" si="17"/>
        <v>-2.6565004128017211E-2</v>
      </c>
    </row>
    <row r="1348" spans="1:7">
      <c r="A1348" s="66">
        <v>102.85787842027722</v>
      </c>
      <c r="B1348" s="66">
        <v>103.38266351425823</v>
      </c>
      <c r="C1348" s="66">
        <v>102.05070896620167</v>
      </c>
      <c r="D1348" s="66">
        <v>102.82789070062117</v>
      </c>
      <c r="E1348" s="66">
        <v>1071614.6598865746</v>
      </c>
      <c r="F1348" s="66" t="s">
        <v>1342</v>
      </c>
      <c r="G1348" s="25">
        <f t="shared" si="17"/>
        <v>2.9163021288991509E-4</v>
      </c>
    </row>
    <row r="1349" spans="1:7">
      <c r="A1349" s="66">
        <v>102.97533032226345</v>
      </c>
      <c r="B1349" s="66">
        <v>103.94743223444731</v>
      </c>
      <c r="C1349" s="66">
        <v>102.01322431663161</v>
      </c>
      <c r="D1349" s="66">
        <v>103.15275766356177</v>
      </c>
      <c r="E1349" s="66">
        <v>904790.37123181974</v>
      </c>
      <c r="F1349" s="66" t="s">
        <v>1343</v>
      </c>
      <c r="G1349" s="25">
        <f t="shared" si="17"/>
        <v>-1.7200445758029925E-3</v>
      </c>
    </row>
    <row r="1350" spans="1:7">
      <c r="A1350" s="66">
        <v>102.68045107897888</v>
      </c>
      <c r="B1350" s="66">
        <v>103.41015225727628</v>
      </c>
      <c r="C1350" s="66">
        <v>101.73583790981307</v>
      </c>
      <c r="D1350" s="66">
        <v>101.86078674171331</v>
      </c>
      <c r="E1350" s="66">
        <v>909452.27955974289</v>
      </c>
      <c r="F1350" s="66" t="s">
        <v>1344</v>
      </c>
      <c r="G1350" s="25">
        <f t="shared" si="17"/>
        <v>8.0469075832290127E-3</v>
      </c>
    </row>
    <row r="1351" spans="1:7">
      <c r="A1351" s="66">
        <v>101.85578878843729</v>
      </c>
      <c r="B1351" s="66">
        <v>102.49052885449051</v>
      </c>
      <c r="C1351" s="66">
        <v>101.21105281583206</v>
      </c>
      <c r="D1351" s="66">
        <v>102.25562505051806</v>
      </c>
      <c r="E1351" s="66">
        <v>589617.35679786489</v>
      </c>
      <c r="F1351" s="66" t="s">
        <v>1345</v>
      </c>
      <c r="G1351" s="25">
        <f t="shared" si="17"/>
        <v>-3.9101639825019907E-3</v>
      </c>
    </row>
    <row r="1352" spans="1:7">
      <c r="A1352" s="66">
        <v>101.72334302662304</v>
      </c>
      <c r="B1352" s="66">
        <v>102.64046745277081</v>
      </c>
      <c r="C1352" s="66">
        <v>100.83620632013134</v>
      </c>
      <c r="D1352" s="66">
        <v>101.95574785395749</v>
      </c>
      <c r="E1352" s="66">
        <v>824877.65937892196</v>
      </c>
      <c r="F1352" s="66" t="s">
        <v>1346</v>
      </c>
      <c r="G1352" s="25">
        <f t="shared" si="17"/>
        <v>-2.2794676340106568E-3</v>
      </c>
    </row>
    <row r="1353" spans="1:7">
      <c r="A1353" s="66">
        <v>101.81330618559122</v>
      </c>
      <c r="B1353" s="66">
        <v>103.06779245786961</v>
      </c>
      <c r="C1353" s="66">
        <v>101.14857839988194</v>
      </c>
      <c r="D1353" s="66">
        <v>101.9582468305955</v>
      </c>
      <c r="E1353" s="66">
        <v>729714.70491854334</v>
      </c>
      <c r="F1353" s="66" t="s">
        <v>1347</v>
      </c>
      <c r="G1353" s="25">
        <f t="shared" si="17"/>
        <v>-1.4215686274510198E-3</v>
      </c>
    </row>
    <row r="1354" spans="1:7">
      <c r="A1354" s="66">
        <v>102.37057797586628</v>
      </c>
      <c r="B1354" s="66">
        <v>103.4801236031404</v>
      </c>
      <c r="C1354" s="66">
        <v>102.02197073486461</v>
      </c>
      <c r="D1354" s="66">
        <v>102.75542037811903</v>
      </c>
      <c r="E1354" s="66">
        <v>830391.91661143536</v>
      </c>
      <c r="F1354" s="66" t="s">
        <v>1348</v>
      </c>
      <c r="G1354" s="25">
        <f t="shared" si="17"/>
        <v>-3.7452272672001685E-3</v>
      </c>
    </row>
    <row r="1355" spans="1:7">
      <c r="A1355" s="66">
        <v>102.78540809777508</v>
      </c>
      <c r="B1355" s="66">
        <v>103.55009494900455</v>
      </c>
      <c r="C1355" s="66">
        <v>101.48219178105559</v>
      </c>
      <c r="D1355" s="66">
        <v>101.88077855481734</v>
      </c>
      <c r="E1355" s="66">
        <v>883097.49136429047</v>
      </c>
      <c r="F1355" s="66" t="s">
        <v>1349</v>
      </c>
      <c r="G1355" s="25">
        <f t="shared" si="17"/>
        <v>8.8792955431822307E-3</v>
      </c>
    </row>
    <row r="1356" spans="1:7">
      <c r="A1356" s="66">
        <v>101.27852518505819</v>
      </c>
      <c r="B1356" s="66">
        <v>102.64671489436581</v>
      </c>
      <c r="C1356" s="66">
        <v>100.86369506314939</v>
      </c>
      <c r="D1356" s="66">
        <v>101.35599346083633</v>
      </c>
      <c r="E1356" s="66">
        <v>1313625.7258575084</v>
      </c>
      <c r="F1356" s="66" t="s">
        <v>1350</v>
      </c>
      <c r="G1356" s="25">
        <f t="shared" si="17"/>
        <v>-7.6431864690940099E-4</v>
      </c>
    </row>
    <row r="1357" spans="1:7">
      <c r="A1357" s="66">
        <v>100.96365412866957</v>
      </c>
      <c r="B1357" s="66">
        <v>101.32100778790426</v>
      </c>
      <c r="C1357" s="66">
        <v>99.766644319065293</v>
      </c>
      <c r="D1357" s="66">
        <v>100.5063414039147</v>
      </c>
      <c r="E1357" s="66">
        <v>1282140.8376823156</v>
      </c>
      <c r="F1357" s="66" t="s">
        <v>1351</v>
      </c>
      <c r="G1357" s="25">
        <f t="shared" si="17"/>
        <v>4.550088266739527E-3</v>
      </c>
    </row>
    <row r="1358" spans="1:7">
      <c r="A1358" s="66">
        <v>100.0790163988159</v>
      </c>
      <c r="B1358" s="66">
        <v>100.82121246030331</v>
      </c>
      <c r="C1358" s="66">
        <v>99.190630204005188</v>
      </c>
      <c r="D1358" s="66">
        <v>99.719163762943211</v>
      </c>
      <c r="E1358" s="66">
        <v>1267594.8833715853</v>
      </c>
      <c r="F1358" s="66" t="s">
        <v>1352</v>
      </c>
      <c r="G1358" s="25">
        <f t="shared" si="17"/>
        <v>3.6086607858860642E-3</v>
      </c>
    </row>
    <row r="1359" spans="1:7">
      <c r="A1359" s="66">
        <v>99.791634085445338</v>
      </c>
      <c r="B1359" s="66">
        <v>100.32891406261638</v>
      </c>
      <c r="C1359" s="66">
        <v>99.259352061550317</v>
      </c>
      <c r="D1359" s="66">
        <v>99.584219024490935</v>
      </c>
      <c r="E1359" s="66">
        <v>1150246.847563562</v>
      </c>
      <c r="F1359" s="66" t="s">
        <v>1353</v>
      </c>
      <c r="G1359" s="25">
        <f t="shared" si="17"/>
        <v>2.0828105395231944E-3</v>
      </c>
    </row>
    <row r="1360" spans="1:7">
      <c r="A1360" s="66">
        <v>99.83911464156742</v>
      </c>
      <c r="B1360" s="66">
        <v>100.75623906771519</v>
      </c>
      <c r="C1360" s="66">
        <v>99.145648624521101</v>
      </c>
      <c r="D1360" s="66">
        <v>100.14149081476602</v>
      </c>
      <c r="E1360" s="66">
        <v>1285598.2529572733</v>
      </c>
      <c r="F1360" s="66" t="s">
        <v>1354</v>
      </c>
      <c r="G1360" s="25">
        <f t="shared" si="17"/>
        <v>-3.0194894317870924E-3</v>
      </c>
    </row>
    <row r="1361" spans="1:7">
      <c r="A1361" s="66">
        <v>99.959065520191658</v>
      </c>
      <c r="B1361" s="66">
        <v>100.12149900166196</v>
      </c>
      <c r="C1361" s="66">
        <v>97.807446634869535</v>
      </c>
      <c r="D1361" s="66">
        <v>97.934894443407771</v>
      </c>
      <c r="E1361" s="66">
        <v>1383874.4818203335</v>
      </c>
      <c r="F1361" s="66" t="s">
        <v>1355</v>
      </c>
      <c r="G1361" s="25">
        <f t="shared" si="17"/>
        <v>2.0668537892319483E-2</v>
      </c>
    </row>
    <row r="1362" spans="1:7">
      <c r="A1362" s="66">
        <v>97.722481429177378</v>
      </c>
      <c r="B1362" s="66">
        <v>98.432190794370726</v>
      </c>
      <c r="C1362" s="66">
        <v>96.897819138635796</v>
      </c>
      <c r="D1362" s="66">
        <v>97.597532597277137</v>
      </c>
      <c r="E1362" s="66">
        <v>755053.07704936701</v>
      </c>
      <c r="F1362" s="66" t="s">
        <v>1356</v>
      </c>
      <c r="G1362" s="25">
        <f t="shared" si="17"/>
        <v>1.2802458071949907E-3</v>
      </c>
    </row>
    <row r="1363" spans="1:7">
      <c r="A1363" s="66">
        <v>97.682497802969294</v>
      </c>
      <c r="B1363" s="66">
        <v>97.95988420978783</v>
      </c>
      <c r="C1363" s="66">
        <v>96.37140970984008</v>
      </c>
      <c r="D1363" s="66">
        <v>96.737884633803489</v>
      </c>
      <c r="E1363" s="66">
        <v>708962.20999269828</v>
      </c>
      <c r="F1363" s="66" t="s">
        <v>1357</v>
      </c>
      <c r="G1363" s="25">
        <f t="shared" si="17"/>
        <v>9.7646663738988337E-3</v>
      </c>
    </row>
    <row r="1364" spans="1:7">
      <c r="A1364" s="66">
        <v>96.96529150786192</v>
      </c>
      <c r="B1364" s="66">
        <v>97.157712708988299</v>
      </c>
      <c r="C1364" s="66">
        <v>96.37803199793079</v>
      </c>
      <c r="D1364" s="66">
        <v>96.475492086812977</v>
      </c>
      <c r="E1364" s="66">
        <v>912577.55887657381</v>
      </c>
      <c r="F1364" s="66" t="s">
        <v>1358</v>
      </c>
      <c r="G1364" s="25">
        <f t="shared" si="17"/>
        <v>5.0769310469875872E-3</v>
      </c>
    </row>
    <row r="1365" spans="1:7">
      <c r="A1365" s="66">
        <v>96.472993110174983</v>
      </c>
      <c r="B1365" s="66">
        <v>96.472993110174983</v>
      </c>
      <c r="C1365" s="66">
        <v>94.98860098720013</v>
      </c>
      <c r="D1365" s="66">
        <v>95.680817515927458</v>
      </c>
      <c r="E1365" s="66">
        <v>1109806.293433097</v>
      </c>
      <c r="F1365" s="66" t="s">
        <v>1359</v>
      </c>
      <c r="G1365" s="25">
        <f t="shared" si="17"/>
        <v>8.279356456331044E-3</v>
      </c>
    </row>
    <row r="1366" spans="1:7">
      <c r="A1366" s="66">
        <v>95.216007861258561</v>
      </c>
      <c r="B1366" s="66">
        <v>96.935303788205857</v>
      </c>
      <c r="C1366" s="66">
        <v>95.076065169530295</v>
      </c>
      <c r="D1366" s="66">
        <v>95.983193689126026</v>
      </c>
      <c r="E1366" s="66">
        <v>1299932.1204513684</v>
      </c>
      <c r="F1366" s="66" t="s">
        <v>1360</v>
      </c>
      <c r="G1366" s="25">
        <f t="shared" si="17"/>
        <v>-7.9929183264338954E-3</v>
      </c>
    </row>
    <row r="1367" spans="1:7">
      <c r="A1367" s="66">
        <v>95.633336959805362</v>
      </c>
      <c r="B1367" s="66">
        <v>97.200195311834364</v>
      </c>
      <c r="C1367" s="66">
        <v>95.228502744448591</v>
      </c>
      <c r="D1367" s="66">
        <v>96.570453199057155</v>
      </c>
      <c r="E1367" s="66">
        <v>1419497.0637389363</v>
      </c>
      <c r="F1367" s="66" t="s">
        <v>1361</v>
      </c>
      <c r="G1367" s="25">
        <f t="shared" si="17"/>
        <v>-9.7039643929199837E-3</v>
      </c>
    </row>
    <row r="1368" spans="1:7">
      <c r="A1368" s="66">
        <v>97.282661540888526</v>
      </c>
      <c r="B1368" s="66">
        <v>97.671252408098283</v>
      </c>
      <c r="C1368" s="66">
        <v>96.76287440018352</v>
      </c>
      <c r="D1368" s="66">
        <v>97.190199405282357</v>
      </c>
      <c r="E1368" s="66">
        <v>1474371.5263147391</v>
      </c>
      <c r="F1368" s="66" t="s">
        <v>1362</v>
      </c>
      <c r="G1368" s="25">
        <f t="shared" si="17"/>
        <v>9.5135246323141409E-4</v>
      </c>
    </row>
    <row r="1369" spans="1:7">
      <c r="A1369" s="66">
        <v>96.895320161997788</v>
      </c>
      <c r="B1369" s="66">
        <v>97.290158470802538</v>
      </c>
      <c r="C1369" s="66">
        <v>96.508628517032932</v>
      </c>
      <c r="D1369" s="66">
        <v>97.142718849160261</v>
      </c>
      <c r="E1369" s="66">
        <v>965923.39571738394</v>
      </c>
      <c r="F1369" s="66" t="s">
        <v>1363</v>
      </c>
      <c r="G1369" s="25">
        <f t="shared" si="17"/>
        <v>-2.5467548169680887E-3</v>
      </c>
    </row>
    <row r="1370" spans="1:7">
      <c r="A1370" s="66">
        <v>96.333050418446703</v>
      </c>
      <c r="B1370" s="66">
        <v>96.812853932943639</v>
      </c>
      <c r="C1370" s="66">
        <v>95.209760419663553</v>
      </c>
      <c r="D1370" s="66">
        <v>95.85574588058779</v>
      </c>
      <c r="E1370" s="66">
        <v>1007760.5215272009</v>
      </c>
      <c r="F1370" s="66" t="s">
        <v>1364</v>
      </c>
      <c r="G1370" s="25">
        <f t="shared" si="17"/>
        <v>4.9794045570676904E-3</v>
      </c>
    </row>
    <row r="1371" spans="1:7">
      <c r="A1371" s="66">
        <v>95.983193689126026</v>
      </c>
      <c r="B1371" s="66">
        <v>97.495074555118933</v>
      </c>
      <c r="C1371" s="66">
        <v>95.216007861258561</v>
      </c>
      <c r="D1371" s="66">
        <v>96.482989016726989</v>
      </c>
      <c r="E1371" s="66">
        <v>1097613.3022956019</v>
      </c>
      <c r="F1371" s="66" t="s">
        <v>1365</v>
      </c>
      <c r="G1371" s="25">
        <f t="shared" si="17"/>
        <v>-5.1801393457484579E-3</v>
      </c>
    </row>
    <row r="1372" spans="1:7">
      <c r="A1372" s="66">
        <v>96.183111820166417</v>
      </c>
      <c r="B1372" s="66">
        <v>96.472993110174983</v>
      </c>
      <c r="C1372" s="66">
        <v>95.518384034457142</v>
      </c>
      <c r="D1372" s="66">
        <v>95.583357427045271</v>
      </c>
      <c r="E1372" s="66">
        <v>728582.24135047279</v>
      </c>
      <c r="F1372" s="66" t="s">
        <v>1366</v>
      </c>
      <c r="G1372" s="25">
        <f t="shared" si="17"/>
        <v>6.2746738476822106E-3</v>
      </c>
    </row>
    <row r="1373" spans="1:7">
      <c r="A1373" s="66">
        <v>96.115639450940293</v>
      </c>
      <c r="B1373" s="66">
        <v>96.571952585039966</v>
      </c>
      <c r="C1373" s="66">
        <v>94.836163412281834</v>
      </c>
      <c r="D1373" s="66">
        <v>95.280981253846676</v>
      </c>
      <c r="E1373" s="66">
        <v>932977.90965404361</v>
      </c>
      <c r="F1373" s="66" t="s">
        <v>1367</v>
      </c>
      <c r="G1373" s="25">
        <f t="shared" si="17"/>
        <v>8.7599664288713353E-3</v>
      </c>
    </row>
    <row r="1374" spans="1:7">
      <c r="A1374" s="66">
        <v>95.923218249813928</v>
      </c>
      <c r="B1374" s="66">
        <v>95.933214156365935</v>
      </c>
      <c r="C1374" s="66">
        <v>94.831165459005831</v>
      </c>
      <c r="D1374" s="66">
        <v>95.705807282307504</v>
      </c>
      <c r="E1374" s="66">
        <v>990077.28298549063</v>
      </c>
      <c r="F1374" s="66" t="s">
        <v>1368</v>
      </c>
      <c r="G1374" s="25">
        <f t="shared" si="17"/>
        <v>2.2716590944698023E-3</v>
      </c>
    </row>
    <row r="1375" spans="1:7">
      <c r="A1375" s="66">
        <v>95.565864590579238</v>
      </c>
      <c r="B1375" s="66">
        <v>95.723300118773537</v>
      </c>
      <c r="C1375" s="66">
        <v>93.881554336564008</v>
      </c>
      <c r="D1375" s="66">
        <v>94.618752444775424</v>
      </c>
      <c r="E1375" s="66">
        <v>831312.29336287093</v>
      </c>
      <c r="F1375" s="66" t="s">
        <v>1369</v>
      </c>
      <c r="G1375" s="25">
        <f t="shared" si="17"/>
        <v>1.0009772072999912E-2</v>
      </c>
    </row>
    <row r="1376" spans="1:7">
      <c r="A1376" s="66">
        <v>95.03858051996022</v>
      </c>
      <c r="B1376" s="66">
        <v>96.316807070299674</v>
      </c>
      <c r="C1376" s="66">
        <v>94.478809753047145</v>
      </c>
      <c r="D1376" s="66">
        <v>95.795770441275664</v>
      </c>
      <c r="E1376" s="66">
        <v>1181143.494945446</v>
      </c>
      <c r="F1376" s="66" t="s">
        <v>1370</v>
      </c>
      <c r="G1376" s="25">
        <f t="shared" si="17"/>
        <v>-7.904210361558861E-3</v>
      </c>
    </row>
    <row r="1377" spans="1:7">
      <c r="A1377" s="66">
        <v>95.795770441275664</v>
      </c>
      <c r="B1377" s="66">
        <v>97.420105255978783</v>
      </c>
      <c r="C1377" s="66">
        <v>95.493394268077097</v>
      </c>
      <c r="D1377" s="66">
        <v>96.77536928337355</v>
      </c>
      <c r="E1377" s="66">
        <v>1213964.930229245</v>
      </c>
      <c r="F1377" s="66" t="s">
        <v>1371</v>
      </c>
      <c r="G1377" s="25">
        <f t="shared" si="17"/>
        <v>-1.0122398388679565E-2</v>
      </c>
    </row>
    <row r="1378" spans="1:7">
      <c r="A1378" s="66">
        <v>96.552960362591136</v>
      </c>
      <c r="B1378" s="66">
        <v>97.01777001726002</v>
      </c>
      <c r="C1378" s="66">
        <v>94.98860098720013</v>
      </c>
      <c r="D1378" s="66">
        <v>95.965700852659992</v>
      </c>
      <c r="E1378" s="66">
        <v>1421489.8794876966</v>
      </c>
      <c r="F1378" s="66" t="s">
        <v>1372</v>
      </c>
      <c r="G1378" s="25">
        <f t="shared" si="17"/>
        <v>6.1194729441176321E-3</v>
      </c>
    </row>
    <row r="1379" spans="1:7">
      <c r="A1379" s="66">
        <v>95.965700852659992</v>
      </c>
      <c r="B1379" s="66">
        <v>96.532968549487094</v>
      </c>
      <c r="C1379" s="66">
        <v>94.381349664164972</v>
      </c>
      <c r="D1379" s="66">
        <v>94.381349664164972</v>
      </c>
      <c r="E1379" s="66">
        <v>1904983.7952070013</v>
      </c>
      <c r="F1379" s="66" t="s">
        <v>1373</v>
      </c>
      <c r="G1379" s="25">
        <f t="shared" si="17"/>
        <v>1.678669773353092E-2</v>
      </c>
    </row>
    <row r="1380" spans="1:7">
      <c r="A1380" s="66">
        <v>94.656237094345485</v>
      </c>
      <c r="B1380" s="66">
        <v>96.320555535256688</v>
      </c>
      <c r="C1380" s="66">
        <v>93.859063546821957</v>
      </c>
      <c r="D1380" s="66">
        <v>93.859063546821957</v>
      </c>
      <c r="E1380" s="66">
        <v>1472906.926788542</v>
      </c>
      <c r="F1380" s="66" t="s">
        <v>1374</v>
      </c>
      <c r="G1380" s="25">
        <f t="shared" si="17"/>
        <v>8.4933038685801598E-3</v>
      </c>
    </row>
    <row r="1381" spans="1:7">
      <c r="A1381" s="66">
        <v>93.891550243116029</v>
      </c>
      <c r="B1381" s="66">
        <v>95.345954646434819</v>
      </c>
      <c r="C1381" s="66">
        <v>93.584176116641444</v>
      </c>
      <c r="D1381" s="66">
        <v>94.74620025331366</v>
      </c>
      <c r="E1381" s="66">
        <v>1233873.0795265993</v>
      </c>
      <c r="F1381" s="66" t="s">
        <v>1375</v>
      </c>
      <c r="G1381" s="25">
        <f t="shared" si="17"/>
        <v>-9.0204146225667525E-3</v>
      </c>
    </row>
    <row r="1382" spans="1:7">
      <c r="A1382" s="66">
        <v>95.508388127905121</v>
      </c>
      <c r="B1382" s="66">
        <v>98.292248102642461</v>
      </c>
      <c r="C1382" s="66">
        <v>95.183521164964503</v>
      </c>
      <c r="D1382" s="66">
        <v>96.600440918713218</v>
      </c>
      <c r="E1382" s="66">
        <v>978276.45237686799</v>
      </c>
      <c r="F1382" s="66" t="s">
        <v>1376</v>
      </c>
      <c r="G1382" s="25">
        <f t="shared" si="17"/>
        <v>-1.13048427152318E-2</v>
      </c>
    </row>
    <row r="1383" spans="1:7">
      <c r="A1383" s="66">
        <v>96.717892820699433</v>
      </c>
      <c r="B1383" s="66">
        <v>96.845340629237697</v>
      </c>
      <c r="C1383" s="66">
        <v>94.036490888120312</v>
      </c>
      <c r="D1383" s="66">
        <v>94.036490888120312</v>
      </c>
      <c r="E1383" s="66">
        <v>1237850.7077480205</v>
      </c>
      <c r="F1383" s="66" t="s">
        <v>1377</v>
      </c>
      <c r="G1383" s="25">
        <f t="shared" si="17"/>
        <v>2.8514483125165802E-2</v>
      </c>
    </row>
    <row r="1384" spans="1:7">
      <c r="A1384" s="66">
        <v>94.058981677862349</v>
      </c>
      <c r="B1384" s="66">
        <v>95.250993534190641</v>
      </c>
      <c r="C1384" s="66">
        <v>93.484217051121234</v>
      </c>
      <c r="D1384" s="66">
        <v>94.848658295471864</v>
      </c>
      <c r="E1384" s="66">
        <v>1045523.9798024036</v>
      </c>
      <c r="F1384" s="66" t="s">
        <v>1378</v>
      </c>
      <c r="G1384" s="25">
        <f t="shared" si="17"/>
        <v>-8.3256487946252733E-3</v>
      </c>
    </row>
    <row r="1385" spans="1:7">
      <c r="A1385" s="66">
        <v>94.866151131937897</v>
      </c>
      <c r="B1385" s="66">
        <v>97.706238081030349</v>
      </c>
      <c r="C1385" s="66">
        <v>94.661235047621503</v>
      </c>
      <c r="D1385" s="66">
        <v>95.835754067483748</v>
      </c>
      <c r="E1385" s="66">
        <v>930384.84819782537</v>
      </c>
      <c r="F1385" s="66" t="s">
        <v>1379</v>
      </c>
      <c r="G1385" s="25">
        <f t="shared" si="17"/>
        <v>-1.0117340286831755E-2</v>
      </c>
    </row>
    <row r="1386" spans="1:7">
      <c r="A1386" s="66">
        <v>95.698310352393491</v>
      </c>
      <c r="B1386" s="66">
        <v>96.647921474835314</v>
      </c>
      <c r="C1386" s="66">
        <v>95.32096488005476</v>
      </c>
      <c r="D1386" s="66">
        <v>95.888232576881848</v>
      </c>
      <c r="E1386" s="66">
        <v>944370.57318159495</v>
      </c>
      <c r="F1386" s="66" t="s">
        <v>1380</v>
      </c>
      <c r="G1386" s="25">
        <f t="shared" si="17"/>
        <v>-1.9806624794765915E-3</v>
      </c>
    </row>
    <row r="1387" spans="1:7">
      <c r="A1387" s="66">
        <v>95.555868684027217</v>
      </c>
      <c r="B1387" s="66">
        <v>97.882415934009671</v>
      </c>
      <c r="C1387" s="66">
        <v>95.490895291439088</v>
      </c>
      <c r="D1387" s="66">
        <v>96.460498226984953</v>
      </c>
      <c r="E1387" s="66">
        <v>1259927.7448683227</v>
      </c>
      <c r="F1387" s="66" t="s">
        <v>1381</v>
      </c>
      <c r="G1387" s="25">
        <f t="shared" si="17"/>
        <v>-9.3782383419689364E-3</v>
      </c>
    </row>
    <row r="1388" spans="1:7">
      <c r="A1388" s="66">
        <v>96.330551441808709</v>
      </c>
      <c r="B1388" s="66">
        <v>98.582129392651026</v>
      </c>
      <c r="C1388" s="66">
        <v>95.910723366623898</v>
      </c>
      <c r="D1388" s="66">
        <v>96.460498226984953</v>
      </c>
      <c r="E1388" s="66">
        <v>2277500.282893436</v>
      </c>
      <c r="F1388" s="66" t="s">
        <v>1382</v>
      </c>
      <c r="G1388" s="25">
        <f t="shared" si="17"/>
        <v>-1.3471502590672868E-3</v>
      </c>
    </row>
    <row r="1389" spans="1:7">
      <c r="A1389" s="66">
        <v>97.002776157431995</v>
      </c>
      <c r="B1389" s="66">
        <v>100.43886903468858</v>
      </c>
      <c r="C1389" s="66">
        <v>94.098965304070433</v>
      </c>
      <c r="D1389" s="66">
        <v>98.424693864456714</v>
      </c>
      <c r="E1389" s="66">
        <v>2799397.9189758985</v>
      </c>
      <c r="F1389" s="66" t="s">
        <v>1383</v>
      </c>
      <c r="G1389" s="25">
        <f t="shared" si="17"/>
        <v>-1.4446757731173432E-2</v>
      </c>
    </row>
    <row r="1390" spans="1:7">
      <c r="A1390" s="66">
        <v>92.851975961706032</v>
      </c>
      <c r="B1390" s="66">
        <v>96.163120007062375</v>
      </c>
      <c r="C1390" s="66">
        <v>91.97483516176635</v>
      </c>
      <c r="D1390" s="66">
        <v>96.163120007062375</v>
      </c>
      <c r="E1390" s="66">
        <v>1847432.2367759359</v>
      </c>
      <c r="F1390" s="66" t="s">
        <v>1384</v>
      </c>
      <c r="G1390" s="25">
        <f t="shared" si="17"/>
        <v>-3.4432577115979246E-2</v>
      </c>
    </row>
    <row r="1391" spans="1:7">
      <c r="A1391" s="66">
        <v>95.238498651000612</v>
      </c>
      <c r="B1391" s="66">
        <v>96.840342675961679</v>
      </c>
      <c r="C1391" s="66">
        <v>95.014840241899179</v>
      </c>
      <c r="D1391" s="66">
        <v>96.49298492327901</v>
      </c>
      <c r="E1391" s="66">
        <v>1023450.944320151</v>
      </c>
      <c r="F1391" s="66" t="s">
        <v>1385</v>
      </c>
      <c r="G1391" s="25">
        <f t="shared" si="17"/>
        <v>-1.3000802838422199E-2</v>
      </c>
    </row>
    <row r="1392" spans="1:7">
      <c r="A1392" s="66">
        <v>96.940301741481875</v>
      </c>
      <c r="B1392" s="66">
        <v>97.407610372788767</v>
      </c>
      <c r="C1392" s="66">
        <v>96.093148661198242</v>
      </c>
      <c r="D1392" s="66">
        <v>97.407610372788767</v>
      </c>
      <c r="E1392" s="66">
        <v>755957.44724860368</v>
      </c>
      <c r="F1392" s="66" t="s">
        <v>1386</v>
      </c>
      <c r="G1392" s="25">
        <f t="shared" si="17"/>
        <v>-4.7974550398932614E-3</v>
      </c>
    </row>
    <row r="1393" spans="1:7">
      <c r="A1393" s="66">
        <v>97.672501896417273</v>
      </c>
      <c r="B1393" s="66">
        <v>98.971969748179774</v>
      </c>
      <c r="C1393" s="66">
        <v>96.585447058885194</v>
      </c>
      <c r="D1393" s="66">
        <v>96.900318115273791</v>
      </c>
      <c r="E1393" s="66">
        <v>1246426.2180885694</v>
      </c>
      <c r="F1393" s="66" t="s">
        <v>1387</v>
      </c>
      <c r="G1393" s="25">
        <f t="shared" si="17"/>
        <v>7.9688467093046444E-3</v>
      </c>
    </row>
    <row r="1394" spans="1:7">
      <c r="A1394" s="66">
        <v>96.49298492327901</v>
      </c>
      <c r="B1394" s="66">
        <v>98.432190794370726</v>
      </c>
      <c r="C1394" s="66">
        <v>96.388027904482811</v>
      </c>
      <c r="D1394" s="66">
        <v>98.432190794370726</v>
      </c>
      <c r="E1394" s="66">
        <v>1189338.8496712714</v>
      </c>
      <c r="F1394" s="66" t="s">
        <v>1388</v>
      </c>
      <c r="G1394" s="25">
        <f t="shared" si="17"/>
        <v>-1.9700931732209437E-2</v>
      </c>
    </row>
    <row r="1395" spans="1:7">
      <c r="A1395" s="66">
        <v>97.992370906081888</v>
      </c>
      <c r="B1395" s="66">
        <v>98.674591528257196</v>
      </c>
      <c r="C1395" s="66">
        <v>96.887823232083761</v>
      </c>
      <c r="D1395" s="66">
        <v>98.187291083846262</v>
      </c>
      <c r="E1395" s="66">
        <v>1277839.076778867</v>
      </c>
      <c r="F1395" s="66" t="s">
        <v>1389</v>
      </c>
      <c r="G1395" s="25">
        <f t="shared" si="17"/>
        <v>-1.9851874475070863E-3</v>
      </c>
    </row>
    <row r="1396" spans="1:7">
      <c r="A1396" s="66">
        <v>98.10232587815409</v>
      </c>
      <c r="B1396" s="66">
        <v>99.17438685585816</v>
      </c>
      <c r="C1396" s="66">
        <v>97.787454821765493</v>
      </c>
      <c r="D1396" s="66">
        <v>97.857426167629626</v>
      </c>
      <c r="E1396" s="66">
        <v>922221.50657639769</v>
      </c>
      <c r="F1396" s="66" t="s">
        <v>1390</v>
      </c>
      <c r="G1396" s="25">
        <f t="shared" si="17"/>
        <v>2.5026175336448908E-3</v>
      </c>
    </row>
    <row r="1397" spans="1:7">
      <c r="A1397" s="66">
        <v>97.819941518059551</v>
      </c>
      <c r="B1397" s="66">
        <v>98.562137579546985</v>
      </c>
      <c r="C1397" s="66">
        <v>97.146467314117274</v>
      </c>
      <c r="D1397" s="66">
        <v>97.877417980733668</v>
      </c>
      <c r="E1397" s="66">
        <v>1228999.0843820411</v>
      </c>
      <c r="F1397" s="66" t="s">
        <v>1391</v>
      </c>
      <c r="G1397" s="25">
        <f t="shared" si="17"/>
        <v>-5.8722904485930538E-4</v>
      </c>
    </row>
    <row r="1398" spans="1:7">
      <c r="A1398" s="66">
        <v>97.627520316933186</v>
      </c>
      <c r="B1398" s="66">
        <v>97.874919004095673</v>
      </c>
      <c r="C1398" s="66">
        <v>96.365537114740775</v>
      </c>
      <c r="D1398" s="66">
        <v>96.872829372255737</v>
      </c>
      <c r="E1398" s="66">
        <v>866178.56569007656</v>
      </c>
      <c r="F1398" s="66" t="s">
        <v>1392</v>
      </c>
      <c r="G1398" s="25">
        <f t="shared" si="17"/>
        <v>7.790532697020458E-3</v>
      </c>
    </row>
    <row r="1399" spans="1:7">
      <c r="A1399" s="66">
        <v>97.087741363124152</v>
      </c>
      <c r="B1399" s="66">
        <v>98.317237869022506</v>
      </c>
      <c r="C1399" s="66">
        <v>95.720801142135542</v>
      </c>
      <c r="D1399" s="66">
        <v>97.4251032092548</v>
      </c>
      <c r="E1399" s="66">
        <v>1348596.0407740066</v>
      </c>
      <c r="F1399" s="66" t="s">
        <v>1393</v>
      </c>
      <c r="G1399" s="25">
        <f t="shared" si="17"/>
        <v>-3.4627815113117411E-3</v>
      </c>
    </row>
    <row r="1400" spans="1:7">
      <c r="A1400" s="66">
        <v>97.147716802436264</v>
      </c>
      <c r="B1400" s="66">
        <v>97.361379304985689</v>
      </c>
      <c r="C1400" s="66">
        <v>95.237249162681607</v>
      </c>
      <c r="D1400" s="66">
        <v>95.915721319899902</v>
      </c>
      <c r="E1400" s="66">
        <v>1039001.3097813609</v>
      </c>
      <c r="F1400" s="66" t="s">
        <v>1394</v>
      </c>
      <c r="G1400" s="25">
        <f t="shared" ref="G1400:G1463" si="18">A1400/D1400-1</f>
        <v>1.2844562555364591E-2</v>
      </c>
    </row>
    <row r="1401" spans="1:7">
      <c r="A1401" s="66">
        <v>96.123136380854305</v>
      </c>
      <c r="B1401" s="66">
        <v>96.792862119839583</v>
      </c>
      <c r="C1401" s="66">
        <v>95.023586660132196</v>
      </c>
      <c r="D1401" s="66">
        <v>96.093148661198242</v>
      </c>
      <c r="E1401" s="66">
        <v>615083.78134627955</v>
      </c>
      <c r="F1401" s="66" t="s">
        <v>1395</v>
      </c>
      <c r="G1401" s="25">
        <f t="shared" si="18"/>
        <v>3.1206927938010054E-4</v>
      </c>
    </row>
    <row r="1402" spans="1:7">
      <c r="A1402" s="66">
        <v>96.575451152333173</v>
      </c>
      <c r="B1402" s="66">
        <v>97.924898536855764</v>
      </c>
      <c r="C1402" s="66">
        <v>96.313058605342675</v>
      </c>
      <c r="D1402" s="66">
        <v>97.042759783640065</v>
      </c>
      <c r="E1402" s="66">
        <v>1034223.3539499958</v>
      </c>
      <c r="F1402" s="66" t="s">
        <v>1396</v>
      </c>
      <c r="G1402" s="25">
        <f t="shared" si="18"/>
        <v>-4.8154919784718642E-3</v>
      </c>
    </row>
    <row r="1403" spans="1:7">
      <c r="A1403" s="66">
        <v>96.310559628704652</v>
      </c>
      <c r="B1403" s="66">
        <v>96.585447058885194</v>
      </c>
      <c r="C1403" s="66">
        <v>95.123545725652377</v>
      </c>
      <c r="D1403" s="66">
        <v>95.488396314801093</v>
      </c>
      <c r="E1403" s="66">
        <v>568636.76850318571</v>
      </c>
      <c r="F1403" s="66" t="s">
        <v>1397</v>
      </c>
      <c r="G1403" s="25">
        <f t="shared" si="18"/>
        <v>8.610086100860892E-3</v>
      </c>
    </row>
    <row r="1404" spans="1:7">
      <c r="A1404" s="66">
        <v>96.210600563184471</v>
      </c>
      <c r="B1404" s="66">
        <v>96.330551441808709</v>
      </c>
      <c r="C1404" s="66">
        <v>95.24099762763862</v>
      </c>
      <c r="D1404" s="66">
        <v>95.44841268859301</v>
      </c>
      <c r="E1404" s="66">
        <v>770415.36552224006</v>
      </c>
      <c r="F1404" s="66" t="s">
        <v>1398</v>
      </c>
      <c r="G1404" s="25">
        <f t="shared" si="18"/>
        <v>7.9853383950778678E-3</v>
      </c>
    </row>
    <row r="1405" spans="1:7">
      <c r="A1405" s="66">
        <v>94.708715603743599</v>
      </c>
      <c r="B1405" s="66">
        <v>96.333050418446703</v>
      </c>
      <c r="C1405" s="66">
        <v>94.451321010029091</v>
      </c>
      <c r="D1405" s="66">
        <v>95.518384034457142</v>
      </c>
      <c r="E1405" s="66">
        <v>793128.66309244779</v>
      </c>
      <c r="F1405" s="66" t="s">
        <v>1399</v>
      </c>
      <c r="G1405" s="25">
        <f t="shared" si="18"/>
        <v>-8.4765716976687999E-3</v>
      </c>
    </row>
    <row r="1406" spans="1:7">
      <c r="A1406" s="66">
        <v>95.143537538756433</v>
      </c>
      <c r="B1406" s="66">
        <v>96.284320374005617</v>
      </c>
      <c r="C1406" s="66">
        <v>94.731206393485635</v>
      </c>
      <c r="D1406" s="66">
        <v>95.933214156365935</v>
      </c>
      <c r="E1406" s="66">
        <v>904198.12880046119</v>
      </c>
      <c r="F1406" s="66" t="s">
        <v>1400</v>
      </c>
      <c r="G1406" s="25">
        <f t="shared" si="18"/>
        <v>-8.2315246555001442E-3</v>
      </c>
    </row>
    <row r="1407" spans="1:7">
      <c r="A1407" s="66">
        <v>96.190608750080443</v>
      </c>
      <c r="B1407" s="66">
        <v>97.102735222952177</v>
      </c>
      <c r="C1407" s="66">
        <v>95.848248950673778</v>
      </c>
      <c r="D1407" s="66">
        <v>96.500481853193037</v>
      </c>
      <c r="E1407" s="66">
        <v>561793.96743816545</v>
      </c>
      <c r="F1407" s="66" t="s">
        <v>1401</v>
      </c>
      <c r="G1407" s="25">
        <f t="shared" si="18"/>
        <v>-3.2111042055106287E-3</v>
      </c>
    </row>
    <row r="1408" spans="1:7">
      <c r="A1408" s="66">
        <v>96.702898960871423</v>
      </c>
      <c r="B1408" s="66">
        <v>97.949888303235795</v>
      </c>
      <c r="C1408" s="66">
        <v>96.105643544388272</v>
      </c>
      <c r="D1408" s="66">
        <v>96.685406124405375</v>
      </c>
      <c r="E1408" s="66">
        <v>1174652.8380288009</v>
      </c>
      <c r="F1408" s="66" t="s">
        <v>1402</v>
      </c>
      <c r="G1408" s="25">
        <f t="shared" si="18"/>
        <v>1.8092530369617776E-4</v>
      </c>
    </row>
    <row r="1409" spans="1:7">
      <c r="A1409" s="66">
        <v>95.988191642402043</v>
      </c>
      <c r="B1409" s="66">
        <v>96.507978783107035</v>
      </c>
      <c r="C1409" s="66">
        <v>94.13145200036449</v>
      </c>
      <c r="D1409" s="66">
        <v>94.568772912015319</v>
      </c>
      <c r="E1409" s="66">
        <v>1218806.9122694056</v>
      </c>
      <c r="F1409" s="66" t="s">
        <v>1403</v>
      </c>
      <c r="G1409" s="25">
        <f t="shared" si="18"/>
        <v>1.5009380863039379E-2</v>
      </c>
    </row>
    <row r="1410" spans="1:7">
      <c r="A1410" s="66">
        <v>93.821578897251896</v>
      </c>
      <c r="B1410" s="66">
        <v>94.401341477269</v>
      </c>
      <c r="C1410" s="66">
        <v>93.266806083614838</v>
      </c>
      <c r="D1410" s="66">
        <v>94.018998051654279</v>
      </c>
      <c r="E1410" s="66">
        <v>643371.36071974644</v>
      </c>
      <c r="F1410" s="66" t="s">
        <v>1404</v>
      </c>
      <c r="G1410" s="25">
        <f t="shared" si="18"/>
        <v>-2.0997793902666206E-3</v>
      </c>
    </row>
    <row r="1411" spans="1:7">
      <c r="A1411" s="66">
        <v>93.741611644835743</v>
      </c>
      <c r="B1411" s="66">
        <v>94.893639874955952</v>
      </c>
      <c r="C1411" s="66">
        <v>91.505027553821449</v>
      </c>
      <c r="D1411" s="66">
        <v>91.505027553821449</v>
      </c>
      <c r="E1411" s="66">
        <v>1420897.6370563381</v>
      </c>
      <c r="F1411" s="66" t="s">
        <v>1405</v>
      </c>
      <c r="G1411" s="25">
        <f t="shared" si="18"/>
        <v>2.4442198978616547E-2</v>
      </c>
    </row>
    <row r="1412" spans="1:7">
      <c r="A1412" s="66">
        <v>91.240136030192943</v>
      </c>
      <c r="B1412" s="66">
        <v>91.997325951508387</v>
      </c>
      <c r="C1412" s="66">
        <v>90.183068912316912</v>
      </c>
      <c r="D1412" s="66">
        <v>91.824896563486064</v>
      </c>
      <c r="E1412" s="66">
        <v>843205.16164663713</v>
      </c>
      <c r="F1412" s="66" t="s">
        <v>1406</v>
      </c>
      <c r="G1412" s="25">
        <f t="shared" si="18"/>
        <v>-6.3682133623622628E-3</v>
      </c>
    </row>
    <row r="1413" spans="1:7">
      <c r="A1413" s="66">
        <v>90.972745529926428</v>
      </c>
      <c r="B1413" s="66">
        <v>91.984831068318357</v>
      </c>
      <c r="C1413" s="66">
        <v>90.295522861027123</v>
      </c>
      <c r="D1413" s="66">
        <v>90.735342749315961</v>
      </c>
      <c r="E1413" s="66">
        <v>1032386.6020851745</v>
      </c>
      <c r="F1413" s="66" t="s">
        <v>1407</v>
      </c>
      <c r="G1413" s="25">
        <f t="shared" si="18"/>
        <v>2.6164311878598134E-3</v>
      </c>
    </row>
    <row r="1414" spans="1:7">
      <c r="A1414" s="66">
        <v>91.137677988034739</v>
      </c>
      <c r="B1414" s="66">
        <v>92.264716451774902</v>
      </c>
      <c r="C1414" s="66">
        <v>90.068115986968692</v>
      </c>
      <c r="D1414" s="66">
        <v>90.522929735085569</v>
      </c>
      <c r="E1414" s="66">
        <v>944622.67637872731</v>
      </c>
      <c r="F1414" s="66" t="s">
        <v>1408</v>
      </c>
      <c r="G1414" s="25">
        <f t="shared" si="18"/>
        <v>6.7910777385158383E-3</v>
      </c>
    </row>
    <row r="1415" spans="1:7">
      <c r="A1415" s="66">
        <v>90.140586309470834</v>
      </c>
      <c r="B1415" s="66">
        <v>93.041898186194388</v>
      </c>
      <c r="C1415" s="66">
        <v>89.923175341964409</v>
      </c>
      <c r="D1415" s="66">
        <v>92.087289110476561</v>
      </c>
      <c r="E1415" s="66">
        <v>1582531.8011606066</v>
      </c>
      <c r="F1415" s="66" t="s">
        <v>1409</v>
      </c>
      <c r="G1415" s="25">
        <f t="shared" si="18"/>
        <v>-2.1139755766621415E-2</v>
      </c>
    </row>
    <row r="1416" spans="1:7">
      <c r="A1416" s="66">
        <v>94.316376271576843</v>
      </c>
      <c r="B1416" s="66">
        <v>96.375533021292796</v>
      </c>
      <c r="C1416" s="66">
        <v>94.20642129950464</v>
      </c>
      <c r="D1416" s="66">
        <v>96.210600563184471</v>
      </c>
      <c r="E1416" s="66">
        <v>958780.47179863474</v>
      </c>
      <c r="F1416" s="66" t="s">
        <v>1410</v>
      </c>
      <c r="G1416" s="25">
        <f t="shared" si="18"/>
        <v>-1.9688311688311644E-2</v>
      </c>
    </row>
    <row r="1417" spans="1:7">
      <c r="A1417" s="66">
        <v>95.873238717053823</v>
      </c>
      <c r="B1417" s="66">
        <v>95.950706992831968</v>
      </c>
      <c r="C1417" s="66">
        <v>94.343865014594883</v>
      </c>
      <c r="D1417" s="66">
        <v>95.131042655566404</v>
      </c>
      <c r="E1417" s="66">
        <v>771191.68330388563</v>
      </c>
      <c r="F1417" s="66" t="s">
        <v>1411</v>
      </c>
      <c r="G1417" s="25">
        <f t="shared" si="18"/>
        <v>7.8018283072396333E-3</v>
      </c>
    </row>
    <row r="1418" spans="1:7">
      <c r="A1418" s="66">
        <v>94.961112244182075</v>
      </c>
      <c r="B1418" s="66">
        <v>96.730387703889463</v>
      </c>
      <c r="C1418" s="66">
        <v>94.313877294938848</v>
      </c>
      <c r="D1418" s="66">
        <v>94.313877294938848</v>
      </c>
      <c r="E1418" s="66">
        <v>1130370.7113706055</v>
      </c>
      <c r="F1418" s="66" t="s">
        <v>1412</v>
      </c>
      <c r="G1418" s="25">
        <f t="shared" si="18"/>
        <v>6.8625632601149178E-3</v>
      </c>
    </row>
    <row r="1419" spans="1:7">
      <c r="A1419" s="66">
        <v>94.183930509762575</v>
      </c>
      <c r="B1419" s="66">
        <v>95.810764301103703</v>
      </c>
      <c r="C1419" s="66">
        <v>93.079382835764477</v>
      </c>
      <c r="D1419" s="66">
        <v>95.72829807204954</v>
      </c>
      <c r="E1419" s="66">
        <v>903986.04198382609</v>
      </c>
      <c r="F1419" s="66" t="s">
        <v>1413</v>
      </c>
      <c r="G1419" s="25">
        <f t="shared" si="18"/>
        <v>-1.6132821677500186E-2</v>
      </c>
    </row>
    <row r="1420" spans="1:7">
      <c r="A1420" s="66">
        <v>96.143128193958376</v>
      </c>
      <c r="B1420" s="66">
        <v>97.311308681292701</v>
      </c>
      <c r="C1420" s="66">
        <v>95.217329540359728</v>
      </c>
      <c r="D1420" s="66">
        <v>96.70285531516241</v>
      </c>
      <c r="E1420" s="66">
        <v>1020961.4977575514</v>
      </c>
      <c r="F1420" s="66" t="s">
        <v>1414</v>
      </c>
      <c r="G1420" s="25">
        <f t="shared" si="18"/>
        <v>-5.7881136950903578E-3</v>
      </c>
    </row>
    <row r="1421" spans="1:7">
      <c r="A1421" s="66">
        <v>96.807804150388179</v>
      </c>
      <c r="B1421" s="66">
        <v>97.270078781739713</v>
      </c>
      <c r="C1421" s="66">
        <v>94.593883483482898</v>
      </c>
      <c r="D1421" s="66">
        <v>95.316031421107752</v>
      </c>
      <c r="E1421" s="66">
        <v>1909918.671977838</v>
      </c>
      <c r="F1421" s="66" t="s">
        <v>1415</v>
      </c>
      <c r="G1421" s="25">
        <f t="shared" si="18"/>
        <v>1.5650806134486883E-2</v>
      </c>
    </row>
    <row r="1422" spans="1:7">
      <c r="A1422" s="66">
        <v>94.176586924370952</v>
      </c>
      <c r="B1422" s="66">
        <v>94.606377392438347</v>
      </c>
      <c r="C1422" s="66">
        <v>92.787264248525219</v>
      </c>
      <c r="D1422" s="66">
        <v>93.824258691827353</v>
      </c>
      <c r="E1422" s="66">
        <v>995645.16152299813</v>
      </c>
      <c r="F1422" s="66" t="s">
        <v>1416</v>
      </c>
      <c r="G1422" s="25">
        <f t="shared" si="18"/>
        <v>3.7551933525086234E-3</v>
      </c>
    </row>
    <row r="1423" spans="1:7">
      <c r="A1423" s="66">
        <v>93.741798892721391</v>
      </c>
      <c r="B1423" s="66">
        <v>95.378500965884996</v>
      </c>
      <c r="C1423" s="66">
        <v>93.491920713612444</v>
      </c>
      <c r="D1423" s="66">
        <v>95.33602167543647</v>
      </c>
      <c r="E1423" s="66">
        <v>888300.85440642841</v>
      </c>
      <c r="F1423" s="66" t="s">
        <v>1417</v>
      </c>
      <c r="G1423" s="25">
        <f t="shared" si="18"/>
        <v>-1.6722145047571635E-2</v>
      </c>
    </row>
    <row r="1424" spans="1:7">
      <c r="A1424" s="66">
        <v>95.393493656631534</v>
      </c>
      <c r="B1424" s="66">
        <v>95.588398636336521</v>
      </c>
      <c r="C1424" s="66">
        <v>89.958643261011929</v>
      </c>
      <c r="D1424" s="66">
        <v>90.138555549970391</v>
      </c>
      <c r="E1424" s="66">
        <v>1943767.1657925472</v>
      </c>
      <c r="F1424" s="66" t="s">
        <v>1418</v>
      </c>
      <c r="G1424" s="25">
        <f t="shared" si="18"/>
        <v>5.8298450364538512E-2</v>
      </c>
    </row>
    <row r="1425" spans="1:7">
      <c r="A1425" s="66">
        <v>89.458886902794049</v>
      </c>
      <c r="B1425" s="66">
        <v>90.131059204597108</v>
      </c>
      <c r="C1425" s="66">
        <v>88.474366877104799</v>
      </c>
      <c r="D1425" s="66">
        <v>89.546344265482176</v>
      </c>
      <c r="E1425" s="66">
        <v>1469500.0632284209</v>
      </c>
      <c r="F1425" s="66" t="s">
        <v>1419</v>
      </c>
      <c r="G1425" s="25">
        <f t="shared" si="18"/>
        <v>-9.7667150351599119E-4</v>
      </c>
    </row>
    <row r="1426" spans="1:7">
      <c r="A1426" s="66">
        <v>89.868687116532712</v>
      </c>
      <c r="B1426" s="66">
        <v>90.625817999232822</v>
      </c>
      <c r="C1426" s="66">
        <v>89.588823555930688</v>
      </c>
      <c r="D1426" s="66">
        <v>90.388433729079338</v>
      </c>
      <c r="E1426" s="66">
        <v>1287579.4162871754</v>
      </c>
      <c r="F1426" s="66" t="s">
        <v>1420</v>
      </c>
      <c r="G1426" s="25">
        <f t="shared" si="18"/>
        <v>-5.7501451358750177E-3</v>
      </c>
    </row>
    <row r="1427" spans="1:7">
      <c r="A1427" s="66">
        <v>90.763250997742745</v>
      </c>
      <c r="B1427" s="66">
        <v>92.256273117918695</v>
      </c>
      <c r="C1427" s="66">
        <v>89.808716353546572</v>
      </c>
      <c r="D1427" s="66">
        <v>91.175549993272512</v>
      </c>
      <c r="E1427" s="66">
        <v>1398085.263970501</v>
      </c>
      <c r="F1427" s="66" t="s">
        <v>1421</v>
      </c>
      <c r="G1427" s="25">
        <f t="shared" si="18"/>
        <v>-4.5220346415260071E-3</v>
      </c>
    </row>
    <row r="1428" spans="1:7">
      <c r="A1428" s="66">
        <v>91.220528065512127</v>
      </c>
      <c r="B1428" s="66">
        <v>92.777793865536992</v>
      </c>
      <c r="C1428" s="66">
        <v>90.688287544010066</v>
      </c>
      <c r="D1428" s="66">
        <v>91.662812442534957</v>
      </c>
      <c r="E1428" s="66">
        <v>872861.33098042361</v>
      </c>
      <c r="F1428" s="66" t="s">
        <v>1422</v>
      </c>
      <c r="G1428" s="25">
        <f t="shared" si="18"/>
        <v>-4.8251233541422023E-3</v>
      </c>
    </row>
    <row r="1429" spans="1:7">
      <c r="A1429" s="66">
        <v>91.532875789398304</v>
      </c>
      <c r="B1429" s="66">
        <v>91.802744222835969</v>
      </c>
      <c r="C1429" s="66">
        <v>90.255998294151581</v>
      </c>
      <c r="D1429" s="66">
        <v>90.343455656839723</v>
      </c>
      <c r="E1429" s="66">
        <v>831945.39331648569</v>
      </c>
      <c r="F1429" s="66" t="s">
        <v>1423</v>
      </c>
      <c r="G1429" s="25">
        <f t="shared" si="18"/>
        <v>1.3165537270086958E-2</v>
      </c>
    </row>
    <row r="1430" spans="1:7">
      <c r="A1430" s="66">
        <v>90.323465402511005</v>
      </c>
      <c r="B1430" s="66">
        <v>90.8681998329685</v>
      </c>
      <c r="C1430" s="66">
        <v>89.097812933981615</v>
      </c>
      <c r="D1430" s="66">
        <v>89.38892101264355</v>
      </c>
      <c r="E1430" s="66">
        <v>682112.38215276913</v>
      </c>
      <c r="F1430" s="66" t="s">
        <v>1424</v>
      </c>
      <c r="G1430" s="25">
        <f t="shared" si="18"/>
        <v>1.0454812288597459E-2</v>
      </c>
    </row>
    <row r="1431" spans="1:7">
      <c r="A1431" s="66">
        <v>89.271478268462332</v>
      </c>
      <c r="B1431" s="66">
        <v>91.712788078356738</v>
      </c>
      <c r="C1431" s="66">
        <v>88.210745398144851</v>
      </c>
      <c r="D1431" s="66">
        <v>91.205535374765589</v>
      </c>
      <c r="E1431" s="66">
        <v>1133016.1001235787</v>
      </c>
      <c r="F1431" s="66" t="s">
        <v>1425</v>
      </c>
      <c r="G1431" s="25">
        <f t="shared" si="18"/>
        <v>-2.1205479452054865E-2</v>
      </c>
    </row>
    <row r="1432" spans="1:7">
      <c r="A1432" s="66">
        <v>90.785740033862552</v>
      </c>
      <c r="B1432" s="66">
        <v>90.830718106102168</v>
      </c>
      <c r="C1432" s="66">
        <v>88.574318148748375</v>
      </c>
      <c r="D1432" s="66">
        <v>89.273977050253421</v>
      </c>
      <c r="E1432" s="66">
        <v>634173.02209053189</v>
      </c>
      <c r="F1432" s="66" t="s">
        <v>1426</v>
      </c>
      <c r="G1432" s="25">
        <f t="shared" si="18"/>
        <v>1.6933971506143841E-2</v>
      </c>
    </row>
    <row r="1433" spans="1:7">
      <c r="A1433" s="66">
        <v>89.06907694338409</v>
      </c>
      <c r="B1433" s="66">
        <v>90.116066513850569</v>
      </c>
      <c r="C1433" s="66">
        <v>88.809203637110784</v>
      </c>
      <c r="D1433" s="66">
        <v>89.258984359506883</v>
      </c>
      <c r="E1433" s="66">
        <v>452488.49020427198</v>
      </c>
      <c r="F1433" s="66" t="s">
        <v>1427</v>
      </c>
      <c r="G1433" s="25">
        <f t="shared" si="18"/>
        <v>-2.1276000111978277E-3</v>
      </c>
    </row>
    <row r="1434" spans="1:7">
      <c r="A1434" s="66">
        <v>89.273977050253421</v>
      </c>
      <c r="B1434" s="66">
        <v>90.318467838928825</v>
      </c>
      <c r="C1434" s="66">
        <v>88.856680491141489</v>
      </c>
      <c r="D1434" s="66">
        <v>90.27099098489812</v>
      </c>
      <c r="E1434" s="66">
        <v>420592.94803079922</v>
      </c>
      <c r="F1434" s="66" t="s">
        <v>1428</v>
      </c>
      <c r="G1434" s="25">
        <f t="shared" si="18"/>
        <v>-1.1044676963959499E-2</v>
      </c>
    </row>
    <row r="1435" spans="1:7">
      <c r="A1435" s="66">
        <v>89.94614935205648</v>
      </c>
      <c r="B1435" s="66">
        <v>90.805730288191256</v>
      </c>
      <c r="C1435" s="66">
        <v>89.541346701899997</v>
      </c>
      <c r="D1435" s="66">
        <v>90.156047022508005</v>
      </c>
      <c r="E1435" s="66">
        <v>488361.97076173878</v>
      </c>
      <c r="F1435" s="66" t="s">
        <v>1429</v>
      </c>
      <c r="G1435" s="25">
        <f t="shared" si="18"/>
        <v>-2.328159645232919E-3</v>
      </c>
    </row>
    <row r="1436" spans="1:7">
      <c r="A1436" s="66">
        <v>89.548843047273266</v>
      </c>
      <c r="B1436" s="66">
        <v>90.062342705342161</v>
      </c>
      <c r="C1436" s="66">
        <v>89.009106180397936</v>
      </c>
      <c r="D1436" s="66">
        <v>89.60881381025942</v>
      </c>
      <c r="E1436" s="66">
        <v>308546.34956494084</v>
      </c>
      <c r="F1436" s="66" t="s">
        <v>1430</v>
      </c>
      <c r="G1436" s="25">
        <f t="shared" si="18"/>
        <v>-6.6925071805035152E-4</v>
      </c>
    </row>
    <row r="1437" spans="1:7">
      <c r="A1437" s="66">
        <v>88.956631762785065</v>
      </c>
      <c r="B1437" s="66">
        <v>89.385172839956894</v>
      </c>
      <c r="C1437" s="66">
        <v>88.320691796952786</v>
      </c>
      <c r="D1437" s="66">
        <v>88.694259674720669</v>
      </c>
      <c r="E1437" s="66">
        <v>637322.55680703418</v>
      </c>
      <c r="F1437" s="66" t="s">
        <v>1431</v>
      </c>
      <c r="G1437" s="25">
        <f t="shared" si="18"/>
        <v>2.9581631215664927E-3</v>
      </c>
    </row>
    <row r="1438" spans="1:7">
      <c r="A1438" s="66">
        <v>88.129534989934442</v>
      </c>
      <c r="B1438" s="66">
        <v>89.041590343682103</v>
      </c>
      <c r="C1438" s="66">
        <v>86.647757387818388</v>
      </c>
      <c r="D1438" s="66">
        <v>87.507338323953164</v>
      </c>
      <c r="E1438" s="66">
        <v>994200.45754249324</v>
      </c>
      <c r="F1438" s="66" t="s">
        <v>1432</v>
      </c>
      <c r="G1438" s="25">
        <f t="shared" si="18"/>
        <v>7.1102227298687204E-3</v>
      </c>
    </row>
    <row r="1439" spans="1:7">
      <c r="A1439" s="66">
        <v>87.097538110214501</v>
      </c>
      <c r="B1439" s="66">
        <v>87.26745527200859</v>
      </c>
      <c r="C1439" s="66">
        <v>84.308897631358647</v>
      </c>
      <c r="D1439" s="66">
        <v>86.357898700052019</v>
      </c>
      <c r="E1439" s="66">
        <v>742425.77187628334</v>
      </c>
      <c r="F1439" s="66" t="s">
        <v>1433</v>
      </c>
      <c r="G1439" s="25">
        <f t="shared" si="18"/>
        <v>8.5648148148147474E-3</v>
      </c>
    </row>
    <row r="1440" spans="1:7">
      <c r="A1440" s="66">
        <v>87.364907761861076</v>
      </c>
      <c r="B1440" s="66">
        <v>88.479364440686965</v>
      </c>
      <c r="C1440" s="66">
        <v>86.610275660952055</v>
      </c>
      <c r="D1440" s="66">
        <v>88.167016716800788</v>
      </c>
      <c r="E1440" s="66">
        <v>1985507.5051738925</v>
      </c>
      <c r="F1440" s="66" t="s">
        <v>1434</v>
      </c>
      <c r="G1440" s="25">
        <f t="shared" si="18"/>
        <v>-9.0976079809544919E-3</v>
      </c>
    </row>
    <row r="1441" spans="1:7">
      <c r="A1441" s="66">
        <v>87.837177520376969</v>
      </c>
      <c r="B1441" s="66">
        <v>88.089554481277005</v>
      </c>
      <c r="C1441" s="66">
        <v>85.816912442281151</v>
      </c>
      <c r="D1441" s="66">
        <v>86.148001029600493</v>
      </c>
      <c r="E1441" s="66">
        <v>1222843.8717202877</v>
      </c>
      <c r="F1441" s="66" t="s">
        <v>1435</v>
      </c>
      <c r="G1441" s="25">
        <f t="shared" si="18"/>
        <v>1.9607843137254832E-2</v>
      </c>
    </row>
    <row r="1442" spans="1:7">
      <c r="A1442" s="66">
        <v>85.943100922731162</v>
      </c>
      <c r="B1442" s="66">
        <v>86.175487629302481</v>
      </c>
      <c r="C1442" s="66">
        <v>84.82364668032308</v>
      </c>
      <c r="D1442" s="66">
        <v>85.310909129585539</v>
      </c>
      <c r="E1442" s="66">
        <v>710426.17900061351</v>
      </c>
      <c r="F1442" s="66" t="s">
        <v>1436</v>
      </c>
      <c r="G1442" s="25">
        <f t="shared" si="18"/>
        <v>7.4104449195979694E-3</v>
      </c>
    </row>
    <row r="1443" spans="1:7">
      <c r="A1443" s="66">
        <v>85.570782435858831</v>
      </c>
      <c r="B1443" s="66">
        <v>86.535312207219363</v>
      </c>
      <c r="C1443" s="66">
        <v>85.395867710482563</v>
      </c>
      <c r="D1443" s="66">
        <v>85.828156960341047</v>
      </c>
      <c r="E1443" s="66">
        <v>895200.21635210817</v>
      </c>
      <c r="F1443" s="66" t="s">
        <v>1437</v>
      </c>
      <c r="G1443" s="25">
        <f t="shared" si="18"/>
        <v>-2.9987189938278647E-3</v>
      </c>
    </row>
    <row r="1444" spans="1:7">
      <c r="A1444" s="66">
        <v>85.670733707502421</v>
      </c>
      <c r="B1444" s="66">
        <v>87.253711972157589</v>
      </c>
      <c r="C1444" s="66">
        <v>85.22220237600186</v>
      </c>
      <c r="D1444" s="66">
        <v>85.528303145410305</v>
      </c>
      <c r="E1444" s="66">
        <v>982974.98755546811</v>
      </c>
      <c r="F1444" s="66" t="s">
        <v>1438</v>
      </c>
      <c r="G1444" s="25">
        <f t="shared" si="18"/>
        <v>1.6653032604887485E-3</v>
      </c>
    </row>
    <row r="1445" spans="1:7">
      <c r="A1445" s="66">
        <v>84.748683226590401</v>
      </c>
      <c r="B1445" s="66">
        <v>86.760202568417412</v>
      </c>
      <c r="C1445" s="66">
        <v>84.588761191960671</v>
      </c>
      <c r="D1445" s="66">
        <v>86.760202568417412</v>
      </c>
      <c r="E1445" s="66">
        <v>857705.94601041847</v>
      </c>
      <c r="F1445" s="66" t="s">
        <v>1439</v>
      </c>
      <c r="G1445" s="25">
        <f t="shared" si="18"/>
        <v>-2.3184816105526806E-2</v>
      </c>
    </row>
    <row r="1446" spans="1:7">
      <c r="A1446" s="66">
        <v>86.907630694091694</v>
      </c>
      <c r="B1446" s="66">
        <v>87.110831629343096</v>
      </c>
      <c r="C1446" s="66">
        <v>85.333248238797864</v>
      </c>
      <c r="D1446" s="66">
        <v>85.535799490783575</v>
      </c>
      <c r="E1446" s="66">
        <v>1157343.9546872601</v>
      </c>
      <c r="F1446" s="66" t="s">
        <v>1440</v>
      </c>
      <c r="G1446" s="25">
        <f t="shared" si="18"/>
        <v>1.6038094125208069E-2</v>
      </c>
    </row>
    <row r="1447" spans="1:7">
      <c r="A1447" s="66">
        <v>85.603266599142998</v>
      </c>
      <c r="B1447" s="66">
        <v>86.985092929615476</v>
      </c>
      <c r="C1447" s="66">
        <v>85.35838598361623</v>
      </c>
      <c r="D1447" s="66">
        <v>86.172988847511391</v>
      </c>
      <c r="E1447" s="66">
        <v>1027560.7134468935</v>
      </c>
      <c r="F1447" s="66" t="s">
        <v>1441</v>
      </c>
      <c r="G1447" s="25">
        <f t="shared" si="18"/>
        <v>-6.6113785304180439E-3</v>
      </c>
    </row>
    <row r="1448" spans="1:7">
      <c r="A1448" s="66">
        <v>86.392881645127275</v>
      </c>
      <c r="B1448" s="66">
        <v>86.485336571397582</v>
      </c>
      <c r="C1448" s="66">
        <v>85.148488313164705</v>
      </c>
      <c r="D1448" s="66">
        <v>85.413359183020191</v>
      </c>
      <c r="E1448" s="66">
        <v>913529.14773912262</v>
      </c>
      <c r="F1448" s="66" t="s">
        <v>1442</v>
      </c>
      <c r="G1448" s="25">
        <f t="shared" si="18"/>
        <v>1.1468024106254804E-2</v>
      </c>
    </row>
    <row r="1449" spans="1:7">
      <c r="A1449" s="66">
        <v>85.473329946006345</v>
      </c>
      <c r="B1449" s="66">
        <v>86.957606329913489</v>
      </c>
      <c r="C1449" s="66">
        <v>85.200962730777604</v>
      </c>
      <c r="D1449" s="66">
        <v>86.385385299753992</v>
      </c>
      <c r="E1449" s="66">
        <v>860407.26231745665</v>
      </c>
      <c r="F1449" s="66" t="s">
        <v>1443</v>
      </c>
      <c r="G1449" s="25">
        <f t="shared" si="18"/>
        <v>-1.0557982123745258E-2</v>
      </c>
    </row>
    <row r="1450" spans="1:7">
      <c r="A1450" s="66">
        <v>86.385385299753992</v>
      </c>
      <c r="B1450" s="66">
        <v>86.627767133489684</v>
      </c>
      <c r="C1450" s="66">
        <v>81.820110967433536</v>
      </c>
      <c r="D1450" s="66">
        <v>83.709190001497177</v>
      </c>
      <c r="E1450" s="66">
        <v>1819574.6488202284</v>
      </c>
      <c r="F1450" s="66" t="s">
        <v>1444</v>
      </c>
      <c r="G1450" s="25">
        <f t="shared" si="18"/>
        <v>3.1970149253731206E-2</v>
      </c>
    </row>
    <row r="1451" spans="1:7">
      <c r="A1451" s="66">
        <v>84.453826975241839</v>
      </c>
      <c r="B1451" s="66">
        <v>86.058044885121276</v>
      </c>
      <c r="C1451" s="66">
        <v>83.015778054469862</v>
      </c>
      <c r="D1451" s="66">
        <v>84.054021888667521</v>
      </c>
      <c r="E1451" s="66">
        <v>1233344.9887420181</v>
      </c>
      <c r="F1451" s="66" t="s">
        <v>1445</v>
      </c>
      <c r="G1451" s="25">
        <f t="shared" si="18"/>
        <v>4.7565253582257938E-3</v>
      </c>
    </row>
    <row r="1452" spans="1:7">
      <c r="A1452" s="66">
        <v>83.611737511644691</v>
      </c>
      <c r="B1452" s="66">
        <v>83.906593762993253</v>
      </c>
      <c r="C1452" s="66">
        <v>82.739662666554466</v>
      </c>
      <c r="D1452" s="66">
        <v>83.144465316710964</v>
      </c>
      <c r="E1452" s="66">
        <v>826818.89525823994</v>
      </c>
      <c r="F1452" s="66" t="s">
        <v>1446</v>
      </c>
      <c r="G1452" s="25">
        <f t="shared" si="18"/>
        <v>5.6200036064193437E-3</v>
      </c>
    </row>
    <row r="1453" spans="1:7">
      <c r="A1453" s="66">
        <v>83.469306949552589</v>
      </c>
      <c r="B1453" s="66">
        <v>84.788663735247823</v>
      </c>
      <c r="C1453" s="66">
        <v>83.406837404775359</v>
      </c>
      <c r="D1453" s="66">
        <v>84.551279465094325</v>
      </c>
      <c r="E1453" s="66">
        <v>895324.27680472762</v>
      </c>
      <c r="F1453" s="66" t="s">
        <v>1447</v>
      </c>
      <c r="G1453" s="25">
        <f t="shared" si="18"/>
        <v>-1.2796642728374219E-2</v>
      </c>
    </row>
    <row r="1454" spans="1:7">
      <c r="A1454" s="66">
        <v>83.764163200901152</v>
      </c>
      <c r="B1454" s="66">
        <v>84.887365615995861</v>
      </c>
      <c r="C1454" s="66">
        <v>82.287383162367277</v>
      </c>
      <c r="D1454" s="66">
        <v>84.863627188980516</v>
      </c>
      <c r="E1454" s="66">
        <v>2267544.937379099</v>
      </c>
      <c r="F1454" s="66" t="s">
        <v>1448</v>
      </c>
      <c r="G1454" s="25">
        <f t="shared" si="18"/>
        <v>-1.2955656321771425E-2</v>
      </c>
    </row>
    <row r="1455" spans="1:7">
      <c r="A1455" s="66">
        <v>85.135994404209256</v>
      </c>
      <c r="B1455" s="66">
        <v>85.13849318600036</v>
      </c>
      <c r="C1455" s="66">
        <v>82.524767432520775</v>
      </c>
      <c r="D1455" s="66">
        <v>82.827120029242607</v>
      </c>
      <c r="E1455" s="66">
        <v>730295.86117016082</v>
      </c>
      <c r="F1455" s="66" t="s">
        <v>1449</v>
      </c>
      <c r="G1455" s="25">
        <f t="shared" si="18"/>
        <v>2.7875825866594095E-2</v>
      </c>
    </row>
    <row r="1456" spans="1:7">
      <c r="A1456" s="66">
        <v>82.212419708634584</v>
      </c>
      <c r="B1456" s="66">
        <v>83.231922679399091</v>
      </c>
      <c r="C1456" s="66">
        <v>81.045488612195797</v>
      </c>
      <c r="D1456" s="66">
        <v>81.367831463246347</v>
      </c>
      <c r="E1456" s="66">
        <v>1012061.1607696211</v>
      </c>
      <c r="F1456" s="66" t="s">
        <v>1450</v>
      </c>
      <c r="G1456" s="25">
        <f t="shared" si="18"/>
        <v>1.0379879003777237E-2</v>
      </c>
    </row>
    <row r="1457" spans="1:7">
      <c r="A1457" s="66">
        <v>81.325352172797821</v>
      </c>
      <c r="B1457" s="66">
        <v>83.376852023282282</v>
      </c>
      <c r="C1457" s="66">
        <v>81.139192929361656</v>
      </c>
      <c r="D1457" s="66">
        <v>82.789638302376247</v>
      </c>
      <c r="E1457" s="66">
        <v>1222567.7371644571</v>
      </c>
      <c r="F1457" s="66" t="s">
        <v>1451</v>
      </c>
      <c r="G1457" s="25">
        <f t="shared" si="18"/>
        <v>-1.768682844380054E-2</v>
      </c>
    </row>
    <row r="1458" spans="1:7">
      <c r="A1458" s="66">
        <v>82.432312506250454</v>
      </c>
      <c r="B1458" s="66">
        <v>84.402601948524506</v>
      </c>
      <c r="C1458" s="66">
        <v>81.8775829486286</v>
      </c>
      <c r="D1458" s="66">
        <v>83.474304513134769</v>
      </c>
      <c r="E1458" s="66">
        <v>1100292.1542826141</v>
      </c>
      <c r="F1458" s="66" t="s">
        <v>1452</v>
      </c>
      <c r="G1458" s="25">
        <f t="shared" si="18"/>
        <v>-1.2482787523199534E-2</v>
      </c>
    </row>
    <row r="1459" spans="1:7">
      <c r="A1459" s="66">
        <v>82.80213221133171</v>
      </c>
      <c r="B1459" s="66">
        <v>84.813651553158721</v>
      </c>
      <c r="C1459" s="66">
        <v>82.752156575509915</v>
      </c>
      <c r="D1459" s="66">
        <v>83.191942170741655</v>
      </c>
      <c r="E1459" s="66">
        <v>1804011.0649416042</v>
      </c>
      <c r="F1459" s="66" t="s">
        <v>1453</v>
      </c>
      <c r="G1459" s="25">
        <f t="shared" si="18"/>
        <v>-4.685669660288827E-3</v>
      </c>
    </row>
    <row r="1460" spans="1:7">
      <c r="A1460" s="66">
        <v>83.0170274453654</v>
      </c>
      <c r="B1460" s="66">
        <v>83.219428770443642</v>
      </c>
      <c r="C1460" s="66">
        <v>82.167441636394969</v>
      </c>
      <c r="D1460" s="66">
        <v>82.217417272216764</v>
      </c>
      <c r="E1460" s="66">
        <v>1702617.6576006874</v>
      </c>
      <c r="F1460" s="66" t="s">
        <v>1454</v>
      </c>
      <c r="G1460" s="25">
        <f t="shared" si="18"/>
        <v>9.7255569400966912E-3</v>
      </c>
    </row>
    <row r="1461" spans="1:7">
      <c r="A1461" s="66">
        <v>82.357349052517776</v>
      </c>
      <c r="B1461" s="66">
        <v>83.556764312240716</v>
      </c>
      <c r="C1461" s="66">
        <v>81.917563457286022</v>
      </c>
      <c r="D1461" s="66">
        <v>83.13696897133768</v>
      </c>
      <c r="E1461" s="66">
        <v>1380284.5899946406</v>
      </c>
      <c r="F1461" s="66" t="s">
        <v>1455</v>
      </c>
      <c r="G1461" s="25">
        <f t="shared" si="18"/>
        <v>-9.3775359923055079E-3</v>
      </c>
    </row>
    <row r="1462" spans="1:7">
      <c r="A1462" s="66">
        <v>83.072000644769361</v>
      </c>
      <c r="B1462" s="66">
        <v>84.521294083601262</v>
      </c>
      <c r="C1462" s="66">
        <v>82.889589574019837</v>
      </c>
      <c r="D1462" s="66">
        <v>84.521294083601262</v>
      </c>
      <c r="E1462" s="66">
        <v>907998.45272234222</v>
      </c>
      <c r="F1462" s="66" t="s">
        <v>1456</v>
      </c>
      <c r="G1462" s="25">
        <f t="shared" si="18"/>
        <v>-1.7147080561714878E-2</v>
      </c>
    </row>
    <row r="1463" spans="1:7">
      <c r="A1463" s="66">
        <v>85.133495622418167</v>
      </c>
      <c r="B1463" s="66">
        <v>86.830168458567925</v>
      </c>
      <c r="C1463" s="66">
        <v>84.628741700618107</v>
      </c>
      <c r="D1463" s="66">
        <v>86.365395045425288</v>
      </c>
      <c r="E1463" s="66">
        <v>746059.54255301016</v>
      </c>
      <c r="F1463" s="66" t="s">
        <v>1457</v>
      </c>
      <c r="G1463" s="25">
        <f t="shared" si="18"/>
        <v>-1.4263808118508359E-2</v>
      </c>
    </row>
    <row r="1464" spans="1:7">
      <c r="A1464" s="66">
        <v>85.295916438839001</v>
      </c>
      <c r="B1464" s="66">
        <v>85.563286090485562</v>
      </c>
      <c r="C1464" s="66">
        <v>84.618746573453748</v>
      </c>
      <c r="D1464" s="66">
        <v>84.618746573453748</v>
      </c>
      <c r="E1464" s="66">
        <v>827583.26772437955</v>
      </c>
      <c r="F1464" s="66" t="s">
        <v>1458</v>
      </c>
      <c r="G1464" s="25">
        <f t="shared" ref="G1464:G1502" si="19">A1464/D1464-1</f>
        <v>8.00259862981334E-3</v>
      </c>
    </row>
    <row r="1465" spans="1:7">
      <c r="A1465" s="66">
        <v>84.206447577923981</v>
      </c>
      <c r="B1465" s="66">
        <v>85.781929497205894</v>
      </c>
      <c r="C1465" s="66">
        <v>83.113230544322349</v>
      </c>
      <c r="D1465" s="66">
        <v>85.528303145410305</v>
      </c>
      <c r="E1465" s="66">
        <v>1009519.9224659631</v>
      </c>
      <c r="F1465" s="66" t="s">
        <v>1459</v>
      </c>
      <c r="G1465" s="25">
        <f t="shared" si="19"/>
        <v>-1.5455182891200181E-2</v>
      </c>
    </row>
    <row r="1466" spans="1:7">
      <c r="A1466" s="66">
        <v>85.783178888101446</v>
      </c>
      <c r="B1466" s="66">
        <v>87.32492725320364</v>
      </c>
      <c r="C1466" s="66">
        <v>85.118502931671628</v>
      </c>
      <c r="D1466" s="66">
        <v>87.047562474392706</v>
      </c>
      <c r="E1466" s="66">
        <v>987277.08389630658</v>
      </c>
      <c r="F1466" s="66" t="s">
        <v>1460</v>
      </c>
      <c r="G1466" s="25">
        <f t="shared" si="19"/>
        <v>-1.4525203812148169E-2</v>
      </c>
    </row>
    <row r="1467" spans="1:7">
      <c r="A1467" s="66">
        <v>86.555302461548081</v>
      </c>
      <c r="B1467" s="66">
        <v>88.097050826650289</v>
      </c>
      <c r="C1467" s="66">
        <v>85.315906693167705</v>
      </c>
      <c r="D1467" s="66">
        <v>87.752218939479945</v>
      </c>
      <c r="E1467" s="66">
        <v>1046317.8534929495</v>
      </c>
      <c r="F1467" s="66" t="s">
        <v>1461</v>
      </c>
      <c r="G1467" s="25">
        <f t="shared" si="19"/>
        <v>-1.363972891394738E-2</v>
      </c>
    </row>
    <row r="1468" spans="1:7">
      <c r="A1468" s="66">
        <v>87.892150719780943</v>
      </c>
      <c r="B1468" s="66">
        <v>92.852232575093538</v>
      </c>
      <c r="C1468" s="66">
        <v>86.135507120645045</v>
      </c>
      <c r="D1468" s="66">
        <v>86.135507120645045</v>
      </c>
      <c r="E1468" s="66">
        <v>1641215.7374541888</v>
      </c>
      <c r="F1468" s="66" t="s">
        <v>1462</v>
      </c>
      <c r="G1468" s="25">
        <f t="shared" si="19"/>
        <v>2.0393954338429499E-2</v>
      </c>
    </row>
    <row r="1469" spans="1:7">
      <c r="A1469" s="66">
        <v>83.436822786268436</v>
      </c>
      <c r="B1469" s="66">
        <v>84.177711587326456</v>
      </c>
      <c r="C1469" s="66">
        <v>83.306886133131769</v>
      </c>
      <c r="D1469" s="66">
        <v>83.326876387460501</v>
      </c>
      <c r="E1469" s="66">
        <v>455305.86306376068</v>
      </c>
      <c r="F1469" s="66" t="s">
        <v>1463</v>
      </c>
      <c r="G1469" s="25">
        <f t="shared" si="19"/>
        <v>1.3194590218010838E-3</v>
      </c>
    </row>
    <row r="1470" spans="1:7">
      <c r="A1470" s="66">
        <v>82.959555464170336</v>
      </c>
      <c r="B1470" s="66">
        <v>84.373865957926981</v>
      </c>
      <c r="C1470" s="66">
        <v>82.879594446855478</v>
      </c>
      <c r="D1470" s="66">
        <v>83.719185128661536</v>
      </c>
      <c r="E1470" s="66">
        <v>721119.38962640008</v>
      </c>
      <c r="F1470" s="66" t="s">
        <v>1464</v>
      </c>
      <c r="G1470" s="25">
        <f t="shared" si="19"/>
        <v>-9.0735434574976681E-3</v>
      </c>
    </row>
    <row r="1471" spans="1:7">
      <c r="A1471" s="66">
        <v>82.814626120287159</v>
      </c>
      <c r="B1471" s="66">
        <v>83.969063307770483</v>
      </c>
      <c r="C1471" s="66">
        <v>81.282872882349309</v>
      </c>
      <c r="D1471" s="66">
        <v>82.137456254901892</v>
      </c>
      <c r="E1471" s="66">
        <v>818650.91513577348</v>
      </c>
      <c r="F1471" s="66" t="s">
        <v>1465</v>
      </c>
      <c r="G1471" s="25">
        <f t="shared" si="19"/>
        <v>8.244349122326966E-3</v>
      </c>
    </row>
    <row r="1472" spans="1:7">
      <c r="A1472" s="66">
        <v>80.9505349041344</v>
      </c>
      <c r="B1472" s="66">
        <v>82.974548154916874</v>
      </c>
      <c r="C1472" s="66">
        <v>80.918050740850234</v>
      </c>
      <c r="D1472" s="66">
        <v>81.310359482051282</v>
      </c>
      <c r="E1472" s="66">
        <v>633796.83878258883</v>
      </c>
      <c r="F1472" s="66" t="s">
        <v>1466</v>
      </c>
      <c r="G1472" s="25">
        <f t="shared" si="19"/>
        <v>-4.4253226797786871E-3</v>
      </c>
    </row>
    <row r="1473" spans="1:7">
      <c r="A1473" s="66">
        <v>80.090953967999624</v>
      </c>
      <c r="B1473" s="66">
        <v>82.226163008485585</v>
      </c>
      <c r="C1473" s="66">
        <v>79.838577007099587</v>
      </c>
      <c r="D1473" s="66">
        <v>80.918050740850234</v>
      </c>
      <c r="E1473" s="66">
        <v>1052312.7747195319</v>
      </c>
      <c r="F1473" s="66" t="s">
        <v>1467</v>
      </c>
      <c r="G1473" s="25">
        <f t="shared" si="19"/>
        <v>-1.0221412469505586E-2</v>
      </c>
    </row>
    <row r="1474" spans="1:7">
      <c r="A1474" s="66">
        <v>79.723633044709473</v>
      </c>
      <c r="B1474" s="66">
        <v>81.800120713104832</v>
      </c>
      <c r="C1474" s="66">
        <v>78.534212912150892</v>
      </c>
      <c r="D1474" s="66">
        <v>80.953033685925504</v>
      </c>
      <c r="E1474" s="66">
        <v>1412776.4227307041</v>
      </c>
      <c r="F1474" s="66" t="s">
        <v>1468</v>
      </c>
      <c r="G1474" s="25">
        <f t="shared" si="19"/>
        <v>-1.518659135105116E-2</v>
      </c>
    </row>
    <row r="1475" spans="1:7">
      <c r="A1475" s="66">
        <v>80.995512976374016</v>
      </c>
      <c r="B1475" s="66">
        <v>83.057007954022822</v>
      </c>
      <c r="C1475" s="66">
        <v>80.963028813089849</v>
      </c>
      <c r="D1475" s="66">
        <v>83.057007954022822</v>
      </c>
      <c r="E1475" s="66">
        <v>1112974.3341003978</v>
      </c>
      <c r="F1475" s="66" t="s">
        <v>1469</v>
      </c>
      <c r="G1475" s="25">
        <f t="shared" si="19"/>
        <v>-2.4820241282830335E-2</v>
      </c>
    </row>
    <row r="1476" spans="1:7">
      <c r="A1476" s="66">
        <v>83.351864205371385</v>
      </c>
      <c r="B1476" s="66">
        <v>85.1984639489865</v>
      </c>
      <c r="C1476" s="66">
        <v>83.161956789248592</v>
      </c>
      <c r="D1476" s="66">
        <v>85.1984639489865</v>
      </c>
      <c r="E1476" s="66">
        <v>814941.10740744101</v>
      </c>
      <c r="F1476" s="66" t="s">
        <v>1470</v>
      </c>
      <c r="G1476" s="25">
        <f t="shared" si="19"/>
        <v>-2.1674096668230836E-2</v>
      </c>
    </row>
    <row r="1477" spans="1:7">
      <c r="A1477" s="66">
        <v>86.545307334383736</v>
      </c>
      <c r="B1477" s="66">
        <v>87.932131228438379</v>
      </c>
      <c r="C1477" s="66">
        <v>86.255448646617353</v>
      </c>
      <c r="D1477" s="66">
        <v>87.22747476335114</v>
      </c>
      <c r="E1477" s="66">
        <v>618629.44796233007</v>
      </c>
      <c r="F1477" s="66" t="s">
        <v>1471</v>
      </c>
      <c r="G1477" s="25">
        <f t="shared" si="19"/>
        <v>-7.8205568924026858E-3</v>
      </c>
    </row>
    <row r="1478" spans="1:7">
      <c r="A1478" s="66">
        <v>87.000085620362015</v>
      </c>
      <c r="B1478" s="66">
        <v>88.012092245753252</v>
      </c>
      <c r="C1478" s="66">
        <v>86.277937682737146</v>
      </c>
      <c r="D1478" s="66">
        <v>87.987104427842354</v>
      </c>
      <c r="E1478" s="66">
        <v>772256.30780615355</v>
      </c>
      <c r="F1478" s="66" t="s">
        <v>1472</v>
      </c>
      <c r="G1478" s="25">
        <f t="shared" si="19"/>
        <v>-1.1217766670453266E-2</v>
      </c>
    </row>
    <row r="1479" spans="1:7">
      <c r="A1479" s="66">
        <v>89.06907694338409</v>
      </c>
      <c r="B1479" s="66">
        <v>89.176524560400935</v>
      </c>
      <c r="C1479" s="66">
        <v>87.812189702466085</v>
      </c>
      <c r="D1479" s="66">
        <v>88.464371749940426</v>
      </c>
      <c r="E1479" s="66">
        <v>576572.95452430926</v>
      </c>
      <c r="F1479" s="66" t="s">
        <v>1473</v>
      </c>
      <c r="G1479" s="25">
        <f t="shared" si="19"/>
        <v>6.8355789057426009E-3</v>
      </c>
    </row>
    <row r="1480" spans="1:7">
      <c r="A1480" s="66">
        <v>88.25197529769784</v>
      </c>
      <c r="B1480" s="66">
        <v>88.646782820689964</v>
      </c>
      <c r="C1480" s="66">
        <v>87.170002782156104</v>
      </c>
      <c r="D1480" s="66">
        <v>87.277450399172935</v>
      </c>
      <c r="E1480" s="66">
        <v>450295.42155796546</v>
      </c>
      <c r="F1480" s="66" t="s">
        <v>1474</v>
      </c>
      <c r="G1480" s="25">
        <f t="shared" si="19"/>
        <v>1.1165826843793081E-2</v>
      </c>
    </row>
    <row r="1481" spans="1:7">
      <c r="A1481" s="66">
        <v>87.155010091409565</v>
      </c>
      <c r="B1481" s="66">
        <v>88.028334327395328</v>
      </c>
      <c r="C1481" s="66">
        <v>86.537810989010453</v>
      </c>
      <c r="D1481" s="66">
        <v>87.070051510512513</v>
      </c>
      <c r="E1481" s="66">
        <v>596310.57234106818</v>
      </c>
      <c r="F1481" s="66" t="s">
        <v>1475</v>
      </c>
      <c r="G1481" s="25">
        <f t="shared" si="19"/>
        <v>9.757497488880329E-4</v>
      </c>
    </row>
    <row r="1482" spans="1:7">
      <c r="A1482" s="66">
        <v>86.822672113194656</v>
      </c>
      <c r="B1482" s="66">
        <v>88.384410732625568</v>
      </c>
      <c r="C1482" s="66">
        <v>86.575292715876799</v>
      </c>
      <c r="D1482" s="66">
        <v>87.777206757390829</v>
      </c>
      <c r="E1482" s="66">
        <v>642949.29862584255</v>
      </c>
      <c r="F1482" s="66" t="s">
        <v>1476</v>
      </c>
      <c r="G1482" s="25">
        <f t="shared" si="19"/>
        <v>-1.0874516055568106E-2</v>
      </c>
    </row>
    <row r="1483" spans="1:7">
      <c r="A1483" s="66">
        <v>87.062555165139244</v>
      </c>
      <c r="B1483" s="66">
        <v>89.28647095920887</v>
      </c>
      <c r="C1483" s="66">
        <v>86.832667240359015</v>
      </c>
      <c r="D1483" s="66">
        <v>88.351926569341401</v>
      </c>
      <c r="E1483" s="66">
        <v>617188.74593190977</v>
      </c>
      <c r="F1483" s="66" t="s">
        <v>1477</v>
      </c>
      <c r="G1483" s="25">
        <f t="shared" si="19"/>
        <v>-1.4593585610045756E-2</v>
      </c>
    </row>
    <row r="1484" spans="1:7">
      <c r="A1484" s="66">
        <v>88.381911950834478</v>
      </c>
      <c r="B1484" s="66">
        <v>89.531426538189365</v>
      </c>
      <c r="C1484" s="66">
        <v>87.914639755900751</v>
      </c>
      <c r="D1484" s="66">
        <v>88.896660999798911</v>
      </c>
      <c r="E1484" s="66">
        <v>580706.96896159882</v>
      </c>
      <c r="F1484" s="66" t="s">
        <v>1478</v>
      </c>
      <c r="G1484" s="25">
        <f t="shared" si="19"/>
        <v>-5.790420508207772E-3</v>
      </c>
    </row>
    <row r="1485" spans="1:7">
      <c r="A1485" s="66">
        <v>88.311946060683979</v>
      </c>
      <c r="B1485" s="66">
        <v>88.690011745675818</v>
      </c>
      <c r="C1485" s="66">
        <v>87.146264355140744</v>
      </c>
      <c r="D1485" s="66">
        <v>87.457362688131383</v>
      </c>
      <c r="E1485" s="66">
        <v>654310.83491574076</v>
      </c>
      <c r="F1485" s="66" t="s">
        <v>1479</v>
      </c>
      <c r="G1485" s="25">
        <f t="shared" si="19"/>
        <v>9.771428571428542E-3</v>
      </c>
    </row>
    <row r="1486" spans="1:7">
      <c r="A1486" s="66">
        <v>88.424391241283004</v>
      </c>
      <c r="B1486" s="66">
        <v>89.67128335503665</v>
      </c>
      <c r="C1486" s="66">
        <v>87.872160465452239</v>
      </c>
      <c r="D1486" s="66">
        <v>88.956631762785065</v>
      </c>
      <c r="E1486" s="66">
        <v>694358.34941134206</v>
      </c>
      <c r="F1486" s="66" t="s">
        <v>1480</v>
      </c>
      <c r="G1486" s="25">
        <f t="shared" si="19"/>
        <v>-5.9831460674157899E-3</v>
      </c>
    </row>
    <row r="1487" spans="1:7">
      <c r="A1487" s="66">
        <v>89.016602525771205</v>
      </c>
      <c r="B1487" s="66">
        <v>90.448404492065478</v>
      </c>
      <c r="C1487" s="66">
        <v>88.514347385762235</v>
      </c>
      <c r="D1487" s="66">
        <v>89.973635951758467</v>
      </c>
      <c r="E1487" s="66">
        <v>628754.38167611754</v>
      </c>
      <c r="F1487" s="66" t="s">
        <v>1481</v>
      </c>
      <c r="G1487" s="25">
        <f t="shared" si="19"/>
        <v>-1.0636820618213028E-2</v>
      </c>
    </row>
    <row r="1488" spans="1:7">
      <c r="A1488" s="66">
        <v>90.113567732059479</v>
      </c>
      <c r="B1488" s="66">
        <v>90.96815110461209</v>
      </c>
      <c r="C1488" s="66">
        <v>89.199013596520743</v>
      </c>
      <c r="D1488" s="66">
        <v>89.738750463396059</v>
      </c>
      <c r="E1488" s="66">
        <v>696603.44340874709</v>
      </c>
      <c r="F1488" s="66" t="s">
        <v>1482</v>
      </c>
      <c r="G1488" s="25">
        <f t="shared" si="19"/>
        <v>4.1767605045526235E-3</v>
      </c>
    </row>
    <row r="1489" spans="1:7">
      <c r="A1489" s="66">
        <v>89.418906394136613</v>
      </c>
      <c r="B1489" s="66">
        <v>89.806217571755468</v>
      </c>
      <c r="C1489" s="66">
        <v>88.650530993376591</v>
      </c>
      <c r="D1489" s="66">
        <v>89.169028215027666</v>
      </c>
      <c r="E1489" s="66">
        <v>545365.74776537064</v>
      </c>
      <c r="F1489" s="66" t="s">
        <v>1483</v>
      </c>
      <c r="G1489" s="25">
        <f t="shared" si="19"/>
        <v>2.8022978842650037E-3</v>
      </c>
    </row>
    <row r="1490" spans="1:7">
      <c r="A1490" s="66">
        <v>88.644284038898874</v>
      </c>
      <c r="B1490" s="66">
        <v>89.109057452041526</v>
      </c>
      <c r="C1490" s="66">
        <v>87.246615431870907</v>
      </c>
      <c r="D1490" s="66">
        <v>87.457362688131383</v>
      </c>
      <c r="E1490" s="66">
        <v>570918.1990549094</v>
      </c>
      <c r="F1490" s="66" t="s">
        <v>1484</v>
      </c>
      <c r="G1490" s="25">
        <f t="shared" si="19"/>
        <v>1.3571428571428568E-2</v>
      </c>
    </row>
    <row r="1491" spans="1:7">
      <c r="A1491" s="66">
        <v>87.674756703956163</v>
      </c>
      <c r="B1491" s="66">
        <v>87.892150719780943</v>
      </c>
      <c r="C1491" s="66">
        <v>85.733203252279651</v>
      </c>
      <c r="D1491" s="66">
        <v>85.733203252279651</v>
      </c>
      <c r="E1491" s="66">
        <v>757773.25045034452</v>
      </c>
      <c r="F1491" s="66" t="s">
        <v>1485</v>
      </c>
      <c r="G1491" s="25">
        <f t="shared" si="19"/>
        <v>2.2646458758379451E-2</v>
      </c>
    </row>
    <row r="1492" spans="1:7">
      <c r="A1492" s="66">
        <v>85.463334818841986</v>
      </c>
      <c r="B1492" s="66">
        <v>87.414883397682857</v>
      </c>
      <c r="C1492" s="66">
        <v>85.160982222120154</v>
      </c>
      <c r="D1492" s="66">
        <v>85.395867710482563</v>
      </c>
      <c r="E1492" s="66">
        <v>884763.13053172955</v>
      </c>
      <c r="F1492" s="66" t="s">
        <v>1486</v>
      </c>
      <c r="G1492" s="25">
        <f t="shared" si="19"/>
        <v>7.900512070226906E-4</v>
      </c>
    </row>
    <row r="1493" spans="1:7">
      <c r="A1493" s="66">
        <v>85.663237362129138</v>
      </c>
      <c r="B1493" s="66">
        <v>85.888127723327202</v>
      </c>
      <c r="C1493" s="66">
        <v>84.458824538824018</v>
      </c>
      <c r="D1493" s="66">
        <v>84.458824538824018</v>
      </c>
      <c r="E1493" s="66">
        <v>825474.2400298476</v>
      </c>
      <c r="F1493" s="66" t="s">
        <v>1487</v>
      </c>
      <c r="G1493" s="25">
        <f t="shared" si="19"/>
        <v>1.426035502958567E-2</v>
      </c>
    </row>
    <row r="1494" spans="1:7">
      <c r="A1494" s="66">
        <v>83.816637618514022</v>
      </c>
      <c r="B1494" s="66">
        <v>84.456325757032928</v>
      </c>
      <c r="C1494" s="66">
        <v>82.284884380576187</v>
      </c>
      <c r="D1494" s="66">
        <v>83.776657109856586</v>
      </c>
      <c r="E1494" s="66">
        <v>721647.64703755418</v>
      </c>
      <c r="F1494" s="66" t="s">
        <v>1488</v>
      </c>
      <c r="G1494" s="25">
        <f t="shared" si="19"/>
        <v>4.7722730933275059E-4</v>
      </c>
    </row>
    <row r="1495" spans="1:7">
      <c r="A1495" s="66">
        <v>84.651230736737901</v>
      </c>
      <c r="B1495" s="66">
        <v>85.36088476540732</v>
      </c>
      <c r="C1495" s="66">
        <v>84.126486560609123</v>
      </c>
      <c r="D1495" s="66">
        <v>84.951084551668657</v>
      </c>
      <c r="E1495" s="66">
        <v>847921.17805381352</v>
      </c>
      <c r="F1495" s="66" t="s">
        <v>1489</v>
      </c>
      <c r="G1495" s="25">
        <f t="shared" si="19"/>
        <v>-3.5297232108717491E-3</v>
      </c>
    </row>
    <row r="1496" spans="1:7">
      <c r="A1496" s="66">
        <v>84.238931741208148</v>
      </c>
      <c r="B1496" s="66">
        <v>85.092265722865207</v>
      </c>
      <c r="C1496" s="66">
        <v>83.584250911942704</v>
      </c>
      <c r="D1496" s="66">
        <v>83.67670583821301</v>
      </c>
      <c r="E1496" s="66">
        <v>1063414.1842539378</v>
      </c>
      <c r="F1496" s="66" t="s">
        <v>1490</v>
      </c>
      <c r="G1496" s="25">
        <f t="shared" si="19"/>
        <v>6.7190252933975181E-3</v>
      </c>
    </row>
    <row r="1497" spans="1:7">
      <c r="A1497" s="66">
        <v>83.356861768953564</v>
      </c>
      <c r="B1497" s="66">
        <v>84.939840033608746</v>
      </c>
      <c r="C1497" s="66">
        <v>83.274401969847602</v>
      </c>
      <c r="D1497" s="66">
        <v>83.831630309260561</v>
      </c>
      <c r="E1497" s="66">
        <v>743482.28669859155</v>
      </c>
      <c r="F1497" s="66" t="s">
        <v>1491</v>
      </c>
      <c r="G1497" s="25">
        <f t="shared" si="19"/>
        <v>-5.6633580732659006E-3</v>
      </c>
    </row>
    <row r="1498" spans="1:7">
      <c r="A1498" s="66">
        <v>83.489297203881307</v>
      </c>
      <c r="B1498" s="66">
        <v>85.128498058836001</v>
      </c>
      <c r="C1498" s="66">
        <v>83.385597759551089</v>
      </c>
      <c r="D1498" s="66">
        <v>84.361372048971532</v>
      </c>
      <c r="E1498" s="66">
        <v>731576.48519720114</v>
      </c>
      <c r="F1498" s="66" t="s">
        <v>1492</v>
      </c>
      <c r="G1498" s="25">
        <f t="shared" si="19"/>
        <v>-1.0337371523355343E-2</v>
      </c>
    </row>
    <row r="1499" spans="1:7">
      <c r="A1499" s="66">
        <v>83.269404406265437</v>
      </c>
      <c r="B1499" s="66">
        <v>83.565260170330419</v>
      </c>
      <c r="C1499" s="66">
        <v>81.647695023848371</v>
      </c>
      <c r="D1499" s="66">
        <v>81.765137768029575</v>
      </c>
      <c r="E1499" s="66">
        <v>795047.41353738669</v>
      </c>
      <c r="F1499" s="66" t="s">
        <v>1493</v>
      </c>
      <c r="G1499" s="25">
        <f t="shared" si="19"/>
        <v>1.8397408471364951E-2</v>
      </c>
    </row>
    <row r="1500" spans="1:7">
      <c r="A1500" s="66">
        <v>82.217417272216764</v>
      </c>
      <c r="B1500" s="66">
        <v>83.083245162829272</v>
      </c>
      <c r="C1500" s="66">
        <v>81.65769015101273</v>
      </c>
      <c r="D1500" s="66">
        <v>82.719672412225748</v>
      </c>
      <c r="E1500" s="66">
        <v>730251.83971923136</v>
      </c>
      <c r="F1500" s="66" t="s">
        <v>1494</v>
      </c>
      <c r="G1500" s="25">
        <f t="shared" si="19"/>
        <v>-6.0717738037699975E-3</v>
      </c>
    </row>
    <row r="1501" spans="1:7">
      <c r="A1501" s="66">
        <v>83.366856896117923</v>
      </c>
      <c r="B1501" s="66">
        <v>85.03854191435677</v>
      </c>
      <c r="C1501" s="66">
        <v>83.171951916412951</v>
      </c>
      <c r="D1501" s="66">
        <v>84.631240482409197</v>
      </c>
      <c r="E1501" s="66">
        <v>854484.37619239523</v>
      </c>
      <c r="F1501" s="66" t="s">
        <v>1495</v>
      </c>
      <c r="G1501" s="25">
        <f t="shared" si="19"/>
        <v>-1.4939915556999028E-2</v>
      </c>
    </row>
    <row r="1502" spans="1:7">
      <c r="A1502" s="66">
        <v>84.771172262710209</v>
      </c>
      <c r="B1502" s="66">
        <v>85.873135032580663</v>
      </c>
      <c r="C1502" s="66">
        <v>83.581752130151614</v>
      </c>
      <c r="D1502" s="66">
        <v>85.873135032580663</v>
      </c>
      <c r="E1502" s="66">
        <v>1002072.2933587068</v>
      </c>
      <c r="F1502" s="66" t="s">
        <v>1496</v>
      </c>
      <c r="G1502" s="25">
        <f t="shared" si="19"/>
        <v>-1.2832450677995655E-2</v>
      </c>
    </row>
    <row r="1503" spans="1:7">
      <c r="A1503" s="66">
        <v>85.423354310184564</v>
      </c>
      <c r="B1503" s="66">
        <v>85.850596020825023</v>
      </c>
      <c r="C1503" s="66">
        <v>83.954070617023945</v>
      </c>
      <c r="D1503" s="66">
        <v>85.350889638242961</v>
      </c>
      <c r="E1503" s="66">
        <v>1237887.2020879269</v>
      </c>
      <c r="F1503" s="66" t="s">
        <v>1497</v>
      </c>
      <c r="G1503" s="25">
        <f>A1503/D1503-1</f>
        <v>8.4902069853920459E-4</v>
      </c>
    </row>
    <row r="1504" spans="1:7">
      <c r="G1504" s="25"/>
    </row>
    <row r="1505" spans="7:7">
      <c r="G1505" s="25"/>
    </row>
    <row r="1506" spans="7:7">
      <c r="G1506" s="25"/>
    </row>
    <row r="1507" spans="7:7">
      <c r="G1507" s="25"/>
    </row>
    <row r="1508" spans="7:7">
      <c r="G1508" s="25"/>
    </row>
    <row r="1509" spans="7:7">
      <c r="G1509" s="25"/>
    </row>
    <row r="1510" spans="7:7">
      <c r="G1510" s="25"/>
    </row>
    <row r="1511" spans="7:7">
      <c r="G1511" s="25"/>
    </row>
    <row r="1512" spans="7:7">
      <c r="G1512" s="25"/>
    </row>
    <row r="1513" spans="7:7">
      <c r="G1513" s="25"/>
    </row>
    <row r="1514" spans="7:7">
      <c r="G1514" s="25"/>
    </row>
    <row r="1515" spans="7:7">
      <c r="G1515" s="25"/>
    </row>
    <row r="1516" spans="7:7">
      <c r="G1516" s="25"/>
    </row>
    <row r="1517" spans="7:7">
      <c r="G1517" s="25"/>
    </row>
    <row r="1518" spans="7:7">
      <c r="G1518" s="25"/>
    </row>
    <row r="1519" spans="7:7">
      <c r="G1519" s="25"/>
    </row>
    <row r="1520" spans="7:7">
      <c r="G1520" s="25"/>
    </row>
    <row r="1521" spans="7:7">
      <c r="G1521" s="25"/>
    </row>
    <row r="1522" spans="7:7">
      <c r="G1522" s="25"/>
    </row>
    <row r="1523" spans="7:7">
      <c r="G1523" s="25"/>
    </row>
    <row r="1524" spans="7:7">
      <c r="G1524" s="25"/>
    </row>
    <row r="1525" spans="7:7">
      <c r="G1525" s="25"/>
    </row>
    <row r="1526" spans="7:7">
      <c r="G1526" s="25"/>
    </row>
    <row r="1527" spans="7:7">
      <c r="G1527" s="25"/>
    </row>
    <row r="1528" spans="7:7">
      <c r="G1528" s="25"/>
    </row>
    <row r="1529" spans="7:7">
      <c r="G1529" s="25"/>
    </row>
    <row r="1530" spans="7:7">
      <c r="G1530" s="25"/>
    </row>
    <row r="1531" spans="7:7">
      <c r="G1531" s="25"/>
    </row>
    <row r="1532" spans="7:7">
      <c r="G1532" s="25"/>
    </row>
    <row r="1533" spans="7:7">
      <c r="G1533" s="25"/>
    </row>
    <row r="1534" spans="7:7">
      <c r="G1534" s="25"/>
    </row>
    <row r="1535" spans="7:7">
      <c r="G1535" s="25"/>
    </row>
    <row r="1536" spans="7:7">
      <c r="G1536" s="25"/>
    </row>
    <row r="1537" spans="7:7">
      <c r="G1537" s="25"/>
    </row>
    <row r="1538" spans="7:7">
      <c r="G1538" s="25"/>
    </row>
    <row r="1539" spans="7:7">
      <c r="G1539" s="25"/>
    </row>
    <row r="1540" spans="7:7">
      <c r="G1540" s="25"/>
    </row>
    <row r="1541" spans="7:7">
      <c r="G1541" s="25"/>
    </row>
    <row r="1542" spans="7:7">
      <c r="G1542" s="25"/>
    </row>
    <row r="1543" spans="7:7">
      <c r="G1543" s="25"/>
    </row>
    <row r="1544" spans="7:7">
      <c r="G1544" s="25"/>
    </row>
    <row r="1545" spans="7:7">
      <c r="G1545" s="25"/>
    </row>
    <row r="1546" spans="7:7">
      <c r="G1546" s="25"/>
    </row>
    <row r="1547" spans="7:7">
      <c r="G1547" s="25"/>
    </row>
    <row r="1548" spans="7:7">
      <c r="G1548" s="25"/>
    </row>
    <row r="1549" spans="7:7">
      <c r="G1549" s="25"/>
    </row>
    <row r="1550" spans="7:7">
      <c r="G1550" s="25"/>
    </row>
    <row r="1551" spans="7:7">
      <c r="G1551" s="25"/>
    </row>
    <row r="1552" spans="7:7">
      <c r="G1552" s="25"/>
    </row>
    <row r="1553" spans="7:7">
      <c r="G1553" s="25"/>
    </row>
    <row r="1554" spans="7:7">
      <c r="G1554" s="25"/>
    </row>
    <row r="1555" spans="7:7">
      <c r="G1555" s="25"/>
    </row>
    <row r="1556" spans="7:7">
      <c r="G1556" s="25"/>
    </row>
    <row r="1557" spans="7:7">
      <c r="G1557" s="25"/>
    </row>
    <row r="1558" spans="7:7">
      <c r="G1558" s="25"/>
    </row>
    <row r="1559" spans="7:7">
      <c r="G1559" s="25"/>
    </row>
    <row r="1560" spans="7:7">
      <c r="G1560" s="25"/>
    </row>
    <row r="1561" spans="7:7">
      <c r="G1561" s="25"/>
    </row>
    <row r="1562" spans="7:7">
      <c r="G1562" s="25"/>
    </row>
    <row r="1563" spans="7:7">
      <c r="G1563" s="25"/>
    </row>
    <row r="1564" spans="7:7">
      <c r="G1564" s="25"/>
    </row>
    <row r="1565" spans="7:7">
      <c r="G1565" s="25"/>
    </row>
    <row r="1566" spans="7:7">
      <c r="G1566" s="25"/>
    </row>
    <row r="1567" spans="7:7">
      <c r="G1567" s="25"/>
    </row>
    <row r="1568" spans="7:7">
      <c r="G1568" s="25"/>
    </row>
    <row r="1569" spans="7:7">
      <c r="G1569" s="25"/>
    </row>
    <row r="1570" spans="7:7">
      <c r="G1570" s="25"/>
    </row>
    <row r="1571" spans="7:7">
      <c r="G1571" s="25"/>
    </row>
    <row r="1572" spans="7:7">
      <c r="G1572" s="25"/>
    </row>
    <row r="1573" spans="7:7">
      <c r="G1573" s="25"/>
    </row>
    <row r="1574" spans="7:7">
      <c r="G1574" s="25"/>
    </row>
    <row r="1575" spans="7:7">
      <c r="G1575" s="25"/>
    </row>
    <row r="1576" spans="7:7">
      <c r="G1576" s="25"/>
    </row>
    <row r="1577" spans="7:7">
      <c r="G1577" s="25"/>
    </row>
    <row r="1578" spans="7:7">
      <c r="G1578" s="25"/>
    </row>
    <row r="1579" spans="7:7">
      <c r="G1579" s="25"/>
    </row>
    <row r="1580" spans="7:7">
      <c r="G1580" s="25"/>
    </row>
    <row r="1581" spans="7:7">
      <c r="G1581" s="25"/>
    </row>
    <row r="1582" spans="7:7">
      <c r="G1582" s="25"/>
    </row>
    <row r="1583" spans="7:7">
      <c r="G1583" s="25"/>
    </row>
    <row r="1584" spans="7:7">
      <c r="G1584" s="25"/>
    </row>
    <row r="1585" spans="7:7">
      <c r="G1585" s="25"/>
    </row>
    <row r="1586" spans="7:7">
      <c r="G1586" s="25"/>
    </row>
    <row r="1587" spans="7:7">
      <c r="G1587" s="25"/>
    </row>
    <row r="1588" spans="7:7">
      <c r="G1588" s="25"/>
    </row>
    <row r="1589" spans="7:7">
      <c r="G1589" s="25"/>
    </row>
    <row r="1590" spans="7:7">
      <c r="G1590" s="25"/>
    </row>
    <row r="1591" spans="7:7">
      <c r="G1591" s="25"/>
    </row>
    <row r="1592" spans="7:7">
      <c r="G1592" s="25"/>
    </row>
    <row r="1593" spans="7:7">
      <c r="G1593" s="25"/>
    </row>
    <row r="1594" spans="7:7">
      <c r="G1594" s="25"/>
    </row>
    <row r="1595" spans="7:7">
      <c r="G1595" s="25"/>
    </row>
    <row r="1596" spans="7:7">
      <c r="G1596" s="25"/>
    </row>
    <row r="1597" spans="7:7">
      <c r="G1597" s="25"/>
    </row>
    <row r="1598" spans="7:7">
      <c r="G1598" s="25"/>
    </row>
    <row r="1599" spans="7:7">
      <c r="G1599" s="25"/>
    </row>
    <row r="1600" spans="7:7">
      <c r="G1600" s="25"/>
    </row>
    <row r="1601" spans="7:7">
      <c r="G1601" s="25"/>
    </row>
    <row r="1602" spans="7:7">
      <c r="G1602" s="25"/>
    </row>
    <row r="1603" spans="7:7">
      <c r="G1603" s="25"/>
    </row>
    <row r="1604" spans="7:7">
      <c r="G1604" s="25"/>
    </row>
    <row r="1605" spans="7:7">
      <c r="G1605" s="25"/>
    </row>
    <row r="1606" spans="7:7">
      <c r="G1606" s="25"/>
    </row>
    <row r="1607" spans="7:7">
      <c r="G1607" s="25"/>
    </row>
    <row r="1608" spans="7:7">
      <c r="G1608" s="25"/>
    </row>
    <row r="1609" spans="7:7">
      <c r="G1609" s="25"/>
    </row>
    <row r="1610" spans="7:7">
      <c r="G1610" s="25"/>
    </row>
    <row r="1611" spans="7:7">
      <c r="G1611" s="25"/>
    </row>
    <row r="1612" spans="7:7">
      <c r="G1612" s="25"/>
    </row>
    <row r="1613" spans="7:7">
      <c r="G1613" s="25"/>
    </row>
    <row r="1614" spans="7:7">
      <c r="G1614" s="25"/>
    </row>
    <row r="1615" spans="7:7">
      <c r="G1615" s="25"/>
    </row>
    <row r="1616" spans="7:7">
      <c r="G1616" s="25"/>
    </row>
    <row r="1617" spans="7:7">
      <c r="G1617" s="25"/>
    </row>
    <row r="1618" spans="7:7">
      <c r="G1618" s="2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ColWidth="9.140625" defaultRowHeight="14.25"/>
  <cols>
    <col min="1" max="1" width="3.140625" style="1" customWidth="1"/>
    <col min="2" max="16384" width="9.140625" style="1"/>
  </cols>
  <sheetData>
    <row r="2" spans="2:26" ht="15">
      <c r="B2" s="3" t="s">
        <v>11</v>
      </c>
      <c r="C2" s="4"/>
      <c r="D2" s="4"/>
      <c r="E2" s="4"/>
      <c r="F2" s="4"/>
      <c r="G2" s="3" t="s">
        <v>11</v>
      </c>
      <c r="H2" s="5"/>
      <c r="I2" s="5"/>
      <c r="J2" s="5"/>
      <c r="K2" s="5"/>
      <c r="L2" s="5"/>
      <c r="M2" s="5"/>
      <c r="N2" s="5"/>
      <c r="O2" s="5"/>
      <c r="P2" s="5"/>
      <c r="Q2" s="5"/>
      <c r="R2" s="5"/>
      <c r="S2" s="5"/>
      <c r="T2" s="5"/>
      <c r="U2" s="5"/>
      <c r="V2" s="5"/>
      <c r="W2" s="5"/>
      <c r="X2" s="5"/>
      <c r="Y2" s="5"/>
      <c r="Z2" s="6"/>
    </row>
    <row r="3" spans="2:26" ht="15">
      <c r="B3" s="7" t="s">
        <v>12</v>
      </c>
      <c r="C3" s="8"/>
      <c r="D3" s="8"/>
      <c r="E3" s="8"/>
      <c r="F3" s="9"/>
      <c r="G3" s="10" t="s">
        <v>13</v>
      </c>
      <c r="H3" s="10"/>
      <c r="I3" s="10"/>
      <c r="J3" s="10"/>
      <c r="K3" s="10"/>
      <c r="L3" s="10"/>
      <c r="M3" s="10"/>
      <c r="N3" s="10"/>
      <c r="O3" s="10"/>
      <c r="P3" s="10"/>
      <c r="Q3" s="10"/>
      <c r="R3" s="10"/>
      <c r="S3" s="10"/>
      <c r="T3" s="10"/>
      <c r="U3" s="10"/>
      <c r="V3" s="10"/>
      <c r="W3" s="10"/>
      <c r="X3" s="10"/>
      <c r="Y3" s="10"/>
      <c r="Z3" s="11"/>
    </row>
    <row r="4" spans="2:26" ht="15">
      <c r="B4" s="12" t="s">
        <v>12</v>
      </c>
      <c r="C4" s="13"/>
      <c r="D4" s="13"/>
      <c r="E4" s="13"/>
      <c r="F4" s="14"/>
      <c r="G4" s="15" t="s">
        <v>14</v>
      </c>
      <c r="H4" s="15"/>
      <c r="I4" s="15"/>
      <c r="J4" s="15"/>
      <c r="K4" s="15"/>
      <c r="L4" s="15"/>
      <c r="M4" s="15"/>
      <c r="N4" s="15"/>
      <c r="O4" s="15"/>
      <c r="P4" s="15"/>
      <c r="Q4" s="15"/>
      <c r="R4" s="15"/>
      <c r="S4" s="15"/>
      <c r="T4" s="15"/>
      <c r="U4" s="15"/>
      <c r="V4" s="15"/>
      <c r="W4" s="15"/>
      <c r="X4" s="15"/>
      <c r="Y4" s="15"/>
      <c r="Z4" s="16"/>
    </row>
    <row r="5" spans="2:26" ht="15">
      <c r="B5" s="12" t="s">
        <v>12</v>
      </c>
      <c r="C5" s="13"/>
      <c r="D5" s="13"/>
      <c r="E5" s="13"/>
      <c r="F5" s="14"/>
      <c r="G5" s="17" t="s">
        <v>13</v>
      </c>
      <c r="H5" s="17"/>
      <c r="I5" s="17"/>
      <c r="J5" s="17"/>
      <c r="K5" s="17"/>
      <c r="L5" s="17"/>
      <c r="M5" s="17"/>
      <c r="N5" s="17"/>
      <c r="O5" s="17"/>
      <c r="P5" s="17"/>
      <c r="Q5" s="17"/>
      <c r="R5" s="17"/>
      <c r="S5" s="17"/>
      <c r="T5" s="17"/>
      <c r="U5" s="17"/>
      <c r="V5" s="17"/>
      <c r="W5" s="17"/>
      <c r="X5" s="17"/>
      <c r="Y5" s="17"/>
      <c r="Z5" s="18"/>
    </row>
    <row r="6" spans="2:26" ht="15">
      <c r="B6" s="12" t="s">
        <v>12</v>
      </c>
      <c r="C6" s="13"/>
      <c r="D6" s="13"/>
      <c r="E6" s="13"/>
      <c r="F6" s="14"/>
      <c r="G6" s="15" t="s">
        <v>14</v>
      </c>
      <c r="H6" s="15"/>
      <c r="I6" s="15"/>
      <c r="J6" s="15"/>
      <c r="K6" s="15"/>
      <c r="L6" s="15"/>
      <c r="M6" s="15"/>
      <c r="N6" s="15"/>
      <c r="O6" s="15"/>
      <c r="P6" s="15"/>
      <c r="Q6" s="15"/>
      <c r="R6" s="15"/>
      <c r="S6" s="15"/>
      <c r="T6" s="15"/>
      <c r="U6" s="15"/>
      <c r="V6" s="15"/>
      <c r="W6" s="15"/>
      <c r="X6" s="15"/>
      <c r="Y6" s="15"/>
      <c r="Z6" s="16"/>
    </row>
    <row r="7" spans="2:26" ht="15">
      <c r="B7" s="12" t="s">
        <v>12</v>
      </c>
      <c r="C7" s="13"/>
      <c r="D7" s="13"/>
      <c r="E7" s="13"/>
      <c r="F7" s="14"/>
      <c r="G7" s="17" t="s">
        <v>13</v>
      </c>
      <c r="H7" s="17"/>
      <c r="I7" s="17"/>
      <c r="J7" s="17"/>
      <c r="K7" s="17"/>
      <c r="L7" s="17"/>
      <c r="M7" s="17"/>
      <c r="N7" s="17"/>
      <c r="O7" s="17"/>
      <c r="P7" s="17"/>
      <c r="Q7" s="17"/>
      <c r="R7" s="17"/>
      <c r="S7" s="17"/>
      <c r="T7" s="17"/>
      <c r="U7" s="17"/>
      <c r="V7" s="17"/>
      <c r="W7" s="17"/>
      <c r="X7" s="17"/>
      <c r="Y7" s="17"/>
      <c r="Z7" s="18"/>
    </row>
    <row r="8" spans="2:26" ht="15">
      <c r="B8" s="19" t="s">
        <v>12</v>
      </c>
      <c r="C8" s="20"/>
      <c r="D8" s="20"/>
      <c r="E8" s="20"/>
      <c r="F8" s="21"/>
      <c r="G8" s="22" t="s">
        <v>14</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2025-12-25T10:51:18Z</dcterms:modified>
</cp:coreProperties>
</file>