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er\OneDrive\Desktop\Equity Research\Models\Technology\"/>
    </mc:Choice>
  </mc:AlternateContent>
  <xr:revisionPtr revIDLastSave="0" documentId="13_ncr:1_{E543E61A-B7A3-4BDD-AC0A-C3F92470EEAD}" xr6:coauthVersionLast="47" xr6:coauthVersionMax="47" xr10:uidLastSave="{00000000-0000-0000-0000-000000000000}"/>
  <bookViews>
    <workbookView xWindow="28680" yWindow="-120" windowWidth="29040" windowHeight="15720" activeTab="1" xr2:uid="{00000000-000D-0000-FFFF-FFFF00000000}"/>
  </bookViews>
  <sheets>
    <sheet name="Main" sheetId="1" r:id="rId1"/>
    <sheet name="Model" sheetId="2" r:id="rId2"/>
    <sheet name="Notes | Quant Analysis" sheetId="3" r:id="rId3"/>
    <sheet name="Product Lines" sheetId="5" r:id="rId4"/>
    <sheet name="Management" sheetId="6" r:id="rId5"/>
    <sheet name="Table Formatting" sheetId="4"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L9" i="2" l="1"/>
  <c r="CK9" i="2"/>
  <c r="CJ9" i="2"/>
  <c r="CI9" i="2"/>
  <c r="CH9" i="2"/>
  <c r="CG9" i="2"/>
  <c r="CF9" i="2"/>
  <c r="CE9" i="2"/>
  <c r="CD9" i="2"/>
  <c r="CC9" i="2"/>
  <c r="CB9" i="2"/>
  <c r="CM9" i="2"/>
  <c r="BA9" i="2"/>
  <c r="AZ9" i="2"/>
  <c r="AY9" i="2"/>
  <c r="AX9" i="2"/>
  <c r="AW9" i="2"/>
  <c r="AV9" i="2"/>
  <c r="AU9" i="2"/>
  <c r="AT9" i="2"/>
  <c r="AS9" i="2"/>
  <c r="AR9" i="2"/>
  <c r="AQ9" i="2"/>
  <c r="AP9" i="2"/>
  <c r="AO9" i="2"/>
  <c r="AN9" i="2"/>
  <c r="AM9" i="2"/>
  <c r="AL9" i="2"/>
  <c r="AK9" i="2"/>
  <c r="AJ9" i="2"/>
  <c r="AI9" i="2"/>
  <c r="AH9" i="2"/>
  <c r="AG9" i="2"/>
  <c r="AF9" i="2"/>
  <c r="AE9" i="2"/>
  <c r="AD9" i="2"/>
  <c r="AC9" i="2"/>
  <c r="AB9" i="2"/>
  <c r="AA9" i="2"/>
  <c r="Z9" i="2"/>
  <c r="Y9" i="2"/>
  <c r="X9" i="2"/>
  <c r="W9" i="2"/>
  <c r="V9" i="2"/>
  <c r="U9" i="2"/>
  <c r="T9" i="2"/>
  <c r="S9" i="2"/>
  <c r="R9" i="2"/>
  <c r="Q9" i="2"/>
  <c r="P9" i="2"/>
  <c r="O9" i="2"/>
  <c r="N9" i="2"/>
  <c r="M9" i="2"/>
  <c r="L9" i="2"/>
  <c r="K9" i="2"/>
  <c r="J9" i="2"/>
  <c r="I9" i="2"/>
  <c r="H9" i="2"/>
  <c r="G9" i="2"/>
  <c r="BB9" i="2"/>
  <c r="CT48" i="2" l="1"/>
  <c r="CU48" i="2"/>
  <c r="C7" i="1"/>
  <c r="C6" i="1"/>
  <c r="BP80" i="2"/>
  <c r="BP79" i="2"/>
  <c r="BP70" i="2"/>
  <c r="BP69" i="2"/>
  <c r="BP65" i="2"/>
  <c r="BP67" i="2" s="1"/>
  <c r="BP56" i="2"/>
  <c r="BP34" i="2"/>
  <c r="BP33" i="2"/>
  <c r="BP22" i="2"/>
  <c r="BP14" i="2"/>
  <c r="BP17" i="2" s="1"/>
  <c r="BP8" i="2"/>
  <c r="BP7" i="2"/>
  <c r="BP5" i="2"/>
  <c r="BP9" i="2" s="1"/>
  <c r="BO74" i="2"/>
  <c r="BN74" i="2"/>
  <c r="BM74" i="2"/>
  <c r="BL74" i="2"/>
  <c r="BK74" i="2"/>
  <c r="BJ74" i="2"/>
  <c r="BI74" i="2"/>
  <c r="BH74" i="2"/>
  <c r="BG74" i="2"/>
  <c r="BF74" i="2"/>
  <c r="BE74" i="2"/>
  <c r="BD74" i="2"/>
  <c r="BC74" i="2"/>
  <c r="BB74" i="2"/>
  <c r="BA74" i="2"/>
  <c r="AZ74" i="2"/>
  <c r="AY74" i="2"/>
  <c r="BO73" i="2"/>
  <c r="BN73" i="2"/>
  <c r="BM73" i="2"/>
  <c r="BL73" i="2"/>
  <c r="BK73" i="2"/>
  <c r="BJ73" i="2"/>
  <c r="BI73" i="2"/>
  <c r="BH73" i="2"/>
  <c r="BG73" i="2"/>
  <c r="BF73" i="2"/>
  <c r="BE73" i="2"/>
  <c r="BD73" i="2"/>
  <c r="BC73" i="2"/>
  <c r="BB73" i="2"/>
  <c r="BA73" i="2"/>
  <c r="AZ73" i="2"/>
  <c r="AY73" i="2"/>
  <c r="BO72" i="2"/>
  <c r="BN72" i="2"/>
  <c r="BM72" i="2"/>
  <c r="BL72" i="2"/>
  <c r="BK72" i="2"/>
  <c r="BJ72" i="2"/>
  <c r="BI72" i="2"/>
  <c r="BH72" i="2"/>
  <c r="BG72" i="2"/>
  <c r="BF72" i="2"/>
  <c r="BE72" i="2"/>
  <c r="BD72" i="2"/>
  <c r="BC72" i="2"/>
  <c r="BB72" i="2"/>
  <c r="BA72" i="2"/>
  <c r="AZ72" i="2"/>
  <c r="AY72" i="2"/>
  <c r="BO71" i="2"/>
  <c r="BN71" i="2"/>
  <c r="BM71" i="2"/>
  <c r="BL71" i="2"/>
  <c r="BK71" i="2"/>
  <c r="BJ71" i="2"/>
  <c r="BI71" i="2"/>
  <c r="BH71" i="2"/>
  <c r="BG71" i="2"/>
  <c r="BF71" i="2"/>
  <c r="BE71" i="2"/>
  <c r="BD71" i="2"/>
  <c r="BC71" i="2"/>
  <c r="BB71" i="2"/>
  <c r="BA71" i="2"/>
  <c r="AZ71" i="2"/>
  <c r="AY71" i="2"/>
  <c r="BO70" i="2"/>
  <c r="BN70" i="2"/>
  <c r="BM70" i="2"/>
  <c r="BL70" i="2"/>
  <c r="BK70" i="2"/>
  <c r="BJ70" i="2"/>
  <c r="BI70" i="2"/>
  <c r="BH70" i="2"/>
  <c r="BG70" i="2"/>
  <c r="BF70" i="2"/>
  <c r="BE70" i="2"/>
  <c r="BD70" i="2"/>
  <c r="BC70" i="2"/>
  <c r="BB70" i="2"/>
  <c r="BA70" i="2"/>
  <c r="AZ70" i="2"/>
  <c r="AY70" i="2"/>
  <c r="BO69" i="2"/>
  <c r="BN69" i="2"/>
  <c r="BM69" i="2"/>
  <c r="BL69" i="2"/>
  <c r="BK69" i="2"/>
  <c r="BJ69" i="2"/>
  <c r="BI69" i="2"/>
  <c r="BH69" i="2"/>
  <c r="BG69" i="2"/>
  <c r="BF69" i="2"/>
  <c r="BE69" i="2"/>
  <c r="BD69" i="2"/>
  <c r="BC69" i="2"/>
  <c r="BB69" i="2"/>
  <c r="BA69" i="2"/>
  <c r="AZ69" i="2"/>
  <c r="AY69" i="2"/>
  <c r="CO74" i="2"/>
  <c r="CN74" i="2"/>
  <c r="CM74" i="2"/>
  <c r="CO73" i="2"/>
  <c r="CN73" i="2"/>
  <c r="CM73" i="2"/>
  <c r="CO72" i="2"/>
  <c r="CN72" i="2"/>
  <c r="CM72" i="2"/>
  <c r="CO71" i="2"/>
  <c r="CN71" i="2"/>
  <c r="CM71" i="2"/>
  <c r="CO70" i="2"/>
  <c r="CN70" i="2"/>
  <c r="CM70" i="2"/>
  <c r="CO69" i="2"/>
  <c r="CN69" i="2"/>
  <c r="CM69" i="2"/>
  <c r="CP74" i="2"/>
  <c r="CP73" i="2"/>
  <c r="CP71" i="2"/>
  <c r="CP72" i="2"/>
  <c r="BP81" i="2" l="1"/>
  <c r="BP16" i="2"/>
  <c r="BP39" i="2" s="1"/>
  <c r="CP78" i="2"/>
  <c r="CO78" i="2"/>
  <c r="CN78" i="2"/>
  <c r="CM78" i="2"/>
  <c r="CL78" i="2"/>
  <c r="CK78" i="2"/>
  <c r="CJ78" i="2"/>
  <c r="CI78" i="2"/>
  <c r="CH78" i="2"/>
  <c r="CG78" i="2"/>
  <c r="CF78" i="2"/>
  <c r="CE78" i="2"/>
  <c r="CD78" i="2"/>
  <c r="CC78" i="2"/>
  <c r="CB78" i="2"/>
  <c r="CA78" i="2"/>
  <c r="CA2" i="2"/>
  <c r="BN79" i="2"/>
  <c r="BM79" i="2"/>
  <c r="BL79" i="2"/>
  <c r="BK79" i="2"/>
  <c r="BJ79" i="2"/>
  <c r="BI79" i="2"/>
  <c r="BH79" i="2"/>
  <c r="BG79" i="2"/>
  <c r="BF79" i="2"/>
  <c r="BE79" i="2"/>
  <c r="BD79" i="2"/>
  <c r="BC79" i="2"/>
  <c r="BB79" i="2"/>
  <c r="BA79" i="2"/>
  <c r="AZ79" i="2"/>
  <c r="AY79" i="2"/>
  <c r="AX79" i="2"/>
  <c r="AW79" i="2"/>
  <c r="AV79" i="2"/>
  <c r="AU79" i="2"/>
  <c r="AT79" i="2"/>
  <c r="AS79" i="2"/>
  <c r="AR79" i="2"/>
  <c r="AQ79" i="2"/>
  <c r="AP79" i="2"/>
  <c r="AO79" i="2"/>
  <c r="AN79" i="2"/>
  <c r="AM79" i="2"/>
  <c r="AL79" i="2"/>
  <c r="AK79" i="2"/>
  <c r="AJ79" i="2"/>
  <c r="AI79" i="2"/>
  <c r="AH79" i="2"/>
  <c r="AG79" i="2"/>
  <c r="AF79" i="2"/>
  <c r="AE79" i="2"/>
  <c r="AD79" i="2"/>
  <c r="AC79" i="2"/>
  <c r="AB79" i="2"/>
  <c r="AA79" i="2"/>
  <c r="Z79" i="2"/>
  <c r="Y79" i="2"/>
  <c r="X79" i="2"/>
  <c r="W79" i="2"/>
  <c r="V79" i="2"/>
  <c r="U79" i="2"/>
  <c r="T79" i="2"/>
  <c r="S79" i="2"/>
  <c r="R79" i="2"/>
  <c r="Q79" i="2"/>
  <c r="P79" i="2"/>
  <c r="O79" i="2"/>
  <c r="N79" i="2"/>
  <c r="M79" i="2"/>
  <c r="L79" i="2"/>
  <c r="K79" i="2"/>
  <c r="J79" i="2"/>
  <c r="I79" i="2"/>
  <c r="H79" i="2"/>
  <c r="G79" i="2"/>
  <c r="F79" i="2"/>
  <c r="E79" i="2"/>
  <c r="D79" i="2"/>
  <c r="C79" i="2"/>
  <c r="BO79" i="2"/>
  <c r="AT80" i="2"/>
  <c r="AS80" i="2"/>
  <c r="AR80" i="2"/>
  <c r="AQ80" i="2"/>
  <c r="AP80" i="2"/>
  <c r="AO80" i="2"/>
  <c r="AN80" i="2"/>
  <c r="AM80" i="2"/>
  <c r="AL80" i="2"/>
  <c r="AK80" i="2"/>
  <c r="AJ80" i="2"/>
  <c r="AI80" i="2"/>
  <c r="AH80" i="2"/>
  <c r="AG80" i="2"/>
  <c r="AF80" i="2"/>
  <c r="AE80" i="2"/>
  <c r="AD80" i="2"/>
  <c r="AC80" i="2"/>
  <c r="AB80" i="2"/>
  <c r="AA80" i="2"/>
  <c r="Z80" i="2"/>
  <c r="Y80" i="2"/>
  <c r="X80" i="2"/>
  <c r="W80" i="2"/>
  <c r="V80" i="2"/>
  <c r="U80" i="2"/>
  <c r="T80" i="2"/>
  <c r="S80" i="2"/>
  <c r="R80" i="2"/>
  <c r="Q80" i="2"/>
  <c r="P80" i="2"/>
  <c r="O80" i="2"/>
  <c r="N80" i="2"/>
  <c r="M80" i="2"/>
  <c r="L80" i="2"/>
  <c r="K80" i="2"/>
  <c r="J80" i="2"/>
  <c r="I80" i="2"/>
  <c r="H80" i="2"/>
  <c r="G80" i="2"/>
  <c r="F80" i="2"/>
  <c r="E80" i="2"/>
  <c r="D80" i="2"/>
  <c r="C80" i="2"/>
  <c r="CL77" i="2"/>
  <c r="CK77" i="2"/>
  <c r="CJ77" i="2"/>
  <c r="CI77" i="2"/>
  <c r="CH77" i="2"/>
  <c r="CG77" i="2"/>
  <c r="CF77" i="2"/>
  <c r="CE77" i="2"/>
  <c r="CD77" i="2"/>
  <c r="CC77" i="2"/>
  <c r="CB77" i="2"/>
  <c r="CA77" i="2"/>
  <c r="BP18" i="2" l="1"/>
  <c r="BP24" i="2" s="1"/>
  <c r="BP37" i="2"/>
  <c r="BP36" i="2"/>
  <c r="BP72" i="2"/>
  <c r="BP38" i="2"/>
  <c r="BP71" i="2"/>
  <c r="CE80" i="2"/>
  <c r="CF79" i="2"/>
  <c r="CH79" i="2"/>
  <c r="CJ79" i="2"/>
  <c r="CA79" i="2"/>
  <c r="CA80" i="2"/>
  <c r="CD79" i="2"/>
  <c r="CB79" i="2"/>
  <c r="CC79" i="2"/>
  <c r="CB80" i="2"/>
  <c r="CC80" i="2"/>
  <c r="CI79" i="2"/>
  <c r="CG79" i="2"/>
  <c r="CE79" i="2"/>
  <c r="CK79" i="2"/>
  <c r="CD80" i="2"/>
  <c r="BO80" i="2"/>
  <c r="BO81" i="2" s="1"/>
  <c r="BO65" i="2"/>
  <c r="BO67" i="2" s="1"/>
  <c r="BO56" i="2"/>
  <c r="BP35" i="2" l="1"/>
  <c r="BP27" i="2"/>
  <c r="BP40" i="2"/>
  <c r="BO34" i="2"/>
  <c r="BO33" i="2"/>
  <c r="BO22" i="2"/>
  <c r="BO14" i="2"/>
  <c r="BO17" i="2" s="1"/>
  <c r="BO8" i="2"/>
  <c r="BO7" i="2"/>
  <c r="BO5" i="2"/>
  <c r="BO16" i="2" s="1"/>
  <c r="BO38" i="2" s="1"/>
  <c r="M333" i="3"/>
  <c r="M332" i="3"/>
  <c r="M331" i="3"/>
  <c r="M330" i="3"/>
  <c r="M329" i="3"/>
  <c r="M328" i="3"/>
  <c r="M327" i="3"/>
  <c r="M326" i="3"/>
  <c r="M325" i="3"/>
  <c r="M324" i="3"/>
  <c r="M323" i="3"/>
  <c r="M322" i="3"/>
  <c r="M321" i="3"/>
  <c r="M320" i="3"/>
  <c r="M319" i="3"/>
  <c r="M318" i="3"/>
  <c r="M317" i="3"/>
  <c r="M316" i="3"/>
  <c r="M315" i="3"/>
  <c r="M314" i="3"/>
  <c r="M313" i="3"/>
  <c r="M312" i="3"/>
  <c r="M311" i="3"/>
  <c r="M310" i="3"/>
  <c r="M309" i="3"/>
  <c r="M308" i="3"/>
  <c r="M307" i="3"/>
  <c r="M306" i="3"/>
  <c r="M305" i="3"/>
  <c r="M304" i="3"/>
  <c r="M303" i="3"/>
  <c r="M302" i="3"/>
  <c r="M301" i="3"/>
  <c r="M300" i="3"/>
  <c r="M299" i="3"/>
  <c r="M298" i="3"/>
  <c r="M297" i="3"/>
  <c r="M296" i="3"/>
  <c r="M295" i="3"/>
  <c r="M294" i="3"/>
  <c r="M293" i="3"/>
  <c r="M292" i="3"/>
  <c r="M291" i="3"/>
  <c r="M290" i="3"/>
  <c r="M289" i="3"/>
  <c r="M288" i="3"/>
  <c r="M287" i="3"/>
  <c r="M286" i="3"/>
  <c r="M285" i="3"/>
  <c r="BP29" i="2" l="1"/>
  <c r="BP41" i="2"/>
  <c r="BO18" i="2"/>
  <c r="BO24" i="2" s="1"/>
  <c r="BO39" i="2"/>
  <c r="BO36" i="2"/>
  <c r="BO37" i="2"/>
  <c r="G2005" i="3"/>
  <c r="G2004" i="3"/>
  <c r="G2003" i="3"/>
  <c r="G2002" i="3"/>
  <c r="G2001" i="3"/>
  <c r="G2000" i="3"/>
  <c r="G1999" i="3"/>
  <c r="G1998" i="3"/>
  <c r="G1997" i="3"/>
  <c r="G1996" i="3"/>
  <c r="G1995" i="3"/>
  <c r="G1994" i="3"/>
  <c r="G1993" i="3"/>
  <c r="G1992" i="3"/>
  <c r="G1991" i="3"/>
  <c r="G1990" i="3"/>
  <c r="G1989" i="3"/>
  <c r="G1988" i="3"/>
  <c r="G1987" i="3"/>
  <c r="G1986" i="3"/>
  <c r="G1985" i="3"/>
  <c r="G1984" i="3"/>
  <c r="G1983" i="3"/>
  <c r="G1982" i="3"/>
  <c r="G1981" i="3"/>
  <c r="G1980" i="3"/>
  <c r="G1979" i="3"/>
  <c r="G1978" i="3"/>
  <c r="G1977" i="3"/>
  <c r="G1976" i="3"/>
  <c r="G1975" i="3"/>
  <c r="G1974" i="3"/>
  <c r="G1973" i="3"/>
  <c r="G1972" i="3"/>
  <c r="G1971" i="3"/>
  <c r="G1970" i="3"/>
  <c r="G1969" i="3"/>
  <c r="G1968" i="3"/>
  <c r="G1967" i="3"/>
  <c r="G1966" i="3"/>
  <c r="G1965" i="3"/>
  <c r="G1964" i="3"/>
  <c r="G1963" i="3"/>
  <c r="G1962" i="3"/>
  <c r="G1961" i="3"/>
  <c r="G1960" i="3"/>
  <c r="G1959" i="3"/>
  <c r="G1958" i="3"/>
  <c r="G1957" i="3"/>
  <c r="G1956" i="3"/>
  <c r="G1955" i="3"/>
  <c r="G1954" i="3"/>
  <c r="G1953" i="3"/>
  <c r="G1952" i="3"/>
  <c r="G1951" i="3"/>
  <c r="G1950" i="3"/>
  <c r="G1949" i="3"/>
  <c r="G1948" i="3"/>
  <c r="G1947" i="3"/>
  <c r="G1946" i="3"/>
  <c r="G1945" i="3"/>
  <c r="G1944" i="3"/>
  <c r="G1943" i="3"/>
  <c r="G1942" i="3"/>
  <c r="G1941" i="3"/>
  <c r="G1940" i="3"/>
  <c r="G1939" i="3"/>
  <c r="G1938" i="3"/>
  <c r="G1937" i="3"/>
  <c r="G1936" i="3"/>
  <c r="G1935" i="3"/>
  <c r="G1934" i="3"/>
  <c r="G1933" i="3"/>
  <c r="G1932" i="3"/>
  <c r="G1931" i="3"/>
  <c r="G1930" i="3"/>
  <c r="G1929" i="3"/>
  <c r="G1928" i="3"/>
  <c r="G1927" i="3"/>
  <c r="G1926" i="3"/>
  <c r="G1925" i="3"/>
  <c r="G1924" i="3"/>
  <c r="G1923" i="3"/>
  <c r="G1922" i="3"/>
  <c r="G1921" i="3"/>
  <c r="G1920" i="3"/>
  <c r="G1919" i="3"/>
  <c r="G1918" i="3"/>
  <c r="G1917" i="3"/>
  <c r="G1916" i="3"/>
  <c r="G1915" i="3"/>
  <c r="G1914" i="3"/>
  <c r="G1913" i="3"/>
  <c r="G1912" i="3"/>
  <c r="G1911" i="3"/>
  <c r="G1910" i="3"/>
  <c r="G1909" i="3"/>
  <c r="G1908" i="3"/>
  <c r="G1907" i="3"/>
  <c r="G1906" i="3"/>
  <c r="G1905" i="3"/>
  <c r="G1904" i="3"/>
  <c r="G1903" i="3"/>
  <c r="G1902" i="3"/>
  <c r="G1901" i="3"/>
  <c r="G1900" i="3"/>
  <c r="G1899" i="3"/>
  <c r="G1898" i="3"/>
  <c r="G1897" i="3"/>
  <c r="G1896" i="3"/>
  <c r="G1895" i="3"/>
  <c r="G1894" i="3"/>
  <c r="G1893" i="3"/>
  <c r="G1892" i="3"/>
  <c r="G1891" i="3"/>
  <c r="G1890" i="3"/>
  <c r="G1889" i="3"/>
  <c r="G1888" i="3"/>
  <c r="G1887" i="3"/>
  <c r="G1886" i="3"/>
  <c r="G1885" i="3"/>
  <c r="G1884" i="3"/>
  <c r="G1883" i="3"/>
  <c r="G1882" i="3"/>
  <c r="G1881" i="3"/>
  <c r="G1880" i="3"/>
  <c r="G1879" i="3"/>
  <c r="G1878" i="3"/>
  <c r="G1877" i="3"/>
  <c r="G1876" i="3"/>
  <c r="G1875" i="3"/>
  <c r="G1874" i="3"/>
  <c r="G1873" i="3"/>
  <c r="G1872" i="3"/>
  <c r="G1871" i="3"/>
  <c r="G1870" i="3"/>
  <c r="G1869" i="3"/>
  <c r="G1868" i="3"/>
  <c r="G1867" i="3"/>
  <c r="G1866" i="3"/>
  <c r="G1865" i="3"/>
  <c r="G1864" i="3"/>
  <c r="G1863" i="3"/>
  <c r="G1862" i="3"/>
  <c r="G1861" i="3"/>
  <c r="G1860" i="3"/>
  <c r="G1859" i="3"/>
  <c r="G1858" i="3"/>
  <c r="G1857" i="3"/>
  <c r="G1856" i="3"/>
  <c r="G1855" i="3"/>
  <c r="G1854" i="3"/>
  <c r="G1853" i="3"/>
  <c r="G1852" i="3"/>
  <c r="G1851" i="3"/>
  <c r="G1850" i="3"/>
  <c r="G1849" i="3"/>
  <c r="G1848" i="3"/>
  <c r="G1847" i="3"/>
  <c r="G1846" i="3"/>
  <c r="G1845" i="3"/>
  <c r="G1844" i="3"/>
  <c r="G1843" i="3"/>
  <c r="G1842" i="3"/>
  <c r="G1841" i="3"/>
  <c r="G1840" i="3"/>
  <c r="G1839" i="3"/>
  <c r="G1838" i="3"/>
  <c r="G1837" i="3"/>
  <c r="G1836" i="3"/>
  <c r="G1835" i="3"/>
  <c r="G1834" i="3"/>
  <c r="G1833" i="3"/>
  <c r="G1832" i="3"/>
  <c r="G1831" i="3"/>
  <c r="G1830" i="3"/>
  <c r="G1829" i="3"/>
  <c r="G1828" i="3"/>
  <c r="G1827" i="3"/>
  <c r="G1826" i="3"/>
  <c r="G1825" i="3"/>
  <c r="G1824" i="3"/>
  <c r="G1823" i="3"/>
  <c r="G1822" i="3"/>
  <c r="G1821" i="3"/>
  <c r="G1820" i="3"/>
  <c r="G1819" i="3"/>
  <c r="G1818" i="3"/>
  <c r="G1817" i="3"/>
  <c r="G1816" i="3"/>
  <c r="G1815" i="3"/>
  <c r="G1814" i="3"/>
  <c r="G1813" i="3"/>
  <c r="G1812" i="3"/>
  <c r="G1811" i="3"/>
  <c r="G1810" i="3"/>
  <c r="G1809" i="3"/>
  <c r="G1808" i="3"/>
  <c r="G1807" i="3"/>
  <c r="G1806" i="3"/>
  <c r="G1805" i="3"/>
  <c r="G1804" i="3"/>
  <c r="G1803" i="3"/>
  <c r="G1802" i="3"/>
  <c r="G1801" i="3"/>
  <c r="G1800" i="3"/>
  <c r="G1799" i="3"/>
  <c r="G1798" i="3"/>
  <c r="G1797" i="3"/>
  <c r="G1796" i="3"/>
  <c r="G1795" i="3"/>
  <c r="G1794" i="3"/>
  <c r="G1793" i="3"/>
  <c r="G1792" i="3"/>
  <c r="G1791" i="3"/>
  <c r="G1790" i="3"/>
  <c r="G1789" i="3"/>
  <c r="G1788" i="3"/>
  <c r="G1787" i="3"/>
  <c r="G1786" i="3"/>
  <c r="G1785" i="3"/>
  <c r="G1784" i="3"/>
  <c r="G1783" i="3"/>
  <c r="G1782" i="3"/>
  <c r="G1781" i="3"/>
  <c r="G1780" i="3"/>
  <c r="G1779" i="3"/>
  <c r="G1778" i="3"/>
  <c r="G1777" i="3"/>
  <c r="G1776" i="3"/>
  <c r="G1775" i="3"/>
  <c r="G1774" i="3"/>
  <c r="G1773" i="3"/>
  <c r="G1772" i="3"/>
  <c r="G1771" i="3"/>
  <c r="G1770" i="3"/>
  <c r="G1769" i="3"/>
  <c r="G1768" i="3"/>
  <c r="G1767" i="3"/>
  <c r="G1766" i="3"/>
  <c r="G1765" i="3"/>
  <c r="G1764" i="3"/>
  <c r="G1763" i="3"/>
  <c r="G1762" i="3"/>
  <c r="G1761" i="3"/>
  <c r="G1760" i="3"/>
  <c r="G1759" i="3"/>
  <c r="G1758" i="3"/>
  <c r="G1757" i="3"/>
  <c r="G1756" i="3"/>
  <c r="G1755" i="3"/>
  <c r="G1754" i="3"/>
  <c r="G1753" i="3"/>
  <c r="G1752" i="3"/>
  <c r="G1751" i="3"/>
  <c r="G1750" i="3"/>
  <c r="G1749" i="3"/>
  <c r="G1748" i="3"/>
  <c r="G1747" i="3"/>
  <c r="G1746" i="3"/>
  <c r="G1745" i="3"/>
  <c r="G1744" i="3"/>
  <c r="G1743" i="3"/>
  <c r="G1742" i="3"/>
  <c r="G1741" i="3"/>
  <c r="G1740" i="3"/>
  <c r="G1739" i="3"/>
  <c r="G1738" i="3"/>
  <c r="G1737" i="3"/>
  <c r="G1736" i="3"/>
  <c r="G1735" i="3"/>
  <c r="G1734" i="3"/>
  <c r="G1733" i="3"/>
  <c r="G1732" i="3"/>
  <c r="G1731" i="3"/>
  <c r="G1730" i="3"/>
  <c r="G1729" i="3"/>
  <c r="G1728" i="3"/>
  <c r="G1727" i="3"/>
  <c r="G1726" i="3"/>
  <c r="G1725" i="3"/>
  <c r="G1724" i="3"/>
  <c r="G1723" i="3"/>
  <c r="G1722" i="3"/>
  <c r="G1721" i="3"/>
  <c r="G1720" i="3"/>
  <c r="G1719" i="3"/>
  <c r="G1718" i="3"/>
  <c r="G1717" i="3"/>
  <c r="G1716" i="3"/>
  <c r="G1715" i="3"/>
  <c r="G1714" i="3"/>
  <c r="G1713" i="3"/>
  <c r="G1712" i="3"/>
  <c r="G1711" i="3"/>
  <c r="G1710" i="3"/>
  <c r="G1709" i="3"/>
  <c r="G1708" i="3"/>
  <c r="G1707" i="3"/>
  <c r="G1706" i="3"/>
  <c r="G1705" i="3"/>
  <c r="G1704" i="3"/>
  <c r="G1703" i="3"/>
  <c r="G1702" i="3"/>
  <c r="G1701" i="3"/>
  <c r="G1700" i="3"/>
  <c r="G1699" i="3"/>
  <c r="G1698" i="3"/>
  <c r="G1697" i="3"/>
  <c r="G1696" i="3"/>
  <c r="G1695" i="3"/>
  <c r="G1694" i="3"/>
  <c r="G1693" i="3"/>
  <c r="G1692" i="3"/>
  <c r="G1691" i="3"/>
  <c r="G1690" i="3"/>
  <c r="G1689" i="3"/>
  <c r="G1688" i="3"/>
  <c r="G1687" i="3"/>
  <c r="G1686" i="3"/>
  <c r="G1685" i="3"/>
  <c r="G1684" i="3"/>
  <c r="G1683" i="3"/>
  <c r="G1682" i="3"/>
  <c r="G1681" i="3"/>
  <c r="G1680" i="3"/>
  <c r="G1679" i="3"/>
  <c r="G1678" i="3"/>
  <c r="G1677" i="3"/>
  <c r="G1676" i="3"/>
  <c r="G1675" i="3"/>
  <c r="G1674" i="3"/>
  <c r="G1673" i="3"/>
  <c r="G1672" i="3"/>
  <c r="G1671" i="3"/>
  <c r="G1670" i="3"/>
  <c r="G1669" i="3"/>
  <c r="G1668" i="3"/>
  <c r="G1667" i="3"/>
  <c r="G1666" i="3"/>
  <c r="G1665" i="3"/>
  <c r="G1664" i="3"/>
  <c r="G1663" i="3"/>
  <c r="G1662" i="3"/>
  <c r="G1661" i="3"/>
  <c r="G1660" i="3"/>
  <c r="G1659" i="3"/>
  <c r="G1658" i="3"/>
  <c r="G1657" i="3"/>
  <c r="G1656" i="3"/>
  <c r="G1655" i="3"/>
  <c r="G1654" i="3"/>
  <c r="G1653" i="3"/>
  <c r="G1652" i="3"/>
  <c r="G1651" i="3"/>
  <c r="G1650" i="3"/>
  <c r="G1649" i="3"/>
  <c r="G1648" i="3"/>
  <c r="G1647" i="3"/>
  <c r="G1646" i="3"/>
  <c r="G1645" i="3"/>
  <c r="G1644" i="3"/>
  <c r="G1643" i="3"/>
  <c r="G1642" i="3"/>
  <c r="G1641" i="3"/>
  <c r="G1640" i="3"/>
  <c r="G1639" i="3"/>
  <c r="G1638" i="3"/>
  <c r="G1637" i="3"/>
  <c r="G1636" i="3"/>
  <c r="G1635" i="3"/>
  <c r="G1634" i="3"/>
  <c r="G1633" i="3"/>
  <c r="G1632" i="3"/>
  <c r="G1631" i="3"/>
  <c r="G1630" i="3"/>
  <c r="G1629" i="3"/>
  <c r="G1628" i="3"/>
  <c r="G1627" i="3"/>
  <c r="G1626" i="3"/>
  <c r="G1625" i="3"/>
  <c r="G1624" i="3"/>
  <c r="G1623" i="3"/>
  <c r="G1622" i="3"/>
  <c r="G1621" i="3"/>
  <c r="G1620" i="3"/>
  <c r="G1619" i="3"/>
  <c r="G1618" i="3"/>
  <c r="G1617" i="3"/>
  <c r="G1616" i="3"/>
  <c r="G1615" i="3"/>
  <c r="G1614" i="3"/>
  <c r="G1613" i="3"/>
  <c r="G1612" i="3"/>
  <c r="G1611" i="3"/>
  <c r="G1610" i="3"/>
  <c r="G1609" i="3"/>
  <c r="G1608" i="3"/>
  <c r="G1607" i="3"/>
  <c r="G1606" i="3"/>
  <c r="G1605" i="3"/>
  <c r="G1604" i="3"/>
  <c r="G1603" i="3"/>
  <c r="G1602" i="3"/>
  <c r="G1601" i="3"/>
  <c r="G1600" i="3"/>
  <c r="G1599" i="3"/>
  <c r="G1598" i="3"/>
  <c r="G1597" i="3"/>
  <c r="G1596" i="3"/>
  <c r="G1595" i="3"/>
  <c r="G1594" i="3"/>
  <c r="G1593" i="3"/>
  <c r="G1592" i="3"/>
  <c r="G1591" i="3"/>
  <c r="G1590" i="3"/>
  <c r="G1589" i="3"/>
  <c r="G1588" i="3"/>
  <c r="G1587" i="3"/>
  <c r="G1586" i="3"/>
  <c r="G1585" i="3"/>
  <c r="G1584" i="3"/>
  <c r="G1583" i="3"/>
  <c r="G1582" i="3"/>
  <c r="G1581" i="3"/>
  <c r="G1580" i="3"/>
  <c r="G1579" i="3"/>
  <c r="G1578" i="3"/>
  <c r="G1577" i="3"/>
  <c r="G1576" i="3"/>
  <c r="G1575" i="3"/>
  <c r="G1574" i="3"/>
  <c r="G1573" i="3"/>
  <c r="G1572" i="3"/>
  <c r="G1571" i="3"/>
  <c r="G1570" i="3"/>
  <c r="G1569" i="3"/>
  <c r="G1568" i="3"/>
  <c r="G1567" i="3"/>
  <c r="G1566" i="3"/>
  <c r="G1565" i="3"/>
  <c r="G1564" i="3"/>
  <c r="G1563" i="3"/>
  <c r="G1562" i="3"/>
  <c r="G1561" i="3"/>
  <c r="G1560" i="3"/>
  <c r="G1559" i="3"/>
  <c r="G1558" i="3"/>
  <c r="G1557" i="3"/>
  <c r="G1556" i="3"/>
  <c r="G1555" i="3"/>
  <c r="G1554" i="3"/>
  <c r="G1553" i="3"/>
  <c r="G1552" i="3"/>
  <c r="G1551" i="3"/>
  <c r="G1550" i="3"/>
  <c r="G1549" i="3"/>
  <c r="G1548" i="3"/>
  <c r="G1547" i="3"/>
  <c r="G1546" i="3"/>
  <c r="G1545" i="3"/>
  <c r="G1544" i="3"/>
  <c r="G1543" i="3"/>
  <c r="G1542" i="3"/>
  <c r="G1541" i="3"/>
  <c r="G1540" i="3"/>
  <c r="G1539" i="3"/>
  <c r="G1538" i="3"/>
  <c r="G1537" i="3"/>
  <c r="G1536" i="3"/>
  <c r="G1535" i="3"/>
  <c r="G1534" i="3"/>
  <c r="G1533" i="3"/>
  <c r="G1532" i="3"/>
  <c r="G1531" i="3"/>
  <c r="G1530" i="3"/>
  <c r="G1529" i="3"/>
  <c r="G1528" i="3"/>
  <c r="G1527" i="3"/>
  <c r="G1526" i="3"/>
  <c r="G1525" i="3"/>
  <c r="G1524" i="3"/>
  <c r="G1523" i="3"/>
  <c r="G1522" i="3"/>
  <c r="G1521" i="3"/>
  <c r="G1520" i="3"/>
  <c r="G1519" i="3"/>
  <c r="G1518" i="3"/>
  <c r="G1517" i="3"/>
  <c r="G1516" i="3"/>
  <c r="G1515" i="3"/>
  <c r="G1514" i="3"/>
  <c r="G1513" i="3"/>
  <c r="G1512" i="3"/>
  <c r="G1511" i="3"/>
  <c r="G1510" i="3"/>
  <c r="G1509" i="3"/>
  <c r="G1508" i="3"/>
  <c r="G1507" i="3"/>
  <c r="G1506" i="3"/>
  <c r="G1505" i="3"/>
  <c r="G1504" i="3"/>
  <c r="G1503" i="3"/>
  <c r="G1502" i="3"/>
  <c r="G1501" i="3"/>
  <c r="G1500" i="3"/>
  <c r="G1499" i="3"/>
  <c r="G1498" i="3"/>
  <c r="G1497" i="3"/>
  <c r="G1496" i="3"/>
  <c r="G1495" i="3"/>
  <c r="G1494" i="3"/>
  <c r="G1493" i="3"/>
  <c r="G1492" i="3"/>
  <c r="G1491" i="3"/>
  <c r="G1490" i="3"/>
  <c r="G1489" i="3"/>
  <c r="G1488" i="3"/>
  <c r="G1487" i="3"/>
  <c r="G1486" i="3"/>
  <c r="G1485" i="3"/>
  <c r="G1484" i="3"/>
  <c r="G1483" i="3"/>
  <c r="G1482" i="3"/>
  <c r="G1481" i="3"/>
  <c r="G1480" i="3"/>
  <c r="G1479" i="3"/>
  <c r="G1478" i="3"/>
  <c r="G1477" i="3"/>
  <c r="G1476" i="3"/>
  <c r="G1475" i="3"/>
  <c r="G1474" i="3"/>
  <c r="G1473" i="3"/>
  <c r="G1472" i="3"/>
  <c r="G1471" i="3"/>
  <c r="G1470" i="3"/>
  <c r="G1469" i="3"/>
  <c r="G1468" i="3"/>
  <c r="G1467" i="3"/>
  <c r="G1466" i="3"/>
  <c r="G1465" i="3"/>
  <c r="G1464" i="3"/>
  <c r="G1463" i="3"/>
  <c r="G1462" i="3"/>
  <c r="G1461" i="3"/>
  <c r="G1460" i="3"/>
  <c r="G1459" i="3"/>
  <c r="G1458" i="3"/>
  <c r="G1457" i="3"/>
  <c r="G1456" i="3"/>
  <c r="G1455" i="3"/>
  <c r="G1454" i="3"/>
  <c r="G1453" i="3"/>
  <c r="G1452" i="3"/>
  <c r="G1451" i="3"/>
  <c r="G1450" i="3"/>
  <c r="G1449" i="3"/>
  <c r="G1448" i="3"/>
  <c r="G1447" i="3"/>
  <c r="G1446" i="3"/>
  <c r="G1445" i="3"/>
  <c r="G1444" i="3"/>
  <c r="G1443" i="3"/>
  <c r="G1442" i="3"/>
  <c r="G1441" i="3"/>
  <c r="G1440" i="3"/>
  <c r="G1439" i="3"/>
  <c r="G1438" i="3"/>
  <c r="G1437" i="3"/>
  <c r="G1436" i="3"/>
  <c r="G1435" i="3"/>
  <c r="G1434" i="3"/>
  <c r="G1433" i="3"/>
  <c r="G1432" i="3"/>
  <c r="G1431" i="3"/>
  <c r="G1430" i="3"/>
  <c r="G1429" i="3"/>
  <c r="G1428" i="3"/>
  <c r="G1427" i="3"/>
  <c r="G1426" i="3"/>
  <c r="G1425" i="3"/>
  <c r="G1424" i="3"/>
  <c r="G1423" i="3"/>
  <c r="G1422" i="3"/>
  <c r="G1421" i="3"/>
  <c r="G1420" i="3"/>
  <c r="G1419" i="3"/>
  <c r="G1418" i="3"/>
  <c r="G1417" i="3"/>
  <c r="G1416" i="3"/>
  <c r="G1415" i="3"/>
  <c r="G1414" i="3"/>
  <c r="G1413" i="3"/>
  <c r="G1412" i="3"/>
  <c r="G1411" i="3"/>
  <c r="G1410" i="3"/>
  <c r="G1409" i="3"/>
  <c r="G1408" i="3"/>
  <c r="G1407" i="3"/>
  <c r="G1406" i="3"/>
  <c r="G1405" i="3"/>
  <c r="G1404" i="3"/>
  <c r="G1403" i="3"/>
  <c r="G1402" i="3"/>
  <c r="G1401" i="3"/>
  <c r="G1400" i="3"/>
  <c r="G1399" i="3"/>
  <c r="G1398" i="3"/>
  <c r="G1397" i="3"/>
  <c r="G1396" i="3"/>
  <c r="G1395" i="3"/>
  <c r="G1394" i="3"/>
  <c r="G1393" i="3"/>
  <c r="G1392" i="3"/>
  <c r="G1391" i="3"/>
  <c r="G1390" i="3"/>
  <c r="G1389" i="3"/>
  <c r="G1388" i="3"/>
  <c r="G1387" i="3"/>
  <c r="G1386" i="3"/>
  <c r="G1385" i="3"/>
  <c r="G1384" i="3"/>
  <c r="G1383" i="3"/>
  <c r="G1382" i="3"/>
  <c r="G1381" i="3"/>
  <c r="G1380" i="3"/>
  <c r="G1379" i="3"/>
  <c r="G1378" i="3"/>
  <c r="G1377" i="3"/>
  <c r="G1376" i="3"/>
  <c r="G1375" i="3"/>
  <c r="G1374" i="3"/>
  <c r="G1373" i="3"/>
  <c r="G1372" i="3"/>
  <c r="G1371" i="3"/>
  <c r="G1370" i="3"/>
  <c r="G1369" i="3"/>
  <c r="G1368" i="3"/>
  <c r="G1367" i="3"/>
  <c r="G1366" i="3"/>
  <c r="G1365" i="3"/>
  <c r="G1364" i="3"/>
  <c r="G1363" i="3"/>
  <c r="G1362" i="3"/>
  <c r="G1361" i="3"/>
  <c r="G1360" i="3"/>
  <c r="G1359" i="3"/>
  <c r="G1358" i="3"/>
  <c r="G1357" i="3"/>
  <c r="G1356" i="3"/>
  <c r="G1355" i="3"/>
  <c r="G1354" i="3"/>
  <c r="G1353" i="3"/>
  <c r="G1352" i="3"/>
  <c r="G1351" i="3"/>
  <c r="G1350" i="3"/>
  <c r="G1349" i="3"/>
  <c r="G1348" i="3"/>
  <c r="G1347" i="3"/>
  <c r="G1346" i="3"/>
  <c r="G1345" i="3"/>
  <c r="G1344" i="3"/>
  <c r="G1343" i="3"/>
  <c r="G1342" i="3"/>
  <c r="G1341" i="3"/>
  <c r="G1340" i="3"/>
  <c r="G1339" i="3"/>
  <c r="G1338" i="3"/>
  <c r="G1337" i="3"/>
  <c r="G1336" i="3"/>
  <c r="G1335" i="3"/>
  <c r="G1334" i="3"/>
  <c r="G1333" i="3"/>
  <c r="G1332" i="3"/>
  <c r="G1331" i="3"/>
  <c r="G1330" i="3"/>
  <c r="G1329" i="3"/>
  <c r="G1328" i="3"/>
  <c r="G1327" i="3"/>
  <c r="G1326" i="3"/>
  <c r="G1325" i="3"/>
  <c r="G1324" i="3"/>
  <c r="G1323" i="3"/>
  <c r="G1322" i="3"/>
  <c r="G1321" i="3"/>
  <c r="G1320" i="3"/>
  <c r="G1319" i="3"/>
  <c r="G1318" i="3"/>
  <c r="G1317" i="3"/>
  <c r="G1316" i="3"/>
  <c r="G1315" i="3"/>
  <c r="G1314" i="3"/>
  <c r="G1313" i="3"/>
  <c r="G1312" i="3"/>
  <c r="G1311" i="3"/>
  <c r="G1310" i="3"/>
  <c r="G1309" i="3"/>
  <c r="G1308" i="3"/>
  <c r="G1307" i="3"/>
  <c r="G1306" i="3"/>
  <c r="G1305" i="3"/>
  <c r="G1304" i="3"/>
  <c r="G1303" i="3"/>
  <c r="G1302" i="3"/>
  <c r="G1301" i="3"/>
  <c r="G1300" i="3"/>
  <c r="G1299" i="3"/>
  <c r="G1298" i="3"/>
  <c r="G1297" i="3"/>
  <c r="G1296" i="3"/>
  <c r="G1295" i="3"/>
  <c r="G1294" i="3"/>
  <c r="G1293" i="3"/>
  <c r="G1292" i="3"/>
  <c r="G1291" i="3"/>
  <c r="G1290" i="3"/>
  <c r="G1289" i="3"/>
  <c r="G1288" i="3"/>
  <c r="G1287" i="3"/>
  <c r="G1286" i="3"/>
  <c r="G1285" i="3"/>
  <c r="G1284" i="3"/>
  <c r="G1283" i="3"/>
  <c r="G1282" i="3"/>
  <c r="G1281" i="3"/>
  <c r="G1280" i="3"/>
  <c r="G1279" i="3"/>
  <c r="G1278" i="3"/>
  <c r="G1277" i="3"/>
  <c r="G1276" i="3"/>
  <c r="G1275" i="3"/>
  <c r="G1274" i="3"/>
  <c r="G1273" i="3"/>
  <c r="G1272" i="3"/>
  <c r="G1271" i="3"/>
  <c r="G1270" i="3"/>
  <c r="G1269" i="3"/>
  <c r="G1268" i="3"/>
  <c r="G1267" i="3"/>
  <c r="G1266" i="3"/>
  <c r="G1265" i="3"/>
  <c r="G1264" i="3"/>
  <c r="G1263" i="3"/>
  <c r="G1262" i="3"/>
  <c r="G1261" i="3"/>
  <c r="G1260" i="3"/>
  <c r="G1259" i="3"/>
  <c r="G1258" i="3"/>
  <c r="G1257" i="3"/>
  <c r="G1256" i="3"/>
  <c r="G1255" i="3"/>
  <c r="G1254" i="3"/>
  <c r="G1253" i="3"/>
  <c r="G1252" i="3"/>
  <c r="G1251" i="3"/>
  <c r="G1250" i="3"/>
  <c r="G1249" i="3"/>
  <c r="G1248" i="3"/>
  <c r="G1247" i="3"/>
  <c r="G1246" i="3"/>
  <c r="G1245" i="3"/>
  <c r="G1244" i="3"/>
  <c r="G1243" i="3"/>
  <c r="G1242" i="3"/>
  <c r="G1241" i="3"/>
  <c r="G1240" i="3"/>
  <c r="G1239" i="3"/>
  <c r="G1238" i="3"/>
  <c r="G1237" i="3"/>
  <c r="G1236" i="3"/>
  <c r="G1235" i="3"/>
  <c r="G1234" i="3"/>
  <c r="G1233" i="3"/>
  <c r="G1232" i="3"/>
  <c r="G1231" i="3"/>
  <c r="G1230" i="3"/>
  <c r="G1229" i="3"/>
  <c r="G1228" i="3"/>
  <c r="G1227" i="3"/>
  <c r="G1226" i="3"/>
  <c r="G1225" i="3"/>
  <c r="G1224" i="3"/>
  <c r="G1223" i="3"/>
  <c r="G1222" i="3"/>
  <c r="G1221" i="3"/>
  <c r="G1220" i="3"/>
  <c r="G1219" i="3"/>
  <c r="G1218" i="3"/>
  <c r="G1217" i="3"/>
  <c r="G1216" i="3"/>
  <c r="G1215" i="3"/>
  <c r="G1214" i="3"/>
  <c r="G1213" i="3"/>
  <c r="G1212" i="3"/>
  <c r="G1211" i="3"/>
  <c r="G1210" i="3"/>
  <c r="G1209" i="3"/>
  <c r="G1208" i="3"/>
  <c r="G1207" i="3"/>
  <c r="G1206" i="3"/>
  <c r="G1205" i="3"/>
  <c r="G1204" i="3"/>
  <c r="G1203" i="3"/>
  <c r="G1202" i="3"/>
  <c r="G1201" i="3"/>
  <c r="G1200" i="3"/>
  <c r="G1199" i="3"/>
  <c r="G1198" i="3"/>
  <c r="G1197" i="3"/>
  <c r="G1196" i="3"/>
  <c r="G1195" i="3"/>
  <c r="G1194" i="3"/>
  <c r="G1193" i="3"/>
  <c r="G1192" i="3"/>
  <c r="G1191" i="3"/>
  <c r="G1190" i="3"/>
  <c r="G1189" i="3"/>
  <c r="G1188" i="3"/>
  <c r="G1187" i="3"/>
  <c r="G1186" i="3"/>
  <c r="G1185" i="3"/>
  <c r="G1184" i="3"/>
  <c r="G1183" i="3"/>
  <c r="G1182" i="3"/>
  <c r="G1181" i="3"/>
  <c r="G1180" i="3"/>
  <c r="G1179" i="3"/>
  <c r="G1178" i="3"/>
  <c r="G1177" i="3"/>
  <c r="G1176" i="3"/>
  <c r="G1175" i="3"/>
  <c r="G1174" i="3"/>
  <c r="G1173" i="3"/>
  <c r="G1172" i="3"/>
  <c r="G1171" i="3"/>
  <c r="G1170" i="3"/>
  <c r="G1169" i="3"/>
  <c r="G1168" i="3"/>
  <c r="G1167" i="3"/>
  <c r="G1166" i="3"/>
  <c r="G1165" i="3"/>
  <c r="G1164" i="3"/>
  <c r="G1163" i="3"/>
  <c r="G1162" i="3"/>
  <c r="G1161" i="3"/>
  <c r="G1160" i="3"/>
  <c r="G1159" i="3"/>
  <c r="G1158" i="3"/>
  <c r="G1157" i="3"/>
  <c r="G1156" i="3"/>
  <c r="G1155" i="3"/>
  <c r="G1154" i="3"/>
  <c r="G1153" i="3"/>
  <c r="G1152" i="3"/>
  <c r="G1151" i="3"/>
  <c r="G1150" i="3"/>
  <c r="G1149" i="3"/>
  <c r="G1148" i="3"/>
  <c r="G1147" i="3"/>
  <c r="G1146" i="3"/>
  <c r="G1145" i="3"/>
  <c r="G1144" i="3"/>
  <c r="G1143" i="3"/>
  <c r="G1142" i="3"/>
  <c r="G1141" i="3"/>
  <c r="G1140" i="3"/>
  <c r="G1139" i="3"/>
  <c r="G1138" i="3"/>
  <c r="G1137" i="3"/>
  <c r="G1136" i="3"/>
  <c r="G1135" i="3"/>
  <c r="G1134" i="3"/>
  <c r="G1133" i="3"/>
  <c r="G1132" i="3"/>
  <c r="G1131" i="3"/>
  <c r="G1130" i="3"/>
  <c r="G1129" i="3"/>
  <c r="G1128" i="3"/>
  <c r="G1127" i="3"/>
  <c r="G1126" i="3"/>
  <c r="G1125" i="3"/>
  <c r="G1124" i="3"/>
  <c r="G1123" i="3"/>
  <c r="G1122" i="3"/>
  <c r="G1121" i="3"/>
  <c r="G1120" i="3"/>
  <c r="G1119" i="3"/>
  <c r="G1118" i="3"/>
  <c r="G1117" i="3"/>
  <c r="G1116" i="3"/>
  <c r="G1115" i="3"/>
  <c r="G1114" i="3"/>
  <c r="G1113" i="3"/>
  <c r="G1112" i="3"/>
  <c r="G1111" i="3"/>
  <c r="G1110" i="3"/>
  <c r="G1109" i="3"/>
  <c r="G1108" i="3"/>
  <c r="G1107" i="3"/>
  <c r="G1106" i="3"/>
  <c r="G1105" i="3"/>
  <c r="G1104" i="3"/>
  <c r="G1103" i="3"/>
  <c r="G1102" i="3"/>
  <c r="G1101" i="3"/>
  <c r="G1100" i="3"/>
  <c r="G1099" i="3"/>
  <c r="G1098" i="3"/>
  <c r="G1097" i="3"/>
  <c r="G1096" i="3"/>
  <c r="G1095" i="3"/>
  <c r="G1094" i="3"/>
  <c r="G1093" i="3"/>
  <c r="G1092" i="3"/>
  <c r="G1091" i="3"/>
  <c r="G1090" i="3"/>
  <c r="G1089" i="3"/>
  <c r="G1088" i="3"/>
  <c r="G1087" i="3"/>
  <c r="G1086" i="3"/>
  <c r="G1085" i="3"/>
  <c r="G1084" i="3"/>
  <c r="G1083" i="3"/>
  <c r="G1082" i="3"/>
  <c r="G1081" i="3"/>
  <c r="G1080" i="3"/>
  <c r="G1079" i="3"/>
  <c r="G1078" i="3"/>
  <c r="G1077" i="3"/>
  <c r="G1076" i="3"/>
  <c r="G1075" i="3"/>
  <c r="G1074" i="3"/>
  <c r="G1073" i="3"/>
  <c r="G1072" i="3"/>
  <c r="G1071" i="3"/>
  <c r="G1070" i="3"/>
  <c r="G1069" i="3"/>
  <c r="G1068" i="3"/>
  <c r="G1067" i="3"/>
  <c r="G1066" i="3"/>
  <c r="G1065" i="3"/>
  <c r="G1064" i="3"/>
  <c r="G1063" i="3"/>
  <c r="G1062" i="3"/>
  <c r="G1061" i="3"/>
  <c r="G1060" i="3"/>
  <c r="G1059" i="3"/>
  <c r="G1058" i="3"/>
  <c r="G1057" i="3"/>
  <c r="G1056" i="3"/>
  <c r="G1055" i="3"/>
  <c r="G1054" i="3"/>
  <c r="G1053" i="3"/>
  <c r="G1052" i="3"/>
  <c r="G1051" i="3"/>
  <c r="G1050" i="3"/>
  <c r="G1049" i="3"/>
  <c r="G1048" i="3"/>
  <c r="G1047" i="3"/>
  <c r="G1046" i="3"/>
  <c r="G1045" i="3"/>
  <c r="G1044" i="3"/>
  <c r="G1043" i="3"/>
  <c r="G1042" i="3"/>
  <c r="G1041" i="3"/>
  <c r="G1040" i="3"/>
  <c r="G1039" i="3"/>
  <c r="G1038" i="3"/>
  <c r="G1037" i="3"/>
  <c r="G1036" i="3"/>
  <c r="G1035" i="3"/>
  <c r="G1034" i="3"/>
  <c r="G1033" i="3"/>
  <c r="G1032" i="3"/>
  <c r="G1031" i="3"/>
  <c r="G1030" i="3"/>
  <c r="G1029" i="3"/>
  <c r="G1028" i="3"/>
  <c r="G1027" i="3"/>
  <c r="G1026" i="3"/>
  <c r="G1025" i="3"/>
  <c r="G1024" i="3"/>
  <c r="G1023" i="3"/>
  <c r="G1022" i="3"/>
  <c r="G1021" i="3"/>
  <c r="G1020" i="3"/>
  <c r="G1019" i="3"/>
  <c r="G1018" i="3"/>
  <c r="G1017" i="3"/>
  <c r="G1016" i="3"/>
  <c r="G1015" i="3"/>
  <c r="G1014" i="3"/>
  <c r="G1013" i="3"/>
  <c r="G1012" i="3"/>
  <c r="G1011" i="3"/>
  <c r="G1010" i="3"/>
  <c r="G1009" i="3"/>
  <c r="G1008" i="3"/>
  <c r="G1007" i="3"/>
  <c r="G1006" i="3"/>
  <c r="G1005" i="3"/>
  <c r="G1004" i="3"/>
  <c r="G1003" i="3"/>
  <c r="G1002" i="3"/>
  <c r="G1001" i="3"/>
  <c r="G1000" i="3"/>
  <c r="G999" i="3"/>
  <c r="G998" i="3"/>
  <c r="G997" i="3"/>
  <c r="G996" i="3"/>
  <c r="G995" i="3"/>
  <c r="G994" i="3"/>
  <c r="G993" i="3"/>
  <c r="G992" i="3"/>
  <c r="G991" i="3"/>
  <c r="G990" i="3"/>
  <c r="G989" i="3"/>
  <c r="G988" i="3"/>
  <c r="G987" i="3"/>
  <c r="G986" i="3"/>
  <c r="G985" i="3"/>
  <c r="G984" i="3"/>
  <c r="G983" i="3"/>
  <c r="G982" i="3"/>
  <c r="G981" i="3"/>
  <c r="G980" i="3"/>
  <c r="G979" i="3"/>
  <c r="G978" i="3"/>
  <c r="G977" i="3"/>
  <c r="G976" i="3"/>
  <c r="G975" i="3"/>
  <c r="G974" i="3"/>
  <c r="G973" i="3"/>
  <c r="G972" i="3"/>
  <c r="G971" i="3"/>
  <c r="G970" i="3"/>
  <c r="G969" i="3"/>
  <c r="G968" i="3"/>
  <c r="G967" i="3"/>
  <c r="G966" i="3"/>
  <c r="G965" i="3"/>
  <c r="G964" i="3"/>
  <c r="G963" i="3"/>
  <c r="G962" i="3"/>
  <c r="G961" i="3"/>
  <c r="G960" i="3"/>
  <c r="G959" i="3"/>
  <c r="G958" i="3"/>
  <c r="G957" i="3"/>
  <c r="G956" i="3"/>
  <c r="G955" i="3"/>
  <c r="G954" i="3"/>
  <c r="G953" i="3"/>
  <c r="G952" i="3"/>
  <c r="G951" i="3"/>
  <c r="G950" i="3"/>
  <c r="G949" i="3"/>
  <c r="G948" i="3"/>
  <c r="G947" i="3"/>
  <c r="G946" i="3"/>
  <c r="G945" i="3"/>
  <c r="G944" i="3"/>
  <c r="G943" i="3"/>
  <c r="G942" i="3"/>
  <c r="G941" i="3"/>
  <c r="G940" i="3"/>
  <c r="G939" i="3"/>
  <c r="G938" i="3"/>
  <c r="G937" i="3"/>
  <c r="G936" i="3"/>
  <c r="G935" i="3"/>
  <c r="G934" i="3"/>
  <c r="G933" i="3"/>
  <c r="G932" i="3"/>
  <c r="G931" i="3"/>
  <c r="G930" i="3"/>
  <c r="G929" i="3"/>
  <c r="G928" i="3"/>
  <c r="G927" i="3"/>
  <c r="G926" i="3"/>
  <c r="G925" i="3"/>
  <c r="G924" i="3"/>
  <c r="G923" i="3"/>
  <c r="G922" i="3"/>
  <c r="G921" i="3"/>
  <c r="G920" i="3"/>
  <c r="G919" i="3"/>
  <c r="G918" i="3"/>
  <c r="G917" i="3"/>
  <c r="G916" i="3"/>
  <c r="G915" i="3"/>
  <c r="G914" i="3"/>
  <c r="G913" i="3"/>
  <c r="G912" i="3"/>
  <c r="G911" i="3"/>
  <c r="G910" i="3"/>
  <c r="G909" i="3"/>
  <c r="G908" i="3"/>
  <c r="G907" i="3"/>
  <c r="G906" i="3"/>
  <c r="G905" i="3"/>
  <c r="G904" i="3"/>
  <c r="G903" i="3"/>
  <c r="G902" i="3"/>
  <c r="G901" i="3"/>
  <c r="G900" i="3"/>
  <c r="G899" i="3"/>
  <c r="G898" i="3"/>
  <c r="G897" i="3"/>
  <c r="G896" i="3"/>
  <c r="G895" i="3"/>
  <c r="G894" i="3"/>
  <c r="G893" i="3"/>
  <c r="G892" i="3"/>
  <c r="G891" i="3"/>
  <c r="G890" i="3"/>
  <c r="G889" i="3"/>
  <c r="G888" i="3"/>
  <c r="G887" i="3"/>
  <c r="G886" i="3"/>
  <c r="G885" i="3"/>
  <c r="G884" i="3"/>
  <c r="G883" i="3"/>
  <c r="G882" i="3"/>
  <c r="G881" i="3"/>
  <c r="G880" i="3"/>
  <c r="G879" i="3"/>
  <c r="G878" i="3"/>
  <c r="G877" i="3"/>
  <c r="G876" i="3"/>
  <c r="G875" i="3"/>
  <c r="G874" i="3"/>
  <c r="G873" i="3"/>
  <c r="G872" i="3"/>
  <c r="G871" i="3"/>
  <c r="G870" i="3"/>
  <c r="G869" i="3"/>
  <c r="G868" i="3"/>
  <c r="G867" i="3"/>
  <c r="G866" i="3"/>
  <c r="G865" i="3"/>
  <c r="G864" i="3"/>
  <c r="G863" i="3"/>
  <c r="G862" i="3"/>
  <c r="G861" i="3"/>
  <c r="G860" i="3"/>
  <c r="G859" i="3"/>
  <c r="G858" i="3"/>
  <c r="G857" i="3"/>
  <c r="G856" i="3"/>
  <c r="G855" i="3"/>
  <c r="G854" i="3"/>
  <c r="G853" i="3"/>
  <c r="G852" i="3"/>
  <c r="G851" i="3"/>
  <c r="G850" i="3"/>
  <c r="G849" i="3"/>
  <c r="G848" i="3"/>
  <c r="G847" i="3"/>
  <c r="G846" i="3"/>
  <c r="G845" i="3"/>
  <c r="G844" i="3"/>
  <c r="G843" i="3"/>
  <c r="G842" i="3"/>
  <c r="G841" i="3"/>
  <c r="G840" i="3"/>
  <c r="G839" i="3"/>
  <c r="G838" i="3"/>
  <c r="G837" i="3"/>
  <c r="G836" i="3"/>
  <c r="G835" i="3"/>
  <c r="G834" i="3"/>
  <c r="G833" i="3"/>
  <c r="G832" i="3"/>
  <c r="G831" i="3"/>
  <c r="G830" i="3"/>
  <c r="G829" i="3"/>
  <c r="G828" i="3"/>
  <c r="G827" i="3"/>
  <c r="G826" i="3"/>
  <c r="G825" i="3"/>
  <c r="G824" i="3"/>
  <c r="G823" i="3"/>
  <c r="G822" i="3"/>
  <c r="G821" i="3"/>
  <c r="G820" i="3"/>
  <c r="G819" i="3"/>
  <c r="G818" i="3"/>
  <c r="G817" i="3"/>
  <c r="G816" i="3"/>
  <c r="G815" i="3"/>
  <c r="G814" i="3"/>
  <c r="G813" i="3"/>
  <c r="G812" i="3"/>
  <c r="G811" i="3"/>
  <c r="G810" i="3"/>
  <c r="G809" i="3"/>
  <c r="G808" i="3"/>
  <c r="G807" i="3"/>
  <c r="G806" i="3"/>
  <c r="G805" i="3"/>
  <c r="G804" i="3"/>
  <c r="G803" i="3"/>
  <c r="G802" i="3"/>
  <c r="G801" i="3"/>
  <c r="G800" i="3"/>
  <c r="G799" i="3"/>
  <c r="G798" i="3"/>
  <c r="G797" i="3"/>
  <c r="G796" i="3"/>
  <c r="G795" i="3"/>
  <c r="G794" i="3"/>
  <c r="G793" i="3"/>
  <c r="G792" i="3"/>
  <c r="G791" i="3"/>
  <c r="G790" i="3"/>
  <c r="G789" i="3"/>
  <c r="G788" i="3"/>
  <c r="G787" i="3"/>
  <c r="G786" i="3"/>
  <c r="G785" i="3"/>
  <c r="G784" i="3"/>
  <c r="G783" i="3"/>
  <c r="G782" i="3"/>
  <c r="G781" i="3"/>
  <c r="G780" i="3"/>
  <c r="G779" i="3"/>
  <c r="G778" i="3"/>
  <c r="G777" i="3"/>
  <c r="G776" i="3"/>
  <c r="G775" i="3"/>
  <c r="G774" i="3"/>
  <c r="G773" i="3"/>
  <c r="G772" i="3"/>
  <c r="G771" i="3"/>
  <c r="G770" i="3"/>
  <c r="G769" i="3"/>
  <c r="G768" i="3"/>
  <c r="G767" i="3"/>
  <c r="G766" i="3"/>
  <c r="G765" i="3"/>
  <c r="G764" i="3"/>
  <c r="G763" i="3"/>
  <c r="G762" i="3"/>
  <c r="G761" i="3"/>
  <c r="G760" i="3"/>
  <c r="G759" i="3"/>
  <c r="G758" i="3"/>
  <c r="G757" i="3"/>
  <c r="G756" i="3"/>
  <c r="G755" i="3"/>
  <c r="G754" i="3"/>
  <c r="G753" i="3"/>
  <c r="G752" i="3"/>
  <c r="G751" i="3"/>
  <c r="G750" i="3"/>
  <c r="G749" i="3"/>
  <c r="G748" i="3"/>
  <c r="G747" i="3"/>
  <c r="G746" i="3"/>
  <c r="G745" i="3"/>
  <c r="G744" i="3"/>
  <c r="G743" i="3"/>
  <c r="G742" i="3"/>
  <c r="G741" i="3"/>
  <c r="G740" i="3"/>
  <c r="G739" i="3"/>
  <c r="G738" i="3"/>
  <c r="G737" i="3"/>
  <c r="G736" i="3"/>
  <c r="G735" i="3"/>
  <c r="G734" i="3"/>
  <c r="G733" i="3"/>
  <c r="G732" i="3"/>
  <c r="G731" i="3"/>
  <c r="G730" i="3"/>
  <c r="G729" i="3"/>
  <c r="G728" i="3"/>
  <c r="G727" i="3"/>
  <c r="G726" i="3"/>
  <c r="G725" i="3"/>
  <c r="G724" i="3"/>
  <c r="G723" i="3"/>
  <c r="G722" i="3"/>
  <c r="G721" i="3"/>
  <c r="G720" i="3"/>
  <c r="G719" i="3"/>
  <c r="G718" i="3"/>
  <c r="G717" i="3"/>
  <c r="G716" i="3"/>
  <c r="G715" i="3"/>
  <c r="G714" i="3"/>
  <c r="G713" i="3"/>
  <c r="G712" i="3"/>
  <c r="G711" i="3"/>
  <c r="G710" i="3"/>
  <c r="G709" i="3"/>
  <c r="G708" i="3"/>
  <c r="G707" i="3"/>
  <c r="G706" i="3"/>
  <c r="G705" i="3"/>
  <c r="G704" i="3"/>
  <c r="G703" i="3"/>
  <c r="G702" i="3"/>
  <c r="G701" i="3"/>
  <c r="G700" i="3"/>
  <c r="G699" i="3"/>
  <c r="G698" i="3"/>
  <c r="G697" i="3"/>
  <c r="G696" i="3"/>
  <c r="G695" i="3"/>
  <c r="G694" i="3"/>
  <c r="G693" i="3"/>
  <c r="G692" i="3"/>
  <c r="G691" i="3"/>
  <c r="G690" i="3"/>
  <c r="G689" i="3"/>
  <c r="G688" i="3"/>
  <c r="G687" i="3"/>
  <c r="G686" i="3"/>
  <c r="G685" i="3"/>
  <c r="G684" i="3"/>
  <c r="G683" i="3"/>
  <c r="G682" i="3"/>
  <c r="G681" i="3"/>
  <c r="G680" i="3"/>
  <c r="G679" i="3"/>
  <c r="G678" i="3"/>
  <c r="G677" i="3"/>
  <c r="G676" i="3"/>
  <c r="G675" i="3"/>
  <c r="G674" i="3"/>
  <c r="G673" i="3"/>
  <c r="G672" i="3"/>
  <c r="G671" i="3"/>
  <c r="G670" i="3"/>
  <c r="G669" i="3"/>
  <c r="G668" i="3"/>
  <c r="G667" i="3"/>
  <c r="G666" i="3"/>
  <c r="G665" i="3"/>
  <c r="G664" i="3"/>
  <c r="G663" i="3"/>
  <c r="G662" i="3"/>
  <c r="G661" i="3"/>
  <c r="G660" i="3"/>
  <c r="G659" i="3"/>
  <c r="G658" i="3"/>
  <c r="G657" i="3"/>
  <c r="G656" i="3"/>
  <c r="G655" i="3"/>
  <c r="G654" i="3"/>
  <c r="G653" i="3"/>
  <c r="G652" i="3"/>
  <c r="G651" i="3"/>
  <c r="G650" i="3"/>
  <c r="G649" i="3"/>
  <c r="G648" i="3"/>
  <c r="G647" i="3"/>
  <c r="G646" i="3"/>
  <c r="G645" i="3"/>
  <c r="G644" i="3"/>
  <c r="G643" i="3"/>
  <c r="G642" i="3"/>
  <c r="G641" i="3"/>
  <c r="G640" i="3"/>
  <c r="G639" i="3"/>
  <c r="G638" i="3"/>
  <c r="G637" i="3"/>
  <c r="G636" i="3"/>
  <c r="G635" i="3"/>
  <c r="G634" i="3"/>
  <c r="G633" i="3"/>
  <c r="G632" i="3"/>
  <c r="G631" i="3"/>
  <c r="G630" i="3"/>
  <c r="G629" i="3"/>
  <c r="G628" i="3"/>
  <c r="G627" i="3"/>
  <c r="G626" i="3"/>
  <c r="G625" i="3"/>
  <c r="G624" i="3"/>
  <c r="G623" i="3"/>
  <c r="G622" i="3"/>
  <c r="G621" i="3"/>
  <c r="G620" i="3"/>
  <c r="G619" i="3"/>
  <c r="G618" i="3"/>
  <c r="G617" i="3"/>
  <c r="G616" i="3"/>
  <c r="G615" i="3"/>
  <c r="G614" i="3"/>
  <c r="G613" i="3"/>
  <c r="G612" i="3"/>
  <c r="G611" i="3"/>
  <c r="G610" i="3"/>
  <c r="G609" i="3"/>
  <c r="G608" i="3"/>
  <c r="G607" i="3"/>
  <c r="G606" i="3"/>
  <c r="G605" i="3"/>
  <c r="G604" i="3"/>
  <c r="G603" i="3"/>
  <c r="G602" i="3"/>
  <c r="G601" i="3"/>
  <c r="G600" i="3"/>
  <c r="G599" i="3"/>
  <c r="G598" i="3"/>
  <c r="G597" i="3"/>
  <c r="G596" i="3"/>
  <c r="G595" i="3"/>
  <c r="G594" i="3"/>
  <c r="G593" i="3"/>
  <c r="G592" i="3"/>
  <c r="G591" i="3"/>
  <c r="G590" i="3"/>
  <c r="G589" i="3"/>
  <c r="G588" i="3"/>
  <c r="G587" i="3"/>
  <c r="G586" i="3"/>
  <c r="G585" i="3"/>
  <c r="G584" i="3"/>
  <c r="G583" i="3"/>
  <c r="G582" i="3"/>
  <c r="G581" i="3"/>
  <c r="G580" i="3"/>
  <c r="G579" i="3"/>
  <c r="G578" i="3"/>
  <c r="G577" i="3"/>
  <c r="G576" i="3"/>
  <c r="G575" i="3"/>
  <c r="G574" i="3"/>
  <c r="G573" i="3"/>
  <c r="G572" i="3"/>
  <c r="G571" i="3"/>
  <c r="G570" i="3"/>
  <c r="G569" i="3"/>
  <c r="G568" i="3"/>
  <c r="G567" i="3"/>
  <c r="G566" i="3"/>
  <c r="G565" i="3"/>
  <c r="G564" i="3"/>
  <c r="G563" i="3"/>
  <c r="G562" i="3"/>
  <c r="G561" i="3"/>
  <c r="G560" i="3"/>
  <c r="G559" i="3"/>
  <c r="G558" i="3"/>
  <c r="G557" i="3"/>
  <c r="G556" i="3"/>
  <c r="G555" i="3"/>
  <c r="G554" i="3"/>
  <c r="G553" i="3"/>
  <c r="G552" i="3"/>
  <c r="G551" i="3"/>
  <c r="G550" i="3"/>
  <c r="G549" i="3"/>
  <c r="G548" i="3"/>
  <c r="G547" i="3"/>
  <c r="G546" i="3"/>
  <c r="G545" i="3"/>
  <c r="G544" i="3"/>
  <c r="G543" i="3"/>
  <c r="G542" i="3"/>
  <c r="G541" i="3"/>
  <c r="G540" i="3"/>
  <c r="G539" i="3"/>
  <c r="G538" i="3"/>
  <c r="G537" i="3"/>
  <c r="G536" i="3"/>
  <c r="G535" i="3"/>
  <c r="G534" i="3"/>
  <c r="G533" i="3"/>
  <c r="G532" i="3"/>
  <c r="G531" i="3"/>
  <c r="G530" i="3"/>
  <c r="G529" i="3"/>
  <c r="G528" i="3"/>
  <c r="G527" i="3"/>
  <c r="G526" i="3"/>
  <c r="G525" i="3"/>
  <c r="G524" i="3"/>
  <c r="G523" i="3"/>
  <c r="G522" i="3"/>
  <c r="G521" i="3"/>
  <c r="G520" i="3"/>
  <c r="G519" i="3"/>
  <c r="G518" i="3"/>
  <c r="G517" i="3"/>
  <c r="G516" i="3"/>
  <c r="G515" i="3"/>
  <c r="G514" i="3"/>
  <c r="G513" i="3"/>
  <c r="G512" i="3"/>
  <c r="G511" i="3"/>
  <c r="G510" i="3"/>
  <c r="G509" i="3"/>
  <c r="G508" i="3"/>
  <c r="G507" i="3"/>
  <c r="G506" i="3"/>
  <c r="G505" i="3"/>
  <c r="G504" i="3"/>
  <c r="G503" i="3"/>
  <c r="G502" i="3"/>
  <c r="G501" i="3"/>
  <c r="G500" i="3"/>
  <c r="G499" i="3"/>
  <c r="G498" i="3"/>
  <c r="G497" i="3"/>
  <c r="G496" i="3"/>
  <c r="G495" i="3"/>
  <c r="G494" i="3"/>
  <c r="G493" i="3"/>
  <c r="G492" i="3"/>
  <c r="G491" i="3"/>
  <c r="G490" i="3"/>
  <c r="G489" i="3"/>
  <c r="G488" i="3"/>
  <c r="G487" i="3"/>
  <c r="G486" i="3"/>
  <c r="G485" i="3"/>
  <c r="G484" i="3"/>
  <c r="G483" i="3"/>
  <c r="G482" i="3"/>
  <c r="G481" i="3"/>
  <c r="G480" i="3"/>
  <c r="G479" i="3"/>
  <c r="G478" i="3"/>
  <c r="G477" i="3"/>
  <c r="G476" i="3"/>
  <c r="G475" i="3"/>
  <c r="G474" i="3"/>
  <c r="G473" i="3"/>
  <c r="G472" i="3"/>
  <c r="G471" i="3"/>
  <c r="G470" i="3"/>
  <c r="G469" i="3"/>
  <c r="G468" i="3"/>
  <c r="G467" i="3"/>
  <c r="G466" i="3"/>
  <c r="G465" i="3"/>
  <c r="G464" i="3"/>
  <c r="G463" i="3"/>
  <c r="G462" i="3"/>
  <c r="G461" i="3"/>
  <c r="G460" i="3"/>
  <c r="G459" i="3"/>
  <c r="G458" i="3"/>
  <c r="G457" i="3"/>
  <c r="G456" i="3"/>
  <c r="G455" i="3"/>
  <c r="G454" i="3"/>
  <c r="G453" i="3"/>
  <c r="G452" i="3"/>
  <c r="G451" i="3"/>
  <c r="G450" i="3"/>
  <c r="G449" i="3"/>
  <c r="G448" i="3"/>
  <c r="G447" i="3"/>
  <c r="G446" i="3"/>
  <c r="G445" i="3"/>
  <c r="G444" i="3"/>
  <c r="G443" i="3"/>
  <c r="G442" i="3"/>
  <c r="G441" i="3"/>
  <c r="G440" i="3"/>
  <c r="G439" i="3"/>
  <c r="G438" i="3"/>
  <c r="G437" i="3"/>
  <c r="G436" i="3"/>
  <c r="G435" i="3"/>
  <c r="G434" i="3"/>
  <c r="G433" i="3"/>
  <c r="G432" i="3"/>
  <c r="G431" i="3"/>
  <c r="G430" i="3"/>
  <c r="G429" i="3"/>
  <c r="G428" i="3"/>
  <c r="G427" i="3"/>
  <c r="G426" i="3"/>
  <c r="G425" i="3"/>
  <c r="G424" i="3"/>
  <c r="G423" i="3"/>
  <c r="G422" i="3"/>
  <c r="G421" i="3"/>
  <c r="G420" i="3"/>
  <c r="G419" i="3"/>
  <c r="G418" i="3"/>
  <c r="G417" i="3"/>
  <c r="G416" i="3"/>
  <c r="G415" i="3"/>
  <c r="G414" i="3"/>
  <c r="G413" i="3"/>
  <c r="G412" i="3"/>
  <c r="G411" i="3"/>
  <c r="G410" i="3"/>
  <c r="G409" i="3"/>
  <c r="G408" i="3"/>
  <c r="G407" i="3"/>
  <c r="G406" i="3"/>
  <c r="G405" i="3"/>
  <c r="G404" i="3"/>
  <c r="G403" i="3"/>
  <c r="G402" i="3"/>
  <c r="G401" i="3"/>
  <c r="G400" i="3"/>
  <c r="G399" i="3"/>
  <c r="G398" i="3"/>
  <c r="G397" i="3"/>
  <c r="G396" i="3"/>
  <c r="G395" i="3"/>
  <c r="G394" i="3"/>
  <c r="G393" i="3"/>
  <c r="G392" i="3"/>
  <c r="G391" i="3"/>
  <c r="G390" i="3"/>
  <c r="G389" i="3"/>
  <c r="G388" i="3"/>
  <c r="G387" i="3"/>
  <c r="G386" i="3"/>
  <c r="G385" i="3"/>
  <c r="G384" i="3"/>
  <c r="G383" i="3"/>
  <c r="G382" i="3"/>
  <c r="G381" i="3"/>
  <c r="G380" i="3"/>
  <c r="G379" i="3"/>
  <c r="G378" i="3"/>
  <c r="G377" i="3"/>
  <c r="G376" i="3"/>
  <c r="G375" i="3"/>
  <c r="G374" i="3"/>
  <c r="G373" i="3"/>
  <c r="G372" i="3"/>
  <c r="G371" i="3"/>
  <c r="G370" i="3"/>
  <c r="G369" i="3"/>
  <c r="G368" i="3"/>
  <c r="G367" i="3"/>
  <c r="G366" i="3"/>
  <c r="G365" i="3"/>
  <c r="G364" i="3"/>
  <c r="G363" i="3"/>
  <c r="G362" i="3"/>
  <c r="G361" i="3"/>
  <c r="G360" i="3"/>
  <c r="G359" i="3"/>
  <c r="G358" i="3"/>
  <c r="G357" i="3"/>
  <c r="G356" i="3"/>
  <c r="G355" i="3"/>
  <c r="G354" i="3"/>
  <c r="G353" i="3"/>
  <c r="G352" i="3"/>
  <c r="G351" i="3"/>
  <c r="G350" i="3"/>
  <c r="G349" i="3"/>
  <c r="G348" i="3"/>
  <c r="G347" i="3"/>
  <c r="G346" i="3"/>
  <c r="G345" i="3"/>
  <c r="G344" i="3"/>
  <c r="G343" i="3"/>
  <c r="G342" i="3"/>
  <c r="G341" i="3"/>
  <c r="G340" i="3"/>
  <c r="G339" i="3"/>
  <c r="G338" i="3"/>
  <c r="G337" i="3"/>
  <c r="G336" i="3"/>
  <c r="G335" i="3"/>
  <c r="G334" i="3"/>
  <c r="G333" i="3"/>
  <c r="G332" i="3"/>
  <c r="G331" i="3"/>
  <c r="G330" i="3"/>
  <c r="G329" i="3"/>
  <c r="G328" i="3"/>
  <c r="G327" i="3"/>
  <c r="G326" i="3"/>
  <c r="G325" i="3"/>
  <c r="G324" i="3"/>
  <c r="G323" i="3"/>
  <c r="G322" i="3"/>
  <c r="G321" i="3"/>
  <c r="G320" i="3"/>
  <c r="G319" i="3"/>
  <c r="G318" i="3"/>
  <c r="G317" i="3"/>
  <c r="G316" i="3"/>
  <c r="G315" i="3"/>
  <c r="G314" i="3"/>
  <c r="G313" i="3"/>
  <c r="G312" i="3"/>
  <c r="G311" i="3"/>
  <c r="G310" i="3"/>
  <c r="G309" i="3"/>
  <c r="G308" i="3"/>
  <c r="G307" i="3"/>
  <c r="G306" i="3"/>
  <c r="G305" i="3"/>
  <c r="G304" i="3"/>
  <c r="G303" i="3"/>
  <c r="G302" i="3"/>
  <c r="G301" i="3"/>
  <c r="G300" i="3"/>
  <c r="G299" i="3"/>
  <c r="G298" i="3"/>
  <c r="G297" i="3"/>
  <c r="G296" i="3"/>
  <c r="G295" i="3"/>
  <c r="G294" i="3"/>
  <c r="G293" i="3"/>
  <c r="G292" i="3"/>
  <c r="G291" i="3"/>
  <c r="G290" i="3"/>
  <c r="G289" i="3"/>
  <c r="G288" i="3"/>
  <c r="G287" i="3"/>
  <c r="G286" i="3"/>
  <c r="G285" i="3"/>
  <c r="G284" i="3"/>
  <c r="G283" i="3"/>
  <c r="G282" i="3"/>
  <c r="G281" i="3"/>
  <c r="G280" i="3"/>
  <c r="G279" i="3"/>
  <c r="G278" i="3"/>
  <c r="G277" i="3"/>
  <c r="G276" i="3"/>
  <c r="G275" i="3"/>
  <c r="G274" i="3"/>
  <c r="G273" i="3"/>
  <c r="G272" i="3"/>
  <c r="G271" i="3"/>
  <c r="G270" i="3"/>
  <c r="G269" i="3"/>
  <c r="G268" i="3"/>
  <c r="G267" i="3"/>
  <c r="G266" i="3"/>
  <c r="G265" i="3"/>
  <c r="G264" i="3"/>
  <c r="G263" i="3"/>
  <c r="G262" i="3"/>
  <c r="G261" i="3"/>
  <c r="G260" i="3"/>
  <c r="G259" i="3"/>
  <c r="G258" i="3"/>
  <c r="G257" i="3"/>
  <c r="G256" i="3"/>
  <c r="G255" i="3"/>
  <c r="K275" i="3" s="1"/>
  <c r="G254" i="3"/>
  <c r="G253" i="3"/>
  <c r="G252" i="3"/>
  <c r="G251" i="3"/>
  <c r="G250" i="3"/>
  <c r="G249" i="3"/>
  <c r="G248" i="3"/>
  <c r="K274" i="3" s="1"/>
  <c r="AX80" i="2"/>
  <c r="AW80" i="2"/>
  <c r="AV80" i="2"/>
  <c r="AU80" i="2"/>
  <c r="AX81" i="2"/>
  <c r="CZ49" i="2"/>
  <c r="CZ51" i="2" s="1"/>
  <c r="CQ30" i="2"/>
  <c r="CR30" i="2" s="1"/>
  <c r="CS30" i="2" s="1"/>
  <c r="CT30" i="2" s="1"/>
  <c r="CU30" i="2" s="1"/>
  <c r="CV30" i="2" s="1"/>
  <c r="CW30" i="2" s="1"/>
  <c r="CX30" i="2" s="1"/>
  <c r="CZ56" i="2"/>
  <c r="CZ54" i="2"/>
  <c r="AX38" i="2"/>
  <c r="AW38" i="2"/>
  <c r="AV38" i="2"/>
  <c r="AU38" i="2"/>
  <c r="AT38" i="2"/>
  <c r="AS38" i="2"/>
  <c r="AR38" i="2"/>
  <c r="AQ38" i="2"/>
  <c r="AP38" i="2"/>
  <c r="AO38" i="2"/>
  <c r="AN38" i="2"/>
  <c r="AM38" i="2"/>
  <c r="AL38" i="2"/>
  <c r="AK38" i="2"/>
  <c r="AJ38" i="2"/>
  <c r="AI38" i="2"/>
  <c r="AH38" i="2"/>
  <c r="AG38" i="2"/>
  <c r="AF38" i="2"/>
  <c r="AE38" i="2"/>
  <c r="AD38" i="2"/>
  <c r="AC38" i="2"/>
  <c r="AB38" i="2"/>
  <c r="AA38" i="2"/>
  <c r="Z38" i="2"/>
  <c r="Y38" i="2"/>
  <c r="X38" i="2"/>
  <c r="W38" i="2"/>
  <c r="V38" i="2"/>
  <c r="U38" i="2"/>
  <c r="T38" i="2"/>
  <c r="S38" i="2"/>
  <c r="R38" i="2"/>
  <c r="Q38" i="2"/>
  <c r="P38" i="2"/>
  <c r="O38" i="2"/>
  <c r="N38" i="2"/>
  <c r="M38" i="2"/>
  <c r="L38" i="2"/>
  <c r="K38" i="2"/>
  <c r="J38" i="2"/>
  <c r="I38" i="2"/>
  <c r="H38" i="2"/>
  <c r="G38" i="2"/>
  <c r="F38" i="2"/>
  <c r="E38" i="2"/>
  <c r="D38" i="2"/>
  <c r="C38" i="2"/>
  <c r="AX36" i="2"/>
  <c r="AW36" i="2"/>
  <c r="AV36" i="2"/>
  <c r="AU36" i="2"/>
  <c r="AT36" i="2"/>
  <c r="AS36" i="2"/>
  <c r="AR36" i="2"/>
  <c r="AQ36" i="2"/>
  <c r="AP36" i="2"/>
  <c r="AO36" i="2"/>
  <c r="AN36" i="2"/>
  <c r="AM36" i="2"/>
  <c r="AL36" i="2"/>
  <c r="AK36" i="2"/>
  <c r="AJ36" i="2"/>
  <c r="AI36" i="2"/>
  <c r="AH36" i="2"/>
  <c r="AG36" i="2"/>
  <c r="AF36" i="2"/>
  <c r="AE36" i="2"/>
  <c r="AD36" i="2"/>
  <c r="AC36" i="2"/>
  <c r="AB36" i="2"/>
  <c r="AA36" i="2"/>
  <c r="Z36" i="2"/>
  <c r="Y36" i="2"/>
  <c r="X36" i="2"/>
  <c r="W36" i="2"/>
  <c r="V36" i="2"/>
  <c r="U36" i="2"/>
  <c r="T36" i="2"/>
  <c r="S36" i="2"/>
  <c r="R36" i="2"/>
  <c r="Q36" i="2"/>
  <c r="P36" i="2"/>
  <c r="O36" i="2"/>
  <c r="N36" i="2"/>
  <c r="M36" i="2"/>
  <c r="L36" i="2"/>
  <c r="K36" i="2"/>
  <c r="J36" i="2"/>
  <c r="I36" i="2"/>
  <c r="H36" i="2"/>
  <c r="G36" i="2"/>
  <c r="F36" i="2"/>
  <c r="E36" i="2"/>
  <c r="D36" i="2"/>
  <c r="C36" i="2"/>
  <c r="CL28" i="2"/>
  <c r="CK28" i="2"/>
  <c r="CJ28" i="2"/>
  <c r="CI28" i="2"/>
  <c r="CH28" i="2"/>
  <c r="CG28" i="2"/>
  <c r="CF28" i="2"/>
  <c r="CE28" i="2"/>
  <c r="CD28" i="2"/>
  <c r="CC28" i="2"/>
  <c r="CB28" i="2"/>
  <c r="CA28" i="2"/>
  <c r="CL26" i="2"/>
  <c r="CK26" i="2"/>
  <c r="CJ26" i="2"/>
  <c r="CI26" i="2"/>
  <c r="CH26" i="2"/>
  <c r="CG26" i="2"/>
  <c r="CF26" i="2"/>
  <c r="CE26" i="2"/>
  <c r="CD26" i="2"/>
  <c r="CC26" i="2"/>
  <c r="CB26" i="2"/>
  <c r="CA26" i="2"/>
  <c r="CL25" i="2"/>
  <c r="CK25" i="2"/>
  <c r="CJ25" i="2"/>
  <c r="CI25" i="2"/>
  <c r="CH25" i="2"/>
  <c r="CG25" i="2"/>
  <c r="CF25" i="2"/>
  <c r="CE25" i="2"/>
  <c r="CD25" i="2"/>
  <c r="CC25" i="2"/>
  <c r="CB25" i="2"/>
  <c r="CA25" i="2"/>
  <c r="CL21" i="2"/>
  <c r="CK21" i="2"/>
  <c r="CJ21" i="2"/>
  <c r="CI21" i="2"/>
  <c r="CH21" i="2"/>
  <c r="CG21" i="2"/>
  <c r="CF21" i="2"/>
  <c r="CE21" i="2"/>
  <c r="CD21" i="2"/>
  <c r="CC21" i="2"/>
  <c r="CB21" i="2"/>
  <c r="CA21" i="2"/>
  <c r="CL19" i="2"/>
  <c r="CK19" i="2"/>
  <c r="CJ19" i="2"/>
  <c r="CI19" i="2"/>
  <c r="CH19" i="2"/>
  <c r="CG19" i="2"/>
  <c r="CF19" i="2"/>
  <c r="CE19" i="2"/>
  <c r="CD19" i="2"/>
  <c r="CC19" i="2"/>
  <c r="CB19" i="2"/>
  <c r="CA19" i="2"/>
  <c r="CL17" i="2"/>
  <c r="CK17" i="2"/>
  <c r="CJ17" i="2"/>
  <c r="CI17" i="2"/>
  <c r="CH17" i="2"/>
  <c r="CG17" i="2"/>
  <c r="CF17" i="2"/>
  <c r="CE17" i="2"/>
  <c r="CD17" i="2"/>
  <c r="CC17" i="2"/>
  <c r="CB17" i="2"/>
  <c r="CA17" i="2"/>
  <c r="CA16" i="2"/>
  <c r="CB16" i="2"/>
  <c r="CC16" i="2"/>
  <c r="CD16" i="2"/>
  <c r="CE16" i="2"/>
  <c r="CF16" i="2"/>
  <c r="CG16" i="2"/>
  <c r="CH16" i="2"/>
  <c r="CI16" i="2"/>
  <c r="CJ16" i="2"/>
  <c r="CK16" i="2"/>
  <c r="CL16" i="2"/>
  <c r="CL36" i="2" s="1"/>
  <c r="AY34" i="2"/>
  <c r="AY33" i="2"/>
  <c r="CB2" i="2"/>
  <c r="CC2" i="2" s="1"/>
  <c r="CD2" i="2" s="1"/>
  <c r="CE2" i="2" s="1"/>
  <c r="CF2" i="2" s="1"/>
  <c r="CG2" i="2" s="1"/>
  <c r="CH2" i="2" s="1"/>
  <c r="CI2" i="2" s="1"/>
  <c r="CJ2" i="2" s="1"/>
  <c r="CK2" i="2" s="1"/>
  <c r="CL2" i="2" s="1"/>
  <c r="CR2" i="2"/>
  <c r="CS2" i="2" s="1"/>
  <c r="CT2" i="2" s="1"/>
  <c r="CU2" i="2" s="1"/>
  <c r="CV2" i="2" s="1"/>
  <c r="CW2" i="2" s="1"/>
  <c r="CX2" i="2" s="1"/>
  <c r="CY2" i="2" s="1"/>
  <c r="CZ2" i="2" s="1"/>
  <c r="DA2" i="2" s="1"/>
  <c r="DB2" i="2" s="1"/>
  <c r="DC2" i="2" s="1"/>
  <c r="DD2" i="2" s="1"/>
  <c r="DE2" i="2" s="1"/>
  <c r="DF2" i="2" s="1"/>
  <c r="DG2" i="2" s="1"/>
  <c r="DH2" i="2" s="1"/>
  <c r="DI2" i="2" s="1"/>
  <c r="DJ2" i="2" s="1"/>
  <c r="DK2" i="2" s="1"/>
  <c r="DL2" i="2" s="1"/>
  <c r="DM2" i="2" s="1"/>
  <c r="DN2" i="2" s="1"/>
  <c r="DO2" i="2" s="1"/>
  <c r="DP2" i="2" s="1"/>
  <c r="DQ2" i="2" s="1"/>
  <c r="DR2" i="2" s="1"/>
  <c r="DS2" i="2" s="1"/>
  <c r="DT2" i="2" s="1"/>
  <c r="DU2" i="2" s="1"/>
  <c r="DV2" i="2" s="1"/>
  <c r="DW2" i="2" s="1"/>
  <c r="DX2" i="2" s="1"/>
  <c r="DY2" i="2" s="1"/>
  <c r="DZ2" i="2" s="1"/>
  <c r="EA2" i="2" s="1"/>
  <c r="EB2" i="2" s="1"/>
  <c r="EC2" i="2" s="1"/>
  <c r="ED2" i="2" s="1"/>
  <c r="EE2" i="2" s="1"/>
  <c r="EF2" i="2" s="1"/>
  <c r="EG2" i="2" s="1"/>
  <c r="EH2" i="2" s="1"/>
  <c r="EI2" i="2" s="1"/>
  <c r="EJ2" i="2" s="1"/>
  <c r="EK2" i="2" s="1"/>
  <c r="EL2" i="2" s="1"/>
  <c r="EM2" i="2" s="1"/>
  <c r="EN2" i="2" s="1"/>
  <c r="EO2" i="2" s="1"/>
  <c r="EP2" i="2" s="1"/>
  <c r="EQ2" i="2" s="1"/>
  <c r="ER2" i="2" s="1"/>
  <c r="ES2" i="2" s="1"/>
  <c r="ET2" i="2" s="1"/>
  <c r="EU2" i="2" s="1"/>
  <c r="EV2" i="2" s="1"/>
  <c r="EW2" i="2" s="1"/>
  <c r="EX2" i="2" s="1"/>
  <c r="EY2" i="2" s="1"/>
  <c r="EZ2" i="2" s="1"/>
  <c r="FA2" i="2" s="1"/>
  <c r="FB2" i="2" s="1"/>
  <c r="FC2" i="2" s="1"/>
  <c r="FD2" i="2" s="1"/>
  <c r="C20" i="2"/>
  <c r="C22" i="2" s="1"/>
  <c r="C39" i="2" s="1"/>
  <c r="D20" i="2"/>
  <c r="D22" i="2" s="1"/>
  <c r="D39" i="2" s="1"/>
  <c r="E20" i="2"/>
  <c r="E37" i="2" s="1"/>
  <c r="F20" i="2"/>
  <c r="F37" i="2" s="1"/>
  <c r="G20" i="2"/>
  <c r="G37" i="2" s="1"/>
  <c r="H20" i="2"/>
  <c r="H22" i="2" s="1"/>
  <c r="H39" i="2" s="1"/>
  <c r="I20" i="2"/>
  <c r="I22" i="2" s="1"/>
  <c r="I39" i="2" s="1"/>
  <c r="J20" i="2"/>
  <c r="J22" i="2" s="1"/>
  <c r="J39" i="2" s="1"/>
  <c r="K20" i="2"/>
  <c r="K22" i="2" s="1"/>
  <c r="K39" i="2" s="1"/>
  <c r="L20" i="2"/>
  <c r="L22" i="2" s="1"/>
  <c r="L39" i="2" s="1"/>
  <c r="M20" i="2"/>
  <c r="M37" i="2" s="1"/>
  <c r="N20" i="2"/>
  <c r="N22" i="2" s="1"/>
  <c r="N39" i="2" s="1"/>
  <c r="O20" i="2"/>
  <c r="O37" i="2" s="1"/>
  <c r="P20" i="2"/>
  <c r="P22" i="2" s="1"/>
  <c r="P39" i="2" s="1"/>
  <c r="Q20" i="2"/>
  <c r="Q22" i="2" s="1"/>
  <c r="Q39" i="2" s="1"/>
  <c r="R20" i="2"/>
  <c r="R22" i="2" s="1"/>
  <c r="R39" i="2" s="1"/>
  <c r="S20" i="2"/>
  <c r="S22" i="2" s="1"/>
  <c r="S39" i="2" s="1"/>
  <c r="T20" i="2"/>
  <c r="T22" i="2" s="1"/>
  <c r="T39" i="2" s="1"/>
  <c r="U20" i="2"/>
  <c r="U22" i="2" s="1"/>
  <c r="U39" i="2" s="1"/>
  <c r="V20" i="2"/>
  <c r="V22" i="2" s="1"/>
  <c r="V39" i="2" s="1"/>
  <c r="W20" i="2"/>
  <c r="W22" i="2" s="1"/>
  <c r="W39" i="2" s="1"/>
  <c r="X20" i="2"/>
  <c r="X22" i="2" s="1"/>
  <c r="X39" i="2" s="1"/>
  <c r="Z20" i="2"/>
  <c r="Z22" i="2" s="1"/>
  <c r="Z39" i="2" s="1"/>
  <c r="Y20" i="2"/>
  <c r="Y37" i="2" s="1"/>
  <c r="AA20" i="2"/>
  <c r="AA22" i="2" s="1"/>
  <c r="AA39" i="2" s="1"/>
  <c r="AB20" i="2"/>
  <c r="AB22" i="2" s="1"/>
  <c r="AB39" i="2" s="1"/>
  <c r="AC20" i="2"/>
  <c r="AC37" i="2" s="1"/>
  <c r="AD20" i="2"/>
  <c r="AD22" i="2" s="1"/>
  <c r="AD39" i="2" s="1"/>
  <c r="AE20" i="2"/>
  <c r="AE37" i="2" s="1"/>
  <c r="AF20" i="2"/>
  <c r="AF22" i="2" s="1"/>
  <c r="AF39" i="2" s="1"/>
  <c r="AG20" i="2"/>
  <c r="AG37" i="2" s="1"/>
  <c r="AH20" i="2"/>
  <c r="AH22" i="2" s="1"/>
  <c r="AH39" i="2" s="1"/>
  <c r="AI20" i="2"/>
  <c r="AI22" i="2" s="1"/>
  <c r="AI39" i="2" s="1"/>
  <c r="AJ20" i="2"/>
  <c r="AJ22" i="2" s="1"/>
  <c r="AJ39" i="2" s="1"/>
  <c r="AK20" i="2"/>
  <c r="AK22" i="2" s="1"/>
  <c r="AK39" i="2" s="1"/>
  <c r="AL20" i="2"/>
  <c r="AL37" i="2" s="1"/>
  <c r="AM20" i="2"/>
  <c r="AM37" i="2" s="1"/>
  <c r="AN20" i="2"/>
  <c r="AN22" i="2" s="1"/>
  <c r="AN39" i="2" s="1"/>
  <c r="AO20" i="2"/>
  <c r="AO22" i="2" s="1"/>
  <c r="AO39" i="2" s="1"/>
  <c r="AP20" i="2"/>
  <c r="AP22" i="2" s="1"/>
  <c r="AP39" i="2" s="1"/>
  <c r="AQ20" i="2"/>
  <c r="AQ22" i="2" s="1"/>
  <c r="AQ39" i="2" s="1"/>
  <c r="AR20" i="2"/>
  <c r="AR22" i="2" s="1"/>
  <c r="AR39" i="2" s="1"/>
  <c r="AS20" i="2"/>
  <c r="AS37" i="2" s="1"/>
  <c r="AT20" i="2"/>
  <c r="AT22" i="2" s="1"/>
  <c r="AT39" i="2" s="1"/>
  <c r="AU20" i="2"/>
  <c r="AU37" i="2" s="1"/>
  <c r="AV20" i="2"/>
  <c r="AV22" i="2" s="1"/>
  <c r="AV39" i="2" s="1"/>
  <c r="AW20" i="2"/>
  <c r="AW22" i="2" s="1"/>
  <c r="AW39" i="2" s="1"/>
  <c r="AX20" i="2"/>
  <c r="AX22" i="2" s="1"/>
  <c r="AX39" i="2" s="1"/>
  <c r="BM22" i="2"/>
  <c r="BL22" i="2"/>
  <c r="BK22" i="2"/>
  <c r="BI22" i="2"/>
  <c r="BH22" i="2"/>
  <c r="BG22" i="2"/>
  <c r="BE22" i="2"/>
  <c r="BD22" i="2"/>
  <c r="BC22" i="2"/>
  <c r="BA22" i="2"/>
  <c r="AZ22" i="2"/>
  <c r="AY22" i="2"/>
  <c r="AW18" i="2"/>
  <c r="AW35" i="2" s="1"/>
  <c r="AV18" i="2"/>
  <c r="AV35" i="2" s="1"/>
  <c r="AU18" i="2"/>
  <c r="AU35" i="2" s="1"/>
  <c r="AT18" i="2"/>
  <c r="AT35" i="2" s="1"/>
  <c r="AS18" i="2"/>
  <c r="AS35" i="2" s="1"/>
  <c r="AR18" i="2"/>
  <c r="AR35" i="2" s="1"/>
  <c r="AQ18" i="2"/>
  <c r="AQ35" i="2" s="1"/>
  <c r="AP18" i="2"/>
  <c r="AO18" i="2"/>
  <c r="AO35" i="2" s="1"/>
  <c r="AN18" i="2"/>
  <c r="AN35" i="2" s="1"/>
  <c r="AM18" i="2"/>
  <c r="AM35" i="2" s="1"/>
  <c r="AL18" i="2"/>
  <c r="AL35" i="2" s="1"/>
  <c r="AK18" i="2"/>
  <c r="AK35" i="2" s="1"/>
  <c r="AJ18" i="2"/>
  <c r="AJ35" i="2" s="1"/>
  <c r="AI18" i="2"/>
  <c r="AH18" i="2"/>
  <c r="AH35" i="2" s="1"/>
  <c r="AG18" i="2"/>
  <c r="AG35" i="2" s="1"/>
  <c r="AF18" i="2"/>
  <c r="AF35" i="2" s="1"/>
  <c r="AE18" i="2"/>
  <c r="AE35" i="2" s="1"/>
  <c r="AD18" i="2"/>
  <c r="AD35" i="2" s="1"/>
  <c r="AC18" i="2"/>
  <c r="AC35" i="2" s="1"/>
  <c r="AB18" i="2"/>
  <c r="AB35" i="2" s="1"/>
  <c r="AA18" i="2"/>
  <c r="AA35" i="2" s="1"/>
  <c r="Z18" i="2"/>
  <c r="Z35" i="2" s="1"/>
  <c r="Y18" i="2"/>
  <c r="Y35" i="2" s="1"/>
  <c r="X18" i="2"/>
  <c r="X35" i="2" s="1"/>
  <c r="W18" i="2"/>
  <c r="W35" i="2" s="1"/>
  <c r="V18" i="2"/>
  <c r="V35" i="2" s="1"/>
  <c r="U18" i="2"/>
  <c r="T18" i="2"/>
  <c r="S18" i="2"/>
  <c r="R18" i="2"/>
  <c r="R35" i="2" s="1"/>
  <c r="Q18" i="2"/>
  <c r="Q35" i="2" s="1"/>
  <c r="P18" i="2"/>
  <c r="P35" i="2" s="1"/>
  <c r="O18" i="2"/>
  <c r="O35" i="2" s="1"/>
  <c r="N18" i="2"/>
  <c r="N35" i="2" s="1"/>
  <c r="M18" i="2"/>
  <c r="M35" i="2" s="1"/>
  <c r="L18" i="2"/>
  <c r="K18" i="2"/>
  <c r="K35" i="2" s="1"/>
  <c r="J18" i="2"/>
  <c r="J35" i="2" s="1"/>
  <c r="I18" i="2"/>
  <c r="I35" i="2" s="1"/>
  <c r="H18" i="2"/>
  <c r="H35" i="2" s="1"/>
  <c r="G18" i="2"/>
  <c r="G35" i="2" s="1"/>
  <c r="F18" i="2"/>
  <c r="F35" i="2" s="1"/>
  <c r="E18" i="2"/>
  <c r="E35" i="2" s="1"/>
  <c r="D18" i="2"/>
  <c r="C18" i="2"/>
  <c r="C35" i="2" s="1"/>
  <c r="AX18" i="2"/>
  <c r="BP76" i="2" l="1"/>
  <c r="BP74" i="2"/>
  <c r="BP73" i="2"/>
  <c r="BP42" i="2"/>
  <c r="BP31" i="2"/>
  <c r="BO35" i="2"/>
  <c r="CC38" i="2"/>
  <c r="CH36" i="2"/>
  <c r="CI80" i="2"/>
  <c r="CH80" i="2"/>
  <c r="CF80" i="2"/>
  <c r="CG80" i="2"/>
  <c r="AU81" i="2"/>
  <c r="AX24" i="2"/>
  <c r="AX27" i="2" s="1"/>
  <c r="AX29" i="2" s="1"/>
  <c r="AX42" i="2" s="1"/>
  <c r="AW81" i="2"/>
  <c r="AV81" i="2"/>
  <c r="CL79" i="2"/>
  <c r="CC36" i="2"/>
  <c r="CK36" i="2"/>
  <c r="CF38" i="2"/>
  <c r="CG36" i="2"/>
  <c r="BO40" i="2"/>
  <c r="BO27" i="2"/>
  <c r="K278" i="3"/>
  <c r="K276" i="3"/>
  <c r="K277" i="3"/>
  <c r="CK38" i="2"/>
  <c r="CA18" i="2"/>
  <c r="CA36" i="2"/>
  <c r="CI36" i="2"/>
  <c r="CD38" i="2"/>
  <c r="CD36" i="2"/>
  <c r="CE36" i="2"/>
  <c r="CF36" i="2"/>
  <c r="CA38" i="2"/>
  <c r="CI38" i="2"/>
  <c r="J37" i="2"/>
  <c r="CJ18" i="2"/>
  <c r="CB18" i="2"/>
  <c r="CB38" i="2"/>
  <c r="CJ38" i="2"/>
  <c r="R37" i="2"/>
  <c r="CL38" i="2"/>
  <c r="Z37" i="2"/>
  <c r="CH38" i="2"/>
  <c r="AH37" i="2"/>
  <c r="CB36" i="2"/>
  <c r="CJ36" i="2"/>
  <c r="CE38" i="2"/>
  <c r="AP37" i="2"/>
  <c r="AX37" i="2"/>
  <c r="CG38" i="2"/>
  <c r="H37" i="2"/>
  <c r="P37" i="2"/>
  <c r="X37" i="2"/>
  <c r="AF37" i="2"/>
  <c r="AN37" i="2"/>
  <c r="AV37" i="2"/>
  <c r="I37" i="2"/>
  <c r="Q37" i="2"/>
  <c r="AO37" i="2"/>
  <c r="AW37" i="2"/>
  <c r="CG18" i="2"/>
  <c r="C37" i="2"/>
  <c r="K37" i="2"/>
  <c r="S37" i="2"/>
  <c r="AA37" i="2"/>
  <c r="AI37" i="2"/>
  <c r="AQ37" i="2"/>
  <c r="D37" i="2"/>
  <c r="L37" i="2"/>
  <c r="T37" i="2"/>
  <c r="AB37" i="2"/>
  <c r="AJ37" i="2"/>
  <c r="AR37" i="2"/>
  <c r="U37" i="2"/>
  <c r="AK37" i="2"/>
  <c r="N37" i="2"/>
  <c r="V37" i="2"/>
  <c r="AD37" i="2"/>
  <c r="AT37" i="2"/>
  <c r="W37" i="2"/>
  <c r="CF18" i="2"/>
  <c r="CH18" i="2"/>
  <c r="CK18" i="2"/>
  <c r="CC18" i="2"/>
  <c r="CI18" i="2"/>
  <c r="CD35" i="2"/>
  <c r="CE18" i="2"/>
  <c r="CI20" i="2"/>
  <c r="CE20" i="2"/>
  <c r="CF20" i="2"/>
  <c r="CF37" i="2" s="1"/>
  <c r="CB35" i="2"/>
  <c r="AX41" i="2"/>
  <c r="U24" i="2"/>
  <c r="U27" i="2" s="1"/>
  <c r="U29" i="2" s="1"/>
  <c r="AK24" i="2"/>
  <c r="AP24" i="2"/>
  <c r="AP35" i="2"/>
  <c r="CA35" i="2" s="1"/>
  <c r="U35" i="2"/>
  <c r="S24" i="2"/>
  <c r="S35" i="2"/>
  <c r="AI24" i="2"/>
  <c r="AI35" i="2"/>
  <c r="CC35" i="2"/>
  <c r="AU22" i="2"/>
  <c r="AU39" i="2" s="1"/>
  <c r="CL20" i="2"/>
  <c r="CL37" i="2" s="1"/>
  <c r="AM22" i="2"/>
  <c r="AM39" i="2" s="1"/>
  <c r="CJ20" i="2"/>
  <c r="AE22" i="2"/>
  <c r="AE39" i="2" s="1"/>
  <c r="CH20" i="2"/>
  <c r="O22" i="2"/>
  <c r="O39" i="2" s="1"/>
  <c r="CD20" i="2"/>
  <c r="G22" i="2"/>
  <c r="G39" i="2" s="1"/>
  <c r="CB20" i="2"/>
  <c r="CE35" i="2"/>
  <c r="CL18" i="2"/>
  <c r="CD18" i="2"/>
  <c r="D24" i="2"/>
  <c r="L24" i="2"/>
  <c r="T24" i="2"/>
  <c r="AX35" i="2"/>
  <c r="CG20" i="2"/>
  <c r="G24" i="2"/>
  <c r="AU24" i="2"/>
  <c r="CA20" i="2"/>
  <c r="AX40" i="2"/>
  <c r="D35" i="2"/>
  <c r="L35" i="2"/>
  <c r="T35" i="2"/>
  <c r="CC20" i="2"/>
  <c r="CK20" i="2"/>
  <c r="V24" i="2"/>
  <c r="N24" i="2"/>
  <c r="AD24" i="2"/>
  <c r="AB24" i="2"/>
  <c r="AJ24" i="2"/>
  <c r="AR24" i="2"/>
  <c r="H24" i="2"/>
  <c r="P24" i="2"/>
  <c r="X24" i="2"/>
  <c r="AF24" i="2"/>
  <c r="AN24" i="2"/>
  <c r="AV24" i="2"/>
  <c r="AL24" i="2"/>
  <c r="AO24" i="2"/>
  <c r="AW24" i="2"/>
  <c r="AS24" i="2"/>
  <c r="AC24" i="2"/>
  <c r="M24" i="2"/>
  <c r="E24" i="2"/>
  <c r="Z24" i="2"/>
  <c r="R24" i="2"/>
  <c r="K24" i="2"/>
  <c r="C24" i="2"/>
  <c r="AA24" i="2"/>
  <c r="W24" i="2"/>
  <c r="F24" i="2"/>
  <c r="AM24" i="2"/>
  <c r="AT24" i="2"/>
  <c r="AH24" i="2"/>
  <c r="Y24" i="2"/>
  <c r="AS22" i="2"/>
  <c r="AS39" i="2" s="1"/>
  <c r="AG24" i="2"/>
  <c r="Q24" i="2"/>
  <c r="AQ24" i="2"/>
  <c r="AL22" i="2"/>
  <c r="AL39" i="2" s="1"/>
  <c r="E22" i="2"/>
  <c r="E39" i="2" s="1"/>
  <c r="F22" i="2"/>
  <c r="F39" i="2" s="1"/>
  <c r="I24" i="2"/>
  <c r="J24" i="2"/>
  <c r="M22" i="2"/>
  <c r="M39" i="2" s="1"/>
  <c r="O24" i="2"/>
  <c r="Y22" i="2"/>
  <c r="Y39" i="2" s="1"/>
  <c r="AC22" i="2"/>
  <c r="AC39" i="2" s="1"/>
  <c r="AE24" i="2"/>
  <c r="AG22" i="2"/>
  <c r="AG39" i="2" s="1"/>
  <c r="AX76" i="2" l="1"/>
  <c r="AX31" i="2"/>
  <c r="BO41" i="2"/>
  <c r="BO29" i="2"/>
  <c r="BO76" i="2" s="1"/>
  <c r="CF24" i="2"/>
  <c r="CF27" i="2" s="1"/>
  <c r="CL22" i="2"/>
  <c r="CL39" i="2" s="1"/>
  <c r="CE22" i="2"/>
  <c r="CE39" i="2" s="1"/>
  <c r="CE37" i="2"/>
  <c r="CK22" i="2"/>
  <c r="CK39" i="2" s="1"/>
  <c r="CK37" i="2"/>
  <c r="CA22" i="2"/>
  <c r="CA39" i="2" s="1"/>
  <c r="CA37" i="2"/>
  <c r="CE24" i="2"/>
  <c r="CE27" i="2" s="1"/>
  <c r="CE29" i="2" s="1"/>
  <c r="CE76" i="2" s="1"/>
  <c r="CJ22" i="2"/>
  <c r="CJ39" i="2" s="1"/>
  <c r="CJ37" i="2"/>
  <c r="CF22" i="2"/>
  <c r="CF39" i="2" s="1"/>
  <c r="CI22" i="2"/>
  <c r="CI39" i="2" s="1"/>
  <c r="CI37" i="2"/>
  <c r="CC22" i="2"/>
  <c r="CC39" i="2" s="1"/>
  <c r="CC37" i="2"/>
  <c r="CD22" i="2"/>
  <c r="CD39" i="2" s="1"/>
  <c r="CD37" i="2"/>
  <c r="CB22" i="2"/>
  <c r="CB39" i="2" s="1"/>
  <c r="CB37" i="2"/>
  <c r="CG22" i="2"/>
  <c r="CG39" i="2" s="1"/>
  <c r="CG37" i="2"/>
  <c r="U41" i="2"/>
  <c r="CH22" i="2"/>
  <c r="CH39" i="2" s="1"/>
  <c r="CH37" i="2"/>
  <c r="CH24" i="2"/>
  <c r="CH27" i="2" s="1"/>
  <c r="CH29" i="2" s="1"/>
  <c r="CH76" i="2" s="1"/>
  <c r="CI24" i="2"/>
  <c r="CD24" i="2"/>
  <c r="CK24" i="2"/>
  <c r="CK27" i="2" s="1"/>
  <c r="CK41" i="2" s="1"/>
  <c r="CC24" i="2"/>
  <c r="CC27" i="2" s="1"/>
  <c r="CC41" i="2" s="1"/>
  <c r="CA24" i="2"/>
  <c r="U40" i="2"/>
  <c r="CL24" i="2"/>
  <c r="CL27" i="2" s="1"/>
  <c r="CL29" i="2" s="1"/>
  <c r="CL76" i="2" s="1"/>
  <c r="AK27" i="2"/>
  <c r="AK40" i="2"/>
  <c r="G27" i="2"/>
  <c r="G40" i="2"/>
  <c r="AE27" i="2"/>
  <c r="AE40" i="2"/>
  <c r="AT27" i="2"/>
  <c r="AT40" i="2"/>
  <c r="Z27" i="2"/>
  <c r="Z40" i="2"/>
  <c r="AL27" i="2"/>
  <c r="AL40" i="2"/>
  <c r="AI27" i="2"/>
  <c r="AI40" i="2"/>
  <c r="AH27" i="2"/>
  <c r="AH40" i="2"/>
  <c r="AV27" i="2"/>
  <c r="AV40" i="2"/>
  <c r="F27" i="2"/>
  <c r="F40" i="2"/>
  <c r="AJ27" i="2"/>
  <c r="AJ40" i="2"/>
  <c r="S27" i="2"/>
  <c r="S40" i="2"/>
  <c r="W27" i="2"/>
  <c r="W40" i="2"/>
  <c r="AC27" i="2"/>
  <c r="AC40" i="2"/>
  <c r="AF27" i="2"/>
  <c r="AF40" i="2"/>
  <c r="AB27" i="2"/>
  <c r="AB40" i="2"/>
  <c r="L27" i="2"/>
  <c r="L40" i="2"/>
  <c r="AP27" i="2"/>
  <c r="AP40" i="2"/>
  <c r="R27" i="2"/>
  <c r="R40" i="2"/>
  <c r="E27" i="2"/>
  <c r="E40" i="2"/>
  <c r="CF35" i="2"/>
  <c r="M27" i="2"/>
  <c r="M40" i="2"/>
  <c r="O27" i="2"/>
  <c r="O40" i="2"/>
  <c r="AA27" i="2"/>
  <c r="AA40" i="2"/>
  <c r="AD27" i="2"/>
  <c r="AD40" i="2"/>
  <c r="D27" i="2"/>
  <c r="D40" i="2"/>
  <c r="U76" i="2"/>
  <c r="U42" i="2"/>
  <c r="U31" i="2"/>
  <c r="AR27" i="2"/>
  <c r="AR40" i="2"/>
  <c r="AQ27" i="2"/>
  <c r="AQ40" i="2"/>
  <c r="AS27" i="2"/>
  <c r="AS40" i="2"/>
  <c r="J27" i="2"/>
  <c r="J40" i="2"/>
  <c r="C27" i="2"/>
  <c r="C40" i="2"/>
  <c r="AW27" i="2"/>
  <c r="AW40" i="2"/>
  <c r="P27" i="2"/>
  <c r="P40" i="2"/>
  <c r="N27" i="2"/>
  <c r="N40" i="2"/>
  <c r="CJ24" i="2"/>
  <c r="AM27" i="2"/>
  <c r="AM40" i="2"/>
  <c r="AN27" i="2"/>
  <c r="AN40" i="2"/>
  <c r="T27" i="2"/>
  <c r="T40" i="2"/>
  <c r="Q27" i="2"/>
  <c r="Q40" i="2"/>
  <c r="AG27" i="2"/>
  <c r="AG40" i="2"/>
  <c r="X27" i="2"/>
  <c r="X40" i="2"/>
  <c r="I27" i="2"/>
  <c r="I40" i="2"/>
  <c r="Y27" i="2"/>
  <c r="Y40" i="2"/>
  <c r="K27" i="2"/>
  <c r="K40" i="2"/>
  <c r="AO27" i="2"/>
  <c r="AO40" i="2"/>
  <c r="H27" i="2"/>
  <c r="H40" i="2"/>
  <c r="V27" i="2"/>
  <c r="V40" i="2"/>
  <c r="AU27" i="2"/>
  <c r="AU40" i="2"/>
  <c r="CG24" i="2"/>
  <c r="CB24" i="2"/>
  <c r="CF41" i="2"/>
  <c r="CK40" i="2"/>
  <c r="CF40" i="2" l="1"/>
  <c r="CK29" i="2"/>
  <c r="CH40" i="2"/>
  <c r="CC29" i="2"/>
  <c r="CC76" i="2" s="1"/>
  <c r="BO31" i="2"/>
  <c r="BO42" i="2"/>
  <c r="CC40" i="2"/>
  <c r="CE40" i="2"/>
  <c r="CL41" i="2"/>
  <c r="CL40" i="2"/>
  <c r="CI27" i="2"/>
  <c r="CI40" i="2"/>
  <c r="CD27" i="2"/>
  <c r="CD40" i="2"/>
  <c r="AK29" i="2"/>
  <c r="AK41" i="2"/>
  <c r="CA27" i="2"/>
  <c r="CA40" i="2"/>
  <c r="AG29" i="2"/>
  <c r="AG41" i="2"/>
  <c r="AA29" i="2"/>
  <c r="AA41" i="2"/>
  <c r="AW29" i="2"/>
  <c r="AW41" i="2"/>
  <c r="F29" i="2"/>
  <c r="F41" i="2"/>
  <c r="CB27" i="2"/>
  <c r="CB40" i="2"/>
  <c r="Y29" i="2"/>
  <c r="Y41" i="2"/>
  <c r="Q29" i="2"/>
  <c r="Q41" i="2"/>
  <c r="O29" i="2"/>
  <c r="O41" i="2"/>
  <c r="R29" i="2"/>
  <c r="R41" i="2"/>
  <c r="AB29" i="2"/>
  <c r="AB41" i="2"/>
  <c r="S29" i="2"/>
  <c r="S41" i="2"/>
  <c r="AE29" i="2"/>
  <c r="AE41" i="2"/>
  <c r="AU29" i="2"/>
  <c r="AU41" i="2"/>
  <c r="P29" i="2"/>
  <c r="P41" i="2"/>
  <c r="AJ29" i="2"/>
  <c r="AJ41" i="2"/>
  <c r="AT29" i="2"/>
  <c r="AT41" i="2"/>
  <c r="AQ29" i="2"/>
  <c r="AQ41" i="2"/>
  <c r="V29" i="2"/>
  <c r="V41" i="2"/>
  <c r="H29" i="2"/>
  <c r="H41" i="2"/>
  <c r="I29" i="2"/>
  <c r="I41" i="2"/>
  <c r="T29" i="2"/>
  <c r="T41" i="2"/>
  <c r="D29" i="2"/>
  <c r="D41" i="2"/>
  <c r="AP29" i="2"/>
  <c r="AP41" i="2"/>
  <c r="AF29" i="2"/>
  <c r="AF41" i="2"/>
  <c r="AV29" i="2"/>
  <c r="AV41" i="2"/>
  <c r="AL29" i="2"/>
  <c r="AL41" i="2"/>
  <c r="G29" i="2"/>
  <c r="G41" i="2"/>
  <c r="L29" i="2"/>
  <c r="L41" i="2"/>
  <c r="AR29" i="2"/>
  <c r="AR41" i="2"/>
  <c r="J29" i="2"/>
  <c r="J41" i="2"/>
  <c r="AS29" i="2"/>
  <c r="AS41" i="2"/>
  <c r="K29" i="2"/>
  <c r="K41" i="2"/>
  <c r="AM29" i="2"/>
  <c r="AM41" i="2"/>
  <c r="E29" i="2"/>
  <c r="E41" i="2"/>
  <c r="W29" i="2"/>
  <c r="W41" i="2"/>
  <c r="AI29" i="2"/>
  <c r="AI41" i="2"/>
  <c r="CJ27" i="2"/>
  <c r="CJ40" i="2"/>
  <c r="CG27" i="2"/>
  <c r="CG40" i="2"/>
  <c r="C29" i="2"/>
  <c r="C41" i="2"/>
  <c r="N29" i="2"/>
  <c r="N41" i="2"/>
  <c r="M29" i="2"/>
  <c r="M41" i="2"/>
  <c r="AO29" i="2"/>
  <c r="AO41" i="2"/>
  <c r="X29" i="2"/>
  <c r="X41" i="2"/>
  <c r="AN29" i="2"/>
  <c r="AN41" i="2"/>
  <c r="AD29" i="2"/>
  <c r="AD41" i="2"/>
  <c r="AC29" i="2"/>
  <c r="AC41" i="2"/>
  <c r="AH29" i="2"/>
  <c r="AH41" i="2"/>
  <c r="Z29" i="2"/>
  <c r="Z41" i="2"/>
  <c r="CH42" i="2"/>
  <c r="CH31" i="2"/>
  <c r="CC42" i="2"/>
  <c r="CE42" i="2"/>
  <c r="CE31" i="2"/>
  <c r="CL42" i="2"/>
  <c r="CL31" i="2"/>
  <c r="CF29" i="2"/>
  <c r="CF76" i="2" s="1"/>
  <c r="CH41" i="2"/>
  <c r="CE41" i="2"/>
  <c r="CC31" i="2" l="1"/>
  <c r="CK31" i="2"/>
  <c r="CK76" i="2"/>
  <c r="CK42" i="2"/>
  <c r="CD41" i="2"/>
  <c r="CD29" i="2"/>
  <c r="CD76" i="2" s="1"/>
  <c r="CI29" i="2"/>
  <c r="CI76" i="2" s="1"/>
  <c r="CI41" i="2"/>
  <c r="CA29" i="2"/>
  <c r="CA76" i="2" s="1"/>
  <c r="CA41" i="2"/>
  <c r="AK31" i="2"/>
  <c r="AK76" i="2"/>
  <c r="AK42" i="2"/>
  <c r="W76" i="2"/>
  <c r="W42" i="2"/>
  <c r="W31" i="2"/>
  <c r="AP42" i="2"/>
  <c r="AP31" i="2"/>
  <c r="AP76" i="2"/>
  <c r="AJ76" i="2"/>
  <c r="AJ42" i="2"/>
  <c r="AJ31" i="2"/>
  <c r="O76" i="2"/>
  <c r="O42" i="2"/>
  <c r="O31" i="2"/>
  <c r="AL76" i="2"/>
  <c r="AL42" i="2"/>
  <c r="AL31" i="2"/>
  <c r="AN42" i="2"/>
  <c r="AN31" i="2"/>
  <c r="AN76" i="2"/>
  <c r="AW42" i="2"/>
  <c r="AW31" i="2"/>
  <c r="AW76" i="2"/>
  <c r="AM76" i="2"/>
  <c r="AM42" i="2"/>
  <c r="AM31" i="2"/>
  <c r="AV31" i="2"/>
  <c r="AV42" i="2"/>
  <c r="AV76" i="2"/>
  <c r="AQ76" i="2"/>
  <c r="AQ42" i="2"/>
  <c r="AQ31" i="2"/>
  <c r="G76" i="2"/>
  <c r="G42" i="2"/>
  <c r="G31" i="2"/>
  <c r="M76" i="2"/>
  <c r="M42" i="2"/>
  <c r="M31" i="2"/>
  <c r="J42" i="2"/>
  <c r="J31" i="2"/>
  <c r="J76" i="2"/>
  <c r="P31" i="2"/>
  <c r="P42" i="2"/>
  <c r="P76" i="2"/>
  <c r="CJ41" i="2"/>
  <c r="CJ29" i="2"/>
  <c r="CJ76" i="2" s="1"/>
  <c r="AA76" i="2"/>
  <c r="AA31" i="2"/>
  <c r="AA42" i="2"/>
  <c r="AS76" i="2"/>
  <c r="AS42" i="2"/>
  <c r="AS31" i="2"/>
  <c r="F76" i="2"/>
  <c r="F42" i="2"/>
  <c r="F31" i="2"/>
  <c r="E76" i="2"/>
  <c r="E31" i="2"/>
  <c r="E42" i="2"/>
  <c r="V76" i="2"/>
  <c r="V42" i="2"/>
  <c r="V31" i="2"/>
  <c r="AH42" i="2"/>
  <c r="AH31" i="2"/>
  <c r="AH76" i="2"/>
  <c r="S76" i="2"/>
  <c r="S42" i="2"/>
  <c r="S31" i="2"/>
  <c r="AB76" i="2"/>
  <c r="AB42" i="2"/>
  <c r="AB31" i="2"/>
  <c r="AI76" i="2"/>
  <c r="AI31" i="2"/>
  <c r="AI42" i="2"/>
  <c r="L76" i="2"/>
  <c r="L42" i="2"/>
  <c r="L31" i="2"/>
  <c r="AF31" i="2"/>
  <c r="AF42" i="2"/>
  <c r="AF76" i="2"/>
  <c r="I42" i="2"/>
  <c r="I31" i="2"/>
  <c r="I76" i="2"/>
  <c r="AT76" i="2"/>
  <c r="AT42" i="2"/>
  <c r="AT31" i="2"/>
  <c r="C76" i="2"/>
  <c r="C42" i="2"/>
  <c r="C31" i="2"/>
  <c r="H42" i="2"/>
  <c r="H31" i="2"/>
  <c r="H76" i="2"/>
  <c r="Z42" i="2"/>
  <c r="Z31" i="2"/>
  <c r="Z76" i="2"/>
  <c r="CG41" i="2"/>
  <c r="CG29" i="2"/>
  <c r="CG76" i="2" s="1"/>
  <c r="D76" i="2"/>
  <c r="D42" i="2"/>
  <c r="D31" i="2"/>
  <c r="N76" i="2"/>
  <c r="N42" i="2"/>
  <c r="N31" i="2"/>
  <c r="Q42" i="2"/>
  <c r="Q31" i="2"/>
  <c r="Q76" i="2"/>
  <c r="AR76" i="2"/>
  <c r="AR42" i="2"/>
  <c r="AR31" i="2"/>
  <c r="T76" i="2"/>
  <c r="T42" i="2"/>
  <c r="T31" i="2"/>
  <c r="AC76" i="2"/>
  <c r="AC42" i="2"/>
  <c r="AC31" i="2"/>
  <c r="X42" i="2"/>
  <c r="X31" i="2"/>
  <c r="X76" i="2"/>
  <c r="AU76" i="2"/>
  <c r="AU42" i="2"/>
  <c r="AU31" i="2"/>
  <c r="Y42" i="2"/>
  <c r="Y31" i="2"/>
  <c r="Y76" i="2"/>
  <c r="K76" i="2"/>
  <c r="K31" i="2"/>
  <c r="K42" i="2"/>
  <c r="AD76" i="2"/>
  <c r="AD42" i="2"/>
  <c r="AD31" i="2"/>
  <c r="AO42" i="2"/>
  <c r="AO31" i="2"/>
  <c r="AO76" i="2"/>
  <c r="AE76" i="2"/>
  <c r="AE42" i="2"/>
  <c r="AE31" i="2"/>
  <c r="R42" i="2"/>
  <c r="R31" i="2"/>
  <c r="R76" i="2"/>
  <c r="CB29" i="2"/>
  <c r="CB76" i="2" s="1"/>
  <c r="CB41" i="2"/>
  <c r="AG42" i="2"/>
  <c r="AG31" i="2"/>
  <c r="AG76" i="2"/>
  <c r="CF42" i="2"/>
  <c r="CF31" i="2"/>
  <c r="CI31" i="2" l="1"/>
  <c r="CI42" i="2"/>
  <c r="CD42" i="2"/>
  <c r="CD31" i="2"/>
  <c r="CA42" i="2"/>
  <c r="CA31" i="2"/>
  <c r="CJ42" i="2"/>
  <c r="CJ31" i="2"/>
  <c r="CG42" i="2"/>
  <c r="CG31" i="2"/>
  <c r="CB31" i="2"/>
  <c r="CB42" i="2"/>
  <c r="BB3" i="2" l="1"/>
  <c r="BF3" i="2"/>
  <c r="CN3" i="2" s="1"/>
  <c r="BJ3" i="2"/>
  <c r="BN3" i="2"/>
  <c r="BB4" i="2"/>
  <c r="CM4" i="2" s="1"/>
  <c r="BF4" i="2"/>
  <c r="BJ4" i="2"/>
  <c r="CO4" i="2" s="1"/>
  <c r="BN4" i="2"/>
  <c r="AY5" i="2"/>
  <c r="AZ5" i="2"/>
  <c r="BA5" i="2"/>
  <c r="BC5" i="2"/>
  <c r="BC16" i="2" s="1"/>
  <c r="BD5" i="2"/>
  <c r="BE5" i="2"/>
  <c r="BE16" i="2" s="1"/>
  <c r="BG5" i="2"/>
  <c r="BH5" i="2"/>
  <c r="BI5" i="2"/>
  <c r="BK5" i="2"/>
  <c r="BL5" i="2"/>
  <c r="BM5" i="2"/>
  <c r="BM16" i="2" s="1"/>
  <c r="BC7" i="2"/>
  <c r="BD7" i="2"/>
  <c r="BE7" i="2"/>
  <c r="BG7" i="2"/>
  <c r="BH7" i="2"/>
  <c r="BI7" i="2"/>
  <c r="BK7" i="2"/>
  <c r="BL7" i="2"/>
  <c r="BM7" i="2"/>
  <c r="BC8" i="2"/>
  <c r="BD8" i="2"/>
  <c r="BE8" i="2"/>
  <c r="BG8" i="2"/>
  <c r="BH8" i="2"/>
  <c r="BI8" i="2"/>
  <c r="BK8" i="2"/>
  <c r="BL8" i="2"/>
  <c r="BM8" i="2"/>
  <c r="BB12" i="2"/>
  <c r="BF12" i="2"/>
  <c r="CN12" i="2" s="1"/>
  <c r="BJ12" i="2"/>
  <c r="BN12" i="2"/>
  <c r="BB13" i="2"/>
  <c r="BF13" i="2"/>
  <c r="BJ13" i="2"/>
  <c r="CO13" i="2" s="1"/>
  <c r="BN13" i="2"/>
  <c r="CP13" i="2" s="1"/>
  <c r="AY14" i="2"/>
  <c r="AY17" i="2" s="1"/>
  <c r="AZ14" i="2"/>
  <c r="AZ17" i="2" s="1"/>
  <c r="BA14" i="2"/>
  <c r="BC14" i="2"/>
  <c r="BD14" i="2"/>
  <c r="BE14" i="2"/>
  <c r="BE17" i="2" s="1"/>
  <c r="BG14" i="2"/>
  <c r="BG17" i="2" s="1"/>
  <c r="BH14" i="2"/>
  <c r="BH17" i="2" s="1"/>
  <c r="BI14" i="2"/>
  <c r="BI17" i="2" s="1"/>
  <c r="BK14" i="2"/>
  <c r="BL14" i="2"/>
  <c r="BM14" i="2"/>
  <c r="BM17" i="2" s="1"/>
  <c r="BB19" i="2"/>
  <c r="BF19" i="2"/>
  <c r="BJ19" i="2"/>
  <c r="BN19" i="2"/>
  <c r="BB20" i="2"/>
  <c r="BF20" i="2"/>
  <c r="BJ20" i="2"/>
  <c r="BN20" i="2"/>
  <c r="BB21" i="2"/>
  <c r="BF21" i="2"/>
  <c r="BJ21" i="2"/>
  <c r="BN21" i="2"/>
  <c r="BJ23" i="2"/>
  <c r="CO23" i="2" s="1"/>
  <c r="BN23" i="2"/>
  <c r="CP23" i="2" s="1"/>
  <c r="CM23" i="2"/>
  <c r="CN23" i="2"/>
  <c r="BB25" i="2"/>
  <c r="CM25" i="2" s="1"/>
  <c r="BF25" i="2"/>
  <c r="CN25" i="2" s="1"/>
  <c r="BJ25" i="2"/>
  <c r="CO25" i="2" s="1"/>
  <c r="BN25" i="2"/>
  <c r="CP25" i="2" s="1"/>
  <c r="BB26" i="2"/>
  <c r="CM26" i="2" s="1"/>
  <c r="BF26" i="2"/>
  <c r="CN26" i="2" s="1"/>
  <c r="BJ26" i="2"/>
  <c r="CO26" i="2" s="1"/>
  <c r="BN26" i="2"/>
  <c r="CP26" i="2" s="1"/>
  <c r="AZ33" i="2"/>
  <c r="BA33" i="2"/>
  <c r="BC33" i="2"/>
  <c r="BD33" i="2"/>
  <c r="BE33" i="2"/>
  <c r="BG33" i="2"/>
  <c r="BH33" i="2"/>
  <c r="BI33" i="2"/>
  <c r="BK33" i="2"/>
  <c r="BL33" i="2"/>
  <c r="BM33" i="2"/>
  <c r="AZ34" i="2"/>
  <c r="BA34" i="2"/>
  <c r="BC34" i="2"/>
  <c r="BD34" i="2"/>
  <c r="BE34" i="2"/>
  <c r="BG34" i="2"/>
  <c r="BH34" i="2"/>
  <c r="BI34" i="2"/>
  <c r="BK34" i="2"/>
  <c r="BL34" i="2"/>
  <c r="BM34" i="2"/>
  <c r="CM44" i="2"/>
  <c r="CN44" i="2"/>
  <c r="CO44" i="2"/>
  <c r="CP44" i="2"/>
  <c r="CM45" i="2"/>
  <c r="CN45" i="2"/>
  <c r="CO45" i="2"/>
  <c r="CP45" i="2"/>
  <c r="CM46" i="2"/>
  <c r="CN46" i="2"/>
  <c r="CO46" i="2"/>
  <c r="CP46" i="2"/>
  <c r="CM47" i="2"/>
  <c r="CN47" i="2"/>
  <c r="CO47" i="2"/>
  <c r="CP47" i="2"/>
  <c r="CM48" i="2"/>
  <c r="CN48" i="2"/>
  <c r="CO48" i="2"/>
  <c r="CP48" i="2"/>
  <c r="CM49" i="2"/>
  <c r="CN49" i="2"/>
  <c r="CO49" i="2"/>
  <c r="CP49" i="2"/>
  <c r="CM50" i="2"/>
  <c r="CN50" i="2"/>
  <c r="CO50" i="2"/>
  <c r="CP50" i="2"/>
  <c r="CM51" i="2"/>
  <c r="CN51" i="2"/>
  <c r="CO51" i="2"/>
  <c r="CP51" i="2"/>
  <c r="CM52" i="2"/>
  <c r="CN52" i="2"/>
  <c r="CO52" i="2"/>
  <c r="CP52" i="2"/>
  <c r="CM53" i="2"/>
  <c r="CN53" i="2"/>
  <c r="CO53" i="2"/>
  <c r="CP53" i="2"/>
  <c r="CM54" i="2"/>
  <c r="CN54" i="2"/>
  <c r="CO54" i="2"/>
  <c r="CP54" i="2"/>
  <c r="CM55" i="2"/>
  <c r="CN55" i="2"/>
  <c r="CO55" i="2"/>
  <c r="CP55" i="2"/>
  <c r="AY56" i="2"/>
  <c r="AZ56" i="2"/>
  <c r="BA56" i="2"/>
  <c r="BB56" i="2"/>
  <c r="BC56" i="2"/>
  <c r="BD56" i="2"/>
  <c r="BE56" i="2"/>
  <c r="BF56" i="2"/>
  <c r="BG56" i="2"/>
  <c r="BH56" i="2"/>
  <c r="BI56" i="2"/>
  <c r="BJ56" i="2"/>
  <c r="BK56" i="2"/>
  <c r="BL56" i="2"/>
  <c r="BM56" i="2"/>
  <c r="BN56" i="2"/>
  <c r="CM58" i="2"/>
  <c r="CN58" i="2"/>
  <c r="CO58" i="2"/>
  <c r="CP58" i="2"/>
  <c r="CM59" i="2"/>
  <c r="CN59" i="2"/>
  <c r="CO59" i="2"/>
  <c r="CP59" i="2"/>
  <c r="CM60" i="2"/>
  <c r="CN60" i="2"/>
  <c r="CO60" i="2"/>
  <c r="CP60" i="2"/>
  <c r="CM61" i="2"/>
  <c r="CN61" i="2"/>
  <c r="CO61" i="2"/>
  <c r="CP61" i="2"/>
  <c r="CM62" i="2"/>
  <c r="CN62" i="2"/>
  <c r="CO62" i="2"/>
  <c r="CP62" i="2"/>
  <c r="CM63" i="2"/>
  <c r="CN63" i="2"/>
  <c r="CO63" i="2"/>
  <c r="CP63" i="2"/>
  <c r="CM64" i="2"/>
  <c r="CN64" i="2"/>
  <c r="CO64" i="2"/>
  <c r="CP64" i="2"/>
  <c r="AY65" i="2"/>
  <c r="AY67" i="2" s="1"/>
  <c r="AZ65" i="2"/>
  <c r="AZ67" i="2" s="1"/>
  <c r="BA65" i="2"/>
  <c r="BA67" i="2" s="1"/>
  <c r="BB65" i="2"/>
  <c r="BB67" i="2" s="1"/>
  <c r="BC65" i="2"/>
  <c r="BC67" i="2" s="1"/>
  <c r="BD65" i="2"/>
  <c r="BD67" i="2" s="1"/>
  <c r="BE65" i="2"/>
  <c r="BE67" i="2" s="1"/>
  <c r="BF65" i="2"/>
  <c r="BF67" i="2" s="1"/>
  <c r="BG65" i="2"/>
  <c r="BG67" i="2" s="1"/>
  <c r="BH65" i="2"/>
  <c r="BH67" i="2" s="1"/>
  <c r="BI65" i="2"/>
  <c r="BI67" i="2" s="1"/>
  <c r="BJ65" i="2"/>
  <c r="BK65" i="2"/>
  <c r="BK67" i="2" s="1"/>
  <c r="BL65" i="2"/>
  <c r="BL67" i="2" s="1"/>
  <c r="BM65" i="2"/>
  <c r="BM67" i="2" s="1"/>
  <c r="BN65" i="2"/>
  <c r="BN67" i="2" s="1"/>
  <c r="CM66" i="2"/>
  <c r="CN66" i="2"/>
  <c r="CO66" i="2"/>
  <c r="CP66" i="2"/>
  <c r="AY80" i="2"/>
  <c r="AZ80" i="2"/>
  <c r="BA80" i="2"/>
  <c r="BB80" i="2"/>
  <c r="BC80" i="2"/>
  <c r="BD80" i="2"/>
  <c r="BE80" i="2"/>
  <c r="BF80" i="2"/>
  <c r="BG80" i="2"/>
  <c r="BH80" i="2"/>
  <c r="BI80" i="2"/>
  <c r="BJ80" i="2"/>
  <c r="BK80" i="2"/>
  <c r="BL80" i="2"/>
  <c r="BM80" i="2"/>
  <c r="BN80" i="2"/>
  <c r="C5" i="1"/>
  <c r="K279" i="3"/>
  <c r="C8" i="1" l="1"/>
  <c r="CP70" i="2"/>
  <c r="CQ26" i="2"/>
  <c r="CP69" i="2"/>
  <c r="CJ80" i="2"/>
  <c r="CK80" i="2"/>
  <c r="CL80" i="2"/>
  <c r="BK16" i="2"/>
  <c r="BK38" i="2" s="1"/>
  <c r="BO9" i="2"/>
  <c r="CN21" i="2"/>
  <c r="CN19" i="2"/>
  <c r="CM21" i="2"/>
  <c r="CM19" i="2"/>
  <c r="BE38" i="2"/>
  <c r="BE36" i="2"/>
  <c r="BE37" i="2"/>
  <c r="BE39" i="2"/>
  <c r="BM38" i="2"/>
  <c r="BM36" i="2"/>
  <c r="BM37" i="2"/>
  <c r="BM39" i="2"/>
  <c r="BC37" i="2"/>
  <c r="BC38" i="2"/>
  <c r="BC36" i="2"/>
  <c r="BC39" i="2"/>
  <c r="CP21" i="2"/>
  <c r="CP19" i="2"/>
  <c r="CO21" i="2"/>
  <c r="CO19" i="2"/>
  <c r="BJ5" i="2"/>
  <c r="CO5" i="2" s="1"/>
  <c r="BF7" i="2"/>
  <c r="CN7" i="2" s="1"/>
  <c r="BM18" i="2"/>
  <c r="BB33" i="2"/>
  <c r="CM33" i="2" s="1"/>
  <c r="CM3" i="2"/>
  <c r="BI9" i="2"/>
  <c r="BN8" i="2"/>
  <c r="CP8" i="2" s="1"/>
  <c r="CN20" i="2"/>
  <c r="BF22" i="2"/>
  <c r="CM20" i="2"/>
  <c r="BB22" i="2"/>
  <c r="CP20" i="2"/>
  <c r="BN22" i="2"/>
  <c r="CO20" i="2"/>
  <c r="BJ22" i="2"/>
  <c r="BH9" i="2"/>
  <c r="BF8" i="2"/>
  <c r="CN8" i="2" s="1"/>
  <c r="BF14" i="2"/>
  <c r="BF17" i="2" s="1"/>
  <c r="CN4" i="2"/>
  <c r="CN13" i="2"/>
  <c r="BB34" i="2"/>
  <c r="CM34" i="2" s="1"/>
  <c r="CM12" i="2"/>
  <c r="BG9" i="2"/>
  <c r="BG16" i="2"/>
  <c r="CM13" i="2"/>
  <c r="BB14" i="2"/>
  <c r="BB17" i="2" s="1"/>
  <c r="CN80" i="2"/>
  <c r="CM56" i="2"/>
  <c r="BF33" i="2"/>
  <c r="CN33" i="2" s="1"/>
  <c r="BB5" i="2"/>
  <c r="BE18" i="2"/>
  <c r="CP80" i="2"/>
  <c r="BK9" i="2"/>
  <c r="BN33" i="2"/>
  <c r="CP33" i="2" s="1"/>
  <c r="CO65" i="2"/>
  <c r="CM67" i="2"/>
  <c r="CO80" i="2"/>
  <c r="CM80" i="2"/>
  <c r="CM65" i="2"/>
  <c r="CP56" i="2"/>
  <c r="CN56" i="2"/>
  <c r="BC9" i="2"/>
  <c r="AY16" i="2"/>
  <c r="BF34" i="2"/>
  <c r="CN34" i="2" s="1"/>
  <c r="BJ67" i="2"/>
  <c r="CO67" i="2" s="1"/>
  <c r="CO56" i="2"/>
  <c r="CM77" i="2"/>
  <c r="BC17" i="2"/>
  <c r="CP67" i="2"/>
  <c r="BD17" i="2"/>
  <c r="BL17" i="2"/>
  <c r="CN65" i="2"/>
  <c r="CP12" i="2"/>
  <c r="BN14" i="2"/>
  <c r="BN17" i="2" s="1"/>
  <c r="BE9" i="2"/>
  <c r="BA16" i="2"/>
  <c r="CN67" i="2"/>
  <c r="BK17" i="2"/>
  <c r="CP65" i="2"/>
  <c r="CO12" i="2"/>
  <c r="BJ14" i="2"/>
  <c r="BJ17" i="2" s="1"/>
  <c r="CO17" i="2" s="1"/>
  <c r="BM9" i="2"/>
  <c r="BI16" i="2"/>
  <c r="AZ16" i="2"/>
  <c r="BJ8" i="2"/>
  <c r="CO8" i="2" s="1"/>
  <c r="BJ34" i="2"/>
  <c r="CO34" i="2" s="1"/>
  <c r="BD9" i="2"/>
  <c r="BD16" i="2"/>
  <c r="CP3" i="2"/>
  <c r="CQ3" i="2" s="1"/>
  <c r="CQ12" i="2" s="1"/>
  <c r="BN5" i="2"/>
  <c r="CP4" i="2"/>
  <c r="CQ4" i="2" s="1"/>
  <c r="BN34" i="2"/>
  <c r="CP34" i="2" s="1"/>
  <c r="BA17" i="2"/>
  <c r="BH16" i="2"/>
  <c r="BL9" i="2"/>
  <c r="BL16" i="2"/>
  <c r="CO3" i="2"/>
  <c r="BJ7" i="2"/>
  <c r="CO7" i="2" s="1"/>
  <c r="BJ33" i="2"/>
  <c r="CO33" i="2" s="1"/>
  <c r="BN7" i="2"/>
  <c r="CP7" i="2" s="1"/>
  <c r="BF5" i="2"/>
  <c r="P293" i="3"/>
  <c r="BK37" i="2" l="1"/>
  <c r="BJ16" i="2"/>
  <c r="BJ38" i="2" s="1"/>
  <c r="BK39" i="2"/>
  <c r="BK36" i="2"/>
  <c r="CW48" i="2"/>
  <c r="AZ37" i="2"/>
  <c r="AZ38" i="2"/>
  <c r="AZ36" i="2"/>
  <c r="AZ39" i="2"/>
  <c r="BJ37" i="2"/>
  <c r="CM22" i="2"/>
  <c r="BL38" i="2"/>
  <c r="BL36" i="2"/>
  <c r="BL39" i="2"/>
  <c r="BL37" i="2"/>
  <c r="BG18" i="2"/>
  <c r="BG24" i="2" s="1"/>
  <c r="BG38" i="2"/>
  <c r="BG36" i="2"/>
  <c r="BG37" i="2"/>
  <c r="BG39" i="2"/>
  <c r="CN22" i="2"/>
  <c r="BJ36" i="2"/>
  <c r="BI18" i="2"/>
  <c r="BI24" i="2" s="1"/>
  <c r="BI27" i="2" s="1"/>
  <c r="BI37" i="2"/>
  <c r="BI38" i="2"/>
  <c r="BI36" i="2"/>
  <c r="BI39" i="2"/>
  <c r="BD38" i="2"/>
  <c r="BD36" i="2"/>
  <c r="BD37" i="2"/>
  <c r="BD39" i="2"/>
  <c r="BJ39" i="2"/>
  <c r="CO22" i="2"/>
  <c r="BA37" i="2"/>
  <c r="BA38" i="2"/>
  <c r="BA36" i="2"/>
  <c r="BA39" i="2"/>
  <c r="BH37" i="2"/>
  <c r="BH38" i="2"/>
  <c r="BH36" i="2"/>
  <c r="BH39" i="2"/>
  <c r="AY18" i="2"/>
  <c r="AY35" i="2" s="1"/>
  <c r="AY38" i="2"/>
  <c r="AY36" i="2"/>
  <c r="AY37" i="2"/>
  <c r="AY39" i="2"/>
  <c r="CP22" i="2"/>
  <c r="CP14" i="2"/>
  <c r="BM24" i="2"/>
  <c r="BM35" i="2"/>
  <c r="CR4" i="2"/>
  <c r="CQ13" i="2"/>
  <c r="CQ14" i="2" s="1"/>
  <c r="CQ17" i="2" s="1"/>
  <c r="BE24" i="2"/>
  <c r="BE40" i="2" s="1"/>
  <c r="BE35" i="2"/>
  <c r="CN14" i="2"/>
  <c r="CM14" i="2"/>
  <c r="CM17" i="2"/>
  <c r="CM5" i="2"/>
  <c r="BJ18" i="2"/>
  <c r="BB16" i="2"/>
  <c r="BA18" i="2"/>
  <c r="BA35" i="2" s="1"/>
  <c r="P285" i="3"/>
  <c r="P291" i="3"/>
  <c r="P298" i="3"/>
  <c r="P290" i="3"/>
  <c r="P297" i="3"/>
  <c r="P289" i="3"/>
  <c r="P296" i="3"/>
  <c r="P288" i="3"/>
  <c r="P295" i="3"/>
  <c r="P287" i="3"/>
  <c r="P294" i="3"/>
  <c r="P286" i="3"/>
  <c r="P292" i="3"/>
  <c r="AZ18" i="2"/>
  <c r="BF9" i="2"/>
  <c r="CN9" i="2" s="1"/>
  <c r="CN5" i="2"/>
  <c r="BJ9" i="2"/>
  <c r="CO9" i="2" s="1"/>
  <c r="BF16" i="2"/>
  <c r="BF39" i="2" s="1"/>
  <c r="CN17" i="2"/>
  <c r="BC18" i="2"/>
  <c r="BD18" i="2"/>
  <c r="BN9" i="2"/>
  <c r="CP9" i="2" s="1"/>
  <c r="BN16" i="2"/>
  <c r="CP5" i="2"/>
  <c r="BK18" i="2"/>
  <c r="CP17" i="2"/>
  <c r="BH18" i="2"/>
  <c r="CO16" i="2"/>
  <c r="CO18" i="2" s="1"/>
  <c r="BL18" i="2"/>
  <c r="CR3" i="2"/>
  <c r="CR12" i="2" s="1"/>
  <c r="CQ5" i="2"/>
  <c r="CO14" i="2"/>
  <c r="AY81" i="2"/>
  <c r="BE27" i="2" l="1"/>
  <c r="BE29" i="2" s="1"/>
  <c r="BE76" i="2" s="1"/>
  <c r="BI35" i="2"/>
  <c r="AY24" i="2"/>
  <c r="AY27" i="2" s="1"/>
  <c r="AY41" i="2" s="1"/>
  <c r="BG35" i="2"/>
  <c r="CO37" i="2"/>
  <c r="BB18" i="2"/>
  <c r="BB35" i="2" s="1"/>
  <c r="BB36" i="2"/>
  <c r="BB37" i="2"/>
  <c r="BB38" i="2"/>
  <c r="CO38" i="2"/>
  <c r="CO39" i="2"/>
  <c r="BN36" i="2"/>
  <c r="BN37" i="2"/>
  <c r="BN38" i="2"/>
  <c r="BN39" i="2"/>
  <c r="BB39" i="2"/>
  <c r="CO36" i="2"/>
  <c r="BF18" i="2"/>
  <c r="BF24" i="2" s="1"/>
  <c r="BF40" i="2" s="1"/>
  <c r="BF38" i="2"/>
  <c r="BF36" i="2"/>
  <c r="BF37" i="2"/>
  <c r="BH24" i="2"/>
  <c r="BH27" i="2" s="1"/>
  <c r="BH35" i="2"/>
  <c r="CS4" i="2"/>
  <c r="CR13" i="2"/>
  <c r="CR14" i="2" s="1"/>
  <c r="CR17" i="2" s="1"/>
  <c r="BK24" i="2"/>
  <c r="BK35" i="2"/>
  <c r="BD24" i="2"/>
  <c r="BD40" i="2" s="1"/>
  <c r="BD35" i="2"/>
  <c r="AZ24" i="2"/>
  <c r="AZ40" i="2" s="1"/>
  <c r="AZ35" i="2"/>
  <c r="CJ35" i="2" s="1"/>
  <c r="BC24" i="2"/>
  <c r="BC35" i="2"/>
  <c r="BM40" i="2"/>
  <c r="BM27" i="2"/>
  <c r="BL24" i="2"/>
  <c r="BL40" i="2" s="1"/>
  <c r="BL35" i="2"/>
  <c r="BJ24" i="2"/>
  <c r="BJ27" i="2" s="1"/>
  <c r="BJ41" i="2" s="1"/>
  <c r="BJ35" i="2"/>
  <c r="BI40" i="2"/>
  <c r="CG35" i="2"/>
  <c r="CM16" i="2"/>
  <c r="CM39" i="2" s="1"/>
  <c r="BA24" i="2"/>
  <c r="BM81" i="2"/>
  <c r="CN16" i="2"/>
  <c r="CQ16" i="2"/>
  <c r="CQ9" i="2"/>
  <c r="BN18" i="2"/>
  <c r="CP16" i="2"/>
  <c r="BG40" i="2"/>
  <c r="BG27" i="2"/>
  <c r="BI41" i="2"/>
  <c r="BI29" i="2"/>
  <c r="CS3" i="2"/>
  <c r="CS12" i="2" s="1"/>
  <c r="CR5" i="2"/>
  <c r="BE31" i="2" l="1"/>
  <c r="CP39" i="2"/>
  <c r="BE42" i="2"/>
  <c r="BE41" i="2"/>
  <c r="BB24" i="2"/>
  <c r="BB27" i="2" s="1"/>
  <c r="BB29" i="2" s="1"/>
  <c r="BB42" i="2" s="1"/>
  <c r="AY40" i="2"/>
  <c r="BD27" i="2"/>
  <c r="BD29" i="2" s="1"/>
  <c r="CQ21" i="2"/>
  <c r="CQ20" i="2"/>
  <c r="CQ19" i="2"/>
  <c r="CP18" i="2"/>
  <c r="CP37" i="2"/>
  <c r="CP38" i="2"/>
  <c r="CP36" i="2"/>
  <c r="CN18" i="2"/>
  <c r="CN36" i="2"/>
  <c r="CN37" i="2"/>
  <c r="CN38" i="2"/>
  <c r="BF35" i="2"/>
  <c r="CN35" i="2" s="1"/>
  <c r="CM18" i="2"/>
  <c r="CM38" i="2"/>
  <c r="CM36" i="2"/>
  <c r="CM37" i="2"/>
  <c r="CN39" i="2"/>
  <c r="BJ40" i="2"/>
  <c r="BH40" i="2"/>
  <c r="AZ27" i="2"/>
  <c r="AZ29" i="2" s="1"/>
  <c r="BJ29" i="2"/>
  <c r="BJ42" i="2" s="1"/>
  <c r="CM24" i="2"/>
  <c r="CM40" i="2" s="1"/>
  <c r="BF27" i="2"/>
  <c r="BF41" i="2" s="1"/>
  <c r="BL27" i="2"/>
  <c r="BL29" i="2" s="1"/>
  <c r="CO35" i="2"/>
  <c r="BA40" i="2"/>
  <c r="CL35" i="2"/>
  <c r="CM35" i="2"/>
  <c r="CK35" i="2"/>
  <c r="CH35" i="2"/>
  <c r="BN24" i="2"/>
  <c r="BN40" i="2" s="1"/>
  <c r="BN35" i="2"/>
  <c r="CP35" i="2" s="1"/>
  <c r="CT4" i="2"/>
  <c r="CS13" i="2"/>
  <c r="CS14" i="2" s="1"/>
  <c r="CS17" i="2" s="1"/>
  <c r="CQ18" i="2"/>
  <c r="CO24" i="2"/>
  <c r="CI35" i="2"/>
  <c r="BM29" i="2"/>
  <c r="BM41" i="2"/>
  <c r="BA27" i="2"/>
  <c r="BE81" i="2"/>
  <c r="BH41" i="2"/>
  <c r="BH29" i="2"/>
  <c r="CR16" i="2"/>
  <c r="CR9" i="2"/>
  <c r="CS5" i="2"/>
  <c r="CT3" i="2"/>
  <c r="CT12" i="2" s="1"/>
  <c r="AY29" i="2"/>
  <c r="BI31" i="2"/>
  <c r="BI76" i="2"/>
  <c r="BI42" i="2"/>
  <c r="BG29" i="2"/>
  <c r="BG41" i="2"/>
  <c r="BK27" i="2"/>
  <c r="BK40" i="2"/>
  <c r="BC27" i="2"/>
  <c r="BC40" i="2"/>
  <c r="CN24" i="2"/>
  <c r="CQ22" i="2" l="1"/>
  <c r="CQ39" i="2" s="1"/>
  <c r="BD41" i="2"/>
  <c r="BB41" i="2"/>
  <c r="BB40" i="2"/>
  <c r="CM27" i="2"/>
  <c r="CM41" i="2" s="1"/>
  <c r="CQ35" i="2"/>
  <c r="CQ24" i="2"/>
  <c r="CR19" i="2"/>
  <c r="CR20" i="2"/>
  <c r="CR21" i="2"/>
  <c r="BF29" i="2"/>
  <c r="BF31" i="2" s="1"/>
  <c r="AZ41" i="2"/>
  <c r="BJ76" i="2"/>
  <c r="BB76" i="2"/>
  <c r="BJ31" i="2"/>
  <c r="CP24" i="2"/>
  <c r="BL41" i="2"/>
  <c r="BN27" i="2"/>
  <c r="BN29" i="2" s="1"/>
  <c r="BB31" i="2"/>
  <c r="AY76" i="2"/>
  <c r="AY42" i="2"/>
  <c r="CR18" i="2"/>
  <c r="CU4" i="2"/>
  <c r="CT13" i="2"/>
  <c r="CT14" i="2" s="1"/>
  <c r="CT17" i="2" s="1"/>
  <c r="CN40" i="2"/>
  <c r="CN27" i="2"/>
  <c r="CN41" i="2" s="1"/>
  <c r="BM76" i="2"/>
  <c r="BM31" i="2"/>
  <c r="BM42" i="2"/>
  <c r="CO40" i="2"/>
  <c r="CO27" i="2"/>
  <c r="CO41" i="2" s="1"/>
  <c r="BA29" i="2"/>
  <c r="CM29" i="2" s="1"/>
  <c r="CM76" i="2" s="1"/>
  <c r="BA41" i="2"/>
  <c r="BJ81" i="2"/>
  <c r="BI81" i="2"/>
  <c r="BA81" i="2"/>
  <c r="AY31" i="2"/>
  <c r="BC29" i="2"/>
  <c r="BC41" i="2"/>
  <c r="BG31" i="2"/>
  <c r="CO29" i="2"/>
  <c r="CO76" i="2" s="1"/>
  <c r="BG42" i="2"/>
  <c r="BG76" i="2"/>
  <c r="BD42" i="2"/>
  <c r="BD76" i="2"/>
  <c r="BD31" i="2"/>
  <c r="BH31" i="2"/>
  <c r="BH42" i="2"/>
  <c r="BH76" i="2"/>
  <c r="BK41" i="2"/>
  <c r="BK29" i="2"/>
  <c r="CT5" i="2"/>
  <c r="CU3" i="2"/>
  <c r="CU12" i="2" s="1"/>
  <c r="AZ31" i="2"/>
  <c r="AZ42" i="2"/>
  <c r="AZ76" i="2"/>
  <c r="BL42" i="2"/>
  <c r="BL31" i="2"/>
  <c r="BL76" i="2"/>
  <c r="CS9" i="2"/>
  <c r="CS16" i="2"/>
  <c r="CQ40" i="2" l="1"/>
  <c r="CR48" i="2"/>
  <c r="BF42" i="2"/>
  <c r="BB81" i="2"/>
  <c r="CP40" i="2"/>
  <c r="CR35" i="2"/>
  <c r="CR24" i="2"/>
  <c r="CR40" i="2" s="1"/>
  <c r="CS19" i="2"/>
  <c r="CS20" i="2"/>
  <c r="CS21" i="2"/>
  <c r="CR22" i="2"/>
  <c r="CR39" i="2" s="1"/>
  <c r="BF76" i="2"/>
  <c r="BN41" i="2"/>
  <c r="CP27" i="2"/>
  <c r="CP41" i="2" s="1"/>
  <c r="CR49" i="2" s="1"/>
  <c r="CS18" i="2"/>
  <c r="CO42" i="2"/>
  <c r="CO31" i="2"/>
  <c r="CM42" i="2"/>
  <c r="CM31" i="2"/>
  <c r="CV4" i="2"/>
  <c r="CU13" i="2"/>
  <c r="CU14" i="2" s="1"/>
  <c r="CU17" i="2" s="1"/>
  <c r="BA31" i="2"/>
  <c r="BA42" i="2"/>
  <c r="BA76" i="2"/>
  <c r="AZ81" i="2"/>
  <c r="BF81" i="2"/>
  <c r="BD81" i="2"/>
  <c r="BL81" i="2"/>
  <c r="BH81" i="2"/>
  <c r="BK31" i="2"/>
  <c r="BK76" i="2"/>
  <c r="CP29" i="2"/>
  <c r="CP76" i="2" s="1"/>
  <c r="BK42" i="2"/>
  <c r="BC42" i="2"/>
  <c r="BC76" i="2"/>
  <c r="CN29" i="2"/>
  <c r="CN76" i="2" s="1"/>
  <c r="BC31" i="2"/>
  <c r="CU5" i="2"/>
  <c r="CV3" i="2"/>
  <c r="CV12" i="2" s="1"/>
  <c r="CT9" i="2"/>
  <c r="CT16" i="2"/>
  <c r="BN42" i="2"/>
  <c r="BN31" i="2"/>
  <c r="BN76" i="2"/>
  <c r="CM79" i="2" l="1"/>
  <c r="CM81" i="2"/>
  <c r="CS35" i="2"/>
  <c r="CS24" i="2"/>
  <c r="CS40" i="2" s="1"/>
  <c r="CT20" i="2"/>
  <c r="CT21" i="2"/>
  <c r="CT19" i="2"/>
  <c r="CS22" i="2"/>
  <c r="CS39" i="2" s="1"/>
  <c r="CW4" i="2"/>
  <c r="CV13" i="2"/>
  <c r="CV14" i="2" s="1"/>
  <c r="CV17" i="2" s="1"/>
  <c r="CP42" i="2"/>
  <c r="CP31" i="2"/>
  <c r="CN42" i="2"/>
  <c r="CN31" i="2"/>
  <c r="CT18" i="2"/>
  <c r="BN81" i="2"/>
  <c r="CU9" i="2"/>
  <c r="CU16" i="2"/>
  <c r="CW3" i="2"/>
  <c r="CW12" i="2" s="1"/>
  <c r="CV5" i="2"/>
  <c r="CT35" i="2" l="1"/>
  <c r="CT24" i="2"/>
  <c r="CT40" i="2" s="1"/>
  <c r="CU21" i="2"/>
  <c r="CU19" i="2"/>
  <c r="CU20" i="2"/>
  <c r="CU22" i="2" s="1"/>
  <c r="CU39" i="2" s="1"/>
  <c r="CT22" i="2"/>
  <c r="CT39" i="2" s="1"/>
  <c r="CU18" i="2"/>
  <c r="CX4" i="2"/>
  <c r="CX13" i="2" s="1"/>
  <c r="CW13" i="2"/>
  <c r="CW14" i="2" s="1"/>
  <c r="CW17" i="2" s="1"/>
  <c r="CX3" i="2"/>
  <c r="CW5" i="2"/>
  <c r="CO77" i="2"/>
  <c r="CV16" i="2"/>
  <c r="CV9" i="2"/>
  <c r="CU35" i="2" l="1"/>
  <c r="CU24" i="2"/>
  <c r="CU40" i="2" s="1"/>
  <c r="CV19" i="2"/>
  <c r="CV20" i="2"/>
  <c r="CV21" i="2"/>
  <c r="CX5" i="2"/>
  <c r="CX9" i="2" s="1"/>
  <c r="CX12" i="2"/>
  <c r="CX14" i="2" s="1"/>
  <c r="CX17" i="2" s="1"/>
  <c r="CV18" i="2"/>
  <c r="CN77" i="2"/>
  <c r="CP77" i="2"/>
  <c r="CW16" i="2"/>
  <c r="CW9" i="2"/>
  <c r="BG81" i="2"/>
  <c r="CO81" i="2" s="1"/>
  <c r="CO79" i="2"/>
  <c r="CV35" i="2" l="1"/>
  <c r="CV24" i="2"/>
  <c r="CV40" i="2" s="1"/>
  <c r="CW19" i="2"/>
  <c r="CW20" i="2"/>
  <c r="CW21" i="2"/>
  <c r="CV22" i="2"/>
  <c r="CV39" i="2" s="1"/>
  <c r="CX16" i="2"/>
  <c r="CW18" i="2"/>
  <c r="BK81" i="2"/>
  <c r="CP81" i="2" s="1"/>
  <c r="CP79" i="2"/>
  <c r="BC81" i="2"/>
  <c r="CN81" i="2" s="1"/>
  <c r="CN79" i="2"/>
  <c r="CW35" i="2" l="1"/>
  <c r="CW24" i="2"/>
  <c r="CW40" i="2" s="1"/>
  <c r="CW22" i="2"/>
  <c r="CW39" i="2" s="1"/>
  <c r="CX19" i="2"/>
  <c r="CX20" i="2"/>
  <c r="CX21" i="2"/>
  <c r="CX18" i="2"/>
  <c r="CX22" i="2" l="1"/>
  <c r="CX39" i="2" s="1"/>
  <c r="CX35" i="2"/>
  <c r="CX24" i="2"/>
  <c r="CX40" i="2" s="1"/>
  <c r="CQ27" i="2" l="1"/>
  <c r="CQ28" i="2" s="1"/>
  <c r="CQ29" i="2" s="1"/>
  <c r="CQ42" i="2" l="1"/>
  <c r="CQ44" i="2"/>
  <c r="CR26" i="2" s="1"/>
  <c r="CQ31" i="2"/>
  <c r="CR27" i="2" l="1"/>
  <c r="CR28" i="2" l="1"/>
  <c r="CR29" i="2" s="1"/>
  <c r="CR42" i="2" l="1"/>
  <c r="CR31" i="2"/>
  <c r="CR44" i="2"/>
  <c r="CS26" i="2" s="1"/>
  <c r="CS27" i="2" l="1"/>
  <c r="CS28" i="2" s="1"/>
  <c r="CS29" i="2" s="1"/>
  <c r="CS42" i="2" l="1"/>
  <c r="CS31" i="2"/>
  <c r="CS44" i="2"/>
  <c r="CT26" i="2" s="1"/>
  <c r="CT27" i="2" l="1"/>
  <c r="CT28" i="2" s="1"/>
  <c r="CT29" i="2" s="1"/>
  <c r="CT42" i="2" l="1"/>
  <c r="CT31" i="2"/>
  <c r="CT44" i="2"/>
  <c r="CU26" i="2" s="1"/>
  <c r="CU27" i="2" l="1"/>
  <c r="CU28" i="2" l="1"/>
  <c r="CU29" i="2" s="1"/>
  <c r="CU42" i="2" l="1"/>
  <c r="CU31" i="2"/>
  <c r="CU44" i="2"/>
  <c r="CV26" i="2" s="1"/>
  <c r="CV27" i="2" l="1"/>
  <c r="CV28" i="2" l="1"/>
  <c r="CV29" i="2" s="1"/>
  <c r="CV42" i="2" s="1"/>
  <c r="CV31" i="2" l="1"/>
  <c r="CV44" i="2"/>
  <c r="CW26" i="2" s="1"/>
  <c r="CW27" i="2" l="1"/>
  <c r="CW28" i="2" l="1"/>
  <c r="CW29" i="2" s="1"/>
  <c r="CW42" i="2" s="1"/>
  <c r="CW31" i="2" l="1"/>
  <c r="CW44" i="2"/>
  <c r="CX26" i="2" s="1"/>
  <c r="CX27" i="2" l="1"/>
  <c r="CX28" i="2" s="1"/>
  <c r="CX29" i="2" s="1"/>
  <c r="CX42" i="2" s="1"/>
  <c r="CY29" i="2" l="1"/>
  <c r="CZ29" i="2" s="1"/>
  <c r="DA29" i="2" s="1"/>
  <c r="DB29" i="2" s="1"/>
  <c r="DC29" i="2" s="1"/>
  <c r="DD29" i="2" s="1"/>
  <c r="DE29" i="2" s="1"/>
  <c r="DF29" i="2" s="1"/>
  <c r="DG29" i="2" s="1"/>
  <c r="DH29" i="2" s="1"/>
  <c r="DI29" i="2" s="1"/>
  <c r="DJ29" i="2" s="1"/>
  <c r="DK29" i="2" s="1"/>
  <c r="DL29" i="2" s="1"/>
  <c r="DM29" i="2" s="1"/>
  <c r="DN29" i="2" s="1"/>
  <c r="DO29" i="2" s="1"/>
  <c r="DP29" i="2" s="1"/>
  <c r="DQ29" i="2" s="1"/>
  <c r="DR29" i="2" s="1"/>
  <c r="DS29" i="2" s="1"/>
  <c r="DT29" i="2" s="1"/>
  <c r="DU29" i="2" s="1"/>
  <c r="DV29" i="2" s="1"/>
  <c r="DW29" i="2" s="1"/>
  <c r="DX29" i="2" s="1"/>
  <c r="DY29" i="2" s="1"/>
  <c r="DZ29" i="2" s="1"/>
  <c r="EA29" i="2" s="1"/>
  <c r="EB29" i="2" s="1"/>
  <c r="EC29" i="2" s="1"/>
  <c r="ED29" i="2" s="1"/>
  <c r="EE29" i="2" s="1"/>
  <c r="EF29" i="2" s="1"/>
  <c r="EG29" i="2" s="1"/>
  <c r="EH29" i="2" s="1"/>
  <c r="EI29" i="2" s="1"/>
  <c r="EJ29" i="2" s="1"/>
  <c r="EK29" i="2" s="1"/>
  <c r="EL29" i="2" s="1"/>
  <c r="EM29" i="2" s="1"/>
  <c r="EN29" i="2" s="1"/>
  <c r="EO29" i="2" s="1"/>
  <c r="EP29" i="2" s="1"/>
  <c r="EQ29" i="2" s="1"/>
  <c r="ER29" i="2" s="1"/>
  <c r="ES29" i="2" s="1"/>
  <c r="ET29" i="2" s="1"/>
  <c r="EU29" i="2" s="1"/>
  <c r="EV29" i="2" s="1"/>
  <c r="EW29" i="2" s="1"/>
  <c r="EX29" i="2" s="1"/>
  <c r="EY29" i="2" s="1"/>
  <c r="EZ29" i="2" s="1"/>
  <c r="FA29" i="2" s="1"/>
  <c r="FB29" i="2" s="1"/>
  <c r="FC29" i="2" s="1"/>
  <c r="FD29" i="2" s="1"/>
  <c r="CZ53" i="2" s="1"/>
  <c r="CX44" i="2"/>
  <c r="CX31" i="2"/>
  <c r="CZ55" i="2" l="1"/>
  <c r="CZ57" i="2" s="1"/>
  <c r="DA57" i="2" l="1"/>
  <c r="CY58" i="2" a="1"/>
  <c r="CY58"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<sst xmlns="http://schemas.openxmlformats.org/spreadsheetml/2006/main" count="2104" uniqueCount="2066">
  <si>
    <t xml:space="preserve">Price </t>
  </si>
  <si>
    <t>MC</t>
  </si>
  <si>
    <t>Cash</t>
  </si>
  <si>
    <t>Debt</t>
  </si>
  <si>
    <t>EV</t>
  </si>
  <si>
    <t>Investor Relations Contact:</t>
  </si>
  <si>
    <t>SEC filings</t>
  </si>
  <si>
    <t>Godel Terminal</t>
  </si>
  <si>
    <t>Company Overview:</t>
  </si>
  <si>
    <t>[Bold Title]</t>
  </si>
  <si>
    <t>Line Titles</t>
  </si>
  <si>
    <t>&lt;-- General</t>
  </si>
  <si>
    <t>&lt;-- Info</t>
  </si>
  <si>
    <t>2000s</t>
  </si>
  <si>
    <t>2010s</t>
  </si>
  <si>
    <t>2020s</t>
  </si>
  <si>
    <t>Notes:</t>
  </si>
  <si>
    <t>[X]</t>
  </si>
  <si>
    <t>[Y]</t>
  </si>
  <si>
    <t>[Z]</t>
  </si>
  <si>
    <t>Close</t>
  </si>
  <si>
    <t>High</t>
  </si>
  <si>
    <t>Low</t>
  </si>
  <si>
    <t>Open</t>
  </si>
  <si>
    <t>Volume</t>
  </si>
  <si>
    <t>UTC Date</t>
  </si>
  <si>
    <t>Change</t>
  </si>
  <si>
    <t>Min</t>
  </si>
  <si>
    <t>Max</t>
  </si>
  <si>
    <t>Mean μ</t>
  </si>
  <si>
    <t>Median</t>
  </si>
  <si>
    <t>SD σ</t>
  </si>
  <si>
    <t xml:space="preserve">  3σ 1-Day Δ: ±</t>
  </si>
  <si>
    <t>β (1-year avg.)</t>
  </si>
  <si>
    <t>&lt;- Sortino Ratio (Downside Risk Adjusted Return)</t>
  </si>
  <si>
    <r>
      <rPr>
        <i/>
        <sz val="11"/>
        <color theme="1"/>
        <rFont val="Calibre"/>
      </rPr>
      <t>n</t>
    </r>
    <r>
      <rPr>
        <sz val="11"/>
        <color theme="1"/>
        <rFont val="Calibre"/>
      </rPr>
      <t xml:space="preserve"> =</t>
    </r>
  </si>
  <si>
    <t>Histogram Data</t>
  </si>
  <si>
    <t>Distribution Overlay</t>
  </si>
  <si>
    <t>SD Lines</t>
  </si>
  <si>
    <t>Bin</t>
  </si>
  <si>
    <t>Frequency</t>
  </si>
  <si>
    <r>
      <t xml:space="preserve"> (X) 1-Day</t>
    </r>
    <r>
      <rPr>
        <b/>
        <i/>
        <sz val="11"/>
        <color theme="1"/>
        <rFont val="Calibri"/>
        <family val="2"/>
        <scheme val="minor"/>
      </rPr>
      <t xml:space="preserve"> Δ </t>
    </r>
    <r>
      <rPr>
        <i/>
        <sz val="11"/>
        <color theme="1"/>
        <rFont val="Calibri"/>
        <family val="2"/>
        <scheme val="minor"/>
      </rPr>
      <t xml:space="preserve"> </t>
    </r>
  </si>
  <si>
    <t xml:space="preserve">(Y) Pop. Density </t>
  </si>
  <si>
    <t>X</t>
  </si>
  <si>
    <t>Y</t>
  </si>
  <si>
    <t>Revenues</t>
  </si>
  <si>
    <t>Ttl Revenues</t>
  </si>
  <si>
    <t>Effective Tax Rate</t>
  </si>
  <si>
    <t>ST Investments</t>
  </si>
  <si>
    <t>Current Ratio</t>
  </si>
  <si>
    <t>Cash Ratio</t>
  </si>
  <si>
    <t>Ttl Asset Turnover</t>
  </si>
  <si>
    <t>Return on Assets</t>
  </si>
  <si>
    <t>Return on Equity</t>
  </si>
  <si>
    <t>Net Income</t>
  </si>
  <si>
    <t>CFFO</t>
  </si>
  <si>
    <t>FCF</t>
  </si>
  <si>
    <t>SC</t>
  </si>
  <si>
    <t>General Notes/Observations (Updated Q1'25)</t>
  </si>
  <si>
    <t>Financial Stmts. Notes/Observations (Updated Q1'25)</t>
  </si>
  <si>
    <t>Revenues:</t>
  </si>
  <si>
    <t>[Godel Snapshot of projected sales]</t>
  </si>
  <si>
    <t>Earnings Scope:</t>
  </si>
  <si>
    <t>[Godel Snapshot of projected earnings/EPS]</t>
  </si>
  <si>
    <t>Balance Sheet Scope:</t>
  </si>
  <si>
    <t>[Godel Snapshot of projected balances (assets, liabilities, equity)]</t>
  </si>
  <si>
    <t>[Equity Preformance Compared to Peers]</t>
  </si>
  <si>
    <t>Use Godel CMS command</t>
  </si>
  <si>
    <t>Mean</t>
  </si>
  <si>
    <t>-3σ</t>
  </si>
  <si>
    <t>-2σ</t>
  </si>
  <si>
    <t>-1σ</t>
  </si>
  <si>
    <t>1σ</t>
  </si>
  <si>
    <t>2σ</t>
  </si>
  <si>
    <t>3σ</t>
  </si>
  <si>
    <t>Phone:</t>
  </si>
  <si>
    <t xml:space="preserve">Email: </t>
  </si>
  <si>
    <t>&lt;- Sharpe Ratio (Risk Adjusted Return)</t>
  </si>
  <si>
    <t>Earnings Calls</t>
  </si>
  <si>
    <t>Equity Analysis</t>
  </si>
  <si>
    <t>https://app.godelterminal.com/</t>
  </si>
  <si>
    <t>Investors Relation Department</t>
  </si>
  <si>
    <t>Business Segments and Geographical Info:</t>
  </si>
  <si>
    <t xml:space="preserve">[Begin researching fundamentals / core business … begin with SEC filings, but expand and use all public resources available] </t>
  </si>
  <si>
    <t xml:space="preserve">Just from eyeballing revenue figures, growth is lackluster (current and projected) and appears to be an ongoing headwind for the business. </t>
  </si>
  <si>
    <t>Regulatory environment could be easing for M&amp;A activity -&gt; non-organic revenue growth</t>
  </si>
  <si>
    <t>This stock has been killed in the past when management went on an acquisistion spree, leading to activist intervention</t>
  </si>
  <si>
    <t xml:space="preserve">Core fundementals in the CRM SAAS business are the focus. </t>
  </si>
  <si>
    <t>With increased R&amp;D and CapEx spend in recent years for AI infrastructure, shareholders want to see meaningful gains in revenue growth/customer onboarding (demand) and expanding margins (increases in productivity/operating efficiency)</t>
  </si>
  <si>
    <t>Q4'24</t>
  </si>
  <si>
    <t>Q1'25</t>
  </si>
  <si>
    <t>FCF Per Share</t>
  </si>
  <si>
    <t>Share Count</t>
  </si>
  <si>
    <t>CapEx</t>
  </si>
  <si>
    <t>NI</t>
  </si>
  <si>
    <t>L + SE</t>
  </si>
  <si>
    <t>SE</t>
  </si>
  <si>
    <t>Ttl Liabilities</t>
  </si>
  <si>
    <t>Other Noncurrent Liabilities</t>
  </si>
  <si>
    <t>Noncurrent Operating Lease Liab.</t>
  </si>
  <si>
    <t>Noncurrent Debts</t>
  </si>
  <si>
    <t>Debt, Current</t>
  </si>
  <si>
    <t>Unearned Revenue</t>
  </si>
  <si>
    <t>Operating Lease Liabilities, Current</t>
  </si>
  <si>
    <t>A/P</t>
  </si>
  <si>
    <t>Ttl Assets</t>
  </si>
  <si>
    <t>Deferred Tax Assets</t>
  </si>
  <si>
    <t>Intangible Assets</t>
  </si>
  <si>
    <t>Goodwill</t>
  </si>
  <si>
    <t>LT Investments</t>
  </si>
  <si>
    <t xml:space="preserve">Noncurrent Cost Capitalized </t>
  </si>
  <si>
    <t>Operating Leases</t>
  </si>
  <si>
    <t>CP</t>
  </si>
  <si>
    <t>PP&amp;E</t>
  </si>
  <si>
    <t>FV</t>
  </si>
  <si>
    <t>Prepaid Expenses</t>
  </si>
  <si>
    <t>Cost Capitalized to Obtain Contracts</t>
  </si>
  <si>
    <t>NPV</t>
  </si>
  <si>
    <t>A/R</t>
  </si>
  <si>
    <t>Terminal</t>
  </si>
  <si>
    <t>Cash and C.E.'s</t>
  </si>
  <si>
    <t>Net Income Margin</t>
  </si>
  <si>
    <t xml:space="preserve">Operating Margin </t>
  </si>
  <si>
    <t>Gross Margin</t>
  </si>
  <si>
    <t>Prof. Services and Other Margin</t>
  </si>
  <si>
    <t>Subscription and Support Margin</t>
  </si>
  <si>
    <t>EPS</t>
  </si>
  <si>
    <t>Income Taxes</t>
  </si>
  <si>
    <t>Pretax Income</t>
  </si>
  <si>
    <t>Other Income</t>
  </si>
  <si>
    <t>G/(L) on Strat. Investments</t>
  </si>
  <si>
    <t>Operating Income</t>
  </si>
  <si>
    <t>Restructuring</t>
  </si>
  <si>
    <t>General and Administrative</t>
  </si>
  <si>
    <t>Sales and Marketing</t>
  </si>
  <si>
    <t>R&amp;D</t>
  </si>
  <si>
    <t>Gross Profit</t>
  </si>
  <si>
    <t>Cost of Revenues</t>
  </si>
  <si>
    <t>Ttl Cost of Revenues</t>
  </si>
  <si>
    <t>Prof. Services and Other</t>
  </si>
  <si>
    <t>Subscription and Support</t>
  </si>
  <si>
    <t>Ttl Revenue Growth Y/y</t>
  </si>
  <si>
    <t>Prof. Services and Other Growth Y/y</t>
  </si>
  <si>
    <t>Subscription and Support Growth Y/y</t>
  </si>
  <si>
    <t>Professional Services and Other</t>
  </si>
  <si>
    <t>Q4'25</t>
  </si>
  <si>
    <t>Q3'25</t>
  </si>
  <si>
    <t>Q2'25</t>
  </si>
  <si>
    <t>Q3'24</t>
  </si>
  <si>
    <t>Q2'24</t>
  </si>
  <si>
    <t>Q1'24</t>
  </si>
  <si>
    <t>Q4'23</t>
  </si>
  <si>
    <t>Q3'23</t>
  </si>
  <si>
    <t>Q2'23</t>
  </si>
  <si>
    <t>Q1'23</t>
  </si>
  <si>
    <t>Q4'22</t>
  </si>
  <si>
    <t>Q3'22</t>
  </si>
  <si>
    <t>Q2'22</t>
  </si>
  <si>
    <t>Q1'22</t>
  </si>
  <si>
    <t>Q4'21</t>
  </si>
  <si>
    <t>Q3'21</t>
  </si>
  <si>
    <t>Q2'21</t>
  </si>
  <si>
    <t>Q1'21</t>
  </si>
  <si>
    <t>Q4'20</t>
  </si>
  <si>
    <t>Q3'20</t>
  </si>
  <si>
    <t>Q2'20</t>
  </si>
  <si>
    <t>Q1'20</t>
  </si>
  <si>
    <t>Q4'19</t>
  </si>
  <si>
    <t>Q3'19</t>
  </si>
  <si>
    <t>Q2'19</t>
  </si>
  <si>
    <t>Q1'19</t>
  </si>
  <si>
    <t>Q4'18</t>
  </si>
  <si>
    <t>Q3'18</t>
  </si>
  <si>
    <t>Q2'18</t>
  </si>
  <si>
    <t>Q1'18</t>
  </si>
  <si>
    <t>Q4'17</t>
  </si>
  <si>
    <t>Q3'17</t>
  </si>
  <si>
    <t>Q2'17</t>
  </si>
  <si>
    <t>Q1'17</t>
  </si>
  <si>
    <t>Q4'16</t>
  </si>
  <si>
    <t>Q3'16</t>
  </si>
  <si>
    <t>Q2'16</t>
  </si>
  <si>
    <t>Q1'16</t>
  </si>
  <si>
    <t>Q4'15</t>
  </si>
  <si>
    <t>Q3'15</t>
  </si>
  <si>
    <t>Q2'15</t>
  </si>
  <si>
    <t>Q1'15</t>
  </si>
  <si>
    <t>Q4'14</t>
  </si>
  <si>
    <t>Q3'14</t>
  </si>
  <si>
    <t>Q2'14</t>
  </si>
  <si>
    <t>Q1'14</t>
  </si>
  <si>
    <t>Q4'13</t>
  </si>
  <si>
    <t>Q3'13</t>
  </si>
  <si>
    <t>Q2'13</t>
  </si>
  <si>
    <t>Q1'13</t>
  </si>
  <si>
    <t>Q4'12</t>
  </si>
  <si>
    <t>Q3'12</t>
  </si>
  <si>
    <t>Q2'12</t>
  </si>
  <si>
    <t>Q1'12</t>
  </si>
  <si>
    <t>Q4'11</t>
  </si>
  <si>
    <t>Q3'11</t>
  </si>
  <si>
    <t>Q2'11</t>
  </si>
  <si>
    <t>Q1'11</t>
  </si>
  <si>
    <t>Q4'10</t>
  </si>
  <si>
    <t>Q3'10</t>
  </si>
  <si>
    <t>Q2'10</t>
  </si>
  <si>
    <t>Q1'10</t>
  </si>
  <si>
    <t>Q4'09</t>
  </si>
  <si>
    <t>Q3'09</t>
  </si>
  <si>
    <t>Q2'09</t>
  </si>
  <si>
    <t>Q1'09</t>
  </si>
  <si>
    <t xml:space="preserve">Quarterly </t>
  </si>
  <si>
    <t>Q1'26</t>
  </si>
  <si>
    <t>Q2'26</t>
  </si>
  <si>
    <t>Q3'26</t>
  </si>
  <si>
    <t>Q4'26</t>
  </si>
  <si>
    <t>CRM</t>
  </si>
  <si>
    <t>Salesforce, Inc.</t>
  </si>
  <si>
    <t>Founded: 1999</t>
  </si>
  <si>
    <t>Registered Exchange: NYSE</t>
  </si>
  <si>
    <t>Address: Salesforce Tower, 3rd Floor 
San Francisco, California 94105</t>
  </si>
  <si>
    <t>(415) 901-7000</t>
  </si>
  <si>
    <t>https://www.salesforce.com/</t>
  </si>
  <si>
    <t>Salesforce Homepage</t>
  </si>
  <si>
    <t>Salesforce IR</t>
  </si>
  <si>
    <t>https://www.sec.gov/edgar/browse/?CIK=1108524&amp;owner=exclude</t>
  </si>
  <si>
    <t>https://seekingalpha.com/symbol/CRM/earnings/transcripts</t>
  </si>
  <si>
    <t>https://stockanalysis.com/stocks/crm/company/</t>
  </si>
  <si>
    <t>investor@salesforce.com</t>
  </si>
  <si>
    <t>Headquarters: San Fransisco, CA</t>
  </si>
  <si>
    <t>Macrotrends</t>
  </si>
  <si>
    <t>https://www.macrotrends.net/stocks/charts/CRM/salesforce/financial-statements</t>
  </si>
  <si>
    <t>Founder(s): Marc Benioff, Tom Siebel, Burak Yiğit</t>
  </si>
  <si>
    <t>Current CEO: Marc Benioff</t>
  </si>
  <si>
    <t>Employees: 76,453 (Q4'24)</t>
  </si>
  <si>
    <t>Industry: Technology</t>
  </si>
  <si>
    <t>Sector: CRM - Software Applications</t>
  </si>
  <si>
    <t>IPO: 4/30/2004 -- $1.1B</t>
  </si>
  <si>
    <t>Salesforce, Inc. provides customer relationship management (CRM) technology that connects companies and customers together worldwide</t>
  </si>
  <si>
    <t>The company offers Agentforce, an agentic layer of the salesforce platform</t>
  </si>
  <si>
    <t>Data Cloud, a data engine</t>
  </si>
  <si>
    <t>Industries AI for creating industry-specific AI agents with Agentforce</t>
  </si>
  <si>
    <t>Salesforce Starter, a suite of solution for small and medium-size business</t>
  </si>
  <si>
    <t>Slack, a workplace communication and productivity platform</t>
  </si>
  <si>
    <t>Tableau, an end-to-end analytics solution for range of enterprise use cases and intelligent analytics with AI models, spot trends, predict outcomes, timely recommendations, and take action from any device</t>
  </si>
  <si>
    <t>Other enterprise integration and analytics solutions</t>
  </si>
  <si>
    <t>It also provides marketing platform; commerce services, which empowers shopping experience across various customer touchpoint</t>
  </si>
  <si>
    <t>Additionally, the company offers field service solutions that enable companies to connect service agents, dispatchers, and mobile employees through one centralized platform to schedule and dispatch work, as well as track and manage jobs</t>
  </si>
  <si>
    <t>Salesforce, Inc. was incorporated in 1999 and is headquartered in San Francisco, California</t>
  </si>
  <si>
    <t>Employee Scope:</t>
  </si>
  <si>
    <t>Ttl SG&amp;A</t>
  </si>
  <si>
    <t>Ttl SG&amp;A % of Revenues</t>
  </si>
  <si>
    <t>R&amp;D % of Revenues</t>
  </si>
  <si>
    <t>Sales and Marketing % of Revenues</t>
  </si>
  <si>
    <t>General and Administrative % of Revenues</t>
  </si>
  <si>
    <t>ROIC</t>
  </si>
  <si>
    <t>RFR (10-year yield)</t>
  </si>
  <si>
    <t>ERP 
(Avg. market return - (less) RFR)</t>
  </si>
  <si>
    <t>Equity β (1-year avg.)</t>
  </si>
  <si>
    <t>Discount (Cost of Equity)</t>
  </si>
  <si>
    <t>Change Δ:</t>
  </si>
  <si>
    <t>Invested Capital</t>
  </si>
  <si>
    <t>AVG Invested Capital</t>
  </si>
  <si>
    <t>2023-2024</t>
  </si>
  <si>
    <t>Q1 2020</t>
  </si>
  <si>
    <t>Q1 2021</t>
  </si>
  <si>
    <t>Q1 2022</t>
  </si>
  <si>
    <t>Q1 2023</t>
  </si>
  <si>
    <t>Q1 2024</t>
  </si>
  <si>
    <t>Q1 2025</t>
  </si>
  <si>
    <t>Tue, 29 May 2018 00:00:00 GMT</t>
  </si>
  <si>
    <t>Wed, 30 May 2018 00:00:00 GMT</t>
  </si>
  <si>
    <t>Thu, 31 May 2018 00:00:00 GMT</t>
  </si>
  <si>
    <t>Fri, 01 Jun 2018 00:00:00 GMT</t>
  </si>
  <si>
    <t>Mon, 04 Jun 2018 00:00:00 GMT</t>
  </si>
  <si>
    <t>Tue, 05 Jun 2018 00:00:00 GMT</t>
  </si>
  <si>
    <t>Wed, 06 Jun 2018 00:00:00 GMT</t>
  </si>
  <si>
    <t>Thu, 07 Jun 2018 00:00:00 GMT</t>
  </si>
  <si>
    <t>Fri, 08 Jun 2018 00:00:00 GMT</t>
  </si>
  <si>
    <t>Mon, 11 Jun 2018 00:00:00 GMT</t>
  </si>
  <si>
    <t>Tue, 12 Jun 2018 00:00:00 GMT</t>
  </si>
  <si>
    <t>Wed, 13 Jun 2018 00:00:00 GMT</t>
  </si>
  <si>
    <t>Thu, 14 Jun 2018 00:00:00 GMT</t>
  </si>
  <si>
    <t>Fri, 15 Jun 2018 00:00:00 GMT</t>
  </si>
  <si>
    <t>Mon, 18 Jun 2018 00:00:00 GMT</t>
  </si>
  <si>
    <t>Tue, 19 Jun 2018 00:00:00 GMT</t>
  </si>
  <si>
    <t>Wed, 20 Jun 2018 00:00:00 GMT</t>
  </si>
  <si>
    <t>Thu, 21 Jun 2018 00:00:00 GMT</t>
  </si>
  <si>
    <t>Fri, 22 Jun 2018 00:00:00 GMT</t>
  </si>
  <si>
    <t>Mon, 25 Jun 2018 00:00:00 GMT</t>
  </si>
  <si>
    <t>Tue, 26 Jun 2018 00:00:00 GMT</t>
  </si>
  <si>
    <t>Wed, 27 Jun 2018 00:00:00 GMT</t>
  </si>
  <si>
    <t>Thu, 28 Jun 2018 00:00:00 GMT</t>
  </si>
  <si>
    <t>Fri, 29 Jun 2018 00:00:00 GMT</t>
  </si>
  <si>
    <t>Mon, 02 Jul 2018 00:00:00 GMT</t>
  </si>
  <si>
    <t>Tue, 03 Jul 2018 00:00:00 GMT</t>
  </si>
  <si>
    <t>Thu, 05 Jul 2018 00:00:00 GMT</t>
  </si>
  <si>
    <t>Fri, 06 Jul 2018 00:00:00 GMT</t>
  </si>
  <si>
    <t>Mon, 09 Jul 2018 00:00:00 GMT</t>
  </si>
  <si>
    <t>Tue, 10 Jul 2018 00:00:00 GMT</t>
  </si>
  <si>
    <t>Wed, 11 Jul 2018 00:00:00 GMT</t>
  </si>
  <si>
    <t>Thu, 12 Jul 2018 00:00:00 GMT</t>
  </si>
  <si>
    <t>Fri, 13 Jul 2018 00:00:00 GMT</t>
  </si>
  <si>
    <t>Mon, 16 Jul 2018 00:00:00 GMT</t>
  </si>
  <si>
    <t>Tue, 17 Jul 2018 00:00:00 GMT</t>
  </si>
  <si>
    <t>Wed, 18 Jul 2018 00:00:00 GMT</t>
  </si>
  <si>
    <t>Thu, 19 Jul 2018 00:00:00 GMT</t>
  </si>
  <si>
    <t>Fri, 20 Jul 2018 00:00:00 GMT</t>
  </si>
  <si>
    <t>Mon, 23 Jul 2018 00:00:00 GMT</t>
  </si>
  <si>
    <t>Tue, 24 Jul 2018 00:00:00 GMT</t>
  </si>
  <si>
    <t>Wed, 25 Jul 2018 00:00:00 GMT</t>
  </si>
  <si>
    <t>Thu, 26 Jul 2018 00:00:00 GMT</t>
  </si>
  <si>
    <t>Fri, 27 Jul 2018 00:00:00 GMT</t>
  </si>
  <si>
    <t>Mon, 30 Jul 2018 00:00:00 GMT</t>
  </si>
  <si>
    <t>Tue, 31 Jul 2018 00:00:00 GMT</t>
  </si>
  <si>
    <t>Wed, 01 Aug 2018 00:00:00 GMT</t>
  </si>
  <si>
    <t>Thu, 02 Aug 2018 00:00:00 GMT</t>
  </si>
  <si>
    <t>Fri, 03 Aug 2018 00:00:00 GMT</t>
  </si>
  <si>
    <t>Mon, 06 Aug 2018 00:00:00 GMT</t>
  </si>
  <si>
    <t>Tue, 07 Aug 2018 00:00:00 GMT</t>
  </si>
  <si>
    <t>Wed, 08 Aug 2018 00:00:00 GMT</t>
  </si>
  <si>
    <t>Thu, 09 Aug 2018 00:00:00 GMT</t>
  </si>
  <si>
    <t>Fri, 10 Aug 2018 00:00:00 GMT</t>
  </si>
  <si>
    <t>Mon, 13 Aug 2018 00:00:00 GMT</t>
  </si>
  <si>
    <t>Tue, 14 Aug 2018 00:00:00 GMT</t>
  </si>
  <si>
    <t>Wed, 15 Aug 2018 00:00:00 GMT</t>
  </si>
  <si>
    <t>Thu, 16 Aug 2018 00:00:00 GMT</t>
  </si>
  <si>
    <t>Fri, 17 Aug 2018 00:00:00 GMT</t>
  </si>
  <si>
    <t>Mon, 20 Aug 2018 00:00:00 GMT</t>
  </si>
  <si>
    <t>Tue, 21 Aug 2018 00:00:00 GMT</t>
  </si>
  <si>
    <t>Wed, 22 Aug 2018 00:00:00 GMT</t>
  </si>
  <si>
    <t>Thu, 23 Aug 2018 00:00:00 GMT</t>
  </si>
  <si>
    <t>Fri, 24 Aug 2018 00:00:00 GMT</t>
  </si>
  <si>
    <t>Mon, 27 Aug 2018 00:00:00 GMT</t>
  </si>
  <si>
    <t>Tue, 28 Aug 2018 00:00:00 GMT</t>
  </si>
  <si>
    <t>Wed, 29 Aug 2018 00:00:00 GMT</t>
  </si>
  <si>
    <t>Thu, 30 Aug 2018 00:00:00 GMT</t>
  </si>
  <si>
    <t>Fri, 31 Aug 2018 00:00:00 GMT</t>
  </si>
  <si>
    <t>Tue, 04 Sep 2018 00:00:00 GMT</t>
  </si>
  <si>
    <t>Wed, 05 Sep 2018 00:00:00 GMT</t>
  </si>
  <si>
    <t>Thu, 06 Sep 2018 00:00:00 GMT</t>
  </si>
  <si>
    <t>Fri, 07 Sep 2018 00:00:00 GMT</t>
  </si>
  <si>
    <t>Mon, 10 Sep 2018 00:00:00 GMT</t>
  </si>
  <si>
    <t>Tue, 11 Sep 2018 00:00:00 GMT</t>
  </si>
  <si>
    <t>Wed, 12 Sep 2018 00:00:00 GMT</t>
  </si>
  <si>
    <t>Thu, 13 Sep 2018 00:00:00 GMT</t>
  </si>
  <si>
    <t>Fri, 14 Sep 2018 00:00:00 GMT</t>
  </si>
  <si>
    <t>Mon, 17 Sep 2018 00:00:00 GMT</t>
  </si>
  <si>
    <t>Tue, 18 Sep 2018 00:00:00 GMT</t>
  </si>
  <si>
    <t>Wed, 19 Sep 2018 00:00:00 GMT</t>
  </si>
  <si>
    <t>Thu, 20 Sep 2018 00:00:00 GMT</t>
  </si>
  <si>
    <t>Fri, 21 Sep 2018 00:00:00 GMT</t>
  </si>
  <si>
    <t>Mon, 24 Sep 2018 00:00:00 GMT</t>
  </si>
  <si>
    <t>Tue, 25 Sep 2018 00:00:00 GMT</t>
  </si>
  <si>
    <t>Wed, 26 Sep 2018 00:00:00 GMT</t>
  </si>
  <si>
    <t>Thu, 27 Sep 2018 00:00:00 GMT</t>
  </si>
  <si>
    <t>Fri, 28 Sep 2018 00:00:00 GMT</t>
  </si>
  <si>
    <t>Mon, 01 Oct 2018 00:00:00 GMT</t>
  </si>
  <si>
    <t>Tue, 02 Oct 2018 00:00:00 GMT</t>
  </si>
  <si>
    <t>Wed, 03 Oct 2018 00:00:00 GMT</t>
  </si>
  <si>
    <t>Thu, 04 Oct 2018 00:00:00 GMT</t>
  </si>
  <si>
    <t>Fri, 05 Oct 2018 00:00:00 GMT</t>
  </si>
  <si>
    <t>Mon, 08 Oct 2018 00:00:00 GMT</t>
  </si>
  <si>
    <t>Tue, 09 Oct 2018 00:00:00 GMT</t>
  </si>
  <si>
    <t>Wed, 10 Oct 2018 00:00:00 GMT</t>
  </si>
  <si>
    <t>Thu, 11 Oct 2018 00:00:00 GMT</t>
  </si>
  <si>
    <t>Fri, 12 Oct 2018 00:00:00 GMT</t>
  </si>
  <si>
    <t>Mon, 15 Oct 2018 00:00:00 GMT</t>
  </si>
  <si>
    <t>Tue, 16 Oct 2018 00:00:00 GMT</t>
  </si>
  <si>
    <t>Wed, 17 Oct 2018 00:00:00 GMT</t>
  </si>
  <si>
    <t>Thu, 18 Oct 2018 00:00:00 GMT</t>
  </si>
  <si>
    <t>Fri, 19 Oct 2018 00:00:00 GMT</t>
  </si>
  <si>
    <t>Mon, 22 Oct 2018 00:00:00 GMT</t>
  </si>
  <si>
    <t>Tue, 23 Oct 2018 00:00:00 GMT</t>
  </si>
  <si>
    <t>Wed, 24 Oct 2018 00:00:00 GMT</t>
  </si>
  <si>
    <t>Thu, 25 Oct 2018 00:00:00 GMT</t>
  </si>
  <si>
    <t>Fri, 26 Oct 2018 00:00:00 GMT</t>
  </si>
  <si>
    <t>Mon, 29 Oct 2018 00:00:00 GMT</t>
  </si>
  <si>
    <t>Tue, 30 Oct 2018 00:00:00 GMT</t>
  </si>
  <si>
    <t>Wed, 31 Oct 2018 00:00:00 GMT</t>
  </si>
  <si>
    <t>Thu, 01 Nov 2018 00:00:00 GMT</t>
  </si>
  <si>
    <t>Fri, 02 Nov 2018 00:00:00 GMT</t>
  </si>
  <si>
    <t>Mon, 05 Nov 2018 00:00:00 GMT</t>
  </si>
  <si>
    <t>Tue, 06 Nov 2018 00:00:00 GMT</t>
  </si>
  <si>
    <t>Wed, 07 Nov 2018 00:00:00 GMT</t>
  </si>
  <si>
    <t>Thu, 08 Nov 2018 00:00:00 GMT</t>
  </si>
  <si>
    <t>Fri, 09 Nov 2018 00:00:00 GMT</t>
  </si>
  <si>
    <t>Mon, 12 Nov 2018 00:00:00 GMT</t>
  </si>
  <si>
    <t>Tue, 13 Nov 2018 00:00:00 GMT</t>
  </si>
  <si>
    <t>Wed, 14 Nov 2018 00:00:00 GMT</t>
  </si>
  <si>
    <t>Thu, 15 Nov 2018 00:00:00 GMT</t>
  </si>
  <si>
    <t>Fri, 16 Nov 2018 00:00:00 GMT</t>
  </si>
  <si>
    <t>Mon, 19 Nov 2018 00:00:00 GMT</t>
  </si>
  <si>
    <t>Tue, 20 Nov 2018 00:00:00 GMT</t>
  </si>
  <si>
    <t>Wed, 21 Nov 2018 00:00:00 GMT</t>
  </si>
  <si>
    <t>Fri, 23 Nov 2018 00:00:00 GMT</t>
  </si>
  <si>
    <t>Mon, 26 Nov 2018 00:00:00 GMT</t>
  </si>
  <si>
    <t>Tue, 27 Nov 2018 00:00:00 GMT</t>
  </si>
  <si>
    <t>Wed, 28 Nov 2018 00:00:00 GMT</t>
  </si>
  <si>
    <t>Thu, 29 Nov 2018 00:00:00 GMT</t>
  </si>
  <si>
    <t>Fri, 30 Nov 2018 00:00:00 GMT</t>
  </si>
  <si>
    <t>Mon, 03 Dec 2018 00:00:00 GMT</t>
  </si>
  <si>
    <t>Tue, 04 Dec 2018 00:00:00 GMT</t>
  </si>
  <si>
    <t>Thu, 06 Dec 2018 00:00:00 GMT</t>
  </si>
  <si>
    <t>Fri, 07 Dec 2018 00:00:00 GMT</t>
  </si>
  <si>
    <t>Mon, 10 Dec 2018 00:00:00 GMT</t>
  </si>
  <si>
    <t>Tue, 11 Dec 2018 00:00:00 GMT</t>
  </si>
  <si>
    <t>Wed, 12 Dec 2018 00:00:00 GMT</t>
  </si>
  <si>
    <t>Thu, 13 Dec 2018 00:00:00 GMT</t>
  </si>
  <si>
    <t>Fri, 14 Dec 2018 00:00:00 GMT</t>
  </si>
  <si>
    <t>Mon, 17 Dec 2018 00:00:00 GMT</t>
  </si>
  <si>
    <t>Tue, 18 Dec 2018 00:00:00 GMT</t>
  </si>
  <si>
    <t>Wed, 19 Dec 2018 00:00:00 GMT</t>
  </si>
  <si>
    <t>Thu, 20 Dec 2018 00:00:00 GMT</t>
  </si>
  <si>
    <t>Fri, 21 Dec 2018 00:00:00 GMT</t>
  </si>
  <si>
    <t>Mon, 24 Dec 2018 00:00:00 GMT</t>
  </si>
  <si>
    <t>Wed, 26 Dec 2018 00:00:00 GMT</t>
  </si>
  <si>
    <t>Thu, 27 Dec 2018 00:00:00 GMT</t>
  </si>
  <si>
    <t>Fri, 28 Dec 2018 00:00:00 GMT</t>
  </si>
  <si>
    <t>Mon, 31 Dec 2018 00:00:00 GMT</t>
  </si>
  <si>
    <t>Wed, 02 Jan 2019 00:00:00 GMT</t>
  </si>
  <si>
    <t>Thu, 03 Jan 2019 00:00:00 GMT</t>
  </si>
  <si>
    <t>Fri, 04 Jan 2019 00:00:00 GMT</t>
  </si>
  <si>
    <t>Mon, 07 Jan 2019 00:00:00 GMT</t>
  </si>
  <si>
    <t>Tue, 08 Jan 2019 00:00:00 GMT</t>
  </si>
  <si>
    <t>Wed, 09 Jan 2019 00:00:00 GMT</t>
  </si>
  <si>
    <t>Thu, 10 Jan 2019 00:00:00 GMT</t>
  </si>
  <si>
    <t>Fri, 11 Jan 2019 00:00:00 GMT</t>
  </si>
  <si>
    <t>Mon, 14 Jan 2019 00:00:00 GMT</t>
  </si>
  <si>
    <t>Tue, 15 Jan 2019 00:00:00 GMT</t>
  </si>
  <si>
    <t>Wed, 16 Jan 2019 00:00:00 GMT</t>
  </si>
  <si>
    <t>Thu, 17 Jan 2019 00:00:00 GMT</t>
  </si>
  <si>
    <t>Fri, 18 Jan 2019 00:00:00 GMT</t>
  </si>
  <si>
    <t>Tue, 22 Jan 2019 00:00:00 GMT</t>
  </si>
  <si>
    <t>Wed, 23 Jan 2019 00:00:00 GMT</t>
  </si>
  <si>
    <t>Thu, 24 Jan 2019 00:00:00 GMT</t>
  </si>
  <si>
    <t>Fri, 25 Jan 2019 00:00:00 GMT</t>
  </si>
  <si>
    <t>Mon, 28 Jan 2019 00:00:00 GMT</t>
  </si>
  <si>
    <t>Tue, 29 Jan 2019 00:00:00 GMT</t>
  </si>
  <si>
    <t>Wed, 30 Jan 2019 00:00:00 GMT</t>
  </si>
  <si>
    <t>Thu, 31 Jan 2019 00:00:00 GMT</t>
  </si>
  <si>
    <t>Fri, 01 Feb 2019 00:00:00 GMT</t>
  </si>
  <si>
    <t>Mon, 04 Feb 2019 00:00:00 GMT</t>
  </si>
  <si>
    <t>Tue, 05 Feb 2019 00:00:00 GMT</t>
  </si>
  <si>
    <t>Wed, 06 Feb 2019 00:00:00 GMT</t>
  </si>
  <si>
    <t>Thu, 07 Feb 2019 00:00:00 GMT</t>
  </si>
  <si>
    <t>Fri, 08 Feb 2019 00:00:00 GMT</t>
  </si>
  <si>
    <t>Mon, 11 Feb 2019 00:00:00 GMT</t>
  </si>
  <si>
    <t>Tue, 12 Feb 2019 00:00:00 GMT</t>
  </si>
  <si>
    <t>Wed, 13 Feb 2019 00:00:00 GMT</t>
  </si>
  <si>
    <t>Thu, 14 Feb 2019 00:00:00 GMT</t>
  </si>
  <si>
    <t>Fri, 15 Feb 2019 00:00:00 GMT</t>
  </si>
  <si>
    <t>Tue, 19 Feb 2019 00:00:00 GMT</t>
  </si>
  <si>
    <t>Wed, 20 Feb 2019 00:00:00 GMT</t>
  </si>
  <si>
    <t>Thu, 21 Feb 2019 00:00:00 GMT</t>
  </si>
  <si>
    <t>Fri, 22 Feb 2019 00:00:00 GMT</t>
  </si>
  <si>
    <t>Mon, 25 Feb 2019 00:00:00 GMT</t>
  </si>
  <si>
    <t>Tue, 26 Feb 2019 00:00:00 GMT</t>
  </si>
  <si>
    <t>Wed, 27 Feb 2019 00:00:00 GMT</t>
  </si>
  <si>
    <t>Thu, 28 Feb 2019 00:00:00 GMT</t>
  </si>
  <si>
    <t>Fri, 01 Mar 2019 00:00:00 GMT</t>
  </si>
  <si>
    <t>Mon, 04 Mar 2019 00:00:00 GMT</t>
  </si>
  <si>
    <t>Tue, 05 Mar 2019 00:00:00 GMT</t>
  </si>
  <si>
    <t>Wed, 06 Mar 2019 00:00:00 GMT</t>
  </si>
  <si>
    <t>Thu, 07 Mar 2019 00:00:00 GMT</t>
  </si>
  <si>
    <t>Fri, 08 Mar 2019 00:00:00 GMT</t>
  </si>
  <si>
    <t>Mon, 11 Mar 2019 00:00:00 GMT</t>
  </si>
  <si>
    <t>Tue, 12 Mar 2019 00:00:00 GMT</t>
  </si>
  <si>
    <t>Wed, 13 Mar 2019 00:00:00 GMT</t>
  </si>
  <si>
    <t>Thu, 14 Mar 2019 00:00:00 GMT</t>
  </si>
  <si>
    <t>Fri, 15 Mar 2019 00:00:00 GMT</t>
  </si>
  <si>
    <t>Mon, 18 Mar 2019 00:00:00 GMT</t>
  </si>
  <si>
    <t>Tue, 19 Mar 2019 00:00:00 GMT</t>
  </si>
  <si>
    <t>Wed, 20 Mar 2019 00:00:00 GMT</t>
  </si>
  <si>
    <t>Thu, 21 Mar 2019 00:00:00 GMT</t>
  </si>
  <si>
    <t>Fri, 22 Mar 2019 00:00:00 GMT</t>
  </si>
  <si>
    <t>Mon, 25 Mar 2019 00:00:00 GMT</t>
  </si>
  <si>
    <t>Tue, 26 Mar 2019 00:00:00 GMT</t>
  </si>
  <si>
    <t>Wed, 27 Mar 2019 00:00:00 GMT</t>
  </si>
  <si>
    <t>Thu, 28 Mar 2019 00:00:00 GMT</t>
  </si>
  <si>
    <t>Fri, 29 Mar 2019 00:00:00 GMT</t>
  </si>
  <si>
    <t>Mon, 01 Apr 2019 00:00:00 GMT</t>
  </si>
  <si>
    <t>Tue, 02 Apr 2019 00:00:00 GMT</t>
  </si>
  <si>
    <t>Wed, 03 Apr 2019 00:00:00 GMT</t>
  </si>
  <si>
    <t>Thu, 04 Apr 2019 00:00:00 GMT</t>
  </si>
  <si>
    <t>Fri, 05 Apr 2019 00:00:00 GMT</t>
  </si>
  <si>
    <t>Mon, 08 Apr 2019 00:00:00 GMT</t>
  </si>
  <si>
    <t>Tue, 09 Apr 2019 00:00:00 GMT</t>
  </si>
  <si>
    <t>Wed, 10 Apr 2019 00:00:00 GMT</t>
  </si>
  <si>
    <t>Thu, 11 Apr 2019 00:00:00 GMT</t>
  </si>
  <si>
    <t>Fri, 12 Apr 2019 00:00:00 GMT</t>
  </si>
  <si>
    <t>Mon, 15 Apr 2019 00:00:00 GMT</t>
  </si>
  <si>
    <t>Tue, 16 Apr 2019 00:00:00 GMT</t>
  </si>
  <si>
    <t>Wed, 17 Apr 2019 00:00:00 GMT</t>
  </si>
  <si>
    <t>Thu, 18 Apr 2019 00:00:00 GMT</t>
  </si>
  <si>
    <t>Mon, 22 Apr 2019 00:00:00 GMT</t>
  </si>
  <si>
    <t>Tue, 23 Apr 2019 00:00:00 GMT</t>
  </si>
  <si>
    <t>Wed, 24 Apr 2019 00:00:00 GMT</t>
  </si>
  <si>
    <t>Thu, 25 Apr 2019 00:00:00 GMT</t>
  </si>
  <si>
    <t>Fri, 26 Apr 2019 00:00:00 GMT</t>
  </si>
  <si>
    <t>Mon, 29 Apr 2019 00:00:00 GMT</t>
  </si>
  <si>
    <t>Tue, 30 Apr 2019 00:00:00 GMT</t>
  </si>
  <si>
    <t>Wed, 01 May 2019 00:00:00 GMT</t>
  </si>
  <si>
    <t>Thu, 02 May 2019 00:00:00 GMT</t>
  </si>
  <si>
    <t>Fri, 03 May 2019 00:00:00 GMT</t>
  </si>
  <si>
    <t>Mon, 06 May 2019 00:00:00 GMT</t>
  </si>
  <si>
    <t>Tue, 07 May 2019 00:00:00 GMT</t>
  </si>
  <si>
    <t>Wed, 08 May 2019 00:00:00 GMT</t>
  </si>
  <si>
    <t>Thu, 09 May 2019 00:00:00 GMT</t>
  </si>
  <si>
    <t>Fri, 10 May 2019 00:00:00 GMT</t>
  </si>
  <si>
    <t>Mon, 13 May 2019 00:00:00 GMT</t>
  </si>
  <si>
    <t>Tue, 14 May 2019 00:00:00 GMT</t>
  </si>
  <si>
    <t>Wed, 15 May 2019 00:00:00 GMT</t>
  </si>
  <si>
    <t>Thu, 16 May 2019 00:00:00 GMT</t>
  </si>
  <si>
    <t>Fri, 17 May 2019 00:00:00 GMT</t>
  </si>
  <si>
    <t>Mon, 20 May 2019 00:00:00 GMT</t>
  </si>
  <si>
    <t>Tue, 21 May 2019 00:00:00 GMT</t>
  </si>
  <si>
    <t>Wed, 22 May 2019 00:00:00 GMT</t>
  </si>
  <si>
    <t>Thu, 23 May 2019 00:00:00 GMT</t>
  </si>
  <si>
    <t>Fri, 24 May 2019 00:00:00 GMT</t>
  </si>
  <si>
    <t>Tue, 28 May 2019 00:00:00 GMT</t>
  </si>
  <si>
    <t>Wed, 29 May 2019 00:00:00 GMT</t>
  </si>
  <si>
    <t>Thu, 30 May 2019 00:00:00 GMT</t>
  </si>
  <si>
    <t>Fri, 31 May 2019 00:00:00 GMT</t>
  </si>
  <si>
    <t>Mon, 03 Jun 2019 00:00:00 GMT</t>
  </si>
  <si>
    <t>Tue, 04 Jun 2019 00:00:00 GMT</t>
  </si>
  <si>
    <t>Wed, 05 Jun 2019 00:00:00 GMT</t>
  </si>
  <si>
    <t>Thu, 06 Jun 2019 00:00:00 GMT</t>
  </si>
  <si>
    <t>Fri, 07 Jun 2019 00:00:00 GMT</t>
  </si>
  <si>
    <t>Mon, 10 Jun 2019 00:00:00 GMT</t>
  </si>
  <si>
    <t>Tue, 11 Jun 2019 00:00:00 GMT</t>
  </si>
  <si>
    <t>Wed, 12 Jun 2019 00:00:00 GMT</t>
  </si>
  <si>
    <t>Thu, 13 Jun 2019 00:00:00 GMT</t>
  </si>
  <si>
    <t>Fri, 14 Jun 2019 00:00:00 GMT</t>
  </si>
  <si>
    <t>Mon, 17 Jun 2019 00:00:00 GMT</t>
  </si>
  <si>
    <t>Tue, 18 Jun 2019 00:00:00 GMT</t>
  </si>
  <si>
    <t>Wed, 19 Jun 2019 00:00:00 GMT</t>
  </si>
  <si>
    <t>Thu, 20 Jun 2019 00:00:00 GMT</t>
  </si>
  <si>
    <t>Fri, 21 Jun 2019 00:00:00 GMT</t>
  </si>
  <si>
    <t>Mon, 24 Jun 2019 00:00:00 GMT</t>
  </si>
  <si>
    <t>Tue, 25 Jun 2019 00:00:00 GMT</t>
  </si>
  <si>
    <t>Wed, 26 Jun 2019 00:00:00 GMT</t>
  </si>
  <si>
    <t>Thu, 27 Jun 2019 00:00:00 GMT</t>
  </si>
  <si>
    <t>Fri, 28 Jun 2019 00:00:00 GMT</t>
  </si>
  <si>
    <t>Mon, 01 Jul 2019 00:00:00 GMT</t>
  </si>
  <si>
    <t>Tue, 02 Jul 2019 00:00:00 GMT</t>
  </si>
  <si>
    <t>Wed, 03 Jul 2019 00:00:00 GMT</t>
  </si>
  <si>
    <t>Fri, 05 Jul 2019 00:00:00 GMT</t>
  </si>
  <si>
    <t>Mon, 08 Jul 2019 00:00:00 GMT</t>
  </si>
  <si>
    <t>Tue, 09 Jul 2019 00:00:00 GMT</t>
  </si>
  <si>
    <t>Wed, 10 Jul 2019 00:00:00 GMT</t>
  </si>
  <si>
    <t>Thu, 11 Jul 2019 00:00:00 GMT</t>
  </si>
  <si>
    <t>Fri, 12 Jul 2019 00:00:00 GMT</t>
  </si>
  <si>
    <t>Mon, 15 Jul 2019 00:00:00 GMT</t>
  </si>
  <si>
    <t>Tue, 16 Jul 2019 00:00:00 GMT</t>
  </si>
  <si>
    <t>Wed, 17 Jul 2019 00:00:00 GMT</t>
  </si>
  <si>
    <t>Thu, 18 Jul 2019 00:00:00 GMT</t>
  </si>
  <si>
    <t>Fri, 19 Jul 2019 00:00:00 GMT</t>
  </si>
  <si>
    <t>Mon, 22 Jul 2019 00:00:00 GMT</t>
  </si>
  <si>
    <t>Tue, 23 Jul 2019 00:00:00 GMT</t>
  </si>
  <si>
    <t>Wed, 24 Jul 2019 00:00:00 GMT</t>
  </si>
  <si>
    <t>Thu, 25 Jul 2019 00:00:00 GMT</t>
  </si>
  <si>
    <t>Fri, 26 Jul 2019 00:00:00 GMT</t>
  </si>
  <si>
    <t>Mon, 29 Jul 2019 00:00:00 GMT</t>
  </si>
  <si>
    <t>Tue, 30 Jul 2019 00:00:00 GMT</t>
  </si>
  <si>
    <t>Wed, 31 Jul 2019 00:00:00 GMT</t>
  </si>
  <si>
    <t>Thu, 01 Aug 2019 00:00:00 GMT</t>
  </si>
  <si>
    <t>Fri, 02 Aug 2019 00:00:00 GMT</t>
  </si>
  <si>
    <t>Mon, 05 Aug 2019 00:00:00 GMT</t>
  </si>
  <si>
    <t>Tue, 06 Aug 2019 00:00:00 GMT</t>
  </si>
  <si>
    <t>Wed, 07 Aug 2019 00:00:00 GMT</t>
  </si>
  <si>
    <t>Thu, 08 Aug 2019 00:00:00 GMT</t>
  </si>
  <si>
    <t>Fri, 09 Aug 2019 00:00:00 GMT</t>
  </si>
  <si>
    <t>Mon, 12 Aug 2019 00:00:00 GMT</t>
  </si>
  <si>
    <t>Tue, 13 Aug 2019 00:00:00 GMT</t>
  </si>
  <si>
    <t>Wed, 14 Aug 2019 00:00:00 GMT</t>
  </si>
  <si>
    <t>Thu, 15 Aug 2019 00:00:00 GMT</t>
  </si>
  <si>
    <t>Fri, 16 Aug 2019 00:00:00 GMT</t>
  </si>
  <si>
    <t>Mon, 19 Aug 2019 00:00:00 GMT</t>
  </si>
  <si>
    <t>Tue, 20 Aug 2019 00:00:00 GMT</t>
  </si>
  <si>
    <t>Wed, 21 Aug 2019 00:00:00 GMT</t>
  </si>
  <si>
    <t>Thu, 22 Aug 2019 00:00:00 GMT</t>
  </si>
  <si>
    <t>Fri, 23 Aug 2019 00:00:00 GMT</t>
  </si>
  <si>
    <t>Mon, 26 Aug 2019 00:00:00 GMT</t>
  </si>
  <si>
    <t>Tue, 27 Aug 2019 00:00:00 GMT</t>
  </si>
  <si>
    <t>Wed, 28 Aug 2019 00:00:00 GMT</t>
  </si>
  <si>
    <t>Thu, 29 Aug 2019 00:00:00 GMT</t>
  </si>
  <si>
    <t>Fri, 30 Aug 2019 00:00:00 GMT</t>
  </si>
  <si>
    <t>Tue, 03 Sep 2019 00:00:00 GMT</t>
  </si>
  <si>
    <t>Wed, 04 Sep 2019 00:00:00 GMT</t>
  </si>
  <si>
    <t>Thu, 05 Sep 2019 00:00:00 GMT</t>
  </si>
  <si>
    <t>Fri, 06 Sep 2019 00:00:00 GMT</t>
  </si>
  <si>
    <t>Mon, 09 Sep 2019 00:00:00 GMT</t>
  </si>
  <si>
    <t>Tue, 10 Sep 2019 00:00:00 GMT</t>
  </si>
  <si>
    <t>Wed, 11 Sep 2019 00:00:00 GMT</t>
  </si>
  <si>
    <t>Thu, 12 Sep 2019 00:00:00 GMT</t>
  </si>
  <si>
    <t>Fri, 13 Sep 2019 00:00:00 GMT</t>
  </si>
  <si>
    <t>Mon, 16 Sep 2019 00:00:00 GMT</t>
  </si>
  <si>
    <t>Tue, 17 Sep 2019 00:00:00 GMT</t>
  </si>
  <si>
    <t>Wed, 18 Sep 2019 00:00:00 GMT</t>
  </si>
  <si>
    <t>Thu, 19 Sep 2019 00:00:00 GMT</t>
  </si>
  <si>
    <t>Fri, 20 Sep 2019 00:00:00 GMT</t>
  </si>
  <si>
    <t>Mon, 23 Sep 2019 00:00:00 GMT</t>
  </si>
  <si>
    <t>Tue, 24 Sep 2019 00:00:00 GMT</t>
  </si>
  <si>
    <t>Wed, 25 Sep 2019 00:00:00 GMT</t>
  </si>
  <si>
    <t>Thu, 26 Sep 2019 00:00:00 GMT</t>
  </si>
  <si>
    <t>Fri, 27 Sep 2019 00:00:00 GMT</t>
  </si>
  <si>
    <t>Mon, 30 Sep 2019 00:00:00 GMT</t>
  </si>
  <si>
    <t>Tue, 01 Oct 2019 00:00:00 GMT</t>
  </si>
  <si>
    <t>Wed, 02 Oct 2019 00:00:00 GMT</t>
  </si>
  <si>
    <t>Thu, 03 Oct 2019 00:00:00 GMT</t>
  </si>
  <si>
    <t>Fri, 04 Oct 2019 00:00:00 GMT</t>
  </si>
  <si>
    <t>Mon, 07 Oct 2019 00:00:00 GMT</t>
  </si>
  <si>
    <t>Tue, 08 Oct 2019 00:00:00 GMT</t>
  </si>
  <si>
    <t>Wed, 09 Oct 2019 00:00:00 GMT</t>
  </si>
  <si>
    <t>Thu, 10 Oct 2019 00:00:00 GMT</t>
  </si>
  <si>
    <t>Fri, 11 Oct 2019 00:00:00 GMT</t>
  </si>
  <si>
    <t>Mon, 14 Oct 2019 00:00:00 GMT</t>
  </si>
  <si>
    <t>Tue, 15 Oct 2019 00:00:00 GMT</t>
  </si>
  <si>
    <t>Wed, 16 Oct 2019 00:00:00 GMT</t>
  </si>
  <si>
    <t>Thu, 17 Oct 2019 00:00:00 GMT</t>
  </si>
  <si>
    <t>Fri, 18 Oct 2019 00:00:00 GMT</t>
  </si>
  <si>
    <t>Mon, 21 Oct 2019 00:00:00 GMT</t>
  </si>
  <si>
    <t>Tue, 22 Oct 2019 00:00:00 GMT</t>
  </si>
  <si>
    <t>Wed, 23 Oct 2019 00:00:00 GMT</t>
  </si>
  <si>
    <t>Thu, 24 Oct 2019 00:00:00 GMT</t>
  </si>
  <si>
    <t>Fri, 25 Oct 2019 00:00:00 GMT</t>
  </si>
  <si>
    <t>Mon, 28 Oct 2019 00:00:00 GMT</t>
  </si>
  <si>
    <t>Tue, 29 Oct 2019 00:00:00 GMT</t>
  </si>
  <si>
    <t>Wed, 30 Oct 2019 00:00:00 GMT</t>
  </si>
  <si>
    <t>Thu, 31 Oct 2019 00:00:00 GMT</t>
  </si>
  <si>
    <t>Fri, 01 Nov 2019 00:00:00 GMT</t>
  </si>
  <si>
    <t>Mon, 04 Nov 2019 00:00:00 GMT</t>
  </si>
  <si>
    <t>Tue, 05 Nov 2019 00:00:00 GMT</t>
  </si>
  <si>
    <t>Wed, 06 Nov 2019 00:00:00 GMT</t>
  </si>
  <si>
    <t>Thu, 07 Nov 2019 00:00:00 GMT</t>
  </si>
  <si>
    <t>Fri, 08 Nov 2019 00:00:00 GMT</t>
  </si>
  <si>
    <t>Mon, 11 Nov 2019 00:00:00 GMT</t>
  </si>
  <si>
    <t>Tue, 12 Nov 2019 00:00:00 GMT</t>
  </si>
  <si>
    <t>Wed, 13 Nov 2019 00:00:00 GMT</t>
  </si>
  <si>
    <t>Thu, 14 Nov 2019 00:00:00 GMT</t>
  </si>
  <si>
    <t>Fri, 15 Nov 2019 00:00:00 GMT</t>
  </si>
  <si>
    <t>Mon, 18 Nov 2019 00:00:00 GMT</t>
  </si>
  <si>
    <t>Tue, 19 Nov 2019 00:00:00 GMT</t>
  </si>
  <si>
    <t>Wed, 20 Nov 2019 00:00:00 GMT</t>
  </si>
  <si>
    <t>Thu, 21 Nov 2019 00:00:00 GMT</t>
  </si>
  <si>
    <t>Fri, 22 Nov 2019 00:00:00 GMT</t>
  </si>
  <si>
    <t>Mon, 25 Nov 2019 00:00:00 GMT</t>
  </si>
  <si>
    <t>Tue, 26 Nov 2019 00:00:00 GMT</t>
  </si>
  <si>
    <t>Wed, 27 Nov 2019 00:00:00 GMT</t>
  </si>
  <si>
    <t>Fri, 29 Nov 2019 00:00:00 GMT</t>
  </si>
  <si>
    <t>Mon, 02 Dec 2019 00:00:00 GMT</t>
  </si>
  <si>
    <t>Tue, 03 Dec 2019 00:00:00 GMT</t>
  </si>
  <si>
    <t>Wed, 04 Dec 2019 00:00:00 GMT</t>
  </si>
  <si>
    <t>Thu, 05 Dec 2019 00:00:00 GMT</t>
  </si>
  <si>
    <t>Fri, 06 Dec 2019 00:00:00 GMT</t>
  </si>
  <si>
    <t>Mon, 09 Dec 2019 00:00:00 GMT</t>
  </si>
  <si>
    <t>Tue, 10 Dec 2019 00:00:00 GMT</t>
  </si>
  <si>
    <t>Wed, 11 Dec 2019 00:00:00 GMT</t>
  </si>
  <si>
    <t>Thu, 12 Dec 2019 00:00:00 GMT</t>
  </si>
  <si>
    <t>Fri, 13 Dec 2019 00:00:00 GMT</t>
  </si>
  <si>
    <t>Mon, 16 Dec 2019 00:00:00 GMT</t>
  </si>
  <si>
    <t>Tue, 17 Dec 2019 00:00:00 GMT</t>
  </si>
  <si>
    <t>Wed, 18 Dec 2019 00:00:00 GMT</t>
  </si>
  <si>
    <t>Thu, 19 Dec 2019 00:00:00 GMT</t>
  </si>
  <si>
    <t>Fri, 20 Dec 2019 00:00:00 GMT</t>
  </si>
  <si>
    <t>Mon, 23 Dec 2019 00:00:00 GMT</t>
  </si>
  <si>
    <t>Tue, 24 Dec 2019 00:00:00 GMT</t>
  </si>
  <si>
    <t>Thu, 26 Dec 2019 00:00:00 GMT</t>
  </si>
  <si>
    <t>Fri, 27 Dec 2019 00:00:00 GMT</t>
  </si>
  <si>
    <t>Mon, 30 Dec 2019 00:00:00 GMT</t>
  </si>
  <si>
    <t>Tue, 31 Dec 2019 00:00:00 GMT</t>
  </si>
  <si>
    <t>Thu, 02 Jan 2020 00:00:00 GMT</t>
  </si>
  <si>
    <t>Fri, 03 Jan 2020 00:00:00 GMT</t>
  </si>
  <si>
    <t>Mon, 06 Jan 2020 00:00:00 GMT</t>
  </si>
  <si>
    <t>Tue, 07 Jan 2020 00:00:00 GMT</t>
  </si>
  <si>
    <t>Wed, 08 Jan 2020 00:00:00 GMT</t>
  </si>
  <si>
    <t>Thu, 09 Jan 2020 00:00:00 GMT</t>
  </si>
  <si>
    <t>Fri, 10 Jan 2020 00:00:00 GMT</t>
  </si>
  <si>
    <t>Mon, 13 Jan 2020 00:00:00 GMT</t>
  </si>
  <si>
    <t>Tue, 14 Jan 2020 00:00:00 GMT</t>
  </si>
  <si>
    <t>Wed, 15 Jan 2020 00:00:00 GMT</t>
  </si>
  <si>
    <t>Thu, 16 Jan 2020 00:00:00 GMT</t>
  </si>
  <si>
    <t>Fri, 17 Jan 2020 00:00:00 GMT</t>
  </si>
  <si>
    <t>Tue, 21 Jan 2020 00:00:00 GMT</t>
  </si>
  <si>
    <t>Wed, 22 Jan 2020 00:00:00 GMT</t>
  </si>
  <si>
    <t>Thu, 23 Jan 2020 00:00:00 GMT</t>
  </si>
  <si>
    <t>Fri, 24 Jan 2020 00:00:00 GMT</t>
  </si>
  <si>
    <t>Mon, 27 Jan 2020 00:00:00 GMT</t>
  </si>
  <si>
    <t>Tue, 28 Jan 2020 00:00:00 GMT</t>
  </si>
  <si>
    <t>Wed, 29 Jan 2020 00:00:00 GMT</t>
  </si>
  <si>
    <t>Thu, 30 Jan 2020 00:00:00 GMT</t>
  </si>
  <si>
    <t>Fri, 31 Jan 2020 00:00:00 GMT</t>
  </si>
  <si>
    <t>Mon, 03 Feb 2020 00:00:00 GMT</t>
  </si>
  <si>
    <t>Tue, 04 Feb 2020 00:00:00 GMT</t>
  </si>
  <si>
    <t>Wed, 05 Feb 2020 00:00:00 GMT</t>
  </si>
  <si>
    <t>Thu, 06 Feb 2020 00:00:00 GMT</t>
  </si>
  <si>
    <t>Fri, 07 Feb 2020 00:00:00 GMT</t>
  </si>
  <si>
    <t>Mon, 10 Feb 2020 00:00:00 GMT</t>
  </si>
  <si>
    <t>Tue, 11 Feb 2020 00:00:00 GMT</t>
  </si>
  <si>
    <t>Wed, 12 Feb 2020 00:00:00 GMT</t>
  </si>
  <si>
    <t>Thu, 13 Feb 2020 00:00:00 GMT</t>
  </si>
  <si>
    <t>Fri, 14 Feb 2020 00:00:00 GMT</t>
  </si>
  <si>
    <t>Tue, 18 Feb 2020 00:00:00 GMT</t>
  </si>
  <si>
    <t>Wed, 19 Feb 2020 00:00:00 GMT</t>
  </si>
  <si>
    <t>Thu, 20 Feb 2020 00:00:00 GMT</t>
  </si>
  <si>
    <t>Fri, 21 Feb 2020 00:00:00 GMT</t>
  </si>
  <si>
    <t>Mon, 24 Feb 2020 00:00:00 GMT</t>
  </si>
  <si>
    <t>Tue, 25 Feb 2020 00:00:00 GMT</t>
  </si>
  <si>
    <t>Wed, 26 Feb 2020 00:00:00 GMT</t>
  </si>
  <si>
    <t>Thu, 27 Feb 2020 00:00:00 GMT</t>
  </si>
  <si>
    <t>Fri, 28 Feb 2020 00:00:00 GMT</t>
  </si>
  <si>
    <t>Mon, 02 Mar 2020 00:00:00 GMT</t>
  </si>
  <si>
    <t>Tue, 03 Mar 2020 00:00:00 GMT</t>
  </si>
  <si>
    <t>Wed, 04 Mar 2020 00:00:00 GMT</t>
  </si>
  <si>
    <t>Thu, 05 Mar 2020 00:00:00 GMT</t>
  </si>
  <si>
    <t>Fri, 06 Mar 2020 00:00:00 GMT</t>
  </si>
  <si>
    <t>Mon, 09 Mar 2020 00:00:00 GMT</t>
  </si>
  <si>
    <t>Tue, 10 Mar 2020 00:00:00 GMT</t>
  </si>
  <si>
    <t>Wed, 11 Mar 2020 00:00:00 GMT</t>
  </si>
  <si>
    <t>Thu, 12 Mar 2020 00:00:00 GMT</t>
  </si>
  <si>
    <t>Fri, 13 Mar 2020 00:00:00 GMT</t>
  </si>
  <si>
    <t>Mon, 16 Mar 2020 00:00:00 GMT</t>
  </si>
  <si>
    <t>Tue, 17 Mar 2020 00:00:00 GMT</t>
  </si>
  <si>
    <t>Wed, 18 Mar 2020 00:00:00 GMT</t>
  </si>
  <si>
    <t>Thu, 19 Mar 2020 00:00:00 GMT</t>
  </si>
  <si>
    <t>Fri, 20 Mar 2020 00:00:00 GMT</t>
  </si>
  <si>
    <t>Mon, 23 Mar 2020 00:00:00 GMT</t>
  </si>
  <si>
    <t>Tue, 24 Mar 2020 00:00:00 GMT</t>
  </si>
  <si>
    <t>Wed, 25 Mar 2020 00:00:00 GMT</t>
  </si>
  <si>
    <t>Thu, 26 Mar 2020 00:00:00 GMT</t>
  </si>
  <si>
    <t>Fri, 27 Mar 2020 00:00:00 GMT</t>
  </si>
  <si>
    <t>Mon, 30 Mar 2020 00:00:00 GMT</t>
  </si>
  <si>
    <t>Tue, 31 Mar 2020 00:00:00 GMT</t>
  </si>
  <si>
    <t>Wed, 01 Apr 2020 00:00:00 GMT</t>
  </si>
  <si>
    <t>Thu, 02 Apr 2020 00:00:00 GMT</t>
  </si>
  <si>
    <t>Fri, 03 Apr 2020 00:00:00 GMT</t>
  </si>
  <si>
    <t>Mon, 06 Apr 2020 00:00:00 GMT</t>
  </si>
  <si>
    <t>Tue, 07 Apr 2020 00:00:00 GMT</t>
  </si>
  <si>
    <t>Wed, 08 Apr 2020 00:00:00 GMT</t>
  </si>
  <si>
    <t>Thu, 09 Apr 2020 00:00:00 GMT</t>
  </si>
  <si>
    <t>Mon, 13 Apr 2020 00:00:00 GMT</t>
  </si>
  <si>
    <t>Tue, 14 Apr 2020 00:00:00 GMT</t>
  </si>
  <si>
    <t>Wed, 15 Apr 2020 00:00:00 GMT</t>
  </si>
  <si>
    <t>Thu, 16 Apr 2020 00:00:00 GMT</t>
  </si>
  <si>
    <t>Fri, 17 Apr 2020 00:00:00 GMT</t>
  </si>
  <si>
    <t>Mon, 20 Apr 2020 00:00:00 GMT</t>
  </si>
  <si>
    <t>Tue, 21 Apr 2020 00:00:00 GMT</t>
  </si>
  <si>
    <t>Wed, 22 Apr 2020 00:00:00 GMT</t>
  </si>
  <si>
    <t>Thu, 23 Apr 2020 00:00:00 GMT</t>
  </si>
  <si>
    <t>Fri, 24 Apr 2020 00:00:00 GMT</t>
  </si>
  <si>
    <t>Mon, 27 Apr 2020 00:00:00 GMT</t>
  </si>
  <si>
    <t>Tue, 28 Apr 2020 00:00:00 GMT</t>
  </si>
  <si>
    <t>Wed, 29 Apr 2020 00:00:00 GMT</t>
  </si>
  <si>
    <t>Thu, 30 Apr 2020 00:00:00 GMT</t>
  </si>
  <si>
    <t>Fri, 01 May 2020 00:00:00 GMT</t>
  </si>
  <si>
    <t>Mon, 04 May 2020 00:00:00 GMT</t>
  </si>
  <si>
    <t>Tue, 05 May 2020 00:00:00 GMT</t>
  </si>
  <si>
    <t>Wed, 06 May 2020 00:00:00 GMT</t>
  </si>
  <si>
    <t>Thu, 07 May 2020 00:00:00 GMT</t>
  </si>
  <si>
    <t>Fri, 08 May 2020 00:00:00 GMT</t>
  </si>
  <si>
    <t>Mon, 11 May 2020 00:00:00 GMT</t>
  </si>
  <si>
    <t>Tue, 12 May 2020 00:00:00 GMT</t>
  </si>
  <si>
    <t>Wed, 13 May 2020 00:00:00 GMT</t>
  </si>
  <si>
    <t>Thu, 14 May 2020 00:00:00 GMT</t>
  </si>
  <si>
    <t>Fri, 15 May 2020 00:00:00 GMT</t>
  </si>
  <si>
    <t>Mon, 18 May 2020 00:00:00 GMT</t>
  </si>
  <si>
    <t>Tue, 19 May 2020 00:00:00 GMT</t>
  </si>
  <si>
    <t>Wed, 20 May 2020 00:00:00 GMT</t>
  </si>
  <si>
    <t>Thu, 21 May 2020 00:00:00 GMT</t>
  </si>
  <si>
    <t>Fri, 22 May 2020 00:00:00 GMT</t>
  </si>
  <si>
    <t>Tue, 26 May 2020 00:00:00 GMT</t>
  </si>
  <si>
    <t>Wed, 27 May 2020 00:00:00 GMT</t>
  </si>
  <si>
    <t>Thu, 28 May 2020 00:00:00 GMT</t>
  </si>
  <si>
    <t>Fri, 29 May 2020 00:00:00 GMT</t>
  </si>
  <si>
    <t>Mon, 01 Jun 2020 00:00:00 GMT</t>
  </si>
  <si>
    <t>Tue, 02 Jun 2020 00:00:00 GMT</t>
  </si>
  <si>
    <t>Wed, 03 Jun 2020 00:00:00 GMT</t>
  </si>
  <si>
    <t>Thu, 04 Jun 2020 00:00:00 GMT</t>
  </si>
  <si>
    <t>Fri, 05 Jun 2020 00:00:00 GMT</t>
  </si>
  <si>
    <t>Mon, 08 Jun 2020 00:00:00 GMT</t>
  </si>
  <si>
    <t>Tue, 09 Jun 2020 00:00:00 GMT</t>
  </si>
  <si>
    <t>Wed, 10 Jun 2020 00:00:00 GMT</t>
  </si>
  <si>
    <t>Thu, 11 Jun 2020 00:00:00 GMT</t>
  </si>
  <si>
    <t>Fri, 12 Jun 2020 00:00:00 GMT</t>
  </si>
  <si>
    <t>Mon, 15 Jun 2020 00:00:00 GMT</t>
  </si>
  <si>
    <t>Tue, 16 Jun 2020 00:00:00 GMT</t>
  </si>
  <si>
    <t>Wed, 17 Jun 2020 00:00:00 GMT</t>
  </si>
  <si>
    <t>Thu, 18 Jun 2020 00:00:00 GMT</t>
  </si>
  <si>
    <t>Fri, 19 Jun 2020 00:00:00 GMT</t>
  </si>
  <si>
    <t>Mon, 22 Jun 2020 00:00:00 GMT</t>
  </si>
  <si>
    <t>Tue, 23 Jun 2020 00:00:00 GMT</t>
  </si>
  <si>
    <t>Wed, 24 Jun 2020 00:00:00 GMT</t>
  </si>
  <si>
    <t>Thu, 25 Jun 2020 00:00:00 GMT</t>
  </si>
  <si>
    <t>Fri, 26 Jun 2020 00:00:00 GMT</t>
  </si>
  <si>
    <t>Mon, 29 Jun 2020 00:00:00 GMT</t>
  </si>
  <si>
    <t>Tue, 30 Jun 2020 00:00:00 GMT</t>
  </si>
  <si>
    <t>Wed, 01 Jul 2020 00:00:00 GMT</t>
  </si>
  <si>
    <t>Thu, 02 Jul 2020 00:00:00 GMT</t>
  </si>
  <si>
    <t>Mon, 06 Jul 2020 00:00:00 GMT</t>
  </si>
  <si>
    <t>Tue, 07 Jul 2020 00:00:00 GMT</t>
  </si>
  <si>
    <t>Wed, 08 Jul 2020 00:00:00 GMT</t>
  </si>
  <si>
    <t>Thu, 09 Jul 2020 00:00:00 GMT</t>
  </si>
  <si>
    <t>Fri, 10 Jul 2020 00:00:00 GMT</t>
  </si>
  <si>
    <t>Mon, 13 Jul 2020 00:00:00 GMT</t>
  </si>
  <si>
    <t>Tue, 14 Jul 2020 00:00:00 GMT</t>
  </si>
  <si>
    <t>Wed, 15 Jul 2020 00:00:00 GMT</t>
  </si>
  <si>
    <t>Thu, 16 Jul 2020 00:00:00 GMT</t>
  </si>
  <si>
    <t>Fri, 17 Jul 2020 00:00:00 GMT</t>
  </si>
  <si>
    <t>Mon, 20 Jul 2020 00:00:00 GMT</t>
  </si>
  <si>
    <t>Tue, 21 Jul 2020 00:00:00 GMT</t>
  </si>
  <si>
    <t>Wed, 22 Jul 2020 00:00:00 GMT</t>
  </si>
  <si>
    <t>Thu, 23 Jul 2020 00:00:00 GMT</t>
  </si>
  <si>
    <t>Fri, 24 Jul 2020 00:00:00 GMT</t>
  </si>
  <si>
    <t>Mon, 27 Jul 2020 00:00:00 GMT</t>
  </si>
  <si>
    <t>Tue, 28 Jul 2020 00:00:00 GMT</t>
  </si>
  <si>
    <t>Wed, 29 Jul 2020 00:00:00 GMT</t>
  </si>
  <si>
    <t>Thu, 30 Jul 2020 00:00:00 GMT</t>
  </si>
  <si>
    <t>Fri, 31 Jul 2020 00:00:00 GMT</t>
  </si>
  <si>
    <t>Mon, 03 Aug 2020 00:00:00 GMT</t>
  </si>
  <si>
    <t>Tue, 04 Aug 2020 00:00:00 GMT</t>
  </si>
  <si>
    <t>Wed, 05 Aug 2020 00:00:00 GMT</t>
  </si>
  <si>
    <t>Thu, 06 Aug 2020 00:00:00 GMT</t>
  </si>
  <si>
    <t>Fri, 07 Aug 2020 00:00:00 GMT</t>
  </si>
  <si>
    <t>Mon, 10 Aug 2020 00:00:00 GMT</t>
  </si>
  <si>
    <t>Tue, 11 Aug 2020 00:00:00 GMT</t>
  </si>
  <si>
    <t>Wed, 12 Aug 2020 00:00:00 GMT</t>
  </si>
  <si>
    <t>Thu, 13 Aug 2020 00:00:00 GMT</t>
  </si>
  <si>
    <t>Fri, 14 Aug 2020 00:00:00 GMT</t>
  </si>
  <si>
    <t>Mon, 17 Aug 2020 00:00:00 GMT</t>
  </si>
  <si>
    <t>Tue, 18 Aug 2020 00:00:00 GMT</t>
  </si>
  <si>
    <t>Wed, 19 Aug 2020 00:00:00 GMT</t>
  </si>
  <si>
    <t>Thu, 20 Aug 2020 00:00:00 GMT</t>
  </si>
  <si>
    <t>Fri, 21 Aug 2020 00:00:00 GMT</t>
  </si>
  <si>
    <t>Mon, 24 Aug 2020 00:00:00 GMT</t>
  </si>
  <si>
    <t>Tue, 25 Aug 2020 00:00:00 GMT</t>
  </si>
  <si>
    <t>Wed, 26 Aug 2020 00:00:00 GMT</t>
  </si>
  <si>
    <t>Thu, 27 Aug 2020 00:00:00 GMT</t>
  </si>
  <si>
    <t>Fri, 28 Aug 2020 00:00:00 GMT</t>
  </si>
  <si>
    <t>Mon, 31 Aug 2020 00:00:00 GMT</t>
  </si>
  <si>
    <t>Tue, 01 Sep 2020 00:00:00 GMT</t>
  </si>
  <si>
    <t>Wed, 02 Sep 2020 00:00:00 GMT</t>
  </si>
  <si>
    <t>Thu, 03 Sep 2020 00:00:00 GMT</t>
  </si>
  <si>
    <t>Fri, 04 Sep 2020 00:00:00 GMT</t>
  </si>
  <si>
    <t>Tue, 08 Sep 2020 00:00:00 GMT</t>
  </si>
  <si>
    <t>Wed, 09 Sep 2020 00:00:00 GMT</t>
  </si>
  <si>
    <t>Thu, 10 Sep 2020 00:00:00 GMT</t>
  </si>
  <si>
    <t>Fri, 11 Sep 2020 00:00:00 GMT</t>
  </si>
  <si>
    <t>Mon, 14 Sep 2020 00:00:00 GMT</t>
  </si>
  <si>
    <t>Tue, 15 Sep 2020 00:00:00 GMT</t>
  </si>
  <si>
    <t>Wed, 16 Sep 2020 00:00:00 GMT</t>
  </si>
  <si>
    <t>Thu, 17 Sep 2020 00:00:00 GMT</t>
  </si>
  <si>
    <t>Fri, 18 Sep 2020 00:00:00 GMT</t>
  </si>
  <si>
    <t>Mon, 21 Sep 2020 00:00:00 GMT</t>
  </si>
  <si>
    <t>Tue, 22 Sep 2020 00:00:00 GMT</t>
  </si>
  <si>
    <t>Wed, 23 Sep 2020 00:00:00 GMT</t>
  </si>
  <si>
    <t>Thu, 24 Sep 2020 00:00:00 GMT</t>
  </si>
  <si>
    <t>Fri, 25 Sep 2020 00:00:00 GMT</t>
  </si>
  <si>
    <t>Mon, 28 Sep 2020 00:00:00 GMT</t>
  </si>
  <si>
    <t>Tue, 29 Sep 2020 00:00:00 GMT</t>
  </si>
  <si>
    <t>Wed, 30 Sep 2020 00:00:00 GMT</t>
  </si>
  <si>
    <t>Thu, 01 Oct 2020 00:00:00 GMT</t>
  </si>
  <si>
    <t>Fri, 02 Oct 2020 00:00:00 GMT</t>
  </si>
  <si>
    <t>Mon, 05 Oct 2020 00:00:00 GMT</t>
  </si>
  <si>
    <t>Tue, 06 Oct 2020 00:00:00 GMT</t>
  </si>
  <si>
    <t>Wed, 07 Oct 2020 00:00:00 GMT</t>
  </si>
  <si>
    <t>Thu, 08 Oct 2020 00:00:00 GMT</t>
  </si>
  <si>
    <t>Fri, 09 Oct 2020 00:00:00 GMT</t>
  </si>
  <si>
    <t>Mon, 12 Oct 2020 00:00:00 GMT</t>
  </si>
  <si>
    <t>Tue, 13 Oct 2020 00:00:00 GMT</t>
  </si>
  <si>
    <t>Wed, 14 Oct 2020 00:00:00 GMT</t>
  </si>
  <si>
    <t>Thu, 15 Oct 2020 00:00:00 GMT</t>
  </si>
  <si>
    <t>Fri, 16 Oct 2020 00:00:00 GMT</t>
  </si>
  <si>
    <t>Mon, 19 Oct 2020 00:00:00 GMT</t>
  </si>
  <si>
    <t>Tue, 20 Oct 2020 00:00:00 GMT</t>
  </si>
  <si>
    <t>Wed, 21 Oct 2020 00:00:00 GMT</t>
  </si>
  <si>
    <t>Thu, 22 Oct 2020 00:00:00 GMT</t>
  </si>
  <si>
    <t>Fri, 23 Oct 2020 00:00:00 GMT</t>
  </si>
  <si>
    <t>Mon, 26 Oct 2020 00:00:00 GMT</t>
  </si>
  <si>
    <t>Tue, 27 Oct 2020 00:00:00 GMT</t>
  </si>
  <si>
    <t>Wed, 28 Oct 2020 00:00:00 GMT</t>
  </si>
  <si>
    <t>Thu, 29 Oct 2020 00:00:00 GMT</t>
  </si>
  <si>
    <t>Fri, 30 Oct 2020 00:00:00 GMT</t>
  </si>
  <si>
    <t>Mon, 02 Nov 2020 00:00:00 GMT</t>
  </si>
  <si>
    <t>Tue, 03 Nov 2020 00:00:00 GMT</t>
  </si>
  <si>
    <t>Wed, 04 Nov 2020 00:00:00 GMT</t>
  </si>
  <si>
    <t>Thu, 05 Nov 2020 00:00:00 GMT</t>
  </si>
  <si>
    <t>Fri, 06 Nov 2020 00:00:00 GMT</t>
  </si>
  <si>
    <t>Mon, 09 Nov 2020 00:00:00 GMT</t>
  </si>
  <si>
    <t>Tue, 10 Nov 2020 00:00:00 GMT</t>
  </si>
  <si>
    <t>Wed, 11 Nov 2020 00:00:00 GMT</t>
  </si>
  <si>
    <t>Thu, 12 Nov 2020 00:00:00 GMT</t>
  </si>
  <si>
    <t>Fri, 13 Nov 2020 00:00:00 GMT</t>
  </si>
  <si>
    <t>Mon, 16 Nov 2020 00:00:00 GMT</t>
  </si>
  <si>
    <t>Tue, 17 Nov 2020 00:00:00 GMT</t>
  </si>
  <si>
    <t>Wed, 18 Nov 2020 00:00:00 GMT</t>
  </si>
  <si>
    <t>Thu, 19 Nov 2020 00:00:00 GMT</t>
  </si>
  <si>
    <t>Fri, 20 Nov 2020 00:00:00 GMT</t>
  </si>
  <si>
    <t>Mon, 23 Nov 2020 00:00:00 GMT</t>
  </si>
  <si>
    <t>Tue, 24 Nov 2020 00:00:00 GMT</t>
  </si>
  <si>
    <t>Wed, 25 Nov 2020 00:00:00 GMT</t>
  </si>
  <si>
    <t>Fri, 27 Nov 2020 00:00:00 GMT</t>
  </si>
  <si>
    <t>Mon, 30 Nov 2020 00:00:00 GMT</t>
  </si>
  <si>
    <t>Tue, 01 Dec 2020 00:00:00 GMT</t>
  </si>
  <si>
    <t>Wed, 02 Dec 2020 00:00:00 GMT</t>
  </si>
  <si>
    <t>Thu, 03 Dec 2020 00:00:00 GMT</t>
  </si>
  <si>
    <t>Fri, 04 Dec 2020 00:00:00 GMT</t>
  </si>
  <si>
    <t>Mon, 07 Dec 2020 00:00:00 GMT</t>
  </si>
  <si>
    <t>Tue, 08 Dec 2020 00:00:00 GMT</t>
  </si>
  <si>
    <t>Wed, 09 Dec 2020 00:00:00 GMT</t>
  </si>
  <si>
    <t>Thu, 10 Dec 2020 00:00:00 GMT</t>
  </si>
  <si>
    <t>Fri, 11 Dec 2020 00:00:00 GMT</t>
  </si>
  <si>
    <t>Mon, 14 Dec 2020 00:00:00 GMT</t>
  </si>
  <si>
    <t>Tue, 15 Dec 2020 00:00:00 GMT</t>
  </si>
  <si>
    <t>Wed, 16 Dec 2020 00:00:00 GMT</t>
  </si>
  <si>
    <t>Thu, 17 Dec 2020 00:00:00 GMT</t>
  </si>
  <si>
    <t>Fri, 18 Dec 2020 00:00:00 GMT</t>
  </si>
  <si>
    <t>Mon, 21 Dec 2020 00:00:00 GMT</t>
  </si>
  <si>
    <t>Tue, 22 Dec 2020 00:00:00 GMT</t>
  </si>
  <si>
    <t>Wed, 23 Dec 2020 00:00:00 GMT</t>
  </si>
  <si>
    <t>Thu, 24 Dec 2020 00:00:00 GMT</t>
  </si>
  <si>
    <t>Mon, 28 Dec 2020 00:00:00 GMT</t>
  </si>
  <si>
    <t>Tue, 29 Dec 2020 00:00:00 GMT</t>
  </si>
  <si>
    <t>Wed, 30 Dec 2020 00:00:00 GMT</t>
  </si>
  <si>
    <t>Thu, 31 Dec 2020 00:00:00 GMT</t>
  </si>
  <si>
    <t>Mon, 04 Jan 2021 00:00:00 GMT</t>
  </si>
  <si>
    <t>Tue, 05 Jan 2021 00:00:00 GMT</t>
  </si>
  <si>
    <t>Wed, 06 Jan 2021 00:00:00 GMT</t>
  </si>
  <si>
    <t>Thu, 07 Jan 2021 00:00:00 GMT</t>
  </si>
  <si>
    <t>Fri, 08 Jan 2021 00:00:00 GMT</t>
  </si>
  <si>
    <t>Mon, 11 Jan 2021 00:00:00 GMT</t>
  </si>
  <si>
    <t>Tue, 12 Jan 2021 00:00:00 GMT</t>
  </si>
  <si>
    <t>Wed, 13 Jan 2021 00:00:00 GMT</t>
  </si>
  <si>
    <t>Thu, 14 Jan 2021 00:00:00 GMT</t>
  </si>
  <si>
    <t>Fri, 15 Jan 2021 00:00:00 GMT</t>
  </si>
  <si>
    <t>Tue, 19 Jan 2021 00:00:00 GMT</t>
  </si>
  <si>
    <t>Wed, 20 Jan 2021 00:00:00 GMT</t>
  </si>
  <si>
    <t>Thu, 21 Jan 2021 00:00:00 GMT</t>
  </si>
  <si>
    <t>Fri, 22 Jan 2021 00:00:00 GMT</t>
  </si>
  <si>
    <t>Mon, 25 Jan 2021 00:00:00 GMT</t>
  </si>
  <si>
    <t>Tue, 26 Jan 2021 00:00:00 GMT</t>
  </si>
  <si>
    <t>Wed, 27 Jan 2021 00:00:00 GMT</t>
  </si>
  <si>
    <t>Thu, 28 Jan 2021 00:00:00 GMT</t>
  </si>
  <si>
    <t>Fri, 29 Jan 2021 00:00:00 GMT</t>
  </si>
  <si>
    <t>Mon, 01 Feb 2021 00:00:00 GMT</t>
  </si>
  <si>
    <t>Tue, 02 Feb 2021 00:00:00 GMT</t>
  </si>
  <si>
    <t>Wed, 03 Feb 2021 00:00:00 GMT</t>
  </si>
  <si>
    <t>Thu, 04 Feb 2021 00:00:00 GMT</t>
  </si>
  <si>
    <t>Fri, 05 Feb 2021 00:00:00 GMT</t>
  </si>
  <si>
    <t>Mon, 08 Feb 2021 00:00:00 GMT</t>
  </si>
  <si>
    <t>Tue, 09 Feb 2021 00:00:00 GMT</t>
  </si>
  <si>
    <t>Wed, 10 Feb 2021 00:00:00 GMT</t>
  </si>
  <si>
    <t>Thu, 11 Feb 2021 00:00:00 GMT</t>
  </si>
  <si>
    <t>Fri, 12 Feb 2021 00:00:00 GMT</t>
  </si>
  <si>
    <t>Tue, 16 Feb 2021 00:00:00 GMT</t>
  </si>
  <si>
    <t>Wed, 17 Feb 2021 00:00:00 GMT</t>
  </si>
  <si>
    <t>Thu, 18 Feb 2021 00:00:00 GMT</t>
  </si>
  <si>
    <t>Fri, 19 Feb 2021 00:00:00 GMT</t>
  </si>
  <si>
    <t>Mon, 22 Feb 2021 00:00:00 GMT</t>
  </si>
  <si>
    <t>Tue, 23 Feb 2021 00:00:00 GMT</t>
  </si>
  <si>
    <t>Wed, 24 Feb 2021 00:00:00 GMT</t>
  </si>
  <si>
    <t>Thu, 25 Feb 2021 00:00:00 GMT</t>
  </si>
  <si>
    <t>Fri, 26 Feb 2021 00:00:00 GMT</t>
  </si>
  <si>
    <t>Mon, 01 Mar 2021 00:00:00 GMT</t>
  </si>
  <si>
    <t>Tue, 02 Mar 2021 00:00:00 GMT</t>
  </si>
  <si>
    <t>Wed, 03 Mar 2021 00:00:00 GMT</t>
  </si>
  <si>
    <t>Thu, 04 Mar 2021 00:00:00 GMT</t>
  </si>
  <si>
    <t>Fri, 05 Mar 2021 00:00:00 GMT</t>
  </si>
  <si>
    <t>Mon, 08 Mar 2021 00:00:00 GMT</t>
  </si>
  <si>
    <t>Tue, 09 Mar 2021 00:00:00 GMT</t>
  </si>
  <si>
    <t>Wed, 10 Mar 2021 00:00:00 GMT</t>
  </si>
  <si>
    <t>Thu, 11 Mar 2021 00:00:00 GMT</t>
  </si>
  <si>
    <t>Fri, 12 Mar 2021 00:00:00 GMT</t>
  </si>
  <si>
    <t>Mon, 15 Mar 2021 00:00:00 GMT</t>
  </si>
  <si>
    <t>Tue, 16 Mar 2021 00:00:00 GMT</t>
  </si>
  <si>
    <t>Wed, 17 Mar 2021 00:00:00 GMT</t>
  </si>
  <si>
    <t>Thu, 18 Mar 2021 00:00:00 GMT</t>
  </si>
  <si>
    <t>Fri, 19 Mar 2021 00:00:00 GMT</t>
  </si>
  <si>
    <t>Mon, 22 Mar 2021 00:00:00 GMT</t>
  </si>
  <si>
    <t>Tue, 23 Mar 2021 00:00:00 GMT</t>
  </si>
  <si>
    <t>Wed, 24 Mar 2021 00:00:00 GMT</t>
  </si>
  <si>
    <t>Thu, 25 Mar 2021 00:00:00 GMT</t>
  </si>
  <si>
    <t>Fri, 26 Mar 2021 00:00:00 GMT</t>
  </si>
  <si>
    <t>Mon, 29 Mar 2021 00:00:00 GMT</t>
  </si>
  <si>
    <t>Tue, 30 Mar 2021 00:00:00 GMT</t>
  </si>
  <si>
    <t>Wed, 31 Mar 2021 00:00:00 GMT</t>
  </si>
  <si>
    <t>Thu, 01 Apr 2021 00:00:00 GMT</t>
  </si>
  <si>
    <t>Mon, 05 Apr 2021 00:00:00 GMT</t>
  </si>
  <si>
    <t>Tue, 06 Apr 2021 00:00:00 GMT</t>
  </si>
  <si>
    <t>Wed, 07 Apr 2021 00:00:00 GMT</t>
  </si>
  <si>
    <t>Thu, 08 Apr 2021 00:00:00 GMT</t>
  </si>
  <si>
    <t>Fri, 09 Apr 2021 00:00:00 GMT</t>
  </si>
  <si>
    <t>Mon, 12 Apr 2021 00:00:00 GMT</t>
  </si>
  <si>
    <t>Tue, 13 Apr 2021 00:00:00 GMT</t>
  </si>
  <si>
    <t>Wed, 14 Apr 2021 00:00:00 GMT</t>
  </si>
  <si>
    <t>Thu, 15 Apr 2021 00:00:00 GMT</t>
  </si>
  <si>
    <t>Fri, 16 Apr 2021 00:00:00 GMT</t>
  </si>
  <si>
    <t>Mon, 19 Apr 2021 00:00:00 GMT</t>
  </si>
  <si>
    <t>Tue, 20 Apr 2021 00:00:00 GMT</t>
  </si>
  <si>
    <t>Wed, 21 Apr 2021 00:00:00 GMT</t>
  </si>
  <si>
    <t>Thu, 22 Apr 2021 00:00:00 GMT</t>
  </si>
  <si>
    <t>Fri, 23 Apr 2021 00:00:00 GMT</t>
  </si>
  <si>
    <t>Mon, 26 Apr 2021 00:00:00 GMT</t>
  </si>
  <si>
    <t>Tue, 27 Apr 2021 00:00:00 GMT</t>
  </si>
  <si>
    <t>Wed, 28 Apr 2021 00:00:00 GMT</t>
  </si>
  <si>
    <t>Thu, 29 Apr 2021 00:00:00 GMT</t>
  </si>
  <si>
    <t>Fri, 30 Apr 2021 00:00:00 GMT</t>
  </si>
  <si>
    <t>Mon, 03 May 2021 00:00:00 GMT</t>
  </si>
  <si>
    <t>Tue, 04 May 2021 00:00:00 GMT</t>
  </si>
  <si>
    <t>Wed, 05 May 2021 00:00:00 GMT</t>
  </si>
  <si>
    <t>Thu, 06 May 2021 00:00:00 GMT</t>
  </si>
  <si>
    <t>Fri, 07 May 2021 00:00:00 GMT</t>
  </si>
  <si>
    <t>Mon, 10 May 2021 00:00:00 GMT</t>
  </si>
  <si>
    <t>Tue, 11 May 2021 00:00:00 GMT</t>
  </si>
  <si>
    <t>Wed, 12 May 2021 00:00:00 GMT</t>
  </si>
  <si>
    <t>Thu, 13 May 2021 00:00:00 GMT</t>
  </si>
  <si>
    <t>Fri, 14 May 2021 00:00:00 GMT</t>
  </si>
  <si>
    <t>Mon, 17 May 2021 00:00:00 GMT</t>
  </si>
  <si>
    <t>Tue, 18 May 2021 00:00:00 GMT</t>
  </si>
  <si>
    <t>Wed, 19 May 2021 00:00:00 GMT</t>
  </si>
  <si>
    <t>Thu, 20 May 2021 00:00:00 GMT</t>
  </si>
  <si>
    <t>Fri, 21 May 2021 00:00:00 GMT</t>
  </si>
  <si>
    <t>Mon, 24 May 2021 00:00:00 GMT</t>
  </si>
  <si>
    <t>Tue, 25 May 2021 00:00:00 GMT</t>
  </si>
  <si>
    <t>Wed, 26 May 2021 00:00:00 GMT</t>
  </si>
  <si>
    <t>Thu, 27 May 2021 00:00:00 GMT</t>
  </si>
  <si>
    <t>Fri, 28 May 2021 00:00:00 GMT</t>
  </si>
  <si>
    <t>Tue, 01 Jun 2021 00:00:00 GMT</t>
  </si>
  <si>
    <t>Wed, 02 Jun 2021 00:00:00 GMT</t>
  </si>
  <si>
    <t>Thu, 03 Jun 2021 00:00:00 GMT</t>
  </si>
  <si>
    <t>Fri, 04 Jun 2021 00:00:00 GMT</t>
  </si>
  <si>
    <t>Mon, 07 Jun 2021 00:00:00 GMT</t>
  </si>
  <si>
    <t>Tue, 08 Jun 2021 00:00:00 GMT</t>
  </si>
  <si>
    <t>Wed, 09 Jun 2021 00:00:00 GMT</t>
  </si>
  <si>
    <t>Thu, 10 Jun 2021 00:00:00 GMT</t>
  </si>
  <si>
    <t>Fri, 11 Jun 2021 00:00:00 GMT</t>
  </si>
  <si>
    <t>Mon, 14 Jun 2021 00:00:00 GMT</t>
  </si>
  <si>
    <t>Tue, 15 Jun 2021 00:00:00 GMT</t>
  </si>
  <si>
    <t>Wed, 16 Jun 2021 00:00:00 GMT</t>
  </si>
  <si>
    <t>Thu, 17 Jun 2021 00:00:00 GMT</t>
  </si>
  <si>
    <t>Fri, 18 Jun 2021 00:00:00 GMT</t>
  </si>
  <si>
    <t>Mon, 21 Jun 2021 00:00:00 GMT</t>
  </si>
  <si>
    <t>Tue, 22 Jun 2021 00:00:00 GMT</t>
  </si>
  <si>
    <t>Wed, 23 Jun 2021 00:00:00 GMT</t>
  </si>
  <si>
    <t>Thu, 24 Jun 2021 00:00:00 GMT</t>
  </si>
  <si>
    <t>Fri, 25 Jun 2021 00:00:00 GMT</t>
  </si>
  <si>
    <t>Mon, 28 Jun 2021 00:00:00 GMT</t>
  </si>
  <si>
    <t>Tue, 29 Jun 2021 00:00:00 GMT</t>
  </si>
  <si>
    <t>Wed, 30 Jun 2021 00:00:00 GMT</t>
  </si>
  <si>
    <t>Thu, 01 Jul 2021 00:00:00 GMT</t>
  </si>
  <si>
    <t>Fri, 02 Jul 2021 00:00:00 GMT</t>
  </si>
  <si>
    <t>Tue, 06 Jul 2021 00:00:00 GMT</t>
  </si>
  <si>
    <t>Wed, 07 Jul 2021 00:00:00 GMT</t>
  </si>
  <si>
    <t>Thu, 08 Jul 2021 00:00:00 GMT</t>
  </si>
  <si>
    <t>Fri, 09 Jul 2021 00:00:00 GMT</t>
  </si>
  <si>
    <t>Mon, 12 Jul 2021 00:00:00 GMT</t>
  </si>
  <si>
    <t>Tue, 13 Jul 2021 00:00:00 GMT</t>
  </si>
  <si>
    <t>Wed, 14 Jul 2021 00:00:00 GMT</t>
  </si>
  <si>
    <t>Thu, 15 Jul 2021 00:00:00 GMT</t>
  </si>
  <si>
    <t>Fri, 16 Jul 2021 00:00:00 GMT</t>
  </si>
  <si>
    <t>Mon, 19 Jul 2021 00:00:00 GMT</t>
  </si>
  <si>
    <t>Tue, 20 Jul 2021 00:00:00 GMT</t>
  </si>
  <si>
    <t>Wed, 21 Jul 2021 00:00:00 GMT</t>
  </si>
  <si>
    <t>Thu, 22 Jul 2021 00:00:00 GMT</t>
  </si>
  <si>
    <t>Fri, 23 Jul 2021 00:00:00 GMT</t>
  </si>
  <si>
    <t>Mon, 26 Jul 2021 00:00:00 GMT</t>
  </si>
  <si>
    <t>Tue, 27 Jul 2021 00:00:00 GMT</t>
  </si>
  <si>
    <t>Wed, 28 Jul 2021 00:00:00 GMT</t>
  </si>
  <si>
    <t>Thu, 29 Jul 2021 00:00:00 GMT</t>
  </si>
  <si>
    <t>Fri, 30 Jul 2021 00:00:00 GMT</t>
  </si>
  <si>
    <t>Mon, 02 Aug 2021 00:00:00 GMT</t>
  </si>
  <si>
    <t>Tue, 03 Aug 2021 00:00:00 GMT</t>
  </si>
  <si>
    <t>Wed, 04 Aug 2021 00:00:00 GMT</t>
  </si>
  <si>
    <t>Thu, 05 Aug 2021 00:00:00 GMT</t>
  </si>
  <si>
    <t>Fri, 06 Aug 2021 00:00:00 GMT</t>
  </si>
  <si>
    <t>Mon, 09 Aug 2021 00:00:00 GMT</t>
  </si>
  <si>
    <t>Tue, 10 Aug 2021 00:00:00 GMT</t>
  </si>
  <si>
    <t>Wed, 11 Aug 2021 00:00:00 GMT</t>
  </si>
  <si>
    <t>Thu, 12 Aug 2021 00:00:00 GMT</t>
  </si>
  <si>
    <t>Fri, 13 Aug 2021 00:00:00 GMT</t>
  </si>
  <si>
    <t>Mon, 16 Aug 2021 00:00:00 GMT</t>
  </si>
  <si>
    <t>Tue, 17 Aug 2021 00:00:00 GMT</t>
  </si>
  <si>
    <t>Wed, 18 Aug 2021 00:00:00 GMT</t>
  </si>
  <si>
    <t>Thu, 19 Aug 2021 00:00:00 GMT</t>
  </si>
  <si>
    <t>Fri, 20 Aug 2021 00:00:00 GMT</t>
  </si>
  <si>
    <t>Mon, 23 Aug 2021 00:00:00 GMT</t>
  </si>
  <si>
    <t>Tue, 24 Aug 2021 00:00:00 GMT</t>
  </si>
  <si>
    <t>Wed, 25 Aug 2021 00:00:00 GMT</t>
  </si>
  <si>
    <t>Thu, 26 Aug 2021 00:00:00 GMT</t>
  </si>
  <si>
    <t>Fri, 27 Aug 2021 00:00:00 GMT</t>
  </si>
  <si>
    <t>Mon, 30 Aug 2021 00:00:00 GMT</t>
  </si>
  <si>
    <t>Tue, 31 Aug 2021 00:00:00 GMT</t>
  </si>
  <si>
    <t>Wed, 01 Sep 2021 00:00:00 GMT</t>
  </si>
  <si>
    <t>Thu, 02 Sep 2021 00:00:00 GMT</t>
  </si>
  <si>
    <t>Fri, 03 Sep 2021 00:00:00 GMT</t>
  </si>
  <si>
    <t>Tue, 07 Sep 2021 00:00:00 GMT</t>
  </si>
  <si>
    <t>Wed, 08 Sep 2021 00:00:00 GMT</t>
  </si>
  <si>
    <t>Thu, 09 Sep 2021 00:00:00 GMT</t>
  </si>
  <si>
    <t>Fri, 10 Sep 2021 00:00:00 GMT</t>
  </si>
  <si>
    <t>Mon, 13 Sep 2021 00:00:00 GMT</t>
  </si>
  <si>
    <t>Tue, 14 Sep 2021 00:00:00 GMT</t>
  </si>
  <si>
    <t>Wed, 15 Sep 2021 00:00:00 GMT</t>
  </si>
  <si>
    <t>Thu, 16 Sep 2021 00:00:00 GMT</t>
  </si>
  <si>
    <t>Fri, 17 Sep 2021 00:00:00 GMT</t>
  </si>
  <si>
    <t>Mon, 20 Sep 2021 00:00:00 GMT</t>
  </si>
  <si>
    <t>Tue, 21 Sep 2021 00:00:00 GMT</t>
  </si>
  <si>
    <t>Wed, 22 Sep 2021 00:00:00 GMT</t>
  </si>
  <si>
    <t>Thu, 23 Sep 2021 00:00:00 GMT</t>
  </si>
  <si>
    <t>Fri, 24 Sep 2021 00:00:00 GMT</t>
  </si>
  <si>
    <t>Mon, 27 Sep 2021 00:00:00 GMT</t>
  </si>
  <si>
    <t>Tue, 28 Sep 2021 00:00:00 GMT</t>
  </si>
  <si>
    <t>Wed, 29 Sep 2021 00:00:00 GMT</t>
  </si>
  <si>
    <t>Thu, 30 Sep 2021 00:00:00 GMT</t>
  </si>
  <si>
    <t>Fri, 01 Oct 2021 00:00:00 GMT</t>
  </si>
  <si>
    <t>Mon, 04 Oct 2021 00:00:00 GMT</t>
  </si>
  <si>
    <t>Tue, 05 Oct 2021 00:00:00 GMT</t>
  </si>
  <si>
    <t>Wed, 06 Oct 2021 00:00:00 GMT</t>
  </si>
  <si>
    <t>Thu, 07 Oct 2021 00:00:00 GMT</t>
  </si>
  <si>
    <t>Fri, 08 Oct 2021 00:00:00 GMT</t>
  </si>
  <si>
    <t>Mon, 11 Oct 2021 00:00:00 GMT</t>
  </si>
  <si>
    <t>Tue, 12 Oct 2021 00:00:00 GMT</t>
  </si>
  <si>
    <t>Wed, 13 Oct 2021 00:00:00 GMT</t>
  </si>
  <si>
    <t>Thu, 14 Oct 2021 00:00:00 GMT</t>
  </si>
  <si>
    <t>Fri, 15 Oct 2021 00:00:00 GMT</t>
  </si>
  <si>
    <t>Mon, 18 Oct 2021 00:00:00 GMT</t>
  </si>
  <si>
    <t>Tue, 19 Oct 2021 00:00:00 GMT</t>
  </si>
  <si>
    <t>Wed, 20 Oct 2021 00:00:00 GMT</t>
  </si>
  <si>
    <t>Thu, 21 Oct 2021 00:00:00 GMT</t>
  </si>
  <si>
    <t>Fri, 22 Oct 2021 00:00:00 GMT</t>
  </si>
  <si>
    <t>Mon, 25 Oct 2021 00:00:00 GMT</t>
  </si>
  <si>
    <t>Tue, 26 Oct 2021 00:00:00 GMT</t>
  </si>
  <si>
    <t>Wed, 27 Oct 2021 00:00:00 GMT</t>
  </si>
  <si>
    <t>Thu, 28 Oct 2021 00:00:00 GMT</t>
  </si>
  <si>
    <t>Fri, 29 Oct 2021 00:00:00 GMT</t>
  </si>
  <si>
    <t>Mon, 01 Nov 2021 00:00:00 GMT</t>
  </si>
  <si>
    <t>Tue, 02 Nov 2021 00:00:00 GMT</t>
  </si>
  <si>
    <t>Wed, 03 Nov 2021 00:00:00 GMT</t>
  </si>
  <si>
    <t>Thu, 04 Nov 2021 00:00:00 GMT</t>
  </si>
  <si>
    <t>Fri, 05 Nov 2021 00:00:00 GMT</t>
  </si>
  <si>
    <t>Mon, 08 Nov 2021 00:00:00 GMT</t>
  </si>
  <si>
    <t>Tue, 09 Nov 2021 00:00:00 GMT</t>
  </si>
  <si>
    <t>Wed, 10 Nov 2021 00:00:00 GMT</t>
  </si>
  <si>
    <t>Thu, 11 Nov 2021 00:00:00 GMT</t>
  </si>
  <si>
    <t>Fri, 12 Nov 2021 00:00:00 GMT</t>
  </si>
  <si>
    <t>Mon, 15 Nov 2021 00:00:00 GMT</t>
  </si>
  <si>
    <t>Tue, 16 Nov 2021 00:00:00 GMT</t>
  </si>
  <si>
    <t>Wed, 17 Nov 2021 00:00:00 GMT</t>
  </si>
  <si>
    <t>Thu, 18 Nov 2021 00:00:00 GMT</t>
  </si>
  <si>
    <t>Fri, 19 Nov 2021 00:00:00 GMT</t>
  </si>
  <si>
    <t>Mon, 22 Nov 2021 00:00:00 GMT</t>
  </si>
  <si>
    <t>Tue, 23 Nov 2021 00:00:00 GMT</t>
  </si>
  <si>
    <t>Wed, 24 Nov 2021 00:00:00 GMT</t>
  </si>
  <si>
    <t>Fri, 26 Nov 2021 00:00:00 GMT</t>
  </si>
  <si>
    <t>Mon, 29 Nov 2021 00:00:00 GMT</t>
  </si>
  <si>
    <t>Tue, 30 Nov 2021 00:00:00 GMT</t>
  </si>
  <si>
    <t>Wed, 01 Dec 2021 00:00:00 GMT</t>
  </si>
  <si>
    <t>Thu, 02 Dec 2021 00:00:00 GMT</t>
  </si>
  <si>
    <t>Fri, 03 Dec 2021 00:00:00 GMT</t>
  </si>
  <si>
    <t>Mon, 06 Dec 2021 00:00:00 GMT</t>
  </si>
  <si>
    <t>Tue, 07 Dec 2021 00:00:00 GMT</t>
  </si>
  <si>
    <t>Wed, 08 Dec 2021 00:00:00 GMT</t>
  </si>
  <si>
    <t>Thu, 09 Dec 2021 00:00:00 GMT</t>
  </si>
  <si>
    <t>Fri, 10 Dec 2021 00:00:00 GMT</t>
  </si>
  <si>
    <t>Mon, 13 Dec 2021 00:00:00 GMT</t>
  </si>
  <si>
    <t>Tue, 14 Dec 2021 00:00:00 GMT</t>
  </si>
  <si>
    <t>Wed, 15 Dec 2021 00:00:00 GMT</t>
  </si>
  <si>
    <t>Thu, 16 Dec 2021 00:00:00 GMT</t>
  </si>
  <si>
    <t>Fri, 17 Dec 2021 00:00:00 GMT</t>
  </si>
  <si>
    <t>Mon, 20 Dec 2021 00:00:00 GMT</t>
  </si>
  <si>
    <t>Tue, 21 Dec 2021 00:00:00 GMT</t>
  </si>
  <si>
    <t>Wed, 22 Dec 2021 00:00:00 GMT</t>
  </si>
  <si>
    <t>Thu, 23 Dec 2021 00:00:00 GMT</t>
  </si>
  <si>
    <t>Mon, 27 Dec 2021 00:00:00 GMT</t>
  </si>
  <si>
    <t>Tue, 28 Dec 2021 00:00:00 GMT</t>
  </si>
  <si>
    <t>Wed, 29 Dec 2021 00:00:00 GMT</t>
  </si>
  <si>
    <t>Thu, 30 Dec 2021 00:00:00 GMT</t>
  </si>
  <si>
    <t>Fri, 31 Dec 2021 00:00:00 GMT</t>
  </si>
  <si>
    <t>Mon, 03 Jan 2022 00:00:00 GMT</t>
  </si>
  <si>
    <t>Tue, 04 Jan 2022 00:00:00 GMT</t>
  </si>
  <si>
    <t>Wed, 05 Jan 2022 00:00:00 GMT</t>
  </si>
  <si>
    <t>Thu, 06 Jan 2022 00:00:00 GMT</t>
  </si>
  <si>
    <t>Fri, 07 Jan 2022 00:00:00 GMT</t>
  </si>
  <si>
    <t>Mon, 10 Jan 2022 00:00:00 GMT</t>
  </si>
  <si>
    <t>Tue, 11 Jan 2022 00:00:00 GMT</t>
  </si>
  <si>
    <t>Wed, 12 Jan 2022 00:00:00 GMT</t>
  </si>
  <si>
    <t>Thu, 13 Jan 2022 00:00:00 GMT</t>
  </si>
  <si>
    <t>Fri, 14 Jan 2022 00:00:00 GMT</t>
  </si>
  <si>
    <t>Tue, 18 Jan 2022 00:00:00 GMT</t>
  </si>
  <si>
    <t>Wed, 19 Jan 2022 00:00:00 GMT</t>
  </si>
  <si>
    <t>Thu, 20 Jan 2022 00:00:00 GMT</t>
  </si>
  <si>
    <t>Fri, 21 Jan 2022 00:00:00 GMT</t>
  </si>
  <si>
    <t>Mon, 24 Jan 2022 00:00:00 GMT</t>
  </si>
  <si>
    <t>Tue, 25 Jan 2022 00:00:00 GMT</t>
  </si>
  <si>
    <t>Wed, 26 Jan 2022 00:00:00 GMT</t>
  </si>
  <si>
    <t>Thu, 27 Jan 2022 00:00:00 GMT</t>
  </si>
  <si>
    <t>Fri, 28 Jan 2022 00:00:00 GMT</t>
  </si>
  <si>
    <t>Mon, 31 Jan 2022 00:00:00 GMT</t>
  </si>
  <si>
    <t>Tue, 01 Feb 2022 00:00:00 GMT</t>
  </si>
  <si>
    <t>Wed, 02 Feb 2022 00:00:00 GMT</t>
  </si>
  <si>
    <t>Thu, 03 Feb 2022 00:00:00 GMT</t>
  </si>
  <si>
    <t>Fri, 04 Feb 2022 00:00:00 GMT</t>
  </si>
  <si>
    <t>Mon, 07 Feb 2022 00:00:00 GMT</t>
  </si>
  <si>
    <t>Tue, 08 Feb 2022 00:00:00 GMT</t>
  </si>
  <si>
    <t>Wed, 09 Feb 2022 00:00:00 GMT</t>
  </si>
  <si>
    <t>Thu, 10 Feb 2022 00:00:00 GMT</t>
  </si>
  <si>
    <t>Fri, 11 Feb 2022 00:00:00 GMT</t>
  </si>
  <si>
    <t>Mon, 14 Feb 2022 00:00:00 GMT</t>
  </si>
  <si>
    <t>Tue, 15 Feb 2022 00:00:00 GMT</t>
  </si>
  <si>
    <t>Wed, 16 Feb 2022 00:00:00 GMT</t>
  </si>
  <si>
    <t>Thu, 17 Feb 2022 00:00:00 GMT</t>
  </si>
  <si>
    <t>Fri, 18 Feb 2022 00:00:00 GMT</t>
  </si>
  <si>
    <t>Tue, 22 Feb 2022 00:00:00 GMT</t>
  </si>
  <si>
    <t>Wed, 23 Feb 2022 00:00:00 GMT</t>
  </si>
  <si>
    <t>Thu, 24 Feb 2022 00:00:00 GMT</t>
  </si>
  <si>
    <t>Fri, 25 Feb 2022 00:00:00 GMT</t>
  </si>
  <si>
    <t>Mon, 28 Feb 2022 00:00:00 GMT</t>
  </si>
  <si>
    <t>Tue, 01 Mar 2022 00:00:00 GMT</t>
  </si>
  <si>
    <t>Wed, 02 Mar 2022 00:00:00 GMT</t>
  </si>
  <si>
    <t>Thu, 03 Mar 2022 00:00:00 GMT</t>
  </si>
  <si>
    <t>Fri, 04 Mar 2022 00:00:00 GMT</t>
  </si>
  <si>
    <t>Mon, 07 Mar 2022 00:00:00 GMT</t>
  </si>
  <si>
    <t>Tue, 08 Mar 2022 00:00:00 GMT</t>
  </si>
  <si>
    <t>Wed, 09 Mar 2022 00:00:00 GMT</t>
  </si>
  <si>
    <t>Thu, 10 Mar 2022 00:00:00 GMT</t>
  </si>
  <si>
    <t>Fri, 11 Mar 2022 00:00:00 GMT</t>
  </si>
  <si>
    <t>Mon, 14 Mar 2022 00:00:00 GMT</t>
  </si>
  <si>
    <t>Tue, 15 Mar 2022 00:00:00 GMT</t>
  </si>
  <si>
    <t>Wed, 16 Mar 2022 00:00:00 GMT</t>
  </si>
  <si>
    <t>Thu, 17 Mar 2022 00:00:00 GMT</t>
  </si>
  <si>
    <t>Fri, 18 Mar 2022 00:00:00 GMT</t>
  </si>
  <si>
    <t>Mon, 21 Mar 2022 00:00:00 GMT</t>
  </si>
  <si>
    <t>Tue, 22 Mar 2022 00:00:00 GMT</t>
  </si>
  <si>
    <t>Wed, 23 Mar 2022 00:00:00 GMT</t>
  </si>
  <si>
    <t>Thu, 24 Mar 2022 00:00:00 GMT</t>
  </si>
  <si>
    <t>Fri, 25 Mar 2022 00:00:00 GMT</t>
  </si>
  <si>
    <t>Mon, 28 Mar 2022 00:00:00 GMT</t>
  </si>
  <si>
    <t>Tue, 29 Mar 2022 00:00:00 GMT</t>
  </si>
  <si>
    <t>Wed, 30 Mar 2022 00:00:00 GMT</t>
  </si>
  <si>
    <t>Thu, 31 Mar 2022 00:00:00 GMT</t>
  </si>
  <si>
    <t>Fri, 01 Apr 2022 00:00:00 GMT</t>
  </si>
  <si>
    <t>Mon, 04 Apr 2022 00:00:00 GMT</t>
  </si>
  <si>
    <t>Tue, 05 Apr 2022 00:00:00 GMT</t>
  </si>
  <si>
    <t>Wed, 06 Apr 2022 00:00:00 GMT</t>
  </si>
  <si>
    <t>Thu, 07 Apr 2022 00:00:00 GMT</t>
  </si>
  <si>
    <t>Fri, 08 Apr 2022 00:00:00 GMT</t>
  </si>
  <si>
    <t>Mon, 11 Apr 2022 00:00:00 GMT</t>
  </si>
  <si>
    <t>Tue, 12 Apr 2022 00:00:00 GMT</t>
  </si>
  <si>
    <t>Wed, 13 Apr 2022 00:00:00 GMT</t>
  </si>
  <si>
    <t>Thu, 14 Apr 2022 00:00:00 GMT</t>
  </si>
  <si>
    <t>Mon, 18 Apr 2022 00:00:00 GMT</t>
  </si>
  <si>
    <t>Tue, 19 Apr 2022 00:00:00 GMT</t>
  </si>
  <si>
    <t>Wed, 20 Apr 2022 00:00:00 GMT</t>
  </si>
  <si>
    <t>Thu, 21 Apr 2022 00:00:00 GMT</t>
  </si>
  <si>
    <t>Fri, 22 Apr 2022 00:00:00 GMT</t>
  </si>
  <si>
    <t>Mon, 25 Apr 2022 00:00:00 GMT</t>
  </si>
  <si>
    <t>Tue, 26 Apr 2022 00:00:00 GMT</t>
  </si>
  <si>
    <t>Wed, 27 Apr 2022 00:00:00 GMT</t>
  </si>
  <si>
    <t>Thu, 28 Apr 2022 00:00:00 GMT</t>
  </si>
  <si>
    <t>Fri, 29 Apr 2022 00:00:00 GMT</t>
  </si>
  <si>
    <t>Mon, 02 May 2022 00:00:00 GMT</t>
  </si>
  <si>
    <t>Tue, 03 May 2022 00:00:00 GMT</t>
  </si>
  <si>
    <t>Wed, 04 May 2022 00:00:00 GMT</t>
  </si>
  <si>
    <t>Thu, 05 May 2022 00:00:00 GMT</t>
  </si>
  <si>
    <t>Fri, 06 May 2022 00:00:00 GMT</t>
  </si>
  <si>
    <t>Mon, 09 May 2022 00:00:00 GMT</t>
  </si>
  <si>
    <t>Tue, 10 May 2022 00:00:00 GMT</t>
  </si>
  <si>
    <t>Wed, 11 May 2022 00:00:00 GMT</t>
  </si>
  <si>
    <t>Thu, 12 May 2022 00:00:00 GMT</t>
  </si>
  <si>
    <t>Fri, 13 May 2022 00:00:00 GMT</t>
  </si>
  <si>
    <t>Mon, 16 May 2022 00:00:00 GMT</t>
  </si>
  <si>
    <t>Tue, 17 May 2022 00:00:00 GMT</t>
  </si>
  <si>
    <t>Wed, 18 May 2022 00:00:00 GMT</t>
  </si>
  <si>
    <t>Thu, 19 May 2022 00:00:00 GMT</t>
  </si>
  <si>
    <t>Fri, 20 May 2022 00:00:00 GMT</t>
  </si>
  <si>
    <t>Mon, 23 May 2022 00:00:00 GMT</t>
  </si>
  <si>
    <t>Tue, 24 May 2022 00:00:00 GMT</t>
  </si>
  <si>
    <t>Wed, 25 May 2022 00:00:00 GMT</t>
  </si>
  <si>
    <t>Thu, 26 May 2022 00:00:00 GMT</t>
  </si>
  <si>
    <t>Fri, 27 May 2022 00:00:00 GMT</t>
  </si>
  <si>
    <t>Tue, 31 May 2022 00:00:00 GMT</t>
  </si>
  <si>
    <t>Wed, 01 Jun 2022 00:00:00 GMT</t>
  </si>
  <si>
    <t>Thu, 02 Jun 2022 00:00:00 GMT</t>
  </si>
  <si>
    <t>Fri, 03 Jun 2022 00:00:00 GMT</t>
  </si>
  <si>
    <t>Mon, 06 Jun 2022 00:00:00 GMT</t>
  </si>
  <si>
    <t>Tue, 07 Jun 2022 00:00:00 GMT</t>
  </si>
  <si>
    <t>Wed, 08 Jun 2022 00:00:00 GMT</t>
  </si>
  <si>
    <t>Thu, 09 Jun 2022 00:00:00 GMT</t>
  </si>
  <si>
    <t>Fri, 10 Jun 2022 00:00:00 GMT</t>
  </si>
  <si>
    <t>Mon, 13 Jun 2022 00:00:00 GMT</t>
  </si>
  <si>
    <t>Tue, 14 Jun 2022 00:00:00 GMT</t>
  </si>
  <si>
    <t>Wed, 15 Jun 2022 00:00:00 GMT</t>
  </si>
  <si>
    <t>Thu, 16 Jun 2022 00:00:00 GMT</t>
  </si>
  <si>
    <t>Fri, 17 Jun 2022 00:00:00 GMT</t>
  </si>
  <si>
    <t>Tue, 21 Jun 2022 00:00:00 GMT</t>
  </si>
  <si>
    <t>Wed, 22 Jun 2022 00:00:00 GMT</t>
  </si>
  <si>
    <t>Thu, 23 Jun 2022 00:00:00 GMT</t>
  </si>
  <si>
    <t>Fri, 24 Jun 2022 00:00:00 GMT</t>
  </si>
  <si>
    <t>Mon, 27 Jun 2022 00:00:00 GMT</t>
  </si>
  <si>
    <t>Tue, 28 Jun 2022 00:00:00 GMT</t>
  </si>
  <si>
    <t>Wed, 29 Jun 2022 00:00:00 GMT</t>
  </si>
  <si>
    <t>Thu, 30 Jun 2022 00:00:00 GMT</t>
  </si>
  <si>
    <t>Fri, 01 Jul 2022 00:00:00 GMT</t>
  </si>
  <si>
    <t>Tue, 05 Jul 2022 00:00:00 GMT</t>
  </si>
  <si>
    <t>Wed, 06 Jul 2022 00:00:00 GMT</t>
  </si>
  <si>
    <t>Thu, 07 Jul 2022 00:00:00 GMT</t>
  </si>
  <si>
    <t>Fri, 08 Jul 2022 00:00:00 GMT</t>
  </si>
  <si>
    <t>Mon, 11 Jul 2022 00:00:00 GMT</t>
  </si>
  <si>
    <t>Tue, 12 Jul 2022 00:00:00 GMT</t>
  </si>
  <si>
    <t>Wed, 13 Jul 2022 00:00:00 GMT</t>
  </si>
  <si>
    <t>Thu, 14 Jul 2022 00:00:00 GMT</t>
  </si>
  <si>
    <t>Fri, 15 Jul 2022 00:00:00 GMT</t>
  </si>
  <si>
    <t>Mon, 18 Jul 2022 00:00:00 GMT</t>
  </si>
  <si>
    <t>Tue, 19 Jul 2022 00:00:00 GMT</t>
  </si>
  <si>
    <t>Wed, 20 Jul 2022 00:00:00 GMT</t>
  </si>
  <si>
    <t>Thu, 21 Jul 2022 00:00:00 GMT</t>
  </si>
  <si>
    <t>Fri, 22 Jul 2022 00:00:00 GMT</t>
  </si>
  <si>
    <t>Mon, 25 Jul 2022 00:00:00 GMT</t>
  </si>
  <si>
    <t>Tue, 26 Jul 2022 00:00:00 GMT</t>
  </si>
  <si>
    <t>Wed, 27 Jul 2022 00:00:00 GMT</t>
  </si>
  <si>
    <t>Thu, 28 Jul 2022 00:00:00 GMT</t>
  </si>
  <si>
    <t>Fri, 29 Jul 2022 00:00:00 GMT</t>
  </si>
  <si>
    <t>Mon, 01 Aug 2022 00:00:00 GMT</t>
  </si>
  <si>
    <t>Tue, 02 Aug 2022 00:00:00 GMT</t>
  </si>
  <si>
    <t>Wed, 03 Aug 2022 00:00:00 GMT</t>
  </si>
  <si>
    <t>Thu, 04 Aug 2022 00:00:00 GMT</t>
  </si>
  <si>
    <t>Fri, 05 Aug 2022 00:00:00 GMT</t>
  </si>
  <si>
    <t>Mon, 08 Aug 2022 00:00:00 GMT</t>
  </si>
  <si>
    <t>Tue, 09 Aug 2022 00:00:00 GMT</t>
  </si>
  <si>
    <t>Wed, 10 Aug 2022 00:00:00 GMT</t>
  </si>
  <si>
    <t>Thu, 11 Aug 2022 00:00:00 GMT</t>
  </si>
  <si>
    <t>Fri, 12 Aug 2022 00:00:00 GMT</t>
  </si>
  <si>
    <t>Mon, 15 Aug 2022 00:00:00 GMT</t>
  </si>
  <si>
    <t>Tue, 16 Aug 2022 00:00:00 GMT</t>
  </si>
  <si>
    <t>Wed, 17 Aug 2022 00:00:00 GMT</t>
  </si>
  <si>
    <t>Thu, 18 Aug 2022 00:00:00 GMT</t>
  </si>
  <si>
    <t>Fri, 19 Aug 2022 00:00:00 GMT</t>
  </si>
  <si>
    <t>Mon, 22 Aug 2022 00:00:00 GMT</t>
  </si>
  <si>
    <t>Tue, 23 Aug 2022 00:00:00 GMT</t>
  </si>
  <si>
    <t>Wed, 24 Aug 2022 00:00:00 GMT</t>
  </si>
  <si>
    <t>Thu, 25 Aug 2022 00:00:00 GMT</t>
  </si>
  <si>
    <t>Fri, 26 Aug 2022 00:00:00 GMT</t>
  </si>
  <si>
    <t>Mon, 29 Aug 2022 00:00:00 GMT</t>
  </si>
  <si>
    <t>Tue, 30 Aug 2022 00:00:00 GMT</t>
  </si>
  <si>
    <t>Wed, 31 Aug 2022 00:00:00 GMT</t>
  </si>
  <si>
    <t>Thu, 01 Sep 2022 00:00:00 GMT</t>
  </si>
  <si>
    <t>Fri, 02 Sep 2022 00:00:00 GMT</t>
  </si>
  <si>
    <t>Tue, 06 Sep 2022 00:00:00 GMT</t>
  </si>
  <si>
    <t>Wed, 07 Sep 2022 00:00:00 GMT</t>
  </si>
  <si>
    <t>Thu, 08 Sep 2022 00:00:00 GMT</t>
  </si>
  <si>
    <t>Fri, 09 Sep 2022 00:00:00 GMT</t>
  </si>
  <si>
    <t>Mon, 12 Sep 2022 00:00:00 GMT</t>
  </si>
  <si>
    <t>Tue, 13 Sep 2022 00:00:00 GMT</t>
  </si>
  <si>
    <t>Wed, 14 Sep 2022 00:00:00 GMT</t>
  </si>
  <si>
    <t>Thu, 15 Sep 2022 00:00:00 GMT</t>
  </si>
  <si>
    <t>Fri, 16 Sep 2022 00:00:00 GMT</t>
  </si>
  <si>
    <t>Mon, 19 Sep 2022 00:00:00 GMT</t>
  </si>
  <si>
    <t>Tue, 20 Sep 2022 00:00:00 GMT</t>
  </si>
  <si>
    <t>Wed, 21 Sep 2022 00:00:00 GMT</t>
  </si>
  <si>
    <t>Thu, 22 Sep 2022 00:00:00 GMT</t>
  </si>
  <si>
    <t>Fri, 23 Sep 2022 00:00:00 GMT</t>
  </si>
  <si>
    <t>Mon, 26 Sep 2022 00:00:00 GMT</t>
  </si>
  <si>
    <t>Tue, 27 Sep 2022 00:00:00 GMT</t>
  </si>
  <si>
    <t>Wed, 28 Sep 2022 00:00:00 GMT</t>
  </si>
  <si>
    <t>Thu, 29 Sep 2022 00:00:00 GMT</t>
  </si>
  <si>
    <t>Fri, 30 Sep 2022 00:00:00 GMT</t>
  </si>
  <si>
    <t>Mon, 03 Oct 2022 00:00:00 GMT</t>
  </si>
  <si>
    <t>Tue, 04 Oct 2022 00:00:00 GMT</t>
  </si>
  <si>
    <t>Wed, 05 Oct 2022 00:00:00 GMT</t>
  </si>
  <si>
    <t>Thu, 06 Oct 2022 00:00:00 GMT</t>
  </si>
  <si>
    <t>Fri, 07 Oct 2022 00:00:00 GMT</t>
  </si>
  <si>
    <t>Mon, 10 Oct 2022 00:00:00 GMT</t>
  </si>
  <si>
    <t>Tue, 11 Oct 2022 00:00:00 GMT</t>
  </si>
  <si>
    <t>Wed, 12 Oct 2022 00:00:00 GMT</t>
  </si>
  <si>
    <t>Thu, 13 Oct 2022 00:00:00 GMT</t>
  </si>
  <si>
    <t>Fri, 14 Oct 2022 00:00:00 GMT</t>
  </si>
  <si>
    <t>Mon, 17 Oct 2022 00:00:00 GMT</t>
  </si>
  <si>
    <t>Tue, 18 Oct 2022 00:00:00 GMT</t>
  </si>
  <si>
    <t>Wed, 19 Oct 2022 00:00:00 GMT</t>
  </si>
  <si>
    <t>Thu, 20 Oct 2022 00:00:00 GMT</t>
  </si>
  <si>
    <t>Fri, 21 Oct 2022 00:00:00 GMT</t>
  </si>
  <si>
    <t>Mon, 24 Oct 2022 00:00:00 GMT</t>
  </si>
  <si>
    <t>Tue, 25 Oct 2022 00:00:00 GMT</t>
  </si>
  <si>
    <t>Wed, 26 Oct 2022 00:00:00 GMT</t>
  </si>
  <si>
    <t>Thu, 27 Oct 2022 00:00:00 GMT</t>
  </si>
  <si>
    <t>Fri, 28 Oct 2022 00:00:00 GMT</t>
  </si>
  <si>
    <t>Mon, 31 Oct 2022 00:00:00 GMT</t>
  </si>
  <si>
    <t>Tue, 01 Nov 2022 00:00:00 GMT</t>
  </si>
  <si>
    <t>Wed, 02 Nov 2022 00:00:00 GMT</t>
  </si>
  <si>
    <t>Thu, 03 Nov 2022 00:00:00 GMT</t>
  </si>
  <si>
    <t>Fri, 04 Nov 2022 00:00:00 GMT</t>
  </si>
  <si>
    <t>Mon, 07 Nov 2022 00:00:00 GMT</t>
  </si>
  <si>
    <t>Tue, 08 Nov 2022 00:00:00 GMT</t>
  </si>
  <si>
    <t>Wed, 09 Nov 2022 00:00:00 GMT</t>
  </si>
  <si>
    <t>Thu, 10 Nov 2022 00:00:00 GMT</t>
  </si>
  <si>
    <t>Fri, 11 Nov 2022 00:00:00 GMT</t>
  </si>
  <si>
    <t>Mon, 14 Nov 2022 00:00:00 GMT</t>
  </si>
  <si>
    <t>Tue, 15 Nov 2022 00:00:00 GMT</t>
  </si>
  <si>
    <t>Wed, 16 Nov 2022 00:00:00 GMT</t>
  </si>
  <si>
    <t>Thu, 17 Nov 2022 00:00:00 GMT</t>
  </si>
  <si>
    <t>Fri, 18 Nov 2022 00:00:00 GMT</t>
  </si>
  <si>
    <t>Mon, 21 Nov 2022 00:00:00 GMT</t>
  </si>
  <si>
    <t>Tue, 22 Nov 2022 00:00:00 GMT</t>
  </si>
  <si>
    <t>Wed, 23 Nov 2022 00:00:00 GMT</t>
  </si>
  <si>
    <t>Fri, 25 Nov 2022 00:00:00 GMT</t>
  </si>
  <si>
    <t>Mon, 28 Nov 2022 00:00:00 GMT</t>
  </si>
  <si>
    <t>Tue, 29 Nov 2022 00:00:00 GMT</t>
  </si>
  <si>
    <t>Wed, 30 Nov 2022 00:00:00 GMT</t>
  </si>
  <si>
    <t>Thu, 01 Dec 2022 00:00:00 GMT</t>
  </si>
  <si>
    <t>Fri, 02 Dec 2022 00:00:00 GMT</t>
  </si>
  <si>
    <t>Mon, 05 Dec 2022 00:00:00 GMT</t>
  </si>
  <si>
    <t>Tue, 06 Dec 2022 00:00:00 GMT</t>
  </si>
  <si>
    <t>Wed, 07 Dec 2022 00:00:00 GMT</t>
  </si>
  <si>
    <t>Thu, 08 Dec 2022 00:00:00 GMT</t>
  </si>
  <si>
    <t>Fri, 09 Dec 2022 00:00:00 GMT</t>
  </si>
  <si>
    <t>Mon, 12 Dec 2022 00:00:00 GMT</t>
  </si>
  <si>
    <t>Tue, 13 Dec 2022 00:00:00 GMT</t>
  </si>
  <si>
    <t>Wed, 14 Dec 2022 00:00:00 GMT</t>
  </si>
  <si>
    <t>Thu, 15 Dec 2022 00:00:00 GMT</t>
  </si>
  <si>
    <t>Fri, 16 Dec 2022 00:00:00 GMT</t>
  </si>
  <si>
    <t>Mon, 19 Dec 2022 00:00:00 GMT</t>
  </si>
  <si>
    <t>Tue, 20 Dec 2022 00:00:00 GMT</t>
  </si>
  <si>
    <t>Wed, 21 Dec 2022 00:00:00 GMT</t>
  </si>
  <si>
    <t>Thu, 22 Dec 2022 00:00:00 GMT</t>
  </si>
  <si>
    <t>Fri, 23 Dec 2022 00:00:00 GMT</t>
  </si>
  <si>
    <t>Tue, 27 Dec 2022 00:00:00 GMT</t>
  </si>
  <si>
    <t>Wed, 28 Dec 2022 00:00:00 GMT</t>
  </si>
  <si>
    <t>Thu, 29 Dec 2022 00:00:00 GMT</t>
  </si>
  <si>
    <t>Fri, 30 Dec 2022 00:00:00 GMT</t>
  </si>
  <si>
    <t>Tue, 03 Jan 2023 00:00:00 GMT</t>
  </si>
  <si>
    <t>Wed, 04 Jan 2023 00:00:00 GMT</t>
  </si>
  <si>
    <t>Thu, 05 Jan 2023 00:00:00 GMT</t>
  </si>
  <si>
    <t>Fri, 06 Jan 2023 00:00:00 GMT</t>
  </si>
  <si>
    <t>Mon, 09 Jan 2023 00:00:00 GMT</t>
  </si>
  <si>
    <t>Tue, 10 Jan 2023 00:00:00 GMT</t>
  </si>
  <si>
    <t>Wed, 11 Jan 2023 00:00:00 GMT</t>
  </si>
  <si>
    <t>Thu, 12 Jan 2023 00:00:00 GMT</t>
  </si>
  <si>
    <t>Fri, 13 Jan 2023 00:00:00 GMT</t>
  </si>
  <si>
    <t>Tue, 17 Jan 2023 00:00:00 GMT</t>
  </si>
  <si>
    <t>Wed, 18 Jan 2023 00:00:00 GMT</t>
  </si>
  <si>
    <t>Thu, 19 Jan 2023 00:00:00 GMT</t>
  </si>
  <si>
    <t>Fri, 20 Jan 2023 00:00:00 GMT</t>
  </si>
  <si>
    <t>Mon, 23 Jan 2023 00:00:00 GMT</t>
  </si>
  <si>
    <t>Tue, 24 Jan 2023 00:00:00 GMT</t>
  </si>
  <si>
    <t>Wed, 25 Jan 2023 00:00:00 GMT</t>
  </si>
  <si>
    <t>Thu, 26 Jan 2023 00:00:00 GMT</t>
  </si>
  <si>
    <t>Fri, 27 Jan 2023 00:00:00 GMT</t>
  </si>
  <si>
    <t>Mon, 30 Jan 2023 00:00:00 GMT</t>
  </si>
  <si>
    <t>Tue, 31 Jan 2023 00:00:00 GMT</t>
  </si>
  <si>
    <t>Wed, 01 Feb 2023 00:00:00 GMT</t>
  </si>
  <si>
    <t>Thu, 02 Feb 2023 00:00:00 GMT</t>
  </si>
  <si>
    <t>Fri, 03 Feb 2023 00:00:00 GMT</t>
  </si>
  <si>
    <t>Mon, 06 Feb 2023 00:00:00 GMT</t>
  </si>
  <si>
    <t>Tue, 07 Feb 2023 00:00:00 GMT</t>
  </si>
  <si>
    <t>Wed, 08 Feb 2023 00:00:00 GMT</t>
  </si>
  <si>
    <t>Thu, 09 Feb 2023 00:00:00 GMT</t>
  </si>
  <si>
    <t>Fri, 10 Feb 2023 00:00:00 GMT</t>
  </si>
  <si>
    <t>Mon, 13 Feb 2023 00:00:00 GMT</t>
  </si>
  <si>
    <t>Tue, 14 Feb 2023 00:00:00 GMT</t>
  </si>
  <si>
    <t>Wed, 15 Feb 2023 00:00:00 GMT</t>
  </si>
  <si>
    <t>Thu, 16 Feb 2023 00:00:00 GMT</t>
  </si>
  <si>
    <t>Fri, 17 Feb 2023 00:00:00 GMT</t>
  </si>
  <si>
    <t>Tue, 21 Feb 2023 00:00:00 GMT</t>
  </si>
  <si>
    <t>Wed, 22 Feb 2023 00:00:00 GMT</t>
  </si>
  <si>
    <t>Thu, 23 Feb 2023 00:00:00 GMT</t>
  </si>
  <si>
    <t>Fri, 24 Feb 2023 00:00:00 GMT</t>
  </si>
  <si>
    <t>Mon, 27 Feb 2023 00:00:00 GMT</t>
  </si>
  <si>
    <t>Tue, 28 Feb 2023 00:00:00 GMT</t>
  </si>
  <si>
    <t>Wed, 01 Mar 2023 00:00:00 GMT</t>
  </si>
  <si>
    <t>Thu, 02 Mar 2023 00:00:00 GMT</t>
  </si>
  <si>
    <t>Fri, 03 Mar 2023 00:00:00 GMT</t>
  </si>
  <si>
    <t>Mon, 06 Mar 2023 00:00:00 GMT</t>
  </si>
  <si>
    <t>Tue, 07 Mar 2023 00:00:00 GMT</t>
  </si>
  <si>
    <t>Wed, 08 Mar 2023 00:00:00 GMT</t>
  </si>
  <si>
    <t>Thu, 09 Mar 2023 00:00:00 GMT</t>
  </si>
  <si>
    <t>Fri, 10 Mar 2023 00:00:00 GMT</t>
  </si>
  <si>
    <t>Mon, 13 Mar 2023 00:00:00 GMT</t>
  </si>
  <si>
    <t>Tue, 14 Mar 2023 00:00:00 GMT</t>
  </si>
  <si>
    <t>Wed, 15 Mar 2023 00:00:00 GMT</t>
  </si>
  <si>
    <t>Thu, 16 Mar 2023 00:00:00 GMT</t>
  </si>
  <si>
    <t>Fri, 17 Mar 2023 00:00:00 GMT</t>
  </si>
  <si>
    <t>Mon, 20 Mar 2023 00:00:00 GMT</t>
  </si>
  <si>
    <t>Tue, 21 Mar 2023 00:00:00 GMT</t>
  </si>
  <si>
    <t>Wed, 22 Mar 2023 00:00:00 GMT</t>
  </si>
  <si>
    <t>Thu, 23 Mar 2023 00:00:00 GMT</t>
  </si>
  <si>
    <t>Fri, 24 Mar 2023 00:00:00 GMT</t>
  </si>
  <si>
    <t>Mon, 27 Mar 2023 00:00:00 GMT</t>
  </si>
  <si>
    <t>Tue, 28 Mar 2023 00:00:00 GMT</t>
  </si>
  <si>
    <t>Wed, 29 Mar 2023 00:00:00 GMT</t>
  </si>
  <si>
    <t>Thu, 30 Mar 2023 00:00:00 GMT</t>
  </si>
  <si>
    <t>Fri, 31 Mar 2023 00:00:00 GMT</t>
  </si>
  <si>
    <t>Mon, 03 Apr 2023 00:00:00 GMT</t>
  </si>
  <si>
    <t>Tue, 04 Apr 2023 00:00:00 GMT</t>
  </si>
  <si>
    <t>Wed, 05 Apr 2023 00:00:00 GMT</t>
  </si>
  <si>
    <t>Thu, 06 Apr 2023 00:00:00 GMT</t>
  </si>
  <si>
    <t>Mon, 10 Apr 2023 00:00:00 GMT</t>
  </si>
  <si>
    <t>Tue, 11 Apr 2023 00:00:00 GMT</t>
  </si>
  <si>
    <t>Wed, 12 Apr 2023 00:00:00 GMT</t>
  </si>
  <si>
    <t>Thu, 13 Apr 2023 00:00:00 GMT</t>
  </si>
  <si>
    <t>Fri, 14 Apr 2023 00:00:00 GMT</t>
  </si>
  <si>
    <t>Mon, 17 Apr 2023 00:00:00 GMT</t>
  </si>
  <si>
    <t>Tue, 18 Apr 2023 00:00:00 GMT</t>
  </si>
  <si>
    <t>Wed, 19 Apr 2023 00:00:00 GMT</t>
  </si>
  <si>
    <t>Thu, 20 Apr 2023 00:00:00 GMT</t>
  </si>
  <si>
    <t>Fri, 21 Apr 2023 00:00:00 GMT</t>
  </si>
  <si>
    <t>Mon, 24 Apr 2023 00:00:00 GMT</t>
  </si>
  <si>
    <t>Tue, 25 Apr 2023 00:00:00 GMT</t>
  </si>
  <si>
    <t>Wed, 26 Apr 2023 00:00:00 GMT</t>
  </si>
  <si>
    <t>Thu, 27 Apr 2023 00:00:00 GMT</t>
  </si>
  <si>
    <t>Fri, 28 Apr 2023 00:00:00 GMT</t>
  </si>
  <si>
    <t>Mon, 01 May 2023 00:00:00 GMT</t>
  </si>
  <si>
    <t>Tue, 02 May 2023 00:00:00 GMT</t>
  </si>
  <si>
    <t>Wed, 03 May 2023 00:00:00 GMT</t>
  </si>
  <si>
    <t>Thu, 04 May 2023 00:00:00 GMT</t>
  </si>
  <si>
    <t>Fri, 05 May 2023 00:00:00 GMT</t>
  </si>
  <si>
    <t>Mon, 08 May 2023 00:00:00 GMT</t>
  </si>
  <si>
    <t>Tue, 09 May 2023 00:00:00 GMT</t>
  </si>
  <si>
    <t>Wed, 10 May 2023 00:00:00 GMT</t>
  </si>
  <si>
    <t>Thu, 11 May 2023 00:00:00 GMT</t>
  </si>
  <si>
    <t>Fri, 12 May 2023 00:00:00 GMT</t>
  </si>
  <si>
    <t>Mon, 15 May 2023 00:00:00 GMT</t>
  </si>
  <si>
    <t>Tue, 16 May 2023 00:00:00 GMT</t>
  </si>
  <si>
    <t>Wed, 17 May 2023 00:00:00 GMT</t>
  </si>
  <si>
    <t>Thu, 18 May 2023 00:00:00 GMT</t>
  </si>
  <si>
    <t>Fri, 19 May 2023 00:00:00 GMT</t>
  </si>
  <si>
    <t>Mon, 22 May 2023 00:00:00 GMT</t>
  </si>
  <si>
    <t>Tue, 23 May 2023 00:00:00 GMT</t>
  </si>
  <si>
    <t>Wed, 24 May 2023 00:00:00 GMT</t>
  </si>
  <si>
    <t>Thu, 25 May 2023 00:00:00 GMT</t>
  </si>
  <si>
    <t>Fri, 26 May 2023 00:00:00 GMT</t>
  </si>
  <si>
    <t>Tue, 30 May 2023 00:00:00 GMT</t>
  </si>
  <si>
    <t>Wed, 31 May 2023 00:00:00 GMT</t>
  </si>
  <si>
    <t>Thu, 01 Jun 2023 00:00:00 GMT</t>
  </si>
  <si>
    <t>Fri, 02 Jun 2023 00:00:00 GMT</t>
  </si>
  <si>
    <t>Mon, 05 Jun 2023 00:00:00 GMT</t>
  </si>
  <si>
    <t>Tue, 06 Jun 2023 00:00:00 GMT</t>
  </si>
  <si>
    <t>Wed, 07 Jun 2023 00:00:00 GMT</t>
  </si>
  <si>
    <t>Thu, 08 Jun 2023 00:00:00 GMT</t>
  </si>
  <si>
    <t>Fri, 09 Jun 2023 00:00:00 GMT</t>
  </si>
  <si>
    <t>Mon, 12 Jun 2023 00:00:00 GMT</t>
  </si>
  <si>
    <t>Tue, 13 Jun 2023 00:00:00 GMT</t>
  </si>
  <si>
    <t>Wed, 14 Jun 2023 00:00:00 GMT</t>
  </si>
  <si>
    <t>Thu, 15 Jun 2023 00:00:00 GMT</t>
  </si>
  <si>
    <t>Fri, 16 Jun 2023 00:00:00 GMT</t>
  </si>
  <si>
    <t>Tue, 20 Jun 2023 00:00:00 GMT</t>
  </si>
  <si>
    <t>Wed, 21 Jun 2023 00:00:00 GMT</t>
  </si>
  <si>
    <t>Thu, 22 Jun 2023 00:00:00 GMT</t>
  </si>
  <si>
    <t>Fri, 23 Jun 2023 00:00:00 GMT</t>
  </si>
  <si>
    <t>Mon, 26 Jun 2023 00:00:00 GMT</t>
  </si>
  <si>
    <t>Tue, 27 Jun 2023 00:00:00 GMT</t>
  </si>
  <si>
    <t>Wed, 28 Jun 2023 00:00:00 GMT</t>
  </si>
  <si>
    <t>Thu, 29 Jun 2023 00:00:00 GMT</t>
  </si>
  <si>
    <t>Fri, 30 Jun 2023 00:00:00 GMT</t>
  </si>
  <si>
    <t>Mon, 03 Jul 2023 00:00:00 GMT</t>
  </si>
  <si>
    <t>Wed, 05 Jul 2023 00:00:00 GMT</t>
  </si>
  <si>
    <t>Thu, 06 Jul 2023 00:00:00 GMT</t>
  </si>
  <si>
    <t>Fri, 07 Jul 2023 00:00:00 GMT</t>
  </si>
  <si>
    <t>Mon, 10 Jul 2023 00:00:00 GMT</t>
  </si>
  <si>
    <t>Tue, 11 Jul 2023 00:00:00 GMT</t>
  </si>
  <si>
    <t>Wed, 12 Jul 2023 00:00:00 GMT</t>
  </si>
  <si>
    <t>Thu, 13 Jul 2023 00:00:00 GMT</t>
  </si>
  <si>
    <t>Fri, 14 Jul 2023 00:00:00 GMT</t>
  </si>
  <si>
    <t>Mon, 17 Jul 2023 00:00:00 GMT</t>
  </si>
  <si>
    <t>Tue, 18 Jul 2023 00:00:00 GMT</t>
  </si>
  <si>
    <t>Wed, 19 Jul 2023 00:00:00 GMT</t>
  </si>
  <si>
    <t>Thu, 20 Jul 2023 00:00:00 GMT</t>
  </si>
  <si>
    <t>Fri, 21 Jul 2023 00:00:00 GMT</t>
  </si>
  <si>
    <t>Mon, 24 Jul 2023 00:00:00 GMT</t>
  </si>
  <si>
    <t>Tue, 25 Jul 2023 00:00:00 GMT</t>
  </si>
  <si>
    <t>Wed, 26 Jul 2023 00:00:00 GMT</t>
  </si>
  <si>
    <t>Thu, 27 Jul 2023 00:00:00 GMT</t>
  </si>
  <si>
    <t>Fri, 28 Jul 2023 00:00:00 GMT</t>
  </si>
  <si>
    <t>Mon, 31 Jul 2023 00:00:00 GMT</t>
  </si>
  <si>
    <t>Tue, 01 Aug 2023 00:00:00 GMT</t>
  </si>
  <si>
    <t>Wed, 02 Aug 2023 00:00:00 GMT</t>
  </si>
  <si>
    <t>Thu, 03 Aug 2023 00:00:00 GMT</t>
  </si>
  <si>
    <t>Fri, 04 Aug 2023 00:00:00 GMT</t>
  </si>
  <si>
    <t>Mon, 07 Aug 2023 00:00:00 GMT</t>
  </si>
  <si>
    <t>Tue, 08 Aug 2023 00:00:00 GMT</t>
  </si>
  <si>
    <t>Wed, 09 Aug 2023 00:00:00 GMT</t>
  </si>
  <si>
    <t>Thu, 10 Aug 2023 00:00:00 GMT</t>
  </si>
  <si>
    <t>Fri, 11 Aug 2023 00:00:00 GMT</t>
  </si>
  <si>
    <t>Mon, 14 Aug 2023 00:00:00 GMT</t>
  </si>
  <si>
    <t>Tue, 15 Aug 2023 00:00:00 GMT</t>
  </si>
  <si>
    <t>Wed, 16 Aug 2023 00:00:00 GMT</t>
  </si>
  <si>
    <t>Thu, 17 Aug 2023 00:00:00 GMT</t>
  </si>
  <si>
    <t>Fri, 18 Aug 2023 00:00:00 GMT</t>
  </si>
  <si>
    <t>Mon, 21 Aug 2023 00:00:00 GMT</t>
  </si>
  <si>
    <t>Tue, 22 Aug 2023 00:00:00 GMT</t>
  </si>
  <si>
    <t>Wed, 23 Aug 2023 00:00:00 GMT</t>
  </si>
  <si>
    <t>Thu, 24 Aug 2023 00:00:00 GMT</t>
  </si>
  <si>
    <t>Fri, 25 Aug 2023 00:00:00 GMT</t>
  </si>
  <si>
    <t>Mon, 28 Aug 2023 00:00:00 GMT</t>
  </si>
  <si>
    <t>Tue, 29 Aug 2023 00:00:00 GMT</t>
  </si>
  <si>
    <t>Wed, 30 Aug 2023 00:00:00 GMT</t>
  </si>
  <si>
    <t>Thu, 31 Aug 2023 00:00:00 GMT</t>
  </si>
  <si>
    <t>Fri, 01 Sep 2023 00:00:00 GMT</t>
  </si>
  <si>
    <t>Tue, 05 Sep 2023 00:00:00 GMT</t>
  </si>
  <si>
    <t>Wed, 06 Sep 2023 00:00:00 GMT</t>
  </si>
  <si>
    <t>Thu, 07 Sep 2023 00:00:00 GMT</t>
  </si>
  <si>
    <t>Fri, 08 Sep 2023 00:00:00 GMT</t>
  </si>
  <si>
    <t>Mon, 11 Sep 2023 00:00:00 GMT</t>
  </si>
  <si>
    <t>Tue, 12 Sep 2023 00:00:00 GMT</t>
  </si>
  <si>
    <t>Wed, 13 Sep 2023 00:00:00 GMT</t>
  </si>
  <si>
    <t>Thu, 14 Sep 2023 00:00:00 GMT</t>
  </si>
  <si>
    <t>Fri, 15 Sep 2023 00:00:00 GMT</t>
  </si>
  <si>
    <t>Mon, 18 Sep 2023 00:00:00 GMT</t>
  </si>
  <si>
    <t>Tue, 19 Sep 2023 00:00:00 GMT</t>
  </si>
  <si>
    <t>Wed, 20 Sep 2023 00:00:00 GMT</t>
  </si>
  <si>
    <t>Thu, 21 Sep 2023 00:00:00 GMT</t>
  </si>
  <si>
    <t>Fri, 22 Sep 2023 00:00:00 GMT</t>
  </si>
  <si>
    <t>Mon, 25 Sep 2023 00:00:00 GMT</t>
  </si>
  <si>
    <t>Tue, 26 Sep 2023 00:00:00 GMT</t>
  </si>
  <si>
    <t>Wed, 27 Sep 2023 00:00:00 GMT</t>
  </si>
  <si>
    <t>Thu, 28 Sep 2023 00:00:00 GMT</t>
  </si>
  <si>
    <t>Fri, 29 Sep 2023 00:00:00 GMT</t>
  </si>
  <si>
    <t>Mon, 02 Oct 2023 00:00:00 GMT</t>
  </si>
  <si>
    <t>Tue, 03 Oct 2023 00:00:00 GMT</t>
  </si>
  <si>
    <t>Wed, 04 Oct 2023 00:00:00 GMT</t>
  </si>
  <si>
    <t>Thu, 05 Oct 2023 00:00:00 GMT</t>
  </si>
  <si>
    <t>Fri, 06 Oct 2023 00:00:00 GMT</t>
  </si>
  <si>
    <t>Mon, 09 Oct 2023 00:00:00 GMT</t>
  </si>
  <si>
    <t>Tue, 10 Oct 2023 00:00:00 GMT</t>
  </si>
  <si>
    <t>Wed, 11 Oct 2023 00:00:00 GMT</t>
  </si>
  <si>
    <t>Thu, 12 Oct 2023 00:00:00 GMT</t>
  </si>
  <si>
    <t>Fri, 13 Oct 2023 00:00:00 GMT</t>
  </si>
  <si>
    <t>Mon, 16 Oct 2023 00:00:00 GMT</t>
  </si>
  <si>
    <t>Tue, 17 Oct 2023 00:00:00 GMT</t>
  </si>
  <si>
    <t>Wed, 18 Oct 2023 00:00:00 GMT</t>
  </si>
  <si>
    <t>Thu, 19 Oct 2023 00:00:00 GMT</t>
  </si>
  <si>
    <t>Fri, 20 Oct 2023 00:00:00 GMT</t>
  </si>
  <si>
    <t>Mon, 23 Oct 2023 00:00:00 GMT</t>
  </si>
  <si>
    <t>Tue, 24 Oct 2023 00:00:00 GMT</t>
  </si>
  <si>
    <t>Wed, 25 Oct 2023 00:00:00 GMT</t>
  </si>
  <si>
    <t>Thu, 26 Oct 2023 00:00:00 GMT</t>
  </si>
  <si>
    <t>Fri, 27 Oct 2023 00:00:00 GMT</t>
  </si>
  <si>
    <t>Mon, 30 Oct 2023 00:00:00 GMT</t>
  </si>
  <si>
    <t>Tue, 31 Oct 2023 00:00:00 GMT</t>
  </si>
  <si>
    <t>Wed, 01 Nov 2023 00:00:00 GMT</t>
  </si>
  <si>
    <t>Thu, 02 Nov 2023 00:00:00 GMT</t>
  </si>
  <si>
    <t>Fri, 03 Nov 2023 00:00:00 GMT</t>
  </si>
  <si>
    <t>Mon, 06 Nov 2023 00:00:00 GMT</t>
  </si>
  <si>
    <t>Tue, 07 Nov 2023 00:00:00 GMT</t>
  </si>
  <si>
    <t>Wed, 08 Nov 2023 00:00:00 GMT</t>
  </si>
  <si>
    <t>Thu, 09 Nov 2023 00:00:00 GMT</t>
  </si>
  <si>
    <t>Fri, 10 Nov 2023 00:00:00 GMT</t>
  </si>
  <si>
    <t>Mon, 13 Nov 2023 00:00:00 GMT</t>
  </si>
  <si>
    <t>Tue, 14 Nov 2023 00:00:00 GMT</t>
  </si>
  <si>
    <t>Wed, 15 Nov 2023 00:00:00 GMT</t>
  </si>
  <si>
    <t>Thu, 16 Nov 2023 00:00:00 GMT</t>
  </si>
  <si>
    <t>Fri, 17 Nov 2023 00:00:00 GMT</t>
  </si>
  <si>
    <t>Mon, 20 Nov 2023 00:00:00 GMT</t>
  </si>
  <si>
    <t>Tue, 21 Nov 2023 00:00:00 GMT</t>
  </si>
  <si>
    <t>Wed, 22 Nov 2023 00:00:00 GMT</t>
  </si>
  <si>
    <t>Fri, 24 Nov 2023 00:00:00 GMT</t>
  </si>
  <si>
    <t>Mon, 27 Nov 2023 00:00:00 GMT</t>
  </si>
  <si>
    <t>Tue, 28 Nov 2023 00:00:00 GMT</t>
  </si>
  <si>
    <t>Wed, 29 Nov 2023 00:00:00 GMT</t>
  </si>
  <si>
    <t>Thu, 30 Nov 2023 00:00:00 GMT</t>
  </si>
  <si>
    <t>Fri, 01 Dec 2023 00:00:00 GMT</t>
  </si>
  <si>
    <t>Mon, 04 Dec 2023 00:00:00 GMT</t>
  </si>
  <si>
    <t>Tue, 05 Dec 2023 00:00:00 GMT</t>
  </si>
  <si>
    <t>Wed, 06 Dec 2023 00:00:00 GMT</t>
  </si>
  <si>
    <t>Thu, 07 Dec 2023 00:00:00 GMT</t>
  </si>
  <si>
    <t>Fri, 08 Dec 2023 00:00:00 GMT</t>
  </si>
  <si>
    <t>Mon, 11 Dec 2023 00:00:00 GMT</t>
  </si>
  <si>
    <t>Tue, 12 Dec 2023 00:00:00 GMT</t>
  </si>
  <si>
    <t>Wed, 13 Dec 2023 00:00:00 GMT</t>
  </si>
  <si>
    <t>Thu, 14 Dec 2023 00:00:00 GMT</t>
  </si>
  <si>
    <t>Fri, 15 Dec 2023 00:00:00 GMT</t>
  </si>
  <si>
    <t>Mon, 18 Dec 2023 00:00:00 GMT</t>
  </si>
  <si>
    <t>Tue, 19 Dec 2023 00:00:00 GMT</t>
  </si>
  <si>
    <t>Wed, 20 Dec 2023 00:00:00 GMT</t>
  </si>
  <si>
    <t>Thu, 21 Dec 2023 00:00:00 GMT</t>
  </si>
  <si>
    <t>Fri, 22 Dec 2023 00:00:00 GMT</t>
  </si>
  <si>
    <t>Tue, 26 Dec 2023 00:00:00 GMT</t>
  </si>
  <si>
    <t>Wed, 27 Dec 2023 00:00:00 GMT</t>
  </si>
  <si>
    <t>Thu, 28 Dec 2023 00:00:00 GMT</t>
  </si>
  <si>
    <t>Fri, 29 Dec 2023 00:00:00 GMT</t>
  </si>
  <si>
    <t>Tue, 02 Jan 2024 00:00:00 GMT</t>
  </si>
  <si>
    <t>Wed, 03 Jan 2024 00:00:00 GMT</t>
  </si>
  <si>
    <t>Thu, 04 Jan 2024 00:00:00 GMT</t>
  </si>
  <si>
    <t>Fri, 05 Jan 2024 00:00:00 GMT</t>
  </si>
  <si>
    <t>Mon, 08 Jan 2024 00:00:00 GMT</t>
  </si>
  <si>
    <t>Tue, 09 Jan 2024 00:00:00 GMT</t>
  </si>
  <si>
    <t>Wed, 10 Jan 2024 00:00:00 GMT</t>
  </si>
  <si>
    <t>Thu, 11 Jan 2024 00:00:00 GMT</t>
  </si>
  <si>
    <t>Fri, 12 Jan 2024 00:00:00 GMT</t>
  </si>
  <si>
    <t>Tue, 16 Jan 2024 00:00:00 GMT</t>
  </si>
  <si>
    <t>Wed, 17 Jan 2024 00:00:00 GMT</t>
  </si>
  <si>
    <t>Thu, 18 Jan 2024 00:00:00 GMT</t>
  </si>
  <si>
    <t>Fri, 19 Jan 2024 00:00:00 GMT</t>
  </si>
  <si>
    <t>Mon, 22 Jan 2024 00:00:00 GMT</t>
  </si>
  <si>
    <t>Tue, 23 Jan 2024 00:00:00 GMT</t>
  </si>
  <si>
    <t>Wed, 24 Jan 2024 00:00:00 GMT</t>
  </si>
  <si>
    <t>Thu, 25 Jan 2024 00:00:00 GMT</t>
  </si>
  <si>
    <t>Fri, 26 Jan 2024 00:00:00 GMT</t>
  </si>
  <si>
    <t>Mon, 29 Jan 2024 00:00:00 GMT</t>
  </si>
  <si>
    <t>Tue, 30 Jan 2024 00:00:00 GMT</t>
  </si>
  <si>
    <t>Wed, 31 Jan 2024 00:00:00 GMT</t>
  </si>
  <si>
    <t>Thu, 01 Feb 2024 00:00:00 GMT</t>
  </si>
  <si>
    <t>Fri, 02 Feb 2024 00:00:00 GMT</t>
  </si>
  <si>
    <t>Mon, 05 Feb 2024 00:00:00 GMT</t>
  </si>
  <si>
    <t>Tue, 06 Feb 2024 00:00:00 GMT</t>
  </si>
  <si>
    <t>Wed, 07 Feb 2024 00:00:00 GMT</t>
  </si>
  <si>
    <t>Thu, 08 Feb 2024 00:00:00 GMT</t>
  </si>
  <si>
    <t>Fri, 09 Feb 2024 00:00:00 GMT</t>
  </si>
  <si>
    <t>Mon, 12 Feb 2024 00:00:00 GMT</t>
  </si>
  <si>
    <t>Tue, 13 Feb 2024 00:00:00 GMT</t>
  </si>
  <si>
    <t>Wed, 14 Feb 2024 00:00:00 GMT</t>
  </si>
  <si>
    <t>Thu, 15 Feb 2024 00:00:00 GMT</t>
  </si>
  <si>
    <t>Fri, 16 Feb 2024 00:00:00 GMT</t>
  </si>
  <si>
    <t>Tue, 20 Feb 2024 00:00:00 GMT</t>
  </si>
  <si>
    <t>Wed, 21 Feb 2024 00:00:00 GMT</t>
  </si>
  <si>
    <t>Thu, 22 Feb 2024 00:00:00 GMT</t>
  </si>
  <si>
    <t>Fri, 23 Feb 2024 00:00:00 GMT</t>
  </si>
  <si>
    <t>Mon, 26 Feb 2024 00:00:00 GMT</t>
  </si>
  <si>
    <t>Tue, 27 Feb 2024 00:00:00 GMT</t>
  </si>
  <si>
    <t>Wed, 28 Feb 2024 00:00:00 GMT</t>
  </si>
  <si>
    <t>Thu, 29 Feb 2024 00:00:00 GMT</t>
  </si>
  <si>
    <t>Fri, 01 Mar 2024 00:00:00 GMT</t>
  </si>
  <si>
    <t>Mon, 04 Mar 2024 00:00:00 GMT</t>
  </si>
  <si>
    <t>Tue, 05 Mar 2024 00:00:00 GMT</t>
  </si>
  <si>
    <t>Wed, 06 Mar 2024 00:00:00 GMT</t>
  </si>
  <si>
    <t>Thu, 07 Mar 2024 00:00:00 GMT</t>
  </si>
  <si>
    <t>Fri, 08 Mar 2024 00:00:00 GMT</t>
  </si>
  <si>
    <t>Mon, 11 Mar 2024 00:00:00 GMT</t>
  </si>
  <si>
    <t>Tue, 12 Mar 2024 00:00:00 GMT</t>
  </si>
  <si>
    <t>Wed, 13 Mar 2024 00:00:00 GMT</t>
  </si>
  <si>
    <t>Thu, 14 Mar 2024 00:00:00 GMT</t>
  </si>
  <si>
    <t>Fri, 15 Mar 2024 00:00:00 GMT</t>
  </si>
  <si>
    <t>Mon, 18 Mar 2024 00:00:00 GMT</t>
  </si>
  <si>
    <t>Tue, 19 Mar 2024 00:00:00 GMT</t>
  </si>
  <si>
    <t>Wed, 20 Mar 2024 00:00:00 GMT</t>
  </si>
  <si>
    <t>Thu, 21 Mar 2024 00:00:00 GMT</t>
  </si>
  <si>
    <t>Fri, 22 Mar 2024 00:00:00 GMT</t>
  </si>
  <si>
    <t>Mon, 25 Mar 2024 00:00:00 GMT</t>
  </si>
  <si>
    <t>Tue, 26 Mar 2024 00:00:00 GMT</t>
  </si>
  <si>
    <t>Wed, 27 Mar 2024 00:00:00 GMT</t>
  </si>
  <si>
    <t>Thu, 28 Mar 2024 00:00:00 GMT</t>
  </si>
  <si>
    <t>Mon, 01 Apr 2024 00:00:00 GMT</t>
  </si>
  <si>
    <t>Tue, 02 Apr 2024 00:00:00 GMT</t>
  </si>
  <si>
    <t>Wed, 03 Apr 2024 00:00:00 GMT</t>
  </si>
  <si>
    <t>Thu, 04 Apr 2024 00:00:00 GMT</t>
  </si>
  <si>
    <t>Fri, 05 Apr 2024 00:00:00 GMT</t>
  </si>
  <si>
    <t>Mon, 08 Apr 2024 00:00:00 GMT</t>
  </si>
  <si>
    <t>Tue, 09 Apr 2024 00:00:00 GMT</t>
  </si>
  <si>
    <t>Wed, 10 Apr 2024 00:00:00 GMT</t>
  </si>
  <si>
    <t>Thu, 11 Apr 2024 00:00:00 GMT</t>
  </si>
  <si>
    <t>Fri, 12 Apr 2024 00:00:00 GMT</t>
  </si>
  <si>
    <t>Mon, 15 Apr 2024 00:00:00 GMT</t>
  </si>
  <si>
    <t>Tue, 16 Apr 2024 00:00:00 GMT</t>
  </si>
  <si>
    <t>Wed, 17 Apr 2024 00:00:00 GMT</t>
  </si>
  <si>
    <t>Thu, 18 Apr 2024 00:00:00 GMT</t>
  </si>
  <si>
    <t>Fri, 19 Apr 2024 00:00:00 GMT</t>
  </si>
  <si>
    <t>Mon, 22 Apr 2024 00:00:00 GMT</t>
  </si>
  <si>
    <t>Tue, 23 Apr 2024 00:00:00 GMT</t>
  </si>
  <si>
    <t>Wed, 24 Apr 2024 00:00:00 GMT</t>
  </si>
  <si>
    <t>Thu, 25 Apr 2024 00:00:00 GMT</t>
  </si>
  <si>
    <t>Fri, 26 Apr 2024 00:00:00 GMT</t>
  </si>
  <si>
    <t>Mon, 29 Apr 2024 00:00:00 GMT</t>
  </si>
  <si>
    <t>Tue, 30 Apr 2024 00:00:00 GMT</t>
  </si>
  <si>
    <t>Wed, 01 May 2024 00:00:00 GMT</t>
  </si>
  <si>
    <t>Thu, 02 May 2024 00:00:00 GMT</t>
  </si>
  <si>
    <t>Fri, 03 May 2024 00:00:00 GMT</t>
  </si>
  <si>
    <t>Mon, 06 May 2024 00:00:00 GMT</t>
  </si>
  <si>
    <t>Tue, 07 May 2024 00:00:00 GMT</t>
  </si>
  <si>
    <t>Wed, 08 May 2024 00:00:00 GMT</t>
  </si>
  <si>
    <t>Thu, 09 May 2024 00:00:00 GMT</t>
  </si>
  <si>
    <t>Fri, 10 May 2024 00:00:00 GMT</t>
  </si>
  <si>
    <t>Mon, 13 May 2024 00:00:00 GMT</t>
  </si>
  <si>
    <t>Tue, 14 May 2024 00:00:00 GMT</t>
  </si>
  <si>
    <t>Wed, 15 May 2024 00:00:00 GMT</t>
  </si>
  <si>
    <t>Thu, 16 May 2024 00:00:00 GMT</t>
  </si>
  <si>
    <t>Fri, 17 May 2024 00:00:00 GMT</t>
  </si>
  <si>
    <t>Mon, 20 May 2024 00:00:00 GMT</t>
  </si>
  <si>
    <t>Tue, 21 May 2024 00:00:00 GMT</t>
  </si>
  <si>
    <t>Wed, 22 May 2024 00:00:00 GMT</t>
  </si>
  <si>
    <t>Thu, 23 May 2024 00:00:00 GMT</t>
  </si>
  <si>
    <t>Fri, 24 May 2024 00:00:00 GMT</t>
  </si>
  <si>
    <t>Tue, 28 May 2024 00:00:00 GMT</t>
  </si>
  <si>
    <t>Wed, 29 May 2024 00:00:00 GMT</t>
  </si>
  <si>
    <t>Thu, 30 May 2024 00:00:00 GMT</t>
  </si>
  <si>
    <t>Fri, 31 May 2024 00:00:00 GMT</t>
  </si>
  <si>
    <t>Mon, 03 Jun 2024 00:00:00 GMT</t>
  </si>
  <si>
    <t>Tue, 04 Jun 2024 00:00:00 GMT</t>
  </si>
  <si>
    <t>Wed, 05 Jun 2024 00:00:00 GMT</t>
  </si>
  <si>
    <t>Thu, 06 Jun 2024 00:00:00 GMT</t>
  </si>
  <si>
    <t>Fri, 07 Jun 2024 00:00:00 GMT</t>
  </si>
  <si>
    <t>Mon, 10 Jun 2024 00:00:00 GMT</t>
  </si>
  <si>
    <t>Tue, 11 Jun 2024 00:00:00 GMT</t>
  </si>
  <si>
    <t>Wed, 12 Jun 2024 00:00:00 GMT</t>
  </si>
  <si>
    <t>Thu, 13 Jun 2024 00:00:00 GMT</t>
  </si>
  <si>
    <t>Fri, 14 Jun 2024 00:00:00 GMT</t>
  </si>
  <si>
    <t>Mon, 17 Jun 2024 00:00:00 GMT</t>
  </si>
  <si>
    <t>Tue, 18 Jun 2024 00:00:00 GMT</t>
  </si>
  <si>
    <t>Thu, 20 Jun 2024 00:00:00 GMT</t>
  </si>
  <si>
    <t>Fri, 21 Jun 2024 00:00:00 GMT</t>
  </si>
  <si>
    <t>Mon, 24 Jun 2024 00:00:00 GMT</t>
  </si>
  <si>
    <t>Tue, 25 Jun 2024 00:00:00 GMT</t>
  </si>
  <si>
    <t>Wed, 26 Jun 2024 00:00:00 GMT</t>
  </si>
  <si>
    <t>Thu, 27 Jun 2024 00:00:00 GMT</t>
  </si>
  <si>
    <t>Fri, 28 Jun 2024 00:00:00 GMT</t>
  </si>
  <si>
    <t>Mon, 01 Jul 2024 00:00:00 GMT</t>
  </si>
  <si>
    <t>Tue, 02 Jul 2024 00:00:00 GMT</t>
  </si>
  <si>
    <t>Wed, 03 Jul 2024 00:00:00 GMT</t>
  </si>
  <si>
    <t>Fri, 05 Jul 2024 00:00:00 GMT</t>
  </si>
  <si>
    <t>Mon, 08 Jul 2024 00:00:00 GMT</t>
  </si>
  <si>
    <t>Tue, 09 Jul 2024 00:00:00 GMT</t>
  </si>
  <si>
    <t>Wed, 10 Jul 2024 00:00:00 GMT</t>
  </si>
  <si>
    <t>Thu, 11 Jul 2024 00:00:00 GMT</t>
  </si>
  <si>
    <t>Fri, 12 Jul 2024 00:00:00 GMT</t>
  </si>
  <si>
    <t>Mon, 15 Jul 2024 00:00:00 GMT</t>
  </si>
  <si>
    <t>Tue, 16 Jul 2024 00:00:00 GMT</t>
  </si>
  <si>
    <t>Wed, 17 Jul 2024 00:00:00 GMT</t>
  </si>
  <si>
    <t>Thu, 18 Jul 2024 00:00:00 GMT</t>
  </si>
  <si>
    <t>Fri, 19 Jul 2024 00:00:00 GMT</t>
  </si>
  <si>
    <t>Mon, 22 Jul 2024 00:00:00 GMT</t>
  </si>
  <si>
    <t>Tue, 23 Jul 2024 00:00:00 GMT</t>
  </si>
  <si>
    <t>Wed, 24 Jul 2024 00:00:00 GMT</t>
  </si>
  <si>
    <t>Thu, 25 Jul 2024 00:00:00 GMT</t>
  </si>
  <si>
    <t>Fri, 26 Jul 2024 00:00:00 GMT</t>
  </si>
  <si>
    <t>Mon, 29 Jul 2024 00:00:00 GMT</t>
  </si>
  <si>
    <t>Tue, 30 Jul 2024 00:00:00 GMT</t>
  </si>
  <si>
    <t>Wed, 31 Jul 2024 00:00:00 GMT</t>
  </si>
  <si>
    <t>Thu, 01 Aug 2024 00:00:00 GMT</t>
  </si>
  <si>
    <t>Fri, 02 Aug 2024 00:00:00 GMT</t>
  </si>
  <si>
    <t>Mon, 05 Aug 2024 00:00:00 GMT</t>
  </si>
  <si>
    <t>Tue, 06 Aug 2024 00:00:00 GMT</t>
  </si>
  <si>
    <t>Wed, 07 Aug 2024 00:00:00 GMT</t>
  </si>
  <si>
    <t>Thu, 08 Aug 2024 00:00:00 GMT</t>
  </si>
  <si>
    <t>Fri, 09 Aug 2024 00:00:00 GMT</t>
  </si>
  <si>
    <t>Mon, 12 Aug 2024 00:00:00 GMT</t>
  </si>
  <si>
    <t>Tue, 13 Aug 2024 00:00:00 GMT</t>
  </si>
  <si>
    <t>Wed, 14 Aug 2024 00:00:00 GMT</t>
  </si>
  <si>
    <t>Thu, 15 Aug 2024 00:00:00 GMT</t>
  </si>
  <si>
    <t>Fri, 16 Aug 2024 00:00:00 GMT</t>
  </si>
  <si>
    <t>Mon, 19 Aug 2024 00:00:00 GMT</t>
  </si>
  <si>
    <t>Tue, 20 Aug 2024 00:00:00 GMT</t>
  </si>
  <si>
    <t>Wed, 21 Aug 2024 00:00:00 GMT</t>
  </si>
  <si>
    <t>Thu, 22 Aug 2024 00:00:00 GMT</t>
  </si>
  <si>
    <t>Fri, 23 Aug 2024 00:00:00 GMT</t>
  </si>
  <si>
    <t>Mon, 26 Aug 2024 00:00:00 GMT</t>
  </si>
  <si>
    <t>Tue, 27 Aug 2024 00:00:00 GMT</t>
  </si>
  <si>
    <t>Wed, 28 Aug 2024 00:00:00 GMT</t>
  </si>
  <si>
    <t>Thu, 29 Aug 2024 00:00:00 GMT</t>
  </si>
  <si>
    <t>Fri, 30 Aug 2024 00:00:00 GMT</t>
  </si>
  <si>
    <t>Tue, 03 Sep 2024 00:00:00 GMT</t>
  </si>
  <si>
    <t>Wed, 04 Sep 2024 00:00:00 GMT</t>
  </si>
  <si>
    <t>Thu, 05 Sep 2024 00:00:00 GMT</t>
  </si>
  <si>
    <t>Fri, 06 Sep 2024 00:00:00 GMT</t>
  </si>
  <si>
    <t>Mon, 09 Sep 2024 00:00:00 GMT</t>
  </si>
  <si>
    <t>Tue, 10 Sep 2024 00:00:00 GMT</t>
  </si>
  <si>
    <t>Wed, 11 Sep 2024 00:00:00 GMT</t>
  </si>
  <si>
    <t>Thu, 12 Sep 2024 00:00:00 GMT</t>
  </si>
  <si>
    <t>Fri, 13 Sep 2024 00:00:00 GMT</t>
  </si>
  <si>
    <t>Mon, 16 Sep 2024 00:00:00 GMT</t>
  </si>
  <si>
    <t>Tue, 17 Sep 2024 00:00:00 GMT</t>
  </si>
  <si>
    <t>Wed, 18 Sep 2024 00:00:00 GMT</t>
  </si>
  <si>
    <t>Thu, 19 Sep 2024 00:00:00 GMT</t>
  </si>
  <si>
    <t>Fri, 20 Sep 2024 00:00:00 GMT</t>
  </si>
  <si>
    <t>Mon, 23 Sep 2024 00:00:00 GMT</t>
  </si>
  <si>
    <t>Tue, 24 Sep 2024 00:00:00 GMT</t>
  </si>
  <si>
    <t>Wed, 25 Sep 2024 00:00:00 GMT</t>
  </si>
  <si>
    <t>Thu, 26 Sep 2024 00:00:00 GMT</t>
  </si>
  <si>
    <t>Fri, 27 Sep 2024 00:00:00 GMT</t>
  </si>
  <si>
    <t>Mon, 30 Sep 2024 00:00:00 GMT</t>
  </si>
  <si>
    <t>Tue, 01 Oct 2024 00:00:00 GMT</t>
  </si>
  <si>
    <t>Wed, 02 Oct 2024 00:00:00 GMT</t>
  </si>
  <si>
    <t>Thu, 03 Oct 2024 00:00:00 GMT</t>
  </si>
  <si>
    <t>Fri, 04 Oct 2024 00:00:00 GMT</t>
  </si>
  <si>
    <t>Mon, 07 Oct 2024 00:00:00 GMT</t>
  </si>
  <si>
    <t>Tue, 08 Oct 2024 00:00:00 GMT</t>
  </si>
  <si>
    <t>Wed, 09 Oct 2024 00:00:00 GMT</t>
  </si>
  <si>
    <t>Thu, 10 Oct 2024 00:00:00 GMT</t>
  </si>
  <si>
    <t>Fri, 11 Oct 2024 00:00:00 GMT</t>
  </si>
  <si>
    <t>Mon, 14 Oct 2024 00:00:00 GMT</t>
  </si>
  <si>
    <t>Tue, 15 Oct 2024 00:00:00 GMT</t>
  </si>
  <si>
    <t>Wed, 16 Oct 2024 00:00:00 GMT</t>
  </si>
  <si>
    <t>Thu, 17 Oct 2024 00:00:00 GMT</t>
  </si>
  <si>
    <t>Fri, 18 Oct 2024 00:00:00 GMT</t>
  </si>
  <si>
    <t>Mon, 21 Oct 2024 00:00:00 GMT</t>
  </si>
  <si>
    <t>Tue, 22 Oct 2024 00:00:00 GMT</t>
  </si>
  <si>
    <t>Wed, 23 Oct 2024 00:00:00 GMT</t>
  </si>
  <si>
    <t>Thu, 24 Oct 2024 00:00:00 GMT</t>
  </si>
  <si>
    <t>Fri, 25 Oct 2024 00:00:00 GMT</t>
  </si>
  <si>
    <t>Mon, 28 Oct 2024 00:00:00 GMT</t>
  </si>
  <si>
    <t>Tue, 29 Oct 2024 00:00:00 GMT</t>
  </si>
  <si>
    <t>Wed, 30 Oct 2024 00:00:00 GMT</t>
  </si>
  <si>
    <t>Thu, 31 Oct 2024 00:00:00 GMT</t>
  </si>
  <si>
    <t>Fri, 01 Nov 2024 00:00:00 GMT</t>
  </si>
  <si>
    <t>Mon, 04 Nov 2024 00:00:00 GMT</t>
  </si>
  <si>
    <t>Tue, 05 Nov 2024 00:00:00 GMT</t>
  </si>
  <si>
    <t>Wed, 06 Nov 2024 00:00:00 GMT</t>
  </si>
  <si>
    <t>Thu, 07 Nov 2024 00:00:00 GMT</t>
  </si>
  <si>
    <t>Fri, 08 Nov 2024 00:00:00 GMT</t>
  </si>
  <si>
    <t>Mon, 11 Nov 2024 00:00:00 GMT</t>
  </si>
  <si>
    <t>Tue, 12 Nov 2024 00:00:00 GMT</t>
  </si>
  <si>
    <t>Wed, 13 Nov 2024 00:00:00 GMT</t>
  </si>
  <si>
    <t>Thu, 14 Nov 2024 00:00:00 GMT</t>
  </si>
  <si>
    <t>Fri, 15 Nov 2024 00:00:00 GMT</t>
  </si>
  <si>
    <t>Mon, 18 Nov 2024 00:00:00 GMT</t>
  </si>
  <si>
    <t>Tue, 19 Nov 2024 00:00:00 GMT</t>
  </si>
  <si>
    <t>Wed, 20 Nov 2024 00:00:00 GMT</t>
  </si>
  <si>
    <t>Thu, 21 Nov 2024 00:00:00 GMT</t>
  </si>
  <si>
    <t>Fri, 22 Nov 2024 00:00:00 GMT</t>
  </si>
  <si>
    <t>Mon, 25 Nov 2024 00:00:00 GMT</t>
  </si>
  <si>
    <t>Tue, 26 Nov 2024 00:00:00 GMT</t>
  </si>
  <si>
    <t>Wed, 27 Nov 2024 00:00:00 GMT</t>
  </si>
  <si>
    <t>Fri, 29 Nov 2024 00:00:00 GMT</t>
  </si>
  <si>
    <t>Mon, 02 Dec 2024 00:00:00 GMT</t>
  </si>
  <si>
    <t>Tue, 03 Dec 2024 00:00:00 GMT</t>
  </si>
  <si>
    <t>Wed, 04 Dec 2024 00:00:00 GMT</t>
  </si>
  <si>
    <t>Thu, 05 Dec 2024 00:00:00 GMT</t>
  </si>
  <si>
    <t>Fri, 06 Dec 2024 00:00:00 GMT</t>
  </si>
  <si>
    <t>Mon, 09 Dec 2024 00:00:00 GMT</t>
  </si>
  <si>
    <t>Tue, 10 Dec 2024 00:00:00 GMT</t>
  </si>
  <si>
    <t>Wed, 11 Dec 2024 00:00:00 GMT</t>
  </si>
  <si>
    <t>Thu, 12 Dec 2024 00:00:00 GMT</t>
  </si>
  <si>
    <t>Fri, 13 Dec 2024 00:00:00 GMT</t>
  </si>
  <si>
    <t>Mon, 16 Dec 2024 00:00:00 GMT</t>
  </si>
  <si>
    <t>Tue, 17 Dec 2024 00:00:00 GMT</t>
  </si>
  <si>
    <t>Wed, 18 Dec 2024 00:00:00 GMT</t>
  </si>
  <si>
    <t>Thu, 19 Dec 2024 00:00:00 GMT</t>
  </si>
  <si>
    <t>Fri, 20 Dec 2024 00:00:00 GMT</t>
  </si>
  <si>
    <t>Mon, 23 Dec 2024 00:00:00 GMT</t>
  </si>
  <si>
    <t>Tue, 24 Dec 2024 00:00:00 GMT</t>
  </si>
  <si>
    <t>Thu, 26 Dec 2024 00:00:00 GMT</t>
  </si>
  <si>
    <t>Fri, 27 Dec 2024 00:00:00 GMT</t>
  </si>
  <si>
    <t>Mon, 30 Dec 2024 00:00:00 GMT</t>
  </si>
  <si>
    <t>Tue, 31 Dec 2024 00:00:00 GMT</t>
  </si>
  <si>
    <t>Thu, 02 Jan 2025 00:00:00 GMT</t>
  </si>
  <si>
    <t>Fri, 03 Jan 2025 00:00:00 GMT</t>
  </si>
  <si>
    <t>Mon, 06 Jan 2025 00:00:00 GMT</t>
  </si>
  <si>
    <t>Tue, 07 Jan 2025 00:00:00 GMT</t>
  </si>
  <si>
    <t>Wed, 08 Jan 2025 00:00:00 GMT</t>
  </si>
  <si>
    <t>Fri, 10 Jan 2025 00:00:00 GMT</t>
  </si>
  <si>
    <t>Mon, 13 Jan 2025 00:00:00 GMT</t>
  </si>
  <si>
    <t>Tue, 14 Jan 2025 00:00:00 GMT</t>
  </si>
  <si>
    <t>Wed, 15 Jan 2025 00:00:00 GMT</t>
  </si>
  <si>
    <t>Thu, 16 Jan 2025 00:00:00 GMT</t>
  </si>
  <si>
    <t>Fri, 17 Jan 2025 00:00:00 GMT</t>
  </si>
  <si>
    <t>Tue, 21 Jan 2025 00:00:00 GMT</t>
  </si>
  <si>
    <t>Wed, 22 Jan 2025 00:00:00 GMT</t>
  </si>
  <si>
    <t>Thu, 23 Jan 2025 00:00:00 GMT</t>
  </si>
  <si>
    <t>Fri, 24 Jan 2025 00:00:00 GMT</t>
  </si>
  <si>
    <t>Mon, 27 Jan 2025 00:00:00 GMT</t>
  </si>
  <si>
    <t>Tue, 28 Jan 2025 00:00:00 GMT</t>
  </si>
  <si>
    <t>Wed, 29 Jan 2025 00:00:00 GMT</t>
  </si>
  <si>
    <t>Thu, 30 Jan 2025 00:00:00 GMT</t>
  </si>
  <si>
    <t>Fri, 31 Jan 2025 00:00:00 GMT</t>
  </si>
  <si>
    <t>Mon, 03 Feb 2025 00:00:00 GMT</t>
  </si>
  <si>
    <t>Tue, 04 Feb 2025 00:00:00 GMT</t>
  </si>
  <si>
    <t>Wed, 05 Feb 2025 00:00:00 GMT</t>
  </si>
  <si>
    <t>Thu, 06 Feb 2025 00:00:00 GMT</t>
  </si>
  <si>
    <t>Fri, 07 Feb 2025 00:00:00 GMT</t>
  </si>
  <si>
    <t>Mon, 10 Feb 2025 00:00:00 GMT</t>
  </si>
  <si>
    <t>Tue, 11 Feb 2025 00:00:00 GMT</t>
  </si>
  <si>
    <t>Wed, 12 Feb 2025 00:00:00 GMT</t>
  </si>
  <si>
    <t>Thu, 13 Feb 2025 00:00:00 GMT</t>
  </si>
  <si>
    <t>Fri, 14 Feb 2025 00:00:00 GMT</t>
  </si>
  <si>
    <t>Tue, 18 Feb 2025 00:00:00 GMT</t>
  </si>
  <si>
    <t>Wed, 19 Feb 2025 00:00:00 GMT</t>
  </si>
  <si>
    <t>Thu, 20 Feb 2025 00:00:00 GMT</t>
  </si>
  <si>
    <t>Fri, 21 Feb 2025 00:00:00 GMT</t>
  </si>
  <si>
    <t>Mon, 24 Feb 2025 00:00:00 GMT</t>
  </si>
  <si>
    <t>Tue, 25 Feb 2025 00:00:00 GMT</t>
  </si>
  <si>
    <t>Wed, 26 Feb 2025 00:00:00 GMT</t>
  </si>
  <si>
    <t>Thu, 27 Feb 2025 00:00:00 GMT</t>
  </si>
  <si>
    <t>Fri, 28 Feb 2025 00:00:00 GMT</t>
  </si>
  <si>
    <t>Mon, 03 Mar 2025 00:00:00 GMT</t>
  </si>
  <si>
    <t>Tue, 04 Mar 2025 00:00:00 GMT</t>
  </si>
  <si>
    <t>Wed, 05 Mar 2025 00:00:00 GMT</t>
  </si>
  <si>
    <t>Thu, 06 Mar 2025 00:00:00 GMT</t>
  </si>
  <si>
    <t>Fri, 07 Mar 2025 00:00:00 GMT</t>
  </si>
  <si>
    <t>Mon, 10 Mar 2025 00:00:00 GMT</t>
  </si>
  <si>
    <t>Tue, 11 Mar 2025 00:00:00 GMT</t>
  </si>
  <si>
    <t>Wed, 12 Mar 2025 00:00:00 GMT</t>
  </si>
  <si>
    <t>Thu, 13 Mar 2025 00:00:00 GMT</t>
  </si>
  <si>
    <t>Fri, 14 Mar 2025 00:00:00 GMT</t>
  </si>
  <si>
    <t>Mon, 17 Mar 2025 00:00:00 GMT</t>
  </si>
  <si>
    <t>Tue, 18 Mar 2025 00:00:00 GMT</t>
  </si>
  <si>
    <t>Wed, 19 Mar 2025 00:00:00 GMT</t>
  </si>
  <si>
    <t>Thu, 20 Mar 2025 00:00:00 GMT</t>
  </si>
  <si>
    <t>Fri, 21 Mar 2025 00:00:00 GMT</t>
  </si>
  <si>
    <t>Mon, 24 Mar 2025 00:00:00 GMT</t>
  </si>
  <si>
    <t>Tue, 25 Mar 2025 00:00:00 GMT</t>
  </si>
  <si>
    <t>Wed, 26 Mar 2025 00:00:00 GMT</t>
  </si>
  <si>
    <t>Thu, 27 Mar 2025 00:00:00 GMT</t>
  </si>
  <si>
    <t>Fri, 28 Mar 2025 00:00:00 GMT</t>
  </si>
  <si>
    <t>Mon, 31 Mar 2025 00:00:00 GMT</t>
  </si>
  <si>
    <t>Tue, 01 Apr 2025 00:00:00 GMT</t>
  </si>
  <si>
    <t>Wed, 02 Apr 2025 00:00:00 GMT</t>
  </si>
  <si>
    <t>Thu, 03 Apr 2025 00:00:00 GMT</t>
  </si>
  <si>
    <t>Fri, 04 Apr 2025 00:00:00 GMT</t>
  </si>
  <si>
    <t>Mon, 07 Apr 2025 00:00:00 GMT</t>
  </si>
  <si>
    <t>Tue, 08 Apr 2025 00:00:00 GMT</t>
  </si>
  <si>
    <t>Wed, 09 Apr 2025 00:00:00 GMT</t>
  </si>
  <si>
    <t>Thu, 10 Apr 2025 00:00:00 GMT</t>
  </si>
  <si>
    <t>Fri, 11 Apr 2025 00:00:00 GMT</t>
  </si>
  <si>
    <t>Mon, 14 Apr 2025 00:00:00 GMT</t>
  </si>
  <si>
    <t>Tue, 15 Apr 2025 00:00:00 GMT</t>
  </si>
  <si>
    <t>Wed, 16 Apr 2025 00:00:00 GMT</t>
  </si>
  <si>
    <t>Thu, 17 Apr 2025 00:00:00 GMT</t>
  </si>
  <si>
    <t>Mon, 21 Apr 2025 00:00:00 GMT</t>
  </si>
  <si>
    <t>Tue, 22 Apr 2025 00:00:00 GMT</t>
  </si>
  <si>
    <t>Wed, 23 Apr 2025 00:00:00 GMT</t>
  </si>
  <si>
    <t>Thu, 24 Apr 2025 00:00:00 GMT</t>
  </si>
  <si>
    <t>Fri, 25 Apr 2025 00:00:00 GMT</t>
  </si>
  <si>
    <t>Mon, 28 Apr 2025 00:00:00 GMT</t>
  </si>
  <si>
    <t>Tue, 29 Apr 2025 00:00:00 GMT</t>
  </si>
  <si>
    <t>Wed, 30 Apr 2025 00:00:00 GMT</t>
  </si>
  <si>
    <t>Thu, 01 May 2025 00:00:00 GMT</t>
  </si>
  <si>
    <t>Fri, 02 May 2025 00:00:00 GMT</t>
  </si>
  <si>
    <t>Mon, 05 May 2025 00:00:00 GMT</t>
  </si>
  <si>
    <t>Tue, 06 May 2025 00:00:00 GMT</t>
  </si>
  <si>
    <t>Wed, 07 May 2025 00:00:00 GMT</t>
  </si>
  <si>
    <t>Thu, 08 May 2025 00:00:00 GMT</t>
  </si>
  <si>
    <t>Fri, 09 May 2025 00:00:00 GMT</t>
  </si>
  <si>
    <t>Mon, 12 May 2025 00:00:00 GMT</t>
  </si>
  <si>
    <t>Tue, 13 May 2025 00:00:00 GMT</t>
  </si>
  <si>
    <t>Wed, 14 May 2025 00:00:00 GMT</t>
  </si>
  <si>
    <t>Thu, 15 May 2025 00:00:00 GMT</t>
  </si>
  <si>
    <t>Fri, 16 May 2025 00:00:00 GMT</t>
  </si>
  <si>
    <t>Mon, 19 May 2025 00:00:00 GMT</t>
  </si>
  <si>
    <t>Tue, 20 May 2025 00:00:00 GMT</t>
  </si>
  <si>
    <t>Wed, 21 May 2025 00:00:00 GMT</t>
  </si>
  <si>
    <t>Thu, 22 May 2025 00:00:00 GMT</t>
  </si>
  <si>
    <t>Fri, 23 May 2025 00:00:00 GMT</t>
  </si>
  <si>
    <t xml:space="preserve">Revenue Breakdown by Segment </t>
  </si>
  <si>
    <t>Institutional Ownership Snapshot (5/25/2025)</t>
  </si>
  <si>
    <t>More</t>
  </si>
  <si>
    <r>
      <rPr>
        <i/>
        <sz val="11"/>
        <color theme="1"/>
        <rFont val="Calibre"/>
      </rPr>
      <t>1758</t>
    </r>
    <r>
      <rPr>
        <sz val="11"/>
        <color theme="1"/>
        <rFont val="Calibre"/>
      </rPr>
      <t xml:space="preserve"> Trading Days? (From: </t>
    </r>
    <r>
      <rPr>
        <i/>
        <sz val="11"/>
        <color theme="1"/>
        <rFont val="Calibre"/>
      </rPr>
      <t>5/25/2018 - 5/25/2018</t>
    </r>
    <r>
      <rPr>
        <sz val="11"/>
        <color theme="1"/>
        <rFont val="Calibre"/>
      </rPr>
      <t>)</t>
    </r>
  </si>
  <si>
    <t xml:space="preserve">[CRM] Historical Return Histogram (Date Built) </t>
  </si>
  <si>
    <t>[CRM] Major Acquisitions (2000s - Present)</t>
  </si>
  <si>
    <t>5/28/2025 -- Salesforce acquires Informatica for ~$8 billion</t>
  </si>
  <si>
    <t>Y/y Total Revenues, Net Income, FCF</t>
  </si>
  <si>
    <t>Q/q Total Revenues, Net Income, FCF</t>
  </si>
  <si>
    <t xml:space="preserve">Investors do not want management to try and paper over the lack of organic growth … </t>
  </si>
  <si>
    <t xml:space="preserve">Ex. RBC analyst Rishi Jaluria downgraded Salesforce’s stock and expressed concern that the company was again prioritizing acquisitions over internal innovation. </t>
  </si>
  <si>
    <t>He highlighted that while Salesforce has historically been a major acquirer, recent large deals have not been fully integrated, raising doubts about their long-term benefits</t>
  </si>
  <si>
    <t>Almost 10 billion in net Cash and C.E.s is an interesting prospect</t>
  </si>
  <si>
    <t>I wish they'd work to develop some of these tools in house … feels like management just acquires a bunch of companys, and their value-add is creating the software to hold it all together through string and tape (conglomerate style)</t>
  </si>
  <si>
    <t>Ex. Tableau, Slack, MuleSoft, all still feel like individual enterprise applications, with minimal efforts to integrate or create additional value from the acquisitions… it's merily something to own in the tech stack</t>
  </si>
  <si>
    <t>The Company has faced shareholder revolts lead by activist investors before</t>
  </si>
  <si>
    <t>Back in early 2023, notable activist investors such as ValueAct Capital, Elliott Management, and Starboard Value publicly criticized Salesforce’s strategic direction, including its acquisition strategy and focus on profitability</t>
  </si>
  <si>
    <t>This led to calls for increased stock repurchases, cost reductions, and the elimination of Salesforce’s M&amp;A board committee</t>
  </si>
  <si>
    <t>[I have relatively little "trust" in Benioff and the CRM mangement team, but the firm still sits upon incredible soft market power]</t>
  </si>
  <si>
    <t>Informatica’s unglamorous but essential data governance tools will transform Salesforce’s Einstein AI and new Agentforce platform into something unprecedented. AI agents that actually understand what they’re looking at</t>
  </si>
  <si>
    <t>As companies rush to deploy AI across their operations, most are discovering their data is too fragmented, unreliable, or poorly understood to power truly autonomous systems</t>
  </si>
  <si>
    <t>Salesforce’s $8 billion gamble is that whoever solves this “AI trust” problem first will control the future of enterprise automation</t>
  </si>
  <si>
    <t>Mixed reactions from analysts</t>
  </si>
  <si>
    <t>Morgan Stanley analysts are bullish on the AI angle, arguing that the AI potential within Salesforce isn’t fully reflected in the current stock price</t>
  </si>
  <si>
    <t>They believe Salesforce has “significant room for upside” despite recent earnings challenges, positioning the Informatica deal as a catalyst for that growth</t>
  </si>
  <si>
    <t>Loop Capital maintained a more measured stance, acknowledging the acquisition’s potential to positively impact margins, earnings, and cash flow</t>
  </si>
  <si>
    <t xml:space="preserve">DA Davidson analysts remain skeptical about acquiring what is being called a “legacy technology company that has lost its growth” … </t>
  </si>
  <si>
    <t>It's simple yet damning that you can’t fix a growth problem by buying another company with growth problems</t>
  </si>
  <si>
    <t>Expensive band-aid ??? or the future of AI, bringing about enterprise agentic AI</t>
  </si>
  <si>
    <t>I have my personal hesitencies around a tech company acquiring all of their tools over highering top talent, and developing something proprietary in house …</t>
  </si>
  <si>
    <t>This approach would avoid the integration risks that have plagued previous deals while maintaining technological coherence across the platform something the Informatica acquisition threatens to disrupt</t>
  </si>
  <si>
    <t>Fixed Asset Turnover</t>
  </si>
  <si>
    <t>Projected ROIC:</t>
  </si>
  <si>
    <t>https://investor.salesforce.com/overview/default.aspx</t>
  </si>
  <si>
    <t>ROIC, WACC</t>
  </si>
  <si>
    <t>https://www.gurufocus.com/term/wacc/CRM</t>
  </si>
  <si>
    <t>9/3/2025</t>
  </si>
  <si>
    <t>Fiscal Year: [February - January]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</si>
</sst>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
    <numFmt numFmtId="165" formatCode="_(* #,##0.0_);_(* \(#,##0.0\);_(* &quot;-&quot;??_);_(@_)"/>
    <numFmt numFmtId="166" formatCode="_(* #,##0_);_(* \(#,##0\);_(* &quot;-&quot;??_);_(@_)"/>
  </numFmts>
  <fonts count="21">
    <font>
      <sz val="11"/>
      <color theme="1"/>
      <name val="Calibri"/>
      <family val="2"/>
      <scheme val="minor"/>
    </font>
    <font>
      <sz val="11"/>
      <color theme="1"/>
      <name val="Calibri"/>
      <family val="2"/>
      <scheme val="minor"/>
    </font>
    <font>
      <sz val="11"/>
      <color theme="1"/>
      <name val="Calibre"/>
    </font>
    <font>
      <b/>
      <sz val="11"/>
      <color theme="1"/>
      <name val="Calibre"/>
    </font>
    <font>
      <b/>
      <sz val="11"/>
      <color theme="0"/>
      <name val="Calibre"/>
    </font>
    <font>
      <sz val="11"/>
      <color theme="0"/>
      <name val="Calibre"/>
    </font>
    <font>
      <b/>
      <sz val="10"/>
      <name val="Arial"/>
      <family val="2"/>
    </font>
    <font>
      <i/>
      <sz val="11"/>
      <color theme="1"/>
      <name val="Calibre"/>
    </font>
    <font>
      <b/>
      <sz val="10"/>
      <name val="Calibre"/>
    </font>
    <font>
      <i/>
      <sz val="11"/>
      <color theme="1"/>
      <name val="Calibri"/>
      <family val="2"/>
      <scheme val="minor"/>
    </font>
    <font>
      <b/>
      <i/>
      <sz val="11"/>
      <color theme="1"/>
      <name val="Calibri"/>
      <family val="2"/>
      <scheme val="minor"/>
    </font>
    <font>
      <b/>
      <sz val="11"/>
      <name val="Calibre"/>
    </font>
    <font>
      <u/>
      <sz val="11"/>
      <color theme="10"/>
      <name val="Calibri"/>
      <family val="2"/>
      <scheme val="minor"/>
    </font>
    <font>
      <u/>
      <sz val="11"/>
      <color rgb="FF00B0F0"/>
      <name val="Calibre"/>
    </font>
    <font>
      <sz val="11"/>
      <color theme="4" tint="-0.499984740745262"/>
      <name val="Calibre"/>
    </font>
    <font>
      <b/>
      <sz val="11"/>
      <color theme="4" tint="-0.499984740745262"/>
      <name val="Calibre"/>
    </font>
    <font>
      <sz val="11"/>
      <color rgb="FF0070C0"/>
      <name val="Calibre"/>
    </font>
    <font>
      <b/>
      <sz val="11"/>
      <color rgb="FF0070C0"/>
      <name val="Calibre"/>
    </font>
    <font>
      <sz val="11"/>
      <name val="Calibre"/>
    </font>
    <font>
      <sz val="10"/>
      <name val="Arial"/>
      <family val="2"/>
    </font>
    <font>
      <sz val="11"/>
      <color theme="4" tint="-0.249977111117893"/>
      <name val="Calibre"/>
    </font>
  </fonts>
  <fills count="6">
    <fill>
      <patternFill patternType="none"/>
    </fill>
    <fill>
      <patternFill patternType="gray125"/>
    </fill>
    <fill>
      <patternFill patternType="solid">
        <fgColor rgb="FF002060"/>
        <bgColor indexed="64"/>
      </patternFill>
    </fill>
    <fill>
      <patternFill patternType="solid">
        <fgColor theme="8" tint="-0.249977111117893"/>
        <bgColor indexed="64"/>
      </patternFill>
    </fill>
    <fill>
      <patternFill patternType="solid">
        <fgColor theme="4" tint="0.79998168889431442"/>
        <bgColor theme="4" tint="0.79998168889431442"/>
      </patternFill>
    </fill>
    <fill>
      <patternFill patternType="solid">
        <fgColor rgb="FFF5F5F5"/>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bottom/>
      <diagonal/>
    </border>
    <border>
      <left/>
      <right style="thin">
        <color indexed="64"/>
      </right>
      <top/>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right/>
      <top style="medium">
        <color indexed="64"/>
      </top>
      <bottom style="thin">
        <color indexed="64"/>
      </bottom>
      <diagonal/>
    </border>
    <border>
      <left/>
      <right/>
      <top/>
      <bottom style="medium">
        <color indexed="64"/>
      </bottom>
      <diagonal/>
    </border>
  </borders>
  <cellStyleXfs count="4">
    <xf numFmtId="0" fontId="0" fillId="0" borderId="0"/>
    <xf numFmtId="9" fontId="1" fillId="0" borderId="0" applyFont="0" applyFill="0" applyBorder="0" applyAlignment="0" applyProtection="0"/>
    <xf numFmtId="0" fontId="12" fillId="0" borderId="0" applyNumberFormat="0" applyFill="0" applyBorder="0" applyAlignment="0" applyProtection="0"/>
    <xf numFmtId="43" fontId="1" fillId="0" borderId="0" applyFont="0" applyFill="0" applyBorder="0" applyAlignment="0" applyProtection="0"/>
  </cellStyleXfs>
  <cellXfs count="81">
    <xf numFmtId="0" fontId="0" fillId="0" borderId="0" xfId="0"/>
    <xf numFmtId="0" fontId="2" fillId="0" borderId="0" xfId="0" applyFont="1"/>
    <xf numFmtId="0" fontId="3" fillId="0" borderId="0" xfId="0" applyFont="1"/>
    <xf numFmtId="0" fontId="4" fillId="2" borderId="1" xfId="0" applyFont="1" applyFill="1" applyBorder="1"/>
    <xf numFmtId="0" fontId="5" fillId="2" borderId="2" xfId="0" applyFont="1" applyFill="1" applyBorder="1"/>
    <xf numFmtId="0" fontId="5" fillId="2" borderId="3" xfId="0" applyFont="1" applyFill="1" applyBorder="1"/>
    <xf numFmtId="0" fontId="5" fillId="2" borderId="4" xfId="0" applyFont="1" applyFill="1" applyBorder="1"/>
    <xf numFmtId="0" fontId="4" fillId="3" borderId="1" xfId="0" applyFont="1" applyFill="1" applyBorder="1" applyAlignment="1">
      <alignment horizontal="left"/>
    </xf>
    <xf numFmtId="0" fontId="5" fillId="3" borderId="2" xfId="0" applyFont="1" applyFill="1" applyBorder="1" applyAlignment="1">
      <alignment horizontal="center"/>
    </xf>
    <xf numFmtId="0" fontId="5" fillId="3" borderId="5" xfId="0" applyFont="1" applyFill="1" applyBorder="1" applyAlignment="1">
      <alignment horizontal="center"/>
    </xf>
    <xf numFmtId="10" fontId="2" fillId="4" borderId="6" xfId="0" applyNumberFormat="1" applyFont="1" applyFill="1" applyBorder="1"/>
    <xf numFmtId="10" fontId="2" fillId="4" borderId="7" xfId="0" applyNumberFormat="1" applyFont="1" applyFill="1" applyBorder="1"/>
    <xf numFmtId="0" fontId="4" fillId="3" borderId="8" xfId="0" applyFont="1" applyFill="1" applyBorder="1" applyAlignment="1">
      <alignment horizontal="left"/>
    </xf>
    <xf numFmtId="0" fontId="5" fillId="3" borderId="0" xfId="0" applyFont="1" applyFill="1" applyAlignment="1">
      <alignment horizontal="center"/>
    </xf>
    <xf numFmtId="0" fontId="5" fillId="3" borderId="9" xfId="0" applyFont="1" applyFill="1" applyBorder="1" applyAlignment="1">
      <alignment horizontal="center"/>
    </xf>
    <xf numFmtId="10" fontId="2" fillId="0" borderId="10" xfId="0" applyNumberFormat="1" applyFont="1" applyBorder="1"/>
    <xf numFmtId="10" fontId="2" fillId="0" borderId="11" xfId="0" applyNumberFormat="1" applyFont="1" applyBorder="1"/>
    <xf numFmtId="10" fontId="2" fillId="4" borderId="10" xfId="0" applyNumberFormat="1" applyFont="1" applyFill="1" applyBorder="1"/>
    <xf numFmtId="10" fontId="2" fillId="4" borderId="11" xfId="0" applyNumberFormat="1" applyFont="1" applyFill="1" applyBorder="1"/>
    <xf numFmtId="0" fontId="4" fillId="3" borderId="12" xfId="0" applyFont="1" applyFill="1" applyBorder="1" applyAlignment="1">
      <alignment horizontal="left"/>
    </xf>
    <xf numFmtId="0" fontId="5" fillId="3" borderId="13" xfId="0" applyFont="1" applyFill="1" applyBorder="1" applyAlignment="1">
      <alignment horizontal="center"/>
    </xf>
    <xf numFmtId="0" fontId="5" fillId="3" borderId="14" xfId="0" applyFont="1" applyFill="1" applyBorder="1" applyAlignment="1">
      <alignment horizontal="center"/>
    </xf>
    <xf numFmtId="10" fontId="2" fillId="0" borderId="15" xfId="0" applyNumberFormat="1" applyFont="1" applyBorder="1"/>
    <xf numFmtId="10" fontId="2" fillId="0" borderId="16" xfId="0" applyNumberFormat="1" applyFont="1" applyBorder="1"/>
    <xf numFmtId="0" fontId="6" fillId="5" borderId="0" xfId="0" applyFont="1" applyFill="1" applyAlignment="1">
      <alignment horizontal="center" vertical="center"/>
    </xf>
    <xf numFmtId="10" fontId="2" fillId="0" borderId="0" xfId="0" applyNumberFormat="1" applyFont="1"/>
    <xf numFmtId="0" fontId="8" fillId="5" borderId="0" xfId="0" applyFont="1" applyFill="1" applyAlignment="1">
      <alignment horizontal="center" vertical="center"/>
    </xf>
    <xf numFmtId="10" fontId="8" fillId="5" borderId="0" xfId="0" applyNumberFormat="1" applyFont="1" applyFill="1" applyAlignment="1">
      <alignment horizontal="center" vertical="center"/>
    </xf>
    <xf numFmtId="0" fontId="8" fillId="5" borderId="0" xfId="0" applyFont="1" applyFill="1" applyAlignment="1">
      <alignment horizontal="right" vertical="center"/>
    </xf>
    <xf numFmtId="0" fontId="2" fillId="0" borderId="0" xfId="0" applyFont="1" applyAlignment="1">
      <alignment horizontal="right"/>
    </xf>
    <xf numFmtId="3" fontId="2" fillId="0" borderId="0" xfId="0" applyNumberFormat="1" applyFont="1" applyAlignment="1">
      <alignment horizontal="left"/>
    </xf>
    <xf numFmtId="0" fontId="9" fillId="0" borderId="17" xfId="0" applyFont="1" applyBorder="1" applyAlignment="1">
      <alignment horizontal="left"/>
    </xf>
    <xf numFmtId="0" fontId="9" fillId="0" borderId="17" xfId="0" applyFont="1" applyBorder="1" applyAlignment="1">
      <alignment horizontal="center" wrapText="1"/>
    </xf>
    <xf numFmtId="0" fontId="11" fillId="0" borderId="0" xfId="0" applyFont="1"/>
    <xf numFmtId="2" fontId="2" fillId="0" borderId="0" xfId="1" quotePrefix="1" applyNumberFormat="1" applyFont="1"/>
    <xf numFmtId="2" fontId="2" fillId="0" borderId="0" xfId="0" applyNumberFormat="1" applyFont="1"/>
    <xf numFmtId="2" fontId="2" fillId="0" borderId="0" xfId="0" quotePrefix="1" applyNumberFormat="1" applyFont="1"/>
    <xf numFmtId="0" fontId="2" fillId="0" borderId="0" xfId="1" applyNumberFormat="1" applyFont="1"/>
    <xf numFmtId="0" fontId="13" fillId="0" borderId="0" xfId="2" applyFont="1"/>
    <xf numFmtId="0" fontId="14" fillId="0" borderId="0" xfId="0" applyFont="1"/>
    <xf numFmtId="10" fontId="14" fillId="0" borderId="0" xfId="0" applyNumberFormat="1" applyFont="1"/>
    <xf numFmtId="164" fontId="2" fillId="0" borderId="0" xfId="0" applyNumberFormat="1" applyFont="1"/>
    <xf numFmtId="1" fontId="15" fillId="0" borderId="0" xfId="0" applyNumberFormat="1" applyFont="1"/>
    <xf numFmtId="0" fontId="15" fillId="0" borderId="0" xfId="0" applyFont="1"/>
    <xf numFmtId="16" fontId="2" fillId="0" borderId="0" xfId="0" applyNumberFormat="1" applyFont="1"/>
    <xf numFmtId="1" fontId="3" fillId="0" borderId="0" xfId="0" applyNumberFormat="1" applyFont="1"/>
    <xf numFmtId="1" fontId="2" fillId="0" borderId="0" xfId="0" applyNumberFormat="1" applyFont="1"/>
    <xf numFmtId="0" fontId="2" fillId="0" borderId="0" xfId="0" applyFont="1" applyAlignment="1">
      <alignment horizontal="left" indent="1"/>
    </xf>
    <xf numFmtId="0" fontId="16" fillId="0" borderId="0" xfId="0" applyFont="1" applyAlignment="1">
      <alignment vertical="top" wrapText="1"/>
    </xf>
    <xf numFmtId="10" fontId="16" fillId="0" borderId="0" xfId="1" applyNumberFormat="1" applyFont="1"/>
    <xf numFmtId="0" fontId="16" fillId="0" borderId="0" xfId="0" applyFont="1"/>
    <xf numFmtId="10" fontId="16" fillId="0" borderId="0" xfId="0" applyNumberFormat="1" applyFont="1"/>
    <xf numFmtId="1" fontId="16" fillId="0" borderId="0" xfId="0" applyNumberFormat="1" applyFont="1"/>
    <xf numFmtId="2" fontId="16" fillId="0" borderId="0" xfId="0" applyNumberFormat="1" applyFont="1"/>
    <xf numFmtId="0" fontId="16" fillId="0" borderId="0" xfId="0" applyFont="1" applyAlignment="1">
      <alignment horizontal="right"/>
    </xf>
    <xf numFmtId="0" fontId="17" fillId="0" borderId="0" xfId="0" applyFont="1"/>
    <xf numFmtId="1" fontId="17" fillId="0" borderId="0" xfId="0" applyNumberFormat="1" applyFont="1"/>
    <xf numFmtId="164" fontId="16" fillId="0" borderId="0" xfId="0" applyNumberFormat="1" applyFont="1"/>
    <xf numFmtId="16" fontId="16" fillId="0" borderId="0" xfId="0" applyNumberFormat="1" applyFont="1"/>
    <xf numFmtId="0" fontId="16" fillId="0" borderId="0" xfId="0" applyFont="1" applyAlignment="1">
      <alignment horizontal="center"/>
    </xf>
    <xf numFmtId="164" fontId="16" fillId="0" borderId="0" xfId="1" applyNumberFormat="1" applyFont="1"/>
    <xf numFmtId="0" fontId="18" fillId="0" borderId="0" xfId="0" applyFont="1"/>
    <xf numFmtId="10" fontId="18" fillId="0" borderId="0" xfId="0" applyNumberFormat="1" applyFont="1"/>
    <xf numFmtId="0" fontId="19" fillId="0" borderId="0" xfId="0" applyFont="1"/>
    <xf numFmtId="10" fontId="0" fillId="0" borderId="0" xfId="0" applyNumberFormat="1"/>
    <xf numFmtId="0" fontId="0" fillId="0" borderId="18" xfId="0" applyBorder="1"/>
    <xf numFmtId="0" fontId="9" fillId="0" borderId="17" xfId="0" applyFont="1" applyBorder="1" applyAlignment="1">
      <alignment horizontal="center"/>
    </xf>
    <xf numFmtId="10" fontId="2" fillId="0" borderId="0" xfId="1" applyNumberFormat="1" applyFont="1"/>
    <xf numFmtId="164" fontId="2" fillId="0" borderId="0" xfId="1" applyNumberFormat="1" applyFont="1"/>
    <xf numFmtId="1" fontId="11" fillId="0" borderId="0" xfId="0" applyNumberFormat="1" applyFont="1"/>
    <xf numFmtId="1" fontId="18" fillId="0" borderId="0" xfId="0" applyNumberFormat="1" applyFont="1"/>
    <xf numFmtId="165" fontId="2" fillId="0" borderId="0" xfId="3" applyNumberFormat="1" applyFont="1"/>
    <xf numFmtId="166" fontId="2" fillId="0" borderId="0" xfId="3" applyNumberFormat="1" applyFont="1"/>
    <xf numFmtId="44" fontId="2" fillId="0" borderId="0" xfId="0" applyNumberFormat="1" applyFont="1"/>
    <xf numFmtId="49" fontId="2" fillId="0" borderId="0" xfId="0" applyNumberFormat="1" applyFont="1"/>
    <xf numFmtId="10" fontId="3" fillId="0" borderId="0" xfId="0" applyNumberFormat="1" applyFont="1"/>
    <xf numFmtId="10" fontId="15" fillId="0" borderId="0" xfId="0" applyNumberFormat="1" applyFont="1"/>
    <xf numFmtId="10" fontId="17" fillId="0" borderId="0" xfId="0" applyNumberFormat="1" applyFont="1"/>
    <xf numFmtId="164" fontId="3" fillId="0" borderId="0" xfId="0" applyNumberFormat="1" applyFont="1"/>
    <xf numFmtId="164" fontId="17" fillId="0" borderId="0" xfId="0" applyNumberFormat="1" applyFont="1"/>
    <xf numFmtId="0" fontId="20" fillId="0" borderId="0" xfId="0" applyFont="1" applyAlignment="1">
      <alignment horizontal="center"/>
    </xf>
  </cellXfs>
  <cellStyles count="4">
    <cellStyle name="Comma" xfId="3" builtinId="3"/>
    <cellStyle name="Hyperlink" xfId="2" builtinId="8"/>
    <cellStyle name="Normal" xfId="0" builtinId="0"/>
    <cellStyle name="Percent" xfId="1" builtinId="5"/>
  </cellStyles>
  <dxfs count="5">
    <dxf>
      <font>
        <b/>
        <i val="0"/>
        <color theme="0"/>
      </font>
      <fill>
        <patternFill>
          <bgColor rgb="FF5A8C38"/>
        </patternFill>
      </fill>
    </dxf>
    <dxf>
      <font>
        <b/>
        <i val="0"/>
        <color theme="0"/>
      </font>
      <fill>
        <patternFill>
          <bgColor theme="9" tint="0.39994506668294322"/>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s>
  <tableStyles count="0" defaultTableStyle="TableStyleMedium2" defaultPivotStyle="PivotStyleLight16"/>
  <colors>
    <mruColors>
      <color rgb="FFCA68A2"/>
      <color rgb="FF7698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(CRM) Quarterly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3"/>
          <c:order val="0"/>
          <c:tx>
            <c:v>Net Income</c:v>
          </c:tx>
          <c:invertIfNegative val="0"/>
          <c:cat>
            <c:multiLvlStrRef>
              <c:f>Model!$AU$1:$BJ$2</c:f>
              <c:multiLvlStrCache>
                <c:ptCount val="16"/>
                <c:lvl>
                  <c:pt idx="0">
                    <c:v>Q1'20</c:v>
                  </c:pt>
                  <c:pt idx="1">
                    <c:v>Q2'20</c:v>
                  </c:pt>
                  <c:pt idx="2">
                    <c:v>Q3'20</c:v>
                  </c:pt>
                  <c:pt idx="3">
                    <c:v>Q4'20</c:v>
                  </c:pt>
                  <c:pt idx="4">
                    <c:v>Q1'21</c:v>
                  </c:pt>
                  <c:pt idx="5">
                    <c:v>Q2'21</c:v>
                  </c:pt>
                  <c:pt idx="6">
                    <c:v>Q3'21</c:v>
                  </c:pt>
                  <c:pt idx="7">
                    <c:v>Q4'21</c:v>
                  </c:pt>
                  <c:pt idx="8">
                    <c:v>Q1'22</c:v>
                  </c:pt>
                  <c:pt idx="9">
                    <c:v>Q2'22</c:v>
                  </c:pt>
                  <c:pt idx="10">
                    <c:v>Q3'22</c:v>
                  </c:pt>
                  <c:pt idx="11">
                    <c:v>Q4'22</c:v>
                  </c:pt>
                  <c:pt idx="12">
                    <c:v>Q1'23</c:v>
                  </c:pt>
                  <c:pt idx="13">
                    <c:v>Q2'23</c:v>
                  </c:pt>
                  <c:pt idx="14">
                    <c:v>Q3'23</c:v>
                  </c:pt>
                  <c:pt idx="15">
                    <c:v>Q4'23</c:v>
                  </c:pt>
                </c:lvl>
                <c:lvl>
                  <c:pt idx="0">
                    <c:v>Q1 2020</c:v>
                  </c:pt>
                  <c:pt idx="4">
                    <c:v>Q1 2021</c:v>
                  </c:pt>
                  <c:pt idx="8">
                    <c:v>Q1 2022</c:v>
                  </c:pt>
                  <c:pt idx="12">
                    <c:v>Q1 2023</c:v>
                  </c:pt>
                </c:lvl>
              </c:multiLvlStrCache>
            </c:multiLvlStrRef>
          </c:cat>
          <c:val>
            <c:numRef>
              <c:f>Model!$AU$29:$BP$29</c:f>
              <c:numCache>
                <c:formatCode>General</c:formatCode>
                <c:ptCount val="22"/>
                <c:pt idx="0">
                  <c:v>99</c:v>
                </c:pt>
                <c:pt idx="1">
                  <c:v>2625</c:v>
                </c:pt>
                <c:pt idx="2">
                  <c:v>1081</c:v>
                </c:pt>
                <c:pt idx="3">
                  <c:v>267</c:v>
                </c:pt>
                <c:pt idx="4">
                  <c:v>469</c:v>
                </c:pt>
                <c:pt idx="5">
                  <c:v>535</c:v>
                </c:pt>
                <c:pt idx="6">
                  <c:v>468</c:v>
                </c:pt>
                <c:pt idx="7">
                  <c:v>-28</c:v>
                </c:pt>
                <c:pt idx="8">
                  <c:v>28</c:v>
                </c:pt>
                <c:pt idx="9">
                  <c:v>68</c:v>
                </c:pt>
                <c:pt idx="10">
                  <c:v>210</c:v>
                </c:pt>
                <c:pt idx="11">
                  <c:v>-98</c:v>
                </c:pt>
                <c:pt idx="12">
                  <c:v>199</c:v>
                </c:pt>
                <c:pt idx="13">
                  <c:v>1267</c:v>
                </c:pt>
                <c:pt idx="14">
                  <c:v>1224</c:v>
                </c:pt>
                <c:pt idx="15">
                  <c:v>1446</c:v>
                </c:pt>
                <c:pt idx="16">
                  <c:v>1533</c:v>
                </c:pt>
                <c:pt idx="17">
                  <c:v>1429</c:v>
                </c:pt>
                <c:pt idx="18">
                  <c:v>1527</c:v>
                </c:pt>
                <c:pt idx="19">
                  <c:v>1708</c:v>
                </c:pt>
                <c:pt idx="20">
                  <c:v>1541</c:v>
                </c:pt>
                <c:pt idx="21">
                  <c:v>1887</c:v>
                </c:pt>
              </c:numCache>
            </c:numRef>
          </c:val>
          <c:extLst>
            <c:ext xmlns:c16="http://schemas.microsoft.com/office/drawing/2014/chart" uri="{C3380CC4-5D6E-409C-BE32-E72D297353CC}">
              <c16:uniqueId val="{00000000-BA10-4B69-B9FF-96E3460F2677}"/>
            </c:ext>
          </c:extLst>
        </c:ser>
        <c:ser>
          <c:idx val="4"/>
          <c:order val="1"/>
          <c:tx>
            <c:v>FCF</c:v>
          </c:tx>
          <c:spPr>
            <a:solidFill>
              <a:srgbClr val="00B050"/>
            </a:solidFill>
          </c:spPr>
          <c:invertIfNegative val="0"/>
          <c:cat>
            <c:multiLvlStrRef>
              <c:f>Model!$AU$1:$BJ$2</c:f>
              <c:multiLvlStrCache>
                <c:ptCount val="16"/>
                <c:lvl>
                  <c:pt idx="0">
                    <c:v>Q1'20</c:v>
                  </c:pt>
                  <c:pt idx="1">
                    <c:v>Q2'20</c:v>
                  </c:pt>
                  <c:pt idx="2">
                    <c:v>Q3'20</c:v>
                  </c:pt>
                  <c:pt idx="3">
                    <c:v>Q4'20</c:v>
                  </c:pt>
                  <c:pt idx="4">
                    <c:v>Q1'21</c:v>
                  </c:pt>
                  <c:pt idx="5">
                    <c:v>Q2'21</c:v>
                  </c:pt>
                  <c:pt idx="6">
                    <c:v>Q3'21</c:v>
                  </c:pt>
                  <c:pt idx="7">
                    <c:v>Q4'21</c:v>
                  </c:pt>
                  <c:pt idx="8">
                    <c:v>Q1'22</c:v>
                  </c:pt>
                  <c:pt idx="9">
                    <c:v>Q2'22</c:v>
                  </c:pt>
                  <c:pt idx="10">
                    <c:v>Q3'22</c:v>
                  </c:pt>
                  <c:pt idx="11">
                    <c:v>Q4'22</c:v>
                  </c:pt>
                  <c:pt idx="12">
                    <c:v>Q1'23</c:v>
                  </c:pt>
                  <c:pt idx="13">
                    <c:v>Q2'23</c:v>
                  </c:pt>
                  <c:pt idx="14">
                    <c:v>Q3'23</c:v>
                  </c:pt>
                  <c:pt idx="15">
                    <c:v>Q4'23</c:v>
                  </c:pt>
                </c:lvl>
                <c:lvl>
                  <c:pt idx="0">
                    <c:v>Q1 2020</c:v>
                  </c:pt>
                  <c:pt idx="4">
                    <c:v>Q1 2021</c:v>
                  </c:pt>
                  <c:pt idx="8">
                    <c:v>Q1 2022</c:v>
                  </c:pt>
                  <c:pt idx="12">
                    <c:v>Q1 2023</c:v>
                  </c:pt>
                </c:lvl>
              </c:multiLvlStrCache>
            </c:multiLvlStrRef>
          </c:cat>
          <c:val>
            <c:numRef>
              <c:f>Model!$AU$79:$BP$79</c:f>
              <c:numCache>
                <c:formatCode>General</c:formatCode>
                <c:ptCount val="22"/>
                <c:pt idx="0">
                  <c:v>1536</c:v>
                </c:pt>
                <c:pt idx="1">
                  <c:v>727</c:v>
                </c:pt>
                <c:pt idx="2">
                  <c:v>-197</c:v>
                </c:pt>
                <c:pt idx="3">
                  <c:v>2025</c:v>
                </c:pt>
                <c:pt idx="4">
                  <c:v>3057</c:v>
                </c:pt>
                <c:pt idx="5">
                  <c:v>173</c:v>
                </c:pt>
                <c:pt idx="6">
                  <c:v>238</c:v>
                </c:pt>
                <c:pt idx="7">
                  <c:v>1815</c:v>
                </c:pt>
                <c:pt idx="8">
                  <c:v>3497</c:v>
                </c:pt>
                <c:pt idx="9">
                  <c:v>131</c:v>
                </c:pt>
                <c:pt idx="10">
                  <c:v>115</c:v>
                </c:pt>
                <c:pt idx="11">
                  <c:v>2570</c:v>
                </c:pt>
                <c:pt idx="12">
                  <c:v>4248</c:v>
                </c:pt>
                <c:pt idx="13">
                  <c:v>628</c:v>
                </c:pt>
                <c:pt idx="14">
                  <c:v>1366</c:v>
                </c:pt>
                <c:pt idx="15">
                  <c:v>3256</c:v>
                </c:pt>
                <c:pt idx="16">
                  <c:v>6084</c:v>
                </c:pt>
                <c:pt idx="17">
                  <c:v>755</c:v>
                </c:pt>
                <c:pt idx="18">
                  <c:v>1779</c:v>
                </c:pt>
                <c:pt idx="19">
                  <c:v>3816</c:v>
                </c:pt>
                <c:pt idx="20">
                  <c:v>6297</c:v>
                </c:pt>
                <c:pt idx="21">
                  <c:v>605</c:v>
                </c:pt>
              </c:numCache>
            </c:numRef>
          </c:val>
          <c:extLst>
            <c:ext xmlns:c16="http://schemas.microsoft.com/office/drawing/2014/chart" uri="{C3380CC4-5D6E-409C-BE32-E72D297353CC}">
              <c16:uniqueId val="{00000001-BA10-4B69-B9FF-96E3460F2677}"/>
            </c:ext>
          </c:extLst>
        </c:ser>
        <c:dLbls>
          <c:showLegendKey val="0"/>
          <c:showVal val="0"/>
          <c:showCatName val="0"/>
          <c:showSerName val="0"/>
          <c:showPercent val="0"/>
          <c:showBubbleSize val="0"/>
        </c:dLbls>
        <c:gapWidth val="57"/>
        <c:axId val="1243124976"/>
        <c:axId val="1243123056"/>
      </c:barChart>
      <c:lineChart>
        <c:grouping val="standard"/>
        <c:varyColors val="0"/>
        <c:ser>
          <c:idx val="0"/>
          <c:order val="2"/>
          <c:tx>
            <c:v>Revenues</c:v>
          </c:tx>
          <c:marker>
            <c:symbol val="none"/>
          </c:marker>
          <c:cat>
            <c:strRef>
              <c:f>Model!$AU$1:$BP$1</c:f>
              <c:strCache>
                <c:ptCount val="21"/>
                <c:pt idx="0">
                  <c:v>Q1 2020</c:v>
                </c:pt>
                <c:pt idx="4">
                  <c:v>Q1 2021</c:v>
                </c:pt>
                <c:pt idx="8">
                  <c:v>Q1 2022</c:v>
                </c:pt>
                <c:pt idx="12">
                  <c:v>Q1 2023</c:v>
                </c:pt>
                <c:pt idx="16">
                  <c:v>Q1 2024</c:v>
                </c:pt>
                <c:pt idx="20">
                  <c:v>Q1 2025</c:v>
                </c:pt>
              </c:strCache>
            </c:strRef>
          </c:cat>
          <c:val>
            <c:numRef>
              <c:f>Model!$AU$16:$BP$16</c:f>
              <c:numCache>
                <c:formatCode>0</c:formatCode>
                <c:ptCount val="22"/>
                <c:pt idx="0">
                  <c:v>4865</c:v>
                </c:pt>
                <c:pt idx="1">
                  <c:v>5151</c:v>
                </c:pt>
                <c:pt idx="2">
                  <c:v>5419</c:v>
                </c:pt>
                <c:pt idx="3">
                  <c:v>5817</c:v>
                </c:pt>
                <c:pt idx="4">
                  <c:v>5963</c:v>
                </c:pt>
                <c:pt idx="5">
                  <c:v>6340</c:v>
                </c:pt>
                <c:pt idx="6">
                  <c:v>6863</c:v>
                </c:pt>
                <c:pt idx="7">
                  <c:v>7326</c:v>
                </c:pt>
                <c:pt idx="8">
                  <c:v>7411</c:v>
                </c:pt>
                <c:pt idx="9">
                  <c:v>7720</c:v>
                </c:pt>
                <c:pt idx="10">
                  <c:v>7837</c:v>
                </c:pt>
                <c:pt idx="11">
                  <c:v>8387</c:v>
                </c:pt>
                <c:pt idx="12">
                  <c:v>8247</c:v>
                </c:pt>
                <c:pt idx="13">
                  <c:v>8603</c:v>
                </c:pt>
                <c:pt idx="14">
                  <c:v>8720</c:v>
                </c:pt>
                <c:pt idx="15">
                  <c:v>9287</c:v>
                </c:pt>
                <c:pt idx="16">
                  <c:v>9133</c:v>
                </c:pt>
                <c:pt idx="17">
                  <c:v>9325</c:v>
                </c:pt>
                <c:pt idx="18">
                  <c:v>9444</c:v>
                </c:pt>
                <c:pt idx="19">
                  <c:v>9993</c:v>
                </c:pt>
                <c:pt idx="20" formatCode="General">
                  <c:v>9829</c:v>
                </c:pt>
                <c:pt idx="21" formatCode="General">
                  <c:v>10236</c:v>
                </c:pt>
              </c:numCache>
            </c:numRef>
          </c:val>
          <c:smooth val="0"/>
          <c:extLst>
            <c:ext xmlns:c16="http://schemas.microsoft.com/office/drawing/2014/chart" uri="{C3380CC4-5D6E-409C-BE32-E72D297353CC}">
              <c16:uniqueId val="{00000002-BA10-4B69-B9FF-96E3460F2677}"/>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(CRM) Revenue by Segment (in $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09587501048507E-2"/>
          <c:y val="0.16630261573867286"/>
          <c:w val="0.91646860416323306"/>
          <c:h val="0.74917903495450422"/>
        </c:manualLayout>
      </c:layout>
      <c:barChart>
        <c:barDir val="col"/>
        <c:grouping val="stacked"/>
        <c:varyColors val="0"/>
        <c:ser>
          <c:idx val="6"/>
          <c:order val="0"/>
          <c:tx>
            <c:strRef>
              <c:f>Model!$B$4</c:f>
              <c:strCache>
                <c:ptCount val="1"/>
                <c:pt idx="0">
                  <c:v>Professional Services and Other</c:v>
                </c:pt>
              </c:strCache>
            </c:strRef>
          </c:tx>
          <c:spPr>
            <a:solidFill>
              <a:srgbClr val="FFC000"/>
            </a:solidFill>
            <a:ln>
              <a:noFill/>
            </a:ln>
            <a:effectLst/>
          </c:spPr>
          <c:invertIfNegative val="0"/>
          <c:cat>
            <c:strRef>
              <c:f>Model!$AY$1:$BP$1</c:f>
              <c:strCache>
                <c:ptCount val="17"/>
                <c:pt idx="0">
                  <c:v>Q1 2021</c:v>
                </c:pt>
                <c:pt idx="4">
                  <c:v>Q1 2022</c:v>
                </c:pt>
                <c:pt idx="8">
                  <c:v>Q1 2023</c:v>
                </c:pt>
                <c:pt idx="12">
                  <c:v>Q1 2024</c:v>
                </c:pt>
                <c:pt idx="16">
                  <c:v>Q1 2025</c:v>
                </c:pt>
              </c:strCache>
            </c:strRef>
          </c:cat>
          <c:val>
            <c:numRef>
              <c:f>Model!$AY$4:$BP$4</c:f>
              <c:numCache>
                <c:formatCode>General</c:formatCode>
                <c:ptCount val="18"/>
                <c:pt idx="0">
                  <c:v>427</c:v>
                </c:pt>
                <c:pt idx="1">
                  <c:v>426</c:v>
                </c:pt>
                <c:pt idx="2">
                  <c:v>484</c:v>
                </c:pt>
                <c:pt idx="3">
                  <c:v>498</c:v>
                </c:pt>
                <c:pt idx="4">
                  <c:v>555</c:v>
                </c:pt>
                <c:pt idx="5">
                  <c:v>577</c:v>
                </c:pt>
                <c:pt idx="6">
                  <c:v>604</c:v>
                </c:pt>
                <c:pt idx="7">
                  <c:v>595</c:v>
                </c:pt>
                <c:pt idx="8">
                  <c:v>605</c:v>
                </c:pt>
                <c:pt idx="9">
                  <c:v>597</c:v>
                </c:pt>
                <c:pt idx="10">
                  <c:v>579</c:v>
                </c:pt>
                <c:pt idx="11">
                  <c:v>539</c:v>
                </c:pt>
                <c:pt idx="12">
                  <c:v>548</c:v>
                </c:pt>
                <c:pt idx="13">
                  <c:v>561</c:v>
                </c:pt>
                <c:pt idx="14">
                  <c:v>565</c:v>
                </c:pt>
                <c:pt idx="15">
                  <c:v>542</c:v>
                </c:pt>
                <c:pt idx="16">
                  <c:v>532</c:v>
                </c:pt>
                <c:pt idx="17">
                  <c:v>546</c:v>
                </c:pt>
              </c:numCache>
            </c:numRef>
          </c:val>
          <c:extLst>
            <c:ext xmlns:c16="http://schemas.microsoft.com/office/drawing/2014/chart" uri="{C3380CC4-5D6E-409C-BE32-E72D297353CC}">
              <c16:uniqueId val="{00000001-31C2-4C1E-A4FD-BB8F3587E695}"/>
            </c:ext>
          </c:extLst>
        </c:ser>
        <c:ser>
          <c:idx val="1"/>
          <c:order val="1"/>
          <c:tx>
            <c:strRef>
              <c:f>Model!$B$3</c:f>
              <c:strCache>
                <c:ptCount val="1"/>
                <c:pt idx="0">
                  <c:v>Subscription and Support</c:v>
                </c:pt>
              </c:strCache>
            </c:strRef>
          </c:tx>
          <c:spPr>
            <a:solidFill>
              <a:srgbClr val="00B0F0"/>
            </a:solidFill>
            <a:ln>
              <a:noFill/>
            </a:ln>
            <a:effectLst/>
          </c:spPr>
          <c:invertIfNegative val="0"/>
          <c:cat>
            <c:strRef>
              <c:f>Model!$AY$1:$BP$1</c:f>
              <c:strCache>
                <c:ptCount val="17"/>
                <c:pt idx="0">
                  <c:v>Q1 2021</c:v>
                </c:pt>
                <c:pt idx="4">
                  <c:v>Q1 2022</c:v>
                </c:pt>
                <c:pt idx="8">
                  <c:v>Q1 2023</c:v>
                </c:pt>
                <c:pt idx="12">
                  <c:v>Q1 2024</c:v>
                </c:pt>
                <c:pt idx="16">
                  <c:v>Q1 2025</c:v>
                </c:pt>
              </c:strCache>
            </c:strRef>
          </c:cat>
          <c:val>
            <c:numRef>
              <c:f>Model!$AY$3:$BP$3</c:f>
              <c:numCache>
                <c:formatCode>General</c:formatCode>
                <c:ptCount val="18"/>
                <c:pt idx="0">
                  <c:v>5536</c:v>
                </c:pt>
                <c:pt idx="1">
                  <c:v>5914</c:v>
                </c:pt>
                <c:pt idx="2">
                  <c:v>6379</c:v>
                </c:pt>
                <c:pt idx="3">
                  <c:v>6828</c:v>
                </c:pt>
                <c:pt idx="4">
                  <c:v>6856</c:v>
                </c:pt>
                <c:pt idx="5">
                  <c:v>7143</c:v>
                </c:pt>
                <c:pt idx="6">
                  <c:v>7233</c:v>
                </c:pt>
                <c:pt idx="7">
                  <c:v>7792</c:v>
                </c:pt>
                <c:pt idx="8">
                  <c:v>7642</c:v>
                </c:pt>
                <c:pt idx="9">
                  <c:v>8006</c:v>
                </c:pt>
                <c:pt idx="10">
                  <c:v>8141</c:v>
                </c:pt>
                <c:pt idx="11">
                  <c:v>8748</c:v>
                </c:pt>
                <c:pt idx="12">
                  <c:v>8585</c:v>
                </c:pt>
                <c:pt idx="13">
                  <c:v>8764</c:v>
                </c:pt>
                <c:pt idx="14">
                  <c:v>8879</c:v>
                </c:pt>
                <c:pt idx="15">
                  <c:v>9451</c:v>
                </c:pt>
                <c:pt idx="16">
                  <c:v>9297</c:v>
                </c:pt>
                <c:pt idx="17">
                  <c:v>9690</c:v>
                </c:pt>
              </c:numCache>
            </c:numRef>
          </c:val>
          <c:extLst>
            <c:ext xmlns:c16="http://schemas.microsoft.com/office/drawing/2014/chart" uri="{C3380CC4-5D6E-409C-BE32-E72D297353CC}">
              <c16:uniqueId val="{00000000-31C2-4C1E-A4FD-BB8F3587E695}"/>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0.12500001367016772"/>
          <c:y val="5.2058346839546202E-2"/>
          <c:w val="0.79166664388305374"/>
          <c:h val="0.1073835381598369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(CRM) Historical Return Histogram + Normal Distribution Overlay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scatterChart>
        <c:scatterStyle val="smoothMarker"/>
        <c:varyColors val="0"/>
        <c:ser>
          <c:idx val="0"/>
          <c:order val="0"/>
          <c:tx>
            <c:strRef>
              <c:f>'Notes | Quant Analysis'!$I$283</c:f>
              <c:strCache>
                <c:ptCount val="1"/>
                <c:pt idx="0">
                  <c:v>Histogram Data</c:v>
                </c:pt>
              </c:strCache>
            </c:strRef>
          </c:tx>
          <c:spPr>
            <a:ln w="38100" cap="rnd">
              <a:noFill/>
              <a:round/>
            </a:ln>
            <a:effectLst/>
          </c:spPr>
          <c:marker>
            <c:symbol val="none"/>
          </c:marker>
          <c:errBars>
            <c:errDir val="y"/>
            <c:errBarType val="minus"/>
            <c:errValType val="percentage"/>
            <c:noEndCap val="1"/>
            <c:val val="100"/>
            <c:spPr>
              <a:noFill/>
              <a:ln w="215900" cap="flat" cmpd="sng" algn="ctr">
                <a:solidFill>
                  <a:srgbClr val="00B0F0"/>
                </a:solidFill>
                <a:round/>
              </a:ln>
              <a:effectLst/>
            </c:spPr>
          </c:errBars>
          <c:xVal>
            <c:numRef>
              <c:f>'Notes | Quant Analysis'!$I$285:$I$331</c:f>
              <c:numCache>
                <c:formatCode>0.00%</c:formatCode>
                <c:ptCount val="47"/>
                <c:pt idx="0">
                  <c:v>-5.7500000000000002E-2</c:v>
                </c:pt>
                <c:pt idx="1">
                  <c:v>-5.5E-2</c:v>
                </c:pt>
                <c:pt idx="2">
                  <c:v>-5.2499999999999998E-2</c:v>
                </c:pt>
                <c:pt idx="3">
                  <c:v>-0.05</c:v>
                </c:pt>
                <c:pt idx="4">
                  <c:v>-4.7500000000000001E-2</c:v>
                </c:pt>
                <c:pt idx="5">
                  <c:v>-4.4999999999999998E-2</c:v>
                </c:pt>
                <c:pt idx="6">
                  <c:v>-4.2500000000000003E-2</c:v>
                </c:pt>
                <c:pt idx="7">
                  <c:v>-0.04</c:v>
                </c:pt>
                <c:pt idx="8">
                  <c:v>-3.7499999999999999E-2</c:v>
                </c:pt>
                <c:pt idx="9">
                  <c:v>-3.5000000000000003E-2</c:v>
                </c:pt>
                <c:pt idx="10">
                  <c:v>-3.2500000000000001E-2</c:v>
                </c:pt>
                <c:pt idx="11">
                  <c:v>-0.03</c:v>
                </c:pt>
                <c:pt idx="12">
                  <c:v>-2.75E-2</c:v>
                </c:pt>
                <c:pt idx="13">
                  <c:v>-2.5000000000000001E-2</c:v>
                </c:pt>
                <c:pt idx="14">
                  <c:v>-2.2499999999999999E-2</c:v>
                </c:pt>
                <c:pt idx="15">
                  <c:v>-0.02</c:v>
                </c:pt>
                <c:pt idx="16">
                  <c:v>-1.7500000000000002E-2</c:v>
                </c:pt>
                <c:pt idx="17">
                  <c:v>-1.4999999999999999E-2</c:v>
                </c:pt>
                <c:pt idx="18">
                  <c:v>-1.2500000000000001E-2</c:v>
                </c:pt>
                <c:pt idx="19">
                  <c:v>-0.01</c:v>
                </c:pt>
                <c:pt idx="20">
                  <c:v>-7.4999999999999997E-3</c:v>
                </c:pt>
                <c:pt idx="21">
                  <c:v>-5.0000000000000001E-3</c:v>
                </c:pt>
                <c:pt idx="22">
                  <c:v>-2.5000000000000001E-3</c:v>
                </c:pt>
                <c:pt idx="23">
                  <c:v>0</c:v>
                </c:pt>
                <c:pt idx="24">
                  <c:v>2.5000000000000001E-3</c:v>
                </c:pt>
                <c:pt idx="25">
                  <c:v>5.0000000000000001E-3</c:v>
                </c:pt>
                <c:pt idx="26">
                  <c:v>7.4999999999999997E-3</c:v>
                </c:pt>
                <c:pt idx="27">
                  <c:v>0.01</c:v>
                </c:pt>
                <c:pt idx="28">
                  <c:v>1.2500000000000001E-2</c:v>
                </c:pt>
                <c:pt idx="29">
                  <c:v>1.4999999999999999E-2</c:v>
                </c:pt>
                <c:pt idx="30">
                  <c:v>1.7500000000000002E-2</c:v>
                </c:pt>
                <c:pt idx="31">
                  <c:v>0.02</c:v>
                </c:pt>
                <c:pt idx="32">
                  <c:v>2.2499999999999999E-2</c:v>
                </c:pt>
                <c:pt idx="33">
                  <c:v>2.5000000000000001E-2</c:v>
                </c:pt>
                <c:pt idx="34">
                  <c:v>2.75E-2</c:v>
                </c:pt>
                <c:pt idx="35">
                  <c:v>0.03</c:v>
                </c:pt>
                <c:pt idx="36">
                  <c:v>3.2500000000000001E-2</c:v>
                </c:pt>
                <c:pt idx="37">
                  <c:v>3.5000000000000003E-2</c:v>
                </c:pt>
                <c:pt idx="38">
                  <c:v>3.7499999999999999E-2</c:v>
                </c:pt>
                <c:pt idx="39">
                  <c:v>0.04</c:v>
                </c:pt>
                <c:pt idx="40">
                  <c:v>4.2500000000000003E-2</c:v>
                </c:pt>
                <c:pt idx="41">
                  <c:v>4.4999999999999998E-2</c:v>
                </c:pt>
                <c:pt idx="42">
                  <c:v>4.7500000000000001E-2</c:v>
                </c:pt>
                <c:pt idx="43">
                  <c:v>0.05</c:v>
                </c:pt>
                <c:pt idx="44">
                  <c:v>5.2499999999999998E-2</c:v>
                </c:pt>
                <c:pt idx="45">
                  <c:v>5.5E-2</c:v>
                </c:pt>
                <c:pt idx="46">
                  <c:v>5.7500000000000002E-2</c:v>
                </c:pt>
              </c:numCache>
            </c:numRef>
          </c:xVal>
          <c:yVal>
            <c:numRef>
              <c:f>'Notes | Quant Analysis'!$J$285:$J$331</c:f>
              <c:numCache>
                <c:formatCode>General</c:formatCode>
                <c:ptCount val="47"/>
                <c:pt idx="0">
                  <c:v>1</c:v>
                </c:pt>
                <c:pt idx="1">
                  <c:v>1</c:v>
                </c:pt>
                <c:pt idx="2">
                  <c:v>0</c:v>
                </c:pt>
                <c:pt idx="3">
                  <c:v>5</c:v>
                </c:pt>
                <c:pt idx="4">
                  <c:v>2</c:v>
                </c:pt>
                <c:pt idx="5">
                  <c:v>3</c:v>
                </c:pt>
                <c:pt idx="6">
                  <c:v>4</c:v>
                </c:pt>
                <c:pt idx="7">
                  <c:v>4</c:v>
                </c:pt>
                <c:pt idx="8">
                  <c:v>9</c:v>
                </c:pt>
                <c:pt idx="9">
                  <c:v>14</c:v>
                </c:pt>
                <c:pt idx="10">
                  <c:v>12</c:v>
                </c:pt>
                <c:pt idx="11">
                  <c:v>21</c:v>
                </c:pt>
                <c:pt idx="12">
                  <c:v>16</c:v>
                </c:pt>
                <c:pt idx="13">
                  <c:v>36</c:v>
                </c:pt>
                <c:pt idx="14">
                  <c:v>26</c:v>
                </c:pt>
                <c:pt idx="15">
                  <c:v>25</c:v>
                </c:pt>
                <c:pt idx="16">
                  <c:v>38</c:v>
                </c:pt>
                <c:pt idx="17">
                  <c:v>47</c:v>
                </c:pt>
                <c:pt idx="18">
                  <c:v>61</c:v>
                </c:pt>
                <c:pt idx="19">
                  <c:v>84</c:v>
                </c:pt>
                <c:pt idx="20">
                  <c:v>96</c:v>
                </c:pt>
                <c:pt idx="21">
                  <c:v>99</c:v>
                </c:pt>
                <c:pt idx="22">
                  <c:v>110</c:v>
                </c:pt>
                <c:pt idx="23">
                  <c:v>117</c:v>
                </c:pt>
                <c:pt idx="24">
                  <c:v>141</c:v>
                </c:pt>
                <c:pt idx="25">
                  <c:v>116</c:v>
                </c:pt>
                <c:pt idx="26">
                  <c:v>124</c:v>
                </c:pt>
                <c:pt idx="27">
                  <c:v>92</c:v>
                </c:pt>
                <c:pt idx="28">
                  <c:v>84</c:v>
                </c:pt>
                <c:pt idx="29">
                  <c:v>68</c:v>
                </c:pt>
                <c:pt idx="30">
                  <c:v>58</c:v>
                </c:pt>
                <c:pt idx="31">
                  <c:v>47</c:v>
                </c:pt>
                <c:pt idx="32">
                  <c:v>49</c:v>
                </c:pt>
                <c:pt idx="33">
                  <c:v>29</c:v>
                </c:pt>
                <c:pt idx="34">
                  <c:v>21</c:v>
                </c:pt>
                <c:pt idx="35">
                  <c:v>19</c:v>
                </c:pt>
                <c:pt idx="36">
                  <c:v>14</c:v>
                </c:pt>
                <c:pt idx="37">
                  <c:v>12</c:v>
                </c:pt>
                <c:pt idx="38">
                  <c:v>5</c:v>
                </c:pt>
                <c:pt idx="39">
                  <c:v>9</c:v>
                </c:pt>
                <c:pt idx="40">
                  <c:v>1</c:v>
                </c:pt>
                <c:pt idx="41">
                  <c:v>4</c:v>
                </c:pt>
                <c:pt idx="42">
                  <c:v>3</c:v>
                </c:pt>
                <c:pt idx="43">
                  <c:v>2</c:v>
                </c:pt>
                <c:pt idx="44">
                  <c:v>3</c:v>
                </c:pt>
                <c:pt idx="45">
                  <c:v>3</c:v>
                </c:pt>
                <c:pt idx="46">
                  <c:v>1</c:v>
                </c:pt>
              </c:numCache>
            </c:numRef>
          </c:yVal>
          <c:smooth val="1"/>
          <c:extLst>
            <c:ext xmlns:c16="http://schemas.microsoft.com/office/drawing/2014/chart" uri="{C3380CC4-5D6E-409C-BE32-E72D297353CC}">
              <c16:uniqueId val="{00000000-A3E0-4241-B9E2-C6C1132A9B06}"/>
            </c:ext>
          </c:extLst>
        </c:ser>
        <c:ser>
          <c:idx val="1"/>
          <c:order val="1"/>
          <c:tx>
            <c:strRef>
              <c:f>'Notes | Quant Analysis'!$L$283</c:f>
              <c:strCache>
                <c:ptCount val="1"/>
                <c:pt idx="0">
                  <c:v>Distribution Overlay</c:v>
                </c:pt>
              </c:strCache>
            </c:strRef>
          </c:tx>
          <c:spPr>
            <a:ln w="25400" cap="rnd">
              <a:solidFill>
                <a:srgbClr val="FFC000"/>
              </a:solidFill>
              <a:round/>
            </a:ln>
            <a:effectLst/>
          </c:spPr>
          <c:marker>
            <c:symbol val="none"/>
          </c:marker>
          <c:errBars>
            <c:errDir val="y"/>
            <c:errBarType val="minus"/>
            <c:errValType val="percentage"/>
            <c:noEndCap val="1"/>
            <c:val val="100"/>
            <c:spPr>
              <a:noFill/>
              <a:ln w="114300" cap="flat" cmpd="sng" algn="ctr">
                <a:solidFill>
                  <a:srgbClr val="00B0F0"/>
                </a:solidFill>
                <a:round/>
              </a:ln>
              <a:effectLst/>
            </c:spPr>
          </c:errBars>
          <c:xVal>
            <c:numRef>
              <c:f>'Notes | Quant Analysis'!$L$285:$L$333</c:f>
              <c:numCache>
                <c:formatCode>0.00%</c:formatCode>
                <c:ptCount val="49"/>
                <c:pt idx="0">
                  <c:v>-0.06</c:v>
                </c:pt>
                <c:pt idx="1">
                  <c:v>-5.7500000000000002E-2</c:v>
                </c:pt>
                <c:pt idx="2">
                  <c:v>-5.5E-2</c:v>
                </c:pt>
                <c:pt idx="3">
                  <c:v>-5.2499999999999998E-2</c:v>
                </c:pt>
                <c:pt idx="4">
                  <c:v>-0.05</c:v>
                </c:pt>
                <c:pt idx="5">
                  <c:v>-4.7500000000000001E-2</c:v>
                </c:pt>
                <c:pt idx="6">
                  <c:v>-4.4999999999999998E-2</c:v>
                </c:pt>
                <c:pt idx="7">
                  <c:v>-4.2500000000000003E-2</c:v>
                </c:pt>
                <c:pt idx="8">
                  <c:v>-0.04</c:v>
                </c:pt>
                <c:pt idx="9">
                  <c:v>-3.7499999999999999E-2</c:v>
                </c:pt>
                <c:pt idx="10">
                  <c:v>-3.5000000000000003E-2</c:v>
                </c:pt>
                <c:pt idx="11">
                  <c:v>-3.2500000000000001E-2</c:v>
                </c:pt>
                <c:pt idx="12">
                  <c:v>-0.03</c:v>
                </c:pt>
                <c:pt idx="13">
                  <c:v>-2.75E-2</c:v>
                </c:pt>
                <c:pt idx="14">
                  <c:v>-2.5000000000000001E-2</c:v>
                </c:pt>
                <c:pt idx="15">
                  <c:v>-2.2499999999999999E-2</c:v>
                </c:pt>
                <c:pt idx="16">
                  <c:v>-0.02</c:v>
                </c:pt>
                <c:pt idx="17">
                  <c:v>-1.7500000000000002E-2</c:v>
                </c:pt>
                <c:pt idx="18">
                  <c:v>-1.4999999999999999E-2</c:v>
                </c:pt>
                <c:pt idx="19">
                  <c:v>-1.2500000000000001E-2</c:v>
                </c:pt>
                <c:pt idx="20">
                  <c:v>-0.01</c:v>
                </c:pt>
                <c:pt idx="21">
                  <c:v>-7.4999999999999997E-3</c:v>
                </c:pt>
                <c:pt idx="22">
                  <c:v>-5.0000000000000001E-3</c:v>
                </c:pt>
                <c:pt idx="23">
                  <c:v>-2.5000000000000001E-3</c:v>
                </c:pt>
                <c:pt idx="24">
                  <c:v>0</c:v>
                </c:pt>
                <c:pt idx="25">
                  <c:v>2.5000000000000001E-3</c:v>
                </c:pt>
                <c:pt idx="26">
                  <c:v>5.0000000000000001E-3</c:v>
                </c:pt>
                <c:pt idx="27">
                  <c:v>7.4999999999999997E-3</c:v>
                </c:pt>
                <c:pt idx="28">
                  <c:v>0.01</c:v>
                </c:pt>
                <c:pt idx="29">
                  <c:v>1.2500000000000001E-2</c:v>
                </c:pt>
                <c:pt idx="30">
                  <c:v>1.4999999999999999E-2</c:v>
                </c:pt>
                <c:pt idx="31">
                  <c:v>1.7500000000000002E-2</c:v>
                </c:pt>
                <c:pt idx="32">
                  <c:v>0.02</c:v>
                </c:pt>
                <c:pt idx="33">
                  <c:v>2.2499999999999999E-2</c:v>
                </c:pt>
                <c:pt idx="34">
                  <c:v>2.5000000000000001E-2</c:v>
                </c:pt>
                <c:pt idx="35">
                  <c:v>2.75E-2</c:v>
                </c:pt>
                <c:pt idx="36">
                  <c:v>0.03</c:v>
                </c:pt>
                <c:pt idx="37">
                  <c:v>3.2500000000000001E-2</c:v>
                </c:pt>
                <c:pt idx="38">
                  <c:v>3.5000000000000003E-2</c:v>
                </c:pt>
                <c:pt idx="39">
                  <c:v>3.7499999999999999E-2</c:v>
                </c:pt>
                <c:pt idx="40">
                  <c:v>0.04</c:v>
                </c:pt>
                <c:pt idx="41">
                  <c:v>4.2500000000000003E-2</c:v>
                </c:pt>
                <c:pt idx="42">
                  <c:v>4.4999999999999998E-2</c:v>
                </c:pt>
                <c:pt idx="43">
                  <c:v>4.7500000000000001E-2</c:v>
                </c:pt>
                <c:pt idx="44">
                  <c:v>0.05</c:v>
                </c:pt>
                <c:pt idx="45">
                  <c:v>5.2499999999999998E-2</c:v>
                </c:pt>
                <c:pt idx="46">
                  <c:v>5.5E-2</c:v>
                </c:pt>
                <c:pt idx="47">
                  <c:v>5.7500000000000002E-2</c:v>
                </c:pt>
                <c:pt idx="48">
                  <c:v>0.06</c:v>
                </c:pt>
              </c:numCache>
            </c:numRef>
          </c:xVal>
          <c:yVal>
            <c:numRef>
              <c:f>'Notes | Quant Analysis'!$M$285:$M$333</c:f>
              <c:numCache>
                <c:formatCode>General</c:formatCode>
                <c:ptCount val="49"/>
                <c:pt idx="0">
                  <c:v>8.1449312541155741E-2</c:v>
                </c:pt>
                <c:pt idx="1">
                  <c:v>0.12844096528863574</c:v>
                </c:pt>
                <c:pt idx="2">
                  <c:v>0.19867347595063992</c:v>
                </c:pt>
                <c:pt idx="3">
                  <c:v>0.30143689745318175</c:v>
                </c:pt>
                <c:pt idx="4">
                  <c:v>0.44861431108420868</c:v>
                </c:pt>
                <c:pt idx="5">
                  <c:v>0.65489251680570404</c:v>
                </c:pt>
                <c:pt idx="6">
                  <c:v>0.93775011001270214</c:v>
                </c:pt>
                <c:pt idx="7">
                  <c:v>1.3171171698191486</c:v>
                </c:pt>
                <c:pt idx="8">
                  <c:v>1.8146041102873645</c:v>
                </c:pt>
                <c:pt idx="9">
                  <c:v>2.4522207384491521</c:v>
                </c:pt>
                <c:pt idx="10">
                  <c:v>3.2505542848396622</c:v>
                </c:pt>
                <c:pt idx="11">
                  <c:v>4.2264474854288698</c:v>
                </c:pt>
                <c:pt idx="12">
                  <c:v>5.3903097544386398</c:v>
                </c:pt>
                <c:pt idx="13">
                  <c:v>6.7432950086288024</c:v>
                </c:pt>
                <c:pt idx="14">
                  <c:v>8.2746720148039561</c:v>
                </c:pt>
                <c:pt idx="15">
                  <c:v>9.9597768685957284</c:v>
                </c:pt>
                <c:pt idx="16">
                  <c:v>11.758952090123916</c:v>
                </c:pt>
                <c:pt idx="17">
                  <c:v>13.617827372702635</c:v>
                </c:pt>
                <c:pt idx="18">
                  <c:v>15.46917739193519</c:v>
                </c:pt>
                <c:pt idx="19">
                  <c:v>17.236409624188628</c:v>
                </c:pt>
                <c:pt idx="20">
                  <c:v>18.838511517910241</c:v>
                </c:pt>
                <c:pt idx="21">
                  <c:v>20.196055481341798</c:v>
                </c:pt>
                <c:pt idx="22">
                  <c:v>21.237662592050484</c:v>
                </c:pt>
                <c:pt idx="23">
                  <c:v>21.906201094053607</c:v>
                </c:pt>
                <c:pt idx="24">
                  <c:v>22.163973130780697</c:v>
                </c:pt>
                <c:pt idx="25">
                  <c:v>21.996235032768517</c:v>
                </c:pt>
                <c:pt idx="26">
                  <c:v>21.412593860783424</c:v>
                </c:pt>
                <c:pt idx="27">
                  <c:v>20.446096181401533</c:v>
                </c:pt>
                <c:pt idx="28">
                  <c:v>19.150129308717094</c:v>
                </c:pt>
                <c:pt idx="29">
                  <c:v>17.593539234071493</c:v>
                </c:pt>
                <c:pt idx="30">
                  <c:v>15.854586086535999</c:v>
                </c:pt>
                <c:pt idx="31">
                  <c:v>14.01447375757825</c:v>
                </c:pt>
                <c:pt idx="32">
                  <c:v>12.151191702154648</c:v>
                </c:pt>
                <c:pt idx="33">
                  <c:v>10.334301837688805</c:v>
                </c:pt>
                <c:pt idx="34">
                  <c:v>8.6211182701814106</c:v>
                </c:pt>
                <c:pt idx="35">
                  <c:v>7.0545002918535262</c:v>
                </c:pt>
                <c:pt idx="36">
                  <c:v>5.6622507775020861</c:v>
                </c:pt>
                <c:pt idx="37">
                  <c:v>4.4579186190717923</c:v>
                </c:pt>
                <c:pt idx="38">
                  <c:v>3.4426697504437955</c:v>
                </c:pt>
                <c:pt idx="39">
                  <c:v>2.6078270315957979</c:v>
                </c:pt>
                <c:pt idx="40">
                  <c:v>1.9376815028605245</c:v>
                </c:pt>
                <c:pt idx="41">
                  <c:v>1.4122324808554865</c:v>
                </c:pt>
                <c:pt idx="42">
                  <c:v>1.0096019713552609</c:v>
                </c:pt>
                <c:pt idx="43">
                  <c:v>0.70796921840920268</c:v>
                </c:pt>
                <c:pt idx="44">
                  <c:v>0.48696612667879074</c:v>
                </c:pt>
                <c:pt idx="45">
                  <c:v>0.32855139963999036</c:v>
                </c:pt>
                <c:pt idx="46">
                  <c:v>0.21743431378234382</c:v>
                </c:pt>
                <c:pt idx="47">
                  <c:v>0.14114744925657718</c:v>
                </c:pt>
                <c:pt idx="48">
                  <c:v>8.9874849867429746E-2</c:v>
                </c:pt>
              </c:numCache>
            </c:numRef>
          </c:yVal>
          <c:smooth val="1"/>
          <c:extLst>
            <c:ext xmlns:c16="http://schemas.microsoft.com/office/drawing/2014/chart" uri="{C3380CC4-5D6E-409C-BE32-E72D297353CC}">
              <c16:uniqueId val="{00000001-A3E0-4241-B9E2-C6C1132A9B06}"/>
            </c:ext>
          </c:extLst>
        </c:ser>
        <c:ser>
          <c:idx val="2"/>
          <c:order val="2"/>
          <c:tx>
            <c:strRef>
              <c:f>'Notes | Quant Analysis'!$O$285</c:f>
              <c:strCache>
                <c:ptCount val="1"/>
                <c:pt idx="0">
                  <c:v>Mean</c:v>
                </c:pt>
              </c:strCache>
            </c:strRef>
          </c:tx>
          <c:spPr>
            <a:ln w="19050" cap="rnd">
              <a:solidFill>
                <a:srgbClr val="FFC000"/>
              </a:solidFill>
              <a:round/>
            </a:ln>
            <a:effectLst/>
          </c:spPr>
          <c:marker>
            <c:symbol val="none"/>
          </c:marker>
          <c:dLbls>
            <c:dLbl>
              <c:idx val="1"/>
              <c:layout>
                <c:manualLayout>
                  <c:x val="-6.1422244094488189E-2"/>
                  <c:y val="-3.6688584841437548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0.11456774934383201"/>
                      <c:h val="6.7822466719396207E-2"/>
                    </c:manualLayout>
                  </c15:layout>
                </c:ext>
                <c:ext xmlns:c16="http://schemas.microsoft.com/office/drawing/2014/chart" uri="{C3380CC4-5D6E-409C-BE32-E72D297353CC}">
                  <c16:uniqueId val="{00000003-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'Notes | Quant Analysis'!$P$285:$P$286</c:f>
              <c:numCache>
                <c:formatCode>0.00%</c:formatCode>
                <c:ptCount val="2"/>
                <c:pt idx="0">
                  <c:v>2.6571034956502341E-4</c:v>
                </c:pt>
                <c:pt idx="1">
                  <c:v>2.6571034956502341E-4</c:v>
                </c:pt>
              </c:numCache>
            </c:numRef>
          </c:xVal>
          <c:yVal>
            <c:numRef>
              <c:f>'Notes | Quant Analysis'!$Q$285:$Q$286</c:f>
              <c:numCache>
                <c:formatCode>General</c:formatCode>
                <c:ptCount val="2"/>
                <c:pt idx="0">
                  <c:v>0</c:v>
                </c:pt>
                <c:pt idx="1">
                  <c:v>25</c:v>
                </c:pt>
              </c:numCache>
            </c:numRef>
          </c:yVal>
          <c:smooth val="1"/>
          <c:extLst>
            <c:ext xmlns:c16="http://schemas.microsoft.com/office/drawing/2014/chart" uri="{C3380CC4-5D6E-409C-BE32-E72D297353CC}">
              <c16:uniqueId val="{00000002-A3E0-4241-B9E2-C6C1132A9B06}"/>
            </c:ext>
          </c:extLst>
        </c:ser>
        <c:ser>
          <c:idx val="3"/>
          <c:order val="3"/>
          <c:tx>
            <c:strRef>
              <c:f>'Notes | Quant Analysis'!$O$287</c:f>
              <c:strCache>
                <c:ptCount val="1"/>
                <c:pt idx="0">
                  <c:v>-3σ</c:v>
                </c:pt>
              </c:strCache>
            </c:strRef>
          </c:tx>
          <c:spPr>
            <a:ln w="19050" cap="rnd">
              <a:solidFill>
                <a:schemeClr val="accent4"/>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2-A3E0-4241-B9E2-C6C1132A9B06}"/>
                </c:ext>
              </c:extLst>
            </c:dLbl>
            <c:dLbl>
              <c:idx val="1"/>
              <c:layout>
                <c:manualLayout>
                  <c:x val="-4.853410250801983E-2"/>
                  <c:y val="-3.615066482506793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8.9827664771070279E-2"/>
                      <c:h val="6.7265422406906777E-2"/>
                    </c:manualLayout>
                  </c15:layout>
                </c:ext>
                <c:ext xmlns:c16="http://schemas.microsoft.com/office/drawing/2014/chart" uri="{C3380CC4-5D6E-409C-BE32-E72D297353CC}">
                  <c16:uniqueId val="{00000013-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'Notes | Quant Analysis'!$P$287:$P$288</c:f>
              <c:numCache>
                <c:formatCode>0.00%</c:formatCode>
                <c:ptCount val="2"/>
                <c:pt idx="0">
                  <c:v>-5.3727154922711635E-2</c:v>
                </c:pt>
                <c:pt idx="1">
                  <c:v>-5.3727154922711635E-2</c:v>
                </c:pt>
              </c:numCache>
            </c:numRef>
          </c:xVal>
          <c:yVal>
            <c:numRef>
              <c:f>'Notes | Quant Analysis'!$Q$287:$Q$288</c:f>
              <c:numCache>
                <c:formatCode>General</c:formatCode>
                <c:ptCount val="2"/>
                <c:pt idx="0">
                  <c:v>0</c:v>
                </c:pt>
                <c:pt idx="1">
                  <c:v>5</c:v>
                </c:pt>
              </c:numCache>
            </c:numRef>
          </c:yVal>
          <c:smooth val="1"/>
          <c:extLst>
            <c:ext xmlns:c16="http://schemas.microsoft.com/office/drawing/2014/chart" uri="{C3380CC4-5D6E-409C-BE32-E72D297353CC}">
              <c16:uniqueId val="{00000004-A3E0-4241-B9E2-C6C1132A9B06}"/>
            </c:ext>
          </c:extLst>
        </c:ser>
        <c:ser>
          <c:idx val="4"/>
          <c:order val="4"/>
          <c:tx>
            <c:strRef>
              <c:f>'Notes | Quant Analysis'!$O$289</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E-A3E0-4241-B9E2-C6C1132A9B06}"/>
                </c:ext>
              </c:extLst>
            </c:dLbl>
            <c:dLbl>
              <c:idx val="1"/>
              <c:layout>
                <c:manualLayout>
                  <c:x val="-6.4891367745698481E-2"/>
                  <c:y val="-3.951048097998245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F-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Analysis'!$P$289:$P$290</c:f>
              <c:numCache>
                <c:formatCode>0.00%</c:formatCode>
                <c:ptCount val="2"/>
                <c:pt idx="0">
                  <c:v>-3.5729533165286084E-2</c:v>
                </c:pt>
                <c:pt idx="1">
                  <c:v>-3.5729533165286084E-2</c:v>
                </c:pt>
              </c:numCache>
            </c:numRef>
          </c:xVal>
          <c:yVal>
            <c:numRef>
              <c:f>'Notes | Quant Analysis'!$Q$289:$Q$290</c:f>
              <c:numCache>
                <c:formatCode>General</c:formatCode>
                <c:ptCount val="2"/>
                <c:pt idx="0">
                  <c:v>0</c:v>
                </c:pt>
                <c:pt idx="1">
                  <c:v>10</c:v>
                </c:pt>
              </c:numCache>
            </c:numRef>
          </c:yVal>
          <c:smooth val="1"/>
          <c:extLst>
            <c:ext xmlns:c16="http://schemas.microsoft.com/office/drawing/2014/chart" uri="{C3380CC4-5D6E-409C-BE32-E72D297353CC}">
              <c16:uniqueId val="{00000005-A3E0-4241-B9E2-C6C1132A9B06}"/>
            </c:ext>
          </c:extLst>
        </c:ser>
        <c:ser>
          <c:idx val="5"/>
          <c:order val="5"/>
          <c:tx>
            <c:strRef>
              <c:f>'Notes | Quant Analysis'!$O$291</c:f>
              <c:strCache>
                <c:ptCount val="1"/>
                <c:pt idx="0">
                  <c:v>-1σ</c:v>
                </c:pt>
              </c:strCache>
            </c:strRef>
          </c:tx>
          <c:spPr>
            <a:ln w="19050" cap="rnd">
              <a:solidFill>
                <a:schemeClr val="accent6"/>
              </a:solidFill>
              <a:round/>
            </a:ln>
            <a:effectLst/>
          </c:spPr>
          <c:marker>
            <c:symbol val="none"/>
          </c:marker>
          <c:dPt>
            <c:idx val="1"/>
            <c:marker>
              <c:symbol val="none"/>
            </c:marker>
            <c:bubble3D val="0"/>
            <c:spPr>
              <a:ln w="19050" cap="rnd">
                <a:solidFill>
                  <a:srgbClr val="FFC000"/>
                </a:solidFill>
                <a:round/>
              </a:ln>
              <a:effectLst/>
            </c:spPr>
            <c:extLst>
              <c:ext xmlns:c16="http://schemas.microsoft.com/office/drawing/2014/chart" uri="{C3380CC4-5D6E-409C-BE32-E72D297353CC}">
                <c16:uniqueId val="{0000000A-A3E0-4241-B9E2-C6C1132A9B06}"/>
              </c:ext>
            </c:extLst>
          </c:dPt>
          <c:dLbls>
            <c:dLbl>
              <c:idx val="0"/>
              <c:delete val="1"/>
              <c:extLst>
                <c:ext xmlns:c15="http://schemas.microsoft.com/office/drawing/2012/chart" uri="{CE6537A1-D6FC-4f65-9D91-7224C49458BB}"/>
                <c:ext xmlns:c16="http://schemas.microsoft.com/office/drawing/2014/chart" uri="{C3380CC4-5D6E-409C-BE32-E72D297353CC}">
                  <c16:uniqueId val="{0000000D-A3E0-4241-B9E2-C6C1132A9B06}"/>
                </c:ext>
              </c:extLst>
            </c:dLbl>
            <c:dLbl>
              <c:idx val="1"/>
              <c:layout>
                <c:manualLayout>
                  <c:x val="-4.5846776540614045E-2"/>
                  <c:y val="-2.6764190008234892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8.1683162000583245E-2"/>
                      <c:h val="7.8289201855765045E-2"/>
                    </c:manualLayout>
                  </c15:layout>
                </c:ext>
                <c:ext xmlns:c16="http://schemas.microsoft.com/office/drawing/2014/chart" uri="{C3380CC4-5D6E-409C-BE32-E72D297353CC}">
                  <c16:uniqueId val="{0000000A-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Analysis'!$P$291:$P$292</c:f>
              <c:numCache>
                <c:formatCode>0.00%</c:formatCode>
                <c:ptCount val="2"/>
                <c:pt idx="0">
                  <c:v>-1.773191140786053E-2</c:v>
                </c:pt>
                <c:pt idx="1">
                  <c:v>-1.773191140786053E-2</c:v>
                </c:pt>
              </c:numCache>
            </c:numRef>
          </c:xVal>
          <c:yVal>
            <c:numRef>
              <c:f>'Notes | Quant Analysis'!$Q$291:$Q$292</c:f>
              <c:numCache>
                <c:formatCode>General</c:formatCode>
                <c:ptCount val="2"/>
                <c:pt idx="0">
                  <c:v>0</c:v>
                </c:pt>
                <c:pt idx="1">
                  <c:v>15</c:v>
                </c:pt>
              </c:numCache>
            </c:numRef>
          </c:yVal>
          <c:smooth val="1"/>
          <c:extLst>
            <c:ext xmlns:c16="http://schemas.microsoft.com/office/drawing/2014/chart" uri="{C3380CC4-5D6E-409C-BE32-E72D297353CC}">
              <c16:uniqueId val="{00000006-A3E0-4241-B9E2-C6C1132A9B06}"/>
            </c:ext>
          </c:extLst>
        </c:ser>
        <c:ser>
          <c:idx val="6"/>
          <c:order val="6"/>
          <c:tx>
            <c:strRef>
              <c:f>'Notes | Quant Analysis'!$O$293</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A3E0-4241-B9E2-C6C1132A9B06}"/>
                </c:ext>
              </c:extLst>
            </c:dLbl>
            <c:dLbl>
              <c:idx val="1"/>
              <c:layout>
                <c:manualLayout>
                  <c:x val="-5.320833835990401E-2"/>
                  <c:y val="-2.4154112624501685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0.10349372995042284"/>
                      <c:h val="6.4091891062342851E-2"/>
                    </c:manualLayout>
                  </c15:layout>
                </c:ext>
                <c:ext xmlns:c16="http://schemas.microsoft.com/office/drawing/2014/chart" uri="{C3380CC4-5D6E-409C-BE32-E72D297353CC}">
                  <c16:uniqueId val="{0000000C-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Analysis'!$P$293:$P$294</c:f>
              <c:numCache>
                <c:formatCode>0.00%</c:formatCode>
                <c:ptCount val="2"/>
                <c:pt idx="0">
                  <c:v>1.826333210699058E-2</c:v>
                </c:pt>
                <c:pt idx="1">
                  <c:v>1.826333210699058E-2</c:v>
                </c:pt>
              </c:numCache>
            </c:numRef>
          </c:xVal>
          <c:yVal>
            <c:numRef>
              <c:f>'Notes | Quant Analysis'!$Q$293:$Q$294</c:f>
              <c:numCache>
                <c:formatCode>General</c:formatCode>
                <c:ptCount val="2"/>
                <c:pt idx="0">
                  <c:v>0</c:v>
                </c:pt>
                <c:pt idx="1">
                  <c:v>15</c:v>
                </c:pt>
              </c:numCache>
            </c:numRef>
          </c:yVal>
          <c:smooth val="1"/>
          <c:extLst>
            <c:ext xmlns:c16="http://schemas.microsoft.com/office/drawing/2014/chart" uri="{C3380CC4-5D6E-409C-BE32-E72D297353CC}">
              <c16:uniqueId val="{00000007-A3E0-4241-B9E2-C6C1132A9B06}"/>
            </c:ext>
          </c:extLst>
        </c:ser>
        <c:ser>
          <c:idx val="7"/>
          <c:order val="7"/>
          <c:tx>
            <c:strRef>
              <c:f>'Notes | Quant Analysis'!$O$295</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1-A3E0-4241-B9E2-C6C1132A9B06}"/>
                </c:ext>
              </c:extLst>
            </c:dLbl>
            <c:dLbl>
              <c:idx val="1"/>
              <c:layout>
                <c:manualLayout>
                  <c:x val="-3.8353838582677165E-2"/>
                  <c:y val="-3.9747055606055237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5-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Analysis'!$P$295:$P$296</c:f>
              <c:numCache>
                <c:formatCode>0.00%</c:formatCode>
                <c:ptCount val="2"/>
                <c:pt idx="0">
                  <c:v>3.6260953864416134E-2</c:v>
                </c:pt>
                <c:pt idx="1">
                  <c:v>3.6260953864416134E-2</c:v>
                </c:pt>
              </c:numCache>
            </c:numRef>
          </c:xVal>
          <c:yVal>
            <c:numRef>
              <c:f>'Notes | Quant Analysis'!$Q$295:$Q$296</c:f>
              <c:numCache>
                <c:formatCode>General</c:formatCode>
                <c:ptCount val="2"/>
                <c:pt idx="0">
                  <c:v>0</c:v>
                </c:pt>
                <c:pt idx="1">
                  <c:v>10</c:v>
                </c:pt>
              </c:numCache>
            </c:numRef>
          </c:yVal>
          <c:smooth val="1"/>
          <c:extLst>
            <c:ext xmlns:c16="http://schemas.microsoft.com/office/drawing/2014/chart" uri="{C3380CC4-5D6E-409C-BE32-E72D297353CC}">
              <c16:uniqueId val="{00000008-A3E0-4241-B9E2-C6C1132A9B06}"/>
            </c:ext>
          </c:extLst>
        </c:ser>
        <c:ser>
          <c:idx val="8"/>
          <c:order val="8"/>
          <c:tx>
            <c:strRef>
              <c:f>'Notes | Quant Analysis'!$O$297</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0-A3E0-4241-B9E2-C6C1132A9B06}"/>
                </c:ext>
              </c:extLst>
            </c:dLbl>
            <c:dLbl>
              <c:idx val="1"/>
              <c:layout>
                <c:manualLayout>
                  <c:x val="-3.6475922280548266E-2"/>
                  <c:y val="-2.7463591039126253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4-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Analysis'!$P$297:$P$298</c:f>
              <c:numCache>
                <c:formatCode>0.00%</c:formatCode>
                <c:ptCount val="2"/>
                <c:pt idx="0">
                  <c:v>5.4258575621841686E-2</c:v>
                </c:pt>
                <c:pt idx="1">
                  <c:v>5.4258575621841686E-2</c:v>
                </c:pt>
              </c:numCache>
            </c:numRef>
          </c:xVal>
          <c:yVal>
            <c:numRef>
              <c:f>'Notes | Quant Analysis'!$Q$297:$Q$298</c:f>
              <c:numCache>
                <c:formatCode>General</c:formatCode>
                <c:ptCount val="2"/>
                <c:pt idx="0">
                  <c:v>0</c:v>
                </c:pt>
                <c:pt idx="1">
                  <c:v>5</c:v>
                </c:pt>
              </c:numCache>
            </c:numRef>
          </c:yVal>
          <c:smooth val="1"/>
          <c:extLst>
            <c:ext xmlns:c16="http://schemas.microsoft.com/office/drawing/2014/chart" uri="{C3380CC4-5D6E-409C-BE32-E72D297353CC}">
              <c16:uniqueId val="{00000009-A3E0-4241-B9E2-C6C1132A9B06}"/>
            </c:ext>
          </c:extLst>
        </c:ser>
        <c:dLbls>
          <c:showLegendKey val="0"/>
          <c:showVal val="0"/>
          <c:showCatName val="0"/>
          <c:showSerName val="0"/>
          <c:showPercent val="0"/>
          <c:showBubbleSize val="0"/>
        </c:dLbls>
        <c:axId val="1953242783"/>
        <c:axId val="1953240383"/>
      </c:scatterChart>
      <c:valAx>
        <c:axId val="1953242783"/>
        <c:scaling>
          <c:orientation val="minMax"/>
          <c:max val="6.0000000000000012E-2"/>
          <c:min val="-6.0000000000000012E-2"/>
        </c:scaling>
        <c:delete val="0"/>
        <c:axPos val="b"/>
        <c:majorGridlines>
          <c:spPr>
            <a:ln w="9525" cap="flat" cmpd="sng" algn="ctr">
              <a:solidFill>
                <a:schemeClr val="tx1">
                  <a:lumMod val="15000"/>
                  <a:lumOff val="85000"/>
                </a:schemeClr>
              </a:solidFill>
              <a:round/>
            </a:ln>
            <a:effectLst/>
          </c:spPr>
        </c:majorGridlines>
        <c:numFmt formatCode="0.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53240383"/>
        <c:crossesAt val="-100"/>
        <c:crossBetween val="midCat"/>
        <c:majorUnit val="5.000000000000001E-3"/>
      </c:valAx>
      <c:valAx>
        <c:axId val="1953240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242783"/>
        <c:crossesAt val="-1000"/>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(CRM) Yearly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3"/>
          <c:order val="0"/>
          <c:tx>
            <c:v>Net Income</c:v>
          </c:tx>
          <c:invertIfNegative val="0"/>
          <c:cat>
            <c:numRef>
              <c:f>Model!$CA$2:$CP$2</c:f>
              <c:numCache>
                <c:formatCode>General</c:formatCode>
                <c:ptCount val="16"/>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numCache>
            </c:numRef>
          </c:cat>
          <c:val>
            <c:numRef>
              <c:f>Model!$CA$29:$CP$29</c:f>
              <c:numCache>
                <c:formatCode>General</c:formatCode>
                <c:ptCount val="16"/>
                <c:pt idx="0">
                  <c:v>84.600000000000009</c:v>
                </c:pt>
                <c:pt idx="1">
                  <c:v>69.800000000000367</c:v>
                </c:pt>
                <c:pt idx="2">
                  <c:v>-11.600000000000225</c:v>
                </c:pt>
                <c:pt idx="3">
                  <c:v>-278.40000000000032</c:v>
                </c:pt>
                <c:pt idx="4">
                  <c:v>-232.30000000000121</c:v>
                </c:pt>
                <c:pt idx="5">
                  <c:v>-262.69999999999982</c:v>
                </c:pt>
                <c:pt idx="6">
                  <c:v>-47.400000000000347</c:v>
                </c:pt>
                <c:pt idx="7">
                  <c:v>323</c:v>
                </c:pt>
                <c:pt idx="8">
                  <c:v>360</c:v>
                </c:pt>
                <c:pt idx="9">
                  <c:v>1110</c:v>
                </c:pt>
                <c:pt idx="10">
                  <c:v>126</c:v>
                </c:pt>
                <c:pt idx="11">
                  <c:v>4072</c:v>
                </c:pt>
                <c:pt idx="12">
                  <c:v>1444</c:v>
                </c:pt>
                <c:pt idx="13">
                  <c:v>208</c:v>
                </c:pt>
                <c:pt idx="14">
                  <c:v>4136</c:v>
                </c:pt>
                <c:pt idx="15">
                  <c:v>6197</c:v>
                </c:pt>
              </c:numCache>
            </c:numRef>
          </c:val>
          <c:extLst>
            <c:ext xmlns:c16="http://schemas.microsoft.com/office/drawing/2014/chart" uri="{C3380CC4-5D6E-409C-BE32-E72D297353CC}">
              <c16:uniqueId val="{00000000-5873-4794-BA9D-48C2BB6A215F}"/>
            </c:ext>
          </c:extLst>
        </c:ser>
        <c:ser>
          <c:idx val="4"/>
          <c:order val="1"/>
          <c:tx>
            <c:v>FCF</c:v>
          </c:tx>
          <c:spPr>
            <a:solidFill>
              <a:srgbClr val="00B050"/>
            </a:solidFill>
          </c:spPr>
          <c:invertIfNegative val="0"/>
          <c:cat>
            <c:numRef>
              <c:f>Model!$CA$2:$CP$2</c:f>
              <c:numCache>
                <c:formatCode>General</c:formatCode>
                <c:ptCount val="16"/>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numCache>
            </c:numRef>
          </c:cat>
          <c:val>
            <c:numRef>
              <c:f>Model!$CA$79:$CP$79</c:f>
              <c:numCache>
                <c:formatCode>0</c:formatCode>
                <c:ptCount val="16"/>
                <c:pt idx="0">
                  <c:v>167.49599999999998</c:v>
                </c:pt>
                <c:pt idx="1">
                  <c:v>391.73299999999995</c:v>
                </c:pt>
                <c:pt idx="2">
                  <c:v>453.78100000000001</c:v>
                </c:pt>
                <c:pt idx="3">
                  <c:v>561.27199999999993</c:v>
                </c:pt>
                <c:pt idx="4">
                  <c:v>576.5</c:v>
                </c:pt>
                <c:pt idx="5">
                  <c:v>891</c:v>
                </c:pt>
                <c:pt idx="6">
                  <c:v>962.2</c:v>
                </c:pt>
                <c:pt idx="7">
                  <c:v>1698</c:v>
                </c:pt>
                <c:pt idx="8">
                  <c:v>2204</c:v>
                </c:pt>
                <c:pt idx="9">
                  <c:v>2803</c:v>
                </c:pt>
                <c:pt idx="10">
                  <c:v>3688</c:v>
                </c:pt>
                <c:pt idx="11">
                  <c:v>4091</c:v>
                </c:pt>
                <c:pt idx="12">
                  <c:v>5283</c:v>
                </c:pt>
                <c:pt idx="13">
                  <c:v>6313</c:v>
                </c:pt>
                <c:pt idx="14">
                  <c:v>9498</c:v>
                </c:pt>
                <c:pt idx="15">
                  <c:v>12434</c:v>
                </c:pt>
              </c:numCache>
            </c:numRef>
          </c:val>
          <c:extLst>
            <c:ext xmlns:c16="http://schemas.microsoft.com/office/drawing/2014/chart" uri="{C3380CC4-5D6E-409C-BE32-E72D297353CC}">
              <c16:uniqueId val="{00000001-5873-4794-BA9D-48C2BB6A215F}"/>
            </c:ext>
          </c:extLst>
        </c:ser>
        <c:dLbls>
          <c:showLegendKey val="0"/>
          <c:showVal val="0"/>
          <c:showCatName val="0"/>
          <c:showSerName val="0"/>
          <c:showPercent val="0"/>
          <c:showBubbleSize val="0"/>
        </c:dLbls>
        <c:gapWidth val="57"/>
        <c:axId val="1243124976"/>
        <c:axId val="1243123056"/>
      </c:barChart>
      <c:lineChart>
        <c:grouping val="standard"/>
        <c:varyColors val="0"/>
        <c:ser>
          <c:idx val="0"/>
          <c:order val="2"/>
          <c:tx>
            <c:v>Revenues</c:v>
          </c:tx>
          <c:spPr>
            <a:ln>
              <a:solidFill>
                <a:srgbClr val="00B0F0"/>
              </a:solidFill>
            </a:ln>
          </c:spPr>
          <c:marker>
            <c:symbol val="none"/>
          </c:marker>
          <c:cat>
            <c:numRef>
              <c:f>Model!$CA$2:$CP$2</c:f>
              <c:numCache>
                <c:formatCode>General</c:formatCode>
                <c:ptCount val="16"/>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numCache>
            </c:numRef>
          </c:cat>
          <c:val>
            <c:numRef>
              <c:f>Model!$CA$16:$CP$16</c:f>
              <c:numCache>
                <c:formatCode>0</c:formatCode>
                <c:ptCount val="16"/>
                <c:pt idx="0">
                  <c:v>1305.5</c:v>
                </c:pt>
                <c:pt idx="1">
                  <c:v>1657.2000000000003</c:v>
                </c:pt>
                <c:pt idx="2">
                  <c:v>2266.6</c:v>
                </c:pt>
                <c:pt idx="3">
                  <c:v>3231.6</c:v>
                </c:pt>
                <c:pt idx="4">
                  <c:v>4070.8999999999996</c:v>
                </c:pt>
                <c:pt idx="5">
                  <c:v>5373.6</c:v>
                </c:pt>
                <c:pt idx="6">
                  <c:v>6667.2999999999993</c:v>
                </c:pt>
                <c:pt idx="7">
                  <c:v>8437</c:v>
                </c:pt>
                <c:pt idx="8">
                  <c:v>10540</c:v>
                </c:pt>
                <c:pt idx="9">
                  <c:v>13282</c:v>
                </c:pt>
                <c:pt idx="10">
                  <c:v>17098</c:v>
                </c:pt>
                <c:pt idx="11">
                  <c:v>21252</c:v>
                </c:pt>
                <c:pt idx="12" formatCode="General">
                  <c:v>26492</c:v>
                </c:pt>
                <c:pt idx="13" formatCode="General">
                  <c:v>31355</c:v>
                </c:pt>
                <c:pt idx="14" formatCode="General">
                  <c:v>34857</c:v>
                </c:pt>
                <c:pt idx="15" formatCode="General">
                  <c:v>37895</c:v>
                </c:pt>
              </c:numCache>
            </c:numRef>
          </c:val>
          <c:smooth val="0"/>
          <c:extLst>
            <c:ext xmlns:c16="http://schemas.microsoft.com/office/drawing/2014/chart" uri="{C3380CC4-5D6E-409C-BE32-E72D297353CC}">
              <c16:uniqueId val="{00000002-5873-4794-BA9D-48C2BB6A215F}"/>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image" Target="../media/image4.png"/><Relationship Id="rId2" Type="http://schemas.openxmlformats.org/officeDocument/2006/relationships/chart" Target="../charts/chart1.xml"/><Relationship Id="rId1" Type="http://schemas.openxmlformats.org/officeDocument/2006/relationships/image" Target="../media/image2.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9525</xdr:colOff>
      <xdr:row>2</xdr:row>
      <xdr:rowOff>9525</xdr:rowOff>
    </xdr:from>
    <xdr:to>
      <xdr:col>9</xdr:col>
      <xdr:colOff>0</xdr:colOff>
      <xdr:row>6</xdr:row>
      <xdr:rowOff>171450</xdr:rowOff>
    </xdr:to>
    <xdr:pic>
      <xdr:nvPicPr>
        <xdr:cNvPr id="2" name="Picture 1">
          <a:extLst>
            <a:ext uri="{FF2B5EF4-FFF2-40B4-BE49-F238E27FC236}">
              <a16:creationId xmlns:a16="http://schemas.microsoft.com/office/drawing/2014/main" id="{F37D0559-FC00-F392-FBD8-B9FBBEECD3B0}"/>
            </a:ext>
          </a:extLst>
        </xdr:cNvPr>
        <xdr:cNvPicPr>
          <a:picLocks noChangeAspect="1"/>
        </xdr:cNvPicPr>
      </xdr:nvPicPr>
      <xdr:blipFill>
        <a:blip xmlns:r="http://schemas.openxmlformats.org/officeDocument/2006/relationships" r:embed="rId1"/>
        <a:stretch>
          <a:fillRect/>
        </a:stretch>
      </xdr:blipFill>
      <xdr:spPr>
        <a:xfrm>
          <a:off x="3486150" y="381000"/>
          <a:ext cx="1819275" cy="8858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68</xdr:col>
      <xdr:colOff>1</xdr:colOff>
      <xdr:row>0</xdr:row>
      <xdr:rowOff>0</xdr:rowOff>
    </xdr:from>
    <xdr:to>
      <xdr:col>68</xdr:col>
      <xdr:colOff>1</xdr:colOff>
      <xdr:row>127</xdr:row>
      <xdr:rowOff>152400</xdr:rowOff>
    </xdr:to>
    <xdr:cxnSp macro="">
      <xdr:nvCxnSpPr>
        <xdr:cNvPr id="2" name="Straight Connector 1">
          <a:extLst>
            <a:ext uri="{FF2B5EF4-FFF2-40B4-BE49-F238E27FC236}">
              <a16:creationId xmlns:a16="http://schemas.microsoft.com/office/drawing/2014/main" id="{1D82459E-58B3-42DB-9684-9D533E1F9712}"/>
            </a:ext>
          </a:extLst>
        </xdr:cNvPr>
        <xdr:cNvCxnSpPr/>
      </xdr:nvCxnSpPr>
      <xdr:spPr>
        <a:xfrm>
          <a:off x="42638383" y="0"/>
          <a:ext cx="0" cy="232029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94</xdr:col>
      <xdr:colOff>0</xdr:colOff>
      <xdr:row>0</xdr:row>
      <xdr:rowOff>0</xdr:rowOff>
    </xdr:from>
    <xdr:to>
      <xdr:col>94</xdr:col>
      <xdr:colOff>0</xdr:colOff>
      <xdr:row>126</xdr:row>
      <xdr:rowOff>76200</xdr:rowOff>
    </xdr:to>
    <xdr:cxnSp macro="">
      <xdr:nvCxnSpPr>
        <xdr:cNvPr id="3" name="Straight Connector 2">
          <a:extLst>
            <a:ext uri="{FF2B5EF4-FFF2-40B4-BE49-F238E27FC236}">
              <a16:creationId xmlns:a16="http://schemas.microsoft.com/office/drawing/2014/main" id="{1001E5F4-1B9E-487D-83F1-747CF5EB542B}"/>
            </a:ext>
          </a:extLst>
        </xdr:cNvPr>
        <xdr:cNvCxnSpPr/>
      </xdr:nvCxnSpPr>
      <xdr:spPr>
        <a:xfrm>
          <a:off x="55683150" y="0"/>
          <a:ext cx="0" cy="224028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9524</xdr:colOff>
      <xdr:row>2</xdr:row>
      <xdr:rowOff>9525</xdr:rowOff>
    </xdr:from>
    <xdr:to>
      <xdr:col>17</xdr:col>
      <xdr:colOff>4481</xdr:colOff>
      <xdr:row>30</xdr:row>
      <xdr:rowOff>0</xdr:rowOff>
    </xdr:to>
    <xdr:pic>
      <xdr:nvPicPr>
        <xdr:cNvPr id="5" name="Picture 4">
          <a:extLst>
            <a:ext uri="{FF2B5EF4-FFF2-40B4-BE49-F238E27FC236}">
              <a16:creationId xmlns:a16="http://schemas.microsoft.com/office/drawing/2014/main" id="{7080DD19-876C-AE5A-0295-A66E20992FD6}"/>
            </a:ext>
          </a:extLst>
        </xdr:cNvPr>
        <xdr:cNvPicPr>
          <a:picLocks noChangeAspect="1"/>
        </xdr:cNvPicPr>
      </xdr:nvPicPr>
      <xdr:blipFill>
        <a:blip xmlns:r="http://schemas.openxmlformats.org/officeDocument/2006/relationships" r:embed="rId1"/>
        <a:stretch>
          <a:fillRect/>
        </a:stretch>
      </xdr:blipFill>
      <xdr:spPr>
        <a:xfrm>
          <a:off x="4486274" y="381000"/>
          <a:ext cx="5476875" cy="5067300"/>
        </a:xfrm>
        <a:prstGeom prst="rect">
          <a:avLst/>
        </a:prstGeom>
      </xdr:spPr>
    </xdr:pic>
    <xdr:clientData/>
  </xdr:twoCellAnchor>
  <xdr:twoCellAnchor>
    <xdr:from>
      <xdr:col>8</xdr:col>
      <xdr:colOff>0</xdr:colOff>
      <xdr:row>165</xdr:row>
      <xdr:rowOff>0</xdr:rowOff>
    </xdr:from>
    <xdr:to>
      <xdr:col>23</xdr:col>
      <xdr:colOff>0</xdr:colOff>
      <xdr:row>193</xdr:row>
      <xdr:rowOff>0</xdr:rowOff>
    </xdr:to>
    <xdr:graphicFrame macro="">
      <xdr:nvGraphicFramePr>
        <xdr:cNvPr id="6" name="Chart 5">
          <a:extLst>
            <a:ext uri="{FF2B5EF4-FFF2-40B4-BE49-F238E27FC236}">
              <a16:creationId xmlns:a16="http://schemas.microsoft.com/office/drawing/2014/main" id="{D3E7EE22-A0F9-4E4D-9DC6-532E4D461F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129</xdr:row>
      <xdr:rowOff>0</xdr:rowOff>
    </xdr:from>
    <xdr:to>
      <xdr:col>23</xdr:col>
      <xdr:colOff>0</xdr:colOff>
      <xdr:row>160</xdr:row>
      <xdr:rowOff>0</xdr:rowOff>
    </xdr:to>
    <xdr:graphicFrame macro="">
      <xdr:nvGraphicFramePr>
        <xdr:cNvPr id="7" name="Chart 6">
          <a:extLst>
            <a:ext uri="{FF2B5EF4-FFF2-40B4-BE49-F238E27FC236}">
              <a16:creationId xmlns:a16="http://schemas.microsoft.com/office/drawing/2014/main" id="{EF0CB847-31FE-49B2-A2D4-3077B936E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35</xdr:row>
      <xdr:rowOff>0</xdr:rowOff>
    </xdr:from>
    <xdr:to>
      <xdr:col>17</xdr:col>
      <xdr:colOff>5255</xdr:colOff>
      <xdr:row>63</xdr:row>
      <xdr:rowOff>0</xdr:rowOff>
    </xdr:to>
    <xdr:pic>
      <xdr:nvPicPr>
        <xdr:cNvPr id="9" name="Picture 8">
          <a:extLst>
            <a:ext uri="{FF2B5EF4-FFF2-40B4-BE49-F238E27FC236}">
              <a16:creationId xmlns:a16="http://schemas.microsoft.com/office/drawing/2014/main" id="{B95BDAB9-D111-B5A2-8D69-900BD7915A51}"/>
            </a:ext>
          </a:extLst>
        </xdr:cNvPr>
        <xdr:cNvPicPr>
          <a:picLocks noChangeAspect="1"/>
        </xdr:cNvPicPr>
      </xdr:nvPicPr>
      <xdr:blipFill>
        <a:blip xmlns:r="http://schemas.openxmlformats.org/officeDocument/2006/relationships" r:embed="rId4"/>
        <a:stretch>
          <a:fillRect/>
        </a:stretch>
      </xdr:blipFill>
      <xdr:spPr>
        <a:xfrm>
          <a:off x="4467225" y="6362700"/>
          <a:ext cx="5491655" cy="5086350"/>
        </a:xfrm>
        <a:prstGeom prst="rect">
          <a:avLst/>
        </a:prstGeom>
      </xdr:spPr>
    </xdr:pic>
    <xdr:clientData/>
  </xdr:twoCellAnchor>
  <xdr:twoCellAnchor>
    <xdr:from>
      <xdr:col>8</xdr:col>
      <xdr:colOff>1</xdr:colOff>
      <xdr:row>234</xdr:row>
      <xdr:rowOff>0</xdr:rowOff>
    </xdr:from>
    <xdr:to>
      <xdr:col>26</xdr:col>
      <xdr:colOff>1</xdr:colOff>
      <xdr:row>269</xdr:row>
      <xdr:rowOff>0</xdr:rowOff>
    </xdr:to>
    <xdr:graphicFrame macro="">
      <xdr:nvGraphicFramePr>
        <xdr:cNvPr id="11" name="Chart 10">
          <a:extLst>
            <a:ext uri="{FF2B5EF4-FFF2-40B4-BE49-F238E27FC236}">
              <a16:creationId xmlns:a16="http://schemas.microsoft.com/office/drawing/2014/main" id="{BDB2C6D1-292F-4882-82D0-854FAD948B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198</xdr:row>
      <xdr:rowOff>0</xdr:rowOff>
    </xdr:from>
    <xdr:to>
      <xdr:col>22</xdr:col>
      <xdr:colOff>1</xdr:colOff>
      <xdr:row>226</xdr:row>
      <xdr:rowOff>0</xdr:rowOff>
    </xdr:to>
    <xdr:graphicFrame macro="">
      <xdr:nvGraphicFramePr>
        <xdr:cNvPr id="3" name="Chart 2">
          <a:extLst>
            <a:ext uri="{FF2B5EF4-FFF2-40B4-BE49-F238E27FC236}">
              <a16:creationId xmlns:a16="http://schemas.microsoft.com/office/drawing/2014/main" id="{0A82C0DC-BD02-4CB9-953B-027A58585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1</xdr:colOff>
      <xdr:row>2</xdr:row>
      <xdr:rowOff>11206</xdr:rowOff>
    </xdr:from>
    <xdr:to>
      <xdr:col>27</xdr:col>
      <xdr:colOff>0</xdr:colOff>
      <xdr:row>29</xdr:row>
      <xdr:rowOff>168088</xdr:rowOff>
    </xdr:to>
    <xdr:pic>
      <xdr:nvPicPr>
        <xdr:cNvPr id="4" name="Picture 3">
          <a:extLst>
            <a:ext uri="{FF2B5EF4-FFF2-40B4-BE49-F238E27FC236}">
              <a16:creationId xmlns:a16="http://schemas.microsoft.com/office/drawing/2014/main" id="{8F6CA72D-0984-43BC-A6D8-A925E6B7C3F3}"/>
            </a:ext>
          </a:extLst>
        </xdr:cNvPr>
        <xdr:cNvPicPr>
          <a:picLocks noChangeAspect="1"/>
        </xdr:cNvPicPr>
      </xdr:nvPicPr>
      <xdr:blipFill>
        <a:blip xmlns:r="http://schemas.openxmlformats.org/officeDocument/2006/relationships" r:embed="rId7"/>
        <a:stretch>
          <a:fillRect/>
        </a:stretch>
      </xdr:blipFill>
      <xdr:spPr>
        <a:xfrm>
          <a:off x="5647766" y="381000"/>
          <a:ext cx="6051175" cy="50090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19050</xdr:colOff>
      <xdr:row>1</xdr:row>
      <xdr:rowOff>9525</xdr:rowOff>
    </xdr:from>
    <xdr:to>
      <xdr:col>12</xdr:col>
      <xdr:colOff>549</xdr:colOff>
      <xdr:row>30</xdr:row>
      <xdr:rowOff>0</xdr:rowOff>
    </xdr:to>
    <xdr:pic>
      <xdr:nvPicPr>
        <xdr:cNvPr id="2" name="Picture 1">
          <a:extLst>
            <a:ext uri="{FF2B5EF4-FFF2-40B4-BE49-F238E27FC236}">
              <a16:creationId xmlns:a16="http://schemas.microsoft.com/office/drawing/2014/main" id="{8775C574-CC84-49ED-FC48-918A656D8B64}"/>
            </a:ext>
          </a:extLst>
        </xdr:cNvPr>
        <xdr:cNvPicPr>
          <a:picLocks noChangeAspect="1"/>
        </xdr:cNvPicPr>
      </xdr:nvPicPr>
      <xdr:blipFill>
        <a:blip xmlns:r="http://schemas.openxmlformats.org/officeDocument/2006/relationships" r:embed="rId1"/>
        <a:stretch>
          <a:fillRect/>
        </a:stretch>
      </xdr:blipFill>
      <xdr:spPr>
        <a:xfrm>
          <a:off x="219075" y="190500"/>
          <a:ext cx="6687099" cy="52387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https://www.salesforce.com/" TargetMode="External"/><Relationship Id="rId7" Type="http://schemas.openxmlformats.org/officeDocument/2006/relationships/drawing" Target="../drawings/drawing1.xml"/><Relationship Id="rId2" Type="http://schemas.openxmlformats.org/officeDocument/2006/relationships/hyperlink" Target="https://app.godelterminal.com/" TargetMode="External"/><Relationship Id="rId1" Type="http://schemas.openxmlformats.org/officeDocument/2006/relationships/hyperlink" Target="https://seekingalpha.com/symbol/CRM/earnings/transcripts" TargetMode="External"/><Relationship Id="rId6" Type="http://schemas.openxmlformats.org/officeDocument/2006/relationships/hyperlink" Target="https://www.gurufocus.com/term/wacc/CRM" TargetMode="External"/><Relationship Id="rId5" Type="http://schemas.openxmlformats.org/officeDocument/2006/relationships/hyperlink" Target="https://investor.salesforce.com/overview/default.aspx" TargetMode="External"/><Relationship Id="rId4" Type="http://schemas.openxmlformats.org/officeDocument/2006/relationships/hyperlink" Target="https://www.sec.gov/edgar/browse/?CIK=1108524&amp;owner=exclud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S36"/>
  <sheetViews>
    <sheetView topLeftCell="A9" workbookViewId="0">
      <selection activeCell="B21" sqref="B21"/>
    </sheetView>
  </sheetViews>
  <sheetFormatPr defaultRowHeight="14.25"/>
  <cols>
    <col min="1" max="1" width="3.42578125" style="1" customWidth="1"/>
    <col min="2" max="3" width="10.7109375" style="1" customWidth="1"/>
    <col min="4" max="4" width="9" style="1" customWidth="1"/>
    <col min="5" max="16384" width="9.140625" style="1"/>
  </cols>
  <sheetData>
    <row r="2" spans="2:19" ht="15">
      <c r="B2" s="2" t="s">
        <v>216</v>
      </c>
    </row>
    <row r="3" spans="2:19">
      <c r="B3" s="1" t="s">
        <v>0</v>
      </c>
      <c r="C3" s="73">
        <v>243.52</v>
      </c>
      <c r="D3" s="74" t="s">
        <v>2064</v>
      </c>
    </row>
    <row r="4" spans="2:19">
      <c r="B4" s="1" t="s">
        <v>57</v>
      </c>
      <c r="C4" s="71">
        <v>956</v>
      </c>
      <c r="D4" s="1" t="s">
        <v>147</v>
      </c>
    </row>
    <row r="5" spans="2:19">
      <c r="B5" s="1" t="s">
        <v>1</v>
      </c>
      <c r="C5" s="72">
        <f>C3*C4</f>
        <v>232805.12</v>
      </c>
    </row>
    <row r="6" spans="2:19">
      <c r="B6" s="1" t="s">
        <v>2</v>
      </c>
      <c r="C6" s="72">
        <f>10365+5007</f>
        <v>15372</v>
      </c>
      <c r="D6" s="1" t="s">
        <v>147</v>
      </c>
    </row>
    <row r="7" spans="2:19">
      <c r="B7" s="1" t="s">
        <v>3</v>
      </c>
      <c r="C7" s="72">
        <f>8436</f>
        <v>8436</v>
      </c>
      <c r="D7" s="1" t="s">
        <v>147</v>
      </c>
    </row>
    <row r="8" spans="2:19">
      <c r="B8" s="1" t="s">
        <v>4</v>
      </c>
      <c r="C8" s="72">
        <f>C5-C6+C7</f>
        <v>225869.12</v>
      </c>
    </row>
    <row r="10" spans="2:19" ht="15">
      <c r="B10" s="2" t="s">
        <v>217</v>
      </c>
    </row>
    <row r="11" spans="2:19" ht="15">
      <c r="Q11" s="2"/>
    </row>
    <row r="12" spans="2:19">
      <c r="B12" s="1" t="s">
        <v>232</v>
      </c>
      <c r="G12" s="1" t="s">
        <v>219</v>
      </c>
      <c r="O12" s="1" t="s">
        <v>6</v>
      </c>
      <c r="R12" s="38" t="s">
        <v>225</v>
      </c>
    </row>
    <row r="13" spans="2:19">
      <c r="B13" s="1" t="s">
        <v>218</v>
      </c>
      <c r="G13" s="1" t="s">
        <v>220</v>
      </c>
      <c r="O13" s="1" t="s">
        <v>223</v>
      </c>
      <c r="R13" s="38" t="s">
        <v>222</v>
      </c>
    </row>
    <row r="14" spans="2:19">
      <c r="B14" s="1" t="s">
        <v>229</v>
      </c>
      <c r="G14" s="1" t="s">
        <v>5</v>
      </c>
      <c r="P14" s="1" t="s">
        <v>224</v>
      </c>
      <c r="R14" s="38"/>
      <c r="S14" s="38" t="s">
        <v>2061</v>
      </c>
    </row>
    <row r="15" spans="2:19">
      <c r="B15" s="1" t="s">
        <v>233</v>
      </c>
      <c r="G15" s="1" t="s">
        <v>81</v>
      </c>
      <c r="O15" s="1" t="s">
        <v>78</v>
      </c>
      <c r="R15" s="38" t="s">
        <v>226</v>
      </c>
    </row>
    <row r="16" spans="2:19">
      <c r="B16" s="1" t="s">
        <v>234</v>
      </c>
      <c r="G16" s="1" t="s">
        <v>75</v>
      </c>
      <c r="H16" s="1" t="s">
        <v>221</v>
      </c>
      <c r="J16" s="1" t="s">
        <v>76</v>
      </c>
      <c r="K16" s="38" t="s">
        <v>228</v>
      </c>
      <c r="O16" s="1" t="s">
        <v>79</v>
      </c>
      <c r="R16" s="38" t="s">
        <v>227</v>
      </c>
    </row>
    <row r="17" spans="1:18">
      <c r="B17" s="1" t="s">
        <v>235</v>
      </c>
      <c r="O17" s="1" t="s">
        <v>230</v>
      </c>
      <c r="R17" s="38" t="s">
        <v>231</v>
      </c>
    </row>
    <row r="18" spans="1:18">
      <c r="B18" s="1" t="s">
        <v>236</v>
      </c>
      <c r="O18" s="1" t="s">
        <v>2062</v>
      </c>
      <c r="R18" s="38" t="s">
        <v>2063</v>
      </c>
    </row>
    <row r="19" spans="1:18">
      <c r="B19" s="1" t="s">
        <v>237</v>
      </c>
      <c r="O19" s="1" t="s">
        <v>7</v>
      </c>
      <c r="R19" s="38" t="s">
        <v>80</v>
      </c>
    </row>
    <row r="20" spans="1:18">
      <c r="B20" s="1" t="s">
        <v>2065</v>
      </c>
    </row>
    <row r="22" spans="1:18" ht="15">
      <c r="A22" s="2" t="s">
        <v>8</v>
      </c>
    </row>
    <row r="23" spans="1:18">
      <c r="B23" s="1" t="s">
        <v>238</v>
      </c>
    </row>
    <row r="24" spans="1:18">
      <c r="C24" s="1" t="s">
        <v>239</v>
      </c>
    </row>
    <row r="25" spans="1:18">
      <c r="C25" s="1" t="s">
        <v>240</v>
      </c>
    </row>
    <row r="26" spans="1:18">
      <c r="C26" s="1" t="s">
        <v>241</v>
      </c>
    </row>
    <row r="27" spans="1:18">
      <c r="C27" s="1" t="s">
        <v>242</v>
      </c>
    </row>
    <row r="28" spans="1:18">
      <c r="C28" s="1" t="s">
        <v>243</v>
      </c>
    </row>
    <row r="29" spans="1:18">
      <c r="C29" s="1" t="s">
        <v>244</v>
      </c>
    </row>
    <row r="30" spans="1:18">
      <c r="C30" s="1" t="s">
        <v>245</v>
      </c>
    </row>
    <row r="31" spans="1:18">
      <c r="B31" s="1" t="s">
        <v>246</v>
      </c>
    </row>
    <row r="32" spans="1:18">
      <c r="C32" s="1" t="s">
        <v>247</v>
      </c>
    </row>
    <row r="33" spans="1:2">
      <c r="B33" s="1" t="s">
        <v>248</v>
      </c>
    </row>
    <row r="35" spans="1:2" ht="15">
      <c r="A35" s="2" t="s">
        <v>82</v>
      </c>
    </row>
    <row r="36" spans="1:2">
      <c r="B36" s="1" t="s">
        <v>83</v>
      </c>
    </row>
  </sheetData>
  <hyperlinks>
    <hyperlink ref="R15" r:id="rId1" xr:uid="{E44B94DF-FE8A-4931-93F9-24899DFED42C}"/>
    <hyperlink ref="R19" r:id="rId2" xr:uid="{14375537-5C3D-4253-9650-337AB6789785}"/>
    <hyperlink ref="R13" r:id="rId3" xr:uid="{FF0BE0C9-D809-4B21-A1EE-5CDB7CF9F647}"/>
    <hyperlink ref="R12" r:id="rId4" xr:uid="{CC442C2C-976A-44EF-BD8B-960E4EB5FAA4}"/>
    <hyperlink ref="S14" r:id="rId5" xr:uid="{A3366E86-49A1-4C8A-B9E2-F7913E89E831}"/>
    <hyperlink ref="R18" r:id="rId6" xr:uid="{D29EB499-287E-4002-ACA8-4A7B4BF40B60}"/>
  </hyperlinks>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27957-A42B-4AB7-A411-12A70E029F5D}">
  <dimension ref="A1:FD81"/>
  <sheetViews>
    <sheetView tabSelected="1" zoomScale="85" zoomScaleNormal="85" workbookViewId="0">
      <pane xSplit="2" ySplit="2" topLeftCell="C3" activePane="bottomRight" state="frozen"/>
      <selection pane="topRight" activeCell="C1" sqref="C1"/>
      <selection pane="bottomLeft" activeCell="A3" sqref="A3"/>
      <selection pane="bottomRight" activeCell="CA9" sqref="CA9"/>
    </sheetView>
  </sheetViews>
  <sheetFormatPr defaultColWidth="9.140625" defaultRowHeight="14.25"/>
  <cols>
    <col min="1" max="1" width="2.85546875" style="1" customWidth="1"/>
    <col min="2" max="2" width="35.42578125" style="1" bestFit="1" customWidth="1"/>
    <col min="3" max="66" width="9" style="1" customWidth="1"/>
    <col min="67" max="67" width="9" style="61" customWidth="1"/>
    <col min="68" max="68" width="9" style="1" customWidth="1"/>
    <col min="69" max="74" width="9" style="50" customWidth="1"/>
    <col min="75" max="78" width="9.140625" style="1"/>
    <col min="79" max="94" width="9" style="1" customWidth="1"/>
    <col min="95" max="97" width="9.28515625" style="50" bestFit="1" customWidth="1"/>
    <col min="98" max="98" width="10.140625" style="50" bestFit="1" customWidth="1"/>
    <col min="99" max="132" width="9.28515625" style="50" bestFit="1" customWidth="1"/>
    <col min="133" max="135" width="9.85546875" style="50" bestFit="1" customWidth="1"/>
    <col min="136" max="160" width="9.140625" style="50"/>
    <col min="161" max="16384" width="9.140625" style="1"/>
  </cols>
  <sheetData>
    <row r="1" spans="1:160" ht="15">
      <c r="B1" s="1" t="s">
        <v>211</v>
      </c>
      <c r="AU1" s="33" t="s">
        <v>264</v>
      </c>
      <c r="AY1" s="33" t="s">
        <v>265</v>
      </c>
      <c r="BC1" s="33" t="s">
        <v>266</v>
      </c>
      <c r="BG1" s="33" t="s">
        <v>267</v>
      </c>
      <c r="BK1" s="33" t="s">
        <v>268</v>
      </c>
      <c r="BO1" s="33" t="s">
        <v>269</v>
      </c>
      <c r="BP1" s="44"/>
      <c r="BQ1" s="58"/>
      <c r="BR1" s="58"/>
      <c r="BS1" s="58"/>
      <c r="BT1" s="58"/>
      <c r="BU1" s="58"/>
      <c r="BV1" s="58"/>
      <c r="BW1" s="44"/>
      <c r="BX1" s="44"/>
      <c r="BY1" s="44"/>
      <c r="BZ1" s="44"/>
    </row>
    <row r="2" spans="1:160" s="2" customFormat="1" ht="15">
      <c r="A2" s="2" t="s">
        <v>45</v>
      </c>
      <c r="C2" s="33" t="s">
        <v>210</v>
      </c>
      <c r="D2" s="33" t="s">
        <v>209</v>
      </c>
      <c r="E2" s="33" t="s">
        <v>208</v>
      </c>
      <c r="F2" s="33" t="s">
        <v>207</v>
      </c>
      <c r="G2" s="33" t="s">
        <v>206</v>
      </c>
      <c r="H2" s="33" t="s">
        <v>205</v>
      </c>
      <c r="I2" s="33" t="s">
        <v>204</v>
      </c>
      <c r="J2" s="33" t="s">
        <v>203</v>
      </c>
      <c r="K2" s="33" t="s">
        <v>202</v>
      </c>
      <c r="L2" s="33" t="s">
        <v>201</v>
      </c>
      <c r="M2" s="33" t="s">
        <v>200</v>
      </c>
      <c r="N2" s="33" t="s">
        <v>199</v>
      </c>
      <c r="O2" s="33" t="s">
        <v>198</v>
      </c>
      <c r="P2" s="33" t="s">
        <v>197</v>
      </c>
      <c r="Q2" s="33" t="s">
        <v>196</v>
      </c>
      <c r="R2" s="33" t="s">
        <v>195</v>
      </c>
      <c r="S2" s="33" t="s">
        <v>194</v>
      </c>
      <c r="T2" s="33" t="s">
        <v>193</v>
      </c>
      <c r="U2" s="33" t="s">
        <v>192</v>
      </c>
      <c r="V2" s="33" t="s">
        <v>191</v>
      </c>
      <c r="W2" s="33" t="s">
        <v>190</v>
      </c>
      <c r="X2" s="33" t="s">
        <v>189</v>
      </c>
      <c r="Y2" s="33" t="s">
        <v>188</v>
      </c>
      <c r="Z2" s="33" t="s">
        <v>187</v>
      </c>
      <c r="AA2" s="33" t="s">
        <v>186</v>
      </c>
      <c r="AB2" s="33" t="s">
        <v>185</v>
      </c>
      <c r="AC2" s="33" t="s">
        <v>184</v>
      </c>
      <c r="AD2" s="33" t="s">
        <v>183</v>
      </c>
      <c r="AE2" s="33" t="s">
        <v>182</v>
      </c>
      <c r="AF2" s="33" t="s">
        <v>181</v>
      </c>
      <c r="AG2" s="33" t="s">
        <v>180</v>
      </c>
      <c r="AH2" s="33" t="s">
        <v>179</v>
      </c>
      <c r="AI2" s="33" t="s">
        <v>178</v>
      </c>
      <c r="AJ2" s="33" t="s">
        <v>177</v>
      </c>
      <c r="AK2" s="33" t="s">
        <v>176</v>
      </c>
      <c r="AL2" s="33" t="s">
        <v>175</v>
      </c>
      <c r="AM2" s="33" t="s">
        <v>174</v>
      </c>
      <c r="AN2" s="33" t="s">
        <v>173</v>
      </c>
      <c r="AO2" s="33" t="s">
        <v>172</v>
      </c>
      <c r="AP2" s="33" t="s">
        <v>171</v>
      </c>
      <c r="AQ2" s="33" t="s">
        <v>170</v>
      </c>
      <c r="AR2" s="33" t="s">
        <v>169</v>
      </c>
      <c r="AS2" s="33" t="s">
        <v>168</v>
      </c>
      <c r="AT2" s="33" t="s">
        <v>167</v>
      </c>
      <c r="AU2" s="33" t="s">
        <v>166</v>
      </c>
      <c r="AV2" s="33" t="s">
        <v>165</v>
      </c>
      <c r="AW2" s="33" t="s">
        <v>164</v>
      </c>
      <c r="AX2" s="33" t="s">
        <v>163</v>
      </c>
      <c r="AY2" s="2" t="s">
        <v>162</v>
      </c>
      <c r="AZ2" s="2" t="s">
        <v>161</v>
      </c>
      <c r="BA2" s="2" t="s">
        <v>160</v>
      </c>
      <c r="BB2" s="2" t="s">
        <v>159</v>
      </c>
      <c r="BC2" s="2" t="s">
        <v>158</v>
      </c>
      <c r="BD2" s="2" t="s">
        <v>157</v>
      </c>
      <c r="BE2" s="2" t="s">
        <v>156</v>
      </c>
      <c r="BF2" s="2" t="s">
        <v>155</v>
      </c>
      <c r="BG2" s="2" t="s">
        <v>154</v>
      </c>
      <c r="BH2" s="2" t="s">
        <v>153</v>
      </c>
      <c r="BI2" s="2" t="s">
        <v>152</v>
      </c>
      <c r="BJ2" s="2" t="s">
        <v>151</v>
      </c>
      <c r="BK2" s="2" t="s">
        <v>150</v>
      </c>
      <c r="BL2" s="2" t="s">
        <v>149</v>
      </c>
      <c r="BM2" s="2" t="s">
        <v>148</v>
      </c>
      <c r="BN2" s="2" t="s">
        <v>89</v>
      </c>
      <c r="BO2" s="33" t="s">
        <v>90</v>
      </c>
      <c r="BP2" s="2" t="s">
        <v>147</v>
      </c>
      <c r="BQ2" s="55" t="s">
        <v>146</v>
      </c>
      <c r="BR2" s="55" t="s">
        <v>145</v>
      </c>
      <c r="BS2" s="55" t="s">
        <v>212</v>
      </c>
      <c r="BT2" s="55" t="s">
        <v>213</v>
      </c>
      <c r="BU2" s="55" t="s">
        <v>214</v>
      </c>
      <c r="BV2" s="55" t="s">
        <v>215</v>
      </c>
      <c r="CA2" s="2">
        <f>2009</f>
        <v>2009</v>
      </c>
      <c r="CB2" s="2">
        <f t="shared" ref="CB2:CL2" si="0">CA2+1</f>
        <v>2010</v>
      </c>
      <c r="CC2" s="2">
        <f t="shared" si="0"/>
        <v>2011</v>
      </c>
      <c r="CD2" s="2">
        <f t="shared" si="0"/>
        <v>2012</v>
      </c>
      <c r="CE2" s="2">
        <f t="shared" si="0"/>
        <v>2013</v>
      </c>
      <c r="CF2" s="2">
        <f t="shared" si="0"/>
        <v>2014</v>
      </c>
      <c r="CG2" s="2">
        <f t="shared" si="0"/>
        <v>2015</v>
      </c>
      <c r="CH2" s="2">
        <f t="shared" si="0"/>
        <v>2016</v>
      </c>
      <c r="CI2" s="2">
        <f t="shared" si="0"/>
        <v>2017</v>
      </c>
      <c r="CJ2" s="2">
        <f t="shared" si="0"/>
        <v>2018</v>
      </c>
      <c r="CK2" s="2">
        <f t="shared" si="0"/>
        <v>2019</v>
      </c>
      <c r="CL2" s="2">
        <f t="shared" si="0"/>
        <v>2020</v>
      </c>
      <c r="CM2" s="2">
        <v>2021</v>
      </c>
      <c r="CN2" s="2">
        <v>2022</v>
      </c>
      <c r="CO2" s="2">
        <v>2023</v>
      </c>
      <c r="CP2" s="2">
        <v>2024</v>
      </c>
      <c r="CQ2" s="55">
        <v>2025</v>
      </c>
      <c r="CR2" s="55">
        <f t="shared" ref="CR2:DW2" si="1">CQ2+1</f>
        <v>2026</v>
      </c>
      <c r="CS2" s="55">
        <f t="shared" si="1"/>
        <v>2027</v>
      </c>
      <c r="CT2" s="55">
        <f t="shared" si="1"/>
        <v>2028</v>
      </c>
      <c r="CU2" s="55">
        <f t="shared" si="1"/>
        <v>2029</v>
      </c>
      <c r="CV2" s="55">
        <f t="shared" si="1"/>
        <v>2030</v>
      </c>
      <c r="CW2" s="55">
        <f t="shared" si="1"/>
        <v>2031</v>
      </c>
      <c r="CX2" s="55">
        <f t="shared" si="1"/>
        <v>2032</v>
      </c>
      <c r="CY2" s="55">
        <f t="shared" si="1"/>
        <v>2033</v>
      </c>
      <c r="CZ2" s="55">
        <f t="shared" si="1"/>
        <v>2034</v>
      </c>
      <c r="DA2" s="55">
        <f t="shared" si="1"/>
        <v>2035</v>
      </c>
      <c r="DB2" s="55">
        <f t="shared" si="1"/>
        <v>2036</v>
      </c>
      <c r="DC2" s="55">
        <f t="shared" si="1"/>
        <v>2037</v>
      </c>
      <c r="DD2" s="55">
        <f t="shared" si="1"/>
        <v>2038</v>
      </c>
      <c r="DE2" s="55">
        <f t="shared" si="1"/>
        <v>2039</v>
      </c>
      <c r="DF2" s="55">
        <f t="shared" si="1"/>
        <v>2040</v>
      </c>
      <c r="DG2" s="55">
        <f t="shared" si="1"/>
        <v>2041</v>
      </c>
      <c r="DH2" s="55">
        <f t="shared" si="1"/>
        <v>2042</v>
      </c>
      <c r="DI2" s="55">
        <f t="shared" si="1"/>
        <v>2043</v>
      </c>
      <c r="DJ2" s="55">
        <f t="shared" si="1"/>
        <v>2044</v>
      </c>
      <c r="DK2" s="55">
        <f t="shared" si="1"/>
        <v>2045</v>
      </c>
      <c r="DL2" s="55">
        <f t="shared" si="1"/>
        <v>2046</v>
      </c>
      <c r="DM2" s="55">
        <f t="shared" si="1"/>
        <v>2047</v>
      </c>
      <c r="DN2" s="55">
        <f t="shared" si="1"/>
        <v>2048</v>
      </c>
      <c r="DO2" s="55">
        <f t="shared" si="1"/>
        <v>2049</v>
      </c>
      <c r="DP2" s="55">
        <f t="shared" si="1"/>
        <v>2050</v>
      </c>
      <c r="DQ2" s="55">
        <f t="shared" si="1"/>
        <v>2051</v>
      </c>
      <c r="DR2" s="55">
        <f t="shared" si="1"/>
        <v>2052</v>
      </c>
      <c r="DS2" s="55">
        <f t="shared" si="1"/>
        <v>2053</v>
      </c>
      <c r="DT2" s="55">
        <f t="shared" si="1"/>
        <v>2054</v>
      </c>
      <c r="DU2" s="55">
        <f t="shared" si="1"/>
        <v>2055</v>
      </c>
      <c r="DV2" s="55">
        <f t="shared" si="1"/>
        <v>2056</v>
      </c>
      <c r="DW2" s="55">
        <f t="shared" si="1"/>
        <v>2057</v>
      </c>
      <c r="DX2" s="55">
        <f t="shared" ref="DX2:EN2" si="2">DW2+1</f>
        <v>2058</v>
      </c>
      <c r="DY2" s="55">
        <f t="shared" si="2"/>
        <v>2059</v>
      </c>
      <c r="DZ2" s="55">
        <f t="shared" si="2"/>
        <v>2060</v>
      </c>
      <c r="EA2" s="55">
        <f t="shared" si="2"/>
        <v>2061</v>
      </c>
      <c r="EB2" s="55">
        <f t="shared" si="2"/>
        <v>2062</v>
      </c>
      <c r="EC2" s="55">
        <f t="shared" si="2"/>
        <v>2063</v>
      </c>
      <c r="ED2" s="55">
        <f t="shared" si="2"/>
        <v>2064</v>
      </c>
      <c r="EE2" s="55">
        <f t="shared" si="2"/>
        <v>2065</v>
      </c>
      <c r="EF2" s="55">
        <f t="shared" si="2"/>
        <v>2066</v>
      </c>
      <c r="EG2" s="55">
        <f t="shared" si="2"/>
        <v>2067</v>
      </c>
      <c r="EH2" s="55">
        <f t="shared" si="2"/>
        <v>2068</v>
      </c>
      <c r="EI2" s="55">
        <f t="shared" si="2"/>
        <v>2069</v>
      </c>
      <c r="EJ2" s="55">
        <f t="shared" si="2"/>
        <v>2070</v>
      </c>
      <c r="EK2" s="55">
        <f t="shared" si="2"/>
        <v>2071</v>
      </c>
      <c r="EL2" s="55">
        <f t="shared" si="2"/>
        <v>2072</v>
      </c>
      <c r="EM2" s="55">
        <f t="shared" si="2"/>
        <v>2073</v>
      </c>
      <c r="EN2" s="55">
        <f t="shared" si="2"/>
        <v>2074</v>
      </c>
      <c r="EO2" s="55">
        <f>EN2+1</f>
        <v>2075</v>
      </c>
      <c r="EP2" s="55">
        <f t="shared" ref="EP2:FD2" si="3">EO2+1</f>
        <v>2076</v>
      </c>
      <c r="EQ2" s="55">
        <f t="shared" si="3"/>
        <v>2077</v>
      </c>
      <c r="ER2" s="55">
        <f t="shared" si="3"/>
        <v>2078</v>
      </c>
      <c r="ES2" s="55">
        <f t="shared" si="3"/>
        <v>2079</v>
      </c>
      <c r="ET2" s="55">
        <f t="shared" si="3"/>
        <v>2080</v>
      </c>
      <c r="EU2" s="55">
        <f t="shared" si="3"/>
        <v>2081</v>
      </c>
      <c r="EV2" s="55">
        <f t="shared" si="3"/>
        <v>2082</v>
      </c>
      <c r="EW2" s="55">
        <f t="shared" si="3"/>
        <v>2083</v>
      </c>
      <c r="EX2" s="55">
        <f t="shared" si="3"/>
        <v>2084</v>
      </c>
      <c r="EY2" s="55">
        <f t="shared" si="3"/>
        <v>2085</v>
      </c>
      <c r="EZ2" s="55">
        <f t="shared" si="3"/>
        <v>2086</v>
      </c>
      <c r="FA2" s="55">
        <f t="shared" si="3"/>
        <v>2087</v>
      </c>
      <c r="FB2" s="55">
        <f t="shared" si="3"/>
        <v>2088</v>
      </c>
      <c r="FC2" s="55">
        <f t="shared" si="3"/>
        <v>2089</v>
      </c>
      <c r="FD2" s="55">
        <f t="shared" si="3"/>
        <v>2090</v>
      </c>
    </row>
    <row r="3" spans="1:160">
      <c r="B3" s="1" t="s">
        <v>140</v>
      </c>
      <c r="C3" s="39"/>
      <c r="D3" s="39"/>
      <c r="E3" s="39"/>
      <c r="AY3" s="1">
        <v>5536</v>
      </c>
      <c r="AZ3" s="1">
        <v>5914</v>
      </c>
      <c r="BA3" s="1">
        <v>6379</v>
      </c>
      <c r="BB3" s="1">
        <f>24657-SUM(AY3:BA3)</f>
        <v>6828</v>
      </c>
      <c r="BC3" s="1">
        <v>6856</v>
      </c>
      <c r="BD3" s="1">
        <v>7143</v>
      </c>
      <c r="BE3" s="1">
        <v>7233</v>
      </c>
      <c r="BF3" s="1">
        <f>29024-SUM(BC3:BE3)</f>
        <v>7792</v>
      </c>
      <c r="BG3" s="1">
        <v>7642</v>
      </c>
      <c r="BH3" s="1">
        <v>8006</v>
      </c>
      <c r="BI3" s="1">
        <v>8141</v>
      </c>
      <c r="BJ3" s="1">
        <f>32537-SUM(BG3:BI3)</f>
        <v>8748</v>
      </c>
      <c r="BK3" s="1">
        <v>8585</v>
      </c>
      <c r="BL3" s="1">
        <v>8764</v>
      </c>
      <c r="BM3" s="1">
        <v>8879</v>
      </c>
      <c r="BN3" s="1">
        <f>35679-SUM(BK3:BM3)</f>
        <v>9451</v>
      </c>
      <c r="BO3" s="61">
        <v>9297</v>
      </c>
      <c r="BP3" s="61">
        <v>9690</v>
      </c>
      <c r="CM3" s="1">
        <f>SUM(AY3:BB3)</f>
        <v>24657</v>
      </c>
      <c r="CN3" s="1">
        <f>SUM(BC3:BF3)</f>
        <v>29024</v>
      </c>
      <c r="CO3" s="1">
        <f>SUM(BG3:BJ3)</f>
        <v>32537</v>
      </c>
      <c r="CP3" s="1">
        <f>SUM(BK3:BN3)</f>
        <v>35679</v>
      </c>
      <c r="CQ3" s="52">
        <f t="shared" ref="CQ3:CX4" si="4">CP3*(1+CQ7)</f>
        <v>38979.307500000003</v>
      </c>
      <c r="CR3" s="52">
        <f t="shared" si="4"/>
        <v>42779.789981249996</v>
      </c>
      <c r="CS3" s="52">
        <f t="shared" si="4"/>
        <v>48341.162678812492</v>
      </c>
      <c r="CT3" s="52">
        <f t="shared" si="4"/>
        <v>53658.690573481872</v>
      </c>
      <c r="CU3" s="52">
        <f t="shared" si="4"/>
        <v>58487.972725095242</v>
      </c>
      <c r="CV3" s="52">
        <f t="shared" si="4"/>
        <v>62582.13081585191</v>
      </c>
      <c r="CW3" s="52">
        <f t="shared" si="4"/>
        <v>66337.058664803029</v>
      </c>
      <c r="CX3" s="52">
        <f t="shared" si="4"/>
        <v>69653.911598043182</v>
      </c>
    </row>
    <row r="4" spans="1:160">
      <c r="B4" s="1" t="s">
        <v>144</v>
      </c>
      <c r="C4" s="39"/>
      <c r="D4" s="39"/>
      <c r="E4" s="39"/>
      <c r="AY4" s="1">
        <v>427</v>
      </c>
      <c r="AZ4" s="1">
        <v>426</v>
      </c>
      <c r="BA4" s="1">
        <v>484</v>
      </c>
      <c r="BB4" s="1">
        <f>1835-SUM(AY4:BA4)</f>
        <v>498</v>
      </c>
      <c r="BC4" s="1">
        <v>555</v>
      </c>
      <c r="BD4" s="1">
        <v>577</v>
      </c>
      <c r="BE4" s="1">
        <v>604</v>
      </c>
      <c r="BF4" s="1">
        <f>2331-SUM(BC4:BE4)</f>
        <v>595</v>
      </c>
      <c r="BG4" s="1">
        <v>605</v>
      </c>
      <c r="BH4" s="1">
        <v>597</v>
      </c>
      <c r="BI4" s="1">
        <v>579</v>
      </c>
      <c r="BJ4" s="1">
        <f>2320-SUM(BG4:BI4)</f>
        <v>539</v>
      </c>
      <c r="BK4" s="1">
        <v>548</v>
      </c>
      <c r="BL4" s="1">
        <v>561</v>
      </c>
      <c r="BM4" s="1">
        <v>565</v>
      </c>
      <c r="BN4" s="1">
        <f>2216-SUM(BK4:BM4)</f>
        <v>542</v>
      </c>
      <c r="BO4" s="61">
        <v>532</v>
      </c>
      <c r="BP4" s="61">
        <v>546</v>
      </c>
      <c r="CM4" s="1">
        <f>SUM(AY4:BB4)</f>
        <v>1835</v>
      </c>
      <c r="CN4" s="1">
        <f>SUM(BC4:BF4)</f>
        <v>2331</v>
      </c>
      <c r="CO4" s="1">
        <f>SUM(BG4:BJ4)</f>
        <v>2320</v>
      </c>
      <c r="CP4" s="1">
        <f>SUM(BK4:BN4)</f>
        <v>2216</v>
      </c>
      <c r="CQ4" s="52">
        <f t="shared" si="4"/>
        <v>2177.2200000000003</v>
      </c>
      <c r="CR4" s="52">
        <f t="shared" si="4"/>
        <v>2122.7895000000003</v>
      </c>
      <c r="CS4" s="52">
        <f t="shared" si="4"/>
        <v>2037.8779200000001</v>
      </c>
      <c r="CT4" s="52">
        <f t="shared" si="4"/>
        <v>1956.3628032000001</v>
      </c>
      <c r="CU4" s="52">
        <f t="shared" si="4"/>
        <v>1878.1082910720002</v>
      </c>
      <c r="CV4" s="52">
        <f t="shared" si="4"/>
        <v>1802.98395942912</v>
      </c>
      <c r="CW4" s="52">
        <f t="shared" si="4"/>
        <v>1730.8646010519551</v>
      </c>
      <c r="CX4" s="52">
        <f t="shared" si="4"/>
        <v>1661.6300170098768</v>
      </c>
    </row>
    <row r="5" spans="1:160" s="2" customFormat="1" ht="15">
      <c r="B5" s="2" t="s">
        <v>46</v>
      </c>
      <c r="C5" s="42"/>
      <c r="D5" s="42"/>
      <c r="E5" s="42"/>
      <c r="AY5" s="2">
        <f t="shared" ref="AY5:BO5" si="5">AY3+AY4</f>
        <v>5963</v>
      </c>
      <c r="AZ5" s="2">
        <f t="shared" si="5"/>
        <v>6340</v>
      </c>
      <c r="BA5" s="2">
        <f t="shared" si="5"/>
        <v>6863</v>
      </c>
      <c r="BB5" s="2">
        <f t="shared" si="5"/>
        <v>7326</v>
      </c>
      <c r="BC5" s="2">
        <f t="shared" si="5"/>
        <v>7411</v>
      </c>
      <c r="BD5" s="2">
        <f t="shared" si="5"/>
        <v>7720</v>
      </c>
      <c r="BE5" s="2">
        <f t="shared" si="5"/>
        <v>7837</v>
      </c>
      <c r="BF5" s="2">
        <f t="shared" si="5"/>
        <v>8387</v>
      </c>
      <c r="BG5" s="2">
        <f t="shared" si="5"/>
        <v>8247</v>
      </c>
      <c r="BH5" s="2">
        <f t="shared" si="5"/>
        <v>8603</v>
      </c>
      <c r="BI5" s="2">
        <f t="shared" si="5"/>
        <v>8720</v>
      </c>
      <c r="BJ5" s="2">
        <f t="shared" si="5"/>
        <v>9287</v>
      </c>
      <c r="BK5" s="2">
        <f t="shared" si="5"/>
        <v>9133</v>
      </c>
      <c r="BL5" s="2">
        <f t="shared" si="5"/>
        <v>9325</v>
      </c>
      <c r="BM5" s="2">
        <f t="shared" si="5"/>
        <v>9444</v>
      </c>
      <c r="BN5" s="2">
        <f t="shared" si="5"/>
        <v>9993</v>
      </c>
      <c r="BO5" s="2">
        <f t="shared" si="5"/>
        <v>9829</v>
      </c>
      <c r="BP5" s="2">
        <f t="shared" ref="BP5" si="6">BP3+BP4</f>
        <v>10236</v>
      </c>
      <c r="BQ5" s="55">
        <v>10260</v>
      </c>
      <c r="BR5" s="55">
        <v>10900</v>
      </c>
      <c r="BS5" s="55"/>
      <c r="BT5" s="55"/>
      <c r="BU5" s="55"/>
      <c r="BV5" s="55"/>
      <c r="CM5" s="2">
        <f>SUM(AY5:BB5)</f>
        <v>26492</v>
      </c>
      <c r="CN5" s="2">
        <f>SUM(BC5:BF5)</f>
        <v>31355</v>
      </c>
      <c r="CO5" s="2">
        <f>SUM(BG5:BJ5)</f>
        <v>34857</v>
      </c>
      <c r="CP5" s="2">
        <f>SUM(BK5:BN5)</f>
        <v>37895</v>
      </c>
      <c r="CQ5" s="56">
        <f t="shared" ref="CQ5:CX5" si="7">CQ3+CQ4</f>
        <v>41156.527500000004</v>
      </c>
      <c r="CR5" s="56">
        <f t="shared" si="7"/>
        <v>44902.579481249995</v>
      </c>
      <c r="CS5" s="56">
        <f t="shared" si="7"/>
        <v>50379.040598812491</v>
      </c>
      <c r="CT5" s="56">
        <f t="shared" si="7"/>
        <v>55615.05337668187</v>
      </c>
      <c r="CU5" s="56">
        <f t="shared" si="7"/>
        <v>60366.081016167242</v>
      </c>
      <c r="CV5" s="56">
        <f t="shared" si="7"/>
        <v>64385.114775281028</v>
      </c>
      <c r="CW5" s="56">
        <f t="shared" si="7"/>
        <v>68067.923265854988</v>
      </c>
      <c r="CX5" s="56">
        <f t="shared" si="7"/>
        <v>71315.541615053065</v>
      </c>
      <c r="CY5" s="56"/>
      <c r="CZ5" s="56"/>
      <c r="DA5" s="56"/>
      <c r="DB5" s="56"/>
      <c r="DC5" s="56"/>
      <c r="DD5" s="56"/>
      <c r="DE5" s="56"/>
      <c r="DF5" s="56"/>
      <c r="DG5" s="56"/>
      <c r="DH5" s="56"/>
      <c r="DI5" s="56"/>
      <c r="DJ5" s="56"/>
      <c r="DK5" s="56"/>
      <c r="DL5" s="56"/>
      <c r="DM5" s="56"/>
      <c r="DN5" s="56"/>
      <c r="DO5" s="56"/>
      <c r="DP5" s="56"/>
      <c r="DQ5" s="56"/>
      <c r="DR5" s="56"/>
      <c r="DS5" s="56"/>
      <c r="DT5" s="56"/>
      <c r="DU5" s="56"/>
      <c r="DV5" s="56"/>
      <c r="DW5" s="56"/>
      <c r="DX5" s="56"/>
      <c r="DY5" s="56"/>
      <c r="DZ5" s="56"/>
      <c r="EA5" s="56"/>
      <c r="EB5" s="56"/>
      <c r="EC5" s="56"/>
      <c r="ED5" s="56"/>
      <c r="EE5" s="56"/>
      <c r="EF5" s="56"/>
      <c r="EG5" s="56"/>
      <c r="EH5" s="56"/>
      <c r="EI5" s="56"/>
      <c r="EJ5" s="56"/>
      <c r="EK5" s="56"/>
      <c r="EL5" s="56"/>
      <c r="EM5" s="56"/>
      <c r="EN5" s="56"/>
      <c r="EO5" s="56"/>
      <c r="EP5" s="56"/>
      <c r="EQ5" s="56"/>
      <c r="ER5" s="56"/>
      <c r="ES5" s="56"/>
      <c r="ET5" s="56"/>
      <c r="EU5" s="56"/>
      <c r="EV5" s="56"/>
      <c r="EW5" s="56"/>
      <c r="EX5" s="56"/>
      <c r="EY5" s="56"/>
      <c r="EZ5" s="56"/>
      <c r="FA5" s="56"/>
      <c r="FB5" s="56"/>
      <c r="FC5" s="56"/>
      <c r="FD5" s="56"/>
    </row>
    <row r="6" spans="1:160" s="2" customFormat="1" ht="15">
      <c r="C6" s="42"/>
      <c r="D6" s="42"/>
      <c r="E6" s="42"/>
      <c r="BO6" s="33"/>
      <c r="BP6" s="33"/>
      <c r="BQ6" s="55"/>
      <c r="BR6" s="55"/>
      <c r="BS6" s="55"/>
      <c r="BT6" s="55"/>
      <c r="BU6" s="55"/>
      <c r="BV6" s="55"/>
      <c r="CQ6" s="56"/>
      <c r="CR6" s="56"/>
      <c r="CS6" s="56"/>
      <c r="CT6" s="56"/>
      <c r="CU6" s="56"/>
      <c r="CV6" s="56"/>
      <c r="CW6" s="56"/>
      <c r="CX6" s="56"/>
      <c r="CY6" s="56"/>
      <c r="CZ6" s="56"/>
      <c r="DA6" s="56"/>
      <c r="DB6" s="56"/>
      <c r="DC6" s="56"/>
      <c r="DD6" s="56"/>
      <c r="DE6" s="56"/>
      <c r="DF6" s="56"/>
      <c r="DG6" s="56"/>
      <c r="DH6" s="56"/>
      <c r="DI6" s="56"/>
      <c r="DJ6" s="56"/>
      <c r="DK6" s="56"/>
      <c r="DL6" s="56"/>
      <c r="DM6" s="56"/>
      <c r="DN6" s="56"/>
      <c r="DO6" s="56"/>
      <c r="DP6" s="56"/>
      <c r="DQ6" s="56"/>
      <c r="DR6" s="56"/>
      <c r="DS6" s="56"/>
      <c r="DT6" s="56"/>
      <c r="DU6" s="56"/>
      <c r="DV6" s="56"/>
      <c r="DW6" s="56"/>
      <c r="DX6" s="56"/>
      <c r="DY6" s="56"/>
      <c r="DZ6" s="56"/>
      <c r="EA6" s="56"/>
      <c r="EB6" s="56"/>
      <c r="EC6" s="56"/>
      <c r="ED6" s="56"/>
      <c r="EE6" s="56"/>
      <c r="EF6" s="56"/>
      <c r="EG6" s="56"/>
      <c r="EH6" s="56"/>
      <c r="EI6" s="56"/>
      <c r="EJ6" s="56"/>
      <c r="EK6" s="56"/>
      <c r="EL6" s="56"/>
      <c r="EM6" s="56"/>
      <c r="EN6" s="56"/>
      <c r="EO6" s="56"/>
      <c r="EP6" s="56"/>
      <c r="EQ6" s="56"/>
      <c r="ER6" s="56"/>
      <c r="ES6" s="56"/>
      <c r="ET6" s="56"/>
      <c r="EU6" s="56"/>
      <c r="EV6" s="56"/>
      <c r="EW6" s="56"/>
      <c r="EX6" s="56"/>
      <c r="EY6" s="56"/>
      <c r="EZ6" s="56"/>
      <c r="FA6" s="56"/>
      <c r="FB6" s="56"/>
      <c r="FC6" s="56"/>
      <c r="FD6" s="56"/>
    </row>
    <row r="7" spans="1:160">
      <c r="B7" s="1" t="s">
        <v>143</v>
      </c>
      <c r="C7" s="39"/>
      <c r="D7" s="39"/>
      <c r="E7" s="39"/>
      <c r="AZ7" s="25"/>
      <c r="BA7" s="25"/>
      <c r="BB7" s="41"/>
      <c r="BC7" s="41">
        <f t="shared" ref="BC7:BP9" si="8">BC3/AY3-1</f>
        <v>0.2384393063583814</v>
      </c>
      <c r="BD7" s="41">
        <f t="shared" si="8"/>
        <v>0.2078119715928306</v>
      </c>
      <c r="BE7" s="41">
        <f t="shared" si="8"/>
        <v>0.13387678319485818</v>
      </c>
      <c r="BF7" s="41">
        <f t="shared" si="8"/>
        <v>0.14118336262448739</v>
      </c>
      <c r="BG7" s="41">
        <f t="shared" si="8"/>
        <v>0.11464410735122521</v>
      </c>
      <c r="BH7" s="41">
        <f t="shared" si="8"/>
        <v>0.12081758364832695</v>
      </c>
      <c r="BI7" s="41">
        <f t="shared" si="8"/>
        <v>0.12553573897414627</v>
      </c>
      <c r="BJ7" s="41">
        <f t="shared" si="8"/>
        <v>0.12268993839835729</v>
      </c>
      <c r="BK7" s="41">
        <f t="shared" si="8"/>
        <v>0.12339701648783041</v>
      </c>
      <c r="BL7" s="41">
        <f t="shared" si="8"/>
        <v>9.4678990756932313E-2</v>
      </c>
      <c r="BM7" s="41">
        <f t="shared" si="8"/>
        <v>9.0652254022847378E-2</v>
      </c>
      <c r="BN7" s="41">
        <f t="shared" si="8"/>
        <v>8.0361225422953764E-2</v>
      </c>
      <c r="BO7" s="41">
        <f t="shared" si="8"/>
        <v>8.2935352358765257E-2</v>
      </c>
      <c r="BP7" s="41">
        <f t="shared" si="8"/>
        <v>0.10565951620264724</v>
      </c>
      <c r="CA7" s="41"/>
      <c r="CB7" s="41"/>
      <c r="CC7" s="41"/>
      <c r="CD7" s="41"/>
      <c r="CE7" s="41"/>
      <c r="CF7" s="41"/>
      <c r="CG7" s="41"/>
      <c r="CH7" s="41"/>
      <c r="CI7" s="41"/>
      <c r="CJ7" s="41"/>
      <c r="CK7" s="41"/>
      <c r="CL7" s="41"/>
      <c r="CM7" s="41"/>
      <c r="CN7" s="41">
        <f>AVERAGE(BC7:BF7)</f>
        <v>0.18032785594263939</v>
      </c>
      <c r="CO7" s="41">
        <f>AVERAGE(BG7:BJ7)</f>
        <v>0.12092184209301393</v>
      </c>
      <c r="CP7" s="41">
        <f>AVERAGE(BK7:BN7)</f>
        <v>9.7272371672640967E-2</v>
      </c>
      <c r="CQ7" s="57">
        <v>9.2499999999999999E-2</v>
      </c>
      <c r="CR7" s="57">
        <v>9.7500000000000003E-2</v>
      </c>
      <c r="CS7" s="57">
        <v>0.13</v>
      </c>
      <c r="CT7" s="57">
        <v>0.11</v>
      </c>
      <c r="CU7" s="57">
        <v>0.09</v>
      </c>
      <c r="CV7" s="57">
        <v>7.0000000000000007E-2</v>
      </c>
      <c r="CW7" s="57">
        <v>0.06</v>
      </c>
      <c r="CX7" s="57">
        <v>0.05</v>
      </c>
      <c r="CY7" s="51"/>
      <c r="CZ7" s="51"/>
      <c r="DA7" s="51"/>
    </row>
    <row r="8" spans="1:160">
      <c r="B8" s="1" t="s">
        <v>142</v>
      </c>
      <c r="C8" s="39"/>
      <c r="D8" s="39"/>
      <c r="E8" s="39"/>
      <c r="AZ8" s="25"/>
      <c r="BA8" s="25"/>
      <c r="BB8" s="41"/>
      <c r="BC8" s="41">
        <f t="shared" si="8"/>
        <v>0.29976580796252938</v>
      </c>
      <c r="BD8" s="41">
        <f t="shared" si="8"/>
        <v>0.35446009389671351</v>
      </c>
      <c r="BE8" s="41">
        <f t="shared" si="8"/>
        <v>0.24793388429752072</v>
      </c>
      <c r="BF8" s="41">
        <f t="shared" si="8"/>
        <v>0.19477911646586343</v>
      </c>
      <c r="BG8" s="41">
        <f t="shared" si="8"/>
        <v>9.0090090090090058E-2</v>
      </c>
      <c r="BH8" s="41">
        <f t="shared" si="8"/>
        <v>3.4662045060658508E-2</v>
      </c>
      <c r="BI8" s="41">
        <f t="shared" si="8"/>
        <v>-4.1390728476821237E-2</v>
      </c>
      <c r="BJ8" s="41">
        <f t="shared" si="8"/>
        <v>-9.4117647058823528E-2</v>
      </c>
      <c r="BK8" s="41">
        <f t="shared" si="8"/>
        <v>-9.4214876033057893E-2</v>
      </c>
      <c r="BL8" s="41">
        <f t="shared" si="8"/>
        <v>-6.0301507537688481E-2</v>
      </c>
      <c r="BM8" s="41">
        <f t="shared" si="8"/>
        <v>-2.4179620034542326E-2</v>
      </c>
      <c r="BN8" s="41">
        <f t="shared" si="8"/>
        <v>5.5658627087198376E-3</v>
      </c>
      <c r="BO8" s="41">
        <f t="shared" si="8"/>
        <v>-2.9197080291970767E-2</v>
      </c>
      <c r="BP8" s="41">
        <f t="shared" si="8"/>
        <v>-2.6737967914438499E-2</v>
      </c>
      <c r="CA8" s="41"/>
      <c r="CB8" s="41"/>
      <c r="CC8" s="41"/>
      <c r="CD8" s="41"/>
      <c r="CE8" s="41"/>
      <c r="CF8" s="41"/>
      <c r="CG8" s="41"/>
      <c r="CH8" s="41"/>
      <c r="CI8" s="41"/>
      <c r="CJ8" s="41"/>
      <c r="CK8" s="41"/>
      <c r="CL8" s="41"/>
      <c r="CM8" s="41"/>
      <c r="CN8" s="41">
        <f>AVERAGE(BC8:BF8)</f>
        <v>0.27423472565565676</v>
      </c>
      <c r="CO8" s="41">
        <f>AVERAGE(BG8:BJ8)</f>
        <v>-2.6890600962240496E-3</v>
      </c>
      <c r="CP8" s="41">
        <f>AVERAGE(BK8:BN8)</f>
        <v>-4.3282535224142216E-2</v>
      </c>
      <c r="CQ8" s="57">
        <v>-1.7500000000000002E-2</v>
      </c>
      <c r="CR8" s="57">
        <v>-2.5000000000000001E-2</v>
      </c>
      <c r="CS8" s="57">
        <v>-0.04</v>
      </c>
      <c r="CT8" s="57">
        <v>-0.04</v>
      </c>
      <c r="CU8" s="57">
        <v>-0.04</v>
      </c>
      <c r="CV8" s="57">
        <v>-0.04</v>
      </c>
      <c r="CW8" s="57">
        <v>-0.04</v>
      </c>
      <c r="CX8" s="57">
        <v>-0.04</v>
      </c>
      <c r="CY8" s="51"/>
      <c r="CZ8" s="51"/>
      <c r="DA8" s="51"/>
    </row>
    <row r="9" spans="1:160" s="75" customFormat="1" ht="15">
      <c r="B9" s="75" t="s">
        <v>141</v>
      </c>
      <c r="C9" s="76"/>
      <c r="D9" s="78"/>
      <c r="E9" s="78"/>
      <c r="F9" s="78"/>
      <c r="G9" s="78">
        <f t="shared" ref="G9:BA9" si="9">G16/C16-1</f>
        <v>0.2358150213184651</v>
      </c>
      <c r="H9" s="78">
        <f t="shared" si="9"/>
        <v>0.24770642201834847</v>
      </c>
      <c r="I9" s="78">
        <f t="shared" si="9"/>
        <v>0.29833585476550684</v>
      </c>
      <c r="J9" s="78">
        <f t="shared" si="9"/>
        <v>0.29067796610169494</v>
      </c>
      <c r="K9" s="78">
        <f t="shared" si="9"/>
        <v>0.33864118895966011</v>
      </c>
      <c r="L9" s="78">
        <f t="shared" si="9"/>
        <v>0.38438133874239355</v>
      </c>
      <c r="M9" s="78">
        <f t="shared" si="9"/>
        <v>0.36168725238872046</v>
      </c>
      <c r="N9" s="78">
        <f t="shared" si="9"/>
        <v>0.38301597723790759</v>
      </c>
      <c r="O9" s="78">
        <f t="shared" si="9"/>
        <v>0.37886597938144329</v>
      </c>
      <c r="P9" s="78">
        <f t="shared" si="9"/>
        <v>0.33992673992674005</v>
      </c>
      <c r="Q9" s="78">
        <f t="shared" si="9"/>
        <v>0.34930686291288726</v>
      </c>
      <c r="R9" s="78">
        <f t="shared" si="9"/>
        <v>0.60800759613862954</v>
      </c>
      <c r="S9" s="78">
        <f t="shared" si="9"/>
        <v>0.28339324227174689</v>
      </c>
      <c r="T9" s="78">
        <f t="shared" si="9"/>
        <v>0.30822854018589396</v>
      </c>
      <c r="U9" s="78">
        <f t="shared" si="9"/>
        <v>0.36478944698122784</v>
      </c>
      <c r="V9" s="78">
        <f t="shared" si="9"/>
        <v>0.12705442377718734</v>
      </c>
      <c r="W9" s="78">
        <f t="shared" si="9"/>
        <v>0.46336544924938394</v>
      </c>
      <c r="X9" s="78">
        <f t="shared" si="9"/>
        <v>0.37770347926026515</v>
      </c>
      <c r="Y9" s="78">
        <f t="shared" si="9"/>
        <v>0.28596654275092948</v>
      </c>
      <c r="Z9" s="78">
        <f t="shared" si="9"/>
        <v>0.1920188613342646</v>
      </c>
      <c r="AA9" s="78">
        <f t="shared" si="9"/>
        <v>0.15694380646149142</v>
      </c>
      <c r="AB9" s="78">
        <f t="shared" si="9"/>
        <v>0.23972394964356147</v>
      </c>
      <c r="AC9" s="78">
        <f t="shared" si="9"/>
        <v>0.23726241237262413</v>
      </c>
      <c r="AD9" s="78">
        <f t="shared" si="9"/>
        <v>0.32547066149000092</v>
      </c>
      <c r="AE9" s="78">
        <f t="shared" si="9"/>
        <v>0.26826363155108512</v>
      </c>
      <c r="AF9" s="78">
        <f t="shared" si="9"/>
        <v>0.24585550865602235</v>
      </c>
      <c r="AG9" s="78">
        <f t="shared" si="9"/>
        <v>0.25280373831775704</v>
      </c>
      <c r="AH9" s="78">
        <f t="shared" si="9"/>
        <v>0.29269371062230576</v>
      </c>
      <c r="AI9" s="78">
        <f t="shared" si="9"/>
        <v>0.3487425649587812</v>
      </c>
      <c r="AJ9" s="78">
        <f t="shared" si="9"/>
        <v>0.26534420111951307</v>
      </c>
      <c r="AK9" s="78">
        <f t="shared" si="9"/>
        <v>0.25932487877657584</v>
      </c>
      <c r="AL9" s="78">
        <f t="shared" si="9"/>
        <v>0.14450619923044039</v>
      </c>
      <c r="AM9" s="78">
        <f t="shared" si="9"/>
        <v>0.16286266924564807</v>
      </c>
      <c r="AN9" s="78">
        <f t="shared" si="9"/>
        <v>0.27318587504850611</v>
      </c>
      <c r="AO9" s="78">
        <f t="shared" si="9"/>
        <v>0.25583117363939278</v>
      </c>
      <c r="AP9" s="78">
        <f t="shared" si="9"/>
        <v>0.34590960029884199</v>
      </c>
      <c r="AQ9" s="78">
        <f t="shared" si="9"/>
        <v>0.24318030605455765</v>
      </c>
      <c r="AR9" s="78">
        <f t="shared" si="9"/>
        <v>0.21822615056385253</v>
      </c>
      <c r="AS9" s="78">
        <f t="shared" si="9"/>
        <v>0.33048349056603765</v>
      </c>
      <c r="AT9" s="78">
        <f t="shared" si="9"/>
        <v>0.34637801831806825</v>
      </c>
      <c r="AU9" s="78">
        <f t="shared" si="9"/>
        <v>0.30184640085630177</v>
      </c>
      <c r="AV9" s="78">
        <f t="shared" si="9"/>
        <v>0.28871653740305225</v>
      </c>
      <c r="AW9" s="78">
        <f t="shared" si="9"/>
        <v>0.20075337912696645</v>
      </c>
      <c r="AX9" s="78">
        <f t="shared" si="9"/>
        <v>0.19913419913419905</v>
      </c>
      <c r="AY9" s="78">
        <f t="shared" si="9"/>
        <v>0.225693730729702</v>
      </c>
      <c r="AZ9" s="78">
        <f t="shared" si="9"/>
        <v>0.23082896524946617</v>
      </c>
      <c r="BA9" s="78">
        <f t="shared" si="9"/>
        <v>0.26646982838162026</v>
      </c>
      <c r="BB9" s="78">
        <f>BB16/AX16-1</f>
        <v>0.25941206807632811</v>
      </c>
      <c r="BC9" s="78">
        <f t="shared" si="8"/>
        <v>0.24283078987087037</v>
      </c>
      <c r="BD9" s="78">
        <f t="shared" si="8"/>
        <v>0.21766561514195581</v>
      </c>
      <c r="BE9" s="78">
        <f t="shared" si="8"/>
        <v>0.14192044295497586</v>
      </c>
      <c r="BF9" s="78">
        <f t="shared" si="8"/>
        <v>0.14482664482664487</v>
      </c>
      <c r="BG9" s="78">
        <f t="shared" si="8"/>
        <v>0.11280528943462431</v>
      </c>
      <c r="BH9" s="78">
        <f t="shared" si="8"/>
        <v>0.11437823834196892</v>
      </c>
      <c r="BI9" s="78">
        <f t="shared" si="8"/>
        <v>0.11267066479520227</v>
      </c>
      <c r="BJ9" s="78">
        <f t="shared" si="8"/>
        <v>0.10730893048765955</v>
      </c>
      <c r="BK9" s="78">
        <f t="shared" si="8"/>
        <v>0.10743300594155447</v>
      </c>
      <c r="BL9" s="78">
        <f t="shared" si="8"/>
        <v>8.3924212484017158E-2</v>
      </c>
      <c r="BM9" s="78">
        <f t="shared" si="8"/>
        <v>8.3027522935779752E-2</v>
      </c>
      <c r="BN9" s="78">
        <f t="shared" si="8"/>
        <v>7.6020243350920724E-2</v>
      </c>
      <c r="BO9" s="78">
        <f t="shared" si="8"/>
        <v>7.6207160845286337E-2</v>
      </c>
      <c r="BP9" s="78">
        <f t="shared" si="8"/>
        <v>9.7694369973190254E-2</v>
      </c>
      <c r="BQ9" s="77"/>
      <c r="BR9" s="77"/>
      <c r="BS9" s="77"/>
      <c r="BT9" s="77"/>
      <c r="BU9" s="77"/>
      <c r="BV9" s="77"/>
      <c r="CA9" s="78"/>
      <c r="CB9" s="78">
        <f t="shared" ref="CB9:CL9" si="10">CB16/CA16-1</f>
        <v>0.26939869781692849</v>
      </c>
      <c r="CC9" s="78">
        <f t="shared" si="10"/>
        <v>0.36772869901037875</v>
      </c>
      <c r="CD9" s="78">
        <f t="shared" si="10"/>
        <v>0.42574781611223855</v>
      </c>
      <c r="CE9" s="78">
        <f t="shared" si="10"/>
        <v>0.25971654907785613</v>
      </c>
      <c r="CF9" s="78">
        <f t="shared" si="10"/>
        <v>0.32000294775111171</v>
      </c>
      <c r="CG9" s="78">
        <f t="shared" si="10"/>
        <v>0.24075107935090045</v>
      </c>
      <c r="CH9" s="78">
        <f t="shared" si="10"/>
        <v>0.265429784170504</v>
      </c>
      <c r="CI9" s="78">
        <f t="shared" si="10"/>
        <v>0.24925921536091034</v>
      </c>
      <c r="CJ9" s="78">
        <f t="shared" si="10"/>
        <v>0.26015180265654658</v>
      </c>
      <c r="CK9" s="78">
        <f t="shared" si="10"/>
        <v>0.28730612859509108</v>
      </c>
      <c r="CL9" s="78">
        <f t="shared" si="10"/>
        <v>0.24295239209264241</v>
      </c>
      <c r="CM9" s="78">
        <f>CM16/CL16-1</f>
        <v>0.24656502917372491</v>
      </c>
      <c r="CN9" s="78">
        <f>AVERAGE(BC9:BF9)</f>
        <v>0.18681087319861173</v>
      </c>
      <c r="CO9" s="78">
        <f>AVERAGE(BG9:BJ9)</f>
        <v>0.11179078076486376</v>
      </c>
      <c r="CP9" s="78">
        <f>AVERAGE(BK9:BN9)</f>
        <v>8.7601246178068026E-2</v>
      </c>
      <c r="CQ9" s="79">
        <f t="shared" ref="CQ9:CX9" si="11">CQ5/CP5-1</f>
        <v>8.6067489114659113E-2</v>
      </c>
      <c r="CR9" s="79">
        <f t="shared" si="11"/>
        <v>9.1019631849406979E-2</v>
      </c>
      <c r="CS9" s="79">
        <f t="shared" si="11"/>
        <v>0.12196317407220025</v>
      </c>
      <c r="CT9" s="79">
        <f t="shared" si="11"/>
        <v>0.10393236384880256</v>
      </c>
      <c r="CU9" s="79">
        <f t="shared" si="11"/>
        <v>8.54270085350195E-2</v>
      </c>
      <c r="CV9" s="79">
        <f t="shared" si="11"/>
        <v>6.6577682225841484E-2</v>
      </c>
      <c r="CW9" s="79">
        <f t="shared" si="11"/>
        <v>5.7199688210975763E-2</v>
      </c>
      <c r="CX9" s="79">
        <f t="shared" si="11"/>
        <v>4.7711435774435929E-2</v>
      </c>
      <c r="CY9" s="77"/>
      <c r="CZ9" s="77"/>
      <c r="DA9" s="77"/>
      <c r="DB9" s="77"/>
      <c r="DC9" s="77"/>
      <c r="DD9" s="77"/>
      <c r="DE9" s="77"/>
      <c r="DF9" s="77"/>
      <c r="DG9" s="77"/>
      <c r="DH9" s="77"/>
      <c r="DI9" s="77"/>
      <c r="DJ9" s="77"/>
      <c r="DK9" s="77"/>
      <c r="DL9" s="77"/>
      <c r="DM9" s="77"/>
      <c r="DN9" s="77"/>
      <c r="DO9" s="77"/>
      <c r="DP9" s="77"/>
      <c r="DQ9" s="77"/>
      <c r="DR9" s="77"/>
      <c r="DS9" s="77"/>
      <c r="DT9" s="77"/>
      <c r="DU9" s="77"/>
      <c r="DV9" s="77"/>
      <c r="DW9" s="77"/>
      <c r="DX9" s="77"/>
      <c r="DY9" s="77"/>
      <c r="DZ9" s="77"/>
      <c r="EA9" s="77"/>
      <c r="EB9" s="77"/>
      <c r="EC9" s="77"/>
      <c r="ED9" s="77"/>
      <c r="EE9" s="77"/>
      <c r="EF9" s="77"/>
      <c r="EG9" s="77"/>
      <c r="EH9" s="77"/>
      <c r="EI9" s="77"/>
      <c r="EJ9" s="77"/>
      <c r="EK9" s="77"/>
      <c r="EL9" s="77"/>
      <c r="EM9" s="77"/>
      <c r="EN9" s="77"/>
      <c r="EO9" s="77"/>
      <c r="EP9" s="77"/>
      <c r="EQ9" s="77"/>
      <c r="ER9" s="77"/>
      <c r="ES9" s="77"/>
      <c r="ET9" s="77"/>
      <c r="EU9" s="77"/>
      <c r="EV9" s="77"/>
      <c r="EW9" s="77"/>
      <c r="EX9" s="77"/>
      <c r="EY9" s="77"/>
      <c r="EZ9" s="77"/>
      <c r="FA9" s="77"/>
      <c r="FB9" s="77"/>
      <c r="FC9" s="77"/>
      <c r="FD9" s="77"/>
    </row>
    <row r="10" spans="1:160" s="25" customFormat="1">
      <c r="C10" s="40"/>
      <c r="D10" s="40"/>
      <c r="E10" s="40"/>
      <c r="BO10" s="62"/>
      <c r="BP10" s="62"/>
      <c r="BQ10" s="51"/>
      <c r="BR10" s="51"/>
      <c r="BS10" s="51"/>
      <c r="BT10" s="51"/>
      <c r="BU10" s="51"/>
      <c r="BV10" s="51"/>
      <c r="CQ10" s="51"/>
      <c r="CR10" s="51"/>
      <c r="CS10" s="51"/>
      <c r="CT10" s="51"/>
      <c r="CU10" s="51"/>
      <c r="CV10" s="51"/>
      <c r="CW10" s="51"/>
      <c r="CX10" s="51"/>
      <c r="CY10" s="51"/>
      <c r="CZ10" s="51"/>
      <c r="DA10" s="51"/>
      <c r="DB10" s="51"/>
      <c r="DC10" s="51"/>
      <c r="DD10" s="51"/>
      <c r="DE10" s="51"/>
      <c r="DF10" s="51"/>
      <c r="DG10" s="51"/>
      <c r="DH10" s="51"/>
      <c r="DI10" s="51"/>
      <c r="DJ10" s="51"/>
      <c r="DK10" s="51"/>
      <c r="DL10" s="51"/>
      <c r="DM10" s="51"/>
      <c r="DN10" s="51"/>
      <c r="DO10" s="51"/>
      <c r="DP10" s="51"/>
      <c r="DQ10" s="51"/>
      <c r="DR10" s="51"/>
      <c r="DS10" s="51"/>
      <c r="DT10" s="51"/>
      <c r="DU10" s="51"/>
      <c r="DV10" s="51"/>
      <c r="DW10" s="51"/>
      <c r="DX10" s="51"/>
      <c r="DY10" s="51"/>
      <c r="DZ10" s="51"/>
      <c r="EA10" s="51"/>
      <c r="EB10" s="51"/>
      <c r="EC10" s="51"/>
      <c r="ED10" s="51"/>
      <c r="EE10" s="51"/>
      <c r="EF10" s="51"/>
      <c r="EG10" s="51"/>
      <c r="EH10" s="51"/>
      <c r="EI10" s="51"/>
      <c r="EJ10" s="51"/>
      <c r="EK10" s="51"/>
      <c r="EL10" s="51"/>
      <c r="EM10" s="51"/>
      <c r="EN10" s="51"/>
      <c r="EO10" s="51"/>
      <c r="EP10" s="51"/>
      <c r="EQ10" s="51"/>
      <c r="ER10" s="51"/>
      <c r="ES10" s="51"/>
      <c r="ET10" s="51"/>
      <c r="EU10" s="51"/>
      <c r="EV10" s="51"/>
      <c r="EW10" s="51"/>
      <c r="EX10" s="51"/>
      <c r="EY10" s="51"/>
      <c r="EZ10" s="51"/>
      <c r="FA10" s="51"/>
      <c r="FB10" s="51"/>
      <c r="FC10" s="51"/>
      <c r="FD10" s="51"/>
    </row>
    <row r="11" spans="1:160" ht="15">
      <c r="A11" s="2" t="s">
        <v>137</v>
      </c>
      <c r="C11" s="39"/>
      <c r="D11" s="39"/>
      <c r="E11" s="39"/>
      <c r="BP11" s="61"/>
    </row>
    <row r="12" spans="1:160">
      <c r="B12" s="1" t="s">
        <v>140</v>
      </c>
      <c r="C12" s="39"/>
      <c r="D12" s="39"/>
      <c r="E12" s="39"/>
      <c r="AY12" s="1">
        <v>1122</v>
      </c>
      <c r="AZ12" s="1">
        <v>1146</v>
      </c>
      <c r="BA12" s="1">
        <v>1335</v>
      </c>
      <c r="BB12" s="1">
        <f>5059-SUM(AY12:BA12)</f>
        <v>1456</v>
      </c>
      <c r="BC12" s="1">
        <v>1440</v>
      </c>
      <c r="BD12" s="1">
        <v>1490</v>
      </c>
      <c r="BE12" s="1">
        <v>1451</v>
      </c>
      <c r="BF12" s="1">
        <f>5821-BC12-BD12-BE12</f>
        <v>1440</v>
      </c>
      <c r="BG12" s="1">
        <v>1510</v>
      </c>
      <c r="BH12" s="1">
        <v>1515</v>
      </c>
      <c r="BI12" s="1">
        <v>1571</v>
      </c>
      <c r="BJ12" s="1">
        <f>6177-SUM(BG12:BI12)</f>
        <v>1581</v>
      </c>
      <c r="BK12" s="1">
        <v>1560</v>
      </c>
      <c r="BL12" s="1">
        <v>1556</v>
      </c>
      <c r="BM12" s="1">
        <v>1501</v>
      </c>
      <c r="BN12" s="1">
        <f>6198-SUM(BK12:BM12)</f>
        <v>1581</v>
      </c>
      <c r="BO12" s="61">
        <v>1611</v>
      </c>
      <c r="BP12" s="61">
        <v>1645</v>
      </c>
      <c r="CM12" s="1">
        <f>SUM(AY12:BB12)</f>
        <v>5059</v>
      </c>
      <c r="CN12" s="1">
        <f>SUM(BC12:BF12)</f>
        <v>5821</v>
      </c>
      <c r="CO12" s="1">
        <f>SUM(BG12:BJ12)</f>
        <v>6177</v>
      </c>
      <c r="CP12" s="1">
        <f>SUM(BK12:BN12)</f>
        <v>6198</v>
      </c>
      <c r="CQ12" s="52">
        <f>CQ3*(1-CQ33)</f>
        <v>6821.3788125000019</v>
      </c>
      <c r="CR12" s="52">
        <f t="shared" ref="CR12:CX12" si="12">CR3*(1-CR33)</f>
        <v>7101.4451368875007</v>
      </c>
      <c r="CS12" s="52">
        <f t="shared" si="12"/>
        <v>7734.5860286100005</v>
      </c>
      <c r="CT12" s="52">
        <f t="shared" si="12"/>
        <v>8451.2437653233937</v>
      </c>
      <c r="CU12" s="52">
        <f t="shared" si="12"/>
        <v>9065.6357723897636</v>
      </c>
      <c r="CV12" s="52">
        <f t="shared" si="12"/>
        <v>9543.774949417415</v>
      </c>
      <c r="CW12" s="52">
        <f t="shared" si="12"/>
        <v>9950.5587997204566</v>
      </c>
      <c r="CX12" s="52">
        <f t="shared" si="12"/>
        <v>10448.086739706479</v>
      </c>
    </row>
    <row r="13" spans="1:160">
      <c r="B13" s="1" t="s">
        <v>139</v>
      </c>
      <c r="C13" s="39"/>
      <c r="D13" s="39"/>
      <c r="E13" s="39"/>
      <c r="AY13" s="1">
        <v>433</v>
      </c>
      <c r="AZ13" s="1">
        <v>467</v>
      </c>
      <c r="BA13" s="1">
        <v>509</v>
      </c>
      <c r="BB13" s="1">
        <f>1967-SUM(AY13:BA13)</f>
        <v>558</v>
      </c>
      <c r="BC13" s="1">
        <v>605</v>
      </c>
      <c r="BD13" s="1">
        <v>637</v>
      </c>
      <c r="BE13" s="1">
        <v>637</v>
      </c>
      <c r="BF13" s="1">
        <f>2539-BC13-BD13-BE13</f>
        <v>660</v>
      </c>
      <c r="BG13" s="1">
        <v>615</v>
      </c>
      <c r="BH13" s="1">
        <v>598</v>
      </c>
      <c r="BI13" s="1">
        <v>584</v>
      </c>
      <c r="BJ13" s="1">
        <f>2364-SUM(BG13:BI13)</f>
        <v>567</v>
      </c>
      <c r="BK13" s="1">
        <v>602</v>
      </c>
      <c r="BL13" s="1">
        <v>603</v>
      </c>
      <c r="BM13" s="1">
        <v>604</v>
      </c>
      <c r="BN13" s="1">
        <f>2445-SUM(BK13:BM13)</f>
        <v>636</v>
      </c>
      <c r="BO13" s="61">
        <v>654</v>
      </c>
      <c r="BP13" s="61">
        <v>597</v>
      </c>
      <c r="CM13" s="1">
        <f>SUM(AY13:BB13)</f>
        <v>1967</v>
      </c>
      <c r="CN13" s="1">
        <f>SUM(BC13:BF13)</f>
        <v>2539</v>
      </c>
      <c r="CO13" s="1">
        <f>SUM(BG13:BJ13)</f>
        <v>2364</v>
      </c>
      <c r="CP13" s="1">
        <f>SUM(BK13:BN13)</f>
        <v>2445</v>
      </c>
      <c r="CQ13" s="52">
        <f>CQ4*(1-CQ34)</f>
        <v>2438.4864000000007</v>
      </c>
      <c r="CR13" s="52">
        <f t="shared" ref="CR13:CX13" si="13">CR4*(1-CR34)</f>
        <v>2356.2963450000007</v>
      </c>
      <c r="CS13" s="52">
        <f t="shared" si="13"/>
        <v>2251.8551016000001</v>
      </c>
      <c r="CT13" s="52">
        <f t="shared" si="13"/>
        <v>2161.7808975360003</v>
      </c>
      <c r="CU13" s="52">
        <f t="shared" si="13"/>
        <v>2075.3096616345601</v>
      </c>
      <c r="CV13" s="52">
        <f t="shared" si="13"/>
        <v>1992.2972751691775</v>
      </c>
      <c r="CW13" s="52">
        <f t="shared" si="13"/>
        <v>1912.6053841624105</v>
      </c>
      <c r="CX13" s="52">
        <f t="shared" si="13"/>
        <v>1836.101168795914</v>
      </c>
    </row>
    <row r="14" spans="1:160" s="2" customFormat="1" ht="15">
      <c r="B14" s="2" t="s">
        <v>138</v>
      </c>
      <c r="C14" s="43"/>
      <c r="D14" s="43"/>
      <c r="E14" s="43"/>
      <c r="AY14" s="2">
        <f t="shared" ref="AY14:BO14" si="14">AY12+AY13</f>
        <v>1555</v>
      </c>
      <c r="AZ14" s="2">
        <f t="shared" si="14"/>
        <v>1613</v>
      </c>
      <c r="BA14" s="2">
        <f t="shared" si="14"/>
        <v>1844</v>
      </c>
      <c r="BB14" s="2">
        <f t="shared" si="14"/>
        <v>2014</v>
      </c>
      <c r="BC14" s="2">
        <f t="shared" si="14"/>
        <v>2045</v>
      </c>
      <c r="BD14" s="2">
        <f t="shared" si="14"/>
        <v>2127</v>
      </c>
      <c r="BE14" s="2">
        <f t="shared" si="14"/>
        <v>2088</v>
      </c>
      <c r="BF14" s="2">
        <f t="shared" si="14"/>
        <v>2100</v>
      </c>
      <c r="BG14" s="2">
        <f t="shared" si="14"/>
        <v>2125</v>
      </c>
      <c r="BH14" s="2">
        <f t="shared" si="14"/>
        <v>2113</v>
      </c>
      <c r="BI14" s="2">
        <f t="shared" si="14"/>
        <v>2155</v>
      </c>
      <c r="BJ14" s="2">
        <f t="shared" si="14"/>
        <v>2148</v>
      </c>
      <c r="BK14" s="2">
        <f t="shared" si="14"/>
        <v>2162</v>
      </c>
      <c r="BL14" s="2">
        <f t="shared" si="14"/>
        <v>2159</v>
      </c>
      <c r="BM14" s="2">
        <f t="shared" si="14"/>
        <v>2105</v>
      </c>
      <c r="BN14" s="2">
        <f t="shared" si="14"/>
        <v>2217</v>
      </c>
      <c r="BO14" s="2">
        <f t="shared" si="14"/>
        <v>2265</v>
      </c>
      <c r="BP14" s="2">
        <f t="shared" ref="BP14" si="15">BP12+BP13</f>
        <v>2242</v>
      </c>
      <c r="BQ14" s="55"/>
      <c r="BR14" s="55"/>
      <c r="BS14" s="55"/>
      <c r="BT14" s="55"/>
      <c r="BU14" s="55"/>
      <c r="BV14" s="55"/>
      <c r="CM14" s="2">
        <f>SUM(AY14:BB14)</f>
        <v>7026</v>
      </c>
      <c r="CN14" s="2">
        <f>SUM(BC14:BF14)</f>
        <v>8360</v>
      </c>
      <c r="CO14" s="2">
        <f>SUM(BG14:BJ14)</f>
        <v>8541</v>
      </c>
      <c r="CP14" s="2">
        <f>SUM(BK14:BN14)</f>
        <v>8643</v>
      </c>
      <c r="CQ14" s="56">
        <f>SUM(CQ12:CQ13)</f>
        <v>9259.8652125000026</v>
      </c>
      <c r="CR14" s="56">
        <f t="shared" ref="CR14:CX14" si="16">SUM(CR12:CR13)</f>
        <v>9457.7414818875004</v>
      </c>
      <c r="CS14" s="56">
        <f t="shared" si="16"/>
        <v>9986.4411302100016</v>
      </c>
      <c r="CT14" s="56">
        <f t="shared" si="16"/>
        <v>10613.024662859394</v>
      </c>
      <c r="CU14" s="56">
        <f t="shared" si="16"/>
        <v>11140.945434024325</v>
      </c>
      <c r="CV14" s="56">
        <f t="shared" si="16"/>
        <v>11536.072224586593</v>
      </c>
      <c r="CW14" s="56">
        <f t="shared" si="16"/>
        <v>11863.164183882867</v>
      </c>
      <c r="CX14" s="56">
        <f t="shared" si="16"/>
        <v>12284.187908502394</v>
      </c>
      <c r="CY14" s="55"/>
      <c r="CZ14" s="55"/>
      <c r="DA14" s="55"/>
      <c r="DB14" s="55"/>
      <c r="DC14" s="55"/>
      <c r="DD14" s="55"/>
      <c r="DE14" s="55"/>
      <c r="DF14" s="55"/>
      <c r="DG14" s="55"/>
      <c r="DH14" s="55"/>
      <c r="DI14" s="55"/>
      <c r="DJ14" s="55"/>
      <c r="DK14" s="55"/>
      <c r="DL14" s="55"/>
      <c r="DM14" s="55"/>
      <c r="DN14" s="55"/>
      <c r="DO14" s="55"/>
      <c r="DP14" s="55"/>
      <c r="DQ14" s="55"/>
      <c r="DR14" s="55"/>
      <c r="DS14" s="55"/>
      <c r="DT14" s="55"/>
      <c r="DU14" s="55"/>
      <c r="DV14" s="55"/>
      <c r="DW14" s="55"/>
      <c r="DX14" s="55"/>
      <c r="DY14" s="55"/>
      <c r="DZ14" s="55"/>
      <c r="EA14" s="55"/>
      <c r="EB14" s="55"/>
      <c r="EC14" s="55"/>
      <c r="ED14" s="55"/>
      <c r="EE14" s="55"/>
      <c r="EF14" s="55"/>
      <c r="EG14" s="55"/>
      <c r="EH14" s="55"/>
      <c r="EI14" s="55"/>
      <c r="EJ14" s="55"/>
      <c r="EK14" s="55"/>
      <c r="EL14" s="55"/>
      <c r="EM14" s="55"/>
      <c r="EN14" s="55"/>
      <c r="EO14" s="55"/>
      <c r="EP14" s="55"/>
      <c r="EQ14" s="55"/>
      <c r="ER14" s="55"/>
      <c r="ES14" s="55"/>
      <c r="ET14" s="55"/>
      <c r="EU14" s="55"/>
      <c r="EV14" s="55"/>
      <c r="EW14" s="55"/>
      <c r="EX14" s="55"/>
      <c r="EY14" s="55"/>
      <c r="EZ14" s="55"/>
      <c r="FA14" s="55"/>
      <c r="FB14" s="55"/>
      <c r="FC14" s="55"/>
      <c r="FD14" s="55"/>
    </row>
    <row r="15" spans="1:160">
      <c r="C15" s="39"/>
      <c r="D15" s="39"/>
      <c r="E15" s="39"/>
      <c r="BP15" s="61"/>
    </row>
    <row r="16" spans="1:160" s="2" customFormat="1" ht="15">
      <c r="B16" s="2" t="s">
        <v>46</v>
      </c>
      <c r="C16" s="45">
        <v>304.89999999999998</v>
      </c>
      <c r="D16" s="45">
        <v>316.10000000000002</v>
      </c>
      <c r="E16" s="45">
        <v>330.5</v>
      </c>
      <c r="F16" s="45">
        <v>354</v>
      </c>
      <c r="G16" s="45">
        <v>376.8</v>
      </c>
      <c r="H16" s="45">
        <v>394.4</v>
      </c>
      <c r="I16" s="45">
        <v>429.1</v>
      </c>
      <c r="J16" s="45">
        <v>456.9</v>
      </c>
      <c r="K16" s="45">
        <v>504.4</v>
      </c>
      <c r="L16" s="45">
        <v>546</v>
      </c>
      <c r="M16" s="45">
        <v>584.29999999999995</v>
      </c>
      <c r="N16" s="45">
        <v>631.9</v>
      </c>
      <c r="O16" s="45">
        <v>695.5</v>
      </c>
      <c r="P16" s="45">
        <v>731.6</v>
      </c>
      <c r="Q16" s="45">
        <v>788.4</v>
      </c>
      <c r="R16" s="45">
        <v>1016.1</v>
      </c>
      <c r="S16" s="45">
        <v>892.6</v>
      </c>
      <c r="T16" s="45">
        <v>957.1</v>
      </c>
      <c r="U16" s="45">
        <v>1076</v>
      </c>
      <c r="V16" s="45">
        <v>1145.2</v>
      </c>
      <c r="W16" s="45">
        <v>1306.2</v>
      </c>
      <c r="X16" s="45">
        <v>1318.6</v>
      </c>
      <c r="Y16" s="45">
        <v>1383.7</v>
      </c>
      <c r="Z16" s="45">
        <v>1365.1</v>
      </c>
      <c r="AA16" s="45">
        <v>1511.2</v>
      </c>
      <c r="AB16" s="45">
        <v>1634.7</v>
      </c>
      <c r="AC16" s="45">
        <v>1712</v>
      </c>
      <c r="AD16" s="45">
        <v>1809.4</v>
      </c>
      <c r="AE16" s="45">
        <v>1916.6</v>
      </c>
      <c r="AF16" s="45">
        <v>2036.6</v>
      </c>
      <c r="AG16" s="45">
        <v>2144.8000000000002</v>
      </c>
      <c r="AH16" s="45">
        <v>2339</v>
      </c>
      <c r="AI16" s="45">
        <v>2585</v>
      </c>
      <c r="AJ16" s="45">
        <v>2577</v>
      </c>
      <c r="AK16" s="45">
        <v>2701</v>
      </c>
      <c r="AL16" s="45">
        <v>2677</v>
      </c>
      <c r="AM16" s="45">
        <v>3006</v>
      </c>
      <c r="AN16" s="45">
        <v>3281</v>
      </c>
      <c r="AO16" s="45">
        <v>3392</v>
      </c>
      <c r="AP16" s="45">
        <v>3603</v>
      </c>
      <c r="AQ16" s="45">
        <v>3737</v>
      </c>
      <c r="AR16" s="45">
        <v>3997</v>
      </c>
      <c r="AS16" s="45">
        <v>4513</v>
      </c>
      <c r="AT16" s="45">
        <v>4851</v>
      </c>
      <c r="AU16" s="45">
        <v>4865</v>
      </c>
      <c r="AV16" s="45">
        <v>5151</v>
      </c>
      <c r="AW16" s="45">
        <v>5419</v>
      </c>
      <c r="AX16" s="45">
        <v>5817</v>
      </c>
      <c r="AY16" s="45">
        <f t="shared" ref="AY16:BN16" si="17">AY5</f>
        <v>5963</v>
      </c>
      <c r="AZ16" s="45">
        <f t="shared" si="17"/>
        <v>6340</v>
      </c>
      <c r="BA16" s="45">
        <f t="shared" si="17"/>
        <v>6863</v>
      </c>
      <c r="BB16" s="45">
        <f t="shared" si="17"/>
        <v>7326</v>
      </c>
      <c r="BC16" s="45">
        <f t="shared" si="17"/>
        <v>7411</v>
      </c>
      <c r="BD16" s="45">
        <f t="shared" si="17"/>
        <v>7720</v>
      </c>
      <c r="BE16" s="45">
        <f t="shared" si="17"/>
        <v>7837</v>
      </c>
      <c r="BF16" s="45">
        <f t="shared" si="17"/>
        <v>8387</v>
      </c>
      <c r="BG16" s="45">
        <f t="shared" si="17"/>
        <v>8247</v>
      </c>
      <c r="BH16" s="45">
        <f t="shared" si="17"/>
        <v>8603</v>
      </c>
      <c r="BI16" s="45">
        <f t="shared" si="17"/>
        <v>8720</v>
      </c>
      <c r="BJ16" s="45">
        <f t="shared" si="17"/>
        <v>9287</v>
      </c>
      <c r="BK16" s="45">
        <f t="shared" si="17"/>
        <v>9133</v>
      </c>
      <c r="BL16" s="45">
        <f t="shared" si="17"/>
        <v>9325</v>
      </c>
      <c r="BM16" s="45">
        <f t="shared" si="17"/>
        <v>9444</v>
      </c>
      <c r="BN16" s="45">
        <f t="shared" si="17"/>
        <v>9993</v>
      </c>
      <c r="BO16" s="33">
        <f>BO5</f>
        <v>9829</v>
      </c>
      <c r="BP16" s="33">
        <f>BP5</f>
        <v>10236</v>
      </c>
      <c r="BQ16" s="55"/>
      <c r="BR16" s="55"/>
      <c r="BS16" s="55"/>
      <c r="BT16" s="55"/>
      <c r="BU16" s="55"/>
      <c r="BV16" s="55"/>
      <c r="CA16" s="45">
        <f>SUM(C16:F16)</f>
        <v>1305.5</v>
      </c>
      <c r="CB16" s="45">
        <f>SUM(G16:J16)</f>
        <v>1657.2000000000003</v>
      </c>
      <c r="CC16" s="45">
        <f>SUM(K16:N16)</f>
        <v>2266.6</v>
      </c>
      <c r="CD16" s="45">
        <f>SUM(O16:R16)</f>
        <v>3231.6</v>
      </c>
      <c r="CE16" s="45">
        <f>SUM(S16:V16)</f>
        <v>4070.8999999999996</v>
      </c>
      <c r="CF16" s="45">
        <f>SUM(W16:Z16)</f>
        <v>5373.6</v>
      </c>
      <c r="CG16" s="45">
        <f>SUM(AA16:AD16)</f>
        <v>6667.2999999999993</v>
      </c>
      <c r="CH16" s="45">
        <f>SUM(AE16:AH16)</f>
        <v>8437</v>
      </c>
      <c r="CI16" s="45">
        <f>SUM(AI16:AL16)</f>
        <v>10540</v>
      </c>
      <c r="CJ16" s="45">
        <f>SUM(AM16:AP16)</f>
        <v>13282</v>
      </c>
      <c r="CK16" s="45">
        <f>SUM(AQ16:AT16)</f>
        <v>17098</v>
      </c>
      <c r="CL16" s="45">
        <f>SUM(AU16:AX16)</f>
        <v>21252</v>
      </c>
      <c r="CM16" s="2">
        <f>SUM(AY16:BB16)</f>
        <v>26492</v>
      </c>
      <c r="CN16" s="2">
        <f>SUM(BC16:BF16)</f>
        <v>31355</v>
      </c>
      <c r="CO16" s="2">
        <f>SUM(BG16:BJ16)</f>
        <v>34857</v>
      </c>
      <c r="CP16" s="2">
        <f>SUM(BK16:BN16)</f>
        <v>37895</v>
      </c>
      <c r="CQ16" s="56">
        <f t="shared" ref="CQ16:CX16" si="18">CQ5</f>
        <v>41156.527500000004</v>
      </c>
      <c r="CR16" s="56">
        <f t="shared" si="18"/>
        <v>44902.579481249995</v>
      </c>
      <c r="CS16" s="56">
        <f t="shared" si="18"/>
        <v>50379.040598812491</v>
      </c>
      <c r="CT16" s="56">
        <f t="shared" si="18"/>
        <v>55615.05337668187</v>
      </c>
      <c r="CU16" s="56">
        <f t="shared" si="18"/>
        <v>60366.081016167242</v>
      </c>
      <c r="CV16" s="56">
        <f t="shared" si="18"/>
        <v>64385.114775281028</v>
      </c>
      <c r="CW16" s="56">
        <f t="shared" si="18"/>
        <v>68067.923265854988</v>
      </c>
      <c r="CX16" s="56">
        <f t="shared" si="18"/>
        <v>71315.541615053065</v>
      </c>
      <c r="CY16" s="56"/>
      <c r="CZ16" s="56"/>
      <c r="DA16" s="56"/>
      <c r="DB16" s="56"/>
      <c r="DC16" s="56"/>
      <c r="DD16" s="56"/>
      <c r="DE16" s="56"/>
      <c r="DF16" s="56"/>
      <c r="DG16" s="56"/>
      <c r="DH16" s="56"/>
      <c r="DI16" s="56"/>
      <c r="DJ16" s="56"/>
      <c r="DK16" s="56"/>
      <c r="DL16" s="56"/>
      <c r="DM16" s="56"/>
      <c r="DN16" s="56"/>
      <c r="DO16" s="56"/>
      <c r="DP16" s="56"/>
      <c r="DQ16" s="56"/>
      <c r="DR16" s="56"/>
      <c r="DS16" s="56"/>
      <c r="DT16" s="56"/>
      <c r="DU16" s="56"/>
      <c r="DV16" s="56"/>
      <c r="DW16" s="56"/>
      <c r="DX16" s="56"/>
      <c r="DY16" s="56"/>
      <c r="DZ16" s="56"/>
      <c r="EA16" s="56"/>
      <c r="EB16" s="56"/>
      <c r="EC16" s="56"/>
      <c r="ED16" s="56"/>
      <c r="EE16" s="56"/>
      <c r="EF16" s="56"/>
      <c r="EG16" s="56"/>
      <c r="EH16" s="56"/>
      <c r="EI16" s="56"/>
      <c r="EJ16" s="56"/>
      <c r="EK16" s="56"/>
      <c r="EL16" s="56"/>
      <c r="EM16" s="56"/>
      <c r="EN16" s="56"/>
      <c r="EO16" s="56"/>
      <c r="EP16" s="56"/>
      <c r="EQ16" s="56"/>
      <c r="ER16" s="56"/>
      <c r="ES16" s="56"/>
      <c r="ET16" s="56"/>
      <c r="EU16" s="56"/>
      <c r="EV16" s="56"/>
      <c r="EW16" s="56"/>
      <c r="EX16" s="56"/>
      <c r="EY16" s="56"/>
      <c r="EZ16" s="56"/>
      <c r="FA16" s="56"/>
      <c r="FB16" s="56"/>
      <c r="FC16" s="56"/>
      <c r="FD16" s="56"/>
    </row>
    <row r="17" spans="2:160">
      <c r="B17" s="1" t="s">
        <v>137</v>
      </c>
      <c r="C17" s="46">
        <v>61.8</v>
      </c>
      <c r="D17" s="46">
        <v>62.5</v>
      </c>
      <c r="E17" s="46">
        <v>65.599999999999994</v>
      </c>
      <c r="F17" s="46">
        <v>68.099999999999994</v>
      </c>
      <c r="G17" s="46">
        <v>71.599999999999994</v>
      </c>
      <c r="H17" s="46">
        <v>77.8</v>
      </c>
      <c r="I17" s="46">
        <v>82.1</v>
      </c>
      <c r="J17" s="46">
        <v>92.3</v>
      </c>
      <c r="K17" s="46">
        <v>103.1</v>
      </c>
      <c r="L17" s="46">
        <v>120.9</v>
      </c>
      <c r="M17" s="46">
        <v>128.6</v>
      </c>
      <c r="N17" s="46">
        <v>136.30000000000001</v>
      </c>
      <c r="O17" s="46">
        <v>151.6</v>
      </c>
      <c r="P17" s="46">
        <v>162.4</v>
      </c>
      <c r="Q17" s="46">
        <v>186.2</v>
      </c>
      <c r="R17" s="46">
        <v>372.8</v>
      </c>
      <c r="S17" s="46">
        <v>209</v>
      </c>
      <c r="T17" s="46">
        <v>217.7</v>
      </c>
      <c r="U17" s="46">
        <v>268.2</v>
      </c>
      <c r="V17" s="46">
        <v>273.5</v>
      </c>
      <c r="W17" s="46">
        <v>375.7</v>
      </c>
      <c r="X17" s="46">
        <v>307.8</v>
      </c>
      <c r="Y17" s="46">
        <v>333.2</v>
      </c>
      <c r="Z17" s="46">
        <v>272.60000000000002</v>
      </c>
      <c r="AA17" s="46">
        <v>381.8</v>
      </c>
      <c r="AB17" s="46">
        <v>405.4</v>
      </c>
      <c r="AC17" s="46">
        <v>423.7</v>
      </c>
      <c r="AD17" s="46">
        <v>443.7</v>
      </c>
      <c r="AE17" s="46">
        <v>497</v>
      </c>
      <c r="AF17" s="46">
        <v>525.6</v>
      </c>
      <c r="AG17" s="46">
        <v>585.5</v>
      </c>
      <c r="AH17" s="46">
        <v>625.9</v>
      </c>
      <c r="AI17" s="46">
        <v>839</v>
      </c>
      <c r="AJ17" s="46">
        <v>670</v>
      </c>
      <c r="AK17" s="46">
        <v>714</v>
      </c>
      <c r="AL17" s="46">
        <v>550</v>
      </c>
      <c r="AM17" s="46">
        <v>767</v>
      </c>
      <c r="AN17" s="46">
        <v>849</v>
      </c>
      <c r="AO17" s="46">
        <v>889</v>
      </c>
      <c r="AP17" s="46">
        <v>946</v>
      </c>
      <c r="AQ17" s="46">
        <v>914</v>
      </c>
      <c r="AR17" s="46">
        <v>967</v>
      </c>
      <c r="AS17" s="46">
        <v>1134</v>
      </c>
      <c r="AT17" s="46">
        <v>1220</v>
      </c>
      <c r="AU17" s="46">
        <v>1254</v>
      </c>
      <c r="AV17" s="46">
        <v>1311</v>
      </c>
      <c r="AW17" s="46">
        <v>1394</v>
      </c>
      <c r="AX17" s="46">
        <v>1479</v>
      </c>
      <c r="AY17" s="46">
        <f t="shared" ref="AY17:BN17" si="19">AY14</f>
        <v>1555</v>
      </c>
      <c r="AZ17" s="46">
        <f t="shared" si="19"/>
        <v>1613</v>
      </c>
      <c r="BA17" s="46">
        <f t="shared" si="19"/>
        <v>1844</v>
      </c>
      <c r="BB17" s="46">
        <f t="shared" si="19"/>
        <v>2014</v>
      </c>
      <c r="BC17" s="46">
        <f t="shared" si="19"/>
        <v>2045</v>
      </c>
      <c r="BD17" s="46">
        <f t="shared" si="19"/>
        <v>2127</v>
      </c>
      <c r="BE17" s="46">
        <f t="shared" si="19"/>
        <v>2088</v>
      </c>
      <c r="BF17" s="46">
        <f t="shared" si="19"/>
        <v>2100</v>
      </c>
      <c r="BG17" s="46">
        <f t="shared" si="19"/>
        <v>2125</v>
      </c>
      <c r="BH17" s="46">
        <f t="shared" si="19"/>
        <v>2113</v>
      </c>
      <c r="BI17" s="46">
        <f t="shared" si="19"/>
        <v>2155</v>
      </c>
      <c r="BJ17" s="46">
        <f t="shared" si="19"/>
        <v>2148</v>
      </c>
      <c r="BK17" s="46">
        <f t="shared" si="19"/>
        <v>2162</v>
      </c>
      <c r="BL17" s="46">
        <f t="shared" si="19"/>
        <v>2159</v>
      </c>
      <c r="BM17" s="46">
        <f t="shared" si="19"/>
        <v>2105</v>
      </c>
      <c r="BN17" s="46">
        <f t="shared" si="19"/>
        <v>2217</v>
      </c>
      <c r="BO17" s="61">
        <f>BO14</f>
        <v>2265</v>
      </c>
      <c r="BP17" s="61">
        <f>BP14</f>
        <v>2242</v>
      </c>
      <c r="CA17" s="46">
        <f>SUM(C17:F17)</f>
        <v>258</v>
      </c>
      <c r="CB17" s="46">
        <f>SUM(G17:J17)</f>
        <v>323.79999999999995</v>
      </c>
      <c r="CC17" s="46">
        <f>SUM(K17:N17)</f>
        <v>488.90000000000003</v>
      </c>
      <c r="CD17" s="46">
        <f>SUM(O17:R17)</f>
        <v>873</v>
      </c>
      <c r="CE17" s="46">
        <f>SUM(S17:V17)</f>
        <v>968.4</v>
      </c>
      <c r="CF17" s="46">
        <f>SUM(W17:Z17)</f>
        <v>1289.3000000000002</v>
      </c>
      <c r="CG17" s="46">
        <f>SUM(AA17:AD17)</f>
        <v>1654.6000000000001</v>
      </c>
      <c r="CH17" s="46">
        <f>SUM(AE17:AH17)</f>
        <v>2234</v>
      </c>
      <c r="CI17" s="46">
        <f>SUM(AI17:AL17)</f>
        <v>2773</v>
      </c>
      <c r="CJ17" s="46">
        <f>SUM(AM17:AP17)</f>
        <v>3451</v>
      </c>
      <c r="CK17" s="46">
        <f>SUM(AQ17:AT17)</f>
        <v>4235</v>
      </c>
      <c r="CL17" s="46">
        <f>SUM(AU17:AX17)</f>
        <v>5438</v>
      </c>
      <c r="CM17" s="1">
        <f>SUM(AY17:BB17)</f>
        <v>7026</v>
      </c>
      <c r="CN17" s="1">
        <f>SUM(BC17:BF17)</f>
        <v>8360</v>
      </c>
      <c r="CO17" s="1">
        <f>SUM(BG17:BJ17)</f>
        <v>8541</v>
      </c>
      <c r="CP17" s="1">
        <f>SUM(BK17:BN17)</f>
        <v>8643</v>
      </c>
      <c r="CQ17" s="52">
        <f>CQ14</f>
        <v>9259.8652125000026</v>
      </c>
      <c r="CR17" s="52">
        <f t="shared" ref="CR17:CX17" si="20">CR14</f>
        <v>9457.7414818875004</v>
      </c>
      <c r="CS17" s="52">
        <f t="shared" si="20"/>
        <v>9986.4411302100016</v>
      </c>
      <c r="CT17" s="52">
        <f t="shared" si="20"/>
        <v>10613.024662859394</v>
      </c>
      <c r="CU17" s="52">
        <f t="shared" si="20"/>
        <v>11140.945434024325</v>
      </c>
      <c r="CV17" s="52">
        <f t="shared" si="20"/>
        <v>11536.072224586593</v>
      </c>
      <c r="CW17" s="52">
        <f t="shared" si="20"/>
        <v>11863.164183882867</v>
      </c>
      <c r="CX17" s="52">
        <f t="shared" si="20"/>
        <v>12284.187908502394</v>
      </c>
      <c r="CY17" s="52"/>
      <c r="CZ17" s="52"/>
      <c r="DA17" s="52"/>
      <c r="DB17" s="52"/>
      <c r="DC17" s="52"/>
      <c r="DD17" s="52"/>
      <c r="DE17" s="52"/>
      <c r="DF17" s="52"/>
      <c r="DG17" s="52"/>
      <c r="DH17" s="52"/>
      <c r="DI17" s="52"/>
      <c r="DJ17" s="52"/>
      <c r="DK17" s="52"/>
      <c r="DL17" s="52"/>
      <c r="DM17" s="52"/>
      <c r="DN17" s="52"/>
      <c r="DO17" s="52"/>
      <c r="DP17" s="52"/>
      <c r="DQ17" s="52"/>
      <c r="DR17" s="52"/>
      <c r="DS17" s="52"/>
      <c r="DT17" s="52"/>
      <c r="DU17" s="52"/>
      <c r="DV17" s="52"/>
      <c r="DW17" s="52"/>
      <c r="DX17" s="52"/>
      <c r="DY17" s="52"/>
      <c r="DZ17" s="52"/>
      <c r="EA17" s="52"/>
      <c r="EB17" s="52"/>
      <c r="EC17" s="52"/>
      <c r="ED17" s="52"/>
      <c r="EE17" s="52"/>
      <c r="EF17" s="52"/>
      <c r="EG17" s="52"/>
      <c r="EH17" s="52"/>
      <c r="EI17" s="52"/>
      <c r="EJ17" s="52"/>
      <c r="EK17" s="52"/>
      <c r="EL17" s="52"/>
      <c r="EM17" s="52"/>
      <c r="EN17" s="52"/>
      <c r="EO17" s="52"/>
      <c r="EP17" s="52"/>
      <c r="EQ17" s="52"/>
      <c r="ER17" s="52"/>
      <c r="ES17" s="52"/>
      <c r="ET17" s="52"/>
      <c r="EU17" s="52"/>
      <c r="EV17" s="52"/>
      <c r="EW17" s="52"/>
      <c r="EX17" s="52"/>
      <c r="EY17" s="52"/>
      <c r="EZ17" s="52"/>
      <c r="FA17" s="52"/>
      <c r="FB17" s="52"/>
      <c r="FC17" s="52"/>
      <c r="FD17" s="52"/>
    </row>
    <row r="18" spans="2:160">
      <c r="B18" s="1" t="s">
        <v>136</v>
      </c>
      <c r="C18" s="46">
        <f t="shared" ref="C18" si="21">C16-C17</f>
        <v>243.09999999999997</v>
      </c>
      <c r="D18" s="46">
        <f t="shared" ref="D18" si="22">D16-D17</f>
        <v>253.60000000000002</v>
      </c>
      <c r="E18" s="46">
        <f t="shared" ref="E18" si="23">E16-E17</f>
        <v>264.89999999999998</v>
      </c>
      <c r="F18" s="46">
        <f t="shared" ref="F18" si="24">F16-F17</f>
        <v>285.89999999999998</v>
      </c>
      <c r="G18" s="46">
        <f t="shared" ref="G18" si="25">G16-G17</f>
        <v>305.20000000000005</v>
      </c>
      <c r="H18" s="46">
        <f t="shared" ref="H18" si="26">H16-H17</f>
        <v>316.59999999999997</v>
      </c>
      <c r="I18" s="46">
        <f t="shared" ref="I18" si="27">I16-I17</f>
        <v>347</v>
      </c>
      <c r="J18" s="46">
        <f t="shared" ref="J18" si="28">J16-J17</f>
        <v>364.59999999999997</v>
      </c>
      <c r="K18" s="46">
        <f t="shared" ref="K18" si="29">K16-K17</f>
        <v>401.29999999999995</v>
      </c>
      <c r="L18" s="46">
        <f t="shared" ref="L18" si="30">L16-L17</f>
        <v>425.1</v>
      </c>
      <c r="M18" s="46">
        <f t="shared" ref="M18" si="31">M16-M17</f>
        <v>455.69999999999993</v>
      </c>
      <c r="N18" s="46">
        <f t="shared" ref="N18" si="32">N16-N17</f>
        <v>495.59999999999997</v>
      </c>
      <c r="O18" s="46">
        <f t="shared" ref="O18" si="33">O16-O17</f>
        <v>543.9</v>
      </c>
      <c r="P18" s="46">
        <f t="shared" ref="P18" si="34">P16-P17</f>
        <v>569.20000000000005</v>
      </c>
      <c r="Q18" s="46">
        <f t="shared" ref="Q18" si="35">Q16-Q17</f>
        <v>602.20000000000005</v>
      </c>
      <c r="R18" s="46">
        <f t="shared" ref="R18" si="36">R16-R17</f>
        <v>643.29999999999995</v>
      </c>
      <c r="S18" s="46">
        <f t="shared" ref="S18" si="37">S16-S17</f>
        <v>683.6</v>
      </c>
      <c r="T18" s="46">
        <f t="shared" ref="T18" si="38">T16-T17</f>
        <v>739.40000000000009</v>
      </c>
      <c r="U18" s="46">
        <f t="shared" ref="U18" si="39">U16-U17</f>
        <v>807.8</v>
      </c>
      <c r="V18" s="46">
        <f t="shared" ref="V18" si="40">V16-V17</f>
        <v>871.7</v>
      </c>
      <c r="W18" s="46">
        <f t="shared" ref="W18" si="41">W16-W17</f>
        <v>930.5</v>
      </c>
      <c r="X18" s="46">
        <f t="shared" ref="X18" si="42">X16-X17</f>
        <v>1010.8</v>
      </c>
      <c r="Y18" s="46">
        <f t="shared" ref="Y18" si="43">Y16-Y17</f>
        <v>1050.5</v>
      </c>
      <c r="Z18" s="46">
        <f t="shared" ref="Z18" si="44">Z16-Z17</f>
        <v>1092.5</v>
      </c>
      <c r="AA18" s="46">
        <f t="shared" ref="AA18" si="45">AA16-AA17</f>
        <v>1129.4000000000001</v>
      </c>
      <c r="AB18" s="46">
        <f t="shared" ref="AB18" si="46">AB16-AB17</f>
        <v>1229.3000000000002</v>
      </c>
      <c r="AC18" s="46">
        <f t="shared" ref="AC18" si="47">AC16-AC17</f>
        <v>1288.3</v>
      </c>
      <c r="AD18" s="46">
        <f t="shared" ref="AD18" si="48">AD16-AD17</f>
        <v>1365.7</v>
      </c>
      <c r="AE18" s="46">
        <f t="shared" ref="AE18" si="49">AE16-AE17</f>
        <v>1419.6</v>
      </c>
      <c r="AF18" s="46">
        <f t="shared" ref="AF18" si="50">AF16-AF17</f>
        <v>1511</v>
      </c>
      <c r="AG18" s="46">
        <f t="shared" ref="AG18" si="51">AG16-AG17</f>
        <v>1559.3000000000002</v>
      </c>
      <c r="AH18" s="46">
        <f t="shared" ref="AH18" si="52">AH16-AH17</f>
        <v>1713.1</v>
      </c>
      <c r="AI18" s="46">
        <f t="shared" ref="AI18" si="53">AI16-AI17</f>
        <v>1746</v>
      </c>
      <c r="AJ18" s="46">
        <f t="shared" ref="AJ18" si="54">AJ16-AJ17</f>
        <v>1907</v>
      </c>
      <c r="AK18" s="46">
        <f t="shared" ref="AK18" si="55">AK16-AK17</f>
        <v>1987</v>
      </c>
      <c r="AL18" s="46">
        <f t="shared" ref="AL18" si="56">AL16-AL17</f>
        <v>2127</v>
      </c>
      <c r="AM18" s="46">
        <f t="shared" ref="AM18" si="57">AM16-AM17</f>
        <v>2239</v>
      </c>
      <c r="AN18" s="46">
        <f t="shared" ref="AN18" si="58">AN16-AN17</f>
        <v>2432</v>
      </c>
      <c r="AO18" s="46">
        <f t="shared" ref="AO18" si="59">AO16-AO17</f>
        <v>2503</v>
      </c>
      <c r="AP18" s="46">
        <f t="shared" ref="AP18" si="60">AP16-AP17</f>
        <v>2657</v>
      </c>
      <c r="AQ18" s="46">
        <f t="shared" ref="AQ18" si="61">AQ16-AQ17</f>
        <v>2823</v>
      </c>
      <c r="AR18" s="46">
        <f t="shared" ref="AR18" si="62">AR16-AR17</f>
        <v>3030</v>
      </c>
      <c r="AS18" s="46">
        <f t="shared" ref="AS18" si="63">AS16-AS17</f>
        <v>3379</v>
      </c>
      <c r="AT18" s="46">
        <f t="shared" ref="AT18" si="64">AT16-AT17</f>
        <v>3631</v>
      </c>
      <c r="AU18" s="46">
        <f t="shared" ref="AU18" si="65">AU16-AU17</f>
        <v>3611</v>
      </c>
      <c r="AV18" s="46">
        <f t="shared" ref="AV18" si="66">AV16-AV17</f>
        <v>3840</v>
      </c>
      <c r="AW18" s="46">
        <f t="shared" ref="AW18" si="67">AW16-AW17</f>
        <v>4025</v>
      </c>
      <c r="AX18" s="46">
        <f t="shared" ref="AX18:BO18" si="68">AX16-AX17</f>
        <v>4338</v>
      </c>
      <c r="AY18" s="46">
        <f t="shared" si="68"/>
        <v>4408</v>
      </c>
      <c r="AZ18" s="46">
        <f t="shared" si="68"/>
        <v>4727</v>
      </c>
      <c r="BA18" s="46">
        <f t="shared" si="68"/>
        <v>5019</v>
      </c>
      <c r="BB18" s="46">
        <f t="shared" si="68"/>
        <v>5312</v>
      </c>
      <c r="BC18" s="46">
        <f t="shared" si="68"/>
        <v>5366</v>
      </c>
      <c r="BD18" s="46">
        <f t="shared" si="68"/>
        <v>5593</v>
      </c>
      <c r="BE18" s="46">
        <f t="shared" si="68"/>
        <v>5749</v>
      </c>
      <c r="BF18" s="46">
        <f t="shared" si="68"/>
        <v>6287</v>
      </c>
      <c r="BG18" s="46">
        <f t="shared" si="68"/>
        <v>6122</v>
      </c>
      <c r="BH18" s="46">
        <f t="shared" si="68"/>
        <v>6490</v>
      </c>
      <c r="BI18" s="46">
        <f t="shared" si="68"/>
        <v>6565</v>
      </c>
      <c r="BJ18" s="46">
        <f t="shared" si="68"/>
        <v>7139</v>
      </c>
      <c r="BK18" s="46">
        <f t="shared" si="68"/>
        <v>6971</v>
      </c>
      <c r="BL18" s="46">
        <f t="shared" si="68"/>
        <v>7166</v>
      </c>
      <c r="BM18" s="46">
        <f t="shared" si="68"/>
        <v>7339</v>
      </c>
      <c r="BN18" s="46">
        <f t="shared" si="68"/>
        <v>7776</v>
      </c>
      <c r="BO18" s="46">
        <f t="shared" si="68"/>
        <v>7564</v>
      </c>
      <c r="BP18" s="46">
        <f t="shared" ref="BP18" si="69">BP16-BP17</f>
        <v>7994</v>
      </c>
      <c r="CA18" s="46">
        <f t="shared" ref="CA18:CK18" si="70">CA16-CA17</f>
        <v>1047.5</v>
      </c>
      <c r="CB18" s="46">
        <f t="shared" si="70"/>
        <v>1333.4000000000003</v>
      </c>
      <c r="CC18" s="46">
        <f t="shared" si="70"/>
        <v>1777.6999999999998</v>
      </c>
      <c r="CD18" s="46">
        <f t="shared" si="70"/>
        <v>2358.6</v>
      </c>
      <c r="CE18" s="46">
        <f t="shared" si="70"/>
        <v>3102.4999999999995</v>
      </c>
      <c r="CF18" s="46">
        <f t="shared" si="70"/>
        <v>4084.3</v>
      </c>
      <c r="CG18" s="46">
        <f t="shared" si="70"/>
        <v>5012.6999999999989</v>
      </c>
      <c r="CH18" s="46">
        <f t="shared" si="70"/>
        <v>6203</v>
      </c>
      <c r="CI18" s="46">
        <f t="shared" si="70"/>
        <v>7767</v>
      </c>
      <c r="CJ18" s="46">
        <f t="shared" si="70"/>
        <v>9831</v>
      </c>
      <c r="CK18" s="46">
        <f t="shared" si="70"/>
        <v>12863</v>
      </c>
      <c r="CL18" s="46">
        <f>CL16-CL17</f>
        <v>15814</v>
      </c>
      <c r="CM18" s="46">
        <f t="shared" ref="CM18:CP18" si="71">CM16-CM17</f>
        <v>19466</v>
      </c>
      <c r="CN18" s="46">
        <f t="shared" si="71"/>
        <v>22995</v>
      </c>
      <c r="CO18" s="46">
        <f t="shared" si="71"/>
        <v>26316</v>
      </c>
      <c r="CP18" s="46">
        <f t="shared" si="71"/>
        <v>29252</v>
      </c>
      <c r="CQ18" s="52">
        <f>CQ16-CQ17</f>
        <v>31896.662287500003</v>
      </c>
      <c r="CR18" s="52">
        <f t="shared" ref="CR18:CX18" si="72">CR16-CR17</f>
        <v>35444.837999362499</v>
      </c>
      <c r="CS18" s="52">
        <f t="shared" si="72"/>
        <v>40392.599468602493</v>
      </c>
      <c r="CT18" s="52">
        <f t="shared" si="72"/>
        <v>45002.028713822474</v>
      </c>
      <c r="CU18" s="52">
        <f t="shared" si="72"/>
        <v>49225.135582142917</v>
      </c>
      <c r="CV18" s="52">
        <f t="shared" si="72"/>
        <v>52849.042550694438</v>
      </c>
      <c r="CW18" s="52">
        <f t="shared" si="72"/>
        <v>56204.759081972123</v>
      </c>
      <c r="CX18" s="52">
        <f t="shared" si="72"/>
        <v>59031.353706550668</v>
      </c>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2"/>
      <c r="DW18" s="52"/>
      <c r="DX18" s="52"/>
      <c r="DY18" s="52"/>
      <c r="DZ18" s="52"/>
      <c r="EA18" s="52"/>
      <c r="EB18" s="52"/>
      <c r="EC18" s="52"/>
      <c r="ED18" s="52"/>
      <c r="EE18" s="52"/>
      <c r="EF18" s="52"/>
      <c r="EG18" s="52"/>
      <c r="EH18" s="52"/>
      <c r="EI18" s="52"/>
      <c r="EJ18" s="52"/>
      <c r="EK18" s="52"/>
      <c r="EL18" s="52"/>
      <c r="EM18" s="52"/>
      <c r="EN18" s="52"/>
      <c r="EO18" s="52"/>
      <c r="EP18" s="52"/>
      <c r="EQ18" s="52"/>
      <c r="ER18" s="52"/>
      <c r="ES18" s="52"/>
      <c r="ET18" s="52"/>
      <c r="EU18" s="52"/>
      <c r="EV18" s="52"/>
      <c r="EW18" s="52"/>
      <c r="EX18" s="52"/>
      <c r="EY18" s="52"/>
      <c r="EZ18" s="52"/>
      <c r="FA18" s="52"/>
      <c r="FB18" s="52"/>
      <c r="FC18" s="52"/>
      <c r="FD18" s="52"/>
    </row>
    <row r="19" spans="2:160">
      <c r="B19" s="1" t="s">
        <v>135</v>
      </c>
      <c r="C19" s="46">
        <v>31.6</v>
      </c>
      <c r="D19" s="46">
        <v>31.1</v>
      </c>
      <c r="E19" s="46">
        <v>32.799999999999997</v>
      </c>
      <c r="F19" s="46">
        <v>36.4</v>
      </c>
      <c r="G19" s="46">
        <v>40.1</v>
      </c>
      <c r="H19" s="46">
        <v>42.9</v>
      </c>
      <c r="I19" s="46">
        <v>47.3</v>
      </c>
      <c r="J19" s="46">
        <v>57.5</v>
      </c>
      <c r="K19" s="46">
        <v>65.3</v>
      </c>
      <c r="L19" s="46">
        <v>73.400000000000006</v>
      </c>
      <c r="M19" s="46">
        <v>76</v>
      </c>
      <c r="N19" s="46">
        <v>80.599999999999994</v>
      </c>
      <c r="O19" s="46">
        <v>94.8</v>
      </c>
      <c r="P19" s="46">
        <v>99.4</v>
      </c>
      <c r="Q19" s="46">
        <v>114.1</v>
      </c>
      <c r="R19" s="46">
        <v>121.2</v>
      </c>
      <c r="S19" s="46">
        <v>131.9</v>
      </c>
      <c r="T19" s="46">
        <v>148.1</v>
      </c>
      <c r="U19" s="46">
        <v>170.7</v>
      </c>
      <c r="V19" s="46">
        <v>173.1</v>
      </c>
      <c r="W19" s="46">
        <v>188.4</v>
      </c>
      <c r="X19" s="46">
        <v>203.1</v>
      </c>
      <c r="Y19" s="46">
        <v>195.5</v>
      </c>
      <c r="Z19" s="46">
        <v>206</v>
      </c>
      <c r="AA19" s="46">
        <v>222.1</v>
      </c>
      <c r="AB19" s="46">
        <v>234.1</v>
      </c>
      <c r="AC19" s="46">
        <v>239.2</v>
      </c>
      <c r="AD19" s="46">
        <v>250.9</v>
      </c>
      <c r="AE19" s="46">
        <v>261</v>
      </c>
      <c r="AF19" s="46">
        <v>291.5</v>
      </c>
      <c r="AG19" s="46">
        <v>311.5</v>
      </c>
      <c r="AH19" s="46">
        <v>344.1</v>
      </c>
      <c r="AI19" s="1">
        <v>376</v>
      </c>
      <c r="AJ19" s="1">
        <v>387</v>
      </c>
      <c r="AK19" s="1">
        <v>394</v>
      </c>
      <c r="AL19" s="1">
        <v>396</v>
      </c>
      <c r="AM19" s="1">
        <v>424</v>
      </c>
      <c r="AN19" s="1">
        <v>463</v>
      </c>
      <c r="AO19" s="1">
        <v>481</v>
      </c>
      <c r="AP19" s="1">
        <v>518</v>
      </c>
      <c r="AQ19" s="1">
        <v>554</v>
      </c>
      <c r="AR19" s="1">
        <v>607</v>
      </c>
      <c r="AS19" s="1">
        <v>774</v>
      </c>
      <c r="AT19" s="1">
        <v>831</v>
      </c>
      <c r="AU19" s="1">
        <v>859</v>
      </c>
      <c r="AV19" s="1">
        <v>898</v>
      </c>
      <c r="AW19" s="1">
        <v>902</v>
      </c>
      <c r="AX19" s="1">
        <v>939</v>
      </c>
      <c r="AY19" s="1">
        <v>951</v>
      </c>
      <c r="AZ19" s="1">
        <v>1020</v>
      </c>
      <c r="BA19" s="1">
        <v>1203</v>
      </c>
      <c r="BB19" s="1">
        <f>4465-SUM(AY19:BA19)</f>
        <v>1291</v>
      </c>
      <c r="BC19" s="1">
        <v>1318</v>
      </c>
      <c r="BD19" s="1">
        <v>1329</v>
      </c>
      <c r="BE19" s="1">
        <v>1280</v>
      </c>
      <c r="BF19" s="1">
        <f>5059-BC19-BD19-BE19</f>
        <v>1132</v>
      </c>
      <c r="BG19" s="1">
        <v>1207</v>
      </c>
      <c r="BH19" s="1">
        <v>1220</v>
      </c>
      <c r="BI19" s="1">
        <v>1204</v>
      </c>
      <c r="BJ19" s="1">
        <f>4906-SUM(BG19:BI19)</f>
        <v>1275</v>
      </c>
      <c r="BK19" s="1">
        <v>1368</v>
      </c>
      <c r="BL19" s="1">
        <v>1349</v>
      </c>
      <c r="BM19" s="1">
        <v>1356</v>
      </c>
      <c r="BN19" s="1">
        <f>5493-SUM(BK19:BM19)</f>
        <v>1420</v>
      </c>
      <c r="BO19" s="61">
        <v>1460</v>
      </c>
      <c r="BP19" s="61">
        <v>1481</v>
      </c>
      <c r="CA19" s="46">
        <f>SUM(C19:F19)</f>
        <v>131.9</v>
      </c>
      <c r="CB19" s="46">
        <f>SUM(G19:J19)</f>
        <v>187.8</v>
      </c>
      <c r="CC19" s="46">
        <f>SUM(K19:N19)</f>
        <v>295.29999999999995</v>
      </c>
      <c r="CD19" s="46">
        <f>SUM(O19:R19)</f>
        <v>429.49999999999994</v>
      </c>
      <c r="CE19" s="46">
        <f>SUM(S19:V19)</f>
        <v>623.79999999999995</v>
      </c>
      <c r="CF19" s="46">
        <f>SUM(W19:Z19)</f>
        <v>793</v>
      </c>
      <c r="CG19" s="46">
        <f>SUM(AA19:AD19)</f>
        <v>946.3</v>
      </c>
      <c r="CH19" s="46">
        <f>SUM(AE19:AH19)</f>
        <v>1208.0999999999999</v>
      </c>
      <c r="CI19" s="46">
        <f>SUM(AI19:AL19)</f>
        <v>1553</v>
      </c>
      <c r="CJ19" s="46">
        <f>SUM(AM19:AP19)</f>
        <v>1886</v>
      </c>
      <c r="CK19" s="46">
        <f>SUM(AQ19:AT19)</f>
        <v>2766</v>
      </c>
      <c r="CL19" s="46">
        <f>SUM(AU19:AX19)</f>
        <v>3598</v>
      </c>
      <c r="CM19" s="1">
        <f>SUM(AY19:BB19)</f>
        <v>4465</v>
      </c>
      <c r="CN19" s="1">
        <f>SUM(BC19:BF19)</f>
        <v>5059</v>
      </c>
      <c r="CO19" s="1">
        <f>SUM(BG19:BJ19)</f>
        <v>4906</v>
      </c>
      <c r="CP19" s="1">
        <f>SUM(BK19:BN19)</f>
        <v>5493</v>
      </c>
      <c r="CQ19" s="52">
        <f>CQ16*CQ36</f>
        <v>6070.5878062500005</v>
      </c>
      <c r="CR19" s="52">
        <f t="shared" ref="CR19:CX19" si="73">CR16*CR36</f>
        <v>6623.1304734843743</v>
      </c>
      <c r="CS19" s="52">
        <f t="shared" si="73"/>
        <v>7304.960886827811</v>
      </c>
      <c r="CT19" s="52">
        <f t="shared" si="73"/>
        <v>7925.1451061771659</v>
      </c>
      <c r="CU19" s="52">
        <f t="shared" si="73"/>
        <v>8451.2513422634147</v>
      </c>
      <c r="CV19" s="52">
        <f t="shared" si="73"/>
        <v>9013.9160685393454</v>
      </c>
      <c r="CW19" s="52">
        <f t="shared" si="73"/>
        <v>9529.5092572196991</v>
      </c>
      <c r="CX19" s="52">
        <f t="shared" si="73"/>
        <v>9984.1758261074301</v>
      </c>
      <c r="CY19" s="52"/>
      <c r="CZ19" s="52"/>
      <c r="DA19" s="52"/>
      <c r="DB19" s="52"/>
      <c r="DC19" s="52"/>
      <c r="DD19" s="52"/>
      <c r="DE19" s="52"/>
      <c r="DF19" s="52"/>
      <c r="DG19" s="52"/>
      <c r="DH19" s="52"/>
      <c r="DI19" s="52"/>
      <c r="DJ19" s="52"/>
      <c r="DK19" s="52"/>
      <c r="DL19" s="52"/>
      <c r="DM19" s="52"/>
      <c r="DN19" s="52"/>
      <c r="DO19" s="52"/>
      <c r="DP19" s="52"/>
      <c r="DQ19" s="52"/>
      <c r="DR19" s="52"/>
      <c r="DS19" s="52"/>
      <c r="DT19" s="52"/>
      <c r="DU19" s="52"/>
      <c r="DV19" s="52"/>
      <c r="DW19" s="52"/>
      <c r="DX19" s="52"/>
      <c r="DY19" s="52"/>
      <c r="DZ19" s="52"/>
      <c r="EA19" s="52"/>
      <c r="EB19" s="52"/>
      <c r="EC19" s="52"/>
      <c r="ED19" s="52"/>
      <c r="EE19" s="52"/>
      <c r="EF19" s="52"/>
      <c r="EG19" s="52"/>
      <c r="EH19" s="52"/>
      <c r="EI19" s="52"/>
      <c r="EJ19" s="52"/>
      <c r="EK19" s="52"/>
      <c r="EL19" s="52"/>
      <c r="EM19" s="52"/>
      <c r="EN19" s="52"/>
      <c r="EO19" s="52"/>
      <c r="EP19" s="52"/>
      <c r="EQ19" s="52"/>
      <c r="ER19" s="52"/>
      <c r="ES19" s="52"/>
      <c r="ET19" s="52"/>
      <c r="EU19" s="52"/>
      <c r="EV19" s="52"/>
      <c r="EW19" s="52"/>
      <c r="EX19" s="52"/>
      <c r="EY19" s="52"/>
      <c r="EZ19" s="52"/>
      <c r="FA19" s="52"/>
      <c r="FB19" s="52"/>
      <c r="FC19" s="52"/>
      <c r="FD19" s="52"/>
    </row>
    <row r="20" spans="2:160">
      <c r="B20" s="1" t="s">
        <v>134</v>
      </c>
      <c r="C20" s="46">
        <f>213-C19-C21</f>
        <v>138.19999999999999</v>
      </c>
      <c r="D20" s="46">
        <f>224.1-D19-D21</f>
        <v>146.19999999999999</v>
      </c>
      <c r="E20" s="46">
        <f>234.8-E19-E21</f>
        <v>152.1</v>
      </c>
      <c r="F20" s="46">
        <f>260.5-F19-F21</f>
        <v>168.6</v>
      </c>
      <c r="G20" s="46">
        <f>272.2-G19-G21</f>
        <v>175.89999999999998</v>
      </c>
      <c r="H20" s="46">
        <f>286.9-H19-H21</f>
        <v>182.39999999999998</v>
      </c>
      <c r="I20" s="46">
        <f>311.8-I19-I21</f>
        <v>200.5</v>
      </c>
      <c r="J20" s="46">
        <f>364.9-J19-J21</f>
        <v>233.2</v>
      </c>
      <c r="K20" s="46">
        <f>404.1-K19-K21</f>
        <v>254.5</v>
      </c>
      <c r="L20" s="46">
        <f>440.8-L19-L21</f>
        <v>283</v>
      </c>
      <c r="M20" s="46">
        <f>465.9-M19-M21</f>
        <v>304.7</v>
      </c>
      <c r="N20" s="46">
        <f>501.9-N19-N21</f>
        <v>327.49999999999994</v>
      </c>
      <c r="O20" s="46">
        <f>566.2-O19-O21</f>
        <v>369.80000000000007</v>
      </c>
      <c r="P20" s="46">
        <f>582.7-P19-P21</f>
        <v>380.20000000000005</v>
      </c>
      <c r="Q20" s="46">
        <f>656.3-Q19-Q21</f>
        <v>428.39999999999992</v>
      </c>
      <c r="R20" s="46">
        <f>672.1-R19-R21</f>
        <v>435.5</v>
      </c>
      <c r="S20" s="46">
        <f>728.2-S19-S21</f>
        <v>466.50000000000006</v>
      </c>
      <c r="T20" s="46">
        <f>779.2-T19-T21</f>
        <v>480.6</v>
      </c>
      <c r="U20" s="46">
        <f>905.8-U19-U21</f>
        <v>581.19999999999993</v>
      </c>
      <c r="V20" s="46">
        <f>975.5-V19-V21</f>
        <v>639.79999999999995</v>
      </c>
      <c r="W20" s="46">
        <f>989.8-W19-W21</f>
        <v>639.29999999999995</v>
      </c>
      <c r="X20" s="46">
        <f>1044.2-X19-X21</f>
        <v>672</v>
      </c>
      <c r="Y20" s="46">
        <f>1072.5-Y19-Y21</f>
        <v>709.6</v>
      </c>
      <c r="Z20" s="46">
        <f>1123.5-Z19-Z21</f>
        <v>736.1</v>
      </c>
      <c r="AA20" s="46">
        <f>1098.3-AA19-AA21</f>
        <v>700.39999999999986</v>
      </c>
      <c r="AB20" s="46">
        <f>1209.5-AB19-AB21</f>
        <v>793.7</v>
      </c>
      <c r="AC20" s="46">
        <f>1244.8-AC19-AC21</f>
        <v>818.8</v>
      </c>
      <c r="AD20" s="46">
        <f>1345.2-AD19-AD21</f>
        <v>890.4</v>
      </c>
      <c r="AE20" s="46">
        <f>1367.6-AE19-AE21</f>
        <v>895.8</v>
      </c>
      <c r="AF20" s="46">
        <f>1478.5-AF19-AF21</f>
        <v>934.9</v>
      </c>
      <c r="AG20" s="46">
        <f>1556.2-AG19-AG21</f>
        <v>997.90000000000009</v>
      </c>
      <c r="AH20" s="46">
        <f>1582.7-AH19-AH21</f>
        <v>982.19999999999993</v>
      </c>
      <c r="AI20" s="1">
        <f>1742-AI19-AI21</f>
        <v>1106</v>
      </c>
      <c r="AJ20" s="1">
        <f>1823-AJ19-AJ21</f>
        <v>1153</v>
      </c>
      <c r="AK20" s="1">
        <f>1832-AK19-AK21</f>
        <v>1167</v>
      </c>
      <c r="AL20" s="1">
        <f>1916-AL19-AL21</f>
        <v>1245</v>
      </c>
      <c r="AM20" s="1">
        <f>2048-AM19-AM21</f>
        <v>1329</v>
      </c>
      <c r="AN20" s="1">
        <f>2317-AN19-AN21</f>
        <v>1504</v>
      </c>
      <c r="AO20" s="1">
        <f>2411-AO19-AO21</f>
        <v>1588</v>
      </c>
      <c r="AP20" s="1">
        <f>2520-AP19-AP21</f>
        <v>1643</v>
      </c>
      <c r="AQ20" s="1">
        <f>2613-AQ19-AQ21</f>
        <v>1697</v>
      </c>
      <c r="AR20" s="1">
        <f>2972-AR19-AR21</f>
        <v>1990</v>
      </c>
      <c r="AS20" s="1">
        <f>3314-AS19-AS21</f>
        <v>2063</v>
      </c>
      <c r="AT20" s="1">
        <f>3667-AT19-AT21</f>
        <v>2346</v>
      </c>
      <c r="AU20" s="1">
        <f>3751-AU19-AU21</f>
        <v>2390</v>
      </c>
      <c r="AV20" s="1">
        <f>3662-AV19-AV21</f>
        <v>2275</v>
      </c>
      <c r="AW20" s="1">
        <f>3801-AW19-AW21</f>
        <v>2377</v>
      </c>
      <c r="AX20" s="1">
        <f>4145-AX19-AX21</f>
        <v>2632</v>
      </c>
      <c r="AY20" s="1">
        <v>2544</v>
      </c>
      <c r="AZ20" s="1">
        <v>2736</v>
      </c>
      <c r="BA20" s="1">
        <v>3111</v>
      </c>
      <c r="BB20" s="1">
        <f>11855-SUM(AY20:BA20)</f>
        <v>3464</v>
      </c>
      <c r="BC20" s="1">
        <v>3372</v>
      </c>
      <c r="BD20" s="1">
        <v>3424</v>
      </c>
      <c r="BE20" s="1">
        <v>3345</v>
      </c>
      <c r="BF20" s="1">
        <f>13526-BC20-BD20-BE20</f>
        <v>3385</v>
      </c>
      <c r="BG20" s="1">
        <v>3154</v>
      </c>
      <c r="BH20" s="1">
        <v>3113</v>
      </c>
      <c r="BI20" s="1">
        <v>3173</v>
      </c>
      <c r="BJ20" s="1">
        <f>12877-SUM(BG20:BI20)</f>
        <v>3437</v>
      </c>
      <c r="BK20" s="1">
        <v>3239</v>
      </c>
      <c r="BL20" s="1">
        <v>3224</v>
      </c>
      <c r="BM20" s="1">
        <v>3323</v>
      </c>
      <c r="BN20" s="1">
        <f>13257-SUM(BK20:BM20)</f>
        <v>3471</v>
      </c>
      <c r="BO20" s="61">
        <v>3429</v>
      </c>
      <c r="BP20" s="61">
        <v>3443</v>
      </c>
      <c r="CA20" s="46">
        <f>SUM(C20:F20)</f>
        <v>605.1</v>
      </c>
      <c r="CB20" s="46">
        <f>SUM(G20:J20)</f>
        <v>792</v>
      </c>
      <c r="CC20" s="46">
        <f>SUM(K20:N20)</f>
        <v>1169.7</v>
      </c>
      <c r="CD20" s="46">
        <f>SUM(O20:R20)</f>
        <v>1613.9</v>
      </c>
      <c r="CE20" s="46">
        <f>SUM(S20:V20)</f>
        <v>2168.1000000000004</v>
      </c>
      <c r="CF20" s="46">
        <f>SUM(W20:Z20)</f>
        <v>2757</v>
      </c>
      <c r="CG20" s="46">
        <f>SUM(AA20:AD20)</f>
        <v>3203.2999999999997</v>
      </c>
      <c r="CH20" s="46">
        <f>SUM(AE20:AH20)</f>
        <v>3810.7999999999997</v>
      </c>
      <c r="CI20" s="46">
        <f>SUM(AI20:AL20)</f>
        <v>4671</v>
      </c>
      <c r="CJ20" s="46">
        <f>SUM(AM20:AP20)</f>
        <v>6064</v>
      </c>
      <c r="CK20" s="46">
        <f>SUM(AQ20:AT20)</f>
        <v>8096</v>
      </c>
      <c r="CL20" s="46">
        <f>SUM(AU20:AX20)</f>
        <v>9674</v>
      </c>
      <c r="CM20" s="1">
        <f>SUM(AY20:BB20)</f>
        <v>11855</v>
      </c>
      <c r="CN20" s="1">
        <f>SUM(BC20:BF20)</f>
        <v>13526</v>
      </c>
      <c r="CO20" s="1">
        <f>SUM(BG20:BJ20)</f>
        <v>12877</v>
      </c>
      <c r="CP20" s="1">
        <f>SUM(BK20:BN20)</f>
        <v>13257</v>
      </c>
      <c r="CQ20" s="52">
        <f>CQ16*CQ37</f>
        <v>14096.110668750003</v>
      </c>
      <c r="CR20" s="52">
        <f t="shared" ref="CR20:CX20" si="74">CR16*CR37</f>
        <v>14817.851228812498</v>
      </c>
      <c r="CS20" s="52">
        <f t="shared" si="74"/>
        <v>16373.18819461406</v>
      </c>
      <c r="CT20" s="52">
        <f t="shared" si="74"/>
        <v>17796.8170805382</v>
      </c>
      <c r="CU20" s="52">
        <f t="shared" si="74"/>
        <v>19015.315520092681</v>
      </c>
      <c r="CV20" s="52">
        <f t="shared" si="74"/>
        <v>19959.385580337119</v>
      </c>
      <c r="CW20" s="52">
        <f t="shared" si="74"/>
        <v>20760.716596085771</v>
      </c>
      <c r="CX20" s="52">
        <f t="shared" si="74"/>
        <v>21394.66248451592</v>
      </c>
      <c r="CY20" s="52"/>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c r="EA20" s="52"/>
      <c r="EB20" s="52"/>
      <c r="EC20" s="52"/>
      <c r="ED20" s="52"/>
      <c r="EE20" s="52"/>
      <c r="EF20" s="52"/>
      <c r="EG20" s="52"/>
      <c r="EH20" s="52"/>
      <c r="EI20" s="52"/>
      <c r="EJ20" s="52"/>
      <c r="EK20" s="52"/>
      <c r="EL20" s="52"/>
      <c r="EM20" s="52"/>
      <c r="EN20" s="52"/>
      <c r="EO20" s="52"/>
      <c r="EP20" s="52"/>
      <c r="EQ20" s="52"/>
      <c r="ER20" s="52"/>
      <c r="ES20" s="52"/>
      <c r="ET20" s="52"/>
      <c r="EU20" s="52"/>
      <c r="EV20" s="52"/>
      <c r="EW20" s="52"/>
      <c r="EX20" s="52"/>
      <c r="EY20" s="52"/>
      <c r="EZ20" s="52"/>
      <c r="FA20" s="52"/>
      <c r="FB20" s="52"/>
      <c r="FC20" s="52"/>
      <c r="FD20" s="52"/>
    </row>
    <row r="21" spans="2:160">
      <c r="B21" s="1" t="s">
        <v>133</v>
      </c>
      <c r="C21" s="46">
        <v>43.2</v>
      </c>
      <c r="D21" s="46">
        <v>46.8</v>
      </c>
      <c r="E21" s="46">
        <v>49.9</v>
      </c>
      <c r="F21" s="46">
        <v>55.5</v>
      </c>
      <c r="G21" s="46">
        <v>56.2</v>
      </c>
      <c r="H21" s="46">
        <v>61.6</v>
      </c>
      <c r="I21" s="46">
        <v>64</v>
      </c>
      <c r="J21" s="46">
        <v>74.2</v>
      </c>
      <c r="K21" s="46">
        <v>84.3</v>
      </c>
      <c r="L21" s="46">
        <v>84.4</v>
      </c>
      <c r="M21" s="46">
        <v>85.2</v>
      </c>
      <c r="N21" s="46">
        <v>93.8</v>
      </c>
      <c r="O21" s="46">
        <v>101.6</v>
      </c>
      <c r="P21" s="46">
        <v>103.1</v>
      </c>
      <c r="Q21" s="46">
        <v>113.8</v>
      </c>
      <c r="R21" s="46">
        <v>115.4</v>
      </c>
      <c r="S21" s="46">
        <v>129.80000000000001</v>
      </c>
      <c r="T21" s="46">
        <v>150.5</v>
      </c>
      <c r="U21" s="46">
        <v>153.9</v>
      </c>
      <c r="V21" s="46">
        <v>162.6</v>
      </c>
      <c r="W21" s="46">
        <v>162.1</v>
      </c>
      <c r="X21" s="46">
        <v>169.1</v>
      </c>
      <c r="Y21" s="46">
        <v>167.4</v>
      </c>
      <c r="Z21" s="46">
        <v>181.4</v>
      </c>
      <c r="AA21" s="46">
        <v>175.8</v>
      </c>
      <c r="AB21" s="46">
        <v>181.7</v>
      </c>
      <c r="AC21" s="46">
        <v>186.8</v>
      </c>
      <c r="AD21" s="46">
        <v>203.9</v>
      </c>
      <c r="AE21" s="46">
        <v>210.8</v>
      </c>
      <c r="AF21" s="46">
        <v>252.1</v>
      </c>
      <c r="AG21" s="46">
        <v>246.8</v>
      </c>
      <c r="AH21" s="46">
        <v>256.39999999999998</v>
      </c>
      <c r="AI21" s="1">
        <v>260</v>
      </c>
      <c r="AJ21" s="1">
        <v>283</v>
      </c>
      <c r="AK21" s="1">
        <v>271</v>
      </c>
      <c r="AL21" s="1">
        <v>275</v>
      </c>
      <c r="AM21" s="1">
        <v>295</v>
      </c>
      <c r="AN21" s="1">
        <v>350</v>
      </c>
      <c r="AO21" s="1">
        <v>342</v>
      </c>
      <c r="AP21" s="1">
        <v>359</v>
      </c>
      <c r="AQ21" s="1">
        <v>362</v>
      </c>
      <c r="AR21" s="1">
        <v>375</v>
      </c>
      <c r="AS21" s="1">
        <v>477</v>
      </c>
      <c r="AT21" s="1">
        <v>490</v>
      </c>
      <c r="AU21" s="1">
        <v>502</v>
      </c>
      <c r="AV21" s="1">
        <v>489</v>
      </c>
      <c r="AW21" s="1">
        <v>522</v>
      </c>
      <c r="AX21" s="1">
        <v>574</v>
      </c>
      <c r="AY21" s="1">
        <v>559</v>
      </c>
      <c r="AZ21" s="1">
        <v>639</v>
      </c>
      <c r="BA21" s="1">
        <v>667</v>
      </c>
      <c r="BB21" s="1">
        <f>2598-SUM(AY21:BA21)</f>
        <v>733</v>
      </c>
      <c r="BC21" s="1">
        <v>656</v>
      </c>
      <c r="BD21" s="1">
        <v>647</v>
      </c>
      <c r="BE21" s="1">
        <v>664</v>
      </c>
      <c r="BF21" s="1">
        <f>2553-BC21-BD21-BE21</f>
        <v>586</v>
      </c>
      <c r="BG21" s="1">
        <v>638</v>
      </c>
      <c r="BH21" s="1">
        <v>632</v>
      </c>
      <c r="BI21" s="1">
        <v>632</v>
      </c>
      <c r="BJ21" s="1">
        <f>2534-SUM(BG21:BI21)</f>
        <v>632</v>
      </c>
      <c r="BK21" s="1">
        <v>647</v>
      </c>
      <c r="BL21" s="1">
        <v>711</v>
      </c>
      <c r="BM21" s="1">
        <v>711</v>
      </c>
      <c r="BN21" s="1">
        <f>2836-SUM(BK21:BM21)</f>
        <v>767</v>
      </c>
      <c r="BO21" s="61">
        <v>697</v>
      </c>
      <c r="BP21" s="61">
        <v>734</v>
      </c>
      <c r="CA21" s="46">
        <f>SUM(C21:F21)</f>
        <v>195.4</v>
      </c>
      <c r="CB21" s="46">
        <f>SUM(G21:J21)</f>
        <v>256</v>
      </c>
      <c r="CC21" s="46">
        <f>SUM(K21:N21)</f>
        <v>347.7</v>
      </c>
      <c r="CD21" s="46">
        <f>SUM(O21:R21)</f>
        <v>433.9</v>
      </c>
      <c r="CE21" s="46">
        <f>SUM(S21:V21)</f>
        <v>596.80000000000007</v>
      </c>
      <c r="CF21" s="46">
        <f>SUM(W21:Z21)</f>
        <v>680</v>
      </c>
      <c r="CG21" s="46">
        <f>SUM(AA21:AD21)</f>
        <v>748.19999999999993</v>
      </c>
      <c r="CH21" s="46">
        <f>SUM(AE21:AH21)</f>
        <v>966.1</v>
      </c>
      <c r="CI21" s="46">
        <f>SUM(AI21:AL21)</f>
        <v>1089</v>
      </c>
      <c r="CJ21" s="46">
        <f>SUM(AM21:AP21)</f>
        <v>1346</v>
      </c>
      <c r="CK21" s="46">
        <f>SUM(AQ21:AT21)</f>
        <v>1704</v>
      </c>
      <c r="CL21" s="46">
        <f>SUM(AU21:AX21)</f>
        <v>2087</v>
      </c>
      <c r="CM21" s="1">
        <f>SUM(AY21:BB21)</f>
        <v>2598</v>
      </c>
      <c r="CN21" s="1">
        <f>SUM(BC21:BF21)</f>
        <v>2553</v>
      </c>
      <c r="CO21" s="1">
        <f>SUM(BG21:BJ21)</f>
        <v>2534</v>
      </c>
      <c r="CP21" s="1">
        <f>SUM(BK21:BN21)</f>
        <v>2836</v>
      </c>
      <c r="CQ21" s="52">
        <f>CQ16*CQ38</f>
        <v>2983.8482437500002</v>
      </c>
      <c r="CR21" s="52">
        <f t="shared" ref="CR21:CX21" si="75">CR16*CR38</f>
        <v>3143.1805636875001</v>
      </c>
      <c r="CS21" s="52">
        <f t="shared" si="75"/>
        <v>3400.5852404198436</v>
      </c>
      <c r="CT21" s="52">
        <f t="shared" si="75"/>
        <v>3614.9784694843215</v>
      </c>
      <c r="CU21" s="52">
        <f t="shared" si="75"/>
        <v>3772.8800635104526</v>
      </c>
      <c r="CV21" s="52">
        <f t="shared" si="75"/>
        <v>3863.1068865168618</v>
      </c>
      <c r="CW21" s="52">
        <f t="shared" si="75"/>
        <v>4084.075395951299</v>
      </c>
      <c r="CX21" s="52">
        <f t="shared" si="75"/>
        <v>4278.9324969031841</v>
      </c>
      <c r="CY21" s="52"/>
      <c r="CZ21" s="52"/>
      <c r="DA21" s="52"/>
      <c r="DB21" s="52"/>
      <c r="DC21" s="52"/>
      <c r="DD21" s="52"/>
      <c r="DE21" s="52"/>
      <c r="DF21" s="52"/>
      <c r="DG21" s="52"/>
      <c r="DH21" s="52"/>
      <c r="DI21" s="52"/>
      <c r="DJ21" s="52"/>
      <c r="DK21" s="52"/>
      <c r="DL21" s="52"/>
      <c r="DM21" s="52"/>
      <c r="DN21" s="52"/>
      <c r="DO21" s="52"/>
      <c r="DP21" s="52"/>
      <c r="DQ21" s="52"/>
      <c r="DR21" s="52"/>
      <c r="DS21" s="52"/>
      <c r="DT21" s="52"/>
      <c r="DU21" s="52"/>
      <c r="DV21" s="52"/>
      <c r="DW21" s="52"/>
      <c r="DX21" s="52"/>
      <c r="DY21" s="52"/>
      <c r="DZ21" s="52"/>
      <c r="EA21" s="52"/>
      <c r="EB21" s="52"/>
      <c r="EC21" s="52"/>
      <c r="ED21" s="52"/>
      <c r="EE21" s="52"/>
      <c r="EF21" s="52"/>
      <c r="EG21" s="52"/>
      <c r="EH21" s="52"/>
      <c r="EI21" s="52"/>
      <c r="EJ21" s="52"/>
      <c r="EK21" s="52"/>
      <c r="EL21" s="52"/>
      <c r="EM21" s="52"/>
      <c r="EN21" s="52"/>
      <c r="EO21" s="52"/>
      <c r="EP21" s="52"/>
      <c r="EQ21" s="52"/>
      <c r="ER21" s="52"/>
      <c r="ES21" s="52"/>
      <c r="ET21" s="52"/>
      <c r="EU21" s="52"/>
      <c r="EV21" s="52"/>
      <c r="EW21" s="52"/>
      <c r="EX21" s="52"/>
      <c r="EY21" s="52"/>
      <c r="EZ21" s="52"/>
      <c r="FA21" s="52"/>
      <c r="FB21" s="52"/>
      <c r="FC21" s="52"/>
      <c r="FD21" s="52"/>
    </row>
    <row r="22" spans="2:160">
      <c r="B22" s="1" t="s">
        <v>250</v>
      </c>
      <c r="C22" s="46">
        <f t="shared" ref="C22" si="76">SUM(C20:C21)</f>
        <v>181.39999999999998</v>
      </c>
      <c r="D22" s="46">
        <f t="shared" ref="D22" si="77">SUM(D20:D21)</f>
        <v>193</v>
      </c>
      <c r="E22" s="46">
        <f t="shared" ref="E22" si="78">SUM(E20:E21)</f>
        <v>202</v>
      </c>
      <c r="F22" s="46">
        <f t="shared" ref="F22" si="79">SUM(F20:F21)</f>
        <v>224.1</v>
      </c>
      <c r="G22" s="46">
        <f t="shared" ref="G22" si="80">SUM(G20:G21)</f>
        <v>232.09999999999997</v>
      </c>
      <c r="H22" s="46">
        <f t="shared" ref="H22" si="81">SUM(H20:H21)</f>
        <v>243.99999999999997</v>
      </c>
      <c r="I22" s="46">
        <f t="shared" ref="I22" si="82">SUM(I20:I21)</f>
        <v>264.5</v>
      </c>
      <c r="J22" s="46">
        <f t="shared" ref="J22" si="83">SUM(J20:J21)</f>
        <v>307.39999999999998</v>
      </c>
      <c r="K22" s="46">
        <f t="shared" ref="K22" si="84">SUM(K20:K21)</f>
        <v>338.8</v>
      </c>
      <c r="L22" s="46">
        <f t="shared" ref="L22" si="85">SUM(L20:L21)</f>
        <v>367.4</v>
      </c>
      <c r="M22" s="46">
        <f t="shared" ref="M22" si="86">SUM(M20:M21)</f>
        <v>389.9</v>
      </c>
      <c r="N22" s="46">
        <f t="shared" ref="N22" si="87">SUM(N20:N21)</f>
        <v>421.29999999999995</v>
      </c>
      <c r="O22" s="46">
        <f t="shared" ref="O22" si="88">SUM(O20:O21)</f>
        <v>471.40000000000009</v>
      </c>
      <c r="P22" s="46">
        <f t="shared" ref="P22" si="89">SUM(P20:P21)</f>
        <v>483.30000000000007</v>
      </c>
      <c r="Q22" s="46">
        <f t="shared" ref="Q22" si="90">SUM(Q20:Q21)</f>
        <v>542.19999999999993</v>
      </c>
      <c r="R22" s="46">
        <f t="shared" ref="R22" si="91">SUM(R20:R21)</f>
        <v>550.9</v>
      </c>
      <c r="S22" s="46">
        <f t="shared" ref="S22" si="92">SUM(S20:S21)</f>
        <v>596.30000000000007</v>
      </c>
      <c r="T22" s="46">
        <f t="shared" ref="T22" si="93">SUM(T20:T21)</f>
        <v>631.1</v>
      </c>
      <c r="U22" s="46">
        <f t="shared" ref="U22" si="94">SUM(U20:U21)</f>
        <v>735.09999999999991</v>
      </c>
      <c r="V22" s="46">
        <f t="shared" ref="V22" si="95">SUM(V20:V21)</f>
        <v>802.4</v>
      </c>
      <c r="W22" s="46">
        <f t="shared" ref="W22" si="96">SUM(W20:W21)</f>
        <v>801.4</v>
      </c>
      <c r="X22" s="46">
        <f t="shared" ref="X22" si="97">SUM(X20:X21)</f>
        <v>841.1</v>
      </c>
      <c r="Y22" s="46">
        <f t="shared" ref="Y22" si="98">SUM(Y20:Y21)</f>
        <v>877</v>
      </c>
      <c r="Z22" s="46">
        <f t="shared" ref="Z22" si="99">SUM(Z20:Z21)</f>
        <v>917.5</v>
      </c>
      <c r="AA22" s="46">
        <f t="shared" ref="AA22" si="100">SUM(AA20:AA21)</f>
        <v>876.19999999999982</v>
      </c>
      <c r="AB22" s="46">
        <f t="shared" ref="AB22" si="101">SUM(AB20:AB21)</f>
        <v>975.40000000000009</v>
      </c>
      <c r="AC22" s="46">
        <f t="shared" ref="AC22" si="102">SUM(AC20:AC21)</f>
        <v>1005.5999999999999</v>
      </c>
      <c r="AD22" s="46">
        <f t="shared" ref="AD22" si="103">SUM(AD20:AD21)</f>
        <v>1094.3</v>
      </c>
      <c r="AE22" s="46">
        <f t="shared" ref="AE22" si="104">SUM(AE20:AE21)</f>
        <v>1106.5999999999999</v>
      </c>
      <c r="AF22" s="46">
        <f t="shared" ref="AF22" si="105">SUM(AF20:AF21)</f>
        <v>1187</v>
      </c>
      <c r="AG22" s="46">
        <f t="shared" ref="AG22" si="106">SUM(AG20:AG21)</f>
        <v>1244.7</v>
      </c>
      <c r="AH22" s="46">
        <f t="shared" ref="AH22" si="107">SUM(AH20:AH21)</f>
        <v>1238.5999999999999</v>
      </c>
      <c r="AI22" s="1">
        <f t="shared" ref="AI22" si="108">SUM(AI20:AI21)</f>
        <v>1366</v>
      </c>
      <c r="AJ22" s="1">
        <f t="shared" ref="AJ22" si="109">SUM(AJ20:AJ21)</f>
        <v>1436</v>
      </c>
      <c r="AK22" s="1">
        <f t="shared" ref="AK22" si="110">SUM(AK20:AK21)</f>
        <v>1438</v>
      </c>
      <c r="AL22" s="1">
        <f t="shared" ref="AL22" si="111">SUM(AL20:AL21)</f>
        <v>1520</v>
      </c>
      <c r="AM22" s="1">
        <f t="shared" ref="AM22" si="112">SUM(AM20:AM21)</f>
        <v>1624</v>
      </c>
      <c r="AN22" s="1">
        <f t="shared" ref="AN22" si="113">SUM(AN20:AN21)</f>
        <v>1854</v>
      </c>
      <c r="AO22" s="1">
        <f t="shared" ref="AO22" si="114">SUM(AO20:AO21)</f>
        <v>1930</v>
      </c>
      <c r="AP22" s="1">
        <f t="shared" ref="AP22" si="115">SUM(AP20:AP21)</f>
        <v>2002</v>
      </c>
      <c r="AQ22" s="1">
        <f t="shared" ref="AQ22" si="116">SUM(AQ20:AQ21)</f>
        <v>2059</v>
      </c>
      <c r="AR22" s="1">
        <f t="shared" ref="AR22" si="117">SUM(AR20:AR21)</f>
        <v>2365</v>
      </c>
      <c r="AS22" s="1">
        <f t="shared" ref="AS22" si="118">SUM(AS20:AS21)</f>
        <v>2540</v>
      </c>
      <c r="AT22" s="1">
        <f t="shared" ref="AT22" si="119">SUM(AT20:AT21)</f>
        <v>2836</v>
      </c>
      <c r="AU22" s="1">
        <f t="shared" ref="AU22" si="120">SUM(AU20:AU21)</f>
        <v>2892</v>
      </c>
      <c r="AV22" s="1">
        <f t="shared" ref="AV22" si="121">SUM(AV20:AV21)</f>
        <v>2764</v>
      </c>
      <c r="AW22" s="1">
        <f t="shared" ref="AW22" si="122">SUM(AW20:AW21)</f>
        <v>2899</v>
      </c>
      <c r="AX22" s="1">
        <f t="shared" ref="AX22:BM22" si="123">SUM(AX20:AX21)</f>
        <v>3206</v>
      </c>
      <c r="AY22" s="1">
        <f t="shared" si="123"/>
        <v>3103</v>
      </c>
      <c r="AZ22" s="1">
        <f t="shared" si="123"/>
        <v>3375</v>
      </c>
      <c r="BA22" s="1">
        <f t="shared" si="123"/>
        <v>3778</v>
      </c>
      <c r="BB22" s="1">
        <f t="shared" si="123"/>
        <v>4197</v>
      </c>
      <c r="BC22" s="1">
        <f t="shared" si="123"/>
        <v>4028</v>
      </c>
      <c r="BD22" s="1">
        <f t="shared" si="123"/>
        <v>4071</v>
      </c>
      <c r="BE22" s="1">
        <f t="shared" si="123"/>
        <v>4009</v>
      </c>
      <c r="BF22" s="1">
        <f t="shared" si="123"/>
        <v>3971</v>
      </c>
      <c r="BG22" s="1">
        <f t="shared" si="123"/>
        <v>3792</v>
      </c>
      <c r="BH22" s="1">
        <f t="shared" si="123"/>
        <v>3745</v>
      </c>
      <c r="BI22" s="1">
        <f t="shared" si="123"/>
        <v>3805</v>
      </c>
      <c r="BJ22" s="1">
        <f t="shared" si="123"/>
        <v>4069</v>
      </c>
      <c r="BK22" s="1">
        <f t="shared" si="123"/>
        <v>3886</v>
      </c>
      <c r="BL22" s="1">
        <f t="shared" si="123"/>
        <v>3935</v>
      </c>
      <c r="BM22" s="1">
        <f t="shared" si="123"/>
        <v>4034</v>
      </c>
      <c r="BN22" s="1">
        <f>SUM(BN20:BN21)</f>
        <v>4238</v>
      </c>
      <c r="BO22" s="1">
        <f>SUM(BO20:BO21)</f>
        <v>4126</v>
      </c>
      <c r="BP22" s="1">
        <f>SUM(BP20:BP21)</f>
        <v>4177</v>
      </c>
      <c r="CA22" s="1">
        <f t="shared" ref="CA22:CL22" si="124">SUM(CA20:CA21)</f>
        <v>800.5</v>
      </c>
      <c r="CB22" s="1">
        <f t="shared" si="124"/>
        <v>1048</v>
      </c>
      <c r="CC22" s="1">
        <f t="shared" si="124"/>
        <v>1517.4</v>
      </c>
      <c r="CD22" s="1">
        <f t="shared" si="124"/>
        <v>2047.8000000000002</v>
      </c>
      <c r="CE22" s="1">
        <f t="shared" si="124"/>
        <v>2764.9000000000005</v>
      </c>
      <c r="CF22" s="1">
        <f t="shared" si="124"/>
        <v>3437</v>
      </c>
      <c r="CG22" s="1">
        <f t="shared" si="124"/>
        <v>3951.4999999999995</v>
      </c>
      <c r="CH22" s="1">
        <f t="shared" si="124"/>
        <v>4776.8999999999996</v>
      </c>
      <c r="CI22" s="1">
        <f t="shared" si="124"/>
        <v>5760</v>
      </c>
      <c r="CJ22" s="1">
        <f t="shared" si="124"/>
        <v>7410</v>
      </c>
      <c r="CK22" s="1">
        <f t="shared" si="124"/>
        <v>9800</v>
      </c>
      <c r="CL22" s="1">
        <f t="shared" si="124"/>
        <v>11761</v>
      </c>
      <c r="CM22" s="1">
        <f t="shared" ref="CM22" si="125">SUM(CM20:CM21)</f>
        <v>14453</v>
      </c>
      <c r="CN22" s="1">
        <f t="shared" ref="CN22" si="126">SUM(CN20:CN21)</f>
        <v>16079</v>
      </c>
      <c r="CO22" s="1">
        <f t="shared" ref="CO22" si="127">SUM(CO20:CO21)</f>
        <v>15411</v>
      </c>
      <c r="CP22" s="1">
        <f t="shared" ref="CP22" si="128">SUM(CP20:CP21)</f>
        <v>16093</v>
      </c>
      <c r="CQ22" s="52">
        <f>SUM(CQ20:CQ21)</f>
        <v>17079.958912500002</v>
      </c>
      <c r="CR22" s="52">
        <f t="shared" ref="CR22:CX22" si="129">SUM(CR20:CR21)</f>
        <v>17961.031792499998</v>
      </c>
      <c r="CS22" s="52">
        <f t="shared" si="129"/>
        <v>19773.773435033905</v>
      </c>
      <c r="CT22" s="52">
        <f t="shared" si="129"/>
        <v>21411.795550022522</v>
      </c>
      <c r="CU22" s="52">
        <f t="shared" si="129"/>
        <v>22788.195583603134</v>
      </c>
      <c r="CV22" s="52">
        <f t="shared" si="129"/>
        <v>23822.492466853982</v>
      </c>
      <c r="CW22" s="52">
        <f t="shared" si="129"/>
        <v>24844.79199203707</v>
      </c>
      <c r="CX22" s="52">
        <f t="shared" si="129"/>
        <v>25673.594981419104</v>
      </c>
      <c r="CY22" s="52"/>
      <c r="CZ22" s="52"/>
      <c r="DA22" s="52"/>
      <c r="DB22" s="52"/>
      <c r="DC22" s="52"/>
      <c r="DD22" s="52"/>
      <c r="DE22" s="52"/>
      <c r="DF22" s="52"/>
      <c r="DG22" s="52"/>
      <c r="DH22" s="52"/>
      <c r="DI22" s="52"/>
      <c r="DJ22" s="52"/>
      <c r="DK22" s="52"/>
      <c r="DL22" s="52"/>
      <c r="DM22" s="52"/>
      <c r="DN22" s="52"/>
      <c r="DO22" s="52"/>
      <c r="DP22" s="52"/>
      <c r="DQ22" s="52"/>
      <c r="DR22" s="52"/>
      <c r="DS22" s="52"/>
      <c r="DT22" s="52"/>
      <c r="DU22" s="52"/>
      <c r="DV22" s="52"/>
      <c r="DW22" s="52"/>
      <c r="DX22" s="52"/>
      <c r="DY22" s="52"/>
      <c r="DZ22" s="52"/>
      <c r="EA22" s="52"/>
      <c r="EB22" s="52"/>
      <c r="EC22" s="52"/>
      <c r="ED22" s="52"/>
      <c r="EE22" s="52"/>
      <c r="EF22" s="52"/>
      <c r="EG22" s="52"/>
      <c r="EH22" s="52"/>
      <c r="EI22" s="52"/>
      <c r="EJ22" s="52"/>
      <c r="EK22" s="52"/>
      <c r="EL22" s="52"/>
      <c r="EM22" s="52"/>
      <c r="EN22" s="52"/>
      <c r="EO22" s="52"/>
      <c r="EP22" s="52"/>
      <c r="EQ22" s="52"/>
      <c r="ER22" s="52"/>
      <c r="ES22" s="52"/>
      <c r="ET22" s="52"/>
      <c r="EU22" s="52"/>
      <c r="EV22" s="52"/>
      <c r="EW22" s="52"/>
      <c r="EX22" s="52"/>
      <c r="EY22" s="52"/>
      <c r="EZ22" s="52"/>
      <c r="FA22" s="52"/>
      <c r="FB22" s="52"/>
      <c r="FC22" s="52"/>
      <c r="FD22" s="52"/>
    </row>
    <row r="23" spans="2:160">
      <c r="B23" s="1" t="s">
        <v>132</v>
      </c>
      <c r="C23" s="46">
        <v>0</v>
      </c>
      <c r="D23" s="46">
        <v>0</v>
      </c>
      <c r="E23" s="46">
        <v>0</v>
      </c>
      <c r="F23" s="46">
        <v>0</v>
      </c>
      <c r="G23" s="46">
        <v>0</v>
      </c>
      <c r="H23" s="46">
        <v>0</v>
      </c>
      <c r="I23" s="46">
        <v>0</v>
      </c>
      <c r="J23" s="46">
        <v>0</v>
      </c>
      <c r="K23" s="46">
        <v>0</v>
      </c>
      <c r="L23" s="46">
        <v>0</v>
      </c>
      <c r="M23" s="46">
        <v>0</v>
      </c>
      <c r="N23" s="46">
        <v>0</v>
      </c>
      <c r="O23" s="46">
        <v>0</v>
      </c>
      <c r="P23" s="46">
        <v>0</v>
      </c>
      <c r="Q23" s="46">
        <v>0</v>
      </c>
      <c r="R23" s="46">
        <v>0</v>
      </c>
      <c r="S23" s="46">
        <v>0</v>
      </c>
      <c r="T23" s="46">
        <v>0</v>
      </c>
      <c r="U23" s="46">
        <v>0</v>
      </c>
      <c r="V23" s="46">
        <v>0</v>
      </c>
      <c r="W23" s="46">
        <v>0</v>
      </c>
      <c r="X23" s="46">
        <v>0</v>
      </c>
      <c r="Y23" s="46">
        <v>0</v>
      </c>
      <c r="Z23" s="46">
        <v>0</v>
      </c>
      <c r="AA23" s="46">
        <v>0</v>
      </c>
      <c r="AB23" s="46">
        <v>0</v>
      </c>
      <c r="AC23" s="46">
        <v>0</v>
      </c>
      <c r="AD23" s="46">
        <v>0</v>
      </c>
      <c r="AE23" s="46">
        <v>0</v>
      </c>
      <c r="AF23" s="46">
        <v>0</v>
      </c>
      <c r="AG23" s="46">
        <v>0</v>
      </c>
      <c r="AH23" s="46">
        <v>0</v>
      </c>
      <c r="AI23" s="1">
        <v>0</v>
      </c>
      <c r="AJ23" s="1">
        <v>0</v>
      </c>
      <c r="AK23" s="1">
        <v>0</v>
      </c>
      <c r="AL23" s="1">
        <v>0</v>
      </c>
      <c r="AM23" s="1">
        <v>0</v>
      </c>
      <c r="AN23" s="1">
        <v>0</v>
      </c>
      <c r="AO23" s="1">
        <v>0</v>
      </c>
      <c r="AP23" s="1">
        <v>0</v>
      </c>
      <c r="AQ23" s="1">
        <v>0</v>
      </c>
      <c r="AR23" s="1">
        <v>0</v>
      </c>
      <c r="AS23" s="1">
        <v>0</v>
      </c>
      <c r="AT23" s="1">
        <v>0</v>
      </c>
      <c r="AU23" s="1">
        <v>0</v>
      </c>
      <c r="AV23" s="1">
        <v>0</v>
      </c>
      <c r="AW23" s="1">
        <v>0</v>
      </c>
      <c r="AX23" s="1">
        <v>0</v>
      </c>
      <c r="AY23" s="1">
        <v>0</v>
      </c>
      <c r="AZ23" s="1">
        <v>0</v>
      </c>
      <c r="BA23" s="1">
        <v>0</v>
      </c>
      <c r="BB23" s="1">
        <v>0</v>
      </c>
      <c r="BC23" s="1">
        <v>0</v>
      </c>
      <c r="BD23" s="1">
        <v>0</v>
      </c>
      <c r="BE23" s="1">
        <v>0</v>
      </c>
      <c r="BF23" s="1">
        <v>827</v>
      </c>
      <c r="BG23" s="1">
        <v>711</v>
      </c>
      <c r="BH23" s="1">
        <v>49</v>
      </c>
      <c r="BI23" s="1">
        <v>55</v>
      </c>
      <c r="BJ23" s="1">
        <f>988-SUM(BG23:BI23)</f>
        <v>173</v>
      </c>
      <c r="BK23" s="1">
        <v>8</v>
      </c>
      <c r="BL23" s="1">
        <v>99</v>
      </c>
      <c r="BM23" s="1">
        <v>56</v>
      </c>
      <c r="BN23" s="1">
        <f>461-SUM(BK23:BM23)</f>
        <v>298</v>
      </c>
      <c r="BO23" s="61">
        <v>36</v>
      </c>
      <c r="BP23" s="61">
        <v>4</v>
      </c>
      <c r="CA23" s="1">
        <v>0</v>
      </c>
      <c r="CB23" s="1">
        <v>0</v>
      </c>
      <c r="CC23" s="1">
        <v>0</v>
      </c>
      <c r="CD23" s="1">
        <v>0</v>
      </c>
      <c r="CE23" s="1">
        <v>0</v>
      </c>
      <c r="CF23" s="1">
        <v>0</v>
      </c>
      <c r="CG23" s="1">
        <v>0</v>
      </c>
      <c r="CH23" s="1">
        <v>0</v>
      </c>
      <c r="CI23" s="1">
        <v>0</v>
      </c>
      <c r="CJ23" s="1">
        <v>0</v>
      </c>
      <c r="CK23" s="1">
        <v>0</v>
      </c>
      <c r="CL23" s="1">
        <v>0</v>
      </c>
      <c r="CM23" s="1">
        <f>SUM(AY23:BB23)</f>
        <v>0</v>
      </c>
      <c r="CN23" s="1">
        <f>SUM(BC23:BF23)</f>
        <v>827</v>
      </c>
      <c r="CO23" s="1">
        <f>SUM(BG23:BJ23)</f>
        <v>988</v>
      </c>
      <c r="CP23" s="1">
        <f>SUM(BK23:BN23)</f>
        <v>461</v>
      </c>
      <c r="CQ23" s="50">
        <v>0</v>
      </c>
      <c r="CR23" s="50">
        <v>0</v>
      </c>
      <c r="CS23" s="50">
        <v>0</v>
      </c>
      <c r="CT23" s="50">
        <v>0</v>
      </c>
      <c r="CU23" s="50">
        <v>0</v>
      </c>
      <c r="CV23" s="50">
        <v>0</v>
      </c>
      <c r="CW23" s="50">
        <v>0</v>
      </c>
      <c r="CX23" s="50">
        <v>0</v>
      </c>
      <c r="CY23" s="52"/>
      <c r="CZ23" s="52"/>
      <c r="DA23" s="52"/>
      <c r="DB23" s="52"/>
      <c r="DC23" s="52"/>
      <c r="DD23" s="52"/>
      <c r="DE23" s="52"/>
      <c r="DF23" s="52"/>
      <c r="DG23" s="52"/>
      <c r="DH23" s="52"/>
      <c r="DI23" s="52"/>
      <c r="DJ23" s="52"/>
      <c r="DK23" s="52"/>
      <c r="DL23" s="52"/>
      <c r="DM23" s="52"/>
      <c r="DN23" s="52"/>
      <c r="DO23" s="52"/>
      <c r="DP23" s="52"/>
      <c r="DQ23" s="52"/>
      <c r="DR23" s="52"/>
      <c r="DS23" s="52"/>
      <c r="DT23" s="52"/>
      <c r="DU23" s="52"/>
      <c r="DV23" s="52"/>
      <c r="DW23" s="52"/>
      <c r="DX23" s="52"/>
      <c r="DY23" s="52"/>
      <c r="DZ23" s="52"/>
      <c r="EA23" s="52"/>
      <c r="EB23" s="52"/>
      <c r="EC23" s="52"/>
      <c r="ED23" s="52"/>
      <c r="EE23" s="52"/>
      <c r="EF23" s="52"/>
      <c r="EG23" s="52"/>
      <c r="EH23" s="52"/>
      <c r="EI23" s="52"/>
      <c r="EJ23" s="52"/>
      <c r="EK23" s="52"/>
      <c r="EL23" s="52"/>
      <c r="EM23" s="52"/>
      <c r="EN23" s="52"/>
      <c r="EO23" s="52"/>
      <c r="EP23" s="52"/>
      <c r="EQ23" s="52"/>
      <c r="ER23" s="52"/>
      <c r="ES23" s="52"/>
      <c r="ET23" s="52"/>
      <c r="EU23" s="52"/>
      <c r="EV23" s="52"/>
      <c r="EW23" s="52"/>
      <c r="EX23" s="52"/>
      <c r="EY23" s="52"/>
      <c r="EZ23" s="52"/>
      <c r="FA23" s="52"/>
      <c r="FB23" s="52"/>
      <c r="FC23" s="52"/>
      <c r="FD23" s="52"/>
    </row>
    <row r="24" spans="2:160">
      <c r="B24" s="1" t="s">
        <v>131</v>
      </c>
      <c r="C24" s="46">
        <f t="shared" ref="C24:AW24" si="130">C18-SUM(C19:C21)</f>
        <v>30.099999999999966</v>
      </c>
      <c r="D24" s="46">
        <f t="shared" si="130"/>
        <v>29.500000000000057</v>
      </c>
      <c r="E24" s="46">
        <f t="shared" si="130"/>
        <v>30.099999999999994</v>
      </c>
      <c r="F24" s="46">
        <f t="shared" si="130"/>
        <v>25.399999999999977</v>
      </c>
      <c r="G24" s="46">
        <f t="shared" si="130"/>
        <v>33.000000000000057</v>
      </c>
      <c r="H24" s="46">
        <f t="shared" si="130"/>
        <v>29.699999999999989</v>
      </c>
      <c r="I24" s="46">
        <f t="shared" si="130"/>
        <v>35.199999999999989</v>
      </c>
      <c r="J24" s="46">
        <f t="shared" si="130"/>
        <v>-0.30000000000001137</v>
      </c>
      <c r="K24" s="46">
        <f t="shared" si="130"/>
        <v>-2.8000000000000682</v>
      </c>
      <c r="L24" s="46">
        <f t="shared" si="130"/>
        <v>-15.699999999999932</v>
      </c>
      <c r="M24" s="46">
        <f t="shared" si="130"/>
        <v>-10.200000000000045</v>
      </c>
      <c r="N24" s="46">
        <f t="shared" si="130"/>
        <v>-6.2999999999999545</v>
      </c>
      <c r="O24" s="46">
        <f t="shared" si="130"/>
        <v>-22.300000000000068</v>
      </c>
      <c r="P24" s="46">
        <f t="shared" si="130"/>
        <v>-13.5</v>
      </c>
      <c r="Q24" s="46">
        <f t="shared" si="130"/>
        <v>-54.099999999999795</v>
      </c>
      <c r="R24" s="46">
        <f t="shared" si="130"/>
        <v>-28.800000000000068</v>
      </c>
      <c r="S24" s="46">
        <f t="shared" si="130"/>
        <v>-44.600000000000023</v>
      </c>
      <c r="T24" s="46">
        <f t="shared" si="130"/>
        <v>-39.799999999999955</v>
      </c>
      <c r="U24" s="46">
        <f t="shared" si="130"/>
        <v>-97.999999999999886</v>
      </c>
      <c r="V24" s="46">
        <f t="shared" si="130"/>
        <v>-103.79999999999995</v>
      </c>
      <c r="W24" s="46">
        <f t="shared" si="130"/>
        <v>-59.299999999999955</v>
      </c>
      <c r="X24" s="46">
        <f t="shared" si="130"/>
        <v>-33.400000000000091</v>
      </c>
      <c r="Y24" s="46">
        <f t="shared" si="130"/>
        <v>-22</v>
      </c>
      <c r="Z24" s="46">
        <f t="shared" si="130"/>
        <v>-31</v>
      </c>
      <c r="AA24" s="46">
        <f t="shared" si="130"/>
        <v>31.100000000000136</v>
      </c>
      <c r="AB24" s="46">
        <f t="shared" si="130"/>
        <v>19.800000000000182</v>
      </c>
      <c r="AC24" s="46">
        <f t="shared" si="130"/>
        <v>43.5</v>
      </c>
      <c r="AD24" s="46">
        <f t="shared" si="130"/>
        <v>20.5</v>
      </c>
      <c r="AE24" s="46">
        <f t="shared" si="130"/>
        <v>52</v>
      </c>
      <c r="AF24" s="46">
        <f t="shared" si="130"/>
        <v>32.5</v>
      </c>
      <c r="AG24" s="46">
        <f t="shared" si="130"/>
        <v>3.1000000000001364</v>
      </c>
      <c r="AH24" s="46">
        <f t="shared" si="130"/>
        <v>130.40000000000009</v>
      </c>
      <c r="AI24" s="46">
        <f t="shared" si="130"/>
        <v>4</v>
      </c>
      <c r="AJ24" s="46">
        <f t="shared" si="130"/>
        <v>84</v>
      </c>
      <c r="AK24" s="46">
        <f t="shared" si="130"/>
        <v>155</v>
      </c>
      <c r="AL24" s="46">
        <f t="shared" si="130"/>
        <v>211</v>
      </c>
      <c r="AM24" s="46">
        <f t="shared" si="130"/>
        <v>191</v>
      </c>
      <c r="AN24" s="46">
        <f t="shared" si="130"/>
        <v>115</v>
      </c>
      <c r="AO24" s="46">
        <f t="shared" si="130"/>
        <v>92</v>
      </c>
      <c r="AP24" s="46">
        <f t="shared" si="130"/>
        <v>137</v>
      </c>
      <c r="AQ24" s="46">
        <f t="shared" si="130"/>
        <v>210</v>
      </c>
      <c r="AR24" s="46">
        <f t="shared" si="130"/>
        <v>58</v>
      </c>
      <c r="AS24" s="46">
        <f t="shared" si="130"/>
        <v>65</v>
      </c>
      <c r="AT24" s="46">
        <f t="shared" si="130"/>
        <v>-36</v>
      </c>
      <c r="AU24" s="46">
        <f t="shared" si="130"/>
        <v>-140</v>
      </c>
      <c r="AV24" s="46">
        <f t="shared" si="130"/>
        <v>178</v>
      </c>
      <c r="AW24" s="46">
        <f t="shared" si="130"/>
        <v>224</v>
      </c>
      <c r="AX24" s="46">
        <f>AX18-SUM(AX19:AX21)</f>
        <v>193</v>
      </c>
      <c r="AY24" s="46">
        <f t="shared" ref="AY24:BM24" si="131">AY18-SUM(AY19:AY21)-AY23</f>
        <v>354</v>
      </c>
      <c r="AZ24" s="46">
        <f t="shared" si="131"/>
        <v>332</v>
      </c>
      <c r="BA24" s="46">
        <f t="shared" si="131"/>
        <v>38</v>
      </c>
      <c r="BB24" s="46">
        <f t="shared" si="131"/>
        <v>-176</v>
      </c>
      <c r="BC24" s="46">
        <f t="shared" si="131"/>
        <v>20</v>
      </c>
      <c r="BD24" s="46">
        <f t="shared" si="131"/>
        <v>193</v>
      </c>
      <c r="BE24" s="46">
        <f t="shared" si="131"/>
        <v>460</v>
      </c>
      <c r="BF24" s="46">
        <f t="shared" si="131"/>
        <v>357</v>
      </c>
      <c r="BG24" s="46">
        <f t="shared" si="131"/>
        <v>412</v>
      </c>
      <c r="BH24" s="46">
        <f t="shared" si="131"/>
        <v>1476</v>
      </c>
      <c r="BI24" s="46">
        <f t="shared" si="131"/>
        <v>1501</v>
      </c>
      <c r="BJ24" s="46">
        <f t="shared" si="131"/>
        <v>1622</v>
      </c>
      <c r="BK24" s="46">
        <f t="shared" si="131"/>
        <v>1709</v>
      </c>
      <c r="BL24" s="46">
        <f t="shared" si="131"/>
        <v>1783</v>
      </c>
      <c r="BM24" s="46">
        <f t="shared" si="131"/>
        <v>1893</v>
      </c>
      <c r="BN24" s="46">
        <f>BN18-SUM(BN19:BN21)-BN23</f>
        <v>1820</v>
      </c>
      <c r="BO24" s="46">
        <f>BO18-SUM(BO19:BO21)-BO23</f>
        <v>1942</v>
      </c>
      <c r="BP24" s="46">
        <f>BP18-SUM(BP19:BP21)-BP23</f>
        <v>2332</v>
      </c>
      <c r="CA24" s="46">
        <f t="shared" ref="CA24:CK24" si="132">CA18-SUM(CA19:CA21)-CA23</f>
        <v>115.10000000000002</v>
      </c>
      <c r="CB24" s="46">
        <f t="shared" si="132"/>
        <v>97.600000000000364</v>
      </c>
      <c r="CC24" s="46">
        <f t="shared" si="132"/>
        <v>-35.000000000000227</v>
      </c>
      <c r="CD24" s="46">
        <f t="shared" si="132"/>
        <v>-118.70000000000027</v>
      </c>
      <c r="CE24" s="46">
        <f t="shared" si="132"/>
        <v>-286.20000000000118</v>
      </c>
      <c r="CF24" s="46">
        <f t="shared" si="132"/>
        <v>-145.69999999999982</v>
      </c>
      <c r="CG24" s="46">
        <f t="shared" si="132"/>
        <v>114.89999999999964</v>
      </c>
      <c r="CH24" s="46">
        <f t="shared" si="132"/>
        <v>218</v>
      </c>
      <c r="CI24" s="46">
        <f t="shared" si="132"/>
        <v>454</v>
      </c>
      <c r="CJ24" s="46">
        <f t="shared" si="132"/>
        <v>535</v>
      </c>
      <c r="CK24" s="46">
        <f t="shared" si="132"/>
        <v>297</v>
      </c>
      <c r="CL24" s="46">
        <f>CL18-SUM(CL19:CL21)-CL23</f>
        <v>455</v>
      </c>
      <c r="CM24" s="1">
        <f>SUM(AY24:BB24)</f>
        <v>548</v>
      </c>
      <c r="CN24" s="1">
        <f>SUM(BC24:BF24)</f>
        <v>1030</v>
      </c>
      <c r="CO24" s="1">
        <f>SUM(BG24:BJ24)</f>
        <v>5011</v>
      </c>
      <c r="CP24" s="1">
        <f>SUM(BK24:BN24)</f>
        <v>7205</v>
      </c>
      <c r="CQ24" s="52">
        <f>CQ18-SUM(CQ19:CQ21)</f>
        <v>8746.1155687499995</v>
      </c>
      <c r="CR24" s="52">
        <f t="shared" ref="CR24:CX24" si="133">CR18-SUM(CR19:CR21)</f>
        <v>10860.675733378128</v>
      </c>
      <c r="CS24" s="52">
        <f t="shared" si="133"/>
        <v>13313.865146740776</v>
      </c>
      <c r="CT24" s="52">
        <f t="shared" si="133"/>
        <v>15665.088057622786</v>
      </c>
      <c r="CU24" s="52">
        <f t="shared" si="133"/>
        <v>17985.688656276368</v>
      </c>
      <c r="CV24" s="52">
        <f t="shared" si="133"/>
        <v>20012.634015301112</v>
      </c>
      <c r="CW24" s="52">
        <f t="shared" si="133"/>
        <v>21830.45783271535</v>
      </c>
      <c r="CX24" s="52">
        <f t="shared" si="133"/>
        <v>23373.582899024128</v>
      </c>
      <c r="CY24" s="52"/>
      <c r="CZ24" s="52"/>
      <c r="DA24" s="52"/>
      <c r="DB24" s="52"/>
      <c r="DC24" s="52"/>
      <c r="DD24" s="52"/>
      <c r="DE24" s="52"/>
      <c r="DF24" s="52"/>
      <c r="DG24" s="52"/>
      <c r="DH24" s="52"/>
      <c r="DI24" s="52"/>
      <c r="DJ24" s="52"/>
      <c r="DK24" s="52"/>
      <c r="DL24" s="52"/>
      <c r="DM24" s="52"/>
      <c r="DN24" s="52"/>
      <c r="DO24" s="52"/>
      <c r="DP24" s="52"/>
      <c r="DQ24" s="52"/>
      <c r="DR24" s="52"/>
      <c r="DS24" s="52"/>
      <c r="DT24" s="52"/>
      <c r="DU24" s="52"/>
      <c r="DV24" s="52"/>
      <c r="DW24" s="52"/>
      <c r="DX24" s="52"/>
      <c r="DY24" s="52"/>
      <c r="DZ24" s="52"/>
      <c r="EA24" s="52"/>
      <c r="EB24" s="52"/>
      <c r="EC24" s="52"/>
      <c r="ED24" s="52"/>
      <c r="EE24" s="52"/>
      <c r="EF24" s="52"/>
      <c r="EG24" s="52"/>
      <c r="EH24" s="52"/>
      <c r="EI24" s="52"/>
      <c r="EJ24" s="52"/>
      <c r="EK24" s="52"/>
      <c r="EL24" s="52"/>
      <c r="EM24" s="52"/>
      <c r="EN24" s="52"/>
      <c r="EO24" s="52"/>
      <c r="EP24" s="52"/>
      <c r="EQ24" s="52"/>
      <c r="ER24" s="52"/>
      <c r="ES24" s="52"/>
      <c r="ET24" s="52"/>
      <c r="EU24" s="52"/>
      <c r="EV24" s="52"/>
      <c r="EW24" s="52"/>
      <c r="EX24" s="52"/>
      <c r="EY24" s="52"/>
      <c r="EZ24" s="52"/>
      <c r="FA24" s="52"/>
      <c r="FB24" s="52"/>
      <c r="FC24" s="52"/>
      <c r="FD24" s="52"/>
    </row>
    <row r="25" spans="2:160">
      <c r="B25" s="1" t="s">
        <v>130</v>
      </c>
      <c r="C25" s="46">
        <v>0</v>
      </c>
      <c r="D25" s="46">
        <v>0</v>
      </c>
      <c r="E25" s="46">
        <v>0</v>
      </c>
      <c r="F25" s="46">
        <v>0</v>
      </c>
      <c r="G25" s="46">
        <v>0</v>
      </c>
      <c r="H25" s="46">
        <v>0</v>
      </c>
      <c r="I25" s="46">
        <v>0</v>
      </c>
      <c r="J25" s="46">
        <v>0</v>
      </c>
      <c r="K25" s="46">
        <v>0</v>
      </c>
      <c r="L25" s="46">
        <v>0</v>
      </c>
      <c r="M25" s="46">
        <v>0</v>
      </c>
      <c r="N25" s="46">
        <v>0</v>
      </c>
      <c r="O25" s="46">
        <v>0</v>
      </c>
      <c r="P25" s="46">
        <v>0</v>
      </c>
      <c r="Q25" s="46">
        <v>0</v>
      </c>
      <c r="R25" s="46">
        <v>0</v>
      </c>
      <c r="S25" s="46">
        <v>0</v>
      </c>
      <c r="T25" s="46">
        <v>0</v>
      </c>
      <c r="U25" s="46">
        <v>0</v>
      </c>
      <c r="V25" s="46">
        <v>0</v>
      </c>
      <c r="W25" s="46">
        <v>0</v>
      </c>
      <c r="X25" s="46">
        <v>0</v>
      </c>
      <c r="Y25" s="46">
        <v>0</v>
      </c>
      <c r="Z25" s="46">
        <v>0</v>
      </c>
      <c r="AA25" s="46">
        <v>0</v>
      </c>
      <c r="AB25" s="46">
        <v>0</v>
      </c>
      <c r="AC25" s="46">
        <v>0</v>
      </c>
      <c r="AD25" s="46">
        <v>0</v>
      </c>
      <c r="AE25" s="46">
        <v>0</v>
      </c>
      <c r="AF25" s="46">
        <v>0</v>
      </c>
      <c r="AG25" s="46">
        <v>0</v>
      </c>
      <c r="AH25" s="46">
        <v>0</v>
      </c>
      <c r="AI25" s="1">
        <v>0</v>
      </c>
      <c r="AJ25" s="1">
        <v>0</v>
      </c>
      <c r="AK25" s="1">
        <v>0</v>
      </c>
      <c r="AL25" s="1">
        <v>0</v>
      </c>
      <c r="AM25" s="1">
        <v>0</v>
      </c>
      <c r="AN25" s="1">
        <v>0</v>
      </c>
      <c r="AO25" s="1">
        <v>0</v>
      </c>
      <c r="AP25" s="1">
        <v>0</v>
      </c>
      <c r="AQ25" s="1">
        <v>0</v>
      </c>
      <c r="AR25" s="1">
        <v>0</v>
      </c>
      <c r="AS25" s="1">
        <v>0</v>
      </c>
      <c r="AT25" s="1">
        <v>0</v>
      </c>
      <c r="AU25" s="1">
        <v>0</v>
      </c>
      <c r="AV25" s="1">
        <v>0</v>
      </c>
      <c r="AW25" s="1">
        <v>0</v>
      </c>
      <c r="AX25" s="1">
        <v>0</v>
      </c>
      <c r="AY25" s="1">
        <v>288</v>
      </c>
      <c r="AZ25" s="1">
        <v>526</v>
      </c>
      <c r="BA25" s="1">
        <v>363</v>
      </c>
      <c r="BB25" s="1">
        <f>1211-SUM(AY25:BA25)</f>
        <v>34</v>
      </c>
      <c r="BC25" s="1">
        <v>7</v>
      </c>
      <c r="BD25" s="1">
        <v>45</v>
      </c>
      <c r="BE25" s="1">
        <v>23</v>
      </c>
      <c r="BF25" s="1">
        <f>-239-SUM(BC25:BE25)</f>
        <v>-314</v>
      </c>
      <c r="BG25" s="1">
        <v>-141</v>
      </c>
      <c r="BH25" s="1">
        <v>-29</v>
      </c>
      <c r="BI25" s="1">
        <v>-72</v>
      </c>
      <c r="BJ25" s="1">
        <f>-277-SUM(BG25:BI25)</f>
        <v>-35</v>
      </c>
      <c r="BK25" s="1">
        <v>37</v>
      </c>
      <c r="BL25" s="1">
        <v>-37</v>
      </c>
      <c r="BM25" s="1">
        <v>-217</v>
      </c>
      <c r="BN25" s="1">
        <f>-121-SUM(BK25:BM25)</f>
        <v>96</v>
      </c>
      <c r="BO25" s="61">
        <v>-63</v>
      </c>
      <c r="BP25" s="61">
        <v>6</v>
      </c>
      <c r="CA25" s="46">
        <f>SUM(C25:F25)</f>
        <v>0</v>
      </c>
      <c r="CB25" s="46">
        <f>SUM(G25:J25)</f>
        <v>0</v>
      </c>
      <c r="CC25" s="46">
        <f>SUM(K25:N25)</f>
        <v>0</v>
      </c>
      <c r="CD25" s="46">
        <f>SUM(O25:R25)</f>
        <v>0</v>
      </c>
      <c r="CE25" s="46">
        <f>SUM(S25:V25)</f>
        <v>0</v>
      </c>
      <c r="CF25" s="46">
        <f>SUM(W25:Z25)</f>
        <v>0</v>
      </c>
      <c r="CG25" s="46">
        <f>SUM(AA25:AD25)</f>
        <v>0</v>
      </c>
      <c r="CH25" s="46">
        <f>SUM(AE25:AH25)</f>
        <v>0</v>
      </c>
      <c r="CI25" s="46">
        <f>SUM(AI25:AL25)</f>
        <v>0</v>
      </c>
      <c r="CJ25" s="46">
        <f>SUM(AM25:AP25)</f>
        <v>0</v>
      </c>
      <c r="CK25" s="46">
        <f>SUM(AQ25:AT25)</f>
        <v>0</v>
      </c>
      <c r="CL25" s="46">
        <f>SUM(AU25:AX25)</f>
        <v>0</v>
      </c>
      <c r="CM25" s="1">
        <f>SUM(AY25:BB25)</f>
        <v>1211</v>
      </c>
      <c r="CN25" s="1">
        <f>SUM(BC25:BF25)</f>
        <v>-239</v>
      </c>
      <c r="CO25" s="1">
        <f>SUM(BG25:BJ25)</f>
        <v>-277</v>
      </c>
      <c r="CP25" s="1">
        <f>SUM(BK25:BN25)</f>
        <v>-121</v>
      </c>
      <c r="CQ25" s="50">
        <v>0</v>
      </c>
      <c r="CR25" s="50">
        <v>0</v>
      </c>
      <c r="CS25" s="50">
        <v>0</v>
      </c>
      <c r="CT25" s="50">
        <v>0</v>
      </c>
      <c r="CU25" s="50">
        <v>0</v>
      </c>
      <c r="CV25" s="50">
        <v>0</v>
      </c>
      <c r="CW25" s="50">
        <v>0</v>
      </c>
      <c r="CX25" s="50">
        <v>0</v>
      </c>
      <c r="CY25" s="52"/>
      <c r="CZ25" s="52"/>
      <c r="DA25" s="52"/>
      <c r="DB25" s="52"/>
      <c r="DC25" s="52"/>
      <c r="DD25" s="52"/>
      <c r="DE25" s="52"/>
      <c r="DF25" s="52"/>
      <c r="DG25" s="52"/>
      <c r="DH25" s="52"/>
      <c r="DI25" s="52"/>
      <c r="DJ25" s="52"/>
      <c r="DK25" s="52"/>
      <c r="DL25" s="52"/>
      <c r="DM25" s="52"/>
      <c r="DN25" s="52"/>
      <c r="DO25" s="52"/>
      <c r="DP25" s="52"/>
      <c r="DQ25" s="52"/>
      <c r="DR25" s="52"/>
      <c r="DS25" s="52"/>
      <c r="DT25" s="52"/>
      <c r="DU25" s="52"/>
      <c r="DV25" s="52"/>
      <c r="DW25" s="52"/>
      <c r="DX25" s="52"/>
      <c r="DY25" s="52"/>
      <c r="DZ25" s="52"/>
      <c r="EA25" s="52"/>
      <c r="EB25" s="52"/>
      <c r="EC25" s="52"/>
      <c r="ED25" s="52"/>
      <c r="EE25" s="52"/>
      <c r="EF25" s="52"/>
      <c r="EG25" s="52"/>
      <c r="EH25" s="52"/>
      <c r="EI25" s="52"/>
      <c r="EJ25" s="52"/>
      <c r="EK25" s="52"/>
      <c r="EL25" s="52"/>
      <c r="EM25" s="52"/>
      <c r="EN25" s="52"/>
      <c r="EO25" s="52"/>
      <c r="EP25" s="52"/>
      <c r="EQ25" s="52"/>
      <c r="ER25" s="52"/>
      <c r="ES25" s="52"/>
      <c r="ET25" s="52"/>
      <c r="EU25" s="52"/>
      <c r="EV25" s="52"/>
      <c r="EW25" s="52"/>
      <c r="EX25" s="52"/>
      <c r="EY25" s="52"/>
      <c r="EZ25" s="52"/>
      <c r="FA25" s="52"/>
      <c r="FB25" s="52"/>
      <c r="FC25" s="52"/>
      <c r="FD25" s="52"/>
    </row>
    <row r="26" spans="2:160">
      <c r="B26" s="1" t="s">
        <v>129</v>
      </c>
      <c r="C26" s="46">
        <v>4.7</v>
      </c>
      <c r="D26" s="46">
        <v>6.4</v>
      </c>
      <c r="E26" s="46">
        <v>6.9</v>
      </c>
      <c r="F26" s="46">
        <v>9.1999999999999993</v>
      </c>
      <c r="G26" s="46">
        <v>-1.2</v>
      </c>
      <c r="H26" s="46">
        <v>-0.2</v>
      </c>
      <c r="I26" s="46">
        <v>3.4</v>
      </c>
      <c r="J26" s="46">
        <v>4.8</v>
      </c>
      <c r="K26" s="46">
        <v>3.6</v>
      </c>
      <c r="L26" s="46">
        <v>-2</v>
      </c>
      <c r="M26" s="46">
        <v>1.3</v>
      </c>
      <c r="N26" s="46">
        <v>-1.2</v>
      </c>
      <c r="O26" s="46">
        <v>-2.6</v>
      </c>
      <c r="P26" s="46">
        <v>-0.6</v>
      </c>
      <c r="Q26" s="46">
        <v>-8.6999999999999993</v>
      </c>
      <c r="R26" s="46">
        <v>-5.2</v>
      </c>
      <c r="S26" s="46">
        <v>-9.4</v>
      </c>
      <c r="T26" s="46">
        <v>-16.899999999999999</v>
      </c>
      <c r="U26" s="46">
        <v>-26.1</v>
      </c>
      <c r="V26" s="46">
        <v>-19.399999999999999</v>
      </c>
      <c r="W26" s="46">
        <v>-29.4</v>
      </c>
      <c r="X26" s="46">
        <v>-19.5</v>
      </c>
      <c r="Y26" s="46">
        <v>0.2</v>
      </c>
      <c r="Z26" s="46">
        <v>-18.7</v>
      </c>
      <c r="AA26" s="46">
        <v>-13</v>
      </c>
      <c r="AB26" s="46">
        <v>-12.9</v>
      </c>
      <c r="AC26" s="46">
        <v>0</v>
      </c>
      <c r="AD26" s="46">
        <v>-24.7</v>
      </c>
      <c r="AE26" s="46">
        <v>-14.8</v>
      </c>
      <c r="AF26" s="46">
        <v>-8.3000000000000007</v>
      </c>
      <c r="AG26" s="46">
        <v>-15.6</v>
      </c>
      <c r="AH26" s="46">
        <v>-0.3</v>
      </c>
      <c r="AI26" s="1">
        <v>-14</v>
      </c>
      <c r="AJ26" s="1">
        <v>-21</v>
      </c>
      <c r="AK26" s="1">
        <v>-9</v>
      </c>
      <c r="AL26" s="1">
        <v>10</v>
      </c>
      <c r="AM26" s="1">
        <v>194</v>
      </c>
      <c r="AN26" s="1">
        <v>116</v>
      </c>
      <c r="AO26" s="1">
        <v>36</v>
      </c>
      <c r="AP26" s="1">
        <v>102</v>
      </c>
      <c r="AQ26" s="1">
        <v>272</v>
      </c>
      <c r="AR26" s="1">
        <v>106</v>
      </c>
      <c r="AS26" s="1">
        <v>-1</v>
      </c>
      <c r="AT26" s="1">
        <v>32</v>
      </c>
      <c r="AU26" s="1">
        <v>187</v>
      </c>
      <c r="AV26" s="1">
        <v>661</v>
      </c>
      <c r="AW26" s="1">
        <v>1026</v>
      </c>
      <c r="AX26" s="1">
        <v>232</v>
      </c>
      <c r="AY26" s="1">
        <v>-38</v>
      </c>
      <c r="AZ26" s="1">
        <v>-32</v>
      </c>
      <c r="BA26" s="1">
        <v>-102</v>
      </c>
      <c r="BB26" s="1">
        <f>-227-SUM(AY26:BA26)</f>
        <v>-55</v>
      </c>
      <c r="BC26" s="1">
        <v>-56</v>
      </c>
      <c r="BD26" s="1">
        <v>-57</v>
      </c>
      <c r="BE26" s="1">
        <v>-8</v>
      </c>
      <c r="BF26" s="1">
        <f>-131-SUM(BC26:BE26)</f>
        <v>-10</v>
      </c>
      <c r="BG26" s="1">
        <v>55</v>
      </c>
      <c r="BH26" s="1">
        <v>45</v>
      </c>
      <c r="BI26" s="1">
        <v>58</v>
      </c>
      <c r="BJ26" s="1">
        <f>216-SUM(BG26:BI26)</f>
        <v>58</v>
      </c>
      <c r="BK26" s="1">
        <v>121</v>
      </c>
      <c r="BL26" s="1">
        <v>91</v>
      </c>
      <c r="BM26" s="1">
        <v>70</v>
      </c>
      <c r="BN26" s="1">
        <f>354-SUM(BK26:BM26)</f>
        <v>72</v>
      </c>
      <c r="BO26" s="61">
        <v>95</v>
      </c>
      <c r="BP26" s="61">
        <v>68</v>
      </c>
      <c r="CA26" s="46">
        <f>SUM(C26:F26)</f>
        <v>27.2</v>
      </c>
      <c r="CB26" s="46">
        <f>SUM(G26:J26)</f>
        <v>6.8</v>
      </c>
      <c r="CC26" s="46">
        <f>SUM(K26:N26)</f>
        <v>1.7000000000000004</v>
      </c>
      <c r="CD26" s="46">
        <f>SUM(O26:R26)</f>
        <v>-17.099999999999998</v>
      </c>
      <c r="CE26" s="46">
        <f>SUM(S26:V26)</f>
        <v>-71.8</v>
      </c>
      <c r="CF26" s="46">
        <f>SUM(W26:Z26)</f>
        <v>-67.399999999999991</v>
      </c>
      <c r="CG26" s="46">
        <f>SUM(AA26:AD26)</f>
        <v>-50.599999999999994</v>
      </c>
      <c r="CH26" s="46">
        <f>SUM(AE26:AH26)</f>
        <v>-39</v>
      </c>
      <c r="CI26" s="46">
        <f>SUM(AI26:AL26)</f>
        <v>-34</v>
      </c>
      <c r="CJ26" s="46">
        <f>SUM(AM26:AP26)</f>
        <v>448</v>
      </c>
      <c r="CK26" s="46">
        <f>SUM(AQ26:AT26)</f>
        <v>409</v>
      </c>
      <c r="CL26" s="46">
        <f>SUM(AU26:AX26)</f>
        <v>2106</v>
      </c>
      <c r="CM26" s="1">
        <f>SUM(AY26:BB26)</f>
        <v>-227</v>
      </c>
      <c r="CN26" s="1">
        <f>SUM(BC26:BF26)</f>
        <v>-131</v>
      </c>
      <c r="CO26" s="1">
        <f>SUM(BG26:BJ26)</f>
        <v>216</v>
      </c>
      <c r="CP26" s="1">
        <f>SUM(BK26:BN26)</f>
        <v>354</v>
      </c>
      <c r="CQ26" s="52">
        <f t="shared" ref="CQ26:CX26" si="134">CP44*($CZ$46)</f>
        <v>2586.375</v>
      </c>
      <c r="CR26" s="52">
        <f t="shared" si="134"/>
        <v>3283.323169978125</v>
      </c>
      <c r="CS26" s="52">
        <f t="shared" si="134"/>
        <v>4121.3551050019823</v>
      </c>
      <c r="CT26" s="52">
        <f t="shared" si="134"/>
        <v>5141.3154897289342</v>
      </c>
      <c r="CU26" s="52">
        <f t="shared" si="134"/>
        <v>6358.4900972490095</v>
      </c>
      <c r="CV26" s="52">
        <f t="shared" si="134"/>
        <v>7782.6245543302439</v>
      </c>
      <c r="CW26" s="52">
        <f t="shared" si="134"/>
        <v>9408.6471806536774</v>
      </c>
      <c r="CX26" s="52">
        <f t="shared" si="134"/>
        <v>11236.134823935767</v>
      </c>
      <c r="CY26" s="52"/>
      <c r="CZ26" s="52"/>
      <c r="DA26" s="52"/>
      <c r="DB26" s="52"/>
      <c r="DC26" s="52"/>
      <c r="DD26" s="52"/>
      <c r="DE26" s="52"/>
      <c r="DF26" s="52"/>
      <c r="DG26" s="52"/>
      <c r="DH26" s="52"/>
      <c r="DI26" s="52"/>
      <c r="DJ26" s="52"/>
      <c r="DK26" s="52"/>
      <c r="DL26" s="52"/>
      <c r="DM26" s="52"/>
      <c r="DN26" s="52"/>
      <c r="DO26" s="52"/>
      <c r="DP26" s="52"/>
      <c r="DQ26" s="52"/>
      <c r="DR26" s="52"/>
      <c r="DS26" s="52"/>
      <c r="DT26" s="52"/>
      <c r="DU26" s="52"/>
      <c r="DV26" s="52"/>
      <c r="DW26" s="52"/>
      <c r="DX26" s="52"/>
      <c r="DY26" s="52"/>
      <c r="DZ26" s="52"/>
      <c r="EA26" s="52"/>
      <c r="EB26" s="52"/>
      <c r="EC26" s="52"/>
      <c r="ED26" s="52"/>
      <c r="EE26" s="52"/>
      <c r="EF26" s="52"/>
      <c r="EG26" s="52"/>
      <c r="EH26" s="52"/>
      <c r="EI26" s="52"/>
      <c r="EJ26" s="52"/>
      <c r="EK26" s="52"/>
      <c r="EL26" s="52"/>
      <c r="EM26" s="52"/>
      <c r="EN26" s="52"/>
      <c r="EO26" s="52"/>
      <c r="EP26" s="52"/>
      <c r="EQ26" s="52"/>
      <c r="ER26" s="52"/>
      <c r="ES26" s="52"/>
      <c r="ET26" s="52"/>
      <c r="EU26" s="52"/>
      <c r="EV26" s="52"/>
      <c r="EW26" s="52"/>
      <c r="EX26" s="52"/>
      <c r="EY26" s="52"/>
      <c r="EZ26" s="52"/>
      <c r="FA26" s="52"/>
      <c r="FB26" s="52"/>
      <c r="FC26" s="52"/>
      <c r="FD26" s="52"/>
    </row>
    <row r="27" spans="2:160">
      <c r="B27" s="1" t="s">
        <v>128</v>
      </c>
      <c r="C27" s="46">
        <f t="shared" ref="C27:AX27" si="135">C24+SUM(C25:C26)</f>
        <v>34.799999999999969</v>
      </c>
      <c r="D27" s="46">
        <f t="shared" si="135"/>
        <v>35.900000000000055</v>
      </c>
      <c r="E27" s="46">
        <f t="shared" si="135"/>
        <v>36.999999999999993</v>
      </c>
      <c r="F27" s="46">
        <f t="shared" si="135"/>
        <v>34.59999999999998</v>
      </c>
      <c r="G27" s="46">
        <f t="shared" si="135"/>
        <v>31.800000000000058</v>
      </c>
      <c r="H27" s="46">
        <f t="shared" si="135"/>
        <v>29.499999999999989</v>
      </c>
      <c r="I27" s="46">
        <f t="shared" si="135"/>
        <v>38.599999999999987</v>
      </c>
      <c r="J27" s="46">
        <f t="shared" si="135"/>
        <v>4.4999999999999885</v>
      </c>
      <c r="K27" s="46">
        <f t="shared" si="135"/>
        <v>0.79999999999993188</v>
      </c>
      <c r="L27" s="46">
        <f t="shared" si="135"/>
        <v>-17.699999999999932</v>
      </c>
      <c r="M27" s="46">
        <f t="shared" si="135"/>
        <v>-8.9000000000000448</v>
      </c>
      <c r="N27" s="46">
        <f t="shared" si="135"/>
        <v>-7.4999999999999547</v>
      </c>
      <c r="O27" s="46">
        <f t="shared" si="135"/>
        <v>-24.90000000000007</v>
      </c>
      <c r="P27" s="46">
        <f t="shared" si="135"/>
        <v>-14.1</v>
      </c>
      <c r="Q27" s="46">
        <f t="shared" si="135"/>
        <v>-62.799999999999798</v>
      </c>
      <c r="R27" s="46">
        <f t="shared" si="135"/>
        <v>-34.000000000000071</v>
      </c>
      <c r="S27" s="46">
        <f t="shared" si="135"/>
        <v>-54.000000000000021</v>
      </c>
      <c r="T27" s="46">
        <f t="shared" si="135"/>
        <v>-56.699999999999953</v>
      </c>
      <c r="U27" s="46">
        <f t="shared" si="135"/>
        <v>-124.09999999999988</v>
      </c>
      <c r="V27" s="46">
        <f t="shared" si="135"/>
        <v>-123.19999999999996</v>
      </c>
      <c r="W27" s="46">
        <f t="shared" si="135"/>
        <v>-88.69999999999996</v>
      </c>
      <c r="X27" s="46">
        <f t="shared" si="135"/>
        <v>-52.900000000000091</v>
      </c>
      <c r="Y27" s="46">
        <f t="shared" si="135"/>
        <v>-21.8</v>
      </c>
      <c r="Z27" s="46">
        <f t="shared" si="135"/>
        <v>-49.7</v>
      </c>
      <c r="AA27" s="46">
        <f t="shared" si="135"/>
        <v>18.100000000000136</v>
      </c>
      <c r="AB27" s="46">
        <f t="shared" si="135"/>
        <v>6.9000000000001815</v>
      </c>
      <c r="AC27" s="46">
        <f t="shared" si="135"/>
        <v>43.5</v>
      </c>
      <c r="AD27" s="46">
        <f t="shared" si="135"/>
        <v>-4.1999999999999993</v>
      </c>
      <c r="AE27" s="46">
        <f t="shared" si="135"/>
        <v>37.200000000000003</v>
      </c>
      <c r="AF27" s="46">
        <f t="shared" si="135"/>
        <v>24.2</v>
      </c>
      <c r="AG27" s="46">
        <f t="shared" si="135"/>
        <v>-12.499999999999863</v>
      </c>
      <c r="AH27" s="46">
        <f t="shared" si="135"/>
        <v>130.10000000000008</v>
      </c>
      <c r="AI27" s="46">
        <f t="shared" si="135"/>
        <v>-10</v>
      </c>
      <c r="AJ27" s="46">
        <f t="shared" si="135"/>
        <v>63</v>
      </c>
      <c r="AK27" s="46">
        <f t="shared" si="135"/>
        <v>146</v>
      </c>
      <c r="AL27" s="46">
        <f t="shared" si="135"/>
        <v>221</v>
      </c>
      <c r="AM27" s="46">
        <f t="shared" si="135"/>
        <v>385</v>
      </c>
      <c r="AN27" s="46">
        <f t="shared" si="135"/>
        <v>231</v>
      </c>
      <c r="AO27" s="46">
        <f t="shared" si="135"/>
        <v>128</v>
      </c>
      <c r="AP27" s="46">
        <f t="shared" si="135"/>
        <v>239</v>
      </c>
      <c r="AQ27" s="46">
        <f t="shared" si="135"/>
        <v>482</v>
      </c>
      <c r="AR27" s="46">
        <f t="shared" si="135"/>
        <v>164</v>
      </c>
      <c r="AS27" s="46">
        <f t="shared" si="135"/>
        <v>64</v>
      </c>
      <c r="AT27" s="46">
        <f t="shared" si="135"/>
        <v>-4</v>
      </c>
      <c r="AU27" s="46">
        <f t="shared" si="135"/>
        <v>47</v>
      </c>
      <c r="AV27" s="46">
        <f t="shared" si="135"/>
        <v>839</v>
      </c>
      <c r="AW27" s="46">
        <f t="shared" si="135"/>
        <v>1250</v>
      </c>
      <c r="AX27" s="46">
        <f t="shared" si="135"/>
        <v>425</v>
      </c>
      <c r="AY27" s="46">
        <f>AY24+SUM(AY25:AY26)</f>
        <v>604</v>
      </c>
      <c r="AZ27" s="1">
        <f t="shared" ref="AZ27:BO27" si="136">AZ24+SUM(AZ25:AZ26)</f>
        <v>826</v>
      </c>
      <c r="BA27" s="1">
        <f t="shared" si="136"/>
        <v>299</v>
      </c>
      <c r="BB27" s="1">
        <f t="shared" si="136"/>
        <v>-197</v>
      </c>
      <c r="BC27" s="1">
        <f t="shared" si="136"/>
        <v>-29</v>
      </c>
      <c r="BD27" s="1">
        <f t="shared" si="136"/>
        <v>181</v>
      </c>
      <c r="BE27" s="1">
        <f t="shared" si="136"/>
        <v>475</v>
      </c>
      <c r="BF27" s="1">
        <f t="shared" si="136"/>
        <v>33</v>
      </c>
      <c r="BG27" s="1">
        <f t="shared" si="136"/>
        <v>326</v>
      </c>
      <c r="BH27" s="1">
        <f t="shared" si="136"/>
        <v>1492</v>
      </c>
      <c r="BI27" s="1">
        <f t="shared" si="136"/>
        <v>1487</v>
      </c>
      <c r="BJ27" s="1">
        <f t="shared" si="136"/>
        <v>1645</v>
      </c>
      <c r="BK27" s="1">
        <f t="shared" si="136"/>
        <v>1867</v>
      </c>
      <c r="BL27" s="1">
        <f t="shared" si="136"/>
        <v>1837</v>
      </c>
      <c r="BM27" s="1">
        <f t="shared" si="136"/>
        <v>1746</v>
      </c>
      <c r="BN27" s="1">
        <f t="shared" si="136"/>
        <v>1988</v>
      </c>
      <c r="BO27" s="1">
        <f t="shared" si="136"/>
        <v>1974</v>
      </c>
      <c r="BP27" s="1">
        <f t="shared" ref="BP27" si="137">BP24+SUM(BP25:BP26)</f>
        <v>2406</v>
      </c>
      <c r="CA27" s="46">
        <f>CA24+SUM(CA25:CA26)</f>
        <v>142.30000000000001</v>
      </c>
      <c r="CB27" s="46">
        <f t="shared" ref="CB27:CQ27" si="138">CB24+SUM(CB25:CB26)</f>
        <v>104.40000000000036</v>
      </c>
      <c r="CC27" s="46">
        <f t="shared" si="138"/>
        <v>-33.300000000000225</v>
      </c>
      <c r="CD27" s="46">
        <f t="shared" si="138"/>
        <v>-135.80000000000027</v>
      </c>
      <c r="CE27" s="46">
        <f t="shared" si="138"/>
        <v>-358.00000000000119</v>
      </c>
      <c r="CF27" s="46">
        <f t="shared" si="138"/>
        <v>-213.0999999999998</v>
      </c>
      <c r="CG27" s="46">
        <f t="shared" si="138"/>
        <v>64.299999999999642</v>
      </c>
      <c r="CH27" s="46">
        <f t="shared" si="138"/>
        <v>179</v>
      </c>
      <c r="CI27" s="46">
        <f t="shared" si="138"/>
        <v>420</v>
      </c>
      <c r="CJ27" s="46">
        <f t="shared" si="138"/>
        <v>983</v>
      </c>
      <c r="CK27" s="46">
        <f t="shared" si="138"/>
        <v>706</v>
      </c>
      <c r="CL27" s="46">
        <f t="shared" si="138"/>
        <v>2561</v>
      </c>
      <c r="CM27" s="46">
        <f t="shared" si="138"/>
        <v>1532</v>
      </c>
      <c r="CN27" s="46">
        <f t="shared" si="138"/>
        <v>660</v>
      </c>
      <c r="CO27" s="46">
        <f t="shared" si="138"/>
        <v>4950</v>
      </c>
      <c r="CP27" s="46">
        <f t="shared" si="138"/>
        <v>7438</v>
      </c>
      <c r="CQ27" s="52">
        <f t="shared" si="138"/>
        <v>11332.49056875</v>
      </c>
      <c r="CR27" s="52">
        <f t="shared" ref="CR27" si="139">CR24+SUM(CR25:CR26)</f>
        <v>14143.998903356252</v>
      </c>
      <c r="CS27" s="52">
        <f t="shared" ref="CS27" si="140">CS24+SUM(CS25:CS26)</f>
        <v>17435.220251742758</v>
      </c>
      <c r="CT27" s="52">
        <f t="shared" ref="CT27" si="141">CT24+SUM(CT25:CT26)</f>
        <v>20806.403547351721</v>
      </c>
      <c r="CU27" s="52">
        <f t="shared" ref="CU27" si="142">CU24+SUM(CU25:CU26)</f>
        <v>24344.178753525379</v>
      </c>
      <c r="CV27" s="52">
        <f t="shared" ref="CV27" si="143">CV24+SUM(CV25:CV26)</f>
        <v>27795.258569631354</v>
      </c>
      <c r="CW27" s="52">
        <f t="shared" ref="CW27" si="144">CW24+SUM(CW25:CW26)</f>
        <v>31239.10501336903</v>
      </c>
      <c r="CX27" s="52">
        <f t="shared" ref="CX27" si="145">CX24+SUM(CX25:CX26)</f>
        <v>34609.717722959896</v>
      </c>
      <c r="CY27" s="52"/>
      <c r="CZ27" s="52"/>
      <c r="DA27" s="52"/>
      <c r="DB27" s="52"/>
      <c r="DC27" s="52"/>
      <c r="DD27" s="52"/>
      <c r="DE27" s="52"/>
      <c r="DF27" s="52"/>
      <c r="DG27" s="52"/>
      <c r="DH27" s="52"/>
      <c r="DI27" s="52"/>
      <c r="DJ27" s="52"/>
      <c r="DK27" s="52"/>
      <c r="DL27" s="52"/>
      <c r="DM27" s="52"/>
      <c r="DN27" s="52"/>
      <c r="DO27" s="52"/>
      <c r="DP27" s="52"/>
      <c r="DQ27" s="52"/>
      <c r="DR27" s="52"/>
      <c r="DS27" s="52"/>
      <c r="DT27" s="52"/>
      <c r="DU27" s="52"/>
      <c r="DV27" s="52"/>
      <c r="DW27" s="52"/>
      <c r="DX27" s="52"/>
      <c r="DY27" s="52"/>
      <c r="DZ27" s="52"/>
      <c r="EA27" s="52"/>
      <c r="EB27" s="52"/>
      <c r="EC27" s="52"/>
      <c r="ED27" s="52"/>
      <c r="EE27" s="52"/>
      <c r="EF27" s="52"/>
      <c r="EG27" s="52"/>
      <c r="EH27" s="52"/>
      <c r="EI27" s="52"/>
      <c r="EJ27" s="52"/>
      <c r="EK27" s="52"/>
      <c r="EL27" s="52"/>
      <c r="EM27" s="52"/>
      <c r="EN27" s="52"/>
      <c r="EO27" s="52"/>
      <c r="EP27" s="52"/>
      <c r="EQ27" s="52"/>
      <c r="ER27" s="52"/>
      <c r="ES27" s="52"/>
      <c r="ET27" s="52"/>
      <c r="EU27" s="52"/>
      <c r="EV27" s="52"/>
      <c r="EW27" s="52"/>
      <c r="EX27" s="52"/>
      <c r="EY27" s="52"/>
      <c r="EZ27" s="52"/>
      <c r="FA27" s="52"/>
      <c r="FB27" s="52"/>
      <c r="FC27" s="52"/>
      <c r="FD27" s="52"/>
    </row>
    <row r="28" spans="2:160">
      <c r="B28" s="1" t="s">
        <v>127</v>
      </c>
      <c r="C28" s="46">
        <v>15.8</v>
      </c>
      <c r="D28" s="46">
        <v>14</v>
      </c>
      <c r="E28" s="46">
        <v>15.6</v>
      </c>
      <c r="F28" s="46">
        <v>12.3</v>
      </c>
      <c r="G28" s="46">
        <v>12</v>
      </c>
      <c r="H28" s="46">
        <v>12.9</v>
      </c>
      <c r="I28" s="46">
        <v>16.2</v>
      </c>
      <c r="J28" s="46">
        <v>-6.5</v>
      </c>
      <c r="K28" s="46">
        <v>0.3</v>
      </c>
      <c r="L28" s="46">
        <v>-13.4</v>
      </c>
      <c r="M28" s="46">
        <v>-5.0999999999999996</v>
      </c>
      <c r="N28" s="46">
        <v>-3.5</v>
      </c>
      <c r="O28" s="46">
        <v>-5.4</v>
      </c>
      <c r="P28" s="46">
        <v>-4.2</v>
      </c>
      <c r="Q28" s="46">
        <v>157.4</v>
      </c>
      <c r="R28" s="46">
        <v>-5.2</v>
      </c>
      <c r="S28" s="46">
        <v>13.8</v>
      </c>
      <c r="T28" s="46">
        <v>-133.4</v>
      </c>
      <c r="U28" s="46">
        <v>0.4</v>
      </c>
      <c r="V28" s="46">
        <v>-6.5</v>
      </c>
      <c r="W28" s="46">
        <v>12.1</v>
      </c>
      <c r="X28" s="46">
        <v>8.1</v>
      </c>
      <c r="Y28" s="46">
        <v>17.100000000000001</v>
      </c>
      <c r="Z28" s="46">
        <v>12.3</v>
      </c>
      <c r="AA28" s="46">
        <v>14</v>
      </c>
      <c r="AB28" s="46">
        <v>7.8</v>
      </c>
      <c r="AC28" s="46">
        <v>68.5</v>
      </c>
      <c r="AD28" s="46">
        <v>21.4</v>
      </c>
      <c r="AE28" s="46">
        <v>-1.6</v>
      </c>
      <c r="AF28" s="46">
        <v>-205.3</v>
      </c>
      <c r="AG28" s="46">
        <v>24.7</v>
      </c>
      <c r="AH28" s="46">
        <v>38.200000000000003</v>
      </c>
      <c r="AI28" s="1">
        <v>-11</v>
      </c>
      <c r="AJ28" s="1">
        <v>17</v>
      </c>
      <c r="AK28" s="1">
        <v>39</v>
      </c>
      <c r="AL28" s="1">
        <v>15</v>
      </c>
      <c r="AM28" s="1">
        <v>41</v>
      </c>
      <c r="AN28" s="1">
        <v>-68</v>
      </c>
      <c r="AO28" s="1">
        <v>23</v>
      </c>
      <c r="AP28" s="1">
        <v>-123</v>
      </c>
      <c r="AQ28" s="1">
        <v>90</v>
      </c>
      <c r="AR28" s="1">
        <v>73</v>
      </c>
      <c r="AS28" s="1">
        <v>173</v>
      </c>
      <c r="AT28" s="1">
        <v>244</v>
      </c>
      <c r="AU28" s="1">
        <v>-52</v>
      </c>
      <c r="AV28" s="1">
        <v>-1786</v>
      </c>
      <c r="AW28" s="1">
        <v>169</v>
      </c>
      <c r="AX28" s="1">
        <v>158</v>
      </c>
      <c r="AY28" s="1">
        <v>135</v>
      </c>
      <c r="AZ28" s="1">
        <v>291</v>
      </c>
      <c r="BA28" s="1">
        <v>-169</v>
      </c>
      <c r="BB28" s="1">
        <v>-169</v>
      </c>
      <c r="BC28" s="1">
        <v>-57</v>
      </c>
      <c r="BD28" s="1">
        <v>113</v>
      </c>
      <c r="BE28" s="1">
        <v>265</v>
      </c>
      <c r="BF28" s="1">
        <v>131</v>
      </c>
      <c r="BG28" s="1">
        <v>127</v>
      </c>
      <c r="BH28" s="1">
        <v>225</v>
      </c>
      <c r="BI28" s="1">
        <v>263</v>
      </c>
      <c r="BJ28" s="1">
        <v>199</v>
      </c>
      <c r="BK28" s="1">
        <v>334</v>
      </c>
      <c r="BL28" s="1">
        <v>408</v>
      </c>
      <c r="BM28" s="1">
        <v>219</v>
      </c>
      <c r="BN28" s="1">
        <v>280</v>
      </c>
      <c r="BO28" s="61">
        <v>433</v>
      </c>
      <c r="BP28" s="61">
        <v>519</v>
      </c>
      <c r="CA28" s="46">
        <f>SUM(C28:F28)</f>
        <v>57.7</v>
      </c>
      <c r="CB28" s="46">
        <f>SUM(G28:J28)</f>
        <v>34.599999999999994</v>
      </c>
      <c r="CC28" s="46">
        <f>SUM(K28:N28)</f>
        <v>-21.7</v>
      </c>
      <c r="CD28" s="46">
        <f>SUM(O28:R28)</f>
        <v>142.60000000000002</v>
      </c>
      <c r="CE28" s="46">
        <f>SUM(S28:V28)</f>
        <v>-125.7</v>
      </c>
      <c r="CF28" s="46">
        <f>SUM(W28:Z28)</f>
        <v>49.599999999999994</v>
      </c>
      <c r="CG28" s="46">
        <f>SUM(AA28:AD28)</f>
        <v>111.69999999999999</v>
      </c>
      <c r="CH28" s="46">
        <f>SUM(AE28:AH28)</f>
        <v>-144</v>
      </c>
      <c r="CI28" s="46">
        <f>SUM(AI28:AL28)</f>
        <v>60</v>
      </c>
      <c r="CJ28" s="46">
        <f>SUM(AM28:AP28)</f>
        <v>-127</v>
      </c>
      <c r="CK28" s="46">
        <f>SUM(AQ28:AT28)</f>
        <v>580</v>
      </c>
      <c r="CL28" s="46">
        <f>SUM(AU28:AX28)</f>
        <v>-1511</v>
      </c>
      <c r="CM28" s="1">
        <v>88</v>
      </c>
      <c r="CN28" s="1">
        <v>452</v>
      </c>
      <c r="CO28" s="1">
        <v>814</v>
      </c>
      <c r="CP28" s="1">
        <v>1241</v>
      </c>
      <c r="CQ28" s="52">
        <f>CQ27*CQ41</f>
        <v>2039.8483023749998</v>
      </c>
      <c r="CR28" s="52">
        <f t="shared" ref="CR28:CX28" si="146">CR27*CR41</f>
        <v>2970.2397697048127</v>
      </c>
      <c r="CS28" s="52">
        <f t="shared" si="146"/>
        <v>3835.7484553834065</v>
      </c>
      <c r="CT28" s="52">
        <f t="shared" si="146"/>
        <v>4577.4087804173787</v>
      </c>
      <c r="CU28" s="52">
        <f t="shared" si="146"/>
        <v>5355.7193257755835</v>
      </c>
      <c r="CV28" s="52">
        <f t="shared" si="146"/>
        <v>6114.9568853188985</v>
      </c>
      <c r="CW28" s="52">
        <f t="shared" si="146"/>
        <v>6872.603102941187</v>
      </c>
      <c r="CX28" s="52">
        <f t="shared" si="146"/>
        <v>7614.1378990511776</v>
      </c>
      <c r="CY28" s="52"/>
      <c r="CZ28" s="52"/>
      <c r="DA28" s="52"/>
      <c r="DB28" s="52"/>
      <c r="DC28" s="52"/>
      <c r="DD28" s="52"/>
      <c r="DE28" s="52"/>
      <c r="DF28" s="52"/>
      <c r="DG28" s="52"/>
      <c r="DH28" s="52"/>
      <c r="DI28" s="52"/>
      <c r="DJ28" s="52"/>
      <c r="DK28" s="52"/>
      <c r="DL28" s="52"/>
      <c r="DM28" s="52"/>
      <c r="DN28" s="52"/>
      <c r="DO28" s="52"/>
      <c r="DP28" s="52"/>
      <c r="DQ28" s="52"/>
      <c r="DR28" s="52"/>
      <c r="DS28" s="52"/>
      <c r="DT28" s="52"/>
      <c r="DU28" s="52"/>
      <c r="DV28" s="52"/>
      <c r="DW28" s="52"/>
      <c r="DX28" s="52"/>
      <c r="DY28" s="52"/>
      <c r="DZ28" s="52"/>
      <c r="EA28" s="52"/>
      <c r="EB28" s="52"/>
      <c r="EC28" s="52"/>
      <c r="ED28" s="52"/>
      <c r="EE28" s="52"/>
      <c r="EF28" s="52"/>
      <c r="EG28" s="52"/>
      <c r="EH28" s="52"/>
      <c r="EI28" s="52"/>
      <c r="EJ28" s="52"/>
      <c r="EK28" s="52"/>
      <c r="EL28" s="52"/>
      <c r="EM28" s="52"/>
      <c r="EN28" s="52"/>
      <c r="EO28" s="52"/>
      <c r="EP28" s="52"/>
      <c r="EQ28" s="52"/>
      <c r="ER28" s="52"/>
      <c r="ES28" s="52"/>
      <c r="ET28" s="52"/>
      <c r="EU28" s="52"/>
      <c r="EV28" s="52"/>
      <c r="EW28" s="52"/>
      <c r="EX28" s="52"/>
      <c r="EY28" s="52"/>
      <c r="EZ28" s="52"/>
      <c r="FA28" s="52"/>
      <c r="FB28" s="52"/>
      <c r="FC28" s="52"/>
      <c r="FD28" s="52"/>
    </row>
    <row r="29" spans="2:160" s="2" customFormat="1" ht="15">
      <c r="B29" s="2" t="s">
        <v>54</v>
      </c>
      <c r="C29" s="45">
        <f t="shared" ref="C29" si="147">C27-C28</f>
        <v>18.999999999999968</v>
      </c>
      <c r="D29" s="45">
        <f t="shared" ref="D29" si="148">D27-D28</f>
        <v>21.900000000000055</v>
      </c>
      <c r="E29" s="45">
        <f t="shared" ref="E29" si="149">E27-E28</f>
        <v>21.399999999999991</v>
      </c>
      <c r="F29" s="45">
        <f t="shared" ref="F29" si="150">F27-F28</f>
        <v>22.299999999999979</v>
      </c>
      <c r="G29" s="45">
        <f t="shared" ref="G29" si="151">G27-G28</f>
        <v>19.800000000000058</v>
      </c>
      <c r="H29" s="45">
        <f t="shared" ref="H29" si="152">H27-H28</f>
        <v>16.599999999999987</v>
      </c>
      <c r="I29" s="45">
        <f t="shared" ref="I29" si="153">I27-I28</f>
        <v>22.399999999999988</v>
      </c>
      <c r="J29" s="45">
        <f t="shared" ref="J29" si="154">J27-J28</f>
        <v>10.999999999999989</v>
      </c>
      <c r="K29" s="45">
        <f t="shared" ref="K29" si="155">K27-K28</f>
        <v>0.49999999999993189</v>
      </c>
      <c r="L29" s="45">
        <f t="shared" ref="L29" si="156">L27-L28</f>
        <v>-4.2999999999999314</v>
      </c>
      <c r="M29" s="45">
        <f t="shared" ref="M29" si="157">M27-M28</f>
        <v>-3.8000000000000451</v>
      </c>
      <c r="N29" s="45">
        <f t="shared" ref="N29" si="158">N27-N28</f>
        <v>-3.9999999999999547</v>
      </c>
      <c r="O29" s="45">
        <f t="shared" ref="O29" si="159">O27-O28</f>
        <v>-19.500000000000071</v>
      </c>
      <c r="P29" s="45">
        <f t="shared" ref="P29" si="160">P27-P28</f>
        <v>-9.8999999999999986</v>
      </c>
      <c r="Q29" s="45">
        <f t="shared" ref="Q29" si="161">Q27-Q28</f>
        <v>-220.19999999999982</v>
      </c>
      <c r="R29" s="45">
        <f t="shared" ref="R29" si="162">R27-R28</f>
        <v>-28.800000000000072</v>
      </c>
      <c r="S29" s="45">
        <f t="shared" ref="S29" si="163">S27-S28</f>
        <v>-67.800000000000026</v>
      </c>
      <c r="T29" s="45">
        <f t="shared" ref="T29" si="164">T27-T28</f>
        <v>76.700000000000045</v>
      </c>
      <c r="U29" s="45">
        <f t="shared" ref="U29" si="165">U27-U28</f>
        <v>-124.49999999999989</v>
      </c>
      <c r="V29" s="45">
        <f t="shared" ref="V29" si="166">V27-V28</f>
        <v>-116.69999999999996</v>
      </c>
      <c r="W29" s="45">
        <f t="shared" ref="W29" si="167">W27-W28</f>
        <v>-100.79999999999995</v>
      </c>
      <c r="X29" s="45">
        <f t="shared" ref="X29" si="168">X27-X28</f>
        <v>-61.000000000000092</v>
      </c>
      <c r="Y29" s="45">
        <f t="shared" ref="Y29" si="169">Y27-Y28</f>
        <v>-38.900000000000006</v>
      </c>
      <c r="Z29" s="45">
        <f t="shared" ref="Z29" si="170">Z27-Z28</f>
        <v>-62</v>
      </c>
      <c r="AA29" s="45">
        <f t="shared" ref="AA29" si="171">AA27-AA28</f>
        <v>4.1000000000001364</v>
      </c>
      <c r="AB29" s="45">
        <f t="shared" ref="AB29" si="172">AB27-AB28</f>
        <v>-0.89999999999981828</v>
      </c>
      <c r="AC29" s="45">
        <f t="shared" ref="AC29" si="173">AC27-AC28</f>
        <v>-25</v>
      </c>
      <c r="AD29" s="45">
        <f t="shared" ref="AD29" si="174">AD27-AD28</f>
        <v>-25.599999999999998</v>
      </c>
      <c r="AE29" s="45">
        <f t="shared" ref="AE29" si="175">AE27-AE28</f>
        <v>38.800000000000004</v>
      </c>
      <c r="AF29" s="45">
        <f t="shared" ref="AF29" si="176">AF27-AF28</f>
        <v>229.5</v>
      </c>
      <c r="AG29" s="45">
        <f t="shared" ref="AG29" si="177">AG27-AG28</f>
        <v>-37.199999999999861</v>
      </c>
      <c r="AH29" s="45">
        <f t="shared" ref="AH29" si="178">AH27-AH28</f>
        <v>91.900000000000077</v>
      </c>
      <c r="AI29" s="2">
        <f t="shared" ref="AI29" si="179">AI27-AI28</f>
        <v>1</v>
      </c>
      <c r="AJ29" s="2">
        <f t="shared" ref="AJ29" si="180">AJ27-AJ28</f>
        <v>46</v>
      </c>
      <c r="AK29" s="2">
        <f t="shared" ref="AK29" si="181">AK27-AK28</f>
        <v>107</v>
      </c>
      <c r="AL29" s="2">
        <f t="shared" ref="AL29" si="182">AL27-AL28</f>
        <v>206</v>
      </c>
      <c r="AM29" s="2">
        <f t="shared" ref="AM29" si="183">AM27-AM28</f>
        <v>344</v>
      </c>
      <c r="AN29" s="2">
        <f t="shared" ref="AN29" si="184">AN27-AN28</f>
        <v>299</v>
      </c>
      <c r="AO29" s="2">
        <f t="shared" ref="AO29" si="185">AO27-AO28</f>
        <v>105</v>
      </c>
      <c r="AP29" s="2">
        <f t="shared" ref="AP29" si="186">AP27-AP28</f>
        <v>362</v>
      </c>
      <c r="AQ29" s="2">
        <f t="shared" ref="AQ29" si="187">AQ27-AQ28</f>
        <v>392</v>
      </c>
      <c r="AR29" s="2">
        <f t="shared" ref="AR29" si="188">AR27-AR28</f>
        <v>91</v>
      </c>
      <c r="AS29" s="2">
        <f t="shared" ref="AS29" si="189">AS27-AS28</f>
        <v>-109</v>
      </c>
      <c r="AT29" s="2">
        <f t="shared" ref="AT29" si="190">AT27-AT28</f>
        <v>-248</v>
      </c>
      <c r="AU29" s="2">
        <f t="shared" ref="AU29" si="191">AU27-AU28</f>
        <v>99</v>
      </c>
      <c r="AV29" s="2">
        <f t="shared" ref="AV29" si="192">AV27-AV28</f>
        <v>2625</v>
      </c>
      <c r="AW29" s="2">
        <f t="shared" ref="AW29" si="193">AW27-AW28</f>
        <v>1081</v>
      </c>
      <c r="AX29" s="2">
        <f t="shared" ref="AX29" si="194">AX27-AX28</f>
        <v>267</v>
      </c>
      <c r="AY29" s="2">
        <f t="shared" ref="AY29:BO29" si="195">AY27-AY28</f>
        <v>469</v>
      </c>
      <c r="AZ29" s="2">
        <f t="shared" si="195"/>
        <v>535</v>
      </c>
      <c r="BA29" s="2">
        <f t="shared" si="195"/>
        <v>468</v>
      </c>
      <c r="BB29" s="2">
        <f t="shared" si="195"/>
        <v>-28</v>
      </c>
      <c r="BC29" s="2">
        <f t="shared" si="195"/>
        <v>28</v>
      </c>
      <c r="BD29" s="2">
        <f t="shared" si="195"/>
        <v>68</v>
      </c>
      <c r="BE29" s="2">
        <f t="shared" si="195"/>
        <v>210</v>
      </c>
      <c r="BF29" s="2">
        <f t="shared" si="195"/>
        <v>-98</v>
      </c>
      <c r="BG29" s="2">
        <f t="shared" si="195"/>
        <v>199</v>
      </c>
      <c r="BH29" s="2">
        <f t="shared" si="195"/>
        <v>1267</v>
      </c>
      <c r="BI29" s="2">
        <f t="shared" si="195"/>
        <v>1224</v>
      </c>
      <c r="BJ29" s="2">
        <f t="shared" si="195"/>
        <v>1446</v>
      </c>
      <c r="BK29" s="2">
        <f t="shared" si="195"/>
        <v>1533</v>
      </c>
      <c r="BL29" s="2">
        <f t="shared" si="195"/>
        <v>1429</v>
      </c>
      <c r="BM29" s="2">
        <f t="shared" si="195"/>
        <v>1527</v>
      </c>
      <c r="BN29" s="2">
        <f t="shared" si="195"/>
        <v>1708</v>
      </c>
      <c r="BO29" s="2">
        <f t="shared" si="195"/>
        <v>1541</v>
      </c>
      <c r="BP29" s="2">
        <f t="shared" ref="BP29" si="196">BP27-BP28</f>
        <v>1887</v>
      </c>
      <c r="BQ29" s="55"/>
      <c r="BR29" s="55"/>
      <c r="BS29" s="55"/>
      <c r="BT29" s="55"/>
      <c r="BU29" s="55"/>
      <c r="BV29" s="55"/>
      <c r="CA29" s="2">
        <f t="shared" ref="CA29:CK29" si="197">CA27-CA28</f>
        <v>84.600000000000009</v>
      </c>
      <c r="CB29" s="2">
        <f t="shared" si="197"/>
        <v>69.800000000000367</v>
      </c>
      <c r="CC29" s="2">
        <f t="shared" si="197"/>
        <v>-11.600000000000225</v>
      </c>
      <c r="CD29" s="2">
        <f t="shared" si="197"/>
        <v>-278.40000000000032</v>
      </c>
      <c r="CE29" s="2">
        <f t="shared" si="197"/>
        <v>-232.30000000000121</v>
      </c>
      <c r="CF29" s="2">
        <f t="shared" si="197"/>
        <v>-262.69999999999982</v>
      </c>
      <c r="CG29" s="2">
        <f t="shared" si="197"/>
        <v>-47.400000000000347</v>
      </c>
      <c r="CH29" s="2">
        <f t="shared" si="197"/>
        <v>323</v>
      </c>
      <c r="CI29" s="2">
        <f t="shared" si="197"/>
        <v>360</v>
      </c>
      <c r="CJ29" s="2">
        <f t="shared" si="197"/>
        <v>1110</v>
      </c>
      <c r="CK29" s="2">
        <f t="shared" si="197"/>
        <v>126</v>
      </c>
      <c r="CL29" s="2">
        <f>CL27-CL28</f>
        <v>4072</v>
      </c>
      <c r="CM29" s="2">
        <f>SUM(AY29:BB29)</f>
        <v>1444</v>
      </c>
      <c r="CN29" s="2">
        <f>SUM(BC29:BF29)</f>
        <v>208</v>
      </c>
      <c r="CO29" s="2">
        <f>SUM(BG29:BJ29)</f>
        <v>4136</v>
      </c>
      <c r="CP29" s="2">
        <f>SUM(BK29:BN29)</f>
        <v>6197</v>
      </c>
      <c r="CQ29" s="56">
        <f>CQ27-CQ28</f>
        <v>9292.642266375</v>
      </c>
      <c r="CR29" s="56">
        <f t="shared" ref="CR29:CX29" si="198">CR27-CR28</f>
        <v>11173.75913365144</v>
      </c>
      <c r="CS29" s="56">
        <f t="shared" si="198"/>
        <v>13599.47179635935</v>
      </c>
      <c r="CT29" s="56">
        <f t="shared" si="198"/>
        <v>16228.994766934342</v>
      </c>
      <c r="CU29" s="56">
        <f t="shared" si="198"/>
        <v>18988.459427749796</v>
      </c>
      <c r="CV29" s="56">
        <f t="shared" si="198"/>
        <v>21680.301684312457</v>
      </c>
      <c r="CW29" s="56">
        <f t="shared" si="198"/>
        <v>24366.501910427844</v>
      </c>
      <c r="CX29" s="56">
        <f t="shared" si="198"/>
        <v>26995.57982390872</v>
      </c>
      <c r="CY29" s="56">
        <f t="shared" ref="CY29:ED29" si="199">CX29*(1+$CZ$47)</f>
        <v>27602.980369946665</v>
      </c>
      <c r="CZ29" s="56">
        <f t="shared" si="199"/>
        <v>28224.047428270464</v>
      </c>
      <c r="DA29" s="56">
        <f t="shared" si="199"/>
        <v>28859.088495406548</v>
      </c>
      <c r="DB29" s="56">
        <f t="shared" si="199"/>
        <v>29508.417986553195</v>
      </c>
      <c r="DC29" s="56">
        <f t="shared" si="199"/>
        <v>30172.35739125064</v>
      </c>
      <c r="DD29" s="56">
        <f t="shared" si="199"/>
        <v>30851.235432553778</v>
      </c>
      <c r="DE29" s="56">
        <f t="shared" si="199"/>
        <v>31545.388229786236</v>
      </c>
      <c r="DF29" s="56">
        <f t="shared" si="199"/>
        <v>32255.159464956425</v>
      </c>
      <c r="DG29" s="56">
        <f t="shared" si="199"/>
        <v>32980.900552917941</v>
      </c>
      <c r="DH29" s="56">
        <f t="shared" si="199"/>
        <v>33722.970815358596</v>
      </c>
      <c r="DI29" s="56">
        <f t="shared" si="199"/>
        <v>34481.737658704165</v>
      </c>
      <c r="DJ29" s="56">
        <f t="shared" si="199"/>
        <v>35257.57675602501</v>
      </c>
      <c r="DK29" s="56">
        <f t="shared" si="199"/>
        <v>36050.872233035574</v>
      </c>
      <c r="DL29" s="56">
        <f t="shared" si="199"/>
        <v>36862.016858278876</v>
      </c>
      <c r="DM29" s="56">
        <f t="shared" si="199"/>
        <v>37691.41223759015</v>
      </c>
      <c r="DN29" s="56">
        <f t="shared" si="199"/>
        <v>38539.46901293593</v>
      </c>
      <c r="DO29" s="56">
        <f t="shared" si="199"/>
        <v>39406.607065726988</v>
      </c>
      <c r="DP29" s="56">
        <f t="shared" si="199"/>
        <v>40293.255724705843</v>
      </c>
      <c r="DQ29" s="56">
        <f t="shared" si="199"/>
        <v>41199.853978511725</v>
      </c>
      <c r="DR29" s="56">
        <f t="shared" si="199"/>
        <v>42126.850693028238</v>
      </c>
      <c r="DS29" s="56">
        <f t="shared" si="199"/>
        <v>43074.70483362137</v>
      </c>
      <c r="DT29" s="56">
        <f t="shared" si="199"/>
        <v>44043.885692377851</v>
      </c>
      <c r="DU29" s="56">
        <f t="shared" si="199"/>
        <v>45034.873120456352</v>
      </c>
      <c r="DV29" s="56">
        <f t="shared" si="199"/>
        <v>46048.15776566662</v>
      </c>
      <c r="DW29" s="56">
        <f t="shared" si="199"/>
        <v>47084.241315394116</v>
      </c>
      <c r="DX29" s="56">
        <f t="shared" si="199"/>
        <v>48143.636744990479</v>
      </c>
      <c r="DY29" s="56">
        <f t="shared" si="199"/>
        <v>49226.868571752762</v>
      </c>
      <c r="DZ29" s="56">
        <f t="shared" si="199"/>
        <v>50334.473114617198</v>
      </c>
      <c r="EA29" s="56">
        <f t="shared" si="199"/>
        <v>51466.998759696085</v>
      </c>
      <c r="EB29" s="56">
        <f t="shared" si="199"/>
        <v>52625.006231789244</v>
      </c>
      <c r="EC29" s="56">
        <f t="shared" si="199"/>
        <v>53809.0688720045</v>
      </c>
      <c r="ED29" s="56">
        <f t="shared" si="199"/>
        <v>55019.772921624601</v>
      </c>
      <c r="EE29" s="56">
        <f t="shared" ref="EE29:FD29" si="200">ED29*(1+$CZ$47)</f>
        <v>56257.717812361152</v>
      </c>
      <c r="EF29" s="56">
        <f t="shared" si="200"/>
        <v>57523.516463139276</v>
      </c>
      <c r="EG29" s="56">
        <f t="shared" si="200"/>
        <v>58817.795583559906</v>
      </c>
      <c r="EH29" s="56">
        <f t="shared" si="200"/>
        <v>60141.195984190002</v>
      </c>
      <c r="EI29" s="56">
        <f t="shared" si="200"/>
        <v>61494.372893834276</v>
      </c>
      <c r="EJ29" s="56">
        <f t="shared" si="200"/>
        <v>62877.996283945547</v>
      </c>
      <c r="EK29" s="56">
        <f t="shared" si="200"/>
        <v>64292.751200334322</v>
      </c>
      <c r="EL29" s="56">
        <f t="shared" si="200"/>
        <v>65739.338102341848</v>
      </c>
      <c r="EM29" s="56">
        <f t="shared" si="200"/>
        <v>67218.473209644537</v>
      </c>
      <c r="EN29" s="56">
        <f t="shared" si="200"/>
        <v>68730.888856861537</v>
      </c>
      <c r="EO29" s="56">
        <f t="shared" si="200"/>
        <v>70277.333856140918</v>
      </c>
      <c r="EP29" s="56">
        <f t="shared" si="200"/>
        <v>71858.573867904081</v>
      </c>
      <c r="EQ29" s="56">
        <f t="shared" si="200"/>
        <v>73475.391779931917</v>
      </c>
      <c r="ER29" s="56">
        <f t="shared" si="200"/>
        <v>75128.588094980383</v>
      </c>
      <c r="ES29" s="56">
        <f t="shared" si="200"/>
        <v>76818.981327117435</v>
      </c>
      <c r="ET29" s="56">
        <f t="shared" si="200"/>
        <v>78547.408406977571</v>
      </c>
      <c r="EU29" s="56">
        <f t="shared" si="200"/>
        <v>80314.725096134556</v>
      </c>
      <c r="EV29" s="56">
        <f t="shared" si="200"/>
        <v>82121.806410797581</v>
      </c>
      <c r="EW29" s="56">
        <f t="shared" si="200"/>
        <v>83969.54705504053</v>
      </c>
      <c r="EX29" s="56">
        <f t="shared" si="200"/>
        <v>85858.861863778933</v>
      </c>
      <c r="EY29" s="56">
        <f t="shared" si="200"/>
        <v>87790.686255713954</v>
      </c>
      <c r="EZ29" s="56">
        <f t="shared" si="200"/>
        <v>89765.976696467522</v>
      </c>
      <c r="FA29" s="56">
        <f t="shared" si="200"/>
        <v>91785.711172138035</v>
      </c>
      <c r="FB29" s="56">
        <f t="shared" si="200"/>
        <v>93850.889673511134</v>
      </c>
      <c r="FC29" s="56">
        <f t="shared" si="200"/>
        <v>95962.534691165129</v>
      </c>
      <c r="FD29" s="56">
        <f t="shared" si="200"/>
        <v>98121.691721716343</v>
      </c>
    </row>
    <row r="30" spans="2:160">
      <c r="B30" s="1" t="s">
        <v>92</v>
      </c>
      <c r="C30" s="1">
        <v>485</v>
      </c>
      <c r="D30" s="1">
        <v>493</v>
      </c>
      <c r="E30" s="1">
        <v>495</v>
      </c>
      <c r="F30" s="1">
        <v>498</v>
      </c>
      <c r="G30" s="1">
        <v>498</v>
      </c>
      <c r="H30" s="1">
        <v>512</v>
      </c>
      <c r="I30" s="1">
        <v>518</v>
      </c>
      <c r="J30" s="1">
        <v>524</v>
      </c>
      <c r="K30" s="1">
        <v>512</v>
      </c>
      <c r="L30" s="1">
        <v>534</v>
      </c>
      <c r="M30" s="1">
        <v>540</v>
      </c>
      <c r="N30" s="1">
        <v>543</v>
      </c>
      <c r="O30" s="1">
        <v>541</v>
      </c>
      <c r="P30" s="1">
        <v>553</v>
      </c>
      <c r="Q30" s="1">
        <v>558</v>
      </c>
      <c r="R30" s="1">
        <v>569</v>
      </c>
      <c r="S30" s="1">
        <v>565</v>
      </c>
      <c r="T30" s="1">
        <v>588</v>
      </c>
      <c r="U30" s="1">
        <v>594</v>
      </c>
      <c r="V30" s="1">
        <v>600</v>
      </c>
      <c r="W30" s="1">
        <v>598</v>
      </c>
      <c r="X30" s="1">
        <v>613</v>
      </c>
      <c r="Y30" s="1">
        <v>617</v>
      </c>
      <c r="Z30" s="1">
        <v>630</v>
      </c>
      <c r="AA30" s="1">
        <v>624</v>
      </c>
      <c r="AB30" s="1">
        <v>654</v>
      </c>
      <c r="AC30" s="1">
        <v>659</v>
      </c>
      <c r="AD30" s="1">
        <v>664</v>
      </c>
      <c r="AE30" s="1">
        <v>662</v>
      </c>
      <c r="AF30" s="1">
        <v>678</v>
      </c>
      <c r="AG30" s="1">
        <v>681</v>
      </c>
      <c r="AH30" s="1">
        <v>690</v>
      </c>
      <c r="AI30" s="1">
        <v>688</v>
      </c>
      <c r="AJ30" s="1">
        <v>706</v>
      </c>
      <c r="AK30" s="1">
        <v>712</v>
      </c>
      <c r="AL30" s="1">
        <v>717</v>
      </c>
      <c r="AM30" s="1">
        <v>715</v>
      </c>
      <c r="AN30" s="1">
        <v>729</v>
      </c>
      <c r="AO30" s="1">
        <v>747</v>
      </c>
      <c r="AP30" s="1">
        <v>760</v>
      </c>
      <c r="AQ30" s="1">
        <v>751</v>
      </c>
      <c r="AR30" s="1">
        <v>771</v>
      </c>
      <c r="AS30" s="1">
        <v>776</v>
      </c>
      <c r="AT30" s="1">
        <v>879</v>
      </c>
      <c r="AU30" s="1">
        <v>829</v>
      </c>
      <c r="AV30" s="1">
        <v>896</v>
      </c>
      <c r="AW30" s="1">
        <v>904</v>
      </c>
      <c r="AX30" s="1">
        <v>911</v>
      </c>
      <c r="AY30" s="1">
        <v>926</v>
      </c>
      <c r="AZ30" s="1">
        <v>979</v>
      </c>
      <c r="BA30" s="1">
        <v>985</v>
      </c>
      <c r="BB30" s="1">
        <v>990</v>
      </c>
      <c r="BC30" s="1">
        <v>995</v>
      </c>
      <c r="BD30" s="1">
        <v>1000</v>
      </c>
      <c r="BE30" s="1">
        <v>1000</v>
      </c>
      <c r="BF30" s="1">
        <v>970</v>
      </c>
      <c r="BG30" s="1">
        <v>974</v>
      </c>
      <c r="BH30" s="1">
        <v>973</v>
      </c>
      <c r="BI30" s="1">
        <v>968</v>
      </c>
      <c r="BJ30" s="1">
        <v>970</v>
      </c>
      <c r="BK30" s="1">
        <v>969</v>
      </c>
      <c r="BL30" s="1">
        <v>956</v>
      </c>
      <c r="BM30" s="1">
        <v>957</v>
      </c>
      <c r="BN30" s="1">
        <v>961</v>
      </c>
      <c r="BO30" s="61">
        <v>960</v>
      </c>
      <c r="BP30" s="61">
        <v>956</v>
      </c>
      <c r="CA30" s="46">
        <v>498</v>
      </c>
      <c r="CB30" s="46">
        <v>521</v>
      </c>
      <c r="CC30" s="46">
        <v>541</v>
      </c>
      <c r="CD30" s="46">
        <v>565</v>
      </c>
      <c r="CE30" s="46">
        <v>598</v>
      </c>
      <c r="CF30" s="46">
        <v>624</v>
      </c>
      <c r="CG30" s="46">
        <v>662</v>
      </c>
      <c r="CH30" s="46">
        <v>688</v>
      </c>
      <c r="CI30" s="46">
        <v>715</v>
      </c>
      <c r="CJ30" s="46">
        <v>751</v>
      </c>
      <c r="CK30" s="46">
        <v>829</v>
      </c>
      <c r="CL30" s="46">
        <v>908</v>
      </c>
      <c r="CM30" s="1">
        <v>955</v>
      </c>
      <c r="CN30" s="1">
        <v>992</v>
      </c>
      <c r="CO30" s="1">
        <v>974</v>
      </c>
      <c r="CP30" s="1">
        <v>962</v>
      </c>
      <c r="CQ30" s="52">
        <f>CP30*0.97</f>
        <v>933.14</v>
      </c>
      <c r="CR30" s="52">
        <f t="shared" ref="CR30:CX30" si="201">CQ30*0.97</f>
        <v>905.14580000000001</v>
      </c>
      <c r="CS30" s="52">
        <f t="shared" si="201"/>
        <v>877.99142599999993</v>
      </c>
      <c r="CT30" s="52">
        <f t="shared" si="201"/>
        <v>851.65168321999988</v>
      </c>
      <c r="CU30" s="52">
        <f t="shared" si="201"/>
        <v>826.1021327233999</v>
      </c>
      <c r="CV30" s="52">
        <f t="shared" si="201"/>
        <v>801.31906874169783</v>
      </c>
      <c r="CW30" s="52">
        <f t="shared" si="201"/>
        <v>777.27949667944688</v>
      </c>
      <c r="CX30" s="52">
        <f t="shared" si="201"/>
        <v>753.96111177906346</v>
      </c>
      <c r="CY30" s="52"/>
      <c r="CZ30" s="52"/>
      <c r="DA30" s="52"/>
      <c r="DB30" s="52"/>
      <c r="DC30" s="52"/>
      <c r="DD30" s="52"/>
      <c r="DE30" s="52"/>
      <c r="DF30" s="52"/>
      <c r="DG30" s="52"/>
      <c r="DH30" s="52"/>
      <c r="DI30" s="52"/>
      <c r="DJ30" s="52"/>
      <c r="DK30" s="52"/>
      <c r="DL30" s="52"/>
      <c r="DM30" s="52"/>
      <c r="DN30" s="52"/>
      <c r="DO30" s="52"/>
      <c r="DP30" s="52"/>
      <c r="DQ30" s="52"/>
      <c r="DR30" s="52"/>
      <c r="DS30" s="52"/>
      <c r="DT30" s="52"/>
      <c r="DU30" s="52"/>
      <c r="DV30" s="52"/>
      <c r="DW30" s="52"/>
      <c r="DX30" s="52"/>
      <c r="DY30" s="52"/>
      <c r="DZ30" s="52"/>
      <c r="EA30" s="52"/>
      <c r="EB30" s="52"/>
      <c r="EC30" s="52"/>
      <c r="ED30" s="52"/>
      <c r="EE30" s="52"/>
      <c r="EF30" s="52"/>
      <c r="EG30" s="52"/>
      <c r="EH30" s="52"/>
      <c r="EI30" s="52"/>
      <c r="EJ30" s="52"/>
      <c r="EK30" s="52"/>
      <c r="EL30" s="52"/>
      <c r="EM30" s="52"/>
      <c r="EN30" s="52"/>
      <c r="EO30" s="52"/>
      <c r="EP30" s="52"/>
      <c r="EQ30" s="52"/>
      <c r="ER30" s="52"/>
      <c r="ES30" s="52"/>
      <c r="ET30" s="52"/>
      <c r="EU30" s="52"/>
      <c r="EV30" s="52"/>
      <c r="EW30" s="52"/>
      <c r="EX30" s="52"/>
      <c r="EY30" s="52"/>
      <c r="EZ30" s="52"/>
      <c r="FA30" s="52"/>
      <c r="FB30" s="52"/>
      <c r="FC30" s="52"/>
      <c r="FD30" s="52"/>
    </row>
    <row r="31" spans="2:160">
      <c r="B31" s="1" t="s">
        <v>126</v>
      </c>
      <c r="C31" s="35">
        <f t="shared" ref="C31" si="202">C29/C30</f>
        <v>3.91752577319587E-2</v>
      </c>
      <c r="D31" s="35">
        <f t="shared" ref="D31" si="203">D29/D30</f>
        <v>4.4421906693712078E-2</v>
      </c>
      <c r="E31" s="35">
        <f t="shared" ref="E31" si="204">E29/E30</f>
        <v>4.3232323232323212E-2</v>
      </c>
      <c r="F31" s="35">
        <f t="shared" ref="F31" si="205">F29/F30</f>
        <v>4.4779116465863411E-2</v>
      </c>
      <c r="G31" s="35">
        <f t="shared" ref="G31" si="206">G29/G30</f>
        <v>3.975903614457843E-2</v>
      </c>
      <c r="H31" s="35">
        <f t="shared" ref="H31" si="207">H29/H30</f>
        <v>3.2421874999999975E-2</v>
      </c>
      <c r="I31" s="35">
        <f t="shared" ref="I31" si="208">I29/I30</f>
        <v>4.3243243243243218E-2</v>
      </c>
      <c r="J31" s="35">
        <f t="shared" ref="J31" si="209">J29/J30</f>
        <v>2.099236641221372E-2</v>
      </c>
      <c r="K31" s="35">
        <f t="shared" ref="K31" si="210">K29/K30</f>
        <v>9.7656249999986697E-4</v>
      </c>
      <c r="L31" s="35">
        <f t="shared" ref="L31" si="211">L29/L30</f>
        <v>-8.0524344569287108E-3</v>
      </c>
      <c r="M31" s="35">
        <f t="shared" ref="M31" si="212">M29/M30</f>
        <v>-7.0370370370371202E-3</v>
      </c>
      <c r="N31" s="35">
        <f t="shared" ref="N31" si="213">N29/N30</f>
        <v>-7.3664825046039686E-3</v>
      </c>
      <c r="O31" s="35">
        <f t="shared" ref="O31" si="214">O29/O30</f>
        <v>-3.6044362292051886E-2</v>
      </c>
      <c r="P31" s="35">
        <f t="shared" ref="P31" si="215">P29/P30</f>
        <v>-1.7902350813743216E-2</v>
      </c>
      <c r="Q31" s="35">
        <f t="shared" ref="Q31" si="216">Q29/Q30</f>
        <v>-0.39462365591397819</v>
      </c>
      <c r="R31" s="35">
        <f t="shared" ref="R31" si="217">R29/R30</f>
        <v>-5.0615114235501003E-2</v>
      </c>
      <c r="S31" s="35">
        <f t="shared" ref="S31" si="218">S29/S30</f>
        <v>-0.12000000000000005</v>
      </c>
      <c r="T31" s="35">
        <f t="shared" ref="T31" si="219">T29/T30</f>
        <v>0.13044217687074838</v>
      </c>
      <c r="U31" s="35">
        <f t="shared" ref="U31" si="220">U29/U30</f>
        <v>-0.20959595959595939</v>
      </c>
      <c r="V31" s="35">
        <f t="shared" ref="V31" si="221">V29/V30</f>
        <v>-0.19449999999999992</v>
      </c>
      <c r="W31" s="35">
        <f t="shared" ref="W31" si="222">W29/W30</f>
        <v>-0.16856187290969893</v>
      </c>
      <c r="X31" s="35">
        <f t="shared" ref="X31" si="223">X29/X30</f>
        <v>-9.9510603588907162E-2</v>
      </c>
      <c r="Y31" s="35">
        <f t="shared" ref="Y31" si="224">Y29/Y30</f>
        <v>-6.3047001620745557E-2</v>
      </c>
      <c r="Z31" s="35">
        <f t="shared" ref="Z31" si="225">Z29/Z30</f>
        <v>-9.841269841269841E-2</v>
      </c>
      <c r="AA31" s="35">
        <f t="shared" ref="AA31" si="226">AA29/AA30</f>
        <v>6.5705128205130392E-3</v>
      </c>
      <c r="AB31" s="35">
        <f t="shared" ref="AB31" si="227">AB29/AB30</f>
        <v>-1.3761467889905478E-3</v>
      </c>
      <c r="AC31" s="35">
        <f t="shared" ref="AC31" si="228">AC29/AC30</f>
        <v>-3.7936267071320182E-2</v>
      </c>
      <c r="AD31" s="35">
        <f t="shared" ref="AD31" si="229">AD29/AD30</f>
        <v>-3.8554216867469876E-2</v>
      </c>
      <c r="AE31" s="35">
        <f t="shared" ref="AE31" si="230">AE29/AE30</f>
        <v>5.8610271903323269E-2</v>
      </c>
      <c r="AF31" s="35">
        <f t="shared" ref="AF31" si="231">AF29/AF30</f>
        <v>0.33849557522123896</v>
      </c>
      <c r="AG31" s="35">
        <f t="shared" ref="AG31" si="232">AG29/AG30</f>
        <v>-5.4625550660792749E-2</v>
      </c>
      <c r="AH31" s="35">
        <f t="shared" ref="AH31" si="233">AH29/AH30</f>
        <v>0.13318840579710156</v>
      </c>
      <c r="AI31" s="35">
        <f t="shared" ref="AI31" si="234">AI29/AI30</f>
        <v>1.4534883720930232E-3</v>
      </c>
      <c r="AJ31" s="35">
        <f t="shared" ref="AJ31" si="235">AJ29/AJ30</f>
        <v>6.5155807365439092E-2</v>
      </c>
      <c r="AK31" s="35">
        <f t="shared" ref="AK31" si="236">AK29/AK30</f>
        <v>0.1502808988764045</v>
      </c>
      <c r="AL31" s="35">
        <f t="shared" ref="AL31" si="237">AL29/AL30</f>
        <v>0.28730822873082285</v>
      </c>
      <c r="AM31" s="35">
        <f t="shared" ref="AM31" si="238">AM29/AM30</f>
        <v>0.48111888111888113</v>
      </c>
      <c r="AN31" s="35">
        <f t="shared" ref="AN31" si="239">AN29/AN30</f>
        <v>0.41015089163237312</v>
      </c>
      <c r="AO31" s="35">
        <f t="shared" ref="AO31" si="240">AO29/AO30</f>
        <v>0.14056224899598393</v>
      </c>
      <c r="AP31" s="35">
        <f t="shared" ref="AP31" si="241">AP29/AP30</f>
        <v>0.47631578947368419</v>
      </c>
      <c r="AQ31" s="35">
        <f t="shared" ref="AQ31" si="242">AQ29/AQ30</f>
        <v>0.52197070572569904</v>
      </c>
      <c r="AR31" s="35">
        <f t="shared" ref="AR31" si="243">AR29/AR30</f>
        <v>0.11802853437094682</v>
      </c>
      <c r="AS31" s="35">
        <f t="shared" ref="AS31" si="244">AS29/AS30</f>
        <v>-0.1404639175257732</v>
      </c>
      <c r="AT31" s="35">
        <f t="shared" ref="AT31" si="245">AT29/AT30</f>
        <v>-0.28213879408418657</v>
      </c>
      <c r="AU31" s="35">
        <f t="shared" ref="AU31" si="246">AU29/AU30</f>
        <v>0.11942098914354644</v>
      </c>
      <c r="AV31" s="35">
        <f t="shared" ref="AV31" si="247">AV29/AV30</f>
        <v>2.9296875</v>
      </c>
      <c r="AW31" s="35">
        <f t="shared" ref="AW31" si="248">AW29/AW30</f>
        <v>1.1957964601769913</v>
      </c>
      <c r="AX31" s="35">
        <f t="shared" ref="AX31" si="249">AX29/AX30</f>
        <v>0.29308452250274425</v>
      </c>
      <c r="AY31" s="35">
        <f t="shared" ref="AY31:BO31" si="250">AY29/AY30</f>
        <v>0.50647948164146872</v>
      </c>
      <c r="AZ31" s="35">
        <f t="shared" si="250"/>
        <v>0.54647599591419815</v>
      </c>
      <c r="BA31" s="35">
        <f t="shared" si="250"/>
        <v>0.47512690355329951</v>
      </c>
      <c r="BB31" s="35">
        <f t="shared" si="250"/>
        <v>-2.8282828282828285E-2</v>
      </c>
      <c r="BC31" s="35">
        <f t="shared" si="250"/>
        <v>2.8140703517587941E-2</v>
      </c>
      <c r="BD31" s="35">
        <f t="shared" si="250"/>
        <v>6.8000000000000005E-2</v>
      </c>
      <c r="BE31" s="35">
        <f t="shared" si="250"/>
        <v>0.21</v>
      </c>
      <c r="BF31" s="35">
        <f t="shared" si="250"/>
        <v>-0.10103092783505155</v>
      </c>
      <c r="BG31" s="35">
        <f t="shared" si="250"/>
        <v>0.20431211498973306</v>
      </c>
      <c r="BH31" s="35">
        <f t="shared" si="250"/>
        <v>1.3021582733812949</v>
      </c>
      <c r="BI31" s="35">
        <f t="shared" si="250"/>
        <v>1.2644628099173554</v>
      </c>
      <c r="BJ31" s="35">
        <f t="shared" si="250"/>
        <v>1.4907216494845361</v>
      </c>
      <c r="BK31" s="35">
        <f t="shared" si="250"/>
        <v>1.5820433436532508</v>
      </c>
      <c r="BL31" s="35">
        <f t="shared" si="250"/>
        <v>1.4947698744769875</v>
      </c>
      <c r="BM31" s="35">
        <f t="shared" si="250"/>
        <v>1.5956112852664577</v>
      </c>
      <c r="BN31" s="35">
        <f t="shared" si="250"/>
        <v>1.777315296566077</v>
      </c>
      <c r="BO31" s="35">
        <f t="shared" si="250"/>
        <v>1.6052083333333333</v>
      </c>
      <c r="BP31" s="35">
        <f t="shared" ref="BP31" si="251">BP29/BP30</f>
        <v>1.9738493723849373</v>
      </c>
      <c r="CA31" s="35">
        <f t="shared" ref="CA31:CK31" si="252">CA29/CA30</f>
        <v>0.16987951807228918</v>
      </c>
      <c r="CB31" s="35">
        <f t="shared" si="252"/>
        <v>0.13397312859884908</v>
      </c>
      <c r="CC31" s="35">
        <f t="shared" si="252"/>
        <v>-2.1441774491682487E-2</v>
      </c>
      <c r="CD31" s="35">
        <f t="shared" si="252"/>
        <v>-0.49274336283185899</v>
      </c>
      <c r="CE31" s="35">
        <f t="shared" si="252"/>
        <v>-0.38846153846154047</v>
      </c>
      <c r="CF31" s="35">
        <f t="shared" si="252"/>
        <v>-0.42099358974358947</v>
      </c>
      <c r="CG31" s="35">
        <f t="shared" si="252"/>
        <v>-7.1601208459215027E-2</v>
      </c>
      <c r="CH31" s="35">
        <f t="shared" si="252"/>
        <v>0.46947674418604651</v>
      </c>
      <c r="CI31" s="35">
        <f t="shared" si="252"/>
        <v>0.50349650349650354</v>
      </c>
      <c r="CJ31" s="35">
        <f t="shared" si="252"/>
        <v>1.478029294274301</v>
      </c>
      <c r="CK31" s="35">
        <f t="shared" si="252"/>
        <v>0.1519903498190591</v>
      </c>
      <c r="CL31" s="35">
        <f>CL29/CL30</f>
        <v>4.4845814977973566</v>
      </c>
      <c r="CM31" s="35">
        <f>CM29/CM30</f>
        <v>1.5120418848167538</v>
      </c>
      <c r="CN31" s="35">
        <f>CN29/CN30</f>
        <v>0.20967741935483872</v>
      </c>
      <c r="CO31" s="35">
        <f>CO29/CO30</f>
        <v>4.2464065708418888</v>
      </c>
      <c r="CP31" s="35">
        <f>CP29/CP30</f>
        <v>6.4417879417879416</v>
      </c>
      <c r="CQ31" s="53">
        <f t="shared" ref="CQ31:CX31" si="253">CQ29/CQ30</f>
        <v>9.9584652532042348</v>
      </c>
      <c r="CR31" s="53">
        <f t="shared" si="253"/>
        <v>12.344706381724844</v>
      </c>
      <c r="CS31" s="53">
        <f t="shared" si="253"/>
        <v>15.489299090671702</v>
      </c>
      <c r="CT31" s="53">
        <f t="shared" si="253"/>
        <v>19.055906407152658</v>
      </c>
      <c r="CU31" s="53">
        <f t="shared" si="253"/>
        <v>22.985607560593984</v>
      </c>
      <c r="CV31" s="53">
        <f t="shared" si="253"/>
        <v>27.055766585408715</v>
      </c>
      <c r="CW31" s="53">
        <f t="shared" si="253"/>
        <v>31.348442888976248</v>
      </c>
      <c r="CX31" s="53">
        <f t="shared" si="253"/>
        <v>35.805002940018149</v>
      </c>
      <c r="CY31" s="53"/>
      <c r="CZ31" s="53"/>
      <c r="DA31" s="53"/>
      <c r="DB31" s="53"/>
      <c r="DC31" s="53"/>
      <c r="DD31" s="53"/>
      <c r="DE31" s="53"/>
      <c r="DF31" s="53"/>
      <c r="DG31" s="53"/>
      <c r="DH31" s="53"/>
      <c r="DI31" s="53"/>
      <c r="DJ31" s="53"/>
      <c r="DK31" s="53"/>
      <c r="DL31" s="53"/>
      <c r="DM31" s="53"/>
      <c r="DN31" s="53"/>
      <c r="DO31" s="53"/>
      <c r="DP31" s="53"/>
      <c r="DQ31" s="53"/>
      <c r="DR31" s="53"/>
      <c r="DS31" s="53"/>
      <c r="DT31" s="53"/>
      <c r="DU31" s="53"/>
      <c r="DV31" s="53"/>
      <c r="DW31" s="53"/>
      <c r="DX31" s="53"/>
      <c r="DY31" s="53"/>
      <c r="DZ31" s="53"/>
      <c r="EA31" s="53"/>
      <c r="EB31" s="53"/>
      <c r="EC31" s="53"/>
      <c r="ED31" s="53"/>
      <c r="EE31" s="53"/>
      <c r="EF31" s="53"/>
      <c r="EG31" s="53"/>
      <c r="EH31" s="53"/>
      <c r="EI31" s="53"/>
      <c r="EJ31" s="53"/>
      <c r="EK31" s="53"/>
      <c r="EL31" s="53"/>
      <c r="EM31" s="53"/>
      <c r="EN31" s="53"/>
      <c r="EO31" s="53"/>
      <c r="EP31" s="53"/>
      <c r="EQ31" s="53"/>
      <c r="ER31" s="53"/>
      <c r="ES31" s="53"/>
      <c r="ET31" s="53"/>
      <c r="EU31" s="53"/>
      <c r="EV31" s="53"/>
      <c r="EW31" s="53"/>
      <c r="EX31" s="53"/>
      <c r="EY31" s="53"/>
      <c r="EZ31" s="53"/>
      <c r="FA31" s="53"/>
      <c r="FB31" s="53"/>
      <c r="FC31" s="53"/>
      <c r="FD31" s="53"/>
    </row>
    <row r="32" spans="2:160">
      <c r="C32" s="39"/>
      <c r="D32" s="39"/>
      <c r="E32" s="39"/>
      <c r="AY32" s="35"/>
      <c r="AZ32" s="35"/>
      <c r="BA32" s="35"/>
      <c r="BB32" s="35"/>
      <c r="BC32" s="35"/>
      <c r="BD32" s="35"/>
      <c r="BE32" s="35"/>
      <c r="BF32" s="35"/>
      <c r="BG32" s="35"/>
      <c r="BH32" s="35"/>
      <c r="BI32" s="35"/>
      <c r="BJ32" s="35"/>
      <c r="BK32" s="35"/>
      <c r="BL32" s="35"/>
      <c r="BM32" s="35"/>
      <c r="BN32" s="35"/>
      <c r="BP32" s="61"/>
      <c r="CN32" s="35"/>
      <c r="CO32" s="35"/>
      <c r="CP32" s="35"/>
    </row>
    <row r="33" spans="2:160">
      <c r="B33" s="1" t="s">
        <v>125</v>
      </c>
      <c r="C33" s="41"/>
      <c r="D33" s="41"/>
      <c r="E33" s="41"/>
      <c r="F33" s="41"/>
      <c r="G33" s="41"/>
      <c r="H33" s="41"/>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1"/>
      <c r="AS33" s="41"/>
      <c r="AT33" s="41"/>
      <c r="AU33" s="41"/>
      <c r="AV33" s="41"/>
      <c r="AW33" s="41"/>
      <c r="AX33" s="41"/>
      <c r="AY33" s="41">
        <f t="shared" ref="AY33" si="254">(AY3-AY12)/AY3</f>
        <v>0.79732658959537572</v>
      </c>
      <c r="AZ33" s="41">
        <f t="shared" ref="AZ33:BM33" si="255">(AZ3-AZ12)/AZ3</f>
        <v>0.80622252282718976</v>
      </c>
      <c r="BA33" s="41">
        <f t="shared" si="255"/>
        <v>0.79071954851857662</v>
      </c>
      <c r="BB33" s="41">
        <f t="shared" si="255"/>
        <v>0.78676039835969536</v>
      </c>
      <c r="BC33" s="41">
        <f t="shared" si="255"/>
        <v>0.78996499416569432</v>
      </c>
      <c r="BD33" s="41">
        <f t="shared" si="255"/>
        <v>0.79140417191656165</v>
      </c>
      <c r="BE33" s="41">
        <f t="shared" si="255"/>
        <v>0.79939167703580816</v>
      </c>
      <c r="BF33" s="41">
        <f t="shared" si="255"/>
        <v>0.8151950718685832</v>
      </c>
      <c r="BG33" s="41">
        <f t="shared" si="255"/>
        <v>0.80240774666317716</v>
      </c>
      <c r="BH33" s="41">
        <f t="shared" si="255"/>
        <v>0.81076692480639523</v>
      </c>
      <c r="BI33" s="41">
        <f t="shared" si="255"/>
        <v>0.80702616386193338</v>
      </c>
      <c r="BJ33" s="41">
        <f t="shared" si="255"/>
        <v>0.81927297668038412</v>
      </c>
      <c r="BK33" s="41">
        <f t="shared" si="255"/>
        <v>0.81828771112405363</v>
      </c>
      <c r="BL33" s="41">
        <f t="shared" si="255"/>
        <v>0.82245549977179366</v>
      </c>
      <c r="BM33" s="41">
        <f t="shared" si="255"/>
        <v>0.83094943124225706</v>
      </c>
      <c r="BN33" s="41">
        <f t="shared" ref="BN33:BP34" si="256">(BN3-BN12)/BN3</f>
        <v>0.83271611469685747</v>
      </c>
      <c r="BO33" s="41">
        <f t="shared" si="256"/>
        <v>0.82671829622458859</v>
      </c>
      <c r="BP33" s="41">
        <f t="shared" si="256"/>
        <v>0.83023735810113519</v>
      </c>
      <c r="CA33" s="41"/>
      <c r="CB33" s="41"/>
      <c r="CC33" s="41"/>
      <c r="CD33" s="41"/>
      <c r="CE33" s="41"/>
      <c r="CF33" s="41"/>
      <c r="CG33" s="41"/>
      <c r="CH33" s="41"/>
      <c r="CI33" s="41"/>
      <c r="CJ33" s="41"/>
      <c r="CK33" s="41"/>
      <c r="CL33" s="41"/>
      <c r="CM33" s="41">
        <f t="shared" ref="CM33:CN35" si="257">AVERAGE(BB33:BE33)</f>
        <v>0.79188031036943995</v>
      </c>
      <c r="CN33" s="41">
        <f t="shared" si="257"/>
        <v>0.79898897874666186</v>
      </c>
      <c r="CO33" s="41">
        <f>AVERAGE(BG33:BJ33)</f>
        <v>0.8098684530029725</v>
      </c>
      <c r="CP33" s="41">
        <f>AVERAGE(BK33:BN33)</f>
        <v>0.82610218920874046</v>
      </c>
      <c r="CQ33" s="57">
        <v>0.82499999999999996</v>
      </c>
      <c r="CR33" s="57">
        <v>0.83399999999999996</v>
      </c>
      <c r="CS33" s="57">
        <v>0.84</v>
      </c>
      <c r="CT33" s="57">
        <v>0.84250000000000003</v>
      </c>
      <c r="CU33" s="57">
        <v>0.84499999999999997</v>
      </c>
      <c r="CV33" s="57">
        <v>0.84750000000000003</v>
      </c>
      <c r="CW33" s="57">
        <v>0.85</v>
      </c>
      <c r="CX33" s="57">
        <v>0.85</v>
      </c>
    </row>
    <row r="34" spans="2:160">
      <c r="B34" s="1" t="s">
        <v>124</v>
      </c>
      <c r="C34" s="41"/>
      <c r="D34" s="41"/>
      <c r="E34" s="41"/>
      <c r="F34" s="41"/>
      <c r="G34" s="41"/>
      <c r="H34" s="41"/>
      <c r="I34" s="41"/>
      <c r="J34" s="41"/>
      <c r="K34" s="41"/>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41"/>
      <c r="AU34" s="41"/>
      <c r="AV34" s="41"/>
      <c r="AW34" s="41"/>
      <c r="AX34" s="41"/>
      <c r="AY34" s="41">
        <f t="shared" ref="AY34" si="258">(AY4-AY13)/AY4</f>
        <v>-1.405152224824356E-2</v>
      </c>
      <c r="AZ34" s="41">
        <f t="shared" ref="AZ34:BM34" si="259">(AZ4-AZ13)/AZ4</f>
        <v>-9.6244131455399062E-2</v>
      </c>
      <c r="BA34" s="41">
        <f t="shared" si="259"/>
        <v>-5.1652892561983473E-2</v>
      </c>
      <c r="BB34" s="41">
        <f t="shared" si="259"/>
        <v>-0.12048192771084337</v>
      </c>
      <c r="BC34" s="41">
        <f t="shared" si="259"/>
        <v>-9.0090090090090086E-2</v>
      </c>
      <c r="BD34" s="41">
        <f t="shared" si="259"/>
        <v>-0.10398613518197573</v>
      </c>
      <c r="BE34" s="41">
        <f t="shared" si="259"/>
        <v>-5.4635761589403975E-2</v>
      </c>
      <c r="BF34" s="41">
        <f t="shared" si="259"/>
        <v>-0.1092436974789916</v>
      </c>
      <c r="BG34" s="41">
        <f t="shared" si="259"/>
        <v>-1.6528925619834711E-2</v>
      </c>
      <c r="BH34" s="41">
        <f t="shared" si="259"/>
        <v>-1.6750418760469012E-3</v>
      </c>
      <c r="BI34" s="41">
        <f t="shared" si="259"/>
        <v>-8.6355785837651123E-3</v>
      </c>
      <c r="BJ34" s="41">
        <f t="shared" si="259"/>
        <v>-5.1948051948051951E-2</v>
      </c>
      <c r="BK34" s="41">
        <f t="shared" si="259"/>
        <v>-9.8540145985401464E-2</v>
      </c>
      <c r="BL34" s="41">
        <f t="shared" si="259"/>
        <v>-7.4866310160427801E-2</v>
      </c>
      <c r="BM34" s="41">
        <f t="shared" si="259"/>
        <v>-6.9026548672566371E-2</v>
      </c>
      <c r="BN34" s="41">
        <f t="shared" si="256"/>
        <v>-0.17343173431734318</v>
      </c>
      <c r="BO34" s="41">
        <f t="shared" si="256"/>
        <v>-0.22932330827067668</v>
      </c>
      <c r="BP34" s="41">
        <f t="shared" si="256"/>
        <v>-9.3406593406593408E-2</v>
      </c>
      <c r="CA34" s="41"/>
      <c r="CB34" s="41"/>
      <c r="CC34" s="41"/>
      <c r="CD34" s="41"/>
      <c r="CE34" s="41"/>
      <c r="CF34" s="41"/>
      <c r="CG34" s="41"/>
      <c r="CH34" s="41"/>
      <c r="CI34" s="41"/>
      <c r="CJ34" s="41"/>
      <c r="CK34" s="41"/>
      <c r="CL34" s="41"/>
      <c r="CM34" s="41">
        <f t="shared" si="257"/>
        <v>-9.2298478643078288E-2</v>
      </c>
      <c r="CN34" s="41">
        <f t="shared" si="257"/>
        <v>-8.9488921085115344E-2</v>
      </c>
      <c r="CO34" s="41">
        <f>AVERAGE(BG34:BJ34)</f>
        <v>-1.9696899506924669E-2</v>
      </c>
      <c r="CP34" s="41">
        <f>AVERAGE(BK34:BN34)</f>
        <v>-0.10396618478393471</v>
      </c>
      <c r="CQ34" s="57">
        <v>-0.12</v>
      </c>
      <c r="CR34" s="57">
        <v>-0.11</v>
      </c>
      <c r="CS34" s="57">
        <v>-0.105</v>
      </c>
      <c r="CT34" s="57">
        <v>-0.105</v>
      </c>
      <c r="CU34" s="57">
        <v>-0.105</v>
      </c>
      <c r="CV34" s="57">
        <v>-0.105</v>
      </c>
      <c r="CW34" s="57">
        <v>-0.105</v>
      </c>
      <c r="CX34" s="57">
        <v>-0.105</v>
      </c>
    </row>
    <row r="35" spans="2:160">
      <c r="B35" s="1" t="s">
        <v>123</v>
      </c>
      <c r="C35" s="41">
        <f t="shared" ref="C35:AW35" si="260">C18/C16</f>
        <v>0.79731059363725809</v>
      </c>
      <c r="D35" s="41">
        <f t="shared" si="260"/>
        <v>0.80227776020246755</v>
      </c>
      <c r="E35" s="41">
        <f t="shared" si="260"/>
        <v>0.80151285930408467</v>
      </c>
      <c r="F35" s="41">
        <f t="shared" si="260"/>
        <v>0.80762711864406778</v>
      </c>
      <c r="G35" s="41">
        <f t="shared" si="260"/>
        <v>0.80997876857749473</v>
      </c>
      <c r="H35" s="41">
        <f t="shared" si="260"/>
        <v>0.80273833671399586</v>
      </c>
      <c r="I35" s="41">
        <f t="shared" si="260"/>
        <v>0.8086693078536471</v>
      </c>
      <c r="J35" s="41">
        <f t="shared" si="260"/>
        <v>0.79798643029109206</v>
      </c>
      <c r="K35" s="41">
        <f t="shared" si="260"/>
        <v>0.79559873116574142</v>
      </c>
      <c r="L35" s="41">
        <f t="shared" si="260"/>
        <v>0.77857142857142858</v>
      </c>
      <c r="M35" s="41">
        <f t="shared" si="260"/>
        <v>0.77990758172171826</v>
      </c>
      <c r="N35" s="41">
        <f t="shared" si="260"/>
        <v>0.78430131349897136</v>
      </c>
      <c r="O35" s="41">
        <f t="shared" si="260"/>
        <v>0.78202731847591656</v>
      </c>
      <c r="P35" s="41">
        <f t="shared" si="260"/>
        <v>0.77802077638053579</v>
      </c>
      <c r="Q35" s="41">
        <f t="shared" si="260"/>
        <v>0.76382546930492146</v>
      </c>
      <c r="R35" s="41">
        <f t="shared" si="260"/>
        <v>0.63310697765967916</v>
      </c>
      <c r="S35" s="41">
        <f t="shared" si="260"/>
        <v>0.76585256553887515</v>
      </c>
      <c r="T35" s="41">
        <f t="shared" si="260"/>
        <v>0.77254205412182642</v>
      </c>
      <c r="U35" s="41">
        <f t="shared" si="260"/>
        <v>0.75074349442379174</v>
      </c>
      <c r="V35" s="41">
        <f t="shared" si="260"/>
        <v>0.76117708697170805</v>
      </c>
      <c r="W35" s="41">
        <f t="shared" si="260"/>
        <v>0.71237176542642777</v>
      </c>
      <c r="X35" s="41">
        <f t="shared" si="260"/>
        <v>0.7665706051873199</v>
      </c>
      <c r="Y35" s="41">
        <f t="shared" si="260"/>
        <v>0.75919635759196358</v>
      </c>
      <c r="Z35" s="41">
        <f t="shared" si="260"/>
        <v>0.80030766976778267</v>
      </c>
      <c r="AA35" s="41">
        <f t="shared" si="260"/>
        <v>0.7473530968766543</v>
      </c>
      <c r="AB35" s="41">
        <f t="shared" si="260"/>
        <v>0.75200342570502243</v>
      </c>
      <c r="AC35" s="41">
        <f t="shared" si="260"/>
        <v>0.75251168224299059</v>
      </c>
      <c r="AD35" s="41">
        <f t="shared" si="260"/>
        <v>0.75478059025091193</v>
      </c>
      <c r="AE35" s="41">
        <f t="shared" si="260"/>
        <v>0.74068663257852441</v>
      </c>
      <c r="AF35" s="41">
        <f t="shared" si="260"/>
        <v>0.74192281253068848</v>
      </c>
      <c r="AG35" s="41">
        <f t="shared" si="260"/>
        <v>0.72701417381574041</v>
      </c>
      <c r="AH35" s="41">
        <f t="shared" si="260"/>
        <v>0.7324070115433946</v>
      </c>
      <c r="AI35" s="41">
        <f t="shared" si="260"/>
        <v>0.67543520309477756</v>
      </c>
      <c r="AJ35" s="41">
        <f t="shared" si="260"/>
        <v>0.74000776096235932</v>
      </c>
      <c r="AK35" s="41">
        <f t="shared" si="260"/>
        <v>0.73565346168085899</v>
      </c>
      <c r="AL35" s="41">
        <f t="shared" si="260"/>
        <v>0.79454613373178928</v>
      </c>
      <c r="AM35" s="41">
        <f t="shared" si="260"/>
        <v>0.74484364604125086</v>
      </c>
      <c r="AN35" s="41">
        <f t="shared" si="260"/>
        <v>0.74123742761353251</v>
      </c>
      <c r="AO35" s="41">
        <f t="shared" si="260"/>
        <v>0.73791273584905659</v>
      </c>
      <c r="AP35" s="41">
        <f t="shared" si="260"/>
        <v>0.7374410213710797</v>
      </c>
      <c r="AQ35" s="41">
        <f t="shared" si="260"/>
        <v>0.75541878512175542</v>
      </c>
      <c r="AR35" s="41">
        <f t="shared" si="260"/>
        <v>0.75806855141356022</v>
      </c>
      <c r="AS35" s="41">
        <f t="shared" si="260"/>
        <v>0.74872590294704189</v>
      </c>
      <c r="AT35" s="41">
        <f t="shared" si="260"/>
        <v>0.74850546279117702</v>
      </c>
      <c r="AU35" s="41">
        <f t="shared" si="260"/>
        <v>0.74224049331963005</v>
      </c>
      <c r="AV35" s="41">
        <f t="shared" si="260"/>
        <v>0.74548631333721604</v>
      </c>
      <c r="AW35" s="41">
        <f t="shared" si="260"/>
        <v>0.7427569662299317</v>
      </c>
      <c r="AX35" s="41">
        <f>AX18/AX16</f>
        <v>0.74574522949974209</v>
      </c>
      <c r="AY35" s="41">
        <f t="shared" ref="AY35:BM35" si="261">AY18/AY16</f>
        <v>0.73922522220358877</v>
      </c>
      <c r="AZ35" s="41">
        <f t="shared" si="261"/>
        <v>0.74558359621451109</v>
      </c>
      <c r="BA35" s="41">
        <f t="shared" si="261"/>
        <v>0.73131283695177041</v>
      </c>
      <c r="BB35" s="41">
        <f t="shared" si="261"/>
        <v>0.72508872508872513</v>
      </c>
      <c r="BC35" s="41">
        <f t="shared" si="261"/>
        <v>0.72405883146673866</v>
      </c>
      <c r="BD35" s="41">
        <f t="shared" si="261"/>
        <v>0.72448186528497405</v>
      </c>
      <c r="BE35" s="41">
        <f t="shared" si="261"/>
        <v>0.73357151971417633</v>
      </c>
      <c r="BF35" s="41">
        <f t="shared" si="261"/>
        <v>0.74961249552879461</v>
      </c>
      <c r="BG35" s="41">
        <f t="shared" si="261"/>
        <v>0.74233054444040258</v>
      </c>
      <c r="BH35" s="41">
        <f t="shared" si="261"/>
        <v>0.75438800418458674</v>
      </c>
      <c r="BI35" s="41">
        <f t="shared" si="261"/>
        <v>0.75286697247706424</v>
      </c>
      <c r="BJ35" s="41">
        <f t="shared" si="261"/>
        <v>0.76870894799181655</v>
      </c>
      <c r="BK35" s="41">
        <f t="shared" si="261"/>
        <v>0.7632760319719698</v>
      </c>
      <c r="BL35" s="41">
        <f t="shared" si="261"/>
        <v>0.76847184986595174</v>
      </c>
      <c r="BM35" s="41">
        <f t="shared" si="261"/>
        <v>0.77710715798390517</v>
      </c>
      <c r="BN35" s="41">
        <f>BN18/BN16</f>
        <v>0.77814470129090363</v>
      </c>
      <c r="BO35" s="41">
        <f>BO18/BO16</f>
        <v>0.76955946688371146</v>
      </c>
      <c r="BP35" s="41">
        <f>BP18/BP16</f>
        <v>0.78096912856584599</v>
      </c>
      <c r="CA35" s="41">
        <f t="shared" ref="CA35:CL35" si="262">AVERAGE(AP35:AS35)</f>
        <v>0.74991356521335928</v>
      </c>
      <c r="CB35" s="41">
        <f t="shared" si="262"/>
        <v>0.75267967556838367</v>
      </c>
      <c r="CC35" s="41">
        <f t="shared" si="262"/>
        <v>0.74938510261785241</v>
      </c>
      <c r="CD35" s="41">
        <f t="shared" si="262"/>
        <v>0.74623954309876628</v>
      </c>
      <c r="CE35" s="41">
        <f t="shared" si="262"/>
        <v>0.7447473089194887</v>
      </c>
      <c r="CF35" s="41">
        <f t="shared" si="262"/>
        <v>0.74405725059662997</v>
      </c>
      <c r="CG35" s="41">
        <f t="shared" si="262"/>
        <v>0.74330343281761968</v>
      </c>
      <c r="CH35" s="41">
        <f t="shared" si="262"/>
        <v>0.74332775353694336</v>
      </c>
      <c r="CI35" s="41">
        <f t="shared" si="262"/>
        <v>0.74046672121740309</v>
      </c>
      <c r="CJ35" s="41">
        <f t="shared" si="262"/>
        <v>0.73530259511464879</v>
      </c>
      <c r="CK35" s="41">
        <f t="shared" si="262"/>
        <v>0.73151099743043635</v>
      </c>
      <c r="CL35" s="41">
        <f t="shared" si="262"/>
        <v>0.72623556469805206</v>
      </c>
      <c r="CM35" s="41">
        <f t="shared" si="257"/>
        <v>0.72680023538865357</v>
      </c>
      <c r="CN35" s="41">
        <f t="shared" si="257"/>
        <v>0.73293117799867091</v>
      </c>
      <c r="CO35" s="41">
        <f>AVERAGE(BG35:BJ35)</f>
        <v>0.75457361727346761</v>
      </c>
      <c r="CP35" s="41">
        <f>AVERAGE(BK35:BN35)</f>
        <v>0.77174993527818259</v>
      </c>
      <c r="CQ35" s="57">
        <f>CQ18/CQ16</f>
        <v>0.77500858855256927</v>
      </c>
      <c r="CR35" s="57">
        <f t="shared" ref="CR35:CX35" si="263">CR18/CR16</f>
        <v>0.78937197837739426</v>
      </c>
      <c r="CS35" s="57">
        <f t="shared" si="263"/>
        <v>0.80177389224745588</v>
      </c>
      <c r="CT35" s="57">
        <f t="shared" si="263"/>
        <v>0.80916992759177686</v>
      </c>
      <c r="CU35" s="57">
        <f t="shared" si="263"/>
        <v>0.81544361922317676</v>
      </c>
      <c r="CV35" s="57">
        <f t="shared" si="263"/>
        <v>0.82082703020954217</v>
      </c>
      <c r="CW35" s="57">
        <f t="shared" si="263"/>
        <v>0.82571579071762569</v>
      </c>
      <c r="CX35" s="57">
        <f t="shared" si="263"/>
        <v>0.82774879598040541</v>
      </c>
      <c r="CY35" s="51"/>
    </row>
    <row r="36" spans="2:160">
      <c r="B36" s="1" t="s">
        <v>252</v>
      </c>
      <c r="C36" s="41">
        <f t="shared" ref="C36:BJ36" si="264">C19/C16</f>
        <v>0.10364053788127256</v>
      </c>
      <c r="D36" s="41">
        <f t="shared" si="264"/>
        <v>9.8386586523252134E-2</v>
      </c>
      <c r="E36" s="41">
        <f t="shared" si="264"/>
        <v>9.9243570347957638E-2</v>
      </c>
      <c r="F36" s="41">
        <f t="shared" si="264"/>
        <v>0.10282485875706214</v>
      </c>
      <c r="G36" s="41">
        <f t="shared" si="264"/>
        <v>0.10642250530785563</v>
      </c>
      <c r="H36" s="41">
        <f t="shared" si="264"/>
        <v>0.10877281947261663</v>
      </c>
      <c r="I36" s="41">
        <f t="shared" si="264"/>
        <v>0.11023071545094382</v>
      </c>
      <c r="J36" s="41">
        <f t="shared" si="264"/>
        <v>0.12584810680674108</v>
      </c>
      <c r="K36" s="41">
        <f t="shared" si="264"/>
        <v>0.1294607454401269</v>
      </c>
      <c r="L36" s="41">
        <f t="shared" si="264"/>
        <v>0.13443223443223445</v>
      </c>
      <c r="M36" s="41">
        <f t="shared" si="264"/>
        <v>0.13007016943351019</v>
      </c>
      <c r="N36" s="41">
        <f t="shared" si="264"/>
        <v>0.12755182782085772</v>
      </c>
      <c r="O36" s="41">
        <f t="shared" si="264"/>
        <v>0.13630481667864844</v>
      </c>
      <c r="P36" s="41">
        <f t="shared" si="264"/>
        <v>0.13586659376708585</v>
      </c>
      <c r="Q36" s="41">
        <f t="shared" si="264"/>
        <v>0.14472349061390158</v>
      </c>
      <c r="R36" s="41">
        <f t="shared" si="264"/>
        <v>0.11927959846471804</v>
      </c>
      <c r="S36" s="41">
        <f t="shared" si="264"/>
        <v>0.14777055792068117</v>
      </c>
      <c r="T36" s="41">
        <f t="shared" si="264"/>
        <v>0.15473827186291922</v>
      </c>
      <c r="U36" s="41">
        <f t="shared" si="264"/>
        <v>0.15864312267657993</v>
      </c>
      <c r="V36" s="41">
        <f t="shared" si="264"/>
        <v>0.15115263709395738</v>
      </c>
      <c r="W36" s="41">
        <f t="shared" si="264"/>
        <v>0.14423518603582913</v>
      </c>
      <c r="X36" s="41">
        <f t="shared" si="264"/>
        <v>0.15402699833156377</v>
      </c>
      <c r="Y36" s="41">
        <f t="shared" si="264"/>
        <v>0.1412878514128785</v>
      </c>
      <c r="Z36" s="41">
        <f t="shared" si="264"/>
        <v>0.15090469562669404</v>
      </c>
      <c r="AA36" s="41">
        <f t="shared" si="264"/>
        <v>0.14696929592376917</v>
      </c>
      <c r="AB36" s="41">
        <f t="shared" si="264"/>
        <v>0.14320670459411511</v>
      </c>
      <c r="AC36" s="41">
        <f t="shared" si="264"/>
        <v>0.13971962616822428</v>
      </c>
      <c r="AD36" s="41">
        <f t="shared" si="264"/>
        <v>0.13866475074610368</v>
      </c>
      <c r="AE36" s="41">
        <f t="shared" si="264"/>
        <v>0.1361786496921632</v>
      </c>
      <c r="AF36" s="41">
        <f t="shared" si="264"/>
        <v>0.14313070804281647</v>
      </c>
      <c r="AG36" s="41">
        <f t="shared" si="264"/>
        <v>0.1452349869451697</v>
      </c>
      <c r="AH36" s="41">
        <f t="shared" si="264"/>
        <v>0.14711415134672939</v>
      </c>
      <c r="AI36" s="41">
        <f t="shared" si="264"/>
        <v>0.14545454545454545</v>
      </c>
      <c r="AJ36" s="41">
        <f t="shared" si="264"/>
        <v>0.15017462165308498</v>
      </c>
      <c r="AK36" s="41">
        <f t="shared" si="264"/>
        <v>0.14587189929655683</v>
      </c>
      <c r="AL36" s="41">
        <f t="shared" si="264"/>
        <v>0.14792678371311169</v>
      </c>
      <c r="AM36" s="41">
        <f t="shared" si="264"/>
        <v>0.14105123087159016</v>
      </c>
      <c r="AN36" s="41">
        <f t="shared" si="264"/>
        <v>0.14111551356293814</v>
      </c>
      <c r="AO36" s="41">
        <f t="shared" si="264"/>
        <v>0.14180424528301888</v>
      </c>
      <c r="AP36" s="41">
        <f t="shared" si="264"/>
        <v>0.14376908132112129</v>
      </c>
      <c r="AQ36" s="41">
        <f t="shared" si="264"/>
        <v>0.14824725715814824</v>
      </c>
      <c r="AR36" s="41">
        <f t="shared" si="264"/>
        <v>0.15186389792344257</v>
      </c>
      <c r="AS36" s="41">
        <f t="shared" si="264"/>
        <v>0.17150454243297142</v>
      </c>
      <c r="AT36" s="41">
        <f t="shared" si="264"/>
        <v>0.17130488559059986</v>
      </c>
      <c r="AU36" s="41">
        <f t="shared" si="264"/>
        <v>0.17656731757451183</v>
      </c>
      <c r="AV36" s="41">
        <f t="shared" si="264"/>
        <v>0.17433508056688021</v>
      </c>
      <c r="AW36" s="41">
        <f t="shared" si="264"/>
        <v>0.16645137479239713</v>
      </c>
      <c r="AX36" s="41">
        <f t="shared" si="264"/>
        <v>0.16142341413099537</v>
      </c>
      <c r="AY36" s="41">
        <f t="shared" si="264"/>
        <v>0.15948348146905919</v>
      </c>
      <c r="AZ36" s="41">
        <f t="shared" si="264"/>
        <v>0.16088328075709779</v>
      </c>
      <c r="BA36" s="41">
        <f t="shared" si="264"/>
        <v>0.17528777502549905</v>
      </c>
      <c r="BB36" s="41">
        <f t="shared" si="264"/>
        <v>0.17622167622167623</v>
      </c>
      <c r="BC36" s="41">
        <f t="shared" si="264"/>
        <v>0.17784374578329509</v>
      </c>
      <c r="BD36" s="41">
        <f t="shared" si="264"/>
        <v>0.17215025906735751</v>
      </c>
      <c r="BE36" s="41">
        <f t="shared" si="264"/>
        <v>0.16332780400663519</v>
      </c>
      <c r="BF36" s="41">
        <f t="shared" si="264"/>
        <v>0.13497078812447835</v>
      </c>
      <c r="BG36" s="41">
        <f t="shared" si="264"/>
        <v>0.14635625075785133</v>
      </c>
      <c r="BH36" s="41">
        <f t="shared" si="264"/>
        <v>0.14181099616412879</v>
      </c>
      <c r="BI36" s="41">
        <f t="shared" si="264"/>
        <v>0.13807339449541284</v>
      </c>
      <c r="BJ36" s="41">
        <f t="shared" si="264"/>
        <v>0.13728868310541617</v>
      </c>
      <c r="BK36" s="41">
        <f t="shared" ref="BK36:BM36" si="265">BK19/BK16</f>
        <v>0.14978648855797658</v>
      </c>
      <c r="BL36" s="41">
        <f t="shared" si="265"/>
        <v>0.14466487935656835</v>
      </c>
      <c r="BM36" s="41">
        <f t="shared" si="265"/>
        <v>0.14358322744599747</v>
      </c>
      <c r="BN36" s="41">
        <f>BN19/BN16</f>
        <v>0.14209946962874012</v>
      </c>
      <c r="BO36" s="41">
        <f>BO19/BO16</f>
        <v>0.14854003459151491</v>
      </c>
      <c r="BP36" s="41">
        <f>BP19/BP16</f>
        <v>0.14468542399374756</v>
      </c>
      <c r="CA36" s="41">
        <f t="shared" ref="CA36:CO36" si="266">CA19/CA16</f>
        <v>0.10103408655687476</v>
      </c>
      <c r="CB36" s="41">
        <f t="shared" si="266"/>
        <v>0.11332367849384503</v>
      </c>
      <c r="CC36" s="41">
        <f t="shared" si="266"/>
        <v>0.13028324362481247</v>
      </c>
      <c r="CD36" s="41">
        <f t="shared" si="266"/>
        <v>0.13290630028468869</v>
      </c>
      <c r="CE36" s="41">
        <f t="shared" si="266"/>
        <v>0.15323392861529392</v>
      </c>
      <c r="CF36" s="41">
        <f t="shared" si="266"/>
        <v>0.14757332142325441</v>
      </c>
      <c r="CG36" s="41">
        <f t="shared" si="266"/>
        <v>0.14193151650593194</v>
      </c>
      <c r="CH36" s="41">
        <f t="shared" si="266"/>
        <v>0.14319070759748725</v>
      </c>
      <c r="CI36" s="41">
        <f t="shared" si="266"/>
        <v>0.14734345351043643</v>
      </c>
      <c r="CJ36" s="41">
        <f t="shared" si="266"/>
        <v>0.1419966872458967</v>
      </c>
      <c r="CK36" s="41">
        <f t="shared" si="266"/>
        <v>0.16177330681951105</v>
      </c>
      <c r="CL36" s="41">
        <f t="shared" si="266"/>
        <v>0.16930171277997366</v>
      </c>
      <c r="CM36" s="41">
        <f t="shared" si="266"/>
        <v>0.16854144647440736</v>
      </c>
      <c r="CN36" s="41">
        <f t="shared" si="266"/>
        <v>0.16134587785042259</v>
      </c>
      <c r="CO36" s="41">
        <f t="shared" si="266"/>
        <v>0.14074647846917404</v>
      </c>
      <c r="CP36" s="41">
        <f>CP19/CP16</f>
        <v>0.14495316004749967</v>
      </c>
      <c r="CQ36" s="57">
        <v>0.14749999999999999</v>
      </c>
      <c r="CR36" s="57">
        <v>0.14749999999999999</v>
      </c>
      <c r="CS36" s="57">
        <v>0.14499999999999999</v>
      </c>
      <c r="CT36" s="57">
        <v>0.14249999999999999</v>
      </c>
      <c r="CU36" s="57">
        <v>0.14000000000000001</v>
      </c>
      <c r="CV36" s="57">
        <v>0.14000000000000001</v>
      </c>
      <c r="CW36" s="57">
        <v>0.14000000000000001</v>
      </c>
      <c r="CX36" s="57">
        <v>0.14000000000000001</v>
      </c>
      <c r="CY36" s="51"/>
    </row>
    <row r="37" spans="2:160">
      <c r="B37" s="47" t="s">
        <v>253</v>
      </c>
      <c r="C37" s="41">
        <f t="shared" ref="C37:BJ37" si="267">C20/C16</f>
        <v>0.4532633650377173</v>
      </c>
      <c r="D37" s="41">
        <f t="shared" si="267"/>
        <v>0.46251186333438776</v>
      </c>
      <c r="E37" s="41">
        <f t="shared" si="267"/>
        <v>0.46021180030257186</v>
      </c>
      <c r="F37" s="41">
        <f t="shared" si="267"/>
        <v>0.47627118644067795</v>
      </c>
      <c r="G37" s="41">
        <f t="shared" si="267"/>
        <v>0.4668259023354564</v>
      </c>
      <c r="H37" s="41">
        <f t="shared" si="267"/>
        <v>0.46247464503042596</v>
      </c>
      <c r="I37" s="41">
        <f t="shared" si="267"/>
        <v>0.46725704963877879</v>
      </c>
      <c r="J37" s="41">
        <f t="shared" si="267"/>
        <v>0.51039614795360033</v>
      </c>
      <c r="K37" s="41">
        <f t="shared" si="267"/>
        <v>0.50455987311657413</v>
      </c>
      <c r="L37" s="41">
        <f t="shared" si="267"/>
        <v>0.51831501831501836</v>
      </c>
      <c r="M37" s="41">
        <f t="shared" si="267"/>
        <v>0.52147869245250733</v>
      </c>
      <c r="N37" s="41">
        <f t="shared" si="267"/>
        <v>0.51827820857730644</v>
      </c>
      <c r="O37" s="41">
        <f t="shared" si="267"/>
        <v>0.53170381020848323</v>
      </c>
      <c r="P37" s="41">
        <f t="shared" si="267"/>
        <v>0.5196828868234008</v>
      </c>
      <c r="Q37" s="41">
        <f t="shared" si="267"/>
        <v>0.54337899543378987</v>
      </c>
      <c r="R37" s="41">
        <f t="shared" si="267"/>
        <v>0.42859954728865268</v>
      </c>
      <c r="S37" s="41">
        <f t="shared" si="267"/>
        <v>0.52263051758906565</v>
      </c>
      <c r="T37" s="41">
        <f t="shared" si="267"/>
        <v>0.50214188695016193</v>
      </c>
      <c r="U37" s="41">
        <f t="shared" si="267"/>
        <v>0.54014869888475825</v>
      </c>
      <c r="V37" s="41">
        <f t="shared" si="267"/>
        <v>0.55867970660146693</v>
      </c>
      <c r="W37" s="41">
        <f t="shared" si="267"/>
        <v>0.48943500229673859</v>
      </c>
      <c r="X37" s="41">
        <f t="shared" si="267"/>
        <v>0.50963142727134847</v>
      </c>
      <c r="Y37" s="41">
        <f t="shared" si="267"/>
        <v>0.51282792512827924</v>
      </c>
      <c r="Z37" s="41">
        <f t="shared" si="267"/>
        <v>0.539227895392279</v>
      </c>
      <c r="AA37" s="41">
        <f t="shared" si="267"/>
        <v>0.46347273689782942</v>
      </c>
      <c r="AB37" s="41">
        <f t="shared" si="267"/>
        <v>0.48553251361106015</v>
      </c>
      <c r="AC37" s="41">
        <f t="shared" si="267"/>
        <v>0.47827102803738314</v>
      </c>
      <c r="AD37" s="41">
        <f t="shared" si="267"/>
        <v>0.49209682767768315</v>
      </c>
      <c r="AE37" s="41">
        <f t="shared" si="267"/>
        <v>0.46739017009287281</v>
      </c>
      <c r="AF37" s="41">
        <f t="shared" si="267"/>
        <v>0.45904939605224393</v>
      </c>
      <c r="AG37" s="41">
        <f t="shared" si="267"/>
        <v>0.46526482655725476</v>
      </c>
      <c r="AH37" s="41">
        <f t="shared" si="267"/>
        <v>0.41992304403591274</v>
      </c>
      <c r="AI37" s="41">
        <f t="shared" si="267"/>
        <v>0.42785299806576405</v>
      </c>
      <c r="AJ37" s="41">
        <f t="shared" si="267"/>
        <v>0.4474194800155219</v>
      </c>
      <c r="AK37" s="41">
        <f t="shared" si="267"/>
        <v>0.43206219918548688</v>
      </c>
      <c r="AL37" s="41">
        <f t="shared" si="267"/>
        <v>0.46507284273440419</v>
      </c>
      <c r="AM37" s="41">
        <f t="shared" si="267"/>
        <v>0.44211576846307388</v>
      </c>
      <c r="AN37" s="41">
        <f t="shared" si="267"/>
        <v>0.45839683023468453</v>
      </c>
      <c r="AO37" s="41">
        <f t="shared" si="267"/>
        <v>0.46816037735849059</v>
      </c>
      <c r="AP37" s="41">
        <f t="shared" si="267"/>
        <v>0.45600888148764918</v>
      </c>
      <c r="AQ37" s="41">
        <f t="shared" si="267"/>
        <v>0.45410757291945408</v>
      </c>
      <c r="AR37" s="41">
        <f t="shared" si="267"/>
        <v>0.49787340505379035</v>
      </c>
      <c r="AS37" s="41">
        <f t="shared" si="267"/>
        <v>0.45712386439175717</v>
      </c>
      <c r="AT37" s="41">
        <f t="shared" si="267"/>
        <v>0.48361162646876932</v>
      </c>
      <c r="AU37" s="41">
        <f t="shared" si="267"/>
        <v>0.49126413155190135</v>
      </c>
      <c r="AV37" s="41">
        <f t="shared" si="267"/>
        <v>0.44166181324014753</v>
      </c>
      <c r="AW37" s="41">
        <f t="shared" si="267"/>
        <v>0.43864181583317957</v>
      </c>
      <c r="AX37" s="41">
        <f t="shared" si="267"/>
        <v>0.45246690734055356</v>
      </c>
      <c r="AY37" s="41">
        <f t="shared" si="267"/>
        <v>0.42663089049136343</v>
      </c>
      <c r="AZ37" s="41">
        <f t="shared" si="267"/>
        <v>0.43154574132492113</v>
      </c>
      <c r="BA37" s="41">
        <f t="shared" si="267"/>
        <v>0.45330030598863469</v>
      </c>
      <c r="BB37" s="41">
        <f t="shared" si="267"/>
        <v>0.47283647283647284</v>
      </c>
      <c r="BC37" s="41">
        <f t="shared" si="267"/>
        <v>0.45499932532721632</v>
      </c>
      <c r="BD37" s="41">
        <f t="shared" si="267"/>
        <v>0.44352331606217615</v>
      </c>
      <c r="BE37" s="41">
        <f t="shared" si="267"/>
        <v>0.42682148781421464</v>
      </c>
      <c r="BF37" s="41">
        <f t="shared" si="267"/>
        <v>0.40360081077858589</v>
      </c>
      <c r="BG37" s="41">
        <f t="shared" si="267"/>
        <v>0.38244210015763308</v>
      </c>
      <c r="BH37" s="41">
        <f t="shared" si="267"/>
        <v>0.36185051726142042</v>
      </c>
      <c r="BI37" s="41">
        <f t="shared" si="267"/>
        <v>0.36387614678899083</v>
      </c>
      <c r="BJ37" s="41">
        <f t="shared" si="267"/>
        <v>0.37008721869279637</v>
      </c>
      <c r="BK37" s="41">
        <f t="shared" ref="BK37:BM37" si="268">BK20/BK16</f>
        <v>0.35464797985327934</v>
      </c>
      <c r="BL37" s="41">
        <f t="shared" si="268"/>
        <v>0.34573726541554961</v>
      </c>
      <c r="BM37" s="41">
        <f t="shared" si="268"/>
        <v>0.35186361711139347</v>
      </c>
      <c r="BN37" s="41">
        <f>BN20/BN16</f>
        <v>0.34734314019813872</v>
      </c>
      <c r="BO37" s="41">
        <f>BO20/BO16</f>
        <v>0.34886560179061959</v>
      </c>
      <c r="BP37" s="41">
        <f>BP20/BP16</f>
        <v>0.33636186010160218</v>
      </c>
      <c r="CA37" s="41">
        <f t="shared" ref="CA37:CO37" si="269">CA20/CA16</f>
        <v>0.46350057449253163</v>
      </c>
      <c r="CB37" s="41">
        <f t="shared" si="269"/>
        <v>0.47791455467052851</v>
      </c>
      <c r="CC37" s="41">
        <f t="shared" si="269"/>
        <v>0.51605929586164301</v>
      </c>
      <c r="CD37" s="41">
        <f t="shared" si="269"/>
        <v>0.49941205594751831</v>
      </c>
      <c r="CE37" s="41">
        <f t="shared" si="269"/>
        <v>0.53258493207890156</v>
      </c>
      <c r="CF37" s="41">
        <f t="shared" si="269"/>
        <v>0.51306386779812407</v>
      </c>
      <c r="CG37" s="41">
        <f t="shared" si="269"/>
        <v>0.48044935731105548</v>
      </c>
      <c r="CH37" s="41">
        <f t="shared" si="269"/>
        <v>0.45167713642289908</v>
      </c>
      <c r="CI37" s="41">
        <f t="shared" si="269"/>
        <v>0.44316888045540798</v>
      </c>
      <c r="CJ37" s="41">
        <f t="shared" si="269"/>
        <v>0.45655774732720977</v>
      </c>
      <c r="CK37" s="41">
        <f t="shared" si="269"/>
        <v>0.47350567317814951</v>
      </c>
      <c r="CL37" s="41">
        <f t="shared" si="269"/>
        <v>0.45520421607378131</v>
      </c>
      <c r="CM37" s="41">
        <f t="shared" si="269"/>
        <v>0.44749358296844333</v>
      </c>
      <c r="CN37" s="41">
        <f t="shared" si="269"/>
        <v>0.43138255461648861</v>
      </c>
      <c r="CO37" s="41">
        <f t="shared" si="269"/>
        <v>0.36942364517887366</v>
      </c>
      <c r="CP37" s="41">
        <f>CP20/CP16</f>
        <v>0.34983507058978758</v>
      </c>
      <c r="CQ37" s="57">
        <v>0.34250000000000003</v>
      </c>
      <c r="CR37" s="57">
        <v>0.33</v>
      </c>
      <c r="CS37" s="57">
        <v>0.32500000000000001</v>
      </c>
      <c r="CT37" s="57">
        <v>0.32</v>
      </c>
      <c r="CU37" s="57">
        <v>0.315</v>
      </c>
      <c r="CV37" s="57">
        <v>0.31</v>
      </c>
      <c r="CW37" s="57">
        <v>0.30499999999999999</v>
      </c>
      <c r="CX37" s="57">
        <v>0.3</v>
      </c>
      <c r="CY37" s="51"/>
    </row>
    <row r="38" spans="2:160">
      <c r="B38" s="47" t="s">
        <v>254</v>
      </c>
      <c r="C38" s="41">
        <f t="shared" ref="C38:BJ38" si="270">C21/C16</f>
        <v>0.14168579862249919</v>
      </c>
      <c r="D38" s="41">
        <f t="shared" si="270"/>
        <v>0.14805441316039225</v>
      </c>
      <c r="E38" s="41">
        <f t="shared" si="270"/>
        <v>0.15098335854765507</v>
      </c>
      <c r="F38" s="41">
        <f t="shared" si="270"/>
        <v>0.15677966101694915</v>
      </c>
      <c r="G38" s="41">
        <f t="shared" si="270"/>
        <v>0.14915074309978768</v>
      </c>
      <c r="H38" s="41">
        <f t="shared" si="270"/>
        <v>0.15618661257606492</v>
      </c>
      <c r="I38" s="41">
        <f t="shared" si="270"/>
        <v>0.14914938242833836</v>
      </c>
      <c r="J38" s="41">
        <f t="shared" si="270"/>
        <v>0.16239877434887284</v>
      </c>
      <c r="K38" s="41">
        <f t="shared" si="270"/>
        <v>0.16712926249008722</v>
      </c>
      <c r="L38" s="41">
        <f t="shared" si="270"/>
        <v>0.15457875457875458</v>
      </c>
      <c r="M38" s="41">
        <f t="shared" si="270"/>
        <v>0.14581550573335617</v>
      </c>
      <c r="N38" s="41">
        <f t="shared" si="270"/>
        <v>0.1484412090520652</v>
      </c>
      <c r="O38" s="41">
        <f t="shared" si="270"/>
        <v>0.14608195542774982</v>
      </c>
      <c r="P38" s="41">
        <f t="shared" si="270"/>
        <v>0.14092400218698742</v>
      </c>
      <c r="Q38" s="41">
        <f t="shared" si="270"/>
        <v>0.14434297311009639</v>
      </c>
      <c r="R38" s="41">
        <f t="shared" si="270"/>
        <v>0.11357149886822164</v>
      </c>
      <c r="S38" s="41">
        <f t="shared" si="270"/>
        <v>0.14541788034954067</v>
      </c>
      <c r="T38" s="41">
        <f t="shared" si="270"/>
        <v>0.15724584682896248</v>
      </c>
      <c r="U38" s="41">
        <f t="shared" si="270"/>
        <v>0.14302973977695169</v>
      </c>
      <c r="V38" s="41">
        <f t="shared" si="270"/>
        <v>0.14198393293747816</v>
      </c>
      <c r="W38" s="41">
        <f t="shared" si="270"/>
        <v>0.12410044403613535</v>
      </c>
      <c r="X38" s="41">
        <f t="shared" si="270"/>
        <v>0.12824207492795389</v>
      </c>
      <c r="Y38" s="41">
        <f t="shared" si="270"/>
        <v>0.12097998120979982</v>
      </c>
      <c r="Z38" s="41">
        <f t="shared" si="270"/>
        <v>0.13288403779942862</v>
      </c>
      <c r="AA38" s="41">
        <f t="shared" si="270"/>
        <v>0.11633139227104289</v>
      </c>
      <c r="AB38" s="41">
        <f t="shared" si="270"/>
        <v>0.11115189331375787</v>
      </c>
      <c r="AC38" s="41">
        <f t="shared" si="270"/>
        <v>0.10911214953271028</v>
      </c>
      <c r="AD38" s="41">
        <f t="shared" si="270"/>
        <v>0.11268928926716038</v>
      </c>
      <c r="AE38" s="41">
        <f t="shared" si="270"/>
        <v>0.10998643431075865</v>
      </c>
      <c r="AF38" s="41">
        <f t="shared" si="270"/>
        <v>0.12378473927133458</v>
      </c>
      <c r="AG38" s="41">
        <f t="shared" si="270"/>
        <v>0.11506900410294665</v>
      </c>
      <c r="AH38" s="41">
        <f t="shared" si="270"/>
        <v>0.10961949551090208</v>
      </c>
      <c r="AI38" s="41">
        <f t="shared" si="270"/>
        <v>0.10058027079303675</v>
      </c>
      <c r="AJ38" s="41">
        <f t="shared" si="270"/>
        <v>0.10981761738455569</v>
      </c>
      <c r="AK38" s="41">
        <f t="shared" si="270"/>
        <v>0.10033320992225102</v>
      </c>
      <c r="AL38" s="41">
        <f t="shared" si="270"/>
        <v>0.10272693313410534</v>
      </c>
      <c r="AM38" s="41">
        <f t="shared" si="270"/>
        <v>9.8137059214903524E-2</v>
      </c>
      <c r="AN38" s="41">
        <f t="shared" si="270"/>
        <v>0.10667479427003962</v>
      </c>
      <c r="AO38" s="41">
        <f t="shared" si="270"/>
        <v>0.10082547169811321</v>
      </c>
      <c r="AP38" s="41">
        <f t="shared" si="270"/>
        <v>9.9639189564252009E-2</v>
      </c>
      <c r="AQ38" s="41">
        <f t="shared" si="270"/>
        <v>9.6869146374096868E-2</v>
      </c>
      <c r="AR38" s="41">
        <f t="shared" si="270"/>
        <v>9.3820365273955472E-2</v>
      </c>
      <c r="AS38" s="41">
        <f t="shared" si="270"/>
        <v>0.10569465987148238</v>
      </c>
      <c r="AT38" s="41">
        <f t="shared" si="270"/>
        <v>0.10101010101010101</v>
      </c>
      <c r="AU38" s="41">
        <f t="shared" si="270"/>
        <v>0.10318602261048304</v>
      </c>
      <c r="AV38" s="41">
        <f t="shared" si="270"/>
        <v>9.4933022714036114E-2</v>
      </c>
      <c r="AW38" s="41">
        <f t="shared" si="270"/>
        <v>9.6327735744602322E-2</v>
      </c>
      <c r="AX38" s="41">
        <f t="shared" si="270"/>
        <v>9.8676293622142003E-2</v>
      </c>
      <c r="AY38" s="41">
        <f t="shared" si="270"/>
        <v>9.3744759349320805E-2</v>
      </c>
      <c r="AZ38" s="41">
        <f t="shared" si="270"/>
        <v>0.10078864353312303</v>
      </c>
      <c r="BA38" s="41">
        <f t="shared" si="270"/>
        <v>9.7187818738161152E-2</v>
      </c>
      <c r="BB38" s="41">
        <f t="shared" si="270"/>
        <v>0.10005460005460005</v>
      </c>
      <c r="BC38" s="41">
        <f t="shared" si="270"/>
        <v>8.8517069221427602E-2</v>
      </c>
      <c r="BD38" s="41">
        <f t="shared" si="270"/>
        <v>8.3808290155440418E-2</v>
      </c>
      <c r="BE38" s="41">
        <f t="shared" si="270"/>
        <v>8.4726298328442001E-2</v>
      </c>
      <c r="BF38" s="41">
        <f t="shared" si="270"/>
        <v>6.9870036961964949E-2</v>
      </c>
      <c r="BG38" s="41">
        <f t="shared" si="270"/>
        <v>7.7361464775069722E-2</v>
      </c>
      <c r="BH38" s="41">
        <f t="shared" si="270"/>
        <v>7.3462745553876552E-2</v>
      </c>
      <c r="BI38" s="41">
        <f t="shared" si="270"/>
        <v>7.247706422018349E-2</v>
      </c>
      <c r="BJ38" s="41">
        <f t="shared" si="270"/>
        <v>6.8052115860880807E-2</v>
      </c>
      <c r="BK38" s="41">
        <f t="shared" ref="BK38:BM38" si="271">BK21/BK16</f>
        <v>7.0842001532902654E-2</v>
      </c>
      <c r="BL38" s="41">
        <f t="shared" si="271"/>
        <v>7.6246648793565686E-2</v>
      </c>
      <c r="BM38" s="41">
        <f t="shared" si="271"/>
        <v>7.52858958068615E-2</v>
      </c>
      <c r="BN38" s="41">
        <f>BN21/BN16</f>
        <v>7.6753727609326527E-2</v>
      </c>
      <c r="BO38" s="41">
        <f>BO21/BO16</f>
        <v>7.0912605554990335E-2</v>
      </c>
      <c r="BP38" s="41">
        <f>BP21/BP16</f>
        <v>7.1707698319656121E-2</v>
      </c>
      <c r="CA38" s="41">
        <f t="shared" ref="CA38:CO38" si="272">CA21/CA16</f>
        <v>0.14967445423209499</v>
      </c>
      <c r="CB38" s="41">
        <f t="shared" si="272"/>
        <v>0.15447743181269608</v>
      </c>
      <c r="CC38" s="41">
        <f t="shared" si="272"/>
        <v>0.15340157063443041</v>
      </c>
      <c r="CD38" s="41">
        <f t="shared" si="272"/>
        <v>0.13426785493254115</v>
      </c>
      <c r="CE38" s="41">
        <f t="shared" si="272"/>
        <v>0.14660148861431135</v>
      </c>
      <c r="CF38" s="41">
        <f t="shared" si="272"/>
        <v>0.12654458835789786</v>
      </c>
      <c r="CG38" s="41">
        <f t="shared" si="272"/>
        <v>0.11221933916277954</v>
      </c>
      <c r="CH38" s="41">
        <f t="shared" si="272"/>
        <v>0.11450752637193315</v>
      </c>
      <c r="CI38" s="41">
        <f t="shared" si="272"/>
        <v>0.10332068311195446</v>
      </c>
      <c r="CJ38" s="41">
        <f t="shared" si="272"/>
        <v>0.10134015961451588</v>
      </c>
      <c r="CK38" s="41">
        <f t="shared" si="272"/>
        <v>9.9660779038484026E-2</v>
      </c>
      <c r="CL38" s="41">
        <f t="shared" si="272"/>
        <v>9.8202522115565599E-2</v>
      </c>
      <c r="CM38" s="41">
        <f t="shared" si="272"/>
        <v>9.8067341084100867E-2</v>
      </c>
      <c r="CN38" s="41">
        <f t="shared" si="272"/>
        <v>8.1422420666560358E-2</v>
      </c>
      <c r="CO38" s="41">
        <f t="shared" si="272"/>
        <v>7.269701925007889E-2</v>
      </c>
      <c r="CP38" s="41">
        <f>CP21/CP16</f>
        <v>7.4838369177991818E-2</v>
      </c>
      <c r="CQ38" s="57">
        <v>7.2499999999999995E-2</v>
      </c>
      <c r="CR38" s="57">
        <v>7.0000000000000007E-2</v>
      </c>
      <c r="CS38" s="57">
        <v>6.7500000000000004E-2</v>
      </c>
      <c r="CT38" s="57">
        <v>6.5000000000000002E-2</v>
      </c>
      <c r="CU38" s="57">
        <v>6.25E-2</v>
      </c>
      <c r="CV38" s="57">
        <v>0.06</v>
      </c>
      <c r="CW38" s="57">
        <v>0.06</v>
      </c>
      <c r="CX38" s="57">
        <v>0.06</v>
      </c>
      <c r="CY38" s="51"/>
    </row>
    <row r="39" spans="2:160">
      <c r="B39" s="1" t="s">
        <v>251</v>
      </c>
      <c r="C39" s="41">
        <f t="shared" ref="C39:BJ39" si="273">C22/C16</f>
        <v>0.59494916366021644</v>
      </c>
      <c r="D39" s="41">
        <f t="shared" si="273"/>
        <v>0.61056627649478012</v>
      </c>
      <c r="E39" s="41">
        <f t="shared" si="273"/>
        <v>0.61119515885022691</v>
      </c>
      <c r="F39" s="41">
        <f t="shared" si="273"/>
        <v>0.63305084745762707</v>
      </c>
      <c r="G39" s="41">
        <f t="shared" si="273"/>
        <v>0.615976645435244</v>
      </c>
      <c r="H39" s="41">
        <f t="shared" si="273"/>
        <v>0.61866125760649082</v>
      </c>
      <c r="I39" s="41">
        <f t="shared" si="273"/>
        <v>0.6164064320671172</v>
      </c>
      <c r="J39" s="41">
        <f t="shared" si="273"/>
        <v>0.67279492230247318</v>
      </c>
      <c r="K39" s="41">
        <f t="shared" si="273"/>
        <v>0.67168913560666144</v>
      </c>
      <c r="L39" s="41">
        <f t="shared" si="273"/>
        <v>0.67289377289377283</v>
      </c>
      <c r="M39" s="41">
        <f t="shared" si="273"/>
        <v>0.66729419818586344</v>
      </c>
      <c r="N39" s="41">
        <f t="shared" si="273"/>
        <v>0.6667194176293717</v>
      </c>
      <c r="O39" s="41">
        <f t="shared" si="273"/>
        <v>0.67778576563623305</v>
      </c>
      <c r="P39" s="41">
        <f t="shared" si="273"/>
        <v>0.66060688901038822</v>
      </c>
      <c r="Q39" s="41">
        <f t="shared" si="273"/>
        <v>0.68772196854388623</v>
      </c>
      <c r="R39" s="41">
        <f t="shared" si="273"/>
        <v>0.54217104615687428</v>
      </c>
      <c r="S39" s="41">
        <f t="shared" si="273"/>
        <v>0.66804839793860638</v>
      </c>
      <c r="T39" s="41">
        <f t="shared" si="273"/>
        <v>0.65938773377912441</v>
      </c>
      <c r="U39" s="41">
        <f t="shared" si="273"/>
        <v>0.68317843866170991</v>
      </c>
      <c r="V39" s="41">
        <f t="shared" si="273"/>
        <v>0.70066363953894506</v>
      </c>
      <c r="W39" s="41">
        <f t="shared" si="273"/>
        <v>0.61353544633287393</v>
      </c>
      <c r="X39" s="41">
        <f t="shared" si="273"/>
        <v>0.63787350219930239</v>
      </c>
      <c r="Y39" s="41">
        <f t="shared" si="273"/>
        <v>0.63380790633807904</v>
      </c>
      <c r="Z39" s="41">
        <f t="shared" si="273"/>
        <v>0.67211193319170759</v>
      </c>
      <c r="AA39" s="41">
        <f t="shared" si="273"/>
        <v>0.57980412916887225</v>
      </c>
      <c r="AB39" s="41">
        <f t="shared" si="273"/>
        <v>0.59668440692481806</v>
      </c>
      <c r="AC39" s="41">
        <f t="shared" si="273"/>
        <v>0.5873831775700934</v>
      </c>
      <c r="AD39" s="41">
        <f t="shared" si="273"/>
        <v>0.60478611694484352</v>
      </c>
      <c r="AE39" s="41">
        <f t="shared" si="273"/>
        <v>0.57737660440363137</v>
      </c>
      <c r="AF39" s="41">
        <f t="shared" si="273"/>
        <v>0.58283413532357853</v>
      </c>
      <c r="AG39" s="41">
        <f t="shared" si="273"/>
        <v>0.58033383066020139</v>
      </c>
      <c r="AH39" s="41">
        <f t="shared" si="273"/>
        <v>0.52954253954681485</v>
      </c>
      <c r="AI39" s="41">
        <f t="shared" si="273"/>
        <v>0.52843326885880082</v>
      </c>
      <c r="AJ39" s="41">
        <f t="shared" si="273"/>
        <v>0.55723709740007765</v>
      </c>
      <c r="AK39" s="41">
        <f t="shared" si="273"/>
        <v>0.53239540910773786</v>
      </c>
      <c r="AL39" s="41">
        <f t="shared" si="273"/>
        <v>0.56779977586850949</v>
      </c>
      <c r="AM39" s="41">
        <f t="shared" si="273"/>
        <v>0.54025282767797733</v>
      </c>
      <c r="AN39" s="41">
        <f t="shared" si="273"/>
        <v>0.56507162450472415</v>
      </c>
      <c r="AO39" s="41">
        <f t="shared" si="273"/>
        <v>0.56898584905660377</v>
      </c>
      <c r="AP39" s="41">
        <f t="shared" si="273"/>
        <v>0.55564807105190117</v>
      </c>
      <c r="AQ39" s="41">
        <f t="shared" si="273"/>
        <v>0.55097671929355096</v>
      </c>
      <c r="AR39" s="41">
        <f t="shared" si="273"/>
        <v>0.59169377032774584</v>
      </c>
      <c r="AS39" s="41">
        <f t="shared" si="273"/>
        <v>0.56281852426323953</v>
      </c>
      <c r="AT39" s="41">
        <f t="shared" si="273"/>
        <v>0.58462172747887031</v>
      </c>
      <c r="AU39" s="41">
        <f t="shared" si="273"/>
        <v>0.59445015416238434</v>
      </c>
      <c r="AV39" s="41">
        <f t="shared" si="273"/>
        <v>0.53659483595418367</v>
      </c>
      <c r="AW39" s="41">
        <f t="shared" si="273"/>
        <v>0.53496955157778192</v>
      </c>
      <c r="AX39" s="41">
        <f t="shared" si="273"/>
        <v>0.55114320096269553</v>
      </c>
      <c r="AY39" s="41">
        <f t="shared" si="273"/>
        <v>0.52037564984068418</v>
      </c>
      <c r="AZ39" s="41">
        <f t="shared" si="273"/>
        <v>0.53233438485804419</v>
      </c>
      <c r="BA39" s="41">
        <f t="shared" si="273"/>
        <v>0.55048812472679587</v>
      </c>
      <c r="BB39" s="41">
        <f t="shared" si="273"/>
        <v>0.57289107289107288</v>
      </c>
      <c r="BC39" s="41">
        <f t="shared" si="273"/>
        <v>0.54351639454864387</v>
      </c>
      <c r="BD39" s="41">
        <f t="shared" si="273"/>
        <v>0.52733160621761654</v>
      </c>
      <c r="BE39" s="41">
        <f t="shared" si="273"/>
        <v>0.51154778614265661</v>
      </c>
      <c r="BF39" s="41">
        <f t="shared" si="273"/>
        <v>0.47347084774055087</v>
      </c>
      <c r="BG39" s="41">
        <f t="shared" si="273"/>
        <v>0.4598035649327028</v>
      </c>
      <c r="BH39" s="41">
        <f t="shared" si="273"/>
        <v>0.43531326281529698</v>
      </c>
      <c r="BI39" s="41">
        <f t="shared" si="273"/>
        <v>0.43635321100917429</v>
      </c>
      <c r="BJ39" s="41">
        <f t="shared" si="273"/>
        <v>0.43813933455367721</v>
      </c>
      <c r="BK39" s="41">
        <f t="shared" ref="BK39:BM39" si="274">BK22/BK16</f>
        <v>0.42548998138618199</v>
      </c>
      <c r="BL39" s="41">
        <f t="shared" si="274"/>
        <v>0.4219839142091153</v>
      </c>
      <c r="BM39" s="41">
        <f t="shared" si="274"/>
        <v>0.42714951291825498</v>
      </c>
      <c r="BN39" s="41">
        <f>BN22/BN16</f>
        <v>0.42409686780746525</v>
      </c>
      <c r="BO39" s="41">
        <f>BO22/BO16</f>
        <v>0.41977820734560994</v>
      </c>
      <c r="BP39" s="41">
        <f>BP22/BP16</f>
        <v>0.4080695584212583</v>
      </c>
      <c r="CA39" s="41">
        <f t="shared" ref="CA39:CO39" si="275">CA22/CA16</f>
        <v>0.61317502872462659</v>
      </c>
      <c r="CB39" s="41">
        <f t="shared" si="275"/>
        <v>0.63239198648322459</v>
      </c>
      <c r="CC39" s="41">
        <f t="shared" si="275"/>
        <v>0.6694608664960735</v>
      </c>
      <c r="CD39" s="41">
        <f t="shared" si="275"/>
        <v>0.63367991088005948</v>
      </c>
      <c r="CE39" s="41">
        <f t="shared" si="275"/>
        <v>0.679186420693213</v>
      </c>
      <c r="CF39" s="41">
        <f t="shared" si="275"/>
        <v>0.63960845615602202</v>
      </c>
      <c r="CG39" s="41">
        <f t="shared" si="275"/>
        <v>0.59266869647383502</v>
      </c>
      <c r="CH39" s="41">
        <f t="shared" si="275"/>
        <v>0.56618466279483226</v>
      </c>
      <c r="CI39" s="41">
        <f t="shared" si="275"/>
        <v>0.54648956356736245</v>
      </c>
      <c r="CJ39" s="41">
        <f t="shared" si="275"/>
        <v>0.5578979069417257</v>
      </c>
      <c r="CK39" s="41">
        <f t="shared" si="275"/>
        <v>0.57316645221663354</v>
      </c>
      <c r="CL39" s="41">
        <f t="shared" si="275"/>
        <v>0.55340673818934694</v>
      </c>
      <c r="CM39" s="41">
        <f t="shared" si="275"/>
        <v>0.54556092405254419</v>
      </c>
      <c r="CN39" s="41">
        <f t="shared" si="275"/>
        <v>0.51280497528304891</v>
      </c>
      <c r="CO39" s="41">
        <f t="shared" si="275"/>
        <v>0.44212066442895259</v>
      </c>
      <c r="CP39" s="41">
        <f>CP22/CP16</f>
        <v>0.42467343976777938</v>
      </c>
      <c r="CQ39" s="57">
        <f>CQ22/CQ16</f>
        <v>0.41500000000000004</v>
      </c>
      <c r="CR39" s="57">
        <f t="shared" ref="CR39:CX39" si="276">CR22/CR16</f>
        <v>0.4</v>
      </c>
      <c r="CS39" s="57">
        <f t="shared" si="276"/>
        <v>0.39250000000000007</v>
      </c>
      <c r="CT39" s="57">
        <f t="shared" si="276"/>
        <v>0.38500000000000001</v>
      </c>
      <c r="CU39" s="57">
        <f t="shared" si="276"/>
        <v>0.3775</v>
      </c>
      <c r="CV39" s="57">
        <f t="shared" si="276"/>
        <v>0.37000000000000005</v>
      </c>
      <c r="CW39" s="57">
        <f t="shared" si="276"/>
        <v>0.36499999999999999</v>
      </c>
      <c r="CX39" s="57">
        <f t="shared" si="276"/>
        <v>0.36</v>
      </c>
      <c r="CY39" s="51"/>
    </row>
    <row r="40" spans="2:160" s="41" customFormat="1">
      <c r="B40" s="41" t="s">
        <v>122</v>
      </c>
      <c r="C40" s="41">
        <f t="shared" ref="C40:AY40" si="277">C24/C16</f>
        <v>9.8720892095768994E-2</v>
      </c>
      <c r="D40" s="41">
        <f t="shared" si="277"/>
        <v>9.3324897184435485E-2</v>
      </c>
      <c r="E40" s="41">
        <f t="shared" si="277"/>
        <v>9.1074130105900139E-2</v>
      </c>
      <c r="F40" s="41">
        <f t="shared" si="277"/>
        <v>7.1751412429378464E-2</v>
      </c>
      <c r="G40" s="41">
        <f t="shared" si="277"/>
        <v>8.7579617834395052E-2</v>
      </c>
      <c r="H40" s="41">
        <f t="shared" si="277"/>
        <v>7.5304259634888418E-2</v>
      </c>
      <c r="I40" s="41">
        <f t="shared" si="277"/>
        <v>8.203216033558608E-2</v>
      </c>
      <c r="J40" s="41">
        <f t="shared" si="277"/>
        <v>-6.5659881812215226E-4</v>
      </c>
      <c r="K40" s="41">
        <f t="shared" si="277"/>
        <v>-5.5511498810469238E-3</v>
      </c>
      <c r="L40" s="41">
        <f t="shared" si="277"/>
        <v>-2.8754578754578628E-2</v>
      </c>
      <c r="M40" s="41">
        <f t="shared" si="277"/>
        <v>-1.7456785897655393E-2</v>
      </c>
      <c r="N40" s="41">
        <f t="shared" si="277"/>
        <v>-9.9699319512580389E-3</v>
      </c>
      <c r="O40" s="41">
        <f t="shared" si="277"/>
        <v>-3.2063263838964871E-2</v>
      </c>
      <c r="P40" s="41">
        <f t="shared" si="277"/>
        <v>-1.8452706396938218E-2</v>
      </c>
      <c r="Q40" s="41">
        <f t="shared" si="277"/>
        <v>-6.8619989852866312E-2</v>
      </c>
      <c r="R40" s="41">
        <f t="shared" si="277"/>
        <v>-2.8343666961913264E-2</v>
      </c>
      <c r="S40" s="41">
        <f t="shared" si="277"/>
        <v>-4.99663903204123E-2</v>
      </c>
      <c r="T40" s="41">
        <f t="shared" si="277"/>
        <v>-4.1583951520217273E-2</v>
      </c>
      <c r="U40" s="41">
        <f t="shared" si="277"/>
        <v>-9.1078066914498032E-2</v>
      </c>
      <c r="V40" s="41">
        <f t="shared" si="277"/>
        <v>-9.0639189661194511E-2</v>
      </c>
      <c r="W40" s="41">
        <f t="shared" si="277"/>
        <v>-4.5398866942275268E-2</v>
      </c>
      <c r="X40" s="41">
        <f t="shared" si="277"/>
        <v>-2.5329895343546256E-2</v>
      </c>
      <c r="Y40" s="41">
        <f t="shared" si="277"/>
        <v>-1.5899400158994E-2</v>
      </c>
      <c r="Z40" s="41">
        <f t="shared" si="277"/>
        <v>-2.2708959050619003E-2</v>
      </c>
      <c r="AA40" s="41">
        <f t="shared" si="277"/>
        <v>2.0579671784012796E-2</v>
      </c>
      <c r="AB40" s="41">
        <f t="shared" si="277"/>
        <v>1.2112314186089301E-2</v>
      </c>
      <c r="AC40" s="41">
        <f t="shared" si="277"/>
        <v>2.5408878504672897E-2</v>
      </c>
      <c r="AD40" s="41">
        <f t="shared" si="277"/>
        <v>1.1329722559964629E-2</v>
      </c>
      <c r="AE40" s="41">
        <f t="shared" si="277"/>
        <v>2.7131378482729836E-2</v>
      </c>
      <c r="AF40" s="41">
        <f t="shared" si="277"/>
        <v>1.5957969164293432E-2</v>
      </c>
      <c r="AG40" s="41">
        <f t="shared" si="277"/>
        <v>1.4453562103693286E-3</v>
      </c>
      <c r="AH40" s="41">
        <f t="shared" si="277"/>
        <v>5.5750320649850402E-2</v>
      </c>
      <c r="AI40" s="41">
        <f t="shared" si="277"/>
        <v>1.5473887814313346E-3</v>
      </c>
      <c r="AJ40" s="41">
        <f t="shared" si="277"/>
        <v>3.2596041909196738E-2</v>
      </c>
      <c r="AK40" s="41">
        <f t="shared" si="277"/>
        <v>5.7386153276564232E-2</v>
      </c>
      <c r="AL40" s="41">
        <f t="shared" si="277"/>
        <v>7.8819574150168104E-2</v>
      </c>
      <c r="AM40" s="41">
        <f t="shared" si="277"/>
        <v>6.35395874916833E-2</v>
      </c>
      <c r="AN40" s="41">
        <f t="shared" si="277"/>
        <v>3.505028954587016E-2</v>
      </c>
      <c r="AO40" s="41">
        <f t="shared" si="277"/>
        <v>2.7122641509433963E-2</v>
      </c>
      <c r="AP40" s="41">
        <f t="shared" si="277"/>
        <v>3.8023868998057174E-2</v>
      </c>
      <c r="AQ40" s="41">
        <f t="shared" si="277"/>
        <v>5.6194808670056197E-2</v>
      </c>
      <c r="AR40" s="41">
        <f t="shared" si="277"/>
        <v>1.451088316237178E-2</v>
      </c>
      <c r="AS40" s="41">
        <f t="shared" si="277"/>
        <v>1.4402836250830933E-2</v>
      </c>
      <c r="AT40" s="41">
        <f t="shared" si="277"/>
        <v>-7.4211502782931356E-3</v>
      </c>
      <c r="AU40" s="41">
        <f t="shared" si="277"/>
        <v>-2.8776978417266189E-2</v>
      </c>
      <c r="AV40" s="41">
        <f t="shared" si="277"/>
        <v>3.4556396816152204E-2</v>
      </c>
      <c r="AW40" s="41">
        <f t="shared" si="277"/>
        <v>4.1336039859752718E-2</v>
      </c>
      <c r="AX40" s="41">
        <f t="shared" si="277"/>
        <v>3.3178614406051229E-2</v>
      </c>
      <c r="AY40" s="41">
        <f t="shared" si="277"/>
        <v>5.9366090893845383E-2</v>
      </c>
      <c r="AZ40" s="41">
        <f t="shared" ref="AZ40:BM40" si="278">AZ24/AZ16</f>
        <v>5.2365930599369087E-2</v>
      </c>
      <c r="BA40" s="41">
        <f t="shared" si="278"/>
        <v>5.5369371994754479E-3</v>
      </c>
      <c r="BB40" s="41">
        <f t="shared" si="278"/>
        <v>-2.4024024024024024E-2</v>
      </c>
      <c r="BC40" s="41">
        <f t="shared" si="278"/>
        <v>2.698691134799622E-3</v>
      </c>
      <c r="BD40" s="41">
        <f t="shared" si="278"/>
        <v>2.5000000000000001E-2</v>
      </c>
      <c r="BE40" s="41">
        <f t="shared" si="278"/>
        <v>5.8695929564884522E-2</v>
      </c>
      <c r="BF40" s="41">
        <f t="shared" si="278"/>
        <v>4.2565875760104926E-2</v>
      </c>
      <c r="BG40" s="41">
        <f t="shared" si="278"/>
        <v>4.9957560324966656E-2</v>
      </c>
      <c r="BH40" s="41">
        <f t="shared" si="278"/>
        <v>0.17156805765430663</v>
      </c>
      <c r="BI40" s="41">
        <f t="shared" si="278"/>
        <v>0.17213302752293577</v>
      </c>
      <c r="BJ40" s="41">
        <f t="shared" si="278"/>
        <v>0.17465274038979217</v>
      </c>
      <c r="BK40" s="41">
        <f t="shared" si="278"/>
        <v>0.18712361765027921</v>
      </c>
      <c r="BL40" s="41">
        <f t="shared" si="278"/>
        <v>0.1912064343163539</v>
      </c>
      <c r="BM40" s="41">
        <f t="shared" si="278"/>
        <v>0.20044472681067343</v>
      </c>
      <c r="BN40" s="41">
        <f>BN24/BN16</f>
        <v>0.18212748924246974</v>
      </c>
      <c r="BO40" s="41">
        <f>BO24/BO16</f>
        <v>0.19757859395665886</v>
      </c>
      <c r="BP40" s="41">
        <f>BP24/BP16</f>
        <v>0.2278233685033216</v>
      </c>
      <c r="BQ40" s="57"/>
      <c r="BR40" s="57"/>
      <c r="BS40" s="57"/>
      <c r="BT40" s="57"/>
      <c r="BU40" s="57"/>
      <c r="BV40" s="57"/>
      <c r="CA40" s="41">
        <f t="shared" ref="CA40:CM40" si="279">CA24/CA16</f>
        <v>8.8165453849099976E-2</v>
      </c>
      <c r="CB40" s="41">
        <f t="shared" si="279"/>
        <v>5.8894520878590602E-2</v>
      </c>
      <c r="CC40" s="41">
        <f t="shared" si="279"/>
        <v>-1.5441630636195284E-2</v>
      </c>
      <c r="CD40" s="41">
        <f t="shared" si="279"/>
        <v>-3.6731031068201594E-2</v>
      </c>
      <c r="CE40" s="41">
        <f t="shared" si="279"/>
        <v>-7.030386401041569E-2</v>
      </c>
      <c r="CF40" s="41">
        <f t="shared" si="279"/>
        <v>-2.7114039005508375E-2</v>
      </c>
      <c r="CG40" s="41">
        <f t="shared" si="279"/>
        <v>1.7233362830531045E-2</v>
      </c>
      <c r="CH40" s="41">
        <f t="shared" si="279"/>
        <v>2.5838568211449569E-2</v>
      </c>
      <c r="CI40" s="41">
        <f t="shared" si="279"/>
        <v>4.3074003795066415E-2</v>
      </c>
      <c r="CJ40" s="41">
        <f t="shared" si="279"/>
        <v>4.0280078301460624E-2</v>
      </c>
      <c r="CK40" s="41">
        <f t="shared" si="279"/>
        <v>1.7370452684524505E-2</v>
      </c>
      <c r="CL40" s="41">
        <f t="shared" si="279"/>
        <v>2.1409749670619236E-2</v>
      </c>
      <c r="CM40" s="41">
        <f t="shared" si="279"/>
        <v>2.0685489959232976E-2</v>
      </c>
      <c r="CN40" s="41">
        <f>CN24/CN16</f>
        <v>3.2849625259129323E-2</v>
      </c>
      <c r="CO40" s="41">
        <f>CO24/CO16</f>
        <v>0.14375878589666352</v>
      </c>
      <c r="CP40" s="41">
        <f>CP24/CP16</f>
        <v>0.19013062409288825</v>
      </c>
      <c r="CQ40" s="57">
        <f>CQ24/CQ16</f>
        <v>0.21250858855256918</v>
      </c>
      <c r="CR40" s="57">
        <f t="shared" ref="CR40:CX40" si="280">CR24/CR16</f>
        <v>0.2418719783773943</v>
      </c>
      <c r="CS40" s="57">
        <f t="shared" si="280"/>
        <v>0.26427389224745584</v>
      </c>
      <c r="CT40" s="57">
        <f t="shared" si="280"/>
        <v>0.28166992759177684</v>
      </c>
      <c r="CU40" s="57">
        <f t="shared" si="280"/>
        <v>0.29794361922317669</v>
      </c>
      <c r="CV40" s="57">
        <f t="shared" si="280"/>
        <v>0.31082703020954211</v>
      </c>
      <c r="CW40" s="57">
        <f t="shared" si="280"/>
        <v>0.32071579071762563</v>
      </c>
      <c r="CX40" s="57">
        <f t="shared" si="280"/>
        <v>0.32774879598040524</v>
      </c>
      <c r="CY40" s="57"/>
      <c r="CZ40" s="57"/>
      <c r="DA40" s="57"/>
      <c r="DB40" s="57"/>
      <c r="DC40" s="57"/>
      <c r="DD40" s="57"/>
      <c r="DE40" s="57"/>
      <c r="DF40" s="57"/>
      <c r="DG40" s="57"/>
      <c r="DH40" s="57"/>
      <c r="DI40" s="57"/>
      <c r="DJ40" s="57"/>
      <c r="DK40" s="57"/>
      <c r="DL40" s="57"/>
      <c r="DM40" s="57"/>
      <c r="DN40" s="57"/>
      <c r="DO40" s="57"/>
      <c r="DP40" s="57"/>
      <c r="DQ40" s="57"/>
      <c r="DR40" s="57"/>
      <c r="DS40" s="57"/>
      <c r="DT40" s="57"/>
      <c r="DU40" s="57"/>
      <c r="DV40" s="57"/>
      <c r="DW40" s="57"/>
      <c r="DX40" s="57"/>
      <c r="DY40" s="57"/>
      <c r="DZ40" s="57"/>
      <c r="EA40" s="57"/>
      <c r="EB40" s="57"/>
      <c r="EC40" s="57"/>
      <c r="ED40" s="57"/>
      <c r="EE40" s="57"/>
      <c r="EF40" s="57"/>
      <c r="EG40" s="57"/>
      <c r="EH40" s="57"/>
      <c r="EI40" s="57"/>
      <c r="EJ40" s="57"/>
      <c r="EK40" s="57"/>
      <c r="EL40" s="57"/>
      <c r="EM40" s="57"/>
      <c r="EN40" s="57"/>
      <c r="EO40" s="57"/>
      <c r="EP40" s="57"/>
      <c r="EQ40" s="57"/>
      <c r="ER40" s="57"/>
      <c r="ES40" s="57"/>
      <c r="ET40" s="57"/>
      <c r="EU40" s="57"/>
      <c r="EV40" s="57"/>
      <c r="EW40" s="57"/>
      <c r="EX40" s="57"/>
      <c r="EY40" s="57"/>
      <c r="EZ40" s="57"/>
      <c r="FA40" s="57"/>
      <c r="FB40" s="57"/>
      <c r="FC40" s="57"/>
      <c r="FD40" s="57"/>
    </row>
    <row r="41" spans="2:160" s="41" customFormat="1">
      <c r="B41" s="41" t="s">
        <v>47</v>
      </c>
      <c r="C41" s="41">
        <f t="shared" ref="C41:AY41" si="281">C28/C27</f>
        <v>0.45402298850574757</v>
      </c>
      <c r="D41" s="41">
        <f t="shared" si="281"/>
        <v>0.38997214484679604</v>
      </c>
      <c r="E41" s="41">
        <f t="shared" si="281"/>
        <v>0.4216216216216217</v>
      </c>
      <c r="F41" s="41">
        <f t="shared" si="281"/>
        <v>0.35549132947976902</v>
      </c>
      <c r="G41" s="41">
        <f t="shared" si="281"/>
        <v>0.37735849056603704</v>
      </c>
      <c r="H41" s="41">
        <f t="shared" si="281"/>
        <v>0.43728813559322049</v>
      </c>
      <c r="I41" s="41">
        <f t="shared" si="281"/>
        <v>0.41968911917098456</v>
      </c>
      <c r="J41" s="41">
        <f t="shared" si="281"/>
        <v>-1.4444444444444482</v>
      </c>
      <c r="K41" s="41">
        <f t="shared" si="281"/>
        <v>0.37500000000003192</v>
      </c>
      <c r="L41" s="41">
        <f t="shared" si="281"/>
        <v>0.75706214689265827</v>
      </c>
      <c r="M41" s="41">
        <f t="shared" si="281"/>
        <v>0.57303370786516561</v>
      </c>
      <c r="N41" s="41">
        <f t="shared" si="281"/>
        <v>0.46666666666666951</v>
      </c>
      <c r="O41" s="41">
        <f t="shared" si="281"/>
        <v>0.21686746987951749</v>
      </c>
      <c r="P41" s="41">
        <f t="shared" si="281"/>
        <v>0.29787234042553196</v>
      </c>
      <c r="Q41" s="41">
        <f t="shared" si="281"/>
        <v>-2.5063694267516006</v>
      </c>
      <c r="R41" s="41">
        <f t="shared" si="281"/>
        <v>0.15294117647058791</v>
      </c>
      <c r="S41" s="41">
        <f t="shared" si="281"/>
        <v>-0.25555555555555548</v>
      </c>
      <c r="T41" s="41">
        <f t="shared" si="281"/>
        <v>2.3527336860670216</v>
      </c>
      <c r="U41" s="41">
        <f t="shared" si="281"/>
        <v>-3.2232070910556037E-3</v>
      </c>
      <c r="V41" s="41">
        <f t="shared" si="281"/>
        <v>5.2759740259740277E-2</v>
      </c>
      <c r="W41" s="41">
        <f t="shared" si="281"/>
        <v>-0.13641488162344989</v>
      </c>
      <c r="X41" s="41">
        <f t="shared" si="281"/>
        <v>-0.15311909262759898</v>
      </c>
      <c r="Y41" s="41">
        <f t="shared" si="281"/>
        <v>-0.78440366972477071</v>
      </c>
      <c r="Z41" s="41">
        <f t="shared" si="281"/>
        <v>-0.24748490945674045</v>
      </c>
      <c r="AA41" s="41">
        <f t="shared" si="281"/>
        <v>0.77348066298341955</v>
      </c>
      <c r="AB41" s="41">
        <f t="shared" si="281"/>
        <v>1.1304347826086658</v>
      </c>
      <c r="AC41" s="41">
        <f t="shared" si="281"/>
        <v>1.5747126436781609</v>
      </c>
      <c r="AD41" s="41">
        <f t="shared" si="281"/>
        <v>-5.0952380952380958</v>
      </c>
      <c r="AE41" s="41">
        <f t="shared" si="281"/>
        <v>-4.301075268817204E-2</v>
      </c>
      <c r="AF41" s="41">
        <f t="shared" si="281"/>
        <v>-8.4834710743801658</v>
      </c>
      <c r="AG41" s="41">
        <f t="shared" si="281"/>
        <v>-1.9760000000000215</v>
      </c>
      <c r="AH41" s="41">
        <f t="shared" si="281"/>
        <v>0.29362029208301293</v>
      </c>
      <c r="AI41" s="41">
        <f t="shared" si="281"/>
        <v>1.1000000000000001</v>
      </c>
      <c r="AJ41" s="41">
        <f t="shared" si="281"/>
        <v>0.26984126984126983</v>
      </c>
      <c r="AK41" s="41">
        <f t="shared" si="281"/>
        <v>0.26712328767123289</v>
      </c>
      <c r="AL41" s="41">
        <f t="shared" si="281"/>
        <v>6.7873303167420809E-2</v>
      </c>
      <c r="AM41" s="41">
        <f t="shared" si="281"/>
        <v>0.10649350649350649</v>
      </c>
      <c r="AN41" s="41">
        <f t="shared" si="281"/>
        <v>-0.2943722943722944</v>
      </c>
      <c r="AO41" s="41">
        <f t="shared" si="281"/>
        <v>0.1796875</v>
      </c>
      <c r="AP41" s="41">
        <f t="shared" si="281"/>
        <v>-0.5146443514644351</v>
      </c>
      <c r="AQ41" s="41">
        <f t="shared" si="281"/>
        <v>0.18672199170124482</v>
      </c>
      <c r="AR41" s="41">
        <f t="shared" si="281"/>
        <v>0.4451219512195122</v>
      </c>
      <c r="AS41" s="41">
        <f t="shared" si="281"/>
        <v>2.703125</v>
      </c>
      <c r="AT41" s="41">
        <f t="shared" si="281"/>
        <v>-61</v>
      </c>
      <c r="AU41" s="41">
        <f t="shared" si="281"/>
        <v>-1.1063829787234043</v>
      </c>
      <c r="AV41" s="41">
        <f t="shared" si="281"/>
        <v>-2.1287246722288438</v>
      </c>
      <c r="AW41" s="41">
        <f t="shared" si="281"/>
        <v>0.13519999999999999</v>
      </c>
      <c r="AX41" s="41">
        <f t="shared" si="281"/>
        <v>0.37176470588235294</v>
      </c>
      <c r="AY41" s="41">
        <f t="shared" si="281"/>
        <v>0.22350993377483444</v>
      </c>
      <c r="AZ41" s="41">
        <f t="shared" ref="AZ41:BM41" si="282">AZ28/AZ27</f>
        <v>0.35230024213075062</v>
      </c>
      <c r="BA41" s="41">
        <f t="shared" si="282"/>
        <v>-0.56521739130434778</v>
      </c>
      <c r="BB41" s="41">
        <f t="shared" si="282"/>
        <v>0.85786802030456855</v>
      </c>
      <c r="BC41" s="41">
        <f t="shared" si="282"/>
        <v>1.9655172413793103</v>
      </c>
      <c r="BD41" s="41">
        <f t="shared" si="282"/>
        <v>0.62430939226519333</v>
      </c>
      <c r="BE41" s="41">
        <f t="shared" si="282"/>
        <v>0.55789473684210522</v>
      </c>
      <c r="BF41" s="41">
        <f t="shared" si="282"/>
        <v>3.9696969696969697</v>
      </c>
      <c r="BG41" s="41">
        <f t="shared" si="282"/>
        <v>0.38957055214723929</v>
      </c>
      <c r="BH41" s="41">
        <f t="shared" si="282"/>
        <v>0.15080428954423591</v>
      </c>
      <c r="BI41" s="41">
        <f t="shared" si="282"/>
        <v>0.17686617350369871</v>
      </c>
      <c r="BJ41" s="41">
        <f t="shared" si="282"/>
        <v>0.1209726443768997</v>
      </c>
      <c r="BK41" s="41">
        <f t="shared" si="282"/>
        <v>0.17889662560257097</v>
      </c>
      <c r="BL41" s="41">
        <f t="shared" si="282"/>
        <v>0.22210125204137179</v>
      </c>
      <c r="BM41" s="41">
        <f t="shared" si="282"/>
        <v>0.12542955326460481</v>
      </c>
      <c r="BN41" s="41">
        <f>BN28/BN27</f>
        <v>0.14084507042253522</v>
      </c>
      <c r="BO41" s="41">
        <f>BO28/BO27</f>
        <v>0.21935157041540021</v>
      </c>
      <c r="BP41" s="41">
        <f>BP28/BP27</f>
        <v>0.21571072319201995</v>
      </c>
      <c r="BQ41" s="57"/>
      <c r="BR41" s="57"/>
      <c r="BS41" s="57"/>
      <c r="BT41" s="57"/>
      <c r="BU41" s="57"/>
      <c r="BV41" s="57"/>
      <c r="CA41" s="41">
        <f t="shared" ref="CA41:CM41" si="283">CA28/CA27</f>
        <v>0.40548137737174983</v>
      </c>
      <c r="CB41" s="41">
        <f t="shared" si="283"/>
        <v>0.3314176245210716</v>
      </c>
      <c r="CC41" s="41">
        <f t="shared" si="283"/>
        <v>0.65165165165164729</v>
      </c>
      <c r="CD41" s="41">
        <f t="shared" si="283"/>
        <v>-1.0500736377025017</v>
      </c>
      <c r="CE41" s="41">
        <f t="shared" si="283"/>
        <v>0.351117318435753</v>
      </c>
      <c r="CF41" s="41">
        <f t="shared" si="283"/>
        <v>-0.23275457531675289</v>
      </c>
      <c r="CG41" s="41">
        <f t="shared" si="283"/>
        <v>1.737169517884924</v>
      </c>
      <c r="CH41" s="41">
        <f t="shared" si="283"/>
        <v>-0.8044692737430168</v>
      </c>
      <c r="CI41" s="41">
        <f t="shared" si="283"/>
        <v>0.14285714285714285</v>
      </c>
      <c r="CJ41" s="41">
        <f t="shared" si="283"/>
        <v>-0.12919633774160733</v>
      </c>
      <c r="CK41" s="41">
        <f t="shared" si="283"/>
        <v>0.82152974504249288</v>
      </c>
      <c r="CL41" s="41">
        <f t="shared" si="283"/>
        <v>-0.59000390472471687</v>
      </c>
      <c r="CM41" s="41">
        <f t="shared" si="283"/>
        <v>5.7441253263707574E-2</v>
      </c>
      <c r="CN41" s="41">
        <f>CN28/CN27</f>
        <v>0.68484848484848482</v>
      </c>
      <c r="CO41" s="41">
        <f>CO28/CO27</f>
        <v>0.16444444444444445</v>
      </c>
      <c r="CP41" s="41">
        <f>CP28/CP27</f>
        <v>0.16684592632428072</v>
      </c>
      <c r="CQ41" s="57">
        <v>0.18</v>
      </c>
      <c r="CR41" s="57">
        <v>0.21</v>
      </c>
      <c r="CS41" s="57">
        <v>0.22</v>
      </c>
      <c r="CT41" s="57">
        <v>0.22</v>
      </c>
      <c r="CU41" s="57">
        <v>0.22</v>
      </c>
      <c r="CV41" s="57">
        <v>0.22</v>
      </c>
      <c r="CW41" s="57">
        <v>0.22</v>
      </c>
      <c r="CX41" s="57">
        <v>0.22</v>
      </c>
      <c r="CY41" s="57"/>
      <c r="CZ41" s="57"/>
      <c r="DA41" s="57"/>
      <c r="DB41" s="57"/>
      <c r="DC41" s="57"/>
      <c r="DD41" s="57"/>
      <c r="DE41" s="57"/>
      <c r="DF41" s="57"/>
      <c r="DG41" s="57"/>
      <c r="DH41" s="57"/>
      <c r="DI41" s="57"/>
      <c r="DJ41" s="57"/>
      <c r="DK41" s="57"/>
      <c r="DL41" s="57"/>
      <c r="DM41" s="57"/>
      <c r="DN41" s="57"/>
      <c r="DO41" s="57"/>
      <c r="DP41" s="57"/>
      <c r="DQ41" s="57"/>
      <c r="DR41" s="57"/>
      <c r="DS41" s="57"/>
      <c r="DT41" s="57"/>
      <c r="DU41" s="57"/>
      <c r="DV41" s="57"/>
      <c r="DW41" s="57"/>
      <c r="DX41" s="57"/>
      <c r="DY41" s="57"/>
      <c r="DZ41" s="57"/>
      <c r="EA41" s="57"/>
      <c r="EB41" s="57"/>
      <c r="EC41" s="57"/>
      <c r="ED41" s="57"/>
      <c r="EE41" s="57"/>
      <c r="EF41" s="57"/>
      <c r="EG41" s="57"/>
      <c r="EH41" s="57"/>
      <c r="EI41" s="57"/>
      <c r="EJ41" s="57"/>
      <c r="EK41" s="57"/>
      <c r="EL41" s="57"/>
      <c r="EM41" s="57"/>
      <c r="EN41" s="57"/>
      <c r="EO41" s="57"/>
      <c r="EP41" s="57"/>
      <c r="EQ41" s="57"/>
      <c r="ER41" s="57"/>
      <c r="ES41" s="57"/>
      <c r="ET41" s="57"/>
      <c r="EU41" s="57"/>
      <c r="EV41" s="57"/>
      <c r="EW41" s="57"/>
      <c r="EX41" s="57"/>
      <c r="EY41" s="57"/>
      <c r="EZ41" s="57"/>
      <c r="FA41" s="57"/>
      <c r="FB41" s="57"/>
      <c r="FC41" s="57"/>
      <c r="FD41" s="57"/>
    </row>
    <row r="42" spans="2:160" s="41" customFormat="1">
      <c r="B42" s="41" t="s">
        <v>121</v>
      </c>
      <c r="C42" s="41">
        <f t="shared" ref="C42:AY42" si="284">C29/C16</f>
        <v>6.2315513283043522E-2</v>
      </c>
      <c r="D42" s="41">
        <f t="shared" si="284"/>
        <v>6.9281872825055532E-2</v>
      </c>
      <c r="E42" s="41">
        <f t="shared" si="284"/>
        <v>6.4750378214826002E-2</v>
      </c>
      <c r="F42" s="41">
        <f t="shared" si="284"/>
        <v>6.2994350282485817E-2</v>
      </c>
      <c r="G42" s="41">
        <f t="shared" si="284"/>
        <v>5.2547770700637091E-2</v>
      </c>
      <c r="H42" s="41">
        <f t="shared" si="284"/>
        <v>4.2089249492900577E-2</v>
      </c>
      <c r="I42" s="41">
        <f t="shared" si="284"/>
        <v>5.2202283849918402E-2</v>
      </c>
      <c r="J42" s="41">
        <f t="shared" si="284"/>
        <v>2.4075289997811316E-2</v>
      </c>
      <c r="K42" s="41">
        <f t="shared" si="284"/>
        <v>9.9127676447250583E-4</v>
      </c>
      <c r="L42" s="41">
        <f t="shared" si="284"/>
        <v>-7.8754578754577503E-3</v>
      </c>
      <c r="M42" s="41">
        <f t="shared" si="284"/>
        <v>-6.5035084716755865E-3</v>
      </c>
      <c r="N42" s="41">
        <f t="shared" si="284"/>
        <v>-6.3301155246082525E-3</v>
      </c>
      <c r="O42" s="41">
        <f t="shared" si="284"/>
        <v>-2.8037383177570197E-2</v>
      </c>
      <c r="P42" s="41">
        <f t="shared" si="284"/>
        <v>-1.3531984691088024E-2</v>
      </c>
      <c r="Q42" s="41">
        <f t="shared" si="284"/>
        <v>-0.27929984779299827</v>
      </c>
      <c r="R42" s="41">
        <f t="shared" si="284"/>
        <v>-2.8343666961913268E-2</v>
      </c>
      <c r="S42" s="41">
        <f t="shared" si="284"/>
        <v>-7.5957875868250077E-2</v>
      </c>
      <c r="T42" s="41">
        <f t="shared" si="284"/>
        <v>8.0137916623132424E-2</v>
      </c>
      <c r="U42" s="41">
        <f t="shared" si="284"/>
        <v>-0.11570631970260213</v>
      </c>
      <c r="V42" s="41">
        <f t="shared" si="284"/>
        <v>-0.10190359762486897</v>
      </c>
      <c r="W42" s="41">
        <f t="shared" si="284"/>
        <v>-7.7170418006430833E-2</v>
      </c>
      <c r="X42" s="41">
        <f t="shared" si="284"/>
        <v>-4.6261186106476643E-2</v>
      </c>
      <c r="Y42" s="41">
        <f t="shared" si="284"/>
        <v>-2.8113030281130307E-2</v>
      </c>
      <c r="Z42" s="41">
        <f t="shared" si="284"/>
        <v>-4.5417918101238006E-2</v>
      </c>
      <c r="AA42" s="41">
        <f t="shared" si="284"/>
        <v>2.7130757014294177E-3</v>
      </c>
      <c r="AB42" s="41">
        <f t="shared" si="284"/>
        <v>-5.505597357312157E-4</v>
      </c>
      <c r="AC42" s="41">
        <f t="shared" si="284"/>
        <v>-1.4602803738317757E-2</v>
      </c>
      <c r="AD42" s="41">
        <f t="shared" si="284"/>
        <v>-1.414833646512656E-2</v>
      </c>
      <c r="AE42" s="41">
        <f t="shared" si="284"/>
        <v>2.0244182406344572E-2</v>
      </c>
      <c r="AF42" s="41">
        <f t="shared" si="284"/>
        <v>0.11268781302170285</v>
      </c>
      <c r="AG42" s="41">
        <f t="shared" si="284"/>
        <v>-1.7344274524431116E-2</v>
      </c>
      <c r="AH42" s="41">
        <f t="shared" si="284"/>
        <v>3.9290294997862366E-2</v>
      </c>
      <c r="AI42" s="41">
        <f t="shared" si="284"/>
        <v>3.8684719535783365E-4</v>
      </c>
      <c r="AJ42" s="41">
        <f t="shared" si="284"/>
        <v>1.7850213426464881E-2</v>
      </c>
      <c r="AK42" s="41">
        <f t="shared" si="284"/>
        <v>3.9614957423176604E-2</v>
      </c>
      <c r="AL42" s="41">
        <f t="shared" si="284"/>
        <v>7.6951811729548E-2</v>
      </c>
      <c r="AM42" s="41">
        <f t="shared" si="284"/>
        <v>0.11443779108449767</v>
      </c>
      <c r="AN42" s="41">
        <f t="shared" si="284"/>
        <v>9.1130752819262417E-2</v>
      </c>
      <c r="AO42" s="41">
        <f t="shared" si="284"/>
        <v>3.0955188679245283E-2</v>
      </c>
      <c r="AP42" s="41">
        <f t="shared" si="284"/>
        <v>0.10047182903136276</v>
      </c>
      <c r="AQ42" s="41">
        <f t="shared" si="284"/>
        <v>0.1048969761841049</v>
      </c>
      <c r="AR42" s="41">
        <f t="shared" si="284"/>
        <v>2.276707530647986E-2</v>
      </c>
      <c r="AS42" s="41">
        <f t="shared" si="284"/>
        <v>-2.415244848216264E-2</v>
      </c>
      <c r="AT42" s="41">
        <f t="shared" si="284"/>
        <v>-5.1123479694908269E-2</v>
      </c>
      <c r="AU42" s="41">
        <f t="shared" si="284"/>
        <v>2.0349434737923947E-2</v>
      </c>
      <c r="AV42" s="41">
        <f t="shared" si="284"/>
        <v>0.50960978450786254</v>
      </c>
      <c r="AW42" s="41">
        <f t="shared" si="284"/>
        <v>0.19948329950175309</v>
      </c>
      <c r="AX42" s="41">
        <f t="shared" si="284"/>
        <v>4.5899948427024238E-2</v>
      </c>
      <c r="AY42" s="41">
        <f t="shared" si="284"/>
        <v>7.8651685393258425E-2</v>
      </c>
      <c r="AZ42" s="41">
        <f t="shared" ref="AZ42:BM42" si="285">AZ29/AZ16</f>
        <v>8.4384858044164041E-2</v>
      </c>
      <c r="BA42" s="41">
        <f t="shared" si="285"/>
        <v>6.8191752877750256E-2</v>
      </c>
      <c r="BB42" s="41">
        <f t="shared" si="285"/>
        <v>-3.8220038220038218E-3</v>
      </c>
      <c r="BC42" s="41">
        <f t="shared" si="285"/>
        <v>3.778167588719471E-3</v>
      </c>
      <c r="BD42" s="41">
        <f t="shared" si="285"/>
        <v>8.8082901554404139E-3</v>
      </c>
      <c r="BE42" s="41">
        <f t="shared" si="285"/>
        <v>2.6795967844838585E-2</v>
      </c>
      <c r="BF42" s="41">
        <f t="shared" si="285"/>
        <v>-1.1684750208656254E-2</v>
      </c>
      <c r="BG42" s="41">
        <f t="shared" si="285"/>
        <v>2.4129986661816417E-2</v>
      </c>
      <c r="BH42" s="41">
        <f t="shared" si="285"/>
        <v>0.14727420667209112</v>
      </c>
      <c r="BI42" s="41">
        <f t="shared" si="285"/>
        <v>0.14036697247706423</v>
      </c>
      <c r="BJ42" s="41">
        <f t="shared" si="285"/>
        <v>0.15570151825131906</v>
      </c>
      <c r="BK42" s="41">
        <f t="shared" si="285"/>
        <v>0.16785284134457462</v>
      </c>
      <c r="BL42" s="41">
        <f t="shared" si="285"/>
        <v>0.15324396782841823</v>
      </c>
      <c r="BM42" s="41">
        <f t="shared" si="285"/>
        <v>0.16168996188055909</v>
      </c>
      <c r="BN42" s="41">
        <f>BN29/BN16</f>
        <v>0.17091964375062543</v>
      </c>
      <c r="BO42" s="41">
        <f>BO29/BO16</f>
        <v>0.15678095431885239</v>
      </c>
      <c r="BP42" s="41">
        <f>BP29/BP16</f>
        <v>0.18434935521688159</v>
      </c>
      <c r="BQ42" s="57"/>
      <c r="BR42" s="57"/>
      <c r="BS42" s="57"/>
      <c r="BT42" s="57"/>
      <c r="BU42" s="57"/>
      <c r="BV42" s="57"/>
      <c r="CA42" s="41">
        <f t="shared" ref="CA42:CM42" si="286">CA29/CA16</f>
        <v>6.4802757564151672E-2</v>
      </c>
      <c r="CB42" s="41">
        <f t="shared" si="286"/>
        <v>4.2119237267680638E-2</v>
      </c>
      <c r="CC42" s="41">
        <f t="shared" si="286"/>
        <v>-5.1177975822819313E-3</v>
      </c>
      <c r="CD42" s="41">
        <f t="shared" si="286"/>
        <v>-8.6149275900482838E-2</v>
      </c>
      <c r="CE42" s="41">
        <f t="shared" si="286"/>
        <v>-5.7063548601046753E-2</v>
      </c>
      <c r="CF42" s="41">
        <f t="shared" si="286"/>
        <v>-4.888715200238198E-2</v>
      </c>
      <c r="CG42" s="41">
        <f t="shared" si="286"/>
        <v>-7.1093246141617078E-3</v>
      </c>
      <c r="CH42" s="41">
        <f t="shared" si="286"/>
        <v>3.828375014815693E-2</v>
      </c>
      <c r="CI42" s="41">
        <f t="shared" si="286"/>
        <v>3.4155597722960153E-2</v>
      </c>
      <c r="CJ42" s="41">
        <f t="shared" si="286"/>
        <v>8.3571751242282791E-2</v>
      </c>
      <c r="CK42" s="41">
        <f t="shared" si="286"/>
        <v>7.3692829570710027E-3</v>
      </c>
      <c r="CL42" s="41">
        <f t="shared" si="286"/>
        <v>0.19160549595332205</v>
      </c>
      <c r="CM42" s="41">
        <f t="shared" si="286"/>
        <v>5.4507020987467916E-2</v>
      </c>
      <c r="CN42" s="41">
        <f t="shared" ref="CN42:CX42" si="287">CN29/CN16</f>
        <v>6.6337107319406792E-3</v>
      </c>
      <c r="CO42" s="41">
        <f t="shared" si="287"/>
        <v>0.11865622400091803</v>
      </c>
      <c r="CP42" s="41">
        <f t="shared" si="287"/>
        <v>0.16353080881382767</v>
      </c>
      <c r="CQ42" s="57">
        <f t="shared" si="287"/>
        <v>0.22578781133503062</v>
      </c>
      <c r="CR42" s="57">
        <f t="shared" si="287"/>
        <v>0.24884448204845949</v>
      </c>
      <c r="CS42" s="57">
        <f t="shared" si="287"/>
        <v>0.26994304843272282</v>
      </c>
      <c r="CT42" s="57">
        <f t="shared" si="287"/>
        <v>0.29180938939346213</v>
      </c>
      <c r="CU42" s="57">
        <f t="shared" si="287"/>
        <v>0.31455511287314325</v>
      </c>
      <c r="CV42" s="57">
        <f t="shared" si="287"/>
        <v>0.33672847769211461</v>
      </c>
      <c r="CW42" s="57">
        <f t="shared" si="287"/>
        <v>0.35797334105903078</v>
      </c>
      <c r="CX42" s="57">
        <f t="shared" si="287"/>
        <v>0.37853712125787986</v>
      </c>
      <c r="CY42" s="57"/>
      <c r="CZ42" s="57"/>
      <c r="DA42" s="57"/>
      <c r="DB42" s="57"/>
      <c r="DC42" s="57"/>
      <c r="DD42" s="57"/>
      <c r="DE42" s="57"/>
      <c r="DF42" s="57"/>
      <c r="DG42" s="57"/>
      <c r="DH42" s="57"/>
      <c r="DI42" s="57"/>
      <c r="DJ42" s="57"/>
      <c r="DK42" s="57"/>
      <c r="DL42" s="57"/>
      <c r="DM42" s="57"/>
      <c r="DN42" s="57"/>
      <c r="DO42" s="57"/>
      <c r="DP42" s="57"/>
      <c r="DQ42" s="57"/>
      <c r="DR42" s="57"/>
      <c r="DS42" s="57"/>
      <c r="DT42" s="57"/>
      <c r="DU42" s="57"/>
      <c r="DV42" s="57"/>
      <c r="DW42" s="57"/>
      <c r="DX42" s="57"/>
      <c r="DY42" s="57"/>
      <c r="DZ42" s="57"/>
      <c r="EA42" s="57"/>
      <c r="EB42" s="57"/>
      <c r="EC42" s="57"/>
      <c r="ED42" s="57"/>
      <c r="EE42" s="57"/>
      <c r="EF42" s="57"/>
      <c r="EG42" s="57"/>
      <c r="EH42" s="57"/>
      <c r="EI42" s="57"/>
      <c r="EJ42" s="57"/>
      <c r="EK42" s="57"/>
      <c r="EL42" s="57"/>
      <c r="EM42" s="57"/>
      <c r="EN42" s="57"/>
      <c r="EO42" s="57"/>
      <c r="EP42" s="57"/>
      <c r="EQ42" s="57"/>
      <c r="ER42" s="57"/>
      <c r="ES42" s="57"/>
      <c r="ET42" s="57"/>
      <c r="EU42" s="57"/>
      <c r="EV42" s="57"/>
      <c r="EW42" s="57"/>
      <c r="EX42" s="57"/>
      <c r="EY42" s="57"/>
      <c r="EZ42" s="57"/>
      <c r="FA42" s="57"/>
      <c r="FB42" s="57"/>
      <c r="FC42" s="57"/>
      <c r="FD42" s="57"/>
    </row>
    <row r="43" spans="2:160">
      <c r="BJ43" s="35"/>
      <c r="BP43" s="61"/>
    </row>
    <row r="44" spans="2:160">
      <c r="B44" s="1" t="s">
        <v>120</v>
      </c>
      <c r="AY44" s="1">
        <v>8544</v>
      </c>
      <c r="AZ44" s="1">
        <v>6299</v>
      </c>
      <c r="BA44" s="1">
        <v>4753</v>
      </c>
      <c r="BB44" s="1">
        <v>5464</v>
      </c>
      <c r="BC44" s="1">
        <v>6859</v>
      </c>
      <c r="BD44" s="1">
        <v>6931</v>
      </c>
      <c r="BE44" s="1">
        <v>6076</v>
      </c>
      <c r="BF44" s="1">
        <v>7016</v>
      </c>
      <c r="BG44" s="1">
        <v>9155</v>
      </c>
      <c r="BH44" s="1">
        <v>6772</v>
      </c>
      <c r="BI44" s="1">
        <v>6453</v>
      </c>
      <c r="BJ44" s="1">
        <v>8472</v>
      </c>
      <c r="BK44" s="1">
        <v>9958</v>
      </c>
      <c r="BL44" s="1">
        <v>7682</v>
      </c>
      <c r="BM44" s="1">
        <v>7997</v>
      </c>
      <c r="BN44" s="1">
        <v>8848</v>
      </c>
      <c r="BO44" s="61">
        <v>10928</v>
      </c>
      <c r="BP44" s="61">
        <v>10365</v>
      </c>
      <c r="CM44" s="1">
        <f t="shared" ref="CM44:CM56" si="288">SUM(AY44:BB44)</f>
        <v>25060</v>
      </c>
      <c r="CN44" s="1">
        <f t="shared" ref="CN44:CN56" si="289">SUM(BC44:BF44)</f>
        <v>26882</v>
      </c>
      <c r="CO44" s="1">
        <f t="shared" ref="CO44:CO56" si="290">SUM(BG44:BJ44)</f>
        <v>30852</v>
      </c>
      <c r="CP44" s="1">
        <f t="shared" ref="CP44:CP56" si="291">SUM(BK44:BN44)</f>
        <v>34485</v>
      </c>
      <c r="CQ44" s="52">
        <f t="shared" ref="CQ44:CX44" si="292">CP44+CQ29</f>
        <v>43777.642266374998</v>
      </c>
      <c r="CR44" s="52">
        <f t="shared" si="292"/>
        <v>54951.401400026436</v>
      </c>
      <c r="CS44" s="52">
        <f t="shared" si="292"/>
        <v>68550.873196385786</v>
      </c>
      <c r="CT44" s="52">
        <f t="shared" si="292"/>
        <v>84779.867963320125</v>
      </c>
      <c r="CU44" s="52">
        <f t="shared" si="292"/>
        <v>103768.32739106992</v>
      </c>
      <c r="CV44" s="52">
        <f t="shared" si="292"/>
        <v>125448.62907538237</v>
      </c>
      <c r="CW44" s="52">
        <f t="shared" si="292"/>
        <v>149815.13098581022</v>
      </c>
      <c r="CX44" s="52">
        <f t="shared" si="292"/>
        <v>176810.71080971893</v>
      </c>
    </row>
    <row r="45" spans="2:160">
      <c r="B45" s="1" t="s">
        <v>48</v>
      </c>
      <c r="AY45" s="1">
        <v>6479</v>
      </c>
      <c r="AZ45" s="1">
        <v>3351</v>
      </c>
      <c r="BA45" s="1">
        <v>4638</v>
      </c>
      <c r="BB45" s="1">
        <v>5073</v>
      </c>
      <c r="BC45" s="1">
        <v>6644</v>
      </c>
      <c r="BD45" s="1">
        <v>6602</v>
      </c>
      <c r="BE45" s="1">
        <v>5842</v>
      </c>
      <c r="BF45" s="1">
        <v>5492</v>
      </c>
      <c r="BG45" s="1">
        <v>4822</v>
      </c>
      <c r="BH45" s="1">
        <v>5625</v>
      </c>
      <c r="BI45" s="1">
        <v>5410</v>
      </c>
      <c r="BJ45" s="1">
        <v>5722</v>
      </c>
      <c r="BK45" s="1">
        <v>7712</v>
      </c>
      <c r="BL45" s="1">
        <v>4954</v>
      </c>
      <c r="BM45" s="1">
        <v>4760</v>
      </c>
      <c r="BN45" s="1">
        <v>5184</v>
      </c>
      <c r="BO45" s="61">
        <v>6480</v>
      </c>
      <c r="BP45" s="61">
        <v>5007</v>
      </c>
      <c r="CM45" s="1">
        <f t="shared" si="288"/>
        <v>19541</v>
      </c>
      <c r="CN45" s="1">
        <f t="shared" si="289"/>
        <v>24580</v>
      </c>
      <c r="CO45" s="1">
        <f t="shared" si="290"/>
        <v>21579</v>
      </c>
      <c r="CP45" s="1">
        <f t="shared" si="291"/>
        <v>22610</v>
      </c>
    </row>
    <row r="46" spans="2:160" ht="15" customHeight="1">
      <c r="B46" s="1" t="s">
        <v>118</v>
      </c>
      <c r="AY46" s="1">
        <v>3174</v>
      </c>
      <c r="AZ46" s="1">
        <v>4074</v>
      </c>
      <c r="BA46" s="1">
        <v>4019</v>
      </c>
      <c r="BB46" s="1">
        <v>9739</v>
      </c>
      <c r="BC46" s="1">
        <v>3952</v>
      </c>
      <c r="BD46" s="1">
        <v>4745</v>
      </c>
      <c r="BE46" s="1">
        <v>4275</v>
      </c>
      <c r="BF46" s="1">
        <v>10755</v>
      </c>
      <c r="BG46" s="1">
        <v>4632</v>
      </c>
      <c r="BH46" s="1">
        <v>5400</v>
      </c>
      <c r="BI46" s="1">
        <v>4850</v>
      </c>
      <c r="BJ46" s="1">
        <v>11414</v>
      </c>
      <c r="BK46" s="1">
        <v>4273</v>
      </c>
      <c r="BL46" s="1">
        <v>5391</v>
      </c>
      <c r="BM46" s="1">
        <v>4741</v>
      </c>
      <c r="BN46" s="1">
        <v>11945</v>
      </c>
      <c r="BO46" s="61">
        <v>4354</v>
      </c>
      <c r="BP46" s="61">
        <v>5596</v>
      </c>
      <c r="CM46" s="1">
        <f t="shared" si="288"/>
        <v>21006</v>
      </c>
      <c r="CN46" s="1">
        <f t="shared" si="289"/>
        <v>23727</v>
      </c>
      <c r="CO46" s="1">
        <f t="shared" si="290"/>
        <v>26296</v>
      </c>
      <c r="CP46" s="1">
        <f t="shared" si="291"/>
        <v>26350</v>
      </c>
      <c r="CR46" s="54" t="s">
        <v>2060</v>
      </c>
      <c r="CU46" s="54" t="s">
        <v>261</v>
      </c>
      <c r="CW46" s="59" t="s">
        <v>262</v>
      </c>
      <c r="CY46" s="48" t="s">
        <v>255</v>
      </c>
      <c r="CZ46" s="49">
        <v>7.4999999999999997E-2</v>
      </c>
    </row>
    <row r="47" spans="2:160" ht="15" customHeight="1">
      <c r="B47" s="1" t="s">
        <v>116</v>
      </c>
      <c r="AY47" s="1">
        <v>1166</v>
      </c>
      <c r="AZ47" s="1">
        <v>1211</v>
      </c>
      <c r="BA47" s="1">
        <v>1242</v>
      </c>
      <c r="BB47" s="1">
        <v>1454</v>
      </c>
      <c r="BC47" s="1">
        <v>1478</v>
      </c>
      <c r="BD47" s="1">
        <v>1531</v>
      </c>
      <c r="BE47" s="1">
        <v>1549</v>
      </c>
      <c r="BF47" s="1">
        <v>1776</v>
      </c>
      <c r="BG47" s="1">
        <v>1772</v>
      </c>
      <c r="BH47" s="1">
        <v>1781</v>
      </c>
      <c r="BI47" s="1">
        <v>1757</v>
      </c>
      <c r="BJ47" s="1">
        <v>1905</v>
      </c>
      <c r="BK47" s="1">
        <v>1865</v>
      </c>
      <c r="BL47" s="1">
        <v>1851</v>
      </c>
      <c r="BM47" s="1">
        <v>1836</v>
      </c>
      <c r="BN47" s="1">
        <v>1971</v>
      </c>
      <c r="BO47" s="61">
        <v>1924</v>
      </c>
      <c r="BP47" s="61">
        <v>1862</v>
      </c>
      <c r="CM47" s="1">
        <f t="shared" si="288"/>
        <v>5073</v>
      </c>
      <c r="CN47" s="1">
        <f t="shared" si="289"/>
        <v>6334</v>
      </c>
      <c r="CO47" s="1">
        <f t="shared" si="290"/>
        <v>7215</v>
      </c>
      <c r="CP47" s="1">
        <f t="shared" si="291"/>
        <v>7523</v>
      </c>
      <c r="CR47" s="50">
        <v>2024</v>
      </c>
      <c r="CT47" s="50">
        <v>2023</v>
      </c>
      <c r="CU47" s="50">
        <v>2024</v>
      </c>
      <c r="CW47" s="59" t="s">
        <v>263</v>
      </c>
      <c r="CY47" s="48" t="s">
        <v>119</v>
      </c>
      <c r="CZ47" s="51">
        <v>2.2499999999999999E-2</v>
      </c>
    </row>
    <row r="48" spans="2:160" ht="15" customHeight="1">
      <c r="B48" s="1" t="s">
        <v>115</v>
      </c>
      <c r="AY48" s="1">
        <v>1081</v>
      </c>
      <c r="AZ48" s="1">
        <v>1321</v>
      </c>
      <c r="BA48" s="1">
        <v>1305</v>
      </c>
      <c r="BB48" s="1">
        <v>1120</v>
      </c>
      <c r="BC48" s="1">
        <v>1478</v>
      </c>
      <c r="BD48" s="1">
        <v>1437</v>
      </c>
      <c r="BE48" s="1">
        <v>1467</v>
      </c>
      <c r="BF48" s="1">
        <v>1356</v>
      </c>
      <c r="BG48" s="1">
        <v>1600</v>
      </c>
      <c r="BH48" s="1">
        <v>1560</v>
      </c>
      <c r="BI48" s="1">
        <v>1732</v>
      </c>
      <c r="BJ48" s="1">
        <v>1561</v>
      </c>
      <c r="BK48" s="1">
        <v>1796</v>
      </c>
      <c r="BL48" s="1">
        <v>1984</v>
      </c>
      <c r="BM48" s="1">
        <v>2091</v>
      </c>
      <c r="BN48" s="1">
        <v>1779</v>
      </c>
      <c r="BO48" s="61">
        <v>2180</v>
      </c>
      <c r="BP48" s="61">
        <v>2501</v>
      </c>
      <c r="CM48" s="1">
        <f t="shared" si="288"/>
        <v>4827</v>
      </c>
      <c r="CN48" s="1">
        <f t="shared" si="289"/>
        <v>5738</v>
      </c>
      <c r="CO48" s="1">
        <f t="shared" si="290"/>
        <v>6453</v>
      </c>
      <c r="CP48" s="1">
        <f t="shared" si="291"/>
        <v>7650</v>
      </c>
      <c r="CR48" s="52">
        <f>CQ24*(1-CQ41)</f>
        <v>7171.8147663750005</v>
      </c>
      <c r="CT48" s="50">
        <f>SUM(CO46:CO48)-SUM(CO58:CO63)+CO49+CO54+CO53</f>
        <v>140452</v>
      </c>
      <c r="CU48" s="50">
        <f>SUM(CP46:CP48)-SUM(CP58:CP63)+CP49+CP54+CP53</f>
        <v>136397</v>
      </c>
      <c r="CW48" s="50">
        <f>AVERAGE(CT48:CU48)</f>
        <v>138424.5</v>
      </c>
      <c r="CY48" s="48" t="s">
        <v>256</v>
      </c>
      <c r="CZ48" s="51">
        <v>4.5350000000000001E-2</v>
      </c>
    </row>
    <row r="49" spans="2:160" ht="15" customHeight="1">
      <c r="B49" s="1" t="s">
        <v>113</v>
      </c>
      <c r="AY49" s="1">
        <v>2490</v>
      </c>
      <c r="AZ49" s="1">
        <v>2711</v>
      </c>
      <c r="BA49" s="1">
        <v>2768</v>
      </c>
      <c r="BB49" s="1">
        <v>2815</v>
      </c>
      <c r="BC49" s="1">
        <v>2868</v>
      </c>
      <c r="BD49" s="1">
        <v>3375</v>
      </c>
      <c r="BE49" s="1">
        <v>3514</v>
      </c>
      <c r="BF49" s="1">
        <v>3702</v>
      </c>
      <c r="BG49" s="1">
        <v>3695</v>
      </c>
      <c r="BH49" s="1">
        <v>3876</v>
      </c>
      <c r="BI49" s="1">
        <v>3807</v>
      </c>
      <c r="BJ49" s="1">
        <v>3689</v>
      </c>
      <c r="BK49" s="1">
        <v>3506</v>
      </c>
      <c r="BL49" s="1">
        <v>3580</v>
      </c>
      <c r="BM49" s="1">
        <v>3416</v>
      </c>
      <c r="BN49" s="1">
        <v>3236</v>
      </c>
      <c r="BO49" s="61">
        <v>3131</v>
      </c>
      <c r="BP49" s="61">
        <v>3154</v>
      </c>
      <c r="CM49" s="1">
        <f t="shared" si="288"/>
        <v>10784</v>
      </c>
      <c r="CN49" s="1">
        <f t="shared" si="289"/>
        <v>13459</v>
      </c>
      <c r="CO49" s="1">
        <f t="shared" si="290"/>
        <v>15067</v>
      </c>
      <c r="CP49" s="1">
        <f t="shared" si="291"/>
        <v>13738</v>
      </c>
      <c r="CR49" s="60">
        <f>CR48/CW48</f>
        <v>5.181029923442021E-2</v>
      </c>
      <c r="CY49" s="48" t="s">
        <v>257</v>
      </c>
      <c r="CZ49" s="51">
        <f>7.75%-CZ48</f>
        <v>3.2149999999999998E-2</v>
      </c>
    </row>
    <row r="50" spans="2:160" ht="15" customHeight="1">
      <c r="B50" s="1" t="s">
        <v>111</v>
      </c>
      <c r="AY50" s="1">
        <v>3065</v>
      </c>
      <c r="AZ50" s="1">
        <v>3123</v>
      </c>
      <c r="BA50" s="1">
        <v>2909</v>
      </c>
      <c r="BB50" s="1">
        <v>2880</v>
      </c>
      <c r="BC50" s="1">
        <v>2913</v>
      </c>
      <c r="BD50" s="1">
        <v>2727</v>
      </c>
      <c r="BE50" s="1">
        <v>2904</v>
      </c>
      <c r="BF50" s="1">
        <v>2890</v>
      </c>
      <c r="BG50" s="1">
        <v>2646</v>
      </c>
      <c r="BH50" s="1">
        <v>2575</v>
      </c>
      <c r="BI50" s="1">
        <v>2518</v>
      </c>
      <c r="BJ50" s="1">
        <v>2366</v>
      </c>
      <c r="BK50" s="1">
        <v>2255</v>
      </c>
      <c r="BL50" s="1">
        <v>2130</v>
      </c>
      <c r="BM50" s="1">
        <v>2167</v>
      </c>
      <c r="BN50" s="1">
        <v>2157</v>
      </c>
      <c r="BO50" s="61">
        <v>2129</v>
      </c>
      <c r="BP50" s="61">
        <v>2028</v>
      </c>
      <c r="CM50" s="1">
        <f t="shared" si="288"/>
        <v>11977</v>
      </c>
      <c r="CN50" s="1">
        <f t="shared" si="289"/>
        <v>11434</v>
      </c>
      <c r="CO50" s="1">
        <f t="shared" si="290"/>
        <v>10105</v>
      </c>
      <c r="CP50" s="1">
        <f t="shared" si="291"/>
        <v>8709</v>
      </c>
      <c r="CY50" s="48" t="s">
        <v>258</v>
      </c>
      <c r="CZ50" s="50">
        <v>1.42</v>
      </c>
    </row>
    <row r="51" spans="2:160" ht="15" customHeight="1">
      <c r="B51" s="1" t="s">
        <v>110</v>
      </c>
      <c r="AY51" s="1">
        <v>1736</v>
      </c>
      <c r="AZ51" s="1">
        <v>1820</v>
      </c>
      <c r="BA51" s="1">
        <v>1850</v>
      </c>
      <c r="BB51" s="1">
        <v>2342</v>
      </c>
      <c r="BC51" s="1">
        <v>2323</v>
      </c>
      <c r="BD51" s="1">
        <v>2367</v>
      </c>
      <c r="BE51" s="1">
        <v>2301</v>
      </c>
      <c r="BF51" s="1">
        <v>2697</v>
      </c>
      <c r="BG51" s="1">
        <v>2506</v>
      </c>
      <c r="BH51" s="1">
        <v>2352</v>
      </c>
      <c r="BI51" s="1">
        <v>2194</v>
      </c>
      <c r="BJ51" s="1">
        <v>2515</v>
      </c>
      <c r="BK51" s="1">
        <v>2286</v>
      </c>
      <c r="BL51" s="1">
        <v>2201</v>
      </c>
      <c r="BM51" s="1">
        <v>2121</v>
      </c>
      <c r="BN51" s="1">
        <v>2475</v>
      </c>
      <c r="BO51" s="61">
        <v>2342</v>
      </c>
      <c r="BP51" s="61">
        <v>2266</v>
      </c>
      <c r="CM51" s="1">
        <f t="shared" si="288"/>
        <v>7748</v>
      </c>
      <c r="CN51" s="1">
        <f t="shared" si="289"/>
        <v>9688</v>
      </c>
      <c r="CO51" s="1">
        <f t="shared" si="290"/>
        <v>9567</v>
      </c>
      <c r="CP51" s="1">
        <f t="shared" si="291"/>
        <v>9083</v>
      </c>
      <c r="CY51" s="48" t="s">
        <v>259</v>
      </c>
      <c r="CZ51" s="51">
        <f>+CZ48+(CZ49*CZ50)</f>
        <v>9.1003000000000001E-2</v>
      </c>
    </row>
    <row r="52" spans="2:160" ht="15" customHeight="1">
      <c r="B52" s="1" t="s">
        <v>109</v>
      </c>
      <c r="AY52" s="1">
        <v>3944</v>
      </c>
      <c r="AZ52" s="1">
        <v>4105</v>
      </c>
      <c r="BA52" s="1">
        <v>4004</v>
      </c>
      <c r="BB52" s="1">
        <v>4784</v>
      </c>
      <c r="BC52" s="1">
        <v>4936</v>
      </c>
      <c r="BD52" s="1">
        <v>5124</v>
      </c>
      <c r="BE52" s="1">
        <v>5124</v>
      </c>
      <c r="BF52" s="1">
        <v>4672</v>
      </c>
      <c r="BG52" s="1">
        <v>4633</v>
      </c>
      <c r="BH52" s="1">
        <v>4778</v>
      </c>
      <c r="BI52" s="1">
        <v>4774</v>
      </c>
      <c r="BJ52" s="1">
        <v>4848</v>
      </c>
      <c r="BK52" s="1">
        <v>4978</v>
      </c>
      <c r="BL52" s="1">
        <v>5017</v>
      </c>
      <c r="BM52" s="1">
        <v>4845</v>
      </c>
      <c r="BN52" s="1">
        <v>4852</v>
      </c>
      <c r="BO52" s="61">
        <v>4941</v>
      </c>
      <c r="BP52" s="61">
        <v>5085</v>
      </c>
      <c r="CM52" s="1">
        <f t="shared" si="288"/>
        <v>16837</v>
      </c>
      <c r="CN52" s="1">
        <f t="shared" si="289"/>
        <v>19856</v>
      </c>
      <c r="CO52" s="1">
        <f t="shared" si="290"/>
        <v>19033</v>
      </c>
      <c r="CP52" s="1">
        <f t="shared" si="291"/>
        <v>19692</v>
      </c>
      <c r="CY52" s="48"/>
      <c r="DB52" s="55"/>
    </row>
    <row r="53" spans="2:160" ht="15" customHeight="1">
      <c r="B53" s="1" t="s">
        <v>108</v>
      </c>
      <c r="AY53" s="1">
        <v>26640</v>
      </c>
      <c r="AZ53" s="1">
        <v>48103</v>
      </c>
      <c r="BA53" s="1">
        <v>47961</v>
      </c>
      <c r="BB53" s="1">
        <v>47937</v>
      </c>
      <c r="BC53" s="1">
        <v>48319</v>
      </c>
      <c r="BD53" s="1">
        <v>48568</v>
      </c>
      <c r="BE53" s="1">
        <v>48555</v>
      </c>
      <c r="BF53" s="1">
        <v>48568</v>
      </c>
      <c r="BG53" s="1">
        <v>48567</v>
      </c>
      <c r="BH53" s="1">
        <v>48566</v>
      </c>
      <c r="BI53" s="1">
        <v>48614</v>
      </c>
      <c r="BJ53" s="1">
        <v>48620</v>
      </c>
      <c r="BK53" s="1">
        <v>48940</v>
      </c>
      <c r="BL53" s="1">
        <v>48941</v>
      </c>
      <c r="BM53" s="1">
        <v>49093</v>
      </c>
      <c r="BN53" s="1">
        <v>51283</v>
      </c>
      <c r="BO53" s="61">
        <v>51281</v>
      </c>
      <c r="BP53" s="61">
        <v>51438</v>
      </c>
      <c r="CM53" s="1">
        <f t="shared" si="288"/>
        <v>170641</v>
      </c>
      <c r="CN53" s="1">
        <f t="shared" si="289"/>
        <v>194010</v>
      </c>
      <c r="CO53" s="1">
        <f t="shared" si="290"/>
        <v>194367</v>
      </c>
      <c r="CP53" s="1">
        <f t="shared" si="291"/>
        <v>198257</v>
      </c>
      <c r="CY53" s="48" t="s">
        <v>117</v>
      </c>
      <c r="CZ53" s="52">
        <f>NPV(CZ51,CQ29:FD29)</f>
        <v>287738.88383771828</v>
      </c>
    </row>
    <row r="54" spans="2:160" ht="15" customHeight="1">
      <c r="B54" s="1" t="s">
        <v>107</v>
      </c>
      <c r="AY54" s="1">
        <v>3925</v>
      </c>
      <c r="AZ54" s="1">
        <v>9746</v>
      </c>
      <c r="BA54" s="1">
        <v>9472</v>
      </c>
      <c r="BB54" s="1">
        <v>8978</v>
      </c>
      <c r="BC54" s="1">
        <v>8559</v>
      </c>
      <c r="BD54" s="1">
        <v>8072</v>
      </c>
      <c r="BE54" s="1">
        <v>7598</v>
      </c>
      <c r="BF54" s="1">
        <v>7125</v>
      </c>
      <c r="BG54" s="1">
        <v>6654</v>
      </c>
      <c r="BH54" s="1">
        <v>6182</v>
      </c>
      <c r="BI54" s="1">
        <v>5737</v>
      </c>
      <c r="BJ54" s="1">
        <v>5278</v>
      </c>
      <c r="BK54" s="1">
        <v>4869</v>
      </c>
      <c r="BL54" s="1">
        <v>4415</v>
      </c>
      <c r="BM54" s="1">
        <v>4119</v>
      </c>
      <c r="BN54" s="1">
        <v>4428</v>
      </c>
      <c r="BO54" s="1">
        <v>4033</v>
      </c>
      <c r="BP54" s="1">
        <v>3669</v>
      </c>
      <c r="CM54" s="1">
        <f t="shared" si="288"/>
        <v>32121</v>
      </c>
      <c r="CN54" s="1">
        <f t="shared" si="289"/>
        <v>31354</v>
      </c>
      <c r="CO54" s="1">
        <f t="shared" si="290"/>
        <v>23851</v>
      </c>
      <c r="CP54" s="1">
        <f t="shared" si="291"/>
        <v>17831</v>
      </c>
      <c r="CY54" s="48" t="s">
        <v>57</v>
      </c>
      <c r="CZ54" s="52">
        <f>Main!C4</f>
        <v>956</v>
      </c>
    </row>
    <row r="55" spans="2:160" ht="15" customHeight="1">
      <c r="B55" s="1" t="s">
        <v>106</v>
      </c>
      <c r="AY55" s="1">
        <v>2641</v>
      </c>
      <c r="AZ55" s="1">
        <v>2794</v>
      </c>
      <c r="BA55" s="1">
        <v>2525</v>
      </c>
      <c r="BB55" s="1">
        <v>2623</v>
      </c>
      <c r="BC55" s="1">
        <v>2693</v>
      </c>
      <c r="BD55" s="1">
        <v>2669</v>
      </c>
      <c r="BE55" s="1">
        <v>2679</v>
      </c>
      <c r="BF55" s="1">
        <v>2800</v>
      </c>
      <c r="BG55" s="1">
        <v>2859</v>
      </c>
      <c r="BH55" s="1">
        <v>2980</v>
      </c>
      <c r="BI55" s="1">
        <v>3176</v>
      </c>
      <c r="BJ55" s="1">
        <v>3433</v>
      </c>
      <c r="BK55" s="1">
        <v>3742</v>
      </c>
      <c r="BL55" s="1">
        <v>4034</v>
      </c>
      <c r="BM55" s="1">
        <v>4209</v>
      </c>
      <c r="BN55" s="1">
        <v>4770</v>
      </c>
      <c r="BO55" s="61">
        <v>4887</v>
      </c>
      <c r="BP55" s="61">
        <v>4602</v>
      </c>
      <c r="CM55" s="1">
        <f t="shared" si="288"/>
        <v>10583</v>
      </c>
      <c r="CN55" s="1">
        <f t="shared" si="289"/>
        <v>10841</v>
      </c>
      <c r="CO55" s="1">
        <f t="shared" si="290"/>
        <v>12448</v>
      </c>
      <c r="CP55" s="1">
        <f t="shared" si="291"/>
        <v>16755</v>
      </c>
      <c r="CY55" s="48" t="s">
        <v>114</v>
      </c>
      <c r="CZ55" s="53">
        <f>CZ53/CZ54</f>
        <v>300.9820960645589</v>
      </c>
    </row>
    <row r="56" spans="2:160" s="2" customFormat="1" ht="15" customHeight="1">
      <c r="B56" s="2" t="s">
        <v>105</v>
      </c>
      <c r="AY56" s="2">
        <f t="shared" ref="AY56:BO56" si="293">SUM(AY44:AY55)</f>
        <v>64885</v>
      </c>
      <c r="AZ56" s="2">
        <f t="shared" si="293"/>
        <v>88658</v>
      </c>
      <c r="BA56" s="2">
        <f t="shared" si="293"/>
        <v>87446</v>
      </c>
      <c r="BB56" s="2">
        <f t="shared" si="293"/>
        <v>95209</v>
      </c>
      <c r="BC56" s="2">
        <f t="shared" si="293"/>
        <v>93022</v>
      </c>
      <c r="BD56" s="2">
        <f t="shared" si="293"/>
        <v>94148</v>
      </c>
      <c r="BE56" s="2">
        <f t="shared" si="293"/>
        <v>91884</v>
      </c>
      <c r="BF56" s="2">
        <f t="shared" si="293"/>
        <v>98849</v>
      </c>
      <c r="BG56" s="2">
        <f t="shared" si="293"/>
        <v>93541</v>
      </c>
      <c r="BH56" s="2">
        <f t="shared" si="293"/>
        <v>92447</v>
      </c>
      <c r="BI56" s="2">
        <f t="shared" si="293"/>
        <v>91022</v>
      </c>
      <c r="BJ56" s="2">
        <f t="shared" si="293"/>
        <v>99823</v>
      </c>
      <c r="BK56" s="2">
        <f t="shared" si="293"/>
        <v>96180</v>
      </c>
      <c r="BL56" s="2">
        <f t="shared" si="293"/>
        <v>92180</v>
      </c>
      <c r="BM56" s="2">
        <f t="shared" si="293"/>
        <v>91395</v>
      </c>
      <c r="BN56" s="2">
        <f t="shared" si="293"/>
        <v>102928</v>
      </c>
      <c r="BO56" s="2">
        <f t="shared" si="293"/>
        <v>98610</v>
      </c>
      <c r="BP56" s="2">
        <f t="shared" ref="BP56" si="294">SUM(BP44:BP55)</f>
        <v>97573</v>
      </c>
      <c r="BQ56" s="55"/>
      <c r="BR56" s="55"/>
      <c r="BS56" s="55"/>
      <c r="BT56" s="55"/>
      <c r="BU56" s="55"/>
      <c r="BV56" s="55"/>
      <c r="CM56" s="2">
        <f t="shared" si="288"/>
        <v>336198</v>
      </c>
      <c r="CN56" s="2">
        <f t="shared" si="289"/>
        <v>377903</v>
      </c>
      <c r="CO56" s="2">
        <f t="shared" si="290"/>
        <v>376833</v>
      </c>
      <c r="CP56" s="2">
        <f t="shared" si="291"/>
        <v>382683</v>
      </c>
      <c r="CQ56" s="55"/>
      <c r="CU56" s="55"/>
      <c r="CV56" s="55"/>
      <c r="CY56" s="48" t="s">
        <v>112</v>
      </c>
      <c r="CZ56" s="53">
        <f>Main!C3</f>
        <v>243.52</v>
      </c>
      <c r="DA56" s="50"/>
      <c r="DB56" s="50"/>
      <c r="DC56" s="55"/>
      <c r="DD56" s="55"/>
      <c r="DE56" s="55"/>
      <c r="DF56" s="55"/>
      <c r="DG56" s="55"/>
      <c r="DH56" s="55"/>
      <c r="DI56" s="55"/>
      <c r="DJ56" s="55"/>
      <c r="DK56" s="55"/>
      <c r="DL56" s="55"/>
      <c r="DM56" s="55"/>
      <c r="DN56" s="55"/>
      <c r="DO56" s="55"/>
      <c r="DP56" s="55"/>
      <c r="DQ56" s="55"/>
      <c r="DR56" s="55"/>
      <c r="DS56" s="55"/>
      <c r="DT56" s="55"/>
      <c r="DU56" s="55"/>
      <c r="DV56" s="55"/>
      <c r="DW56" s="55"/>
      <c r="DX56" s="55"/>
      <c r="DY56" s="55"/>
      <c r="DZ56" s="55"/>
      <c r="EA56" s="55"/>
      <c r="EB56" s="55"/>
      <c r="EC56" s="55"/>
      <c r="ED56" s="55"/>
      <c r="EE56" s="55"/>
      <c r="EF56" s="55"/>
      <c r="EG56" s="55"/>
      <c r="EH56" s="55"/>
      <c r="EI56" s="55"/>
      <c r="EJ56" s="55"/>
      <c r="EK56" s="55"/>
      <c r="EL56" s="55"/>
      <c r="EM56" s="55"/>
      <c r="EN56" s="55"/>
      <c r="EO56" s="55"/>
      <c r="EP56" s="55"/>
      <c r="EQ56" s="55"/>
      <c r="ER56" s="55"/>
      <c r="ES56" s="55"/>
      <c r="ET56" s="55"/>
      <c r="EU56" s="55"/>
      <c r="EV56" s="55"/>
      <c r="EW56" s="55"/>
      <c r="EX56" s="55"/>
      <c r="EY56" s="55"/>
      <c r="EZ56" s="55"/>
      <c r="FA56" s="55"/>
      <c r="FB56" s="55"/>
      <c r="FC56" s="55"/>
      <c r="FD56" s="55"/>
    </row>
    <row r="57" spans="2:160" ht="15" customHeight="1">
      <c r="BP57" s="61"/>
      <c r="CY57" s="48" t="s">
        <v>260</v>
      </c>
      <c r="CZ57" s="51">
        <f>CZ55/CZ56-1</f>
        <v>0.23596458633606643</v>
      </c>
      <c r="DA57" s="54" t="str">
        <f>IF(CZ57&gt;0,"Upside","Downside")</f>
        <v>Upside</v>
      </c>
    </row>
    <row r="58" spans="2:160">
      <c r="B58" s="1" t="s">
        <v>104</v>
      </c>
      <c r="AY58" s="1">
        <v>3439</v>
      </c>
      <c r="AZ58" s="1">
        <v>4274</v>
      </c>
      <c r="BA58" s="1">
        <v>4231</v>
      </c>
      <c r="BB58" s="1">
        <v>5470</v>
      </c>
      <c r="BC58" s="1">
        <v>4603</v>
      </c>
      <c r="BD58" s="1">
        <v>5446</v>
      </c>
      <c r="BE58" s="1">
        <v>5285</v>
      </c>
      <c r="BF58" s="1">
        <v>6743</v>
      </c>
      <c r="BG58" s="1">
        <v>5733</v>
      </c>
      <c r="BH58" s="1">
        <v>5308</v>
      </c>
      <c r="BI58" s="1">
        <v>5308</v>
      </c>
      <c r="BJ58" s="1">
        <v>6111</v>
      </c>
      <c r="BK58" s="1">
        <v>5520</v>
      </c>
      <c r="BL58" s="1">
        <v>5220</v>
      </c>
      <c r="BM58" s="1">
        <v>5331</v>
      </c>
      <c r="BN58" s="1">
        <v>6658</v>
      </c>
      <c r="BO58" s="61">
        <v>5804</v>
      </c>
      <c r="BP58" s="61">
        <v>5397</v>
      </c>
      <c r="CM58" s="1">
        <f t="shared" ref="CM58:CM67" si="295">SUM(AY58:BB58)</f>
        <v>17414</v>
      </c>
      <c r="CN58" s="1">
        <f t="shared" ref="CN58:CN67" si="296">SUM(BC58:BF58)</f>
        <v>22077</v>
      </c>
      <c r="CO58" s="1">
        <f t="shared" ref="CO58:CO67" si="297">SUM(BG58:BJ58)</f>
        <v>22460</v>
      </c>
      <c r="CP58" s="1">
        <f t="shared" ref="CP58:CP67" si="298">SUM(BK58:BN58)</f>
        <v>22729</v>
      </c>
      <c r="CY58" s="80" t="str" cm="1">
        <f t="array" ref="CY58">_xlfn.IFS(CZ57&gt;=25%,"Strong Buy",CZ57&gt;=10.00001%,"Buy",AND(CZ57&lt;=10%,CZ57&gt;=-4.9999%),"Hold",AND(CZ57&lt;=-5%,CZ57&gt;=-14.999999%),"Sell",CZ57&lt;=-15%,"Strong Sell")</f>
        <v>Buy</v>
      </c>
      <c r="CZ58" s="80"/>
    </row>
    <row r="59" spans="2:160">
      <c r="B59" s="1" t="s">
        <v>103</v>
      </c>
      <c r="AY59" s="1">
        <v>726</v>
      </c>
      <c r="AZ59" s="1">
        <v>713</v>
      </c>
      <c r="BA59" s="1">
        <v>688</v>
      </c>
      <c r="BB59" s="1">
        <v>686</v>
      </c>
      <c r="BC59" s="1">
        <v>658</v>
      </c>
      <c r="BD59" s="1">
        <v>626</v>
      </c>
      <c r="BE59" s="1">
        <v>567</v>
      </c>
      <c r="BF59" s="1">
        <v>590</v>
      </c>
      <c r="BG59" s="1">
        <v>591</v>
      </c>
      <c r="BH59" s="1">
        <v>523</v>
      </c>
      <c r="BI59" s="1">
        <v>523</v>
      </c>
      <c r="BJ59" s="1">
        <v>518</v>
      </c>
      <c r="BK59" s="1">
        <v>568</v>
      </c>
      <c r="BL59" s="1">
        <v>559</v>
      </c>
      <c r="BM59" s="1">
        <v>572</v>
      </c>
      <c r="BN59" s="1">
        <v>579</v>
      </c>
      <c r="BO59" s="61">
        <v>593</v>
      </c>
      <c r="BP59" s="61">
        <v>580</v>
      </c>
      <c r="CM59" s="1">
        <f t="shared" si="295"/>
        <v>2813</v>
      </c>
      <c r="CN59" s="1">
        <f t="shared" si="296"/>
        <v>2441</v>
      </c>
      <c r="CO59" s="1">
        <f t="shared" si="297"/>
        <v>2155</v>
      </c>
      <c r="CP59" s="1">
        <f t="shared" si="298"/>
        <v>2278</v>
      </c>
    </row>
    <row r="60" spans="2:160">
      <c r="B60" s="1" t="s">
        <v>102</v>
      </c>
      <c r="AY60" s="1">
        <v>11158</v>
      </c>
      <c r="AZ60" s="1">
        <v>11067</v>
      </c>
      <c r="BA60" s="1">
        <v>10116</v>
      </c>
      <c r="BB60" s="1">
        <v>15628</v>
      </c>
      <c r="BC60" s="1">
        <v>13636</v>
      </c>
      <c r="BD60" s="1">
        <v>12825</v>
      </c>
      <c r="BE60" s="1">
        <v>11193</v>
      </c>
      <c r="BF60" s="1">
        <v>17376</v>
      </c>
      <c r="BG60" s="1">
        <v>15121</v>
      </c>
      <c r="BH60" s="1">
        <v>12564</v>
      </c>
      <c r="BI60" s="1">
        <v>12564</v>
      </c>
      <c r="BJ60" s="1">
        <v>19003</v>
      </c>
      <c r="BK60" s="1">
        <v>16061</v>
      </c>
      <c r="BL60" s="1">
        <v>15222</v>
      </c>
      <c r="BM60" s="1">
        <v>13472</v>
      </c>
      <c r="BN60" s="1">
        <v>20743</v>
      </c>
      <c r="BO60" s="61">
        <v>17799</v>
      </c>
      <c r="BP60" s="61">
        <v>16555</v>
      </c>
      <c r="CM60" s="1">
        <f t="shared" si="295"/>
        <v>47969</v>
      </c>
      <c r="CN60" s="1">
        <f t="shared" si="296"/>
        <v>55030</v>
      </c>
      <c r="CO60" s="1">
        <f t="shared" si="297"/>
        <v>59252</v>
      </c>
      <c r="CP60" s="1">
        <f t="shared" si="298"/>
        <v>65498</v>
      </c>
    </row>
    <row r="61" spans="2:160" ht="15" customHeight="1">
      <c r="B61" s="1" t="s">
        <v>101</v>
      </c>
      <c r="AY61" s="1">
        <v>0</v>
      </c>
      <c r="AZ61" s="1">
        <v>1339</v>
      </c>
      <c r="BA61" s="1">
        <v>0</v>
      </c>
      <c r="BB61" s="1">
        <v>4</v>
      </c>
      <c r="BC61" s="1">
        <v>1002</v>
      </c>
      <c r="BD61" s="1">
        <v>1183</v>
      </c>
      <c r="BE61" s="1">
        <v>1182</v>
      </c>
      <c r="BF61" s="1">
        <v>1182</v>
      </c>
      <c r="BG61" s="1">
        <v>181</v>
      </c>
      <c r="BH61" s="1">
        <v>999</v>
      </c>
      <c r="BI61" s="1">
        <v>999</v>
      </c>
      <c r="BJ61" s="1">
        <v>999</v>
      </c>
      <c r="BK61" s="1">
        <v>1000</v>
      </c>
      <c r="BL61" s="1">
        <v>0</v>
      </c>
      <c r="BM61" s="1">
        <v>0</v>
      </c>
      <c r="BN61" s="1">
        <v>0</v>
      </c>
      <c r="BO61" s="61">
        <v>0</v>
      </c>
      <c r="BP61" s="61">
        <v>0</v>
      </c>
      <c r="CM61" s="1">
        <f t="shared" si="295"/>
        <v>1343</v>
      </c>
      <c r="CN61" s="1">
        <f t="shared" si="296"/>
        <v>4549</v>
      </c>
      <c r="CO61" s="1">
        <f t="shared" si="297"/>
        <v>3178</v>
      </c>
      <c r="CP61" s="1">
        <f t="shared" si="298"/>
        <v>1000</v>
      </c>
    </row>
    <row r="62" spans="2:160">
      <c r="B62" s="1" t="s">
        <v>100</v>
      </c>
      <c r="AY62" s="1">
        <v>2672</v>
      </c>
      <c r="AZ62" s="1">
        <v>10589</v>
      </c>
      <c r="BA62" s="1">
        <v>10591</v>
      </c>
      <c r="BB62" s="1">
        <v>10592</v>
      </c>
      <c r="BC62" s="1">
        <v>9595</v>
      </c>
      <c r="BD62" s="1">
        <v>9416</v>
      </c>
      <c r="BE62" s="1">
        <v>9418</v>
      </c>
      <c r="BF62" s="1">
        <v>9419</v>
      </c>
      <c r="BG62" s="1">
        <v>9421</v>
      </c>
      <c r="BH62" s="1">
        <v>8426</v>
      </c>
      <c r="BI62" s="1">
        <v>8426</v>
      </c>
      <c r="BJ62" s="1">
        <v>8427</v>
      </c>
      <c r="BK62" s="1">
        <v>8429</v>
      </c>
      <c r="BL62" s="1">
        <v>8430</v>
      </c>
      <c r="BM62" s="1">
        <v>8432</v>
      </c>
      <c r="BN62" s="1">
        <v>8433</v>
      </c>
      <c r="BO62" s="61">
        <v>8435</v>
      </c>
      <c r="BP62" s="61">
        <v>8436</v>
      </c>
      <c r="CM62" s="1">
        <f t="shared" si="295"/>
        <v>34444</v>
      </c>
      <c r="CN62" s="1">
        <f t="shared" si="296"/>
        <v>37848</v>
      </c>
      <c r="CO62" s="1">
        <f t="shared" si="297"/>
        <v>34700</v>
      </c>
      <c r="CP62" s="1">
        <f t="shared" si="298"/>
        <v>33724</v>
      </c>
    </row>
    <row r="63" spans="2:160">
      <c r="B63" s="1" t="s">
        <v>99</v>
      </c>
      <c r="AY63" s="1">
        <v>2734</v>
      </c>
      <c r="AZ63" s="1">
        <v>2878</v>
      </c>
      <c r="BA63" s="1">
        <v>2722</v>
      </c>
      <c r="BB63" s="1">
        <v>2703</v>
      </c>
      <c r="BC63" s="1">
        <v>2730</v>
      </c>
      <c r="BD63" s="1">
        <v>2580</v>
      </c>
      <c r="BE63" s="1">
        <v>2831</v>
      </c>
      <c r="BF63" s="1">
        <v>2897</v>
      </c>
      <c r="BG63" s="1">
        <v>2880</v>
      </c>
      <c r="BH63" s="1">
        <v>2764</v>
      </c>
      <c r="BI63" s="1">
        <v>2764</v>
      </c>
      <c r="BJ63" s="1">
        <v>2644</v>
      </c>
      <c r="BK63" s="1">
        <v>2519</v>
      </c>
      <c r="BL63" s="1">
        <v>2404</v>
      </c>
      <c r="BM63" s="1">
        <v>2420</v>
      </c>
      <c r="BN63" s="1">
        <v>2380</v>
      </c>
      <c r="BO63" s="61">
        <v>2341</v>
      </c>
      <c r="BP63" s="61">
        <v>2221</v>
      </c>
      <c r="CM63" s="1">
        <f t="shared" si="295"/>
        <v>11037</v>
      </c>
      <c r="CN63" s="1">
        <f t="shared" si="296"/>
        <v>11038</v>
      </c>
      <c r="CO63" s="1">
        <f t="shared" si="297"/>
        <v>11052</v>
      </c>
      <c r="CP63" s="1">
        <f t="shared" si="298"/>
        <v>9723</v>
      </c>
    </row>
    <row r="64" spans="2:160">
      <c r="B64" s="1" t="s">
        <v>98</v>
      </c>
      <c r="AY64" s="1">
        <v>1589</v>
      </c>
      <c r="AZ64" s="1">
        <v>2278</v>
      </c>
      <c r="BA64" s="1">
        <v>2034</v>
      </c>
      <c r="BB64" s="1">
        <v>1995</v>
      </c>
      <c r="BC64" s="1">
        <v>1922</v>
      </c>
      <c r="BD64" s="1">
        <v>1974</v>
      </c>
      <c r="BE64" s="1">
        <v>2057</v>
      </c>
      <c r="BF64" s="1">
        <v>2283</v>
      </c>
      <c r="BG64" s="1">
        <v>2202</v>
      </c>
      <c r="BH64" s="1">
        <v>2348</v>
      </c>
      <c r="BI64" s="1">
        <v>2348</v>
      </c>
      <c r="BJ64" s="1">
        <v>2475</v>
      </c>
      <c r="BK64" s="1">
        <v>2400</v>
      </c>
      <c r="BL64" s="1">
        <v>2712</v>
      </c>
      <c r="BM64" s="1">
        <v>2643</v>
      </c>
      <c r="BN64" s="1">
        <v>2962</v>
      </c>
      <c r="BO64" s="61">
        <v>2972</v>
      </c>
      <c r="BP64" s="61">
        <v>3056</v>
      </c>
      <c r="CM64" s="1">
        <f t="shared" si="295"/>
        <v>7896</v>
      </c>
      <c r="CN64" s="1">
        <f t="shared" si="296"/>
        <v>8236</v>
      </c>
      <c r="CO64" s="1">
        <f t="shared" si="297"/>
        <v>9373</v>
      </c>
      <c r="CP64" s="1">
        <f t="shared" si="298"/>
        <v>10717</v>
      </c>
    </row>
    <row r="65" spans="2:160" s="2" customFormat="1" ht="15">
      <c r="B65" s="2" t="s">
        <v>97</v>
      </c>
      <c r="AY65" s="2">
        <f t="shared" ref="AY65:BO65" si="299">SUM(AY58:AY64)</f>
        <v>22318</v>
      </c>
      <c r="AZ65" s="2">
        <f t="shared" si="299"/>
        <v>33138</v>
      </c>
      <c r="BA65" s="2">
        <f t="shared" si="299"/>
        <v>30382</v>
      </c>
      <c r="BB65" s="2">
        <f t="shared" si="299"/>
        <v>37078</v>
      </c>
      <c r="BC65" s="2">
        <f t="shared" si="299"/>
        <v>34146</v>
      </c>
      <c r="BD65" s="2">
        <f t="shared" si="299"/>
        <v>34050</v>
      </c>
      <c r="BE65" s="2">
        <f t="shared" si="299"/>
        <v>32533</v>
      </c>
      <c r="BF65" s="2">
        <f t="shared" si="299"/>
        <v>40490</v>
      </c>
      <c r="BG65" s="2">
        <f t="shared" si="299"/>
        <v>36129</v>
      </c>
      <c r="BH65" s="2">
        <f t="shared" si="299"/>
        <v>32932</v>
      </c>
      <c r="BI65" s="2">
        <f t="shared" si="299"/>
        <v>32932</v>
      </c>
      <c r="BJ65" s="2">
        <f t="shared" si="299"/>
        <v>40177</v>
      </c>
      <c r="BK65" s="2">
        <f t="shared" si="299"/>
        <v>36497</v>
      </c>
      <c r="BL65" s="2">
        <f t="shared" si="299"/>
        <v>34547</v>
      </c>
      <c r="BM65" s="2">
        <f t="shared" si="299"/>
        <v>32870</v>
      </c>
      <c r="BN65" s="2">
        <f t="shared" si="299"/>
        <v>41755</v>
      </c>
      <c r="BO65" s="2">
        <f t="shared" si="299"/>
        <v>37944</v>
      </c>
      <c r="BP65" s="2">
        <f t="shared" ref="BP65" si="300">SUM(BP58:BP64)</f>
        <v>36245</v>
      </c>
      <c r="BQ65" s="55"/>
      <c r="BR65" s="55"/>
      <c r="BS65" s="55"/>
      <c r="BT65" s="55"/>
      <c r="BU65" s="55"/>
      <c r="BV65" s="55"/>
      <c r="CM65" s="2">
        <f t="shared" si="295"/>
        <v>122916</v>
      </c>
      <c r="CN65" s="2">
        <f t="shared" si="296"/>
        <v>141219</v>
      </c>
      <c r="CO65" s="2">
        <f t="shared" si="297"/>
        <v>142170</v>
      </c>
      <c r="CP65" s="2">
        <f t="shared" si="298"/>
        <v>145669</v>
      </c>
      <c r="CQ65" s="55"/>
      <c r="CR65" s="55"/>
      <c r="CS65" s="55"/>
      <c r="CT65" s="55"/>
      <c r="CU65" s="55"/>
      <c r="CV65" s="55"/>
      <c r="CW65" s="55"/>
      <c r="CX65" s="55"/>
      <c r="CY65" s="55"/>
      <c r="CZ65" s="55"/>
      <c r="DA65" s="55"/>
      <c r="DB65" s="55"/>
      <c r="DC65" s="55"/>
      <c r="DD65" s="55"/>
      <c r="DE65" s="55"/>
      <c r="DF65" s="55"/>
      <c r="DG65" s="55"/>
      <c r="DH65" s="55"/>
      <c r="DI65" s="55"/>
      <c r="DJ65" s="55"/>
      <c r="DK65" s="55"/>
      <c r="DL65" s="55"/>
      <c r="DM65" s="55"/>
      <c r="DN65" s="55"/>
      <c r="DO65" s="55"/>
      <c r="DP65" s="55"/>
      <c r="DQ65" s="55"/>
      <c r="DR65" s="55"/>
      <c r="DS65" s="55"/>
      <c r="DT65" s="55"/>
      <c r="DU65" s="55"/>
      <c r="DV65" s="55"/>
      <c r="DW65" s="55"/>
      <c r="DX65" s="55"/>
      <c r="DY65" s="55"/>
      <c r="DZ65" s="55"/>
      <c r="EA65" s="55"/>
      <c r="EB65" s="55"/>
      <c r="EC65" s="55"/>
      <c r="ED65" s="55"/>
      <c r="EE65" s="55"/>
      <c r="EF65" s="55"/>
      <c r="EG65" s="55"/>
      <c r="EH65" s="55"/>
      <c r="EI65" s="55"/>
      <c r="EJ65" s="55"/>
      <c r="EK65" s="55"/>
      <c r="EL65" s="55"/>
      <c r="EM65" s="55"/>
      <c r="EN65" s="55"/>
      <c r="EO65" s="55"/>
      <c r="EP65" s="55"/>
      <c r="EQ65" s="55"/>
      <c r="ER65" s="55"/>
      <c r="ES65" s="55"/>
      <c r="ET65" s="55"/>
      <c r="EU65" s="55"/>
      <c r="EV65" s="55"/>
      <c r="EW65" s="55"/>
      <c r="EX65" s="55"/>
      <c r="EY65" s="55"/>
      <c r="EZ65" s="55"/>
      <c r="FA65" s="55"/>
      <c r="FB65" s="55"/>
      <c r="FC65" s="55"/>
      <c r="FD65" s="55"/>
    </row>
    <row r="66" spans="2:160">
      <c r="B66" s="1" t="s">
        <v>96</v>
      </c>
      <c r="AY66" s="1">
        <v>42567</v>
      </c>
      <c r="AZ66" s="1">
        <v>55520</v>
      </c>
      <c r="BA66" s="1">
        <v>57436</v>
      </c>
      <c r="BB66" s="1">
        <v>58131</v>
      </c>
      <c r="BC66" s="1">
        <v>58876</v>
      </c>
      <c r="BD66" s="1">
        <v>60098</v>
      </c>
      <c r="BE66" s="1">
        <v>59351</v>
      </c>
      <c r="BF66" s="1">
        <v>58359</v>
      </c>
      <c r="BG66" s="1">
        <v>57412</v>
      </c>
      <c r="BH66" s="1">
        <v>58090</v>
      </c>
      <c r="BI66" s="1">
        <v>58090</v>
      </c>
      <c r="BJ66" s="1">
        <v>59646</v>
      </c>
      <c r="BK66" s="1">
        <v>59683</v>
      </c>
      <c r="BL66" s="1">
        <v>57633</v>
      </c>
      <c r="BM66" s="1">
        <v>58525</v>
      </c>
      <c r="BN66" s="1">
        <v>61173</v>
      </c>
      <c r="BO66" s="61">
        <v>60666</v>
      </c>
      <c r="BP66" s="61">
        <v>61328</v>
      </c>
      <c r="CM66" s="1">
        <f t="shared" si="295"/>
        <v>213654</v>
      </c>
      <c r="CN66" s="1">
        <f t="shared" si="296"/>
        <v>236684</v>
      </c>
      <c r="CO66" s="1">
        <f t="shared" si="297"/>
        <v>233238</v>
      </c>
      <c r="CP66" s="1">
        <f t="shared" si="298"/>
        <v>237014</v>
      </c>
    </row>
    <row r="67" spans="2:160" s="2" customFormat="1" ht="15">
      <c r="B67" s="2" t="s">
        <v>95</v>
      </c>
      <c r="AY67" s="2">
        <f t="shared" ref="AY67:BO67" si="301">AY65+AY66</f>
        <v>64885</v>
      </c>
      <c r="AZ67" s="2">
        <f t="shared" si="301"/>
        <v>88658</v>
      </c>
      <c r="BA67" s="2">
        <f t="shared" si="301"/>
        <v>87818</v>
      </c>
      <c r="BB67" s="2">
        <f t="shared" si="301"/>
        <v>95209</v>
      </c>
      <c r="BC67" s="2">
        <f t="shared" si="301"/>
        <v>93022</v>
      </c>
      <c r="BD67" s="2">
        <f t="shared" si="301"/>
        <v>94148</v>
      </c>
      <c r="BE67" s="2">
        <f t="shared" si="301"/>
        <v>91884</v>
      </c>
      <c r="BF67" s="2">
        <f t="shared" si="301"/>
        <v>98849</v>
      </c>
      <c r="BG67" s="2">
        <f t="shared" si="301"/>
        <v>93541</v>
      </c>
      <c r="BH67" s="2">
        <f t="shared" si="301"/>
        <v>91022</v>
      </c>
      <c r="BI67" s="2">
        <f t="shared" si="301"/>
        <v>91022</v>
      </c>
      <c r="BJ67" s="2">
        <f t="shared" si="301"/>
        <v>99823</v>
      </c>
      <c r="BK67" s="2">
        <f t="shared" si="301"/>
        <v>96180</v>
      </c>
      <c r="BL67" s="2">
        <f t="shared" si="301"/>
        <v>92180</v>
      </c>
      <c r="BM67" s="2">
        <f t="shared" si="301"/>
        <v>91395</v>
      </c>
      <c r="BN67" s="2">
        <f t="shared" si="301"/>
        <v>102928</v>
      </c>
      <c r="BO67" s="2">
        <f t="shared" si="301"/>
        <v>98610</v>
      </c>
      <c r="BP67" s="2">
        <f t="shared" ref="BP67" si="302">BP65+BP66</f>
        <v>97573</v>
      </c>
      <c r="BQ67" s="55"/>
      <c r="BR67" s="55"/>
      <c r="BS67" s="55"/>
      <c r="BT67" s="55"/>
      <c r="BU67" s="55"/>
      <c r="BV67" s="55"/>
      <c r="CM67" s="2">
        <f t="shared" si="295"/>
        <v>336570</v>
      </c>
      <c r="CN67" s="2">
        <f t="shared" si="296"/>
        <v>377903</v>
      </c>
      <c r="CO67" s="2">
        <f t="shared" si="297"/>
        <v>375408</v>
      </c>
      <c r="CP67" s="2">
        <f t="shared" si="298"/>
        <v>382683</v>
      </c>
      <c r="CQ67" s="55"/>
      <c r="CR67" s="55"/>
      <c r="CS67" s="55"/>
      <c r="CT67" s="55"/>
      <c r="CU67" s="55"/>
      <c r="CV67" s="55"/>
      <c r="CW67" s="55"/>
      <c r="CX67" s="55"/>
      <c r="CY67" s="55"/>
      <c r="CZ67" s="55"/>
      <c r="DA67" s="55"/>
      <c r="DB67" s="55"/>
      <c r="DC67" s="55"/>
      <c r="DD67" s="55"/>
      <c r="DE67" s="55"/>
      <c r="DF67" s="55"/>
      <c r="DG67" s="55"/>
      <c r="DH67" s="55"/>
      <c r="DI67" s="55"/>
      <c r="DJ67" s="55"/>
      <c r="DK67" s="55"/>
      <c r="DL67" s="55"/>
      <c r="DM67" s="55"/>
      <c r="DN67" s="55"/>
      <c r="DO67" s="55"/>
      <c r="DP67" s="55"/>
      <c r="DQ67" s="55"/>
      <c r="DR67" s="55"/>
      <c r="DS67" s="55"/>
      <c r="DT67" s="55"/>
      <c r="DU67" s="55"/>
      <c r="DV67" s="55"/>
      <c r="DW67" s="55"/>
      <c r="DX67" s="55"/>
      <c r="DY67" s="55"/>
      <c r="DZ67" s="55"/>
      <c r="EA67" s="55"/>
      <c r="EB67" s="55"/>
      <c r="EC67" s="55"/>
      <c r="ED67" s="55"/>
      <c r="EE67" s="55"/>
      <c r="EF67" s="55"/>
      <c r="EG67" s="55"/>
      <c r="EH67" s="55"/>
      <c r="EI67" s="55"/>
      <c r="EJ67" s="55"/>
      <c r="EK67" s="55"/>
      <c r="EL67" s="55"/>
      <c r="EM67" s="55"/>
      <c r="EN67" s="55"/>
      <c r="EO67" s="55"/>
      <c r="EP67" s="55"/>
      <c r="EQ67" s="55"/>
      <c r="ER67" s="55"/>
      <c r="ES67" s="55"/>
      <c r="ET67" s="55"/>
      <c r="EU67" s="55"/>
      <c r="EV67" s="55"/>
      <c r="EW67" s="55"/>
      <c r="EX67" s="55"/>
      <c r="EY67" s="55"/>
      <c r="EZ67" s="55"/>
      <c r="FA67" s="55"/>
      <c r="FB67" s="55"/>
      <c r="FC67" s="55"/>
      <c r="FD67" s="55"/>
    </row>
    <row r="68" spans="2:160">
      <c r="BP68" s="61"/>
    </row>
    <row r="69" spans="2:160">
      <c r="B69" s="1" t="s">
        <v>49</v>
      </c>
      <c r="AY69" s="35">
        <f t="shared" ref="AY69:BO69" si="303">SUM(AY44:AY48)/SUM(AY58:AY61)</f>
        <v>1.3342034849572537</v>
      </c>
      <c r="AZ69" s="35">
        <f t="shared" si="303"/>
        <v>0.93462887368481573</v>
      </c>
      <c r="BA69" s="35">
        <f t="shared" si="303"/>
        <v>1.0613235783172597</v>
      </c>
      <c r="BB69" s="35">
        <f t="shared" si="303"/>
        <v>1.04874242702405</v>
      </c>
      <c r="BC69" s="35">
        <f t="shared" si="303"/>
        <v>1.0257299361776975</v>
      </c>
      <c r="BD69" s="35">
        <f t="shared" si="303"/>
        <v>1.0580677290836653</v>
      </c>
      <c r="BE69" s="35">
        <f t="shared" si="303"/>
        <v>1.0538761178471499</v>
      </c>
      <c r="BF69" s="35">
        <f t="shared" si="303"/>
        <v>1.0194662237843266</v>
      </c>
      <c r="BG69" s="35">
        <f t="shared" si="303"/>
        <v>1.0164154258762601</v>
      </c>
      <c r="BH69" s="35">
        <f t="shared" si="303"/>
        <v>1.0899247189852532</v>
      </c>
      <c r="BI69" s="35">
        <f t="shared" si="303"/>
        <v>1.0416623698050944</v>
      </c>
      <c r="BJ69" s="35">
        <f t="shared" si="303"/>
        <v>1.0917351958244152</v>
      </c>
      <c r="BK69" s="35">
        <f t="shared" si="303"/>
        <v>1.1060520972828201</v>
      </c>
      <c r="BL69" s="35">
        <f t="shared" si="303"/>
        <v>1.0409980477120138</v>
      </c>
      <c r="BM69" s="35">
        <f t="shared" si="303"/>
        <v>1.1058064516129031</v>
      </c>
      <c r="BN69" s="35">
        <f t="shared" si="303"/>
        <v>1.0624374553252323</v>
      </c>
      <c r="BO69" s="35">
        <f t="shared" si="303"/>
        <v>1.0690196726731691</v>
      </c>
      <c r="BP69" s="35">
        <f t="shared" ref="BP69" si="304">SUM(BP44:BP48)/SUM(BP58:BP61)</f>
        <v>1.1242233268240724</v>
      </c>
      <c r="CM69" s="35">
        <f t="shared" ref="CM69:CO69" si="305">SUM(CM44:CM48)/SUM(CM58:CM61)</f>
        <v>1.0858223442960067</v>
      </c>
      <c r="CN69" s="35">
        <f t="shared" si="305"/>
        <v>1.0376232208045471</v>
      </c>
      <c r="CO69" s="35">
        <f t="shared" si="305"/>
        <v>1.0614624619449711</v>
      </c>
      <c r="CP69" s="35">
        <f>SUM(CP44:CP48)/SUM(CP58:CP61)</f>
        <v>1.0777334571881318</v>
      </c>
    </row>
    <row r="70" spans="2:160">
      <c r="B70" s="1" t="s">
        <v>50</v>
      </c>
      <c r="AY70" s="35">
        <f t="shared" ref="AY70:BO70" si="306">SUM(AY44)/SUM(AY58:AY61)</f>
        <v>0.55759316060823594</v>
      </c>
      <c r="AZ70" s="35">
        <f t="shared" si="306"/>
        <v>0.36215718967400679</v>
      </c>
      <c r="BA70" s="35">
        <f t="shared" si="306"/>
        <v>0.31612903225806449</v>
      </c>
      <c r="BB70" s="35">
        <f t="shared" si="306"/>
        <v>0.25078024600697629</v>
      </c>
      <c r="BC70" s="35">
        <f t="shared" si="306"/>
        <v>0.34469068797427005</v>
      </c>
      <c r="BD70" s="35">
        <f t="shared" si="306"/>
        <v>0.34516932270916334</v>
      </c>
      <c r="BE70" s="35">
        <f t="shared" si="306"/>
        <v>0.33335162122126516</v>
      </c>
      <c r="BF70" s="35">
        <f t="shared" si="306"/>
        <v>0.2709821945849909</v>
      </c>
      <c r="BG70" s="35">
        <f t="shared" si="306"/>
        <v>0.42333302506242487</v>
      </c>
      <c r="BH70" s="35">
        <f t="shared" si="306"/>
        <v>0.3491801588120037</v>
      </c>
      <c r="BI70" s="35">
        <f t="shared" si="306"/>
        <v>0.33273177271321025</v>
      </c>
      <c r="BJ70" s="35">
        <f t="shared" si="306"/>
        <v>0.31812549284668246</v>
      </c>
      <c r="BK70" s="35">
        <f t="shared" si="306"/>
        <v>0.43016976975247312</v>
      </c>
      <c r="BL70" s="35">
        <f t="shared" si="306"/>
        <v>0.3657921051378506</v>
      </c>
      <c r="BM70" s="35">
        <f t="shared" si="306"/>
        <v>0.41274838709677419</v>
      </c>
      <c r="BN70" s="35">
        <f t="shared" si="306"/>
        <v>0.31622587562544674</v>
      </c>
      <c r="BO70" s="35">
        <f t="shared" si="306"/>
        <v>0.45164489998346835</v>
      </c>
      <c r="BP70" s="35">
        <f t="shared" ref="BP70" si="307">SUM(BP44)/SUM(BP58:BP61)</f>
        <v>0.46001242677081483</v>
      </c>
      <c r="CM70" s="35">
        <f t="shared" ref="CM70:CO70" si="308">SUM(CM44)/SUM(CM58:CM61)</f>
        <v>0.36037331569335196</v>
      </c>
      <c r="CN70" s="35">
        <f t="shared" si="308"/>
        <v>0.31965468447150314</v>
      </c>
      <c r="CO70" s="35">
        <f t="shared" si="308"/>
        <v>0.35443735998621401</v>
      </c>
      <c r="CP70" s="35">
        <f>SUM(CP44)/SUM(CP58:CP61)</f>
        <v>0.37686465220479753</v>
      </c>
    </row>
    <row r="71" spans="2:160">
      <c r="B71" s="1" t="s">
        <v>2059</v>
      </c>
      <c r="AY71" s="35">
        <f t="shared" ref="AY71:BO71" si="309">AY16/AY49</f>
        <v>2.3947791164658634</v>
      </c>
      <c r="AZ71" s="35">
        <f t="shared" si="309"/>
        <v>2.3386204352637403</v>
      </c>
      <c r="BA71" s="35">
        <f t="shared" si="309"/>
        <v>2.4794075144508669</v>
      </c>
      <c r="BB71" s="35">
        <f t="shared" si="309"/>
        <v>2.6024866785079928</v>
      </c>
      <c r="BC71" s="35">
        <f t="shared" si="309"/>
        <v>2.5840306834030682</v>
      </c>
      <c r="BD71" s="35">
        <f t="shared" si="309"/>
        <v>2.2874074074074073</v>
      </c>
      <c r="BE71" s="35">
        <f t="shared" si="309"/>
        <v>2.2302219692657941</v>
      </c>
      <c r="BF71" s="35">
        <f t="shared" si="309"/>
        <v>2.2655321447866017</v>
      </c>
      <c r="BG71" s="35">
        <f t="shared" si="309"/>
        <v>2.2319350473612989</v>
      </c>
      <c r="BH71" s="35">
        <f t="shared" si="309"/>
        <v>2.2195562435500515</v>
      </c>
      <c r="BI71" s="35">
        <f t="shared" si="309"/>
        <v>2.2905174678224323</v>
      </c>
      <c r="BJ71" s="35">
        <f t="shared" si="309"/>
        <v>2.5174844131200866</v>
      </c>
      <c r="BK71" s="35">
        <f t="shared" si="309"/>
        <v>2.6049629207073588</v>
      </c>
      <c r="BL71" s="35">
        <f t="shared" si="309"/>
        <v>2.6047486033519553</v>
      </c>
      <c r="BM71" s="35">
        <f t="shared" si="309"/>
        <v>2.7646370023419204</v>
      </c>
      <c r="BN71" s="35">
        <f t="shared" si="309"/>
        <v>3.0880716934487022</v>
      </c>
      <c r="BO71" s="35">
        <f t="shared" si="309"/>
        <v>3.1392526349409136</v>
      </c>
      <c r="BP71" s="35">
        <f t="shared" ref="BP71" si="310">BP16/BP49</f>
        <v>3.2454026632847177</v>
      </c>
      <c r="CM71" s="35">
        <f t="shared" ref="CM71:CO71" si="311">CM16/CM49</f>
        <v>2.4566023738872405</v>
      </c>
      <c r="CN71" s="35">
        <f t="shared" si="311"/>
        <v>2.3296678802288433</v>
      </c>
      <c r="CO71" s="35">
        <f t="shared" si="311"/>
        <v>2.3134665162275172</v>
      </c>
      <c r="CP71" s="35">
        <f>CP16/CP49</f>
        <v>2.7584073373125637</v>
      </c>
    </row>
    <row r="72" spans="2:160">
      <c r="B72" s="1" t="s">
        <v>51</v>
      </c>
      <c r="AY72" s="35">
        <f t="shared" ref="AY72:BO72" si="312">AY16/AY56</f>
        <v>9.190105571395546E-2</v>
      </c>
      <c r="AZ72" s="35">
        <f t="shared" si="312"/>
        <v>7.1510749170971596E-2</v>
      </c>
      <c r="BA72" s="35">
        <f t="shared" si="312"/>
        <v>7.8482720764814856E-2</v>
      </c>
      <c r="BB72" s="35">
        <f t="shared" si="312"/>
        <v>7.6946507157936744E-2</v>
      </c>
      <c r="BC72" s="35">
        <f t="shared" si="312"/>
        <v>7.9669325535894731E-2</v>
      </c>
      <c r="BD72" s="35">
        <f t="shared" si="312"/>
        <v>8.1998555465862266E-2</v>
      </c>
      <c r="BE72" s="35">
        <f t="shared" si="312"/>
        <v>8.529232510556789E-2</v>
      </c>
      <c r="BF72" s="35">
        <f t="shared" si="312"/>
        <v>8.4846584183957352E-2</v>
      </c>
      <c r="BG72" s="35">
        <f t="shared" si="312"/>
        <v>8.816454816604484E-2</v>
      </c>
      <c r="BH72" s="35">
        <f t="shared" si="312"/>
        <v>9.3058725540039161E-2</v>
      </c>
      <c r="BI72" s="35">
        <f t="shared" si="312"/>
        <v>9.5801015139197115E-2</v>
      </c>
      <c r="BJ72" s="35">
        <f t="shared" si="312"/>
        <v>9.3034671368321928E-2</v>
      </c>
      <c r="BK72" s="35">
        <f t="shared" si="312"/>
        <v>9.4957371594926177E-2</v>
      </c>
      <c r="BL72" s="35">
        <f t="shared" si="312"/>
        <v>0.10116077240182252</v>
      </c>
      <c r="BM72" s="35">
        <f t="shared" si="312"/>
        <v>0.10333169210569507</v>
      </c>
      <c r="BN72" s="35">
        <f t="shared" si="312"/>
        <v>9.7087284315249489E-2</v>
      </c>
      <c r="BO72" s="35">
        <f t="shared" si="312"/>
        <v>9.9675489301287903E-2</v>
      </c>
      <c r="BP72" s="35">
        <f t="shared" ref="BP72" si="313">BP16/BP56</f>
        <v>0.10490607032683222</v>
      </c>
      <c r="CM72" s="35">
        <f t="shared" ref="CM72:CO72" si="314">CM16/CM56</f>
        <v>7.8798803086276542E-2</v>
      </c>
      <c r="CN72" s="35">
        <f t="shared" si="314"/>
        <v>8.2971026956652899E-2</v>
      </c>
      <c r="CO72" s="35">
        <f t="shared" si="314"/>
        <v>9.2499860680991308E-2</v>
      </c>
      <c r="CP72" s="35">
        <f>CP16/CP56</f>
        <v>9.9024518988301016E-2</v>
      </c>
    </row>
    <row r="73" spans="2:160">
      <c r="B73" s="1" t="s">
        <v>52</v>
      </c>
      <c r="AY73" s="68">
        <f t="shared" ref="AY73:BO73" si="315">AY29/AY56</f>
        <v>7.2281729213223393E-3</v>
      </c>
      <c r="AZ73" s="68">
        <f t="shared" si="315"/>
        <v>6.0344244174242593E-3</v>
      </c>
      <c r="BA73" s="68">
        <f t="shared" si="315"/>
        <v>5.351874299567733E-3</v>
      </c>
      <c r="BB73" s="68">
        <f t="shared" si="315"/>
        <v>-2.9408984444747872E-4</v>
      </c>
      <c r="BC73" s="68">
        <f t="shared" si="315"/>
        <v>3.01004063554858E-4</v>
      </c>
      <c r="BD73" s="68">
        <f t="shared" si="315"/>
        <v>7.2226706887028932E-4</v>
      </c>
      <c r="BE73" s="68">
        <f t="shared" si="315"/>
        <v>2.2854904009403159E-3</v>
      </c>
      <c r="BF73" s="68">
        <f t="shared" si="315"/>
        <v>-9.9141114224726603E-4</v>
      </c>
      <c r="BG73" s="68">
        <f t="shared" si="315"/>
        <v>2.1274093712917328E-3</v>
      </c>
      <c r="BH73" s="68">
        <f t="shared" si="315"/>
        <v>1.3705149977825131E-2</v>
      </c>
      <c r="BI73" s="68">
        <f t="shared" si="315"/>
        <v>1.3447298455318495E-2</v>
      </c>
      <c r="BJ73" s="68">
        <f t="shared" si="315"/>
        <v>1.4485639582060247E-2</v>
      </c>
      <c r="BK73" s="68">
        <f t="shared" si="315"/>
        <v>1.5938864628820961E-2</v>
      </c>
      <c r="BL73" s="68">
        <f t="shared" si="315"/>
        <v>1.550227815144283E-2</v>
      </c>
      <c r="BM73" s="68">
        <f t="shared" si="315"/>
        <v>1.6707697357623501E-2</v>
      </c>
      <c r="BN73" s="68">
        <f t="shared" si="315"/>
        <v>1.6594124047878127E-2</v>
      </c>
      <c r="BO73" s="68">
        <f t="shared" si="315"/>
        <v>1.5627218334854476E-2</v>
      </c>
      <c r="BP73" s="68">
        <f t="shared" ref="BP73" si="316">BP29/BP56</f>
        <v>1.9339366423088353E-2</v>
      </c>
      <c r="CM73" s="68">
        <f t="shared" ref="CM73:CO73" si="317">CM29/CM56</f>
        <v>4.2950880136110271E-3</v>
      </c>
      <c r="CN73" s="68">
        <f t="shared" si="317"/>
        <v>5.5040579196248768E-4</v>
      </c>
      <c r="CO73" s="68">
        <f t="shared" si="317"/>
        <v>1.0975684189017416E-2</v>
      </c>
      <c r="CP73" s="68">
        <f>CP29/CP56</f>
        <v>1.6193559682557104E-2</v>
      </c>
    </row>
    <row r="74" spans="2:160">
      <c r="B74" s="1" t="s">
        <v>53</v>
      </c>
      <c r="AY74" s="68">
        <f t="shared" ref="AY74:BO74" si="318">AY29/AY66</f>
        <v>1.1017924683440223E-2</v>
      </c>
      <c r="AZ74" s="68">
        <f t="shared" si="318"/>
        <v>9.6361671469740642E-3</v>
      </c>
      <c r="BA74" s="68">
        <f t="shared" si="318"/>
        <v>8.1481997353576151E-3</v>
      </c>
      <c r="BB74" s="68">
        <f t="shared" si="318"/>
        <v>-4.816707092601194E-4</v>
      </c>
      <c r="BC74" s="68">
        <f t="shared" si="318"/>
        <v>4.755757863985325E-4</v>
      </c>
      <c r="BD74" s="68">
        <f t="shared" si="318"/>
        <v>1.1314852407734034E-3</v>
      </c>
      <c r="BE74" s="68">
        <f t="shared" si="318"/>
        <v>3.5382723121767114E-3</v>
      </c>
      <c r="BF74" s="68">
        <f t="shared" si="318"/>
        <v>-1.6792611251049538E-3</v>
      </c>
      <c r="BG74" s="68">
        <f t="shared" si="318"/>
        <v>3.466174318957709E-3</v>
      </c>
      <c r="BH74" s="68">
        <f t="shared" si="318"/>
        <v>2.1810982957479772E-2</v>
      </c>
      <c r="BI74" s="68">
        <f t="shared" si="318"/>
        <v>2.1070752280943364E-2</v>
      </c>
      <c r="BJ74" s="68">
        <f t="shared" si="318"/>
        <v>2.424303390001006E-2</v>
      </c>
      <c r="BK74" s="68">
        <f t="shared" si="318"/>
        <v>2.5685706147479181E-2</v>
      </c>
      <c r="BL74" s="68">
        <f t="shared" si="318"/>
        <v>2.4794822410771605E-2</v>
      </c>
      <c r="BM74" s="68">
        <f t="shared" si="318"/>
        <v>2.6091413925672789E-2</v>
      </c>
      <c r="BN74" s="68">
        <f t="shared" si="318"/>
        <v>2.7920814738528435E-2</v>
      </c>
      <c r="BO74" s="68">
        <f t="shared" si="318"/>
        <v>2.5401378037121287E-2</v>
      </c>
      <c r="BP74" s="68">
        <f t="shared" ref="BP74" si="319">BP29/BP66</f>
        <v>3.0768979911296634E-2</v>
      </c>
      <c r="CM74" s="68">
        <f t="shared" ref="CM74:CO74" si="320">CM29/CM66</f>
        <v>6.7585909929137765E-3</v>
      </c>
      <c r="CN74" s="68">
        <f t="shared" si="320"/>
        <v>8.7880887596964732E-4</v>
      </c>
      <c r="CO74" s="68">
        <f t="shared" si="320"/>
        <v>1.773295946629623E-2</v>
      </c>
      <c r="CP74" s="68">
        <f>CP29/CP66</f>
        <v>2.6146134827478545E-2</v>
      </c>
    </row>
    <row r="75" spans="2:160">
      <c r="BP75" s="61"/>
    </row>
    <row r="76" spans="2:160">
      <c r="B76" s="1" t="s">
        <v>94</v>
      </c>
      <c r="C76" s="46">
        <f t="shared" ref="C76:AH76" si="321">C29</f>
        <v>18.999999999999968</v>
      </c>
      <c r="D76" s="46">
        <f t="shared" si="321"/>
        <v>21.900000000000055</v>
      </c>
      <c r="E76" s="46">
        <f t="shared" si="321"/>
        <v>21.399999999999991</v>
      </c>
      <c r="F76" s="46">
        <f t="shared" si="321"/>
        <v>22.299999999999979</v>
      </c>
      <c r="G76" s="46">
        <f t="shared" si="321"/>
        <v>19.800000000000058</v>
      </c>
      <c r="H76" s="46">
        <f t="shared" si="321"/>
        <v>16.599999999999987</v>
      </c>
      <c r="I76" s="46">
        <f t="shared" si="321"/>
        <v>22.399999999999988</v>
      </c>
      <c r="J76" s="46">
        <f t="shared" si="321"/>
        <v>10.999999999999989</v>
      </c>
      <c r="K76" s="46">
        <f t="shared" si="321"/>
        <v>0.49999999999993189</v>
      </c>
      <c r="L76" s="46">
        <f t="shared" si="321"/>
        <v>-4.2999999999999314</v>
      </c>
      <c r="M76" s="46">
        <f t="shared" si="321"/>
        <v>-3.8000000000000451</v>
      </c>
      <c r="N76" s="46">
        <f t="shared" si="321"/>
        <v>-3.9999999999999547</v>
      </c>
      <c r="O76" s="46">
        <f t="shared" si="321"/>
        <v>-19.500000000000071</v>
      </c>
      <c r="P76" s="46">
        <f t="shared" si="321"/>
        <v>-9.8999999999999986</v>
      </c>
      <c r="Q76" s="46">
        <f t="shared" si="321"/>
        <v>-220.19999999999982</v>
      </c>
      <c r="R76" s="46">
        <f t="shared" si="321"/>
        <v>-28.800000000000072</v>
      </c>
      <c r="S76" s="46">
        <f t="shared" si="321"/>
        <v>-67.800000000000026</v>
      </c>
      <c r="T76" s="46">
        <f t="shared" si="321"/>
        <v>76.700000000000045</v>
      </c>
      <c r="U76" s="46">
        <f t="shared" si="321"/>
        <v>-124.49999999999989</v>
      </c>
      <c r="V76" s="46">
        <f t="shared" si="321"/>
        <v>-116.69999999999996</v>
      </c>
      <c r="W76" s="46">
        <f t="shared" si="321"/>
        <v>-100.79999999999995</v>
      </c>
      <c r="X76" s="46">
        <f t="shared" si="321"/>
        <v>-61.000000000000092</v>
      </c>
      <c r="Y76" s="46">
        <f t="shared" si="321"/>
        <v>-38.900000000000006</v>
      </c>
      <c r="Z76" s="46">
        <f t="shared" si="321"/>
        <v>-62</v>
      </c>
      <c r="AA76" s="46">
        <f t="shared" si="321"/>
        <v>4.1000000000001364</v>
      </c>
      <c r="AB76" s="46">
        <f t="shared" si="321"/>
        <v>-0.89999999999981828</v>
      </c>
      <c r="AC76" s="46">
        <f t="shared" si="321"/>
        <v>-25</v>
      </c>
      <c r="AD76" s="46">
        <f t="shared" si="321"/>
        <v>-25.599999999999998</v>
      </c>
      <c r="AE76" s="46">
        <f t="shared" si="321"/>
        <v>38.800000000000004</v>
      </c>
      <c r="AF76" s="46">
        <f t="shared" si="321"/>
        <v>229.5</v>
      </c>
      <c r="AG76" s="46">
        <f t="shared" si="321"/>
        <v>-37.199999999999861</v>
      </c>
      <c r="AH76" s="46">
        <f t="shared" si="321"/>
        <v>91.900000000000077</v>
      </c>
      <c r="AI76" s="1">
        <f t="shared" ref="AI76:BO76" si="322">AI29</f>
        <v>1</v>
      </c>
      <c r="AJ76" s="1">
        <f t="shared" si="322"/>
        <v>46</v>
      </c>
      <c r="AK76" s="1">
        <f t="shared" si="322"/>
        <v>107</v>
      </c>
      <c r="AL76" s="1">
        <f t="shared" si="322"/>
        <v>206</v>
      </c>
      <c r="AM76" s="1">
        <f t="shared" si="322"/>
        <v>344</v>
      </c>
      <c r="AN76" s="1">
        <f t="shared" si="322"/>
        <v>299</v>
      </c>
      <c r="AO76" s="1">
        <f t="shared" si="322"/>
        <v>105</v>
      </c>
      <c r="AP76" s="1">
        <f t="shared" si="322"/>
        <v>362</v>
      </c>
      <c r="AQ76" s="1">
        <f t="shared" si="322"/>
        <v>392</v>
      </c>
      <c r="AR76" s="1">
        <f t="shared" si="322"/>
        <v>91</v>
      </c>
      <c r="AS76" s="1">
        <f t="shared" si="322"/>
        <v>-109</v>
      </c>
      <c r="AT76" s="1">
        <f t="shared" si="322"/>
        <v>-248</v>
      </c>
      <c r="AU76" s="1">
        <f t="shared" si="322"/>
        <v>99</v>
      </c>
      <c r="AV76" s="1">
        <f t="shared" si="322"/>
        <v>2625</v>
      </c>
      <c r="AW76" s="1">
        <f t="shared" si="322"/>
        <v>1081</v>
      </c>
      <c r="AX76" s="1">
        <f t="shared" si="322"/>
        <v>267</v>
      </c>
      <c r="AY76" s="1">
        <f t="shared" si="322"/>
        <v>469</v>
      </c>
      <c r="AZ76" s="1">
        <f t="shared" si="322"/>
        <v>535</v>
      </c>
      <c r="BA76" s="1">
        <f t="shared" si="322"/>
        <v>468</v>
      </c>
      <c r="BB76" s="1">
        <f t="shared" si="322"/>
        <v>-28</v>
      </c>
      <c r="BC76" s="1">
        <f t="shared" si="322"/>
        <v>28</v>
      </c>
      <c r="BD76" s="1">
        <f t="shared" si="322"/>
        <v>68</v>
      </c>
      <c r="BE76" s="1">
        <f t="shared" si="322"/>
        <v>210</v>
      </c>
      <c r="BF76" s="1">
        <f t="shared" si="322"/>
        <v>-98</v>
      </c>
      <c r="BG76" s="1">
        <f t="shared" si="322"/>
        <v>199</v>
      </c>
      <c r="BH76" s="1">
        <f t="shared" si="322"/>
        <v>1267</v>
      </c>
      <c r="BI76" s="1">
        <f t="shared" si="322"/>
        <v>1224</v>
      </c>
      <c r="BJ76" s="1">
        <f t="shared" si="322"/>
        <v>1446</v>
      </c>
      <c r="BK76" s="1">
        <f t="shared" si="322"/>
        <v>1533</v>
      </c>
      <c r="BL76" s="1">
        <f t="shared" si="322"/>
        <v>1429</v>
      </c>
      <c r="BM76" s="1">
        <f t="shared" si="322"/>
        <v>1527</v>
      </c>
      <c r="BN76" s="1">
        <f t="shared" si="322"/>
        <v>1708</v>
      </c>
      <c r="BO76" s="1">
        <f t="shared" si="322"/>
        <v>1541</v>
      </c>
      <c r="BP76" s="1">
        <f t="shared" ref="BP76" si="323">BP29</f>
        <v>1887</v>
      </c>
      <c r="CA76" s="46">
        <f t="shared" ref="CA76:CO76" si="324">CA29</f>
        <v>84.600000000000009</v>
      </c>
      <c r="CB76" s="46">
        <f t="shared" si="324"/>
        <v>69.800000000000367</v>
      </c>
      <c r="CC76" s="46">
        <f t="shared" si="324"/>
        <v>-11.600000000000225</v>
      </c>
      <c r="CD76" s="46">
        <f t="shared" si="324"/>
        <v>-278.40000000000032</v>
      </c>
      <c r="CE76" s="46">
        <f t="shared" si="324"/>
        <v>-232.30000000000121</v>
      </c>
      <c r="CF76" s="46">
        <f t="shared" si="324"/>
        <v>-262.69999999999982</v>
      </c>
      <c r="CG76" s="46">
        <f t="shared" si="324"/>
        <v>-47.400000000000347</v>
      </c>
      <c r="CH76" s="46">
        <f t="shared" si="324"/>
        <v>323</v>
      </c>
      <c r="CI76" s="46">
        <f t="shared" si="324"/>
        <v>360</v>
      </c>
      <c r="CJ76" s="46">
        <f t="shared" si="324"/>
        <v>1110</v>
      </c>
      <c r="CK76" s="46">
        <f t="shared" si="324"/>
        <v>126</v>
      </c>
      <c r="CL76" s="46">
        <f t="shared" si="324"/>
        <v>4072</v>
      </c>
      <c r="CM76" s="46">
        <f t="shared" si="324"/>
        <v>1444</v>
      </c>
      <c r="CN76" s="46">
        <f t="shared" si="324"/>
        <v>208</v>
      </c>
      <c r="CO76" s="46">
        <f t="shared" si="324"/>
        <v>4136</v>
      </c>
      <c r="CP76" s="46">
        <f>CP29</f>
        <v>6197</v>
      </c>
    </row>
    <row r="77" spans="2:160" s="2" customFormat="1" ht="15">
      <c r="B77" s="2" t="s">
        <v>55</v>
      </c>
      <c r="C77" s="69">
        <v>98</v>
      </c>
      <c r="D77" s="69">
        <v>45.9</v>
      </c>
      <c r="E77" s="69">
        <v>35.5</v>
      </c>
      <c r="F77" s="69">
        <v>91.6</v>
      </c>
      <c r="G77" s="69">
        <v>143.19999999999999</v>
      </c>
      <c r="H77" s="69">
        <v>76.099999999999994</v>
      </c>
      <c r="I77" s="69">
        <v>74</v>
      </c>
      <c r="J77" s="69">
        <v>165.8</v>
      </c>
      <c r="K77" s="69">
        <v>139.5</v>
      </c>
      <c r="L77" s="69">
        <v>82.9</v>
      </c>
      <c r="M77" s="69">
        <v>128.69999999999999</v>
      </c>
      <c r="N77" s="69">
        <v>240.3</v>
      </c>
      <c r="O77" s="69">
        <v>213.2</v>
      </c>
      <c r="P77" s="69">
        <v>136.19999999999999</v>
      </c>
      <c r="Q77" s="69">
        <v>105.9</v>
      </c>
      <c r="R77" s="69">
        <v>281.60000000000002</v>
      </c>
      <c r="S77" s="69">
        <v>283.2</v>
      </c>
      <c r="T77" s="69">
        <v>183.2</v>
      </c>
      <c r="U77" s="69">
        <v>137.9</v>
      </c>
      <c r="V77" s="69">
        <v>271.2</v>
      </c>
      <c r="W77" s="69">
        <v>473.1</v>
      </c>
      <c r="X77" s="69">
        <v>245.9</v>
      </c>
      <c r="Y77" s="69">
        <v>122.5</v>
      </c>
      <c r="Z77" s="69">
        <v>340</v>
      </c>
      <c r="AA77" s="69">
        <v>735.1</v>
      </c>
      <c r="AB77" s="69">
        <v>304.3</v>
      </c>
      <c r="AC77" s="69">
        <v>162.5</v>
      </c>
      <c r="AD77" s="69">
        <v>470.2</v>
      </c>
      <c r="AE77" s="69">
        <v>1051.0999999999999</v>
      </c>
      <c r="AF77" s="69">
        <v>250.7</v>
      </c>
      <c r="AG77" s="69">
        <v>154.30000000000001</v>
      </c>
      <c r="AH77" s="69">
        <v>705.9</v>
      </c>
      <c r="AI77" s="33">
        <v>1230</v>
      </c>
      <c r="AJ77" s="33">
        <v>331</v>
      </c>
      <c r="AK77" s="33">
        <v>125</v>
      </c>
      <c r="AL77" s="33">
        <v>1052</v>
      </c>
      <c r="AM77" s="33">
        <v>1466</v>
      </c>
      <c r="AN77" s="33">
        <v>458</v>
      </c>
      <c r="AO77" s="33">
        <v>143</v>
      </c>
      <c r="AP77" s="33">
        <v>1331</v>
      </c>
      <c r="AQ77" s="33">
        <v>1965</v>
      </c>
      <c r="AR77" s="33">
        <v>436</v>
      </c>
      <c r="AS77" s="33">
        <v>298</v>
      </c>
      <c r="AT77" s="33">
        <v>1632</v>
      </c>
      <c r="AU77" s="33">
        <v>1859</v>
      </c>
      <c r="AV77" s="33">
        <v>841</v>
      </c>
      <c r="AW77" s="33">
        <v>-73</v>
      </c>
      <c r="AX77" s="33">
        <v>2174</v>
      </c>
      <c r="AY77" s="33">
        <v>3228</v>
      </c>
      <c r="AZ77" s="33">
        <v>386</v>
      </c>
      <c r="BA77" s="33">
        <v>404</v>
      </c>
      <c r="BB77" s="33">
        <v>1982</v>
      </c>
      <c r="BC77" s="33">
        <v>3676</v>
      </c>
      <c r="BD77" s="33">
        <v>334</v>
      </c>
      <c r="BE77" s="33">
        <v>313</v>
      </c>
      <c r="BF77" s="33">
        <v>2788</v>
      </c>
      <c r="BG77" s="33">
        <v>4491</v>
      </c>
      <c r="BH77" s="33">
        <v>808</v>
      </c>
      <c r="BI77" s="33">
        <v>1532</v>
      </c>
      <c r="BJ77" s="33">
        <v>3403</v>
      </c>
      <c r="BK77" s="33">
        <v>6247</v>
      </c>
      <c r="BL77" s="33">
        <v>892</v>
      </c>
      <c r="BM77" s="33">
        <v>1983</v>
      </c>
      <c r="BN77" s="33">
        <v>3970</v>
      </c>
      <c r="BO77" s="33">
        <v>6476</v>
      </c>
      <c r="BP77" s="33">
        <v>740</v>
      </c>
      <c r="BQ77" s="55"/>
      <c r="BR77" s="55"/>
      <c r="BS77" s="55"/>
      <c r="BT77" s="55"/>
      <c r="BU77" s="55"/>
      <c r="BV77" s="55"/>
      <c r="CA77" s="45">
        <f>SUM(C77:F77)</f>
        <v>271</v>
      </c>
      <c r="CB77" s="45">
        <f>SUM(G77:J77)</f>
        <v>459.09999999999997</v>
      </c>
      <c r="CC77" s="45">
        <f>SUM(K77:N77)</f>
        <v>591.40000000000009</v>
      </c>
      <c r="CD77" s="45">
        <f>SUM(O77:R77)</f>
        <v>736.9</v>
      </c>
      <c r="CE77" s="45">
        <f>SUM(S77:V77)</f>
        <v>875.5</v>
      </c>
      <c r="CF77" s="45">
        <f>SUM(W77:Z77)</f>
        <v>1181.5</v>
      </c>
      <c r="CG77" s="45">
        <f>SUM(AA77:AD77)</f>
        <v>1672.1000000000001</v>
      </c>
      <c r="CH77" s="45">
        <f>SUM(AE77:AH77)</f>
        <v>2162</v>
      </c>
      <c r="CI77" s="45">
        <f>SUM(AI77:AL77)</f>
        <v>2738</v>
      </c>
      <c r="CJ77" s="45">
        <f>SUM(AM77:AP77)</f>
        <v>3398</v>
      </c>
      <c r="CK77" s="45">
        <f>SUM(AQ77:AT77)</f>
        <v>4331</v>
      </c>
      <c r="CL77" s="45">
        <f>SUM(AU77:AX77)</f>
        <v>4801</v>
      </c>
      <c r="CM77" s="45">
        <f t="shared" ref="CM77:CM81" si="325">SUM(AY77:BB77)</f>
        <v>6000</v>
      </c>
      <c r="CN77" s="45">
        <f t="shared" ref="CN77:CN81" si="326">SUM(BC77:BF77)</f>
        <v>7111</v>
      </c>
      <c r="CO77" s="45">
        <f t="shared" ref="CO77:CO81" si="327">SUM(BG77:BJ77)</f>
        <v>10234</v>
      </c>
      <c r="CP77" s="45">
        <f t="shared" ref="CP77:CP81" si="328">SUM(BK77:BN77)</f>
        <v>13092</v>
      </c>
      <c r="CQ77" s="55"/>
      <c r="CR77" s="55"/>
      <c r="CS77" s="55"/>
      <c r="CT77" s="55"/>
      <c r="CU77" s="55"/>
      <c r="CV77" s="55"/>
      <c r="CW77" s="55"/>
      <c r="CX77" s="55"/>
      <c r="CY77" s="55"/>
      <c r="CZ77" s="55"/>
      <c r="DA77" s="55"/>
      <c r="DB77" s="55"/>
      <c r="DC77" s="55"/>
      <c r="DD77" s="55"/>
      <c r="DE77" s="55"/>
      <c r="DF77" s="55"/>
      <c r="DG77" s="55"/>
      <c r="DH77" s="55"/>
      <c r="DI77" s="55"/>
      <c r="DJ77" s="55"/>
      <c r="DK77" s="55"/>
      <c r="DL77" s="55"/>
      <c r="DM77" s="55"/>
      <c r="DN77" s="55"/>
      <c r="DO77" s="55"/>
      <c r="DP77" s="55"/>
      <c r="DQ77" s="55"/>
      <c r="DR77" s="55"/>
      <c r="DS77" s="55"/>
      <c r="DT77" s="55"/>
      <c r="DU77" s="55"/>
      <c r="DV77" s="55"/>
      <c r="DW77" s="55"/>
      <c r="DX77" s="55"/>
      <c r="DY77" s="55"/>
      <c r="DZ77" s="55"/>
      <c r="EA77" s="55"/>
      <c r="EB77" s="55"/>
      <c r="EC77" s="55"/>
      <c r="ED77" s="55"/>
      <c r="EE77" s="55"/>
      <c r="EF77" s="55"/>
      <c r="EG77" s="55"/>
      <c r="EH77" s="55"/>
      <c r="EI77" s="55"/>
      <c r="EJ77" s="55"/>
      <c r="EK77" s="55"/>
      <c r="EL77" s="55"/>
      <c r="EM77" s="55"/>
      <c r="EN77" s="55"/>
      <c r="EO77" s="55"/>
      <c r="EP77" s="55"/>
      <c r="EQ77" s="55"/>
      <c r="ER77" s="55"/>
      <c r="ES77" s="55"/>
      <c r="ET77" s="55"/>
      <c r="EU77" s="55"/>
      <c r="EV77" s="55"/>
      <c r="EW77" s="55"/>
      <c r="EX77" s="55"/>
      <c r="EY77" s="55"/>
      <c r="EZ77" s="55"/>
      <c r="FA77" s="55"/>
      <c r="FB77" s="55"/>
      <c r="FC77" s="55"/>
      <c r="FD77" s="55"/>
    </row>
    <row r="78" spans="2:160">
      <c r="B78" s="1" t="s">
        <v>93</v>
      </c>
      <c r="C78" s="70">
        <v>-61.058999999999997</v>
      </c>
      <c r="D78" s="70">
        <v>-13.428000000000001</v>
      </c>
      <c r="E78" s="70">
        <v>-18.628</v>
      </c>
      <c r="F78" s="70">
        <v>-10.388999999999999</v>
      </c>
      <c r="G78" s="70">
        <v>-7.056</v>
      </c>
      <c r="H78" s="70">
        <v>-11.69</v>
      </c>
      <c r="I78" s="70">
        <v>-27.831</v>
      </c>
      <c r="J78" s="70">
        <v>-20.79</v>
      </c>
      <c r="K78" s="70">
        <v>-30.576000000000001</v>
      </c>
      <c r="L78" s="70">
        <v>-27.314</v>
      </c>
      <c r="M78" s="70">
        <v>-45.051000000000002</v>
      </c>
      <c r="N78" s="70">
        <v>-34.677999999999997</v>
      </c>
      <c r="O78" s="70">
        <v>-44.601999999999997</v>
      </c>
      <c r="P78" s="70">
        <v>-29.303999999999998</v>
      </c>
      <c r="Q78" s="70">
        <v>-51.521999999999998</v>
      </c>
      <c r="R78" s="70">
        <v>-50.2</v>
      </c>
      <c r="S78" s="70">
        <v>-54</v>
      </c>
      <c r="T78" s="70">
        <v>-102.5</v>
      </c>
      <c r="U78" s="70">
        <v>-72.7</v>
      </c>
      <c r="V78" s="70">
        <v>-69.8</v>
      </c>
      <c r="W78" s="70">
        <v>-60.1</v>
      </c>
      <c r="X78" s="70">
        <v>-71.599999999999994</v>
      </c>
      <c r="Y78" s="70">
        <v>-73.400000000000006</v>
      </c>
      <c r="Z78" s="70">
        <v>-85.4</v>
      </c>
      <c r="AA78" s="70">
        <v>-496.5</v>
      </c>
      <c r="AB78" s="70">
        <v>-64.900000000000006</v>
      </c>
      <c r="AC78" s="70">
        <v>-73.8</v>
      </c>
      <c r="AD78" s="70">
        <v>-74.7</v>
      </c>
      <c r="AE78" s="70">
        <v>-83.3</v>
      </c>
      <c r="AF78" s="70">
        <v>-96</v>
      </c>
      <c r="AG78" s="70">
        <v>-140.69999999999999</v>
      </c>
      <c r="AH78" s="70">
        <v>-144</v>
      </c>
      <c r="AI78" s="63">
        <v>-157</v>
      </c>
      <c r="AJ78" s="63">
        <v>-128</v>
      </c>
      <c r="AK78" s="63">
        <v>-111</v>
      </c>
      <c r="AL78" s="63">
        <v>-138</v>
      </c>
      <c r="AM78" s="63">
        <v>-122</v>
      </c>
      <c r="AN78" s="63">
        <v>-170</v>
      </c>
      <c r="AO78" s="63">
        <v>-136</v>
      </c>
      <c r="AP78" s="63">
        <v>-167</v>
      </c>
      <c r="AQ78" s="63">
        <v>-159</v>
      </c>
      <c r="AR78" s="63">
        <v>-178</v>
      </c>
      <c r="AS78" s="63">
        <v>-170</v>
      </c>
      <c r="AT78" s="63">
        <v>-136</v>
      </c>
      <c r="AU78" s="63">
        <v>-323</v>
      </c>
      <c r="AV78" s="63">
        <v>-114</v>
      </c>
      <c r="AW78" s="63">
        <v>-124</v>
      </c>
      <c r="AX78" s="63">
        <v>-149</v>
      </c>
      <c r="AY78" s="63">
        <v>-171</v>
      </c>
      <c r="AZ78" s="63">
        <v>-213</v>
      </c>
      <c r="BA78" s="63">
        <v>-166</v>
      </c>
      <c r="BB78" s="63">
        <v>-167</v>
      </c>
      <c r="BC78" s="63">
        <v>-179</v>
      </c>
      <c r="BD78" s="63">
        <v>-203</v>
      </c>
      <c r="BE78" s="63">
        <v>-198</v>
      </c>
      <c r="BF78" s="63">
        <v>-218</v>
      </c>
      <c r="BG78" s="63">
        <v>-243</v>
      </c>
      <c r="BH78" s="63">
        <v>-180</v>
      </c>
      <c r="BI78" s="63">
        <v>-166</v>
      </c>
      <c r="BJ78" s="63">
        <v>-147</v>
      </c>
      <c r="BK78" s="63">
        <v>-163</v>
      </c>
      <c r="BL78" s="63">
        <v>-137</v>
      </c>
      <c r="BM78" s="63">
        <v>-204</v>
      </c>
      <c r="BN78" s="63">
        <v>-154</v>
      </c>
      <c r="BO78" s="63">
        <v>-179</v>
      </c>
      <c r="BP78" s="63">
        <v>-135</v>
      </c>
      <c r="CA78" s="46">
        <f>SUM(C78:F78)</f>
        <v>-103.50399999999999</v>
      </c>
      <c r="CB78" s="46">
        <f>SUM(G78:J78)</f>
        <v>-67.36699999999999</v>
      </c>
      <c r="CC78" s="46">
        <f>SUM(K78:N78)</f>
        <v>-137.619</v>
      </c>
      <c r="CD78" s="46">
        <f>SUM(O78:R78)</f>
        <v>-175.62799999999999</v>
      </c>
      <c r="CE78" s="46">
        <f>SUM(S78:V78)</f>
        <v>-299</v>
      </c>
      <c r="CF78" s="46">
        <f>SUM(W78:Z78)</f>
        <v>-290.5</v>
      </c>
      <c r="CG78" s="46">
        <f>SUM(AA78:AD78)</f>
        <v>-709.9</v>
      </c>
      <c r="CH78" s="46">
        <f>SUM(AE78:AH78)</f>
        <v>-464</v>
      </c>
      <c r="CI78" s="46">
        <f>SUM(AI78:AL78)</f>
        <v>-534</v>
      </c>
      <c r="CJ78" s="46">
        <f>SUM(AM78:AP78)</f>
        <v>-595</v>
      </c>
      <c r="CK78" s="46">
        <f>SUM(AQ78:AT78)</f>
        <v>-643</v>
      </c>
      <c r="CL78" s="46">
        <f>SUM(AU78:AX78)</f>
        <v>-710</v>
      </c>
      <c r="CM78" s="46">
        <f t="shared" ref="CM78" si="329">SUM(AY78:BB78)</f>
        <v>-717</v>
      </c>
      <c r="CN78" s="46">
        <f t="shared" ref="CN78" si="330">SUM(BC78:BF78)</f>
        <v>-798</v>
      </c>
      <c r="CO78" s="46">
        <f t="shared" ref="CO78" si="331">SUM(BG78:BJ78)</f>
        <v>-736</v>
      </c>
      <c r="CP78" s="46">
        <f t="shared" ref="CP78" si="332">SUM(BK78:BN78)</f>
        <v>-658</v>
      </c>
    </row>
    <row r="79" spans="2:160" s="2" customFormat="1" ht="15">
      <c r="B79" s="2" t="s">
        <v>56</v>
      </c>
      <c r="C79" s="45">
        <f t="shared" ref="C79:BJ79" si="333">C77+C78</f>
        <v>36.941000000000003</v>
      </c>
      <c r="D79" s="45">
        <f t="shared" si="333"/>
        <v>32.471999999999994</v>
      </c>
      <c r="E79" s="45">
        <f t="shared" si="333"/>
        <v>16.872</v>
      </c>
      <c r="F79" s="45">
        <f t="shared" si="333"/>
        <v>81.210999999999999</v>
      </c>
      <c r="G79" s="45">
        <f t="shared" si="333"/>
        <v>136.14399999999998</v>
      </c>
      <c r="H79" s="45">
        <f t="shared" si="333"/>
        <v>64.41</v>
      </c>
      <c r="I79" s="45">
        <f t="shared" si="333"/>
        <v>46.168999999999997</v>
      </c>
      <c r="J79" s="45">
        <f t="shared" si="333"/>
        <v>145.01000000000002</v>
      </c>
      <c r="K79" s="45">
        <f t="shared" si="333"/>
        <v>108.92400000000001</v>
      </c>
      <c r="L79" s="45">
        <f t="shared" si="333"/>
        <v>55.586000000000006</v>
      </c>
      <c r="M79" s="45">
        <f t="shared" si="333"/>
        <v>83.648999999999987</v>
      </c>
      <c r="N79" s="45">
        <f t="shared" si="333"/>
        <v>205.62200000000001</v>
      </c>
      <c r="O79" s="45">
        <f t="shared" si="333"/>
        <v>168.59799999999998</v>
      </c>
      <c r="P79" s="45">
        <f t="shared" si="333"/>
        <v>106.89599999999999</v>
      </c>
      <c r="Q79" s="45">
        <f t="shared" si="333"/>
        <v>54.378000000000007</v>
      </c>
      <c r="R79" s="45">
        <f t="shared" si="333"/>
        <v>231.40000000000003</v>
      </c>
      <c r="S79" s="45">
        <f t="shared" si="333"/>
        <v>229.2</v>
      </c>
      <c r="T79" s="45">
        <f t="shared" si="333"/>
        <v>80.699999999999989</v>
      </c>
      <c r="U79" s="45">
        <f t="shared" si="333"/>
        <v>65.2</v>
      </c>
      <c r="V79" s="45">
        <f t="shared" si="333"/>
        <v>201.39999999999998</v>
      </c>
      <c r="W79" s="45">
        <f t="shared" si="333"/>
        <v>413</v>
      </c>
      <c r="X79" s="45">
        <f t="shared" si="333"/>
        <v>174.3</v>
      </c>
      <c r="Y79" s="45">
        <f t="shared" si="333"/>
        <v>49.099999999999994</v>
      </c>
      <c r="Z79" s="45">
        <f t="shared" si="333"/>
        <v>254.6</v>
      </c>
      <c r="AA79" s="45">
        <f t="shared" si="333"/>
        <v>238.60000000000002</v>
      </c>
      <c r="AB79" s="45">
        <f t="shared" si="333"/>
        <v>239.4</v>
      </c>
      <c r="AC79" s="45">
        <f t="shared" si="333"/>
        <v>88.7</v>
      </c>
      <c r="AD79" s="45">
        <f t="shared" si="333"/>
        <v>395.5</v>
      </c>
      <c r="AE79" s="45">
        <f t="shared" si="333"/>
        <v>967.8</v>
      </c>
      <c r="AF79" s="45">
        <f t="shared" si="333"/>
        <v>154.69999999999999</v>
      </c>
      <c r="AG79" s="45">
        <f t="shared" si="333"/>
        <v>13.600000000000023</v>
      </c>
      <c r="AH79" s="45">
        <f t="shared" si="333"/>
        <v>561.9</v>
      </c>
      <c r="AI79" s="2">
        <f t="shared" si="333"/>
        <v>1073</v>
      </c>
      <c r="AJ79" s="2">
        <f t="shared" si="333"/>
        <v>203</v>
      </c>
      <c r="AK79" s="2">
        <f t="shared" si="333"/>
        <v>14</v>
      </c>
      <c r="AL79" s="2">
        <f t="shared" si="333"/>
        <v>914</v>
      </c>
      <c r="AM79" s="2">
        <f t="shared" si="333"/>
        <v>1344</v>
      </c>
      <c r="AN79" s="2">
        <f t="shared" si="333"/>
        <v>288</v>
      </c>
      <c r="AO79" s="2">
        <f t="shared" si="333"/>
        <v>7</v>
      </c>
      <c r="AP79" s="2">
        <f t="shared" si="333"/>
        <v>1164</v>
      </c>
      <c r="AQ79" s="2">
        <f t="shared" si="333"/>
        <v>1806</v>
      </c>
      <c r="AR79" s="2">
        <f t="shared" si="333"/>
        <v>258</v>
      </c>
      <c r="AS79" s="2">
        <f t="shared" si="333"/>
        <v>128</v>
      </c>
      <c r="AT79" s="2">
        <f t="shared" si="333"/>
        <v>1496</v>
      </c>
      <c r="AU79" s="2">
        <f t="shared" si="333"/>
        <v>1536</v>
      </c>
      <c r="AV79" s="2">
        <f t="shared" si="333"/>
        <v>727</v>
      </c>
      <c r="AW79" s="2">
        <f t="shared" si="333"/>
        <v>-197</v>
      </c>
      <c r="AX79" s="2">
        <f t="shared" si="333"/>
        <v>2025</v>
      </c>
      <c r="AY79" s="2">
        <f t="shared" si="333"/>
        <v>3057</v>
      </c>
      <c r="AZ79" s="2">
        <f t="shared" si="333"/>
        <v>173</v>
      </c>
      <c r="BA79" s="2">
        <f t="shared" si="333"/>
        <v>238</v>
      </c>
      <c r="BB79" s="2">
        <f t="shared" si="333"/>
        <v>1815</v>
      </c>
      <c r="BC79" s="2">
        <f t="shared" si="333"/>
        <v>3497</v>
      </c>
      <c r="BD79" s="2">
        <f t="shared" si="333"/>
        <v>131</v>
      </c>
      <c r="BE79" s="2">
        <f t="shared" si="333"/>
        <v>115</v>
      </c>
      <c r="BF79" s="2">
        <f t="shared" si="333"/>
        <v>2570</v>
      </c>
      <c r="BG79" s="2">
        <f t="shared" si="333"/>
        <v>4248</v>
      </c>
      <c r="BH79" s="2">
        <f t="shared" si="333"/>
        <v>628</v>
      </c>
      <c r="BI79" s="2">
        <f t="shared" si="333"/>
        <v>1366</v>
      </c>
      <c r="BJ79" s="2">
        <f t="shared" si="333"/>
        <v>3256</v>
      </c>
      <c r="BK79" s="2">
        <f t="shared" ref="BK79:BN79" si="334">BK77+BK78</f>
        <v>6084</v>
      </c>
      <c r="BL79" s="2">
        <f t="shared" si="334"/>
        <v>755</v>
      </c>
      <c r="BM79" s="2">
        <f t="shared" si="334"/>
        <v>1779</v>
      </c>
      <c r="BN79" s="2">
        <f t="shared" si="334"/>
        <v>3816</v>
      </c>
      <c r="BO79" s="2">
        <f>BO77+BO78</f>
        <v>6297</v>
      </c>
      <c r="BP79" s="2">
        <f>BP77+BP78</f>
        <v>605</v>
      </c>
      <c r="BQ79" s="55"/>
      <c r="BR79" s="55"/>
      <c r="BS79" s="55"/>
      <c r="BT79" s="55"/>
      <c r="BU79" s="55"/>
      <c r="BV79" s="55"/>
      <c r="CA79" s="45">
        <f>SUM(C79:F79)</f>
        <v>167.49599999999998</v>
      </c>
      <c r="CB79" s="45">
        <f>SUM(G79:J79)</f>
        <v>391.73299999999995</v>
      </c>
      <c r="CC79" s="45">
        <f>SUM(K79:N79)</f>
        <v>453.78100000000001</v>
      </c>
      <c r="CD79" s="45">
        <f>SUM(O79:R79)</f>
        <v>561.27199999999993</v>
      </c>
      <c r="CE79" s="45">
        <f>SUM(S79:V79)</f>
        <v>576.5</v>
      </c>
      <c r="CF79" s="45">
        <f>SUM(W79:Z79)</f>
        <v>891</v>
      </c>
      <c r="CG79" s="45">
        <f>SUM(AA79:AD79)</f>
        <v>962.2</v>
      </c>
      <c r="CH79" s="45">
        <f>SUM(AE79:AH79)</f>
        <v>1698</v>
      </c>
      <c r="CI79" s="45">
        <f>SUM(AI79:AL79)</f>
        <v>2204</v>
      </c>
      <c r="CJ79" s="45">
        <f>SUM(AM79:AP79)</f>
        <v>2803</v>
      </c>
      <c r="CK79" s="45">
        <f>SUM(AQ79:AT79)</f>
        <v>3688</v>
      </c>
      <c r="CL79" s="45">
        <f>SUM(AU79:AX79)</f>
        <v>4091</v>
      </c>
      <c r="CM79" s="45">
        <f t="shared" si="325"/>
        <v>5283</v>
      </c>
      <c r="CN79" s="45">
        <f t="shared" si="326"/>
        <v>6313</v>
      </c>
      <c r="CO79" s="45">
        <f t="shared" si="327"/>
        <v>9498</v>
      </c>
      <c r="CP79" s="45">
        <f t="shared" si="328"/>
        <v>12434</v>
      </c>
      <c r="CQ79" s="55"/>
      <c r="CR79" s="55"/>
      <c r="CS79" s="55"/>
      <c r="CT79" s="55"/>
      <c r="CU79" s="55"/>
      <c r="CV79" s="55"/>
      <c r="CW79" s="55"/>
      <c r="CX79" s="55"/>
      <c r="CY79" s="55"/>
      <c r="CZ79" s="55"/>
      <c r="DA79" s="55"/>
      <c r="DB79" s="55"/>
      <c r="DC79" s="55"/>
      <c r="DD79" s="55"/>
      <c r="DE79" s="55"/>
      <c r="DF79" s="55"/>
      <c r="DG79" s="55"/>
      <c r="DH79" s="55"/>
      <c r="DI79" s="55"/>
      <c r="DJ79" s="55"/>
      <c r="DK79" s="55"/>
      <c r="DL79" s="55"/>
      <c r="DM79" s="55"/>
      <c r="DN79" s="55"/>
      <c r="DO79" s="55"/>
      <c r="DP79" s="55"/>
      <c r="DQ79" s="55"/>
      <c r="DR79" s="55"/>
      <c r="DS79" s="55"/>
      <c r="DT79" s="55"/>
      <c r="DU79" s="55"/>
      <c r="DV79" s="55"/>
      <c r="DW79" s="55"/>
      <c r="DX79" s="55"/>
      <c r="DY79" s="55"/>
      <c r="DZ79" s="55"/>
      <c r="EA79" s="55"/>
      <c r="EB79" s="55"/>
      <c r="EC79" s="55"/>
      <c r="ED79" s="55"/>
      <c r="EE79" s="55"/>
      <c r="EF79" s="55"/>
      <c r="EG79" s="55"/>
      <c r="EH79" s="55"/>
      <c r="EI79" s="55"/>
      <c r="EJ79" s="55"/>
      <c r="EK79" s="55"/>
      <c r="EL79" s="55"/>
      <c r="EM79" s="55"/>
      <c r="EN79" s="55"/>
      <c r="EO79" s="55"/>
      <c r="EP79" s="55"/>
      <c r="EQ79" s="55"/>
      <c r="ER79" s="55"/>
      <c r="ES79" s="55"/>
      <c r="ET79" s="55"/>
      <c r="EU79" s="55"/>
      <c r="EV79" s="55"/>
      <c r="EW79" s="55"/>
      <c r="EX79" s="55"/>
      <c r="EY79" s="55"/>
      <c r="EZ79" s="55"/>
      <c r="FA79" s="55"/>
      <c r="FB79" s="55"/>
      <c r="FC79" s="55"/>
      <c r="FD79" s="55"/>
    </row>
    <row r="80" spans="2:160">
      <c r="B80" s="1" t="s">
        <v>92</v>
      </c>
      <c r="C80" s="1">
        <f t="shared" ref="C80:AT80" si="335">C30</f>
        <v>485</v>
      </c>
      <c r="D80" s="1">
        <f t="shared" si="335"/>
        <v>493</v>
      </c>
      <c r="E80" s="1">
        <f t="shared" si="335"/>
        <v>495</v>
      </c>
      <c r="F80" s="1">
        <f t="shared" si="335"/>
        <v>498</v>
      </c>
      <c r="G80" s="1">
        <f t="shared" si="335"/>
        <v>498</v>
      </c>
      <c r="H80" s="1">
        <f t="shared" si="335"/>
        <v>512</v>
      </c>
      <c r="I80" s="1">
        <f t="shared" si="335"/>
        <v>518</v>
      </c>
      <c r="J80" s="1">
        <f t="shared" si="335"/>
        <v>524</v>
      </c>
      <c r="K80" s="1">
        <f t="shared" si="335"/>
        <v>512</v>
      </c>
      <c r="L80" s="1">
        <f t="shared" si="335"/>
        <v>534</v>
      </c>
      <c r="M80" s="1">
        <f t="shared" si="335"/>
        <v>540</v>
      </c>
      <c r="N80" s="1">
        <f t="shared" si="335"/>
        <v>543</v>
      </c>
      <c r="O80" s="1">
        <f t="shared" si="335"/>
        <v>541</v>
      </c>
      <c r="P80" s="1">
        <f t="shared" si="335"/>
        <v>553</v>
      </c>
      <c r="Q80" s="1">
        <f t="shared" si="335"/>
        <v>558</v>
      </c>
      <c r="R80" s="1">
        <f t="shared" si="335"/>
        <v>569</v>
      </c>
      <c r="S80" s="1">
        <f t="shared" si="335"/>
        <v>565</v>
      </c>
      <c r="T80" s="1">
        <f t="shared" si="335"/>
        <v>588</v>
      </c>
      <c r="U80" s="1">
        <f t="shared" si="335"/>
        <v>594</v>
      </c>
      <c r="V80" s="1">
        <f t="shared" si="335"/>
        <v>600</v>
      </c>
      <c r="W80" s="1">
        <f t="shared" si="335"/>
        <v>598</v>
      </c>
      <c r="X80" s="1">
        <f t="shared" si="335"/>
        <v>613</v>
      </c>
      <c r="Y80" s="1">
        <f t="shared" si="335"/>
        <v>617</v>
      </c>
      <c r="Z80" s="1">
        <f t="shared" si="335"/>
        <v>630</v>
      </c>
      <c r="AA80" s="1">
        <f t="shared" si="335"/>
        <v>624</v>
      </c>
      <c r="AB80" s="1">
        <f t="shared" si="335"/>
        <v>654</v>
      </c>
      <c r="AC80" s="1">
        <f t="shared" si="335"/>
        <v>659</v>
      </c>
      <c r="AD80" s="1">
        <f t="shared" si="335"/>
        <v>664</v>
      </c>
      <c r="AE80" s="1">
        <f t="shared" si="335"/>
        <v>662</v>
      </c>
      <c r="AF80" s="1">
        <f t="shared" si="335"/>
        <v>678</v>
      </c>
      <c r="AG80" s="1">
        <f t="shared" si="335"/>
        <v>681</v>
      </c>
      <c r="AH80" s="1">
        <f t="shared" si="335"/>
        <v>690</v>
      </c>
      <c r="AI80" s="1">
        <f t="shared" si="335"/>
        <v>688</v>
      </c>
      <c r="AJ80" s="1">
        <f t="shared" si="335"/>
        <v>706</v>
      </c>
      <c r="AK80" s="1">
        <f t="shared" si="335"/>
        <v>712</v>
      </c>
      <c r="AL80" s="1">
        <f t="shared" si="335"/>
        <v>717</v>
      </c>
      <c r="AM80" s="1">
        <f t="shared" si="335"/>
        <v>715</v>
      </c>
      <c r="AN80" s="1">
        <f t="shared" si="335"/>
        <v>729</v>
      </c>
      <c r="AO80" s="1">
        <f t="shared" si="335"/>
        <v>747</v>
      </c>
      <c r="AP80" s="1">
        <f t="shared" si="335"/>
        <v>760</v>
      </c>
      <c r="AQ80" s="1">
        <f t="shared" si="335"/>
        <v>751</v>
      </c>
      <c r="AR80" s="1">
        <f t="shared" si="335"/>
        <v>771</v>
      </c>
      <c r="AS80" s="1">
        <f t="shared" si="335"/>
        <v>776</v>
      </c>
      <c r="AT80" s="1">
        <f t="shared" si="335"/>
        <v>879</v>
      </c>
      <c r="AU80" s="1">
        <f t="shared" ref="AU80:BO80" si="336">AU30</f>
        <v>829</v>
      </c>
      <c r="AV80" s="1">
        <f t="shared" si="336"/>
        <v>896</v>
      </c>
      <c r="AW80" s="1">
        <f t="shared" si="336"/>
        <v>904</v>
      </c>
      <c r="AX80" s="1">
        <f t="shared" si="336"/>
        <v>911</v>
      </c>
      <c r="AY80" s="1">
        <f t="shared" si="336"/>
        <v>926</v>
      </c>
      <c r="AZ80" s="1">
        <f t="shared" si="336"/>
        <v>979</v>
      </c>
      <c r="BA80" s="1">
        <f t="shared" si="336"/>
        <v>985</v>
      </c>
      <c r="BB80" s="1">
        <f t="shared" si="336"/>
        <v>990</v>
      </c>
      <c r="BC80" s="1">
        <f t="shared" si="336"/>
        <v>995</v>
      </c>
      <c r="BD80" s="1">
        <f t="shared" si="336"/>
        <v>1000</v>
      </c>
      <c r="BE80" s="1">
        <f t="shared" si="336"/>
        <v>1000</v>
      </c>
      <c r="BF80" s="1">
        <f t="shared" si="336"/>
        <v>970</v>
      </c>
      <c r="BG80" s="1">
        <f t="shared" si="336"/>
        <v>974</v>
      </c>
      <c r="BH80" s="1">
        <f t="shared" si="336"/>
        <v>973</v>
      </c>
      <c r="BI80" s="1">
        <f t="shared" si="336"/>
        <v>968</v>
      </c>
      <c r="BJ80" s="1">
        <f t="shared" si="336"/>
        <v>970</v>
      </c>
      <c r="BK80" s="1">
        <f t="shared" si="336"/>
        <v>969</v>
      </c>
      <c r="BL80" s="1">
        <f t="shared" si="336"/>
        <v>956</v>
      </c>
      <c r="BM80" s="1">
        <f t="shared" si="336"/>
        <v>957</v>
      </c>
      <c r="BN80" s="1">
        <f t="shared" si="336"/>
        <v>961</v>
      </c>
      <c r="BO80" s="1">
        <f t="shared" si="336"/>
        <v>960</v>
      </c>
      <c r="BP80" s="1">
        <f t="shared" ref="BP80" si="337">BP30</f>
        <v>956</v>
      </c>
      <c r="CA80" s="46">
        <f t="shared" ref="CA80" si="338">SUM(AM80:AP80)</f>
        <v>2951</v>
      </c>
      <c r="CB80" s="46">
        <f t="shared" ref="CB80" si="339">SUM(AN80:AQ80)</f>
        <v>2987</v>
      </c>
      <c r="CC80" s="46">
        <f t="shared" ref="CC80" si="340">SUM(AO80:AR80)</f>
        <v>3029</v>
      </c>
      <c r="CD80" s="46">
        <f t="shared" ref="CD80" si="341">SUM(AP80:AS80)</f>
        <v>3058</v>
      </c>
      <c r="CE80" s="46">
        <f t="shared" ref="CE80" si="342">SUM(AQ80:AT80)</f>
        <v>3177</v>
      </c>
      <c r="CF80" s="46">
        <f t="shared" ref="CF80" si="343">SUM(AR80:AU80)</f>
        <v>3255</v>
      </c>
      <c r="CG80" s="46">
        <f t="shared" ref="CG80" si="344">SUM(AS80:AV80)</f>
        <v>3380</v>
      </c>
      <c r="CH80" s="46">
        <f t="shared" ref="CH80" si="345">SUM(AT80:AW80)</f>
        <v>3508</v>
      </c>
      <c r="CI80" s="46">
        <f t="shared" ref="CI80" si="346">SUM(AU80:AX80)</f>
        <v>3540</v>
      </c>
      <c r="CJ80" s="46">
        <f t="shared" ref="CJ80" si="347">SUM(AV80:AY80)</f>
        <v>3637</v>
      </c>
      <c r="CK80" s="46">
        <f t="shared" ref="CK80" si="348">SUM(AW80:AZ80)</f>
        <v>3720</v>
      </c>
      <c r="CL80" s="46">
        <f t="shared" ref="CL80" si="349">SUM(AX80:BA80)</f>
        <v>3801</v>
      </c>
      <c r="CM80" s="46">
        <f t="shared" si="325"/>
        <v>3880</v>
      </c>
      <c r="CN80" s="46">
        <f t="shared" si="326"/>
        <v>3965</v>
      </c>
      <c r="CO80" s="46">
        <f t="shared" si="327"/>
        <v>3885</v>
      </c>
      <c r="CP80" s="46">
        <f t="shared" si="328"/>
        <v>3843</v>
      </c>
    </row>
    <row r="81" spans="2:94">
      <c r="B81" s="1" t="s">
        <v>91</v>
      </c>
      <c r="AU81" s="35">
        <f t="shared" ref="AU81:AX81" si="350">AU79/AU80</f>
        <v>1.8528347406513872</v>
      </c>
      <c r="AV81" s="35">
        <f t="shared" si="350"/>
        <v>0.8113839285714286</v>
      </c>
      <c r="AW81" s="35">
        <f t="shared" si="350"/>
        <v>-0.21792035398230089</v>
      </c>
      <c r="AX81" s="35">
        <f t="shared" si="350"/>
        <v>2.2228320526893524</v>
      </c>
      <c r="AY81" s="35">
        <f t="shared" ref="AY81:BO81" si="351">AY79/AY80</f>
        <v>3.3012958963282939</v>
      </c>
      <c r="AZ81" s="35">
        <f t="shared" si="351"/>
        <v>0.17671092951991829</v>
      </c>
      <c r="BA81" s="35">
        <f t="shared" si="351"/>
        <v>0.24162436548223351</v>
      </c>
      <c r="BB81" s="35">
        <f t="shared" si="351"/>
        <v>1.8333333333333333</v>
      </c>
      <c r="BC81" s="35">
        <f t="shared" si="351"/>
        <v>3.5145728643216079</v>
      </c>
      <c r="BD81" s="35">
        <f t="shared" si="351"/>
        <v>0.13100000000000001</v>
      </c>
      <c r="BE81" s="35">
        <f t="shared" si="351"/>
        <v>0.115</v>
      </c>
      <c r="BF81" s="35">
        <f t="shared" si="351"/>
        <v>2.6494845360824741</v>
      </c>
      <c r="BG81" s="35">
        <f t="shared" si="351"/>
        <v>4.3613963039014374</v>
      </c>
      <c r="BH81" s="35">
        <f t="shared" si="351"/>
        <v>0.64542651593011302</v>
      </c>
      <c r="BI81" s="35">
        <f t="shared" si="351"/>
        <v>1.4111570247933884</v>
      </c>
      <c r="BJ81" s="35">
        <f t="shared" si="351"/>
        <v>3.3567010309278351</v>
      </c>
      <c r="BK81" s="35">
        <f t="shared" si="351"/>
        <v>6.2786377708978325</v>
      </c>
      <c r="BL81" s="35">
        <f t="shared" si="351"/>
        <v>0.78974895397489542</v>
      </c>
      <c r="BM81" s="35">
        <f t="shared" si="351"/>
        <v>1.8589341692789969</v>
      </c>
      <c r="BN81" s="35">
        <f t="shared" si="351"/>
        <v>3.9708636836628513</v>
      </c>
      <c r="BO81" s="35">
        <f t="shared" si="351"/>
        <v>6.5593750000000002</v>
      </c>
      <c r="BP81" s="35">
        <f t="shared" ref="BP81" si="352">BP79/BP80</f>
        <v>0.63284518828451886</v>
      </c>
      <c r="CM81" s="35">
        <f t="shared" si="325"/>
        <v>5.5529645246637793</v>
      </c>
      <c r="CN81" s="35">
        <f t="shared" si="326"/>
        <v>6.4100574004040816</v>
      </c>
      <c r="CO81" s="35">
        <f t="shared" si="327"/>
        <v>9.7746808755527752</v>
      </c>
      <c r="CP81" s="35">
        <f t="shared" si="328"/>
        <v>12.898184577814575</v>
      </c>
    </row>
  </sheetData>
  <mergeCells count="1">
    <mergeCell ref="CY58:CZ58"/>
  </mergeCells>
  <conditionalFormatting sqref="CY58:CZ58">
    <cfRule type="colorScale" priority="1">
      <colorScale>
        <cfvo type="min"/>
        <cfvo type="percentile" val="50"/>
        <cfvo type="max"/>
        <color rgb="FFF8696B"/>
        <color rgb="FFFCFCFF"/>
        <color rgb="FF63BE7B"/>
      </colorScale>
    </cfRule>
    <cfRule type="containsText" dxfId="4" priority="2" operator="containsText" text="Strong Sell">
      <formula>NOT(ISERROR(SEARCH("Strong Sell",CY58)))</formula>
    </cfRule>
    <cfRule type="containsText" dxfId="3" priority="3" operator="containsText" text="Sell">
      <formula>NOT(ISERROR(SEARCH("Sell",CY58)))</formula>
    </cfRule>
    <cfRule type="containsText" dxfId="2" priority="4" operator="containsText" text="Hold">
      <formula>NOT(ISERROR(SEARCH("Hold",CY58)))</formula>
    </cfRule>
    <cfRule type="beginsWith" dxfId="1" priority="5" operator="beginsWith" text="Buy">
      <formula>LEFT(CY58,LEN("Buy"))="Buy"</formula>
    </cfRule>
    <cfRule type="beginsWith" dxfId="0" priority="6" operator="beginsWith" text="Strong">
      <formula>LEFT(CY58,LEN("Strong"))="Strong"</formula>
    </cfRule>
  </conditionalFormatting>
  <pageMargins left="0.7" right="0.7" top="0.75" bottom="0.75" header="0.3" footer="0.3"/>
  <ignoredErrors>
    <ignoredError sqref="CM44:CP56 CM58:CP67 AY22:BN25 BB19:BB21 C22:AW22 BB26 CM28:CP29 CA16:CP17 CA30:CP31 CA28:CL29 CA77:CP78 AY69:BO70 BO22:BP22 BP69:BP70" formulaRange="1"/>
    <ignoredError sqref="CA23:CL26 CA27:CP27 CA18:CP22 CM23:CP26" formula="1" formulaRange="1"/>
    <ignoredError sqref="AY80:AY81" evalError="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FD4A5-C172-4508-BDD9-9132B91E029B}">
  <dimension ref="A1:CA2005"/>
  <sheetViews>
    <sheetView topLeftCell="H171" zoomScale="85" zoomScaleNormal="85" workbookViewId="0">
      <selection activeCell="Z201" sqref="Z201"/>
    </sheetView>
  </sheetViews>
  <sheetFormatPr defaultRowHeight="14.25"/>
  <cols>
    <col min="1" max="7" width="0" style="1" hidden="1" customWidth="1"/>
    <col min="8" max="8" width="3" style="1" customWidth="1"/>
    <col min="9" max="28" width="9.140625" style="1"/>
    <col min="29" max="29" width="2.85546875" style="1" customWidth="1"/>
    <col min="30" max="16384" width="9.140625" style="1"/>
  </cols>
  <sheetData>
    <row r="1" spans="8:79">
      <c r="CA1" s="1">
        <v>0</v>
      </c>
    </row>
    <row r="2" spans="8:79" ht="15">
      <c r="H2" s="2" t="s">
        <v>249</v>
      </c>
      <c r="AD2" s="2" t="s">
        <v>58</v>
      </c>
    </row>
    <row r="4" spans="8:79" ht="15">
      <c r="AD4" s="2" t="s">
        <v>84</v>
      </c>
    </row>
    <row r="5" spans="8:79">
      <c r="AE5" s="1" t="s">
        <v>85</v>
      </c>
    </row>
    <row r="6" spans="8:79">
      <c r="AE6" s="1" t="s">
        <v>86</v>
      </c>
    </row>
    <row r="7" spans="8:79">
      <c r="AD7" s="1" t="s">
        <v>87</v>
      </c>
    </row>
    <row r="8" spans="8:79">
      <c r="AE8" s="1" t="s">
        <v>88</v>
      </c>
    </row>
    <row r="9" spans="8:79">
      <c r="AE9" s="1" t="s">
        <v>2040</v>
      </c>
    </row>
    <row r="10" spans="8:79">
      <c r="AF10" s="1" t="s">
        <v>2046</v>
      </c>
    </row>
    <row r="11" spans="8:79">
      <c r="AF11" s="1" t="s">
        <v>2041</v>
      </c>
    </row>
    <row r="12" spans="8:79">
      <c r="AG12" s="1" t="s">
        <v>2042</v>
      </c>
    </row>
    <row r="13" spans="8:79">
      <c r="AH13" s="1" t="s">
        <v>2037</v>
      </c>
    </row>
    <row r="14" spans="8:79">
      <c r="AG14" s="1" t="s">
        <v>2038</v>
      </c>
    </row>
    <row r="15" spans="8:79">
      <c r="AH15" s="1" t="s">
        <v>2039</v>
      </c>
    </row>
    <row r="16" spans="8:79">
      <c r="AF16" s="1" t="s">
        <v>2043</v>
      </c>
    </row>
    <row r="17" spans="9:33">
      <c r="AG17" s="1" t="s">
        <v>2044</v>
      </c>
    </row>
    <row r="18" spans="9:33">
      <c r="AG18" s="1" t="s">
        <v>2045</v>
      </c>
    </row>
    <row r="19" spans="9:33">
      <c r="AD19" s="1" t="s">
        <v>2034</v>
      </c>
    </row>
    <row r="20" spans="9:33">
      <c r="AE20" s="1" t="s">
        <v>2047</v>
      </c>
    </row>
    <row r="21" spans="9:33">
      <c r="AF21" s="1" t="s">
        <v>2048</v>
      </c>
    </row>
    <row r="22" spans="9:33">
      <c r="AF22" s="1" t="s">
        <v>2049</v>
      </c>
    </row>
    <row r="23" spans="9:33">
      <c r="AE23" s="1" t="s">
        <v>2050</v>
      </c>
    </row>
    <row r="24" spans="9:33">
      <c r="AF24" s="1" t="s">
        <v>2051</v>
      </c>
    </row>
    <row r="25" spans="9:33">
      <c r="AG25" s="1" t="s">
        <v>2052</v>
      </c>
    </row>
    <row r="26" spans="9:33">
      <c r="AF26" s="1" t="s">
        <v>2053</v>
      </c>
    </row>
    <row r="27" spans="9:33">
      <c r="AF27" s="1" t="s">
        <v>2054</v>
      </c>
    </row>
    <row r="28" spans="9:33">
      <c r="AG28" s="1" t="s">
        <v>2055</v>
      </c>
    </row>
    <row r="29" spans="9:33">
      <c r="AE29" s="1" t="s">
        <v>2056</v>
      </c>
    </row>
    <row r="30" spans="9:33">
      <c r="AF30" s="1" t="s">
        <v>2057</v>
      </c>
    </row>
    <row r="31" spans="9:33">
      <c r="I31" s="1" t="s">
        <v>16</v>
      </c>
      <c r="J31" s="1" t="s">
        <v>17</v>
      </c>
      <c r="AG31" s="1" t="s">
        <v>2058</v>
      </c>
    </row>
    <row r="32" spans="9:33">
      <c r="J32" s="1" t="s">
        <v>18</v>
      </c>
    </row>
    <row r="33" spans="8:30">
      <c r="J33" s="1" t="s">
        <v>19</v>
      </c>
    </row>
    <row r="35" spans="8:30" ht="15">
      <c r="H35" s="2" t="s">
        <v>2029</v>
      </c>
    </row>
    <row r="37" spans="8:30" ht="15">
      <c r="AD37" s="2" t="s">
        <v>59</v>
      </c>
    </row>
    <row r="38" spans="8:30" ht="15">
      <c r="AD38" s="2" t="s">
        <v>60</v>
      </c>
    </row>
    <row r="39" spans="8:30">
      <c r="AD39" s="1" t="s">
        <v>61</v>
      </c>
    </row>
    <row r="64" spans="9:10">
      <c r="I64" s="1" t="s">
        <v>16</v>
      </c>
      <c r="J64" s="1" t="s">
        <v>17</v>
      </c>
    </row>
    <row r="65" spans="8:10">
      <c r="J65" s="1" t="s">
        <v>18</v>
      </c>
    </row>
    <row r="66" spans="8:10">
      <c r="J66" s="1" t="s">
        <v>19</v>
      </c>
    </row>
    <row r="68" spans="8:10" ht="15">
      <c r="H68" s="2" t="s">
        <v>2033</v>
      </c>
    </row>
    <row r="69" spans="8:10">
      <c r="I69" s="1" t="s">
        <v>13</v>
      </c>
    </row>
    <row r="91" spans="9:9">
      <c r="I91" s="1" t="s">
        <v>14</v>
      </c>
    </row>
    <row r="108" spans="9:9">
      <c r="I108" s="1" t="s">
        <v>15</v>
      </c>
    </row>
    <row r="129" spans="8:30" ht="15">
      <c r="H129" s="2" t="s">
        <v>2028</v>
      </c>
    </row>
    <row r="137" spans="8:30" ht="15">
      <c r="AD137" s="2" t="s">
        <v>62</v>
      </c>
    </row>
    <row r="138" spans="8:30">
      <c r="AD138" s="1" t="s">
        <v>63</v>
      </c>
    </row>
    <row r="161" spans="8:10">
      <c r="I161" s="1" t="s">
        <v>16</v>
      </c>
      <c r="J161" s="1" t="s">
        <v>17</v>
      </c>
    </row>
    <row r="162" spans="8:10">
      <c r="J162" s="1" t="s">
        <v>18</v>
      </c>
    </row>
    <row r="163" spans="8:10">
      <c r="J163" s="1" t="s">
        <v>19</v>
      </c>
    </row>
    <row r="165" spans="8:10" ht="15">
      <c r="H165" s="2" t="s">
        <v>2036</v>
      </c>
    </row>
    <row r="186" spans="7:7">
      <c r="G186" s="25"/>
    </row>
    <row r="187" spans="7:7">
      <c r="G187" s="25"/>
    </row>
    <row r="188" spans="7:7">
      <c r="G188" s="25"/>
    </row>
    <row r="189" spans="7:7">
      <c r="G189" s="25"/>
    </row>
    <row r="190" spans="7:7">
      <c r="G190" s="25"/>
    </row>
    <row r="191" spans="7:7">
      <c r="G191" s="25"/>
    </row>
    <row r="192" spans="7:7">
      <c r="G192" s="25"/>
    </row>
    <row r="193" spans="7:10">
      <c r="G193" s="25"/>
    </row>
    <row r="194" spans="7:10">
      <c r="G194" s="25"/>
      <c r="I194" s="1" t="s">
        <v>16</v>
      </c>
      <c r="J194" s="1" t="s">
        <v>17</v>
      </c>
    </row>
    <row r="195" spans="7:10">
      <c r="G195" s="25"/>
      <c r="J195" s="1" t="s">
        <v>18</v>
      </c>
    </row>
    <row r="196" spans="7:10">
      <c r="G196" s="25"/>
      <c r="J196" s="1" t="s">
        <v>19</v>
      </c>
    </row>
    <row r="197" spans="7:10">
      <c r="G197" s="25"/>
    </row>
    <row r="198" spans="7:10" ht="15">
      <c r="G198" s="25"/>
      <c r="H198" s="2" t="s">
        <v>2035</v>
      </c>
    </row>
    <row r="199" spans="7:10">
      <c r="G199" s="25"/>
    </row>
    <row r="200" spans="7:10">
      <c r="G200" s="25"/>
    </row>
    <row r="201" spans="7:10">
      <c r="G201" s="25"/>
    </row>
    <row r="202" spans="7:10">
      <c r="G202" s="25"/>
    </row>
    <row r="203" spans="7:10">
      <c r="G203" s="25"/>
    </row>
    <row r="204" spans="7:10">
      <c r="G204" s="25"/>
    </row>
    <row r="205" spans="7:10">
      <c r="G205" s="25"/>
    </row>
    <row r="206" spans="7:10">
      <c r="G206" s="25"/>
    </row>
    <row r="207" spans="7:10">
      <c r="G207" s="25"/>
    </row>
    <row r="208" spans="7:10">
      <c r="G208" s="25"/>
    </row>
    <row r="209" spans="7:7">
      <c r="G209" s="25"/>
    </row>
    <row r="210" spans="7:7">
      <c r="G210" s="25"/>
    </row>
    <row r="211" spans="7:7">
      <c r="G211" s="25"/>
    </row>
    <row r="212" spans="7:7">
      <c r="G212" s="25"/>
    </row>
    <row r="213" spans="7:7">
      <c r="G213" s="25"/>
    </row>
    <row r="214" spans="7:7">
      <c r="G214" s="25"/>
    </row>
    <row r="215" spans="7:7" ht="15" customHeight="1">
      <c r="G215" s="25"/>
    </row>
    <row r="216" spans="7:7">
      <c r="G216" s="25"/>
    </row>
    <row r="217" spans="7:7">
      <c r="G217" s="25"/>
    </row>
    <row r="218" spans="7:7">
      <c r="G218" s="25"/>
    </row>
    <row r="219" spans="7:7">
      <c r="G219" s="25"/>
    </row>
    <row r="220" spans="7:7">
      <c r="G220" s="25"/>
    </row>
    <row r="221" spans="7:7">
      <c r="G221" s="25"/>
    </row>
    <row r="222" spans="7:7">
      <c r="G222" s="25"/>
    </row>
    <row r="223" spans="7:7">
      <c r="G223" s="25"/>
    </row>
    <row r="224" spans="7:7">
      <c r="G224" s="25"/>
    </row>
    <row r="225" spans="7:30">
      <c r="G225" s="25"/>
    </row>
    <row r="226" spans="7:30">
      <c r="G226" s="25"/>
    </row>
    <row r="227" spans="7:30">
      <c r="G227" s="25"/>
      <c r="I227" s="1" t="s">
        <v>16</v>
      </c>
      <c r="J227" s="1" t="s">
        <v>17</v>
      </c>
    </row>
    <row r="228" spans="7:30">
      <c r="G228" s="25"/>
      <c r="J228" s="1" t="s">
        <v>18</v>
      </c>
    </row>
    <row r="229" spans="7:30">
      <c r="G229" s="25"/>
      <c r="J229" s="1" t="s">
        <v>19</v>
      </c>
    </row>
    <row r="230" spans="7:30">
      <c r="G230" s="25"/>
    </row>
    <row r="231" spans="7:30">
      <c r="G231" s="25"/>
    </row>
    <row r="232" spans="7:30" ht="15">
      <c r="G232" s="25"/>
      <c r="AD232" s="2" t="s">
        <v>64</v>
      </c>
    </row>
    <row r="233" spans="7:30">
      <c r="G233" s="25"/>
      <c r="AD233" s="1" t="s">
        <v>65</v>
      </c>
    </row>
    <row r="234" spans="7:30" ht="15">
      <c r="G234" s="25"/>
      <c r="H234" s="2" t="s">
        <v>2032</v>
      </c>
    </row>
    <row r="235" spans="7:30">
      <c r="G235" s="25"/>
    </row>
    <row r="236" spans="7:30">
      <c r="G236" s="25"/>
    </row>
    <row r="237" spans="7:30">
      <c r="G237" s="25"/>
    </row>
    <row r="238" spans="7:30">
      <c r="G238" s="25"/>
    </row>
    <row r="239" spans="7:30">
      <c r="G239" s="25"/>
    </row>
    <row r="240" spans="7:30">
      <c r="G240" s="25"/>
    </row>
    <row r="241" spans="1:7">
      <c r="G241" s="25"/>
    </row>
    <row r="242" spans="1:7">
      <c r="G242" s="25"/>
    </row>
    <row r="243" spans="1:7">
      <c r="G243" s="25"/>
    </row>
    <row r="246" spans="1:7">
      <c r="A246" s="1" t="s">
        <v>2031</v>
      </c>
    </row>
    <row r="247" spans="1:7">
      <c r="A247" s="24" t="s">
        <v>20</v>
      </c>
      <c r="B247" s="24" t="s">
        <v>21</v>
      </c>
      <c r="C247" s="24" t="s">
        <v>22</v>
      </c>
      <c r="D247" s="24" t="s">
        <v>23</v>
      </c>
      <c r="E247" s="24" t="s">
        <v>24</v>
      </c>
      <c r="F247" s="24" t="s">
        <v>25</v>
      </c>
      <c r="G247" s="24" t="s">
        <v>26</v>
      </c>
    </row>
    <row r="248" spans="1:7" ht="15" customHeight="1">
      <c r="A248" s="63">
        <v>273.13</v>
      </c>
      <c r="B248" s="63">
        <v>280.74</v>
      </c>
      <c r="C248" s="63">
        <v>271.64999999999998</v>
      </c>
      <c r="D248" s="63">
        <v>279</v>
      </c>
      <c r="E248" s="63">
        <v>8828665</v>
      </c>
      <c r="F248" s="63" t="s">
        <v>2027</v>
      </c>
      <c r="G248" s="25">
        <f>A248/D248-1</f>
        <v>-2.1039426523297489E-2</v>
      </c>
    </row>
    <row r="249" spans="1:7">
      <c r="A249" s="63">
        <v>283.42</v>
      </c>
      <c r="B249" s="63">
        <v>286.35000000000002</v>
      </c>
      <c r="C249" s="63">
        <v>281.02960000000002</v>
      </c>
      <c r="D249" s="63">
        <v>282.5</v>
      </c>
      <c r="E249" s="63">
        <v>6642690</v>
      </c>
      <c r="F249" s="63" t="s">
        <v>2026</v>
      </c>
      <c r="G249" s="25">
        <f t="shared" ref="G249:G312" si="0">A249/D249-1</f>
        <v>3.2566371681417294E-3</v>
      </c>
    </row>
    <row r="250" spans="1:7">
      <c r="A250" s="63">
        <v>282.27999999999997</v>
      </c>
      <c r="B250" s="63">
        <v>287.63</v>
      </c>
      <c r="C250" s="63">
        <v>281.1121</v>
      </c>
      <c r="D250" s="63">
        <v>284.41000000000003</v>
      </c>
      <c r="E250" s="63">
        <v>5689839</v>
      </c>
      <c r="F250" s="63" t="s">
        <v>2025</v>
      </c>
      <c r="G250" s="25">
        <f t="shared" si="0"/>
        <v>-7.4891881438770014E-3</v>
      </c>
    </row>
    <row r="251" spans="1:7">
      <c r="A251" s="63">
        <v>288.06</v>
      </c>
      <c r="B251" s="63">
        <v>288.44</v>
      </c>
      <c r="C251" s="63">
        <v>285.20999999999998</v>
      </c>
      <c r="D251" s="63">
        <v>288.08999999999997</v>
      </c>
      <c r="E251" s="63">
        <v>4032283</v>
      </c>
      <c r="F251" s="63" t="s">
        <v>2024</v>
      </c>
      <c r="G251" s="25">
        <f t="shared" si="0"/>
        <v>-1.0413412475263062E-4</v>
      </c>
    </row>
    <row r="252" spans="1:7">
      <c r="A252" s="63">
        <v>287.63</v>
      </c>
      <c r="B252" s="63">
        <v>289.89999999999998</v>
      </c>
      <c r="C252" s="63">
        <v>286.91000000000003</v>
      </c>
      <c r="D252" s="63">
        <v>288.10000000000002</v>
      </c>
      <c r="E252" s="63">
        <v>5781196</v>
      </c>
      <c r="F252" s="63" t="s">
        <v>2023</v>
      </c>
      <c r="G252" s="25">
        <f t="shared" si="0"/>
        <v>-1.6313779937522366E-3</v>
      </c>
    </row>
    <row r="253" spans="1:7">
      <c r="A253" s="63">
        <v>291.14999999999998</v>
      </c>
      <c r="B253" s="63">
        <v>292.17</v>
      </c>
      <c r="C253" s="63">
        <v>289.72000000000003</v>
      </c>
      <c r="D253" s="63">
        <v>291.08999999999997</v>
      </c>
      <c r="E253" s="63">
        <v>3845977</v>
      </c>
      <c r="F253" s="63" t="s">
        <v>2022</v>
      </c>
      <c r="G253" s="25">
        <f t="shared" si="0"/>
        <v>2.0612181799450902E-4</v>
      </c>
    </row>
    <row r="254" spans="1:7">
      <c r="A254" s="63">
        <v>290.76</v>
      </c>
      <c r="B254" s="63">
        <v>291.97000000000003</v>
      </c>
      <c r="C254" s="63">
        <v>287.95</v>
      </c>
      <c r="D254" s="63">
        <v>289.57</v>
      </c>
      <c r="E254" s="63">
        <v>4635862</v>
      </c>
      <c r="F254" s="63" t="s">
        <v>2021</v>
      </c>
      <c r="G254" s="25">
        <f t="shared" si="0"/>
        <v>4.1095417342955631E-3</v>
      </c>
    </row>
    <row r="255" spans="1:7">
      <c r="A255" s="63">
        <v>290.74</v>
      </c>
      <c r="B255" s="63">
        <v>296.05</v>
      </c>
      <c r="C255" s="63">
        <v>289.26</v>
      </c>
      <c r="D255" s="63">
        <v>293.5</v>
      </c>
      <c r="E255" s="63">
        <v>7926186</v>
      </c>
      <c r="F255" s="63" t="s">
        <v>2020</v>
      </c>
      <c r="G255" s="25">
        <f t="shared" si="0"/>
        <v>-9.4037478705281119E-3</v>
      </c>
    </row>
    <row r="256" spans="1:7">
      <c r="A256" s="63">
        <v>289.17</v>
      </c>
      <c r="B256" s="63">
        <v>292.74059999999997</v>
      </c>
      <c r="C256" s="63">
        <v>288.93</v>
      </c>
      <c r="D256" s="63">
        <v>291</v>
      </c>
      <c r="E256" s="63">
        <v>6711550</v>
      </c>
      <c r="F256" s="63" t="s">
        <v>2019</v>
      </c>
      <c r="G256" s="25">
        <f t="shared" si="0"/>
        <v>-6.2886597938144329E-3</v>
      </c>
    </row>
    <row r="257" spans="1:10">
      <c r="A257" s="63">
        <v>288.82</v>
      </c>
      <c r="B257" s="63">
        <v>288.97000000000003</v>
      </c>
      <c r="C257" s="63">
        <v>283.23</v>
      </c>
      <c r="D257" s="63">
        <v>285</v>
      </c>
      <c r="E257" s="63">
        <v>5937370</v>
      </c>
      <c r="F257" s="63" t="s">
        <v>2018</v>
      </c>
      <c r="G257" s="25">
        <f t="shared" si="0"/>
        <v>1.3403508771929751E-2</v>
      </c>
    </row>
    <row r="258" spans="1:10">
      <c r="A258" s="63">
        <v>275.42</v>
      </c>
      <c r="B258" s="63">
        <v>282.48</v>
      </c>
      <c r="C258" s="63">
        <v>273.88</v>
      </c>
      <c r="D258" s="63">
        <v>281.62</v>
      </c>
      <c r="E258" s="63">
        <v>4324188</v>
      </c>
      <c r="F258" s="63" t="s">
        <v>2017</v>
      </c>
      <c r="G258" s="25">
        <f t="shared" si="0"/>
        <v>-2.2015481854981811E-2</v>
      </c>
    </row>
    <row r="259" spans="1:10">
      <c r="A259" s="63">
        <v>279.74</v>
      </c>
      <c r="B259" s="63">
        <v>283.04500000000002</v>
      </c>
      <c r="C259" s="63">
        <v>278.38</v>
      </c>
      <c r="D259" s="63">
        <v>279.20999999999998</v>
      </c>
      <c r="E259" s="63">
        <v>4789858</v>
      </c>
      <c r="F259" s="63" t="s">
        <v>2016</v>
      </c>
      <c r="G259" s="25">
        <f t="shared" si="0"/>
        <v>1.8982128147273514E-3</v>
      </c>
    </row>
    <row r="260" spans="1:10">
      <c r="A260" s="63">
        <v>278.23</v>
      </c>
      <c r="B260" s="63">
        <v>278.79000000000002</v>
      </c>
      <c r="C260" s="63">
        <v>273.70999999999998</v>
      </c>
      <c r="D260" s="63">
        <v>273.70999999999998</v>
      </c>
      <c r="E260" s="63">
        <v>4268307</v>
      </c>
      <c r="F260" s="63" t="s">
        <v>2015</v>
      </c>
      <c r="G260" s="25">
        <f t="shared" si="0"/>
        <v>1.6513828504621797E-2</v>
      </c>
    </row>
    <row r="261" spans="1:10">
      <c r="A261" s="63">
        <v>273.36</v>
      </c>
      <c r="B261" s="63">
        <v>274.79759999999999</v>
      </c>
      <c r="C261" s="63">
        <v>268.54000000000002</v>
      </c>
      <c r="D261" s="63">
        <v>269.82</v>
      </c>
      <c r="E261" s="63">
        <v>4681552</v>
      </c>
      <c r="F261" s="63" t="s">
        <v>2014</v>
      </c>
      <c r="G261" s="25">
        <f t="shared" si="0"/>
        <v>1.3119857682899694E-2</v>
      </c>
    </row>
    <row r="262" spans="1:10">
      <c r="A262" s="63">
        <v>272.63</v>
      </c>
      <c r="B262" s="63">
        <v>276.16500000000002</v>
      </c>
      <c r="C262" s="63">
        <v>272.31</v>
      </c>
      <c r="D262" s="63">
        <v>273.37</v>
      </c>
      <c r="E262" s="63">
        <v>4219639</v>
      </c>
      <c r="F262" s="63" t="s">
        <v>2013</v>
      </c>
      <c r="G262" s="25">
        <f t="shared" si="0"/>
        <v>-2.7069539452024838E-3</v>
      </c>
    </row>
    <row r="263" spans="1:10">
      <c r="A263" s="63">
        <v>275.08</v>
      </c>
      <c r="B263" s="63">
        <v>276.32</v>
      </c>
      <c r="C263" s="63">
        <v>272.25</v>
      </c>
      <c r="D263" s="63">
        <v>274.45999999999998</v>
      </c>
      <c r="E263" s="63">
        <v>4323760</v>
      </c>
      <c r="F263" s="63" t="s">
        <v>2012</v>
      </c>
      <c r="G263" s="25">
        <f t="shared" si="0"/>
        <v>2.2589812723166069E-3</v>
      </c>
    </row>
    <row r="264" spans="1:10">
      <c r="A264" s="63">
        <v>269.33</v>
      </c>
      <c r="B264" s="63">
        <v>274.60000000000002</v>
      </c>
      <c r="C264" s="63">
        <v>269</v>
      </c>
      <c r="D264" s="63">
        <v>273.39999999999998</v>
      </c>
      <c r="E264" s="63">
        <v>5208927</v>
      </c>
      <c r="F264" s="63" t="s">
        <v>2011</v>
      </c>
      <c r="G264" s="25">
        <f t="shared" si="0"/>
        <v>-1.4886613021214301E-2</v>
      </c>
    </row>
    <row r="265" spans="1:10">
      <c r="A265" s="63">
        <v>268.70999999999998</v>
      </c>
      <c r="B265" s="63">
        <v>268.87</v>
      </c>
      <c r="C265" s="63">
        <v>263</v>
      </c>
      <c r="D265" s="63">
        <v>264.8</v>
      </c>
      <c r="E265" s="63">
        <v>4624088</v>
      </c>
      <c r="F265" s="63" t="s">
        <v>2010</v>
      </c>
      <c r="G265" s="25">
        <f t="shared" si="0"/>
        <v>1.476586102719013E-2</v>
      </c>
    </row>
    <row r="266" spans="1:10">
      <c r="A266" s="63">
        <v>267.76</v>
      </c>
      <c r="B266" s="63">
        <v>268.57499999999999</v>
      </c>
      <c r="C266" s="63">
        <v>265.17</v>
      </c>
      <c r="D266" s="63">
        <v>265.39999999999998</v>
      </c>
      <c r="E266" s="63">
        <v>3140601</v>
      </c>
      <c r="F266" s="63" t="s">
        <v>2009</v>
      </c>
      <c r="G266" s="25">
        <f t="shared" si="0"/>
        <v>8.8922381311229426E-3</v>
      </c>
    </row>
    <row r="267" spans="1:10">
      <c r="A267" s="63">
        <v>265.64</v>
      </c>
      <c r="B267" s="63">
        <v>269.5</v>
      </c>
      <c r="C267" s="63">
        <v>263.33</v>
      </c>
      <c r="D267" s="63">
        <v>268.14499999999998</v>
      </c>
      <c r="E267" s="63">
        <v>4977724</v>
      </c>
      <c r="F267" s="63" t="s">
        <v>2008</v>
      </c>
      <c r="G267" s="25">
        <f t="shared" si="0"/>
        <v>-9.341960506442426E-3</v>
      </c>
    </row>
    <row r="268" spans="1:10">
      <c r="A268" s="63">
        <v>267.85000000000002</v>
      </c>
      <c r="B268" s="63">
        <v>269.02999999999997</v>
      </c>
      <c r="C268" s="63">
        <v>264.2</v>
      </c>
      <c r="D268" s="63">
        <v>264.72000000000003</v>
      </c>
      <c r="E268" s="63">
        <v>5651651</v>
      </c>
      <c r="F268" s="63" t="s">
        <v>2007</v>
      </c>
      <c r="G268" s="25">
        <f t="shared" si="0"/>
        <v>1.1823813841039588E-2</v>
      </c>
    </row>
    <row r="269" spans="1:10">
      <c r="A269" s="63">
        <v>264.7</v>
      </c>
      <c r="B269" s="63">
        <v>264.98</v>
      </c>
      <c r="C269" s="63">
        <v>257</v>
      </c>
      <c r="D269" s="63">
        <v>258.2</v>
      </c>
      <c r="E269" s="63">
        <v>7857563</v>
      </c>
      <c r="F269" s="63" t="s">
        <v>2006</v>
      </c>
      <c r="G269" s="25">
        <f t="shared" si="0"/>
        <v>2.5174283501161909E-2</v>
      </c>
    </row>
    <row r="270" spans="1:10">
      <c r="A270" s="63">
        <v>250.48</v>
      </c>
      <c r="B270" s="63">
        <v>257.79000000000002</v>
      </c>
      <c r="C270" s="63">
        <v>249.5</v>
      </c>
      <c r="D270" s="63">
        <v>252.61</v>
      </c>
      <c r="E270" s="63">
        <v>5818895</v>
      </c>
      <c r="F270" s="63" t="s">
        <v>2005</v>
      </c>
      <c r="G270" s="25">
        <f t="shared" si="0"/>
        <v>-8.4319702307906752E-3</v>
      </c>
      <c r="I270" s="1" t="s">
        <v>16</v>
      </c>
      <c r="J270" s="1" t="s">
        <v>17</v>
      </c>
    </row>
    <row r="271" spans="1:10">
      <c r="A271" s="63">
        <v>243.39</v>
      </c>
      <c r="B271" s="63">
        <v>244.22</v>
      </c>
      <c r="C271" s="63">
        <v>235.59700000000001</v>
      </c>
      <c r="D271" s="63">
        <v>238.23</v>
      </c>
      <c r="E271" s="63">
        <v>7145288</v>
      </c>
      <c r="F271" s="63" t="s">
        <v>2004</v>
      </c>
      <c r="G271" s="25">
        <f t="shared" si="0"/>
        <v>2.1659740586827736E-2</v>
      </c>
      <c r="J271" s="1" t="s">
        <v>18</v>
      </c>
    </row>
    <row r="272" spans="1:10">
      <c r="A272" s="63">
        <v>236.26</v>
      </c>
      <c r="B272" s="63">
        <v>242.48</v>
      </c>
      <c r="C272" s="63">
        <v>232.77</v>
      </c>
      <c r="D272" s="63">
        <v>240.43</v>
      </c>
      <c r="E272" s="63">
        <v>9240009</v>
      </c>
      <c r="F272" s="63" t="s">
        <v>2003</v>
      </c>
      <c r="G272" s="25">
        <f t="shared" si="0"/>
        <v>-1.7343925466871912E-2</v>
      </c>
      <c r="J272" s="1" t="s">
        <v>19</v>
      </c>
    </row>
    <row r="273" spans="1:17">
      <c r="A273" s="63">
        <v>247.26</v>
      </c>
      <c r="B273" s="63">
        <v>251.56</v>
      </c>
      <c r="C273" s="63">
        <v>246.8</v>
      </c>
      <c r="D273" s="63">
        <v>249.77</v>
      </c>
      <c r="E273" s="63">
        <v>5566857</v>
      </c>
      <c r="F273" s="63" t="s">
        <v>2002</v>
      </c>
      <c r="G273" s="25">
        <f t="shared" si="0"/>
        <v>-1.0049245305681298E-2</v>
      </c>
    </row>
    <row r="274" spans="1:17">
      <c r="A274" s="63">
        <v>249.84</v>
      </c>
      <c r="B274" s="63">
        <v>256.61</v>
      </c>
      <c r="C274" s="63">
        <v>246.69</v>
      </c>
      <c r="D274" s="63">
        <v>251.93</v>
      </c>
      <c r="E274" s="63">
        <v>7190940</v>
      </c>
      <c r="F274" s="63" t="s">
        <v>2001</v>
      </c>
      <c r="G274" s="25">
        <f t="shared" si="0"/>
        <v>-8.2959552256579583E-3</v>
      </c>
      <c r="I274" s="26"/>
      <c r="J274" s="26" t="s">
        <v>27</v>
      </c>
      <c r="K274" s="27">
        <f>MIN(G248:G2005)</f>
        <v>-8.0470704564465922E-2</v>
      </c>
    </row>
    <row r="275" spans="1:17">
      <c r="A275" s="63">
        <v>254.93</v>
      </c>
      <c r="B275" s="63">
        <v>256.72000000000003</v>
      </c>
      <c r="C275" s="63">
        <v>253.8</v>
      </c>
      <c r="D275" s="63">
        <v>254.37</v>
      </c>
      <c r="E275" s="63">
        <v>5227671</v>
      </c>
      <c r="F275" s="63" t="s">
        <v>2000</v>
      </c>
      <c r="G275" s="25">
        <f t="shared" si="0"/>
        <v>2.2015174745448896E-3</v>
      </c>
      <c r="I275" s="26"/>
      <c r="J275" s="26" t="s">
        <v>28</v>
      </c>
      <c r="K275" s="27">
        <f>MAX(G248:G2005)</f>
        <v>0.10582432014706766</v>
      </c>
    </row>
    <row r="276" spans="1:17">
      <c r="A276" s="63">
        <v>254.55</v>
      </c>
      <c r="B276" s="63">
        <v>260</v>
      </c>
      <c r="C276" s="63">
        <v>253.14</v>
      </c>
      <c r="D276" s="63">
        <v>260</v>
      </c>
      <c r="E276" s="63">
        <v>6038546</v>
      </c>
      <c r="F276" s="63" t="s">
        <v>1999</v>
      </c>
      <c r="G276" s="25">
        <f t="shared" si="0"/>
        <v>-2.0961538461538365E-2</v>
      </c>
      <c r="I276" s="26"/>
      <c r="J276" s="26" t="s">
        <v>29</v>
      </c>
      <c r="K276" s="27">
        <f>AVERAGE(G248:G2005)</f>
        <v>2.6571034956502341E-4</v>
      </c>
    </row>
    <row r="277" spans="1:17">
      <c r="A277" s="63">
        <v>255</v>
      </c>
      <c r="B277" s="63">
        <v>256.41000000000003</v>
      </c>
      <c r="C277" s="63">
        <v>247.67500000000001</v>
      </c>
      <c r="D277" s="63">
        <v>254.27</v>
      </c>
      <c r="E277" s="63">
        <v>6089003</v>
      </c>
      <c r="F277" s="63" t="s">
        <v>1998</v>
      </c>
      <c r="G277" s="25">
        <f t="shared" si="0"/>
        <v>2.8709639359736361E-3</v>
      </c>
      <c r="I277" s="26"/>
      <c r="J277" s="26" t="s">
        <v>30</v>
      </c>
      <c r="K277" s="27">
        <f>MEDIAN(G248:G2005)</f>
        <v>7.129737167812511E-4</v>
      </c>
    </row>
    <row r="278" spans="1:17" ht="15">
      <c r="A278" s="63">
        <v>255.12</v>
      </c>
      <c r="B278" s="63">
        <v>261.24</v>
      </c>
      <c r="C278" s="63">
        <v>248.13</v>
      </c>
      <c r="D278" s="63">
        <v>260</v>
      </c>
      <c r="E278" s="63">
        <v>9692344</v>
      </c>
      <c r="F278" s="63" t="s">
        <v>1997</v>
      </c>
      <c r="G278" s="25">
        <f t="shared" si="0"/>
        <v>-1.876923076923076E-2</v>
      </c>
      <c r="I278" s="26"/>
      <c r="J278" s="26" t="s">
        <v>31</v>
      </c>
      <c r="K278" s="27">
        <f>_xlfn.STDEV.P(G248:G2005)</f>
        <v>1.7997621757425555E-2</v>
      </c>
      <c r="M278" s="2"/>
    </row>
    <row r="279" spans="1:17" ht="15">
      <c r="A279" s="63">
        <v>264.75400000000002</v>
      </c>
      <c r="B279" s="63">
        <v>267.74930000000001</v>
      </c>
      <c r="C279" s="63">
        <v>240.52209999999999</v>
      </c>
      <c r="D279" s="63">
        <v>240.52209999999999</v>
      </c>
      <c r="E279" s="63">
        <v>12491148</v>
      </c>
      <c r="F279" s="63" t="s">
        <v>1996</v>
      </c>
      <c r="G279" s="25">
        <f t="shared" si="0"/>
        <v>0.1007470831162709</v>
      </c>
      <c r="I279" s="26"/>
      <c r="J279" s="28" t="s">
        <v>32</v>
      </c>
      <c r="K279" s="27">
        <f>3*K278</f>
        <v>5.3992865272276661E-2</v>
      </c>
      <c r="L279" s="26"/>
      <c r="M279" s="2" t="s">
        <v>77</v>
      </c>
    </row>
    <row r="280" spans="1:17" ht="15">
      <c r="A280" s="63">
        <v>243.60720000000001</v>
      </c>
      <c r="B280" s="63">
        <v>256.98169999999999</v>
      </c>
      <c r="C280" s="63">
        <v>239.88910000000001</v>
      </c>
      <c r="D280" s="63">
        <v>253.55160000000001</v>
      </c>
      <c r="E280" s="63">
        <v>9340310</v>
      </c>
      <c r="F280" s="63" t="s">
        <v>1995</v>
      </c>
      <c r="G280" s="25">
        <f t="shared" si="0"/>
        <v>-3.9220419038964893E-2</v>
      </c>
      <c r="I280" s="26"/>
      <c r="J280" s="28" t="s">
        <v>33</v>
      </c>
      <c r="K280" s="26">
        <v>1.42</v>
      </c>
      <c r="L280" s="26"/>
      <c r="M280" s="2" t="s">
        <v>34</v>
      </c>
    </row>
    <row r="281" spans="1:17">
      <c r="A281" s="63">
        <v>243.82689999999999</v>
      </c>
      <c r="B281" s="63">
        <v>252.5532</v>
      </c>
      <c r="C281" s="63">
        <v>229.63919999999999</v>
      </c>
      <c r="D281" s="63">
        <v>229.63919999999999</v>
      </c>
      <c r="E281" s="63">
        <v>11965180</v>
      </c>
      <c r="F281" s="63" t="s">
        <v>1994</v>
      </c>
      <c r="G281" s="25">
        <f t="shared" si="0"/>
        <v>6.1782570223202438E-2</v>
      </c>
    </row>
    <row r="282" spans="1:17">
      <c r="A282" s="63">
        <v>240.38229999999999</v>
      </c>
      <c r="B282" s="63">
        <v>249.8973</v>
      </c>
      <c r="C282" s="63">
        <v>239.1542</v>
      </c>
      <c r="D282" s="63">
        <v>247.31139999999999</v>
      </c>
      <c r="E282" s="63">
        <v>9704996</v>
      </c>
      <c r="F282" s="63" t="s">
        <v>1993</v>
      </c>
      <c r="G282" s="25">
        <f t="shared" si="0"/>
        <v>-2.8017713700217661E-2</v>
      </c>
      <c r="I282" s="29" t="s">
        <v>35</v>
      </c>
      <c r="J282" s="30">
        <v>1758</v>
      </c>
    </row>
    <row r="283" spans="1:17" ht="15" thickBot="1">
      <c r="A283" s="63">
        <v>254.8296</v>
      </c>
      <c r="B283" s="63">
        <v>262.15809999999999</v>
      </c>
      <c r="C283" s="63">
        <v>254.05080000000001</v>
      </c>
      <c r="D283" s="63">
        <v>259.7319</v>
      </c>
      <c r="E283" s="63">
        <v>8872602</v>
      </c>
      <c r="F283" s="63" t="s">
        <v>1992</v>
      </c>
      <c r="G283" s="25">
        <f t="shared" si="0"/>
        <v>-1.8874462474574694E-2</v>
      </c>
      <c r="I283" s="1" t="s">
        <v>36</v>
      </c>
      <c r="L283" s="1" t="s">
        <v>37</v>
      </c>
      <c r="P283" s="1" t="s">
        <v>38</v>
      </c>
    </row>
    <row r="284" spans="1:17" ht="30">
      <c r="A284" s="63">
        <v>271.11399999999998</v>
      </c>
      <c r="B284" s="63">
        <v>273.20069999999998</v>
      </c>
      <c r="C284" s="63">
        <v>265.3331</v>
      </c>
      <c r="D284" s="63">
        <v>265.5428</v>
      </c>
      <c r="E284" s="63">
        <v>5396853</v>
      </c>
      <c r="F284" s="63" t="s">
        <v>1991</v>
      </c>
      <c r="G284" s="25">
        <f t="shared" si="0"/>
        <v>2.0980421988470388E-2</v>
      </c>
      <c r="I284" s="66" t="s">
        <v>39</v>
      </c>
      <c r="J284" s="66" t="s">
        <v>40</v>
      </c>
      <c r="L284" s="31" t="s">
        <v>41</v>
      </c>
      <c r="M284" s="32" t="s">
        <v>42</v>
      </c>
      <c r="P284" s="31" t="s">
        <v>43</v>
      </c>
      <c r="Q284" s="32" t="s">
        <v>44</v>
      </c>
    </row>
    <row r="285" spans="1:17" ht="15">
      <c r="A285" s="63">
        <v>269.77609999999999</v>
      </c>
      <c r="B285" s="63">
        <v>270.39510000000001</v>
      </c>
      <c r="C285" s="63">
        <v>265.40300000000002</v>
      </c>
      <c r="D285" s="63">
        <v>268.43819999999999</v>
      </c>
      <c r="E285" s="63">
        <v>4598153</v>
      </c>
      <c r="F285" s="63" t="s">
        <v>1990</v>
      </c>
      <c r="G285" s="25">
        <f t="shared" si="0"/>
        <v>4.9840149427315961E-3</v>
      </c>
      <c r="I285" s="64">
        <v>-5.7500000000000002E-2</v>
      </c>
      <c r="J285">
        <v>1</v>
      </c>
      <c r="L285" s="64">
        <v>-0.06</v>
      </c>
      <c r="M285" s="1">
        <f t="shared" ref="M285:M316" si="1">_xlfn.NORM.DIST(L285,$K$276,$K$278,FALSE)</f>
        <v>8.1449312541155741E-2</v>
      </c>
      <c r="O285" s="1" t="s">
        <v>68</v>
      </c>
      <c r="P285" s="25">
        <f>K276</f>
        <v>2.6571034956502341E-4</v>
      </c>
      <c r="Q285" s="1">
        <v>0</v>
      </c>
    </row>
    <row r="286" spans="1:17" ht="15">
      <c r="A286" s="63">
        <v>267.93900000000002</v>
      </c>
      <c r="B286" s="63">
        <v>268.02890000000002</v>
      </c>
      <c r="C286" s="63">
        <v>258.78339999999997</v>
      </c>
      <c r="D286" s="63">
        <v>264.13499999999999</v>
      </c>
      <c r="E286" s="63">
        <v>7585804</v>
      </c>
      <c r="F286" s="63" t="s">
        <v>1989</v>
      </c>
      <c r="G286" s="25">
        <f t="shared" si="0"/>
        <v>1.4401726389914327E-2</v>
      </c>
      <c r="I286" s="64">
        <v>-5.5E-2</v>
      </c>
      <c r="J286">
        <v>1</v>
      </c>
      <c r="L286" s="64">
        <v>-5.7500000000000002E-2</v>
      </c>
      <c r="M286" s="1">
        <f t="shared" si="1"/>
        <v>0.12844096528863574</v>
      </c>
      <c r="P286" s="25">
        <f>K276</f>
        <v>2.6571034956502341E-4</v>
      </c>
      <c r="Q286" s="1">
        <v>25</v>
      </c>
    </row>
    <row r="287" spans="1:17" ht="15">
      <c r="A287" s="63">
        <v>269.54649999999998</v>
      </c>
      <c r="B287" s="63">
        <v>276.77010000000001</v>
      </c>
      <c r="C287" s="63">
        <v>268.76769999999999</v>
      </c>
      <c r="D287" s="63">
        <v>276.27589999999998</v>
      </c>
      <c r="E287" s="63">
        <v>4973419</v>
      </c>
      <c r="F287" s="63" t="s">
        <v>1988</v>
      </c>
      <c r="G287" s="25">
        <f t="shared" si="0"/>
        <v>-2.435753534781715E-2</v>
      </c>
      <c r="I287" s="64">
        <v>-5.2499999999999998E-2</v>
      </c>
      <c r="J287">
        <v>0</v>
      </c>
      <c r="L287" s="64">
        <v>-5.5E-2</v>
      </c>
      <c r="M287" s="1">
        <f t="shared" si="1"/>
        <v>0.19867347595063992</v>
      </c>
      <c r="O287" s="34" t="s">
        <v>69</v>
      </c>
      <c r="P287" s="67">
        <f>($K$278*-3)+$K$276</f>
        <v>-5.3727154922711635E-2</v>
      </c>
      <c r="Q287" s="1">
        <v>0</v>
      </c>
    </row>
    <row r="288" spans="1:17" ht="15">
      <c r="A288" s="63">
        <v>277.37419999999997</v>
      </c>
      <c r="B288" s="63">
        <v>280.45800000000003</v>
      </c>
      <c r="C288" s="63">
        <v>275.577</v>
      </c>
      <c r="D288" s="63">
        <v>280.09989999999999</v>
      </c>
      <c r="E288" s="63">
        <v>3757245</v>
      </c>
      <c r="F288" s="63" t="s">
        <v>1987</v>
      </c>
      <c r="G288" s="25">
        <f t="shared" si="0"/>
        <v>-9.7311709143773628E-3</v>
      </c>
      <c r="I288" s="64">
        <v>-0.05</v>
      </c>
      <c r="J288">
        <v>5</v>
      </c>
      <c r="L288" s="64">
        <v>-5.2499999999999998E-2</v>
      </c>
      <c r="M288" s="1">
        <f t="shared" si="1"/>
        <v>0.30143689745318175</v>
      </c>
      <c r="O288" s="35"/>
      <c r="P288" s="67">
        <f>($K$278*-3)+$K$276</f>
        <v>-5.3727154922711635E-2</v>
      </c>
      <c r="Q288" s="1">
        <v>5</v>
      </c>
    </row>
    <row r="289" spans="1:17" ht="15">
      <c r="A289" s="63">
        <v>280.54919999999998</v>
      </c>
      <c r="B289" s="63">
        <v>288.58659999999998</v>
      </c>
      <c r="C289" s="63">
        <v>279.14139999999998</v>
      </c>
      <c r="D289" s="63">
        <v>287.8877</v>
      </c>
      <c r="E289" s="63">
        <v>5073391</v>
      </c>
      <c r="F289" s="63" t="s">
        <v>1986</v>
      </c>
      <c r="G289" s="25">
        <f t="shared" si="0"/>
        <v>-2.5490842436130534E-2</v>
      </c>
      <c r="I289" s="64">
        <v>-4.7500000000000001E-2</v>
      </c>
      <c r="J289">
        <v>2</v>
      </c>
      <c r="L289" s="64">
        <v>-0.05</v>
      </c>
      <c r="M289" s="1">
        <f t="shared" si="1"/>
        <v>0.44861431108420868</v>
      </c>
      <c r="O289" s="34" t="s">
        <v>70</v>
      </c>
      <c r="P289" s="67">
        <f>($K$278*-2)+$K$276</f>
        <v>-3.5729533165286084E-2</v>
      </c>
      <c r="Q289" s="1">
        <v>0</v>
      </c>
    </row>
    <row r="290" spans="1:17" ht="15">
      <c r="A290" s="63">
        <v>288.15719999999999</v>
      </c>
      <c r="B290" s="63">
        <v>289.99430000000001</v>
      </c>
      <c r="C290" s="63">
        <v>285.1619</v>
      </c>
      <c r="D290" s="63">
        <v>285.1619</v>
      </c>
      <c r="E290" s="63">
        <v>4301704</v>
      </c>
      <c r="F290" s="63" t="s">
        <v>1985</v>
      </c>
      <c r="G290" s="25">
        <f t="shared" si="0"/>
        <v>1.0503857633155089E-2</v>
      </c>
      <c r="I290" s="64">
        <v>-4.4999999999999998E-2</v>
      </c>
      <c r="J290">
        <v>3</v>
      </c>
      <c r="L290" s="64">
        <v>-4.7500000000000001E-2</v>
      </c>
      <c r="M290" s="1">
        <f t="shared" si="1"/>
        <v>0.65489251680570404</v>
      </c>
      <c r="O290" s="35"/>
      <c r="P290" s="67">
        <f>($K$278*-2)+$K$276</f>
        <v>-3.5729533165286084E-2</v>
      </c>
      <c r="Q290" s="1">
        <v>10</v>
      </c>
    </row>
    <row r="291" spans="1:17" ht="15">
      <c r="A291" s="63">
        <v>285.51139999999998</v>
      </c>
      <c r="B291" s="63">
        <v>286.31009999999998</v>
      </c>
      <c r="C291" s="63">
        <v>282.77569999999997</v>
      </c>
      <c r="D291" s="63">
        <v>283.29489999999998</v>
      </c>
      <c r="E291" s="63">
        <v>6763802</v>
      </c>
      <c r="F291" s="63" t="s">
        <v>1984</v>
      </c>
      <c r="G291" s="25">
        <f t="shared" si="0"/>
        <v>7.8240024793951868E-3</v>
      </c>
      <c r="I291" s="64">
        <v>-4.2500000000000003E-2</v>
      </c>
      <c r="J291">
        <v>4</v>
      </c>
      <c r="L291" s="64">
        <v>-4.4999999999999998E-2</v>
      </c>
      <c r="M291" s="1">
        <f t="shared" si="1"/>
        <v>0.93775011001270214</v>
      </c>
      <c r="O291" s="36" t="s">
        <v>71</v>
      </c>
      <c r="P291" s="67">
        <f>($K$278*-1)+$K$276</f>
        <v>-1.773191140786053E-2</v>
      </c>
      <c r="Q291" s="1">
        <v>0</v>
      </c>
    </row>
    <row r="292" spans="1:17" ht="15">
      <c r="A292" s="63">
        <v>280.1798</v>
      </c>
      <c r="B292" s="63">
        <v>281.40780000000001</v>
      </c>
      <c r="C292" s="63">
        <v>273.62009999999998</v>
      </c>
      <c r="D292" s="63">
        <v>275.77670000000001</v>
      </c>
      <c r="E292" s="63">
        <v>9804132</v>
      </c>
      <c r="F292" s="63" t="s">
        <v>1983</v>
      </c>
      <c r="G292" s="25">
        <f t="shared" si="0"/>
        <v>1.5966178433493461E-2</v>
      </c>
      <c r="I292" s="64">
        <v>-0.04</v>
      </c>
      <c r="J292">
        <v>4</v>
      </c>
      <c r="L292" s="64">
        <v>-4.2500000000000003E-2</v>
      </c>
      <c r="M292" s="1">
        <f t="shared" si="1"/>
        <v>1.3171171698191486</v>
      </c>
      <c r="P292" s="67">
        <f>($K$278*-1)+$K$276</f>
        <v>-1.773191140786053E-2</v>
      </c>
      <c r="Q292" s="1">
        <v>15</v>
      </c>
    </row>
    <row r="293" spans="1:17" ht="15">
      <c r="A293" s="63">
        <v>278.59230000000002</v>
      </c>
      <c r="B293" s="63">
        <v>282.43619999999999</v>
      </c>
      <c r="C293" s="63">
        <v>276.62529999999998</v>
      </c>
      <c r="D293" s="63">
        <v>276.62529999999998</v>
      </c>
      <c r="E293" s="63">
        <v>5504720</v>
      </c>
      <c r="F293" s="63" t="s">
        <v>1982</v>
      </c>
      <c r="G293" s="25">
        <f t="shared" si="0"/>
        <v>7.1107017326326183E-3</v>
      </c>
      <c r="I293" s="64">
        <v>-3.7499999999999999E-2</v>
      </c>
      <c r="J293">
        <v>9</v>
      </c>
      <c r="L293" s="64">
        <v>-0.04</v>
      </c>
      <c r="M293" s="1">
        <f t="shared" si="1"/>
        <v>1.8146041102873645</v>
      </c>
      <c r="O293" s="1" t="s">
        <v>72</v>
      </c>
      <c r="P293" s="67">
        <f>($K$278*1)+$K$276</f>
        <v>1.826333210699058E-2</v>
      </c>
      <c r="Q293" s="1">
        <v>0</v>
      </c>
    </row>
    <row r="294" spans="1:17" ht="15">
      <c r="A294" s="63">
        <v>278.95170000000002</v>
      </c>
      <c r="B294" s="63">
        <v>281.77730000000003</v>
      </c>
      <c r="C294" s="63">
        <v>276.85500000000002</v>
      </c>
      <c r="D294" s="63">
        <v>277.06470000000002</v>
      </c>
      <c r="E294" s="63">
        <v>5245412</v>
      </c>
      <c r="F294" s="63" t="s">
        <v>1981</v>
      </c>
      <c r="G294" s="25">
        <f t="shared" si="0"/>
        <v>6.8106835695778134E-3</v>
      </c>
      <c r="I294" s="64">
        <v>-3.5000000000000003E-2</v>
      </c>
      <c r="J294">
        <v>14</v>
      </c>
      <c r="L294" s="64">
        <v>-3.7499999999999999E-2</v>
      </c>
      <c r="M294" s="1">
        <f t="shared" si="1"/>
        <v>2.4522207384491521</v>
      </c>
      <c r="P294" s="67">
        <f>($K$278*1)+$K$276</f>
        <v>1.826333210699058E-2</v>
      </c>
      <c r="Q294" s="1">
        <v>15</v>
      </c>
    </row>
    <row r="295" spans="1:17" ht="15">
      <c r="A295" s="63">
        <v>278.29270000000002</v>
      </c>
      <c r="B295" s="63">
        <v>280.06</v>
      </c>
      <c r="C295" s="63">
        <v>275.50709999999998</v>
      </c>
      <c r="D295" s="63">
        <v>279.58069999999998</v>
      </c>
      <c r="E295" s="63">
        <v>5882123</v>
      </c>
      <c r="F295" s="63" t="s">
        <v>1980</v>
      </c>
      <c r="G295" s="25">
        <f t="shared" si="0"/>
        <v>-4.6068988309992953E-3</v>
      </c>
      <c r="I295" s="64">
        <v>-3.2500000000000001E-2</v>
      </c>
      <c r="J295">
        <v>12</v>
      </c>
      <c r="L295" s="64">
        <v>-3.5000000000000003E-2</v>
      </c>
      <c r="M295" s="1">
        <f t="shared" si="1"/>
        <v>3.2505542848396622</v>
      </c>
      <c r="O295" s="37" t="s">
        <v>73</v>
      </c>
      <c r="P295" s="67">
        <f>($K$278*2)+$K$276</f>
        <v>3.6260953864416134E-2</v>
      </c>
      <c r="Q295" s="1">
        <v>0</v>
      </c>
    </row>
    <row r="296" spans="1:17" ht="15">
      <c r="A296" s="63">
        <v>280.30959999999999</v>
      </c>
      <c r="B296" s="63">
        <v>282.28649999999999</v>
      </c>
      <c r="C296" s="63">
        <v>275.6454</v>
      </c>
      <c r="D296" s="63">
        <v>276.93490000000003</v>
      </c>
      <c r="E296" s="63">
        <v>4484727</v>
      </c>
      <c r="F296" s="63" t="s">
        <v>1979</v>
      </c>
      <c r="G296" s="25">
        <f t="shared" si="0"/>
        <v>1.2185896396589735E-2</v>
      </c>
      <c r="I296" s="64">
        <v>-0.03</v>
      </c>
      <c r="J296">
        <v>21</v>
      </c>
      <c r="L296" s="64">
        <v>-3.2500000000000001E-2</v>
      </c>
      <c r="M296" s="1">
        <f t="shared" si="1"/>
        <v>4.2264474854288698</v>
      </c>
      <c r="P296" s="67">
        <f>($K$278*2)+$K$276</f>
        <v>3.6260953864416134E-2</v>
      </c>
      <c r="Q296" s="1">
        <v>10</v>
      </c>
    </row>
    <row r="297" spans="1:17" ht="15">
      <c r="A297" s="63">
        <v>278.96170000000001</v>
      </c>
      <c r="B297" s="63">
        <v>279.45089999999999</v>
      </c>
      <c r="C297" s="63">
        <v>272.25220000000002</v>
      </c>
      <c r="D297" s="63">
        <v>274.5686</v>
      </c>
      <c r="E297" s="63">
        <v>6976916</v>
      </c>
      <c r="F297" s="63" t="s">
        <v>1978</v>
      </c>
      <c r="G297" s="25">
        <f t="shared" si="0"/>
        <v>1.6000008740985061E-2</v>
      </c>
      <c r="I297" s="64">
        <v>-2.75E-2</v>
      </c>
      <c r="J297">
        <v>16</v>
      </c>
      <c r="L297" s="64">
        <v>-0.03</v>
      </c>
      <c r="M297" s="1">
        <f t="shared" si="1"/>
        <v>5.3903097544386398</v>
      </c>
      <c r="O297" s="37" t="s">
        <v>74</v>
      </c>
      <c r="P297" s="67">
        <f>($K$278*3)+$K$276</f>
        <v>5.4258575621841686E-2</v>
      </c>
      <c r="Q297" s="1">
        <v>0</v>
      </c>
    </row>
    <row r="298" spans="1:17" ht="15">
      <c r="A298" s="63">
        <v>271.31369999999998</v>
      </c>
      <c r="B298" s="63">
        <v>282.11169999999998</v>
      </c>
      <c r="C298" s="63">
        <v>269.32679999999999</v>
      </c>
      <c r="D298" s="63">
        <v>281.60750000000002</v>
      </c>
      <c r="E298" s="63">
        <v>9494522</v>
      </c>
      <c r="F298" s="63" t="s">
        <v>1977</v>
      </c>
      <c r="G298" s="25">
        <f t="shared" si="0"/>
        <v>-3.6553713945828958E-2</v>
      </c>
      <c r="I298" s="64">
        <v>-2.5000000000000001E-2</v>
      </c>
      <c r="J298">
        <v>36</v>
      </c>
      <c r="L298" s="64">
        <v>-2.75E-2</v>
      </c>
      <c r="M298" s="1">
        <f t="shared" si="1"/>
        <v>6.7432950086288024</v>
      </c>
      <c r="O298" s="37"/>
      <c r="P298" s="67">
        <f>($K$278*3)+$K$276</f>
        <v>5.4258575621841686E-2</v>
      </c>
      <c r="Q298" s="1">
        <v>5</v>
      </c>
    </row>
    <row r="299" spans="1:17" ht="15">
      <c r="A299" s="63">
        <v>284.13350000000003</v>
      </c>
      <c r="B299" s="63">
        <v>285.47820000000002</v>
      </c>
      <c r="C299" s="63">
        <v>278.65219999999999</v>
      </c>
      <c r="D299" s="63">
        <v>281.40780000000001</v>
      </c>
      <c r="E299" s="63">
        <v>7463894</v>
      </c>
      <c r="F299" s="63" t="s">
        <v>1976</v>
      </c>
      <c r="G299" s="25">
        <f t="shared" si="0"/>
        <v>9.6859433178468901E-3</v>
      </c>
      <c r="I299" s="64">
        <v>-2.2499999999999999E-2</v>
      </c>
      <c r="J299">
        <v>26</v>
      </c>
      <c r="L299" s="64">
        <v>-2.5000000000000001E-2</v>
      </c>
      <c r="M299" s="1">
        <f t="shared" si="1"/>
        <v>8.2746720148039561</v>
      </c>
    </row>
    <row r="300" spans="1:17" ht="15">
      <c r="A300" s="63">
        <v>276.61540000000002</v>
      </c>
      <c r="B300" s="63">
        <v>280.01</v>
      </c>
      <c r="C300" s="63">
        <v>271.57330000000002</v>
      </c>
      <c r="D300" s="63">
        <v>273.29059999999998</v>
      </c>
      <c r="E300" s="63">
        <v>8313375</v>
      </c>
      <c r="F300" s="63" t="s">
        <v>1975</v>
      </c>
      <c r="G300" s="25">
        <f t="shared" si="0"/>
        <v>1.2165804458697194E-2</v>
      </c>
      <c r="I300" s="64">
        <v>-0.02</v>
      </c>
      <c r="J300">
        <v>25</v>
      </c>
      <c r="L300" s="64">
        <v>-2.2499999999999999E-2</v>
      </c>
      <c r="M300" s="1">
        <f t="shared" si="1"/>
        <v>9.9597768685957284</v>
      </c>
    </row>
    <row r="301" spans="1:17" ht="15">
      <c r="A301" s="63">
        <v>272.47190000000001</v>
      </c>
      <c r="B301" s="63">
        <v>277.9083</v>
      </c>
      <c r="C301" s="63">
        <v>270.29629999999997</v>
      </c>
      <c r="D301" s="63">
        <v>276.53550000000001</v>
      </c>
      <c r="E301" s="63">
        <v>10040220</v>
      </c>
      <c r="F301" s="63" t="s">
        <v>1974</v>
      </c>
      <c r="G301" s="25">
        <f t="shared" si="0"/>
        <v>-1.4694677536880474E-2</v>
      </c>
      <c r="I301" s="64">
        <v>-1.7500000000000002E-2</v>
      </c>
      <c r="J301">
        <v>38</v>
      </c>
      <c r="L301" s="64">
        <v>-0.02</v>
      </c>
      <c r="M301" s="1">
        <f t="shared" si="1"/>
        <v>11.758952090123916</v>
      </c>
    </row>
    <row r="302" spans="1:17" ht="15">
      <c r="A302" s="63">
        <v>282.44619999999998</v>
      </c>
      <c r="B302" s="63">
        <v>287.85669999999999</v>
      </c>
      <c r="C302" s="63">
        <v>274.73829999999998</v>
      </c>
      <c r="D302" s="63">
        <v>282.73570000000001</v>
      </c>
      <c r="E302" s="63">
        <v>8248082</v>
      </c>
      <c r="F302" s="63" t="s">
        <v>1973</v>
      </c>
      <c r="G302" s="25">
        <f t="shared" si="0"/>
        <v>-1.0239244637306744E-3</v>
      </c>
      <c r="I302" s="64">
        <v>-1.4999999999999999E-2</v>
      </c>
      <c r="J302">
        <v>47</v>
      </c>
      <c r="L302" s="64">
        <v>-1.7500000000000002E-2</v>
      </c>
      <c r="M302" s="1">
        <f t="shared" si="1"/>
        <v>13.617827372702635</v>
      </c>
    </row>
    <row r="303" spans="1:17" ht="15">
      <c r="A303" s="63">
        <v>285.60120000000001</v>
      </c>
      <c r="B303" s="63">
        <v>297.61239999999998</v>
      </c>
      <c r="C303" s="63">
        <v>284.38589999999999</v>
      </c>
      <c r="D303" s="63">
        <v>287.77780000000001</v>
      </c>
      <c r="E303" s="63">
        <v>10396805</v>
      </c>
      <c r="F303" s="63" t="s">
        <v>1972</v>
      </c>
      <c r="G303" s="25">
        <f t="shared" si="0"/>
        <v>-7.563474319422836E-3</v>
      </c>
      <c r="I303" s="64">
        <v>-1.2500000000000001E-2</v>
      </c>
      <c r="J303">
        <v>61</v>
      </c>
      <c r="L303" s="64">
        <v>-1.4999999999999999E-2</v>
      </c>
      <c r="M303" s="1">
        <f t="shared" si="1"/>
        <v>15.46917739193519</v>
      </c>
    </row>
    <row r="304" spans="1:17" ht="15">
      <c r="A304" s="63">
        <v>291.512</v>
      </c>
      <c r="B304" s="63">
        <v>292.22430000000003</v>
      </c>
      <c r="C304" s="63">
        <v>285.17290000000003</v>
      </c>
      <c r="D304" s="63">
        <v>286.76940000000002</v>
      </c>
      <c r="E304" s="63">
        <v>6612561</v>
      </c>
      <c r="F304" s="63" t="s">
        <v>1971</v>
      </c>
      <c r="G304" s="25">
        <f t="shared" si="0"/>
        <v>1.6538026721121479E-2</v>
      </c>
      <c r="I304" s="64">
        <v>-0.01</v>
      </c>
      <c r="J304">
        <v>84</v>
      </c>
      <c r="L304" s="64">
        <v>-1.2500000000000001E-2</v>
      </c>
      <c r="M304" s="1">
        <f t="shared" si="1"/>
        <v>17.236409624188628</v>
      </c>
    </row>
    <row r="305" spans="1:30" ht="15">
      <c r="A305" s="63">
        <v>286.88920000000002</v>
      </c>
      <c r="B305" s="63">
        <v>291.1925</v>
      </c>
      <c r="C305" s="63">
        <v>281.79219999999998</v>
      </c>
      <c r="D305" s="63">
        <v>289.54500000000002</v>
      </c>
      <c r="E305" s="63">
        <v>9096260</v>
      </c>
      <c r="F305" s="63" t="s">
        <v>1970</v>
      </c>
      <c r="G305" s="25">
        <f t="shared" si="0"/>
        <v>-9.1723220915574943E-3</v>
      </c>
      <c r="I305" s="64">
        <v>-7.4999999999999997E-3</v>
      </c>
      <c r="J305">
        <v>96</v>
      </c>
      <c r="L305" s="64">
        <v>-0.01</v>
      </c>
      <c r="M305" s="1">
        <f t="shared" si="1"/>
        <v>18.838511517910241</v>
      </c>
    </row>
    <row r="306" spans="1:30" ht="15">
      <c r="A306" s="63">
        <v>292.60019999999997</v>
      </c>
      <c r="B306" s="63">
        <v>302.59449999999998</v>
      </c>
      <c r="C306" s="63">
        <v>290.60340000000002</v>
      </c>
      <c r="D306" s="63">
        <v>300.52780000000001</v>
      </c>
      <c r="E306" s="63">
        <v>6298208</v>
      </c>
      <c r="F306" s="63" t="s">
        <v>1969</v>
      </c>
      <c r="G306" s="25">
        <f t="shared" si="0"/>
        <v>-2.6378924013019889E-2</v>
      </c>
      <c r="I306" s="64">
        <v>-5.0000000000000001E-3</v>
      </c>
      <c r="J306">
        <v>99</v>
      </c>
      <c r="L306" s="64">
        <v>-7.4999999999999997E-3</v>
      </c>
      <c r="M306" s="1">
        <f t="shared" si="1"/>
        <v>20.196055481341798</v>
      </c>
    </row>
    <row r="307" spans="1:30" ht="15">
      <c r="A307" s="63">
        <v>297.3827</v>
      </c>
      <c r="B307" s="63">
        <v>301.50619999999998</v>
      </c>
      <c r="C307" s="63">
        <v>291.69529999999997</v>
      </c>
      <c r="D307" s="63">
        <v>295.4907</v>
      </c>
      <c r="E307" s="63">
        <v>10863109</v>
      </c>
      <c r="F307" s="63" t="s">
        <v>1968</v>
      </c>
      <c r="G307" s="25">
        <f t="shared" si="0"/>
        <v>6.402908788669226E-3</v>
      </c>
      <c r="I307" s="64">
        <v>-2.5000000000000001E-3</v>
      </c>
      <c r="J307">
        <v>110</v>
      </c>
      <c r="L307" s="64">
        <v>-5.0000000000000001E-3</v>
      </c>
      <c r="M307" s="1">
        <f t="shared" si="1"/>
        <v>21.237662592050484</v>
      </c>
    </row>
    <row r="308" spans="1:30" ht="15">
      <c r="A308" s="63">
        <v>294.43740000000003</v>
      </c>
      <c r="B308" s="63">
        <v>304.44159999999999</v>
      </c>
      <c r="C308" s="63">
        <v>292.21089999999998</v>
      </c>
      <c r="D308" s="63">
        <v>295.87509999999997</v>
      </c>
      <c r="E308" s="63">
        <v>16691436</v>
      </c>
      <c r="F308" s="63" t="s">
        <v>1967</v>
      </c>
      <c r="G308" s="25">
        <f t="shared" si="0"/>
        <v>-4.8591449567738643E-3</v>
      </c>
      <c r="I308" s="64">
        <v>0</v>
      </c>
      <c r="J308">
        <v>117</v>
      </c>
      <c r="L308" s="64">
        <v>-2.5000000000000001E-3</v>
      </c>
      <c r="M308" s="1">
        <f t="shared" si="1"/>
        <v>21.906201094053607</v>
      </c>
    </row>
    <row r="309" spans="1:30" ht="15">
      <c r="A309" s="63">
        <v>306.84789999999998</v>
      </c>
      <c r="B309" s="63">
        <v>313.2079</v>
      </c>
      <c r="C309" s="63">
        <v>305.9692</v>
      </c>
      <c r="D309" s="63">
        <v>312.16950000000003</v>
      </c>
      <c r="E309" s="63">
        <v>12638452</v>
      </c>
      <c r="F309" s="63" t="s">
        <v>1966</v>
      </c>
      <c r="G309" s="25">
        <f t="shared" si="0"/>
        <v>-1.7047149064851164E-2</v>
      </c>
      <c r="I309" s="64">
        <v>2.5000000000000001E-3</v>
      </c>
      <c r="J309">
        <v>141</v>
      </c>
      <c r="L309" s="64">
        <v>0</v>
      </c>
      <c r="M309" s="1">
        <f t="shared" si="1"/>
        <v>22.163973130780697</v>
      </c>
    </row>
    <row r="310" spans="1:30" ht="15">
      <c r="A310" s="63">
        <v>305.40010000000001</v>
      </c>
      <c r="B310" s="63">
        <v>307.93610000000001</v>
      </c>
      <c r="C310" s="63">
        <v>300.14839999999998</v>
      </c>
      <c r="D310" s="63">
        <v>305.76960000000003</v>
      </c>
      <c r="E310" s="63">
        <v>7360070</v>
      </c>
      <c r="F310" s="63" t="s">
        <v>1965</v>
      </c>
      <c r="G310" s="25">
        <f t="shared" si="0"/>
        <v>-1.2084262137244117E-3</v>
      </c>
      <c r="I310" s="64">
        <v>5.0000000000000001E-3</v>
      </c>
      <c r="J310">
        <v>116</v>
      </c>
      <c r="L310" s="64">
        <v>2.5000000000000001E-3</v>
      </c>
      <c r="M310" s="1">
        <f t="shared" si="1"/>
        <v>21.996235032768517</v>
      </c>
    </row>
    <row r="311" spans="1:30" ht="15">
      <c r="A311" s="63">
        <v>307.83629999999999</v>
      </c>
      <c r="B311" s="63">
        <v>312.23939999999999</v>
      </c>
      <c r="C311" s="63">
        <v>303.04880000000003</v>
      </c>
      <c r="D311" s="63">
        <v>311.0213</v>
      </c>
      <c r="E311" s="63">
        <v>6652863</v>
      </c>
      <c r="F311" s="63" t="s">
        <v>1964</v>
      </c>
      <c r="G311" s="25">
        <f t="shared" si="0"/>
        <v>-1.0240456200266701E-2</v>
      </c>
      <c r="I311" s="64">
        <v>7.4999999999999997E-3</v>
      </c>
      <c r="J311">
        <v>124</v>
      </c>
      <c r="L311" s="64">
        <v>5.0000000000000001E-3</v>
      </c>
      <c r="M311" s="1">
        <f t="shared" si="1"/>
        <v>21.412593860783424</v>
      </c>
    </row>
    <row r="312" spans="1:30" ht="15">
      <c r="A312" s="63">
        <v>309.31400000000002</v>
      </c>
      <c r="B312" s="63">
        <v>318.46960000000001</v>
      </c>
      <c r="C312" s="63">
        <v>306.37860000000001</v>
      </c>
      <c r="D312" s="63">
        <v>318.46960000000001</v>
      </c>
      <c r="E312" s="63">
        <v>7353214</v>
      </c>
      <c r="F312" s="63" t="s">
        <v>1963</v>
      </c>
      <c r="G312" s="25">
        <f t="shared" si="0"/>
        <v>-2.8748740853130061E-2</v>
      </c>
      <c r="I312" s="64">
        <v>0.01</v>
      </c>
      <c r="J312">
        <v>92</v>
      </c>
      <c r="L312" s="64">
        <v>7.4999999999999997E-3</v>
      </c>
      <c r="M312" s="1">
        <f t="shared" si="1"/>
        <v>20.446096181401533</v>
      </c>
    </row>
    <row r="313" spans="1:30" ht="15">
      <c r="A313" s="63">
        <v>317.93040000000002</v>
      </c>
      <c r="B313" s="63">
        <v>323.94099999999997</v>
      </c>
      <c r="C313" s="63">
        <v>317.71080000000001</v>
      </c>
      <c r="D313" s="63">
        <v>321.73450000000003</v>
      </c>
      <c r="E313" s="63">
        <v>6393050</v>
      </c>
      <c r="F313" s="63" t="s">
        <v>1962</v>
      </c>
      <c r="G313" s="25">
        <f t="shared" ref="G313:G376" si="2">A313/D313-1</f>
        <v>-1.1823724219814813E-2</v>
      </c>
      <c r="I313" s="64">
        <v>1.2500000000000001E-2</v>
      </c>
      <c r="J313">
        <v>84</v>
      </c>
      <c r="L313" s="64">
        <v>0.01</v>
      </c>
      <c r="M313" s="1">
        <f t="shared" si="1"/>
        <v>19.150129308717094</v>
      </c>
    </row>
    <row r="314" spans="1:30" ht="15">
      <c r="A314" s="63">
        <v>324.02089999999998</v>
      </c>
      <c r="B314" s="63">
        <v>329.22269999999997</v>
      </c>
      <c r="C314" s="63">
        <v>322.36349999999999</v>
      </c>
      <c r="D314" s="63">
        <v>329.22269999999997</v>
      </c>
      <c r="E314" s="63">
        <v>5012019</v>
      </c>
      <c r="F314" s="63" t="s">
        <v>1961</v>
      </c>
      <c r="G314" s="25">
        <f t="shared" si="2"/>
        <v>-1.5800247066803053E-2</v>
      </c>
      <c r="I314" s="64">
        <v>1.4999999999999999E-2</v>
      </c>
      <c r="J314">
        <v>68</v>
      </c>
      <c r="L314" s="64">
        <v>1.2500000000000001E-2</v>
      </c>
      <c r="M314" s="1">
        <f t="shared" si="1"/>
        <v>17.593539234071493</v>
      </c>
    </row>
    <row r="315" spans="1:30" ht="15">
      <c r="A315" s="63">
        <v>328.44389999999999</v>
      </c>
      <c r="B315" s="63">
        <v>328.64359999999999</v>
      </c>
      <c r="C315" s="63">
        <v>322.49329999999998</v>
      </c>
      <c r="D315" s="63">
        <v>328.0745</v>
      </c>
      <c r="E315" s="63">
        <v>5262109</v>
      </c>
      <c r="F315" s="63" t="s">
        <v>1960</v>
      </c>
      <c r="G315" s="25">
        <f t="shared" si="2"/>
        <v>1.1259637673759482E-3</v>
      </c>
      <c r="I315" s="64">
        <v>1.7500000000000002E-2</v>
      </c>
      <c r="J315">
        <v>58</v>
      </c>
      <c r="L315" s="64">
        <v>1.4999999999999999E-2</v>
      </c>
      <c r="M315" s="1">
        <f t="shared" si="1"/>
        <v>15.854586086535999</v>
      </c>
    </row>
    <row r="316" spans="1:30" ht="15">
      <c r="A316" s="63">
        <v>326.02769999999998</v>
      </c>
      <c r="B316" s="63">
        <v>327.9846</v>
      </c>
      <c r="C316" s="63">
        <v>322.1139</v>
      </c>
      <c r="D316" s="63">
        <v>327.5154</v>
      </c>
      <c r="E316" s="63">
        <v>5879716</v>
      </c>
      <c r="F316" s="63" t="s">
        <v>1959</v>
      </c>
      <c r="G316" s="25">
        <f t="shared" si="2"/>
        <v>-4.5423818238776725E-3</v>
      </c>
      <c r="I316" s="64">
        <v>0.02</v>
      </c>
      <c r="J316">
        <v>47</v>
      </c>
      <c r="L316" s="64">
        <v>1.7500000000000002E-2</v>
      </c>
      <c r="M316" s="1">
        <f t="shared" si="1"/>
        <v>14.01447375757825</v>
      </c>
    </row>
    <row r="317" spans="1:30" ht="15">
      <c r="A317" s="63">
        <v>329.33249999999998</v>
      </c>
      <c r="B317" s="63">
        <v>329.82900000000001</v>
      </c>
      <c r="C317" s="63">
        <v>322.71289999999999</v>
      </c>
      <c r="D317" s="63">
        <v>325.68830000000003</v>
      </c>
      <c r="E317" s="63">
        <v>4312066</v>
      </c>
      <c r="F317" s="63" t="s">
        <v>1958</v>
      </c>
      <c r="G317" s="25">
        <f t="shared" si="2"/>
        <v>1.1189226017636944E-2</v>
      </c>
      <c r="I317" s="64">
        <v>2.2499999999999999E-2</v>
      </c>
      <c r="J317">
        <v>49</v>
      </c>
      <c r="L317" s="64">
        <v>0.02</v>
      </c>
      <c r="M317" s="1">
        <f t="shared" ref="M317:M333" si="3">_xlfn.NORM.DIST(L317,$K$276,$K$278,FALSE)</f>
        <v>12.151191702154648</v>
      </c>
    </row>
    <row r="318" spans="1:30" ht="15">
      <c r="A318" s="63">
        <v>325.60840000000002</v>
      </c>
      <c r="B318" s="63">
        <v>326.48700000000002</v>
      </c>
      <c r="C318" s="63">
        <v>316.47269999999997</v>
      </c>
      <c r="D318" s="63">
        <v>319.0487</v>
      </c>
      <c r="E318" s="63">
        <v>5643373</v>
      </c>
      <c r="F318" s="63" t="s">
        <v>1957</v>
      </c>
      <c r="G318" s="25">
        <f t="shared" si="2"/>
        <v>2.0560184072212273E-2</v>
      </c>
      <c r="I318" s="64">
        <v>2.5000000000000001E-2</v>
      </c>
      <c r="J318">
        <v>29</v>
      </c>
      <c r="L318" s="64">
        <v>2.2499999999999999E-2</v>
      </c>
      <c r="M318" s="1">
        <f t="shared" si="3"/>
        <v>10.334301837688805</v>
      </c>
      <c r="AD318" s="2" t="s">
        <v>66</v>
      </c>
    </row>
    <row r="319" spans="1:30" ht="15">
      <c r="A319" s="63">
        <v>323.89109999999999</v>
      </c>
      <c r="B319" s="63">
        <v>325.92790000000002</v>
      </c>
      <c r="C319" s="63">
        <v>320.75599999999997</v>
      </c>
      <c r="D319" s="63">
        <v>323.51170000000002</v>
      </c>
      <c r="E319" s="63">
        <v>5455939</v>
      </c>
      <c r="F319" s="63" t="s">
        <v>1956</v>
      </c>
      <c r="G319" s="25">
        <f t="shared" si="2"/>
        <v>1.1727551121025748E-3</v>
      </c>
      <c r="I319" s="64">
        <v>2.75E-2</v>
      </c>
      <c r="J319">
        <v>21</v>
      </c>
      <c r="L319" s="64">
        <v>2.5000000000000001E-2</v>
      </c>
      <c r="M319" s="1">
        <f t="shared" si="3"/>
        <v>8.6211182701814106</v>
      </c>
      <c r="AD319" s="1" t="s">
        <v>67</v>
      </c>
    </row>
    <row r="320" spans="1:30" ht="15">
      <c r="A320" s="63">
        <v>326.68669999999997</v>
      </c>
      <c r="B320" s="63">
        <v>331.22949999999997</v>
      </c>
      <c r="C320" s="63">
        <v>326.13749999999999</v>
      </c>
      <c r="D320" s="63">
        <v>327.40559999999999</v>
      </c>
      <c r="E320" s="63">
        <v>5981915</v>
      </c>
      <c r="F320" s="63" t="s">
        <v>1955</v>
      </c>
      <c r="G320" s="25">
        <f t="shared" si="2"/>
        <v>-2.195747415438265E-3</v>
      </c>
      <c r="I320" s="64">
        <v>0.03</v>
      </c>
      <c r="J320">
        <v>19</v>
      </c>
      <c r="L320" s="64">
        <v>2.75E-2</v>
      </c>
      <c r="M320" s="1">
        <f t="shared" si="3"/>
        <v>7.0545002918535262</v>
      </c>
    </row>
    <row r="321" spans="1:13" ht="15">
      <c r="A321" s="63">
        <v>325.31880000000001</v>
      </c>
      <c r="B321" s="63">
        <v>333.29629999999997</v>
      </c>
      <c r="C321" s="63">
        <v>323.21210000000002</v>
      </c>
      <c r="D321" s="63">
        <v>331.47919999999999</v>
      </c>
      <c r="E321" s="63">
        <v>7626090</v>
      </c>
      <c r="F321" s="63" t="s">
        <v>1954</v>
      </c>
      <c r="G321" s="25">
        <f t="shared" si="2"/>
        <v>-1.8584574839084822E-2</v>
      </c>
      <c r="I321" s="64">
        <v>3.2500000000000001E-2</v>
      </c>
      <c r="J321">
        <v>14</v>
      </c>
      <c r="L321" s="64">
        <v>0.03</v>
      </c>
      <c r="M321" s="1">
        <f t="shared" si="3"/>
        <v>5.6622507775020861</v>
      </c>
    </row>
    <row r="322" spans="1:13" ht="15">
      <c r="A322" s="63">
        <v>330.291</v>
      </c>
      <c r="B322" s="63">
        <v>336.94560000000001</v>
      </c>
      <c r="C322" s="63">
        <v>328.58370000000002</v>
      </c>
      <c r="D322" s="63">
        <v>336.94560000000001</v>
      </c>
      <c r="E322" s="63">
        <v>13240635</v>
      </c>
      <c r="F322" s="63" t="s">
        <v>1953</v>
      </c>
      <c r="G322" s="25">
        <f t="shared" si="2"/>
        <v>-1.9749775631437316E-2</v>
      </c>
      <c r="I322" s="64">
        <v>3.5000000000000003E-2</v>
      </c>
      <c r="J322">
        <v>12</v>
      </c>
      <c r="L322" s="64">
        <v>3.2500000000000001E-2</v>
      </c>
      <c r="M322" s="1">
        <f t="shared" si="3"/>
        <v>4.4579186190717923</v>
      </c>
    </row>
    <row r="323" spans="1:13" ht="15">
      <c r="A323" s="63">
        <v>347.38420000000002</v>
      </c>
      <c r="B323" s="63">
        <v>347.49400000000003</v>
      </c>
      <c r="C323" s="63">
        <v>338.34089999999998</v>
      </c>
      <c r="D323" s="63">
        <v>345.17759999999998</v>
      </c>
      <c r="E323" s="63">
        <v>4521009</v>
      </c>
      <c r="F323" s="63" t="s">
        <v>1952</v>
      </c>
      <c r="G323" s="25">
        <f t="shared" si="2"/>
        <v>6.3926512033227745E-3</v>
      </c>
      <c r="I323" s="64">
        <v>3.7499999999999999E-2</v>
      </c>
      <c r="J323">
        <v>5</v>
      </c>
      <c r="L323" s="64">
        <v>3.5000000000000003E-2</v>
      </c>
      <c r="M323" s="1">
        <f t="shared" si="3"/>
        <v>3.4426697504437955</v>
      </c>
    </row>
    <row r="324" spans="1:13" ht="15">
      <c r="A324" s="63">
        <v>343.6001</v>
      </c>
      <c r="B324" s="63">
        <v>346.38569999999999</v>
      </c>
      <c r="C324" s="63">
        <v>338.14089999999999</v>
      </c>
      <c r="D324" s="63">
        <v>345.07780000000002</v>
      </c>
      <c r="E324" s="63">
        <v>4965602</v>
      </c>
      <c r="F324" s="63" t="s">
        <v>1951</v>
      </c>
      <c r="G324" s="25">
        <f t="shared" si="2"/>
        <v>-4.2822227335401752E-3</v>
      </c>
      <c r="I324" s="64">
        <v>0.04</v>
      </c>
      <c r="J324">
        <v>9</v>
      </c>
      <c r="L324" s="64">
        <v>3.7499999999999999E-2</v>
      </c>
      <c r="M324" s="1">
        <f t="shared" si="3"/>
        <v>2.6078270315957979</v>
      </c>
    </row>
    <row r="325" spans="1:13" ht="15">
      <c r="A325" s="63">
        <v>338.70780000000002</v>
      </c>
      <c r="B325" s="63">
        <v>340.92430000000002</v>
      </c>
      <c r="C325" s="63">
        <v>330.74040000000002</v>
      </c>
      <c r="D325" s="63">
        <v>335.44290000000001</v>
      </c>
      <c r="E325" s="63">
        <v>4549415</v>
      </c>
      <c r="F325" s="63" t="s">
        <v>1950</v>
      </c>
      <c r="G325" s="25">
        <f t="shared" si="2"/>
        <v>9.7331021166344733E-3</v>
      </c>
      <c r="I325" s="64">
        <v>4.2500000000000003E-2</v>
      </c>
      <c r="J325">
        <v>1</v>
      </c>
      <c r="L325" s="64">
        <v>0.04</v>
      </c>
      <c r="M325" s="1">
        <f t="shared" si="3"/>
        <v>1.9376815028605245</v>
      </c>
    </row>
    <row r="326" spans="1:13" ht="15">
      <c r="A326" s="63">
        <v>341.16390000000001</v>
      </c>
      <c r="B326" s="63">
        <v>348.95170000000002</v>
      </c>
      <c r="C326" s="63">
        <v>339.56639999999999</v>
      </c>
      <c r="D326" s="63">
        <v>347.45409999999998</v>
      </c>
      <c r="E326" s="63">
        <v>5781541</v>
      </c>
      <c r="F326" s="63" t="s">
        <v>1949</v>
      </c>
      <c r="G326" s="25">
        <f t="shared" si="2"/>
        <v>-1.810368621351699E-2</v>
      </c>
      <c r="I326" s="64">
        <v>4.4999999999999998E-2</v>
      </c>
      <c r="J326">
        <v>4</v>
      </c>
      <c r="L326" s="64">
        <v>4.2500000000000003E-2</v>
      </c>
      <c r="M326" s="1">
        <f t="shared" si="3"/>
        <v>1.4122324808554865</v>
      </c>
    </row>
    <row r="327" spans="1:13" ht="15">
      <c r="A327" s="63">
        <v>343.03100000000001</v>
      </c>
      <c r="B327" s="63">
        <v>347.45409999999998</v>
      </c>
      <c r="C327" s="63">
        <v>339.46660000000003</v>
      </c>
      <c r="D327" s="63">
        <v>340.36520000000002</v>
      </c>
      <c r="E327" s="63">
        <v>7591129</v>
      </c>
      <c r="F327" s="63" t="s">
        <v>1948</v>
      </c>
      <c r="G327" s="25">
        <f t="shared" si="2"/>
        <v>7.8321755573131924E-3</v>
      </c>
      <c r="I327" s="64">
        <v>4.7500000000000001E-2</v>
      </c>
      <c r="J327">
        <v>3</v>
      </c>
      <c r="L327" s="64">
        <v>4.4999999999999998E-2</v>
      </c>
      <c r="M327" s="1">
        <f t="shared" si="3"/>
        <v>1.0096019713552609</v>
      </c>
    </row>
    <row r="328" spans="1:13" ht="15">
      <c r="A328" s="63">
        <v>353.44459999999998</v>
      </c>
      <c r="B328" s="63">
        <v>359.61489999999998</v>
      </c>
      <c r="C328" s="63">
        <v>350.9486</v>
      </c>
      <c r="D328" s="63">
        <v>358.19720000000001</v>
      </c>
      <c r="E328" s="63">
        <v>6266724</v>
      </c>
      <c r="F328" s="63" t="s">
        <v>1947</v>
      </c>
      <c r="G328" s="25">
        <f t="shared" si="2"/>
        <v>-1.3268110415156853E-2</v>
      </c>
      <c r="I328" s="64">
        <v>0.05</v>
      </c>
      <c r="J328">
        <v>2</v>
      </c>
      <c r="L328" s="64">
        <v>4.7500000000000001E-2</v>
      </c>
      <c r="M328" s="1">
        <f t="shared" si="3"/>
        <v>0.70796921840920268</v>
      </c>
    </row>
    <row r="329" spans="1:13" ht="15">
      <c r="A329" s="63">
        <v>359.38529999999997</v>
      </c>
      <c r="B329" s="63">
        <v>366.51409999999998</v>
      </c>
      <c r="C329" s="63">
        <v>349.90519999999998</v>
      </c>
      <c r="D329" s="63">
        <v>354.21339999999998</v>
      </c>
      <c r="E329" s="63">
        <v>12099293</v>
      </c>
      <c r="F329" s="63" t="s">
        <v>1946</v>
      </c>
      <c r="G329" s="25">
        <f t="shared" si="2"/>
        <v>1.460108510858138E-2</v>
      </c>
      <c r="I329" s="64">
        <v>5.2499999999999998E-2</v>
      </c>
      <c r="J329">
        <v>3</v>
      </c>
      <c r="L329" s="64">
        <v>0.05</v>
      </c>
      <c r="M329" s="1">
        <f t="shared" si="3"/>
        <v>0.48696612667879074</v>
      </c>
    </row>
    <row r="330" spans="1:13" ht="15">
      <c r="A330" s="63">
        <v>346.55549999999999</v>
      </c>
      <c r="B330" s="63">
        <v>352.596</v>
      </c>
      <c r="C330" s="63">
        <v>329.98149999999998</v>
      </c>
      <c r="D330" s="63">
        <v>331.83859999999999</v>
      </c>
      <c r="E330" s="63">
        <v>15661109</v>
      </c>
      <c r="F330" s="63" t="s">
        <v>1945</v>
      </c>
      <c r="G330" s="25">
        <f t="shared" si="2"/>
        <v>4.4349572352342381E-2</v>
      </c>
      <c r="I330" s="64">
        <v>5.5E-2</v>
      </c>
      <c r="J330">
        <v>3</v>
      </c>
      <c r="L330" s="64">
        <v>5.2499999999999998E-2</v>
      </c>
      <c r="M330" s="1">
        <f t="shared" si="3"/>
        <v>0.32855139963999036</v>
      </c>
    </row>
    <row r="331" spans="1:13" ht="15">
      <c r="A331" s="63">
        <v>333.3562</v>
      </c>
      <c r="B331" s="63">
        <v>338.11869999999999</v>
      </c>
      <c r="C331" s="63">
        <v>331.2645</v>
      </c>
      <c r="D331" s="63">
        <v>335.7724</v>
      </c>
      <c r="E331" s="63">
        <v>3299074</v>
      </c>
      <c r="F331" s="63" t="s">
        <v>1944</v>
      </c>
      <c r="G331" s="25">
        <f t="shared" si="2"/>
        <v>-7.1959458252077724E-3</v>
      </c>
      <c r="I331" s="64">
        <v>5.7500000000000002E-2</v>
      </c>
      <c r="J331">
        <v>1</v>
      </c>
      <c r="L331" s="64">
        <v>5.5E-2</v>
      </c>
      <c r="M331" s="1">
        <f t="shared" si="3"/>
        <v>0.21743431378234382</v>
      </c>
    </row>
    <row r="332" spans="1:13" ht="15.75" thickBot="1">
      <c r="A332" s="63">
        <v>334.13499999999999</v>
      </c>
      <c r="B332" s="63">
        <v>334.93369999999999</v>
      </c>
      <c r="C332" s="63">
        <v>329.0829</v>
      </c>
      <c r="D332" s="63">
        <v>331.80860000000001</v>
      </c>
      <c r="E332" s="63">
        <v>4355877</v>
      </c>
      <c r="F332" s="63" t="s">
        <v>1943</v>
      </c>
      <c r="G332" s="25">
        <f t="shared" si="2"/>
        <v>7.0112709556051644E-3</v>
      </c>
      <c r="I332" s="65" t="s">
        <v>2030</v>
      </c>
      <c r="J332" s="65">
        <v>22</v>
      </c>
      <c r="L332" s="64">
        <v>5.7500000000000002E-2</v>
      </c>
      <c r="M332" s="1">
        <f t="shared" si="3"/>
        <v>0.14114744925657718</v>
      </c>
    </row>
    <row r="333" spans="1:13" ht="15">
      <c r="A333" s="63">
        <v>332.09820000000002</v>
      </c>
      <c r="B333" s="63">
        <v>334.7029</v>
      </c>
      <c r="C333" s="63">
        <v>326.76659999999998</v>
      </c>
      <c r="D333" s="63">
        <v>330.7303</v>
      </c>
      <c r="E333" s="63">
        <v>7259285</v>
      </c>
      <c r="F333" s="63" t="s">
        <v>1942</v>
      </c>
      <c r="G333" s="25">
        <f t="shared" si="2"/>
        <v>4.1359984253031001E-3</v>
      </c>
      <c r="L333" s="64">
        <v>0.06</v>
      </c>
      <c r="M333" s="1">
        <f t="shared" si="3"/>
        <v>8.9874849867429746E-2</v>
      </c>
    </row>
    <row r="334" spans="1:13">
      <c r="A334" s="63">
        <v>326.32729999999998</v>
      </c>
      <c r="B334" s="63">
        <v>329.00299999999999</v>
      </c>
      <c r="C334" s="63">
        <v>321.94409999999999</v>
      </c>
      <c r="D334" s="63">
        <v>328.88319999999999</v>
      </c>
      <c r="E334" s="63">
        <v>6397166</v>
      </c>
      <c r="F334" s="63" t="s">
        <v>1941</v>
      </c>
      <c r="G334" s="25">
        <f t="shared" si="2"/>
        <v>-7.7714519926831427E-3</v>
      </c>
    </row>
    <row r="335" spans="1:13">
      <c r="A335" s="63">
        <v>324.05079999999998</v>
      </c>
      <c r="B335" s="63">
        <v>329.05290000000002</v>
      </c>
      <c r="C335" s="63">
        <v>322.56319999999999</v>
      </c>
      <c r="D335" s="63">
        <v>328.20429999999999</v>
      </c>
      <c r="E335" s="63">
        <v>6303558</v>
      </c>
      <c r="F335" s="63" t="s">
        <v>1940</v>
      </c>
      <c r="G335" s="25">
        <f t="shared" si="2"/>
        <v>-1.2655227247175049E-2</v>
      </c>
    </row>
    <row r="336" spans="1:13">
      <c r="A336" s="63">
        <v>319.49799999999999</v>
      </c>
      <c r="B336" s="63">
        <v>327.20589999999999</v>
      </c>
      <c r="C336" s="63">
        <v>319.0487</v>
      </c>
      <c r="D336" s="63">
        <v>322.43340000000001</v>
      </c>
      <c r="E336" s="63">
        <v>5051487</v>
      </c>
      <c r="F336" s="63" t="s">
        <v>1939</v>
      </c>
      <c r="G336" s="25">
        <f t="shared" si="2"/>
        <v>-9.1038955641692398E-3</v>
      </c>
    </row>
    <row r="337" spans="1:7">
      <c r="A337" s="63">
        <v>320.65620000000001</v>
      </c>
      <c r="B337" s="63">
        <v>331.00990000000002</v>
      </c>
      <c r="C337" s="63">
        <v>320.27679999999998</v>
      </c>
      <c r="D337" s="63">
        <v>329.36250000000001</v>
      </c>
      <c r="E337" s="63">
        <v>6042674</v>
      </c>
      <c r="F337" s="63" t="s">
        <v>1938</v>
      </c>
      <c r="G337" s="25">
        <f t="shared" si="2"/>
        <v>-2.6433792553797075E-2</v>
      </c>
    </row>
    <row r="338" spans="1:7">
      <c r="A338" s="63">
        <v>323.0324</v>
      </c>
      <c r="B338" s="63">
        <v>329.41739999999999</v>
      </c>
      <c r="C338" s="63">
        <v>320.99560000000002</v>
      </c>
      <c r="D338" s="63">
        <v>324.49009999999998</v>
      </c>
      <c r="E338" s="63">
        <v>5935221</v>
      </c>
      <c r="F338" s="63" t="s">
        <v>1937</v>
      </c>
      <c r="G338" s="25">
        <f t="shared" si="2"/>
        <v>-4.4922788091222854E-3</v>
      </c>
    </row>
    <row r="339" spans="1:7">
      <c r="A339" s="63">
        <v>318.56939999999997</v>
      </c>
      <c r="B339" s="63">
        <v>320.0471</v>
      </c>
      <c r="C339" s="63">
        <v>313.30770000000001</v>
      </c>
      <c r="D339" s="63">
        <v>314.10649999999998</v>
      </c>
      <c r="E339" s="63">
        <v>4583023</v>
      </c>
      <c r="F339" s="63" t="s">
        <v>1936</v>
      </c>
      <c r="G339" s="25">
        <f t="shared" si="2"/>
        <v>1.4208238288605957E-2</v>
      </c>
    </row>
    <row r="340" spans="1:7">
      <c r="A340" s="63">
        <v>317.35140000000001</v>
      </c>
      <c r="B340" s="63">
        <v>322.2586</v>
      </c>
      <c r="C340" s="63">
        <v>315.52420000000001</v>
      </c>
      <c r="D340" s="63">
        <v>322.2586</v>
      </c>
      <c r="E340" s="63">
        <v>6539973</v>
      </c>
      <c r="F340" s="63" t="s">
        <v>1935</v>
      </c>
      <c r="G340" s="25">
        <f t="shared" si="2"/>
        <v>-1.522752224455759E-2</v>
      </c>
    </row>
    <row r="341" spans="1:7">
      <c r="A341" s="63">
        <v>326.38720000000001</v>
      </c>
      <c r="B341" s="63">
        <v>328.2842</v>
      </c>
      <c r="C341" s="63">
        <v>322.60309999999998</v>
      </c>
      <c r="D341" s="63">
        <v>327.22579999999999</v>
      </c>
      <c r="E341" s="63">
        <v>3788206</v>
      </c>
      <c r="F341" s="63" t="s">
        <v>1934</v>
      </c>
      <c r="G341" s="25">
        <f t="shared" si="2"/>
        <v>-2.562756359675733E-3</v>
      </c>
    </row>
    <row r="342" spans="1:7">
      <c r="A342" s="63">
        <v>324.42020000000002</v>
      </c>
      <c r="B342" s="63">
        <v>330.97989999999999</v>
      </c>
      <c r="C342" s="63">
        <v>322.40339999999998</v>
      </c>
      <c r="D342" s="63">
        <v>329.98149999999998</v>
      </c>
      <c r="E342" s="63">
        <v>4643133</v>
      </c>
      <c r="F342" s="63" t="s">
        <v>1933</v>
      </c>
      <c r="G342" s="25">
        <f t="shared" si="2"/>
        <v>-1.6853369052507339E-2</v>
      </c>
    </row>
    <row r="343" spans="1:7">
      <c r="A343" s="63">
        <v>330.01150000000001</v>
      </c>
      <c r="B343" s="63">
        <v>336.07190000000003</v>
      </c>
      <c r="C343" s="63">
        <v>326.76659999999998</v>
      </c>
      <c r="D343" s="63">
        <v>333.49599999999998</v>
      </c>
      <c r="E343" s="63">
        <v>5785333</v>
      </c>
      <c r="F343" s="63" t="s">
        <v>1932</v>
      </c>
      <c r="G343" s="25">
        <f t="shared" si="2"/>
        <v>-1.0448401180223943E-2</v>
      </c>
    </row>
    <row r="344" spans="1:7">
      <c r="A344" s="63">
        <v>332.3777</v>
      </c>
      <c r="B344" s="63">
        <v>332.9169</v>
      </c>
      <c r="C344" s="63">
        <v>328.7534</v>
      </c>
      <c r="D344" s="63">
        <v>331.57900000000001</v>
      </c>
      <c r="E344" s="63">
        <v>4102503</v>
      </c>
      <c r="F344" s="63" t="s">
        <v>1931</v>
      </c>
      <c r="G344" s="25">
        <f t="shared" si="2"/>
        <v>2.4087773954322156E-3</v>
      </c>
    </row>
    <row r="345" spans="1:7">
      <c r="A345" s="63">
        <v>330.1413</v>
      </c>
      <c r="B345" s="63">
        <v>338.38830000000002</v>
      </c>
      <c r="C345" s="63">
        <v>327.29570000000001</v>
      </c>
      <c r="D345" s="63">
        <v>335.7824</v>
      </c>
      <c r="E345" s="63">
        <v>4807138</v>
      </c>
      <c r="F345" s="63" t="s">
        <v>1930</v>
      </c>
      <c r="G345" s="25">
        <f t="shared" si="2"/>
        <v>-1.6799868009758634E-2</v>
      </c>
    </row>
    <row r="346" spans="1:7">
      <c r="A346" s="63">
        <v>333.80549999999999</v>
      </c>
      <c r="B346" s="63">
        <v>336.62110000000001</v>
      </c>
      <c r="C346" s="63">
        <v>331.88850000000002</v>
      </c>
      <c r="D346" s="63">
        <v>335.74250000000001</v>
      </c>
      <c r="E346" s="63">
        <v>3026017</v>
      </c>
      <c r="F346" s="63" t="s">
        <v>1929</v>
      </c>
      <c r="G346" s="25">
        <f t="shared" si="2"/>
        <v>-5.7693023671415711E-3</v>
      </c>
    </row>
    <row r="347" spans="1:7">
      <c r="A347" s="63">
        <v>335.2133</v>
      </c>
      <c r="B347" s="63">
        <v>337.57740000000001</v>
      </c>
      <c r="C347" s="63">
        <v>331.08980000000003</v>
      </c>
      <c r="D347" s="63">
        <v>332.94690000000003</v>
      </c>
      <c r="E347" s="63">
        <v>3411528</v>
      </c>
      <c r="F347" s="63" t="s">
        <v>1928</v>
      </c>
      <c r="G347" s="25">
        <f t="shared" si="2"/>
        <v>6.8070914611308986E-3</v>
      </c>
    </row>
    <row r="348" spans="1:7">
      <c r="A348" s="63">
        <v>337.91899999999998</v>
      </c>
      <c r="B348" s="63">
        <v>341.733</v>
      </c>
      <c r="C348" s="63">
        <v>334.74400000000003</v>
      </c>
      <c r="D348" s="63">
        <v>339.81610000000001</v>
      </c>
      <c r="E348" s="63">
        <v>3220402</v>
      </c>
      <c r="F348" s="63" t="s">
        <v>1927</v>
      </c>
      <c r="G348" s="25">
        <f t="shared" si="2"/>
        <v>-5.5827254800464576E-3</v>
      </c>
    </row>
    <row r="349" spans="1:7">
      <c r="A349" s="63">
        <v>341.18389999999999</v>
      </c>
      <c r="B349" s="63">
        <v>344.339</v>
      </c>
      <c r="C349" s="63">
        <v>340.49619999999999</v>
      </c>
      <c r="D349" s="63">
        <v>344.339</v>
      </c>
      <c r="E349" s="63">
        <v>3484545</v>
      </c>
      <c r="F349" s="63" t="s">
        <v>1926</v>
      </c>
      <c r="G349" s="25">
        <f t="shared" si="2"/>
        <v>-9.162772732684954E-3</v>
      </c>
    </row>
    <row r="350" spans="1:7">
      <c r="A350" s="63">
        <v>343.8897</v>
      </c>
      <c r="B350" s="63">
        <v>344.40879999999999</v>
      </c>
      <c r="C350" s="63">
        <v>340.2953</v>
      </c>
      <c r="D350" s="63">
        <v>342.46190000000001</v>
      </c>
      <c r="E350" s="63">
        <v>1810961</v>
      </c>
      <c r="F350" s="63" t="s">
        <v>1925</v>
      </c>
      <c r="G350" s="25">
        <f t="shared" si="2"/>
        <v>4.1692229120962043E-3</v>
      </c>
    </row>
    <row r="351" spans="1:7">
      <c r="A351" s="63">
        <v>342.3621</v>
      </c>
      <c r="B351" s="63">
        <v>343.30630000000002</v>
      </c>
      <c r="C351" s="63">
        <v>336.15179999999998</v>
      </c>
      <c r="D351" s="63">
        <v>341.7131</v>
      </c>
      <c r="E351" s="63">
        <v>5330267</v>
      </c>
      <c r="F351" s="63" t="s">
        <v>1924</v>
      </c>
      <c r="G351" s="25">
        <f t="shared" si="2"/>
        <v>1.8992540818598691E-3</v>
      </c>
    </row>
    <row r="352" spans="1:7">
      <c r="A352" s="63">
        <v>343.11090000000002</v>
      </c>
      <c r="B352" s="63">
        <v>345.90649999999999</v>
      </c>
      <c r="C352" s="63">
        <v>330.62</v>
      </c>
      <c r="D352" s="63">
        <v>332.21800000000002</v>
      </c>
      <c r="E352" s="63">
        <v>14932307</v>
      </c>
      <c r="F352" s="63" t="s">
        <v>1923</v>
      </c>
      <c r="G352" s="25">
        <f t="shared" si="2"/>
        <v>3.2788410019926717E-2</v>
      </c>
    </row>
    <row r="353" spans="1:7">
      <c r="A353" s="63">
        <v>335.70249999999999</v>
      </c>
      <c r="B353" s="63">
        <v>342.99110000000002</v>
      </c>
      <c r="C353" s="63">
        <v>334.90379999999999</v>
      </c>
      <c r="D353" s="63">
        <v>341.15890000000002</v>
      </c>
      <c r="E353" s="63">
        <v>7423351</v>
      </c>
      <c r="F353" s="63" t="s">
        <v>1922</v>
      </c>
      <c r="G353" s="25">
        <f t="shared" si="2"/>
        <v>-1.5993720228316022E-2</v>
      </c>
    </row>
    <row r="354" spans="1:7">
      <c r="A354" s="63">
        <v>336.70100000000002</v>
      </c>
      <c r="B354" s="63">
        <v>354.21339999999998</v>
      </c>
      <c r="C354" s="63">
        <v>334.71409999999997</v>
      </c>
      <c r="D354" s="63">
        <v>353.94389999999999</v>
      </c>
      <c r="E354" s="63">
        <v>8400030</v>
      </c>
      <c r="F354" s="63" t="s">
        <v>1921</v>
      </c>
      <c r="G354" s="25">
        <f t="shared" si="2"/>
        <v>-4.8716477385257861E-2</v>
      </c>
    </row>
    <row r="355" spans="1:7">
      <c r="A355" s="63">
        <v>350.02</v>
      </c>
      <c r="B355" s="63">
        <v>356.26310000000001</v>
      </c>
      <c r="C355" s="63">
        <v>348.1651</v>
      </c>
      <c r="D355" s="63">
        <v>355.93400000000003</v>
      </c>
      <c r="E355" s="63">
        <v>6910983</v>
      </c>
      <c r="F355" s="63" t="s">
        <v>1920</v>
      </c>
      <c r="G355" s="25">
        <f t="shared" si="2"/>
        <v>-1.6615439941112808E-2</v>
      </c>
    </row>
    <row r="356" spans="1:7">
      <c r="A356" s="63">
        <v>356.26310000000001</v>
      </c>
      <c r="B356" s="63">
        <v>357.10079999999999</v>
      </c>
      <c r="C356" s="63">
        <v>349.61110000000002</v>
      </c>
      <c r="D356" s="63">
        <v>349.83049999999997</v>
      </c>
      <c r="E356" s="63">
        <v>5482323</v>
      </c>
      <c r="F356" s="63" t="s">
        <v>1919</v>
      </c>
      <c r="G356" s="25">
        <f t="shared" si="2"/>
        <v>1.8387762073347025E-2</v>
      </c>
    </row>
    <row r="357" spans="1:7">
      <c r="A357" s="63">
        <v>353.351</v>
      </c>
      <c r="B357" s="63">
        <v>363.81259999999997</v>
      </c>
      <c r="C357" s="63">
        <v>351.54590000000002</v>
      </c>
      <c r="D357" s="63">
        <v>363.01479999999998</v>
      </c>
      <c r="E357" s="63">
        <v>5538020</v>
      </c>
      <c r="F357" s="63" t="s">
        <v>1918</v>
      </c>
      <c r="G357" s="25">
        <f t="shared" si="2"/>
        <v>-2.662095319529667E-2</v>
      </c>
    </row>
    <row r="358" spans="1:7">
      <c r="A358" s="63">
        <v>357.0609</v>
      </c>
      <c r="B358" s="63">
        <v>359.0256</v>
      </c>
      <c r="C358" s="63">
        <v>351.96469999999999</v>
      </c>
      <c r="D358" s="63">
        <v>354.03910000000002</v>
      </c>
      <c r="E358" s="63">
        <v>5422002</v>
      </c>
      <c r="F358" s="63" t="s">
        <v>1917</v>
      </c>
      <c r="G358" s="25">
        <f t="shared" si="2"/>
        <v>8.5352154606652686E-3</v>
      </c>
    </row>
    <row r="359" spans="1:7">
      <c r="A359" s="63">
        <v>353.8895</v>
      </c>
      <c r="B359" s="63">
        <v>359.22500000000002</v>
      </c>
      <c r="C359" s="63">
        <v>350.92759999999998</v>
      </c>
      <c r="D359" s="63">
        <v>352.53320000000002</v>
      </c>
      <c r="E359" s="63">
        <v>7546604</v>
      </c>
      <c r="F359" s="63" t="s">
        <v>1916</v>
      </c>
      <c r="G359" s="25">
        <f t="shared" si="2"/>
        <v>3.8472972190988219E-3</v>
      </c>
    </row>
    <row r="360" spans="1:7">
      <c r="A360" s="63">
        <v>347.87580000000003</v>
      </c>
      <c r="B360" s="63">
        <v>354.52780000000001</v>
      </c>
      <c r="C360" s="63">
        <v>346.4896</v>
      </c>
      <c r="D360" s="63">
        <v>350.399</v>
      </c>
      <c r="E360" s="63">
        <v>6032962</v>
      </c>
      <c r="F360" s="63" t="s">
        <v>1915</v>
      </c>
      <c r="G360" s="25">
        <f t="shared" si="2"/>
        <v>-7.200933792619213E-3</v>
      </c>
    </row>
    <row r="361" spans="1:7">
      <c r="A361" s="63">
        <v>350.61840000000001</v>
      </c>
      <c r="B361" s="63">
        <v>360.721</v>
      </c>
      <c r="C361" s="63">
        <v>349.84050000000002</v>
      </c>
      <c r="D361" s="63">
        <v>360.721</v>
      </c>
      <c r="E361" s="63">
        <v>6475001</v>
      </c>
      <c r="F361" s="63" t="s">
        <v>1914</v>
      </c>
      <c r="G361" s="25">
        <f t="shared" si="2"/>
        <v>-2.8006686608209708E-2</v>
      </c>
    </row>
    <row r="362" spans="1:7">
      <c r="A362" s="63">
        <v>361.0102</v>
      </c>
      <c r="B362" s="63">
        <v>366.15620000000001</v>
      </c>
      <c r="C362" s="63">
        <v>360.11340000000001</v>
      </c>
      <c r="D362" s="63">
        <v>364.00209999999998</v>
      </c>
      <c r="E362" s="63">
        <v>5738864</v>
      </c>
      <c r="F362" s="63" t="s">
        <v>1913</v>
      </c>
      <c r="G362" s="25">
        <f t="shared" si="2"/>
        <v>-8.2194580745550416E-3</v>
      </c>
    </row>
    <row r="363" spans="1:7">
      <c r="A363" s="63">
        <v>360.40179999999998</v>
      </c>
      <c r="B363" s="63">
        <v>364.46080000000001</v>
      </c>
      <c r="C363" s="63">
        <v>355.70460000000003</v>
      </c>
      <c r="D363" s="63">
        <v>359.80349999999999</v>
      </c>
      <c r="E363" s="63">
        <v>10942124</v>
      </c>
      <c r="F363" s="63" t="s">
        <v>1912</v>
      </c>
      <c r="G363" s="25">
        <f t="shared" si="2"/>
        <v>1.6628520845405337E-3</v>
      </c>
    </row>
    <row r="364" spans="1:7">
      <c r="A364" s="63">
        <v>366.87430000000001</v>
      </c>
      <c r="B364" s="63">
        <v>368.00119999999998</v>
      </c>
      <c r="C364" s="63">
        <v>355.68459999999999</v>
      </c>
      <c r="D364" s="63">
        <v>365.81709999999998</v>
      </c>
      <c r="E364" s="63">
        <v>24733140</v>
      </c>
      <c r="F364" s="63" t="s">
        <v>1911</v>
      </c>
      <c r="G364" s="25">
        <f t="shared" si="2"/>
        <v>2.8899687849475164E-3</v>
      </c>
    </row>
    <row r="365" spans="1:7">
      <c r="A365" s="63">
        <v>330.53289999999998</v>
      </c>
      <c r="B365" s="63">
        <v>331.89909999999998</v>
      </c>
      <c r="C365" s="63">
        <v>322.774</v>
      </c>
      <c r="D365" s="63">
        <v>326.5138</v>
      </c>
      <c r="E365" s="63">
        <v>12632360</v>
      </c>
      <c r="F365" s="63" t="s">
        <v>1910</v>
      </c>
      <c r="G365" s="25">
        <f t="shared" si="2"/>
        <v>1.2309127516202834E-2</v>
      </c>
    </row>
    <row r="366" spans="1:7">
      <c r="A366" s="63">
        <v>330.11410000000001</v>
      </c>
      <c r="B366" s="63">
        <v>333.59460000000001</v>
      </c>
      <c r="C366" s="63">
        <v>329.2165</v>
      </c>
      <c r="D366" s="63">
        <v>331.10140000000001</v>
      </c>
      <c r="E366" s="63">
        <v>6063387</v>
      </c>
      <c r="F366" s="63" t="s">
        <v>1909</v>
      </c>
      <c r="G366" s="25">
        <f t="shared" si="2"/>
        <v>-2.9818659782169243E-3</v>
      </c>
    </row>
    <row r="367" spans="1:7">
      <c r="A367" s="63">
        <v>329.09679999999997</v>
      </c>
      <c r="B367" s="63">
        <v>331.09140000000002</v>
      </c>
      <c r="C367" s="63">
        <v>326.36419999999998</v>
      </c>
      <c r="D367" s="63">
        <v>328.4486</v>
      </c>
      <c r="E367" s="63">
        <v>3517586</v>
      </c>
      <c r="F367" s="63" t="s">
        <v>1908</v>
      </c>
      <c r="G367" s="25">
        <f t="shared" si="2"/>
        <v>1.9735203620900865E-3</v>
      </c>
    </row>
    <row r="368" spans="1:7">
      <c r="A368" s="63">
        <v>329.11680000000001</v>
      </c>
      <c r="B368" s="63">
        <v>336.46679999999998</v>
      </c>
      <c r="C368" s="63">
        <v>327.9898</v>
      </c>
      <c r="D368" s="63">
        <v>335.54930000000002</v>
      </c>
      <c r="E368" s="63">
        <v>7471475</v>
      </c>
      <c r="F368" s="63" t="s">
        <v>1907</v>
      </c>
      <c r="G368" s="25">
        <f t="shared" si="2"/>
        <v>-1.9170059362364933E-2</v>
      </c>
    </row>
    <row r="369" spans="1:7">
      <c r="A369" s="63">
        <v>342.25110000000001</v>
      </c>
      <c r="B369" s="63">
        <v>342.87939999999998</v>
      </c>
      <c r="C369" s="63">
        <v>338.22199999999998</v>
      </c>
      <c r="D369" s="63">
        <v>341.05439999999999</v>
      </c>
      <c r="E369" s="63">
        <v>4492772</v>
      </c>
      <c r="F369" s="63" t="s">
        <v>1906</v>
      </c>
      <c r="G369" s="25">
        <f t="shared" si="2"/>
        <v>3.5088243986882706E-3</v>
      </c>
    </row>
    <row r="370" spans="1:7">
      <c r="A370" s="63">
        <v>338.19209999999998</v>
      </c>
      <c r="B370" s="63">
        <v>346.9085</v>
      </c>
      <c r="C370" s="63">
        <v>337.37430000000001</v>
      </c>
      <c r="D370" s="63">
        <v>344.06619999999998</v>
      </c>
      <c r="E370" s="63">
        <v>7117192</v>
      </c>
      <c r="F370" s="63" t="s">
        <v>1905</v>
      </c>
      <c r="G370" s="25">
        <f t="shared" si="2"/>
        <v>-1.7072586612692509E-2</v>
      </c>
    </row>
    <row r="371" spans="1:7">
      <c r="A371" s="63">
        <v>341.0942</v>
      </c>
      <c r="B371" s="63">
        <v>341.88209999999998</v>
      </c>
      <c r="C371" s="63">
        <v>334.87110000000001</v>
      </c>
      <c r="D371" s="63">
        <v>338.0326</v>
      </c>
      <c r="E371" s="63">
        <v>5649365</v>
      </c>
      <c r="F371" s="63" t="s">
        <v>1904</v>
      </c>
      <c r="G371" s="25">
        <f t="shared" si="2"/>
        <v>9.0571146096560806E-3</v>
      </c>
    </row>
    <row r="372" spans="1:7">
      <c r="A372" s="63">
        <v>334.87110000000001</v>
      </c>
      <c r="B372" s="63">
        <v>342.01139999999998</v>
      </c>
      <c r="C372" s="63">
        <v>327.7106</v>
      </c>
      <c r="D372" s="63">
        <v>330.45310000000001</v>
      </c>
      <c r="E372" s="63">
        <v>8364165</v>
      </c>
      <c r="F372" s="63" t="s">
        <v>1903</v>
      </c>
      <c r="G372" s="25">
        <f t="shared" si="2"/>
        <v>1.3369522028995995E-2</v>
      </c>
    </row>
    <row r="373" spans="1:7">
      <c r="A373" s="63">
        <v>324.8184</v>
      </c>
      <c r="B373" s="63">
        <v>326.37419999999997</v>
      </c>
      <c r="C373" s="63">
        <v>321.13839999999999</v>
      </c>
      <c r="D373" s="63">
        <v>324.40949999999998</v>
      </c>
      <c r="E373" s="63">
        <v>3763500</v>
      </c>
      <c r="F373" s="63" t="s">
        <v>1902</v>
      </c>
      <c r="G373" s="25">
        <f t="shared" si="2"/>
        <v>1.2604439759009711E-3</v>
      </c>
    </row>
    <row r="374" spans="1:7">
      <c r="A374" s="63">
        <v>322.55459999999999</v>
      </c>
      <c r="B374" s="63">
        <v>323.8211</v>
      </c>
      <c r="C374" s="63">
        <v>315.14479999999998</v>
      </c>
      <c r="D374" s="63">
        <v>318.13659999999999</v>
      </c>
      <c r="E374" s="63">
        <v>5469892</v>
      </c>
      <c r="F374" s="63" t="s">
        <v>1901</v>
      </c>
      <c r="G374" s="25">
        <f t="shared" si="2"/>
        <v>1.3887116414772693E-2</v>
      </c>
    </row>
    <row r="375" spans="1:7">
      <c r="A375" s="63">
        <v>321.37779999999998</v>
      </c>
      <c r="B375" s="63">
        <v>326.11489999999998</v>
      </c>
      <c r="C375" s="63">
        <v>319.3383</v>
      </c>
      <c r="D375" s="63">
        <v>326.11489999999998</v>
      </c>
      <c r="E375" s="63">
        <v>4251074</v>
      </c>
      <c r="F375" s="63" t="s">
        <v>1900</v>
      </c>
      <c r="G375" s="25">
        <f t="shared" si="2"/>
        <v>-1.4525861897141112E-2</v>
      </c>
    </row>
    <row r="376" spans="1:7">
      <c r="A376" s="63">
        <v>324.37959999999998</v>
      </c>
      <c r="B376" s="63">
        <v>329.36610000000002</v>
      </c>
      <c r="C376" s="63">
        <v>323.30250000000001</v>
      </c>
      <c r="D376" s="63">
        <v>326.04509999999999</v>
      </c>
      <c r="E376" s="63">
        <v>7093003</v>
      </c>
      <c r="F376" s="63" t="s">
        <v>1899</v>
      </c>
      <c r="G376" s="25">
        <f t="shared" si="2"/>
        <v>-5.1081890204760505E-3</v>
      </c>
    </row>
    <row r="377" spans="1:7">
      <c r="A377" s="63">
        <v>330.75229999999999</v>
      </c>
      <c r="B377" s="63">
        <v>345.06349999999998</v>
      </c>
      <c r="C377" s="63">
        <v>329.9246</v>
      </c>
      <c r="D377" s="63">
        <v>341.51310000000001</v>
      </c>
      <c r="E377" s="63">
        <v>7630619</v>
      </c>
      <c r="F377" s="63" t="s">
        <v>1898</v>
      </c>
      <c r="G377" s="25">
        <f t="shared" ref="G377:G440" si="4">A377/D377-1</f>
        <v>-3.1509186616853091E-2</v>
      </c>
    </row>
    <row r="378" spans="1:7">
      <c r="A378" s="63">
        <v>340.79509999999999</v>
      </c>
      <c r="B378" s="63">
        <v>347.24810000000002</v>
      </c>
      <c r="C378" s="63">
        <v>337.85300000000001</v>
      </c>
      <c r="D378" s="63">
        <v>344.56479999999999</v>
      </c>
      <c r="E378" s="63">
        <v>6902936</v>
      </c>
      <c r="F378" s="63" t="s">
        <v>1897</v>
      </c>
      <c r="G378" s="25">
        <f t="shared" si="4"/>
        <v>-1.0940467511481144E-2</v>
      </c>
    </row>
    <row r="379" spans="1:7">
      <c r="A379" s="63">
        <v>340.22660000000002</v>
      </c>
      <c r="B379" s="63">
        <v>347.91570000000002</v>
      </c>
      <c r="C379" s="63">
        <v>337.59370000000001</v>
      </c>
      <c r="D379" s="63">
        <v>338.3716</v>
      </c>
      <c r="E379" s="63">
        <v>7659675</v>
      </c>
      <c r="F379" s="63" t="s">
        <v>1896</v>
      </c>
      <c r="G379" s="25">
        <f t="shared" si="4"/>
        <v>5.4821385719132643E-3</v>
      </c>
    </row>
    <row r="380" spans="1:7">
      <c r="A380" s="63">
        <v>340.80500000000001</v>
      </c>
      <c r="B380" s="63">
        <v>343.94650000000001</v>
      </c>
      <c r="C380" s="63">
        <v>324.36959999999999</v>
      </c>
      <c r="D380" s="63">
        <v>324.36959999999999</v>
      </c>
      <c r="E380" s="63">
        <v>13954199</v>
      </c>
      <c r="F380" s="63" t="s">
        <v>1895</v>
      </c>
      <c r="G380" s="25">
        <f t="shared" si="4"/>
        <v>5.0668743310100517E-2</v>
      </c>
    </row>
    <row r="381" spans="1:7">
      <c r="A381" s="63">
        <v>321.07859999999999</v>
      </c>
      <c r="B381" s="63">
        <v>321.93619999999999</v>
      </c>
      <c r="C381" s="63">
        <v>308.5994</v>
      </c>
      <c r="D381" s="63">
        <v>309.19080000000002</v>
      </c>
      <c r="E381" s="63">
        <v>8484970</v>
      </c>
      <c r="F381" s="63" t="s">
        <v>1894</v>
      </c>
      <c r="G381" s="25">
        <f t="shared" si="4"/>
        <v>3.8448103889248797E-2</v>
      </c>
    </row>
    <row r="382" spans="1:7">
      <c r="A382" s="63">
        <v>309.93880000000001</v>
      </c>
      <c r="B382" s="63">
        <v>311.34500000000003</v>
      </c>
      <c r="C382" s="63">
        <v>305.17180000000002</v>
      </c>
      <c r="D382" s="63">
        <v>306.66770000000002</v>
      </c>
      <c r="E382" s="63">
        <v>5722636</v>
      </c>
      <c r="F382" s="63" t="s">
        <v>1893</v>
      </c>
      <c r="G382" s="25">
        <f t="shared" si="4"/>
        <v>1.0666594492996673E-2</v>
      </c>
    </row>
    <row r="383" spans="1:7">
      <c r="A383" s="63">
        <v>306.0693</v>
      </c>
      <c r="B383" s="63">
        <v>307.72480000000002</v>
      </c>
      <c r="C383" s="63">
        <v>302.24970000000002</v>
      </c>
      <c r="D383" s="63">
        <v>304.17450000000002</v>
      </c>
      <c r="E383" s="63">
        <v>5874885</v>
      </c>
      <c r="F383" s="63" t="s">
        <v>1892</v>
      </c>
      <c r="G383" s="25">
        <f t="shared" si="4"/>
        <v>6.229319025756519E-3</v>
      </c>
    </row>
    <row r="384" spans="1:7">
      <c r="A384" s="63">
        <v>296.6848</v>
      </c>
      <c r="B384" s="63">
        <v>298.00119999999998</v>
      </c>
      <c r="C384" s="63">
        <v>293.94220000000001</v>
      </c>
      <c r="D384" s="63">
        <v>296.63490000000002</v>
      </c>
      <c r="E384" s="63">
        <v>4456064</v>
      </c>
      <c r="F384" s="63" t="s">
        <v>1891</v>
      </c>
      <c r="G384" s="25">
        <f t="shared" si="4"/>
        <v>1.6822025998952661E-4</v>
      </c>
    </row>
    <row r="385" spans="1:7">
      <c r="A385" s="63">
        <v>297.20339999999999</v>
      </c>
      <c r="B385" s="63">
        <v>299.36750000000001</v>
      </c>
      <c r="C385" s="63">
        <v>292.12709999999998</v>
      </c>
      <c r="D385" s="63">
        <v>297.18340000000001</v>
      </c>
      <c r="E385" s="63">
        <v>5108329</v>
      </c>
      <c r="F385" s="63" t="s">
        <v>1890</v>
      </c>
      <c r="G385" s="25">
        <f t="shared" si="4"/>
        <v>6.7298509943691798E-5</v>
      </c>
    </row>
    <row r="386" spans="1:7">
      <c r="A386" s="63">
        <v>293.92230000000001</v>
      </c>
      <c r="B386" s="63">
        <v>296.18610000000001</v>
      </c>
      <c r="C386" s="63">
        <v>289.21510000000001</v>
      </c>
      <c r="D386" s="63">
        <v>289.44439999999997</v>
      </c>
      <c r="E386" s="63">
        <v>3527502</v>
      </c>
      <c r="F386" s="63" t="s">
        <v>1889</v>
      </c>
      <c r="G386" s="25">
        <f t="shared" si="4"/>
        <v>1.5470674160564357E-2</v>
      </c>
    </row>
    <row r="387" spans="1:7">
      <c r="A387" s="63">
        <v>290.5813</v>
      </c>
      <c r="B387" s="63">
        <v>295.28859999999997</v>
      </c>
      <c r="C387" s="63">
        <v>288.7663</v>
      </c>
      <c r="D387" s="63">
        <v>291.80799999999999</v>
      </c>
      <c r="E387" s="63">
        <v>4301838</v>
      </c>
      <c r="F387" s="63" t="s">
        <v>1888</v>
      </c>
      <c r="G387" s="25">
        <f t="shared" si="4"/>
        <v>-4.2037915341593957E-3</v>
      </c>
    </row>
    <row r="388" spans="1:7">
      <c r="A388" s="63">
        <v>295.59769999999997</v>
      </c>
      <c r="B388" s="63">
        <v>298.72919999999999</v>
      </c>
      <c r="C388" s="63">
        <v>295.54790000000003</v>
      </c>
      <c r="D388" s="63">
        <v>296.26589999999999</v>
      </c>
      <c r="E388" s="63">
        <v>2826545</v>
      </c>
      <c r="F388" s="63" t="s">
        <v>1887</v>
      </c>
      <c r="G388" s="25">
        <f t="shared" si="4"/>
        <v>-2.2554063765016785E-3</v>
      </c>
    </row>
    <row r="389" spans="1:7">
      <c r="A389" s="63">
        <v>298.08100000000002</v>
      </c>
      <c r="B389" s="63">
        <v>299.78140000000002</v>
      </c>
      <c r="C389" s="63">
        <v>292.01740000000001</v>
      </c>
      <c r="D389" s="63">
        <v>293.20420000000001</v>
      </c>
      <c r="E389" s="63">
        <v>4280743</v>
      </c>
      <c r="F389" s="63" t="s">
        <v>1886</v>
      </c>
      <c r="G389" s="25">
        <f t="shared" si="4"/>
        <v>1.6632776747399936E-2</v>
      </c>
    </row>
    <row r="390" spans="1:7">
      <c r="A390" s="63">
        <v>292.97480000000002</v>
      </c>
      <c r="B390" s="63">
        <v>295.26859999999999</v>
      </c>
      <c r="C390" s="63">
        <v>291.69830000000002</v>
      </c>
      <c r="D390" s="63">
        <v>292.80529999999999</v>
      </c>
      <c r="E390" s="63">
        <v>3867816</v>
      </c>
      <c r="F390" s="63" t="s">
        <v>1885</v>
      </c>
      <c r="G390" s="25">
        <f t="shared" si="4"/>
        <v>5.7888296420882668E-4</v>
      </c>
    </row>
    <row r="391" spans="1:7">
      <c r="A391" s="63">
        <v>289.67380000000003</v>
      </c>
      <c r="B391" s="63">
        <v>293.58319999999998</v>
      </c>
      <c r="C391" s="63">
        <v>288.04820000000001</v>
      </c>
      <c r="D391" s="63">
        <v>289.21510000000001</v>
      </c>
      <c r="E391" s="63">
        <v>3351560</v>
      </c>
      <c r="F391" s="63" t="s">
        <v>1884</v>
      </c>
      <c r="G391" s="25">
        <f t="shared" si="4"/>
        <v>1.5860167743662057E-3</v>
      </c>
    </row>
    <row r="392" spans="1:7">
      <c r="A392" s="63">
        <v>285.98379999999997</v>
      </c>
      <c r="B392" s="63">
        <v>288.12799999999999</v>
      </c>
      <c r="C392" s="63">
        <v>284.40809999999999</v>
      </c>
      <c r="D392" s="63">
        <v>285.78440000000001</v>
      </c>
      <c r="E392" s="63">
        <v>3210656</v>
      </c>
      <c r="F392" s="63" t="s">
        <v>1883</v>
      </c>
      <c r="G392" s="25">
        <f t="shared" si="4"/>
        <v>6.9772877735796435E-4</v>
      </c>
    </row>
    <row r="393" spans="1:7">
      <c r="A393" s="63">
        <v>283.6601</v>
      </c>
      <c r="B393" s="63">
        <v>287.52280000000002</v>
      </c>
      <c r="C393" s="63">
        <v>281.8526</v>
      </c>
      <c r="D393" s="63">
        <v>286.95119999999997</v>
      </c>
      <c r="E393" s="63">
        <v>3227071</v>
      </c>
      <c r="F393" s="63" t="s">
        <v>1882</v>
      </c>
      <c r="G393" s="25">
        <f t="shared" si="4"/>
        <v>-1.1469197549966559E-2</v>
      </c>
    </row>
    <row r="394" spans="1:7">
      <c r="A394" s="63">
        <v>287.5496</v>
      </c>
      <c r="B394" s="63">
        <v>291.15179999999998</v>
      </c>
      <c r="C394" s="63">
        <v>286.87139999999999</v>
      </c>
      <c r="D394" s="63">
        <v>288.96570000000003</v>
      </c>
      <c r="E394" s="63">
        <v>3100125</v>
      </c>
      <c r="F394" s="63" t="s">
        <v>1881</v>
      </c>
      <c r="G394" s="25">
        <f t="shared" si="4"/>
        <v>-4.9005816261239454E-3</v>
      </c>
    </row>
    <row r="395" spans="1:7">
      <c r="A395" s="63">
        <v>290.5016</v>
      </c>
      <c r="B395" s="63">
        <v>292.12709999999998</v>
      </c>
      <c r="C395" s="63">
        <v>287.2604</v>
      </c>
      <c r="D395" s="63">
        <v>288.21780000000001</v>
      </c>
      <c r="E395" s="63">
        <v>2712571</v>
      </c>
      <c r="F395" s="63" t="s">
        <v>1880</v>
      </c>
      <c r="G395" s="25">
        <f t="shared" si="4"/>
        <v>7.9238686854177232E-3</v>
      </c>
    </row>
    <row r="396" spans="1:7">
      <c r="A396" s="63">
        <v>292.14710000000002</v>
      </c>
      <c r="B396" s="63">
        <v>293.91230000000002</v>
      </c>
      <c r="C396" s="63">
        <v>289.3646</v>
      </c>
      <c r="D396" s="63">
        <v>291.24950000000001</v>
      </c>
      <c r="E396" s="63">
        <v>3087902</v>
      </c>
      <c r="F396" s="63" t="s">
        <v>1879</v>
      </c>
      <c r="G396" s="25">
        <f t="shared" si="4"/>
        <v>3.0818937028218585E-3</v>
      </c>
    </row>
    <row r="397" spans="1:7">
      <c r="A397" s="63">
        <v>290.322</v>
      </c>
      <c r="B397" s="63">
        <v>292.54599999999999</v>
      </c>
      <c r="C397" s="63">
        <v>289.31479999999999</v>
      </c>
      <c r="D397" s="63">
        <v>291.16969999999998</v>
      </c>
      <c r="E397" s="63">
        <v>2830025</v>
      </c>
      <c r="F397" s="63" t="s">
        <v>1878</v>
      </c>
      <c r="G397" s="25">
        <f t="shared" si="4"/>
        <v>-2.9113606257793467E-3</v>
      </c>
    </row>
    <row r="398" spans="1:7">
      <c r="A398" s="63">
        <v>290.0727</v>
      </c>
      <c r="B398" s="63">
        <v>290.13260000000002</v>
      </c>
      <c r="C398" s="63">
        <v>283.46069999999997</v>
      </c>
      <c r="D398" s="63">
        <v>286.77170000000001</v>
      </c>
      <c r="E398" s="63">
        <v>3496969</v>
      </c>
      <c r="F398" s="63" t="s">
        <v>1877</v>
      </c>
      <c r="G398" s="25">
        <f t="shared" si="4"/>
        <v>1.151089873931066E-2</v>
      </c>
    </row>
    <row r="399" spans="1:7">
      <c r="A399" s="63">
        <v>287.56950000000001</v>
      </c>
      <c r="B399" s="63">
        <v>292.78539999999998</v>
      </c>
      <c r="C399" s="63">
        <v>287.22089999999997</v>
      </c>
      <c r="D399" s="63">
        <v>292.66570000000002</v>
      </c>
      <c r="E399" s="63">
        <v>3850782</v>
      </c>
      <c r="F399" s="63" t="s">
        <v>1876</v>
      </c>
      <c r="G399" s="25">
        <f t="shared" si="4"/>
        <v>-1.7413041569271703E-2</v>
      </c>
    </row>
    <row r="400" spans="1:7">
      <c r="A400" s="63">
        <v>290.85059999999999</v>
      </c>
      <c r="B400" s="63">
        <v>291.6583</v>
      </c>
      <c r="C400" s="63">
        <v>287.46980000000002</v>
      </c>
      <c r="D400" s="63">
        <v>289.13529999999997</v>
      </c>
      <c r="E400" s="63">
        <v>3642540</v>
      </c>
      <c r="F400" s="63" t="s">
        <v>1875</v>
      </c>
      <c r="G400" s="25">
        <f t="shared" si="4"/>
        <v>5.9325167144932411E-3</v>
      </c>
    </row>
    <row r="401" spans="1:7">
      <c r="A401" s="63">
        <v>287.3202</v>
      </c>
      <c r="B401" s="63">
        <v>289.45440000000002</v>
      </c>
      <c r="C401" s="63">
        <v>285.52510000000001</v>
      </c>
      <c r="D401" s="63">
        <v>288.42720000000003</v>
      </c>
      <c r="E401" s="63">
        <v>3597035</v>
      </c>
      <c r="F401" s="63" t="s">
        <v>1874</v>
      </c>
      <c r="G401" s="25">
        <f t="shared" si="4"/>
        <v>-3.8380568822913297E-3</v>
      </c>
    </row>
    <row r="402" spans="1:7">
      <c r="A402" s="63">
        <v>289.38459999999998</v>
      </c>
      <c r="B402" s="63">
        <v>289.44439999999997</v>
      </c>
      <c r="C402" s="63">
        <v>283.84960000000001</v>
      </c>
      <c r="D402" s="63">
        <v>287.14069999999998</v>
      </c>
      <c r="E402" s="63">
        <v>3965512</v>
      </c>
      <c r="F402" s="63" t="s">
        <v>1873</v>
      </c>
      <c r="G402" s="25">
        <f t="shared" si="4"/>
        <v>7.814635821393523E-3</v>
      </c>
    </row>
    <row r="403" spans="1:7">
      <c r="A403" s="63">
        <v>287.14069999999998</v>
      </c>
      <c r="B403" s="63">
        <v>290.7808</v>
      </c>
      <c r="C403" s="63">
        <v>286.303</v>
      </c>
      <c r="D403" s="63">
        <v>290.03280000000001</v>
      </c>
      <c r="E403" s="63">
        <v>4850952</v>
      </c>
      <c r="F403" s="63" t="s">
        <v>1872</v>
      </c>
      <c r="G403" s="25">
        <f t="shared" si="4"/>
        <v>-9.9716307948619631E-3</v>
      </c>
    </row>
    <row r="404" spans="1:7">
      <c r="A404" s="63">
        <v>290.7808</v>
      </c>
      <c r="B404" s="63">
        <v>291.83789999999999</v>
      </c>
      <c r="C404" s="63">
        <v>283.33449999999999</v>
      </c>
      <c r="D404" s="63">
        <v>285.22590000000002</v>
      </c>
      <c r="E404" s="63">
        <v>5211209</v>
      </c>
      <c r="F404" s="63" t="s">
        <v>1871</v>
      </c>
      <c r="G404" s="25">
        <f t="shared" si="4"/>
        <v>1.9475440343951878E-2</v>
      </c>
    </row>
    <row r="405" spans="1:7">
      <c r="A405" s="63">
        <v>283.79969999999997</v>
      </c>
      <c r="B405" s="63">
        <v>287.39</v>
      </c>
      <c r="C405" s="63">
        <v>282.613</v>
      </c>
      <c r="D405" s="63">
        <v>285.80430000000001</v>
      </c>
      <c r="E405" s="63">
        <v>4794652</v>
      </c>
      <c r="F405" s="63" t="s">
        <v>1870</v>
      </c>
      <c r="G405" s="25">
        <f t="shared" si="4"/>
        <v>-7.0138902738693387E-3</v>
      </c>
    </row>
    <row r="406" spans="1:7">
      <c r="A406" s="63">
        <v>286.97109999999998</v>
      </c>
      <c r="B406" s="63">
        <v>287.11079999999998</v>
      </c>
      <c r="C406" s="63">
        <v>280.7081</v>
      </c>
      <c r="D406" s="63">
        <v>283.0917</v>
      </c>
      <c r="E406" s="63">
        <v>6131284</v>
      </c>
      <c r="F406" s="63" t="s">
        <v>1869</v>
      </c>
      <c r="G406" s="25">
        <f t="shared" si="4"/>
        <v>1.3703686826565198E-2</v>
      </c>
    </row>
    <row r="407" spans="1:7">
      <c r="A407" s="63">
        <v>280.1497</v>
      </c>
      <c r="B407" s="63">
        <v>280.35910000000001</v>
      </c>
      <c r="C407" s="63">
        <v>276.97829999999999</v>
      </c>
      <c r="D407" s="63">
        <v>278.23489999999998</v>
      </c>
      <c r="E407" s="63">
        <v>3868447</v>
      </c>
      <c r="F407" s="63" t="s">
        <v>1868</v>
      </c>
      <c r="G407" s="25">
        <f t="shared" si="4"/>
        <v>6.8819547799359171E-3</v>
      </c>
    </row>
    <row r="408" spans="1:7">
      <c r="A408" s="63">
        <v>278.7235</v>
      </c>
      <c r="B408" s="63">
        <v>281.23669999999998</v>
      </c>
      <c r="C408" s="63">
        <v>270.11860000000001</v>
      </c>
      <c r="D408" s="63">
        <v>272.97910000000002</v>
      </c>
      <c r="E408" s="63">
        <v>8512272</v>
      </c>
      <c r="F408" s="63" t="s">
        <v>1867</v>
      </c>
      <c r="G408" s="25">
        <f t="shared" si="4"/>
        <v>2.104336925427619E-2</v>
      </c>
    </row>
    <row r="409" spans="1:7">
      <c r="A409" s="63">
        <v>270.13679999999999</v>
      </c>
      <c r="B409" s="63">
        <v>273.95650000000001</v>
      </c>
      <c r="C409" s="63">
        <v>268.95999999999998</v>
      </c>
      <c r="D409" s="63">
        <v>273.39800000000002</v>
      </c>
      <c r="E409" s="63">
        <v>4369918</v>
      </c>
      <c r="F409" s="63" t="s">
        <v>1866</v>
      </c>
      <c r="G409" s="25">
        <f t="shared" si="4"/>
        <v>-1.192839742792573E-2</v>
      </c>
    </row>
    <row r="410" spans="1:7">
      <c r="A410" s="63">
        <v>272.96910000000003</v>
      </c>
      <c r="B410" s="63">
        <v>274.99369999999999</v>
      </c>
      <c r="C410" s="63">
        <v>268.41149999999999</v>
      </c>
      <c r="D410" s="63">
        <v>273.20850000000002</v>
      </c>
      <c r="E410" s="63">
        <v>5062226</v>
      </c>
      <c r="F410" s="63" t="s">
        <v>1865</v>
      </c>
      <c r="G410" s="25">
        <f t="shared" si="4"/>
        <v>-8.762538500814987E-4</v>
      </c>
    </row>
    <row r="411" spans="1:7">
      <c r="A411" s="63">
        <v>275.89120000000003</v>
      </c>
      <c r="B411" s="63">
        <v>277.08800000000002</v>
      </c>
      <c r="C411" s="63">
        <v>274.31560000000002</v>
      </c>
      <c r="D411" s="63">
        <v>275.51220000000001</v>
      </c>
      <c r="E411" s="63">
        <v>5220075</v>
      </c>
      <c r="F411" s="63" t="s">
        <v>1864</v>
      </c>
      <c r="G411" s="25">
        <f t="shared" si="4"/>
        <v>1.3756196640295482E-3</v>
      </c>
    </row>
    <row r="412" spans="1:7">
      <c r="A412" s="63">
        <v>275.0136</v>
      </c>
      <c r="B412" s="63">
        <v>277.88580000000002</v>
      </c>
      <c r="C412" s="63">
        <v>271.97190000000001</v>
      </c>
      <c r="D412" s="63">
        <v>275.38260000000002</v>
      </c>
      <c r="E412" s="63">
        <v>5253376</v>
      </c>
      <c r="F412" s="63" t="s">
        <v>1863</v>
      </c>
      <c r="G412" s="25">
        <f t="shared" si="4"/>
        <v>-1.339953940445171E-3</v>
      </c>
    </row>
    <row r="413" spans="1:7">
      <c r="A413" s="63">
        <v>273.34809999999999</v>
      </c>
      <c r="B413" s="63">
        <v>276.30009999999999</v>
      </c>
      <c r="C413" s="63">
        <v>268.6549</v>
      </c>
      <c r="D413" s="63">
        <v>269.71800000000002</v>
      </c>
      <c r="E413" s="63">
        <v>7920044</v>
      </c>
      <c r="F413" s="63" t="s">
        <v>1862</v>
      </c>
      <c r="G413" s="25">
        <f t="shared" si="4"/>
        <v>1.345887185875605E-2</v>
      </c>
    </row>
    <row r="414" spans="1:7">
      <c r="A414" s="63">
        <v>269.70800000000003</v>
      </c>
      <c r="B414" s="63">
        <v>271.72250000000003</v>
      </c>
      <c r="C414" s="63">
        <v>265.56920000000002</v>
      </c>
      <c r="D414" s="63">
        <v>269.09960000000001</v>
      </c>
      <c r="E414" s="63">
        <v>7154459</v>
      </c>
      <c r="F414" s="63" t="s">
        <v>1861</v>
      </c>
      <c r="G414" s="25">
        <f t="shared" si="4"/>
        <v>2.2608729258610794E-3</v>
      </c>
    </row>
    <row r="415" spans="1:7">
      <c r="A415" s="63">
        <v>263.49489999999997</v>
      </c>
      <c r="B415" s="63">
        <v>267.33440000000002</v>
      </c>
      <c r="C415" s="63">
        <v>261.53019999999998</v>
      </c>
      <c r="D415" s="63">
        <v>266.52659999999997</v>
      </c>
      <c r="E415" s="63">
        <v>6033986</v>
      </c>
      <c r="F415" s="63" t="s">
        <v>1860</v>
      </c>
      <c r="G415" s="25">
        <f t="shared" si="4"/>
        <v>-1.137484963977331E-2</v>
      </c>
    </row>
    <row r="416" spans="1:7">
      <c r="A416" s="63">
        <v>266.07780000000002</v>
      </c>
      <c r="B416" s="63">
        <v>269.5883</v>
      </c>
      <c r="C416" s="63">
        <v>260.61270000000002</v>
      </c>
      <c r="D416" s="63">
        <v>265.29000000000002</v>
      </c>
      <c r="E416" s="63">
        <v>11463169</v>
      </c>
      <c r="F416" s="63" t="s">
        <v>1859</v>
      </c>
      <c r="G416" s="25">
        <f t="shared" si="4"/>
        <v>2.9695804591203245E-3</v>
      </c>
    </row>
    <row r="417" spans="1:7">
      <c r="A417" s="63">
        <v>265.27</v>
      </c>
      <c r="B417" s="63">
        <v>268.81040000000002</v>
      </c>
      <c r="C417" s="63">
        <v>257.35149999999999</v>
      </c>
      <c r="D417" s="63">
        <v>260.01429999999999</v>
      </c>
      <c r="E417" s="63">
        <v>11022830</v>
      </c>
      <c r="F417" s="63" t="s">
        <v>1858</v>
      </c>
      <c r="G417" s="25">
        <f t="shared" si="4"/>
        <v>2.0213119047683081E-2</v>
      </c>
    </row>
    <row r="418" spans="1:7">
      <c r="A418" s="63">
        <v>251.7467</v>
      </c>
      <c r="B418" s="63">
        <v>255.42679999999999</v>
      </c>
      <c r="C418" s="63">
        <v>250.2807</v>
      </c>
      <c r="D418" s="63">
        <v>255.30709999999999</v>
      </c>
      <c r="E418" s="63">
        <v>4436734</v>
      </c>
      <c r="F418" s="63" t="s">
        <v>1857</v>
      </c>
      <c r="G418" s="25">
        <f t="shared" si="4"/>
        <v>-1.3945558114130008E-2</v>
      </c>
    </row>
    <row r="419" spans="1:7">
      <c r="A419" s="63">
        <v>254.10040000000001</v>
      </c>
      <c r="B419" s="63">
        <v>258.26249999999999</v>
      </c>
      <c r="C419" s="63">
        <v>253.6722</v>
      </c>
      <c r="D419" s="63">
        <v>257.61529999999999</v>
      </c>
      <c r="E419" s="63">
        <v>5423388</v>
      </c>
      <c r="F419" s="63" t="s">
        <v>1856</v>
      </c>
      <c r="G419" s="25">
        <f t="shared" si="4"/>
        <v>-1.3643987760043719E-2</v>
      </c>
    </row>
    <row r="420" spans="1:7">
      <c r="A420" s="63">
        <v>255.81299999999999</v>
      </c>
      <c r="B420" s="63">
        <v>256.70920000000001</v>
      </c>
      <c r="C420" s="63">
        <v>253.483</v>
      </c>
      <c r="D420" s="63">
        <v>253.483</v>
      </c>
      <c r="E420" s="63">
        <v>5367024</v>
      </c>
      <c r="F420" s="63" t="s">
        <v>1855</v>
      </c>
      <c r="G420" s="25">
        <f t="shared" si="4"/>
        <v>9.1919379208862395E-3</v>
      </c>
    </row>
    <row r="421" spans="1:7">
      <c r="A421" s="63">
        <v>253.483</v>
      </c>
      <c r="B421" s="63">
        <v>255.73339999999999</v>
      </c>
      <c r="C421" s="63">
        <v>251.36709999999999</v>
      </c>
      <c r="D421" s="63">
        <v>251.46170000000001</v>
      </c>
      <c r="E421" s="63">
        <v>4998901</v>
      </c>
      <c r="F421" s="63" t="s">
        <v>1854</v>
      </c>
      <c r="G421" s="25">
        <f t="shared" si="4"/>
        <v>8.0382022391480845E-3</v>
      </c>
    </row>
    <row r="422" spans="1:7">
      <c r="A422" s="63">
        <v>252.28809999999999</v>
      </c>
      <c r="B422" s="63">
        <v>253.0548</v>
      </c>
      <c r="C422" s="63">
        <v>248.5044</v>
      </c>
      <c r="D422" s="63">
        <v>250.31659999999999</v>
      </c>
      <c r="E422" s="63">
        <v>5221397</v>
      </c>
      <c r="F422" s="63" t="s">
        <v>1853</v>
      </c>
      <c r="G422" s="25">
        <f t="shared" si="4"/>
        <v>7.8760258009256123E-3</v>
      </c>
    </row>
    <row r="423" spans="1:7">
      <c r="A423" s="63">
        <v>248.5044</v>
      </c>
      <c r="B423" s="63">
        <v>248.95240000000001</v>
      </c>
      <c r="C423" s="63">
        <v>240.98070000000001</v>
      </c>
      <c r="D423" s="63">
        <v>243.7647</v>
      </c>
      <c r="E423" s="63">
        <v>4822215</v>
      </c>
      <c r="F423" s="63" t="s">
        <v>1852</v>
      </c>
      <c r="G423" s="25">
        <f t="shared" si="4"/>
        <v>1.9443750469202437E-2</v>
      </c>
    </row>
    <row r="424" spans="1:7">
      <c r="A424" s="63">
        <v>245.10890000000001</v>
      </c>
      <c r="B424" s="63">
        <v>246.28389999999999</v>
      </c>
      <c r="C424" s="63">
        <v>242.27209999999999</v>
      </c>
      <c r="D424" s="63">
        <v>246.07480000000001</v>
      </c>
      <c r="E424" s="63">
        <v>3544808</v>
      </c>
      <c r="F424" s="63" t="s">
        <v>1851</v>
      </c>
      <c r="G424" s="25">
        <f t="shared" si="4"/>
        <v>-3.9252292392394361E-3</v>
      </c>
    </row>
    <row r="425" spans="1:7">
      <c r="A425" s="63">
        <v>244.7106</v>
      </c>
      <c r="B425" s="63">
        <v>248.29519999999999</v>
      </c>
      <c r="C425" s="63">
        <v>243.72479999999999</v>
      </c>
      <c r="D425" s="63">
        <v>245.44749999999999</v>
      </c>
      <c r="E425" s="63">
        <v>4588809</v>
      </c>
      <c r="F425" s="63" t="s">
        <v>1850</v>
      </c>
      <c r="G425" s="25">
        <f t="shared" si="4"/>
        <v>-3.002271361492781E-3</v>
      </c>
    </row>
    <row r="426" spans="1:7">
      <c r="A426" s="63">
        <v>242.92830000000001</v>
      </c>
      <c r="B426" s="63">
        <v>248.9325</v>
      </c>
      <c r="C426" s="63">
        <v>240.4092</v>
      </c>
      <c r="D426" s="63">
        <v>246.68219999999999</v>
      </c>
      <c r="E426" s="63">
        <v>6259431</v>
      </c>
      <c r="F426" s="63" t="s">
        <v>1849</v>
      </c>
      <c r="G426" s="25">
        <f t="shared" si="4"/>
        <v>-1.5217555218819956E-2</v>
      </c>
    </row>
    <row r="427" spans="1:7">
      <c r="A427" s="63">
        <v>245.06909999999999</v>
      </c>
      <c r="B427" s="63">
        <v>247.43879999999999</v>
      </c>
      <c r="C427" s="63">
        <v>243.9539</v>
      </c>
      <c r="D427" s="63">
        <v>244.9297</v>
      </c>
      <c r="E427" s="63">
        <v>4083624</v>
      </c>
      <c r="F427" s="63" t="s">
        <v>1848</v>
      </c>
      <c r="G427" s="25">
        <f t="shared" si="4"/>
        <v>5.6914290100373854E-4</v>
      </c>
    </row>
    <row r="428" spans="1:7">
      <c r="A428" s="63">
        <v>246.6224</v>
      </c>
      <c r="B428" s="63">
        <v>248.41470000000001</v>
      </c>
      <c r="C428" s="63">
        <v>244.11320000000001</v>
      </c>
      <c r="D428" s="63">
        <v>245.41759999999999</v>
      </c>
      <c r="E428" s="63">
        <v>4706546</v>
      </c>
      <c r="F428" s="63" t="s">
        <v>1847</v>
      </c>
      <c r="G428" s="25">
        <f t="shared" si="4"/>
        <v>4.9091833674521634E-3</v>
      </c>
    </row>
    <row r="429" spans="1:7">
      <c r="A429" s="63">
        <v>247.0008</v>
      </c>
      <c r="B429" s="63">
        <v>252.60679999999999</v>
      </c>
      <c r="C429" s="63">
        <v>245.58690000000001</v>
      </c>
      <c r="D429" s="63">
        <v>251.54130000000001</v>
      </c>
      <c r="E429" s="63">
        <v>6190352</v>
      </c>
      <c r="F429" s="63" t="s">
        <v>1846</v>
      </c>
      <c r="G429" s="25">
        <f t="shared" si="4"/>
        <v>-1.805071373965228E-2</v>
      </c>
    </row>
    <row r="430" spans="1:7">
      <c r="A430" s="63">
        <v>251.8201</v>
      </c>
      <c r="B430" s="63">
        <v>258.02350000000001</v>
      </c>
      <c r="C430" s="63">
        <v>249.9282</v>
      </c>
      <c r="D430" s="63">
        <v>256.34070000000003</v>
      </c>
      <c r="E430" s="63">
        <v>10507704</v>
      </c>
      <c r="F430" s="63" t="s">
        <v>1845</v>
      </c>
      <c r="G430" s="25">
        <f t="shared" si="4"/>
        <v>-1.7635123880055059E-2</v>
      </c>
    </row>
    <row r="431" spans="1:7">
      <c r="A431" s="63">
        <v>255.9126</v>
      </c>
      <c r="B431" s="63">
        <v>270.78879999999998</v>
      </c>
      <c r="C431" s="63">
        <v>255.1857</v>
      </c>
      <c r="D431" s="63">
        <v>269.8528</v>
      </c>
      <c r="E431" s="63">
        <v>14301691</v>
      </c>
      <c r="F431" s="63" t="s">
        <v>1844</v>
      </c>
      <c r="G431" s="25">
        <f t="shared" si="4"/>
        <v>-5.1658533837707132E-2</v>
      </c>
    </row>
    <row r="432" spans="1:7">
      <c r="A432" s="63">
        <v>257.79450000000003</v>
      </c>
      <c r="B432" s="63">
        <v>264.04770000000002</v>
      </c>
      <c r="C432" s="63">
        <v>256.2611</v>
      </c>
      <c r="D432" s="63">
        <v>260.71199999999999</v>
      </c>
      <c r="E432" s="63">
        <v>10981901</v>
      </c>
      <c r="F432" s="63" t="s">
        <v>1843</v>
      </c>
      <c r="G432" s="25">
        <f t="shared" si="4"/>
        <v>-1.1190509067476651E-2</v>
      </c>
    </row>
    <row r="433" spans="1:7">
      <c r="A433" s="63">
        <v>263.07190000000003</v>
      </c>
      <c r="B433" s="63">
        <v>263.33080000000001</v>
      </c>
      <c r="C433" s="63">
        <v>258.29239999999999</v>
      </c>
      <c r="D433" s="63">
        <v>258.54129999999998</v>
      </c>
      <c r="E433" s="63">
        <v>5276384</v>
      </c>
      <c r="F433" s="63" t="s">
        <v>1842</v>
      </c>
      <c r="G433" s="25">
        <f t="shared" si="4"/>
        <v>1.7523699308389151E-2</v>
      </c>
    </row>
    <row r="434" spans="1:7">
      <c r="A434" s="63">
        <v>264.14729999999997</v>
      </c>
      <c r="B434" s="63">
        <v>266.15859999999998</v>
      </c>
      <c r="C434" s="63">
        <v>262.11599999999999</v>
      </c>
      <c r="D434" s="63">
        <v>262.81299999999999</v>
      </c>
      <c r="E434" s="63">
        <v>3818271</v>
      </c>
      <c r="F434" s="63" t="s">
        <v>1841</v>
      </c>
      <c r="G434" s="25">
        <f t="shared" si="4"/>
        <v>5.076993908216032E-3</v>
      </c>
    </row>
    <row r="435" spans="1:7">
      <c r="A435" s="63">
        <v>262.87270000000001</v>
      </c>
      <c r="B435" s="63">
        <v>264.46589999999998</v>
      </c>
      <c r="C435" s="63">
        <v>259.58679999999998</v>
      </c>
      <c r="D435" s="63">
        <v>260.87130000000002</v>
      </c>
      <c r="E435" s="63">
        <v>4711326</v>
      </c>
      <c r="F435" s="63" t="s">
        <v>1840</v>
      </c>
      <c r="G435" s="25">
        <f t="shared" si="4"/>
        <v>7.6719823146509381E-3</v>
      </c>
    </row>
    <row r="436" spans="1:7">
      <c r="A436" s="63">
        <v>257.48579999999998</v>
      </c>
      <c r="B436" s="63">
        <v>262.13589999999999</v>
      </c>
      <c r="C436" s="63">
        <v>256.17149999999998</v>
      </c>
      <c r="D436" s="63">
        <v>260.38339999999999</v>
      </c>
      <c r="E436" s="63">
        <v>5111442</v>
      </c>
      <c r="F436" s="63" t="s">
        <v>1839</v>
      </c>
      <c r="G436" s="25">
        <f t="shared" si="4"/>
        <v>-1.11282055614913E-2</v>
      </c>
    </row>
    <row r="437" spans="1:7">
      <c r="A437" s="63">
        <v>259.97519999999997</v>
      </c>
      <c r="B437" s="63">
        <v>261.02069999999998</v>
      </c>
      <c r="C437" s="63">
        <v>258.07330000000002</v>
      </c>
      <c r="D437" s="63">
        <v>259.98509999999999</v>
      </c>
      <c r="E437" s="63">
        <v>4648204</v>
      </c>
      <c r="F437" s="63" t="s">
        <v>1838</v>
      </c>
      <c r="G437" s="25">
        <f t="shared" si="4"/>
        <v>-3.807910530262415E-5</v>
      </c>
    </row>
    <row r="438" spans="1:7">
      <c r="A438" s="63">
        <v>260.72199999999998</v>
      </c>
      <c r="B438" s="63">
        <v>264.36630000000002</v>
      </c>
      <c r="C438" s="63">
        <v>259.91539999999998</v>
      </c>
      <c r="D438" s="63">
        <v>263.81869999999998</v>
      </c>
      <c r="E438" s="63">
        <v>5731309</v>
      </c>
      <c r="F438" s="63" t="s">
        <v>1837</v>
      </c>
      <c r="G438" s="25">
        <f t="shared" si="4"/>
        <v>-1.1737985214846369E-2</v>
      </c>
    </row>
    <row r="439" spans="1:7">
      <c r="A439" s="63">
        <v>264.24680000000001</v>
      </c>
      <c r="B439" s="63">
        <v>264.2568</v>
      </c>
      <c r="C439" s="63">
        <v>260.5129</v>
      </c>
      <c r="D439" s="63">
        <v>261.97660000000002</v>
      </c>
      <c r="E439" s="63">
        <v>4501262</v>
      </c>
      <c r="F439" s="63" t="s">
        <v>1836</v>
      </c>
      <c r="G439" s="25">
        <f t="shared" si="4"/>
        <v>8.6656594520273522E-3</v>
      </c>
    </row>
    <row r="440" spans="1:7">
      <c r="A440" s="63">
        <v>261.78739999999999</v>
      </c>
      <c r="B440" s="63">
        <v>262.4744</v>
      </c>
      <c r="C440" s="63">
        <v>258.57119999999998</v>
      </c>
      <c r="D440" s="63">
        <v>260.63229999999999</v>
      </c>
      <c r="E440" s="63">
        <v>3494863</v>
      </c>
      <c r="F440" s="63" t="s">
        <v>1835</v>
      </c>
      <c r="G440" s="25">
        <f t="shared" si="4"/>
        <v>4.4319142331936678E-3</v>
      </c>
    </row>
    <row r="441" spans="1:7">
      <c r="A441" s="63">
        <v>261.66789999999997</v>
      </c>
      <c r="B441" s="63">
        <v>261.76749999999998</v>
      </c>
      <c r="C441" s="63">
        <v>255.14590000000001</v>
      </c>
      <c r="D441" s="63">
        <v>256.79880000000003</v>
      </c>
      <c r="E441" s="63">
        <v>5167930</v>
      </c>
      <c r="F441" s="63" t="s">
        <v>1834</v>
      </c>
      <c r="G441" s="25">
        <f t="shared" ref="G441:G504" si="5">A441/D441-1</f>
        <v>1.8960758383606002E-2</v>
      </c>
    </row>
    <row r="442" spans="1:7">
      <c r="A442" s="63">
        <v>254.22980000000001</v>
      </c>
      <c r="B442" s="63">
        <v>256.6096</v>
      </c>
      <c r="C442" s="63">
        <v>252.77600000000001</v>
      </c>
      <c r="D442" s="63">
        <v>254.29949999999999</v>
      </c>
      <c r="E442" s="63">
        <v>4145248</v>
      </c>
      <c r="F442" s="63" t="s">
        <v>1833</v>
      </c>
      <c r="G442" s="25">
        <f t="shared" si="5"/>
        <v>-2.74086264424378E-4</v>
      </c>
    </row>
    <row r="443" spans="1:7">
      <c r="A443" s="63">
        <v>253.5129</v>
      </c>
      <c r="B443" s="63">
        <v>254.68780000000001</v>
      </c>
      <c r="C443" s="63">
        <v>251.91970000000001</v>
      </c>
      <c r="D443" s="63">
        <v>251.91970000000001</v>
      </c>
      <c r="E443" s="63">
        <v>4031818</v>
      </c>
      <c r="F443" s="63" t="s">
        <v>1832</v>
      </c>
      <c r="G443" s="25">
        <f t="shared" si="5"/>
        <v>6.3242374455034778E-3</v>
      </c>
    </row>
    <row r="444" spans="1:7">
      <c r="A444" s="63">
        <v>250.23689999999999</v>
      </c>
      <c r="B444" s="63">
        <v>253.0051</v>
      </c>
      <c r="C444" s="63">
        <v>247.95670000000001</v>
      </c>
      <c r="D444" s="63">
        <v>251.5214</v>
      </c>
      <c r="E444" s="63">
        <v>3679904</v>
      </c>
      <c r="F444" s="63" t="s">
        <v>1831</v>
      </c>
      <c r="G444" s="25">
        <f t="shared" si="5"/>
        <v>-5.1069213196173191E-3</v>
      </c>
    </row>
    <row r="445" spans="1:7">
      <c r="A445" s="63">
        <v>251.45169999999999</v>
      </c>
      <c r="B445" s="63">
        <v>251.8699</v>
      </c>
      <c r="C445" s="63">
        <v>247.38910000000001</v>
      </c>
      <c r="D445" s="63">
        <v>247.63810000000001</v>
      </c>
      <c r="E445" s="63">
        <v>2975285</v>
      </c>
      <c r="F445" s="63" t="s">
        <v>1830</v>
      </c>
      <c r="G445" s="25">
        <f t="shared" si="5"/>
        <v>1.5399892019846595E-2</v>
      </c>
    </row>
    <row r="446" spans="1:7">
      <c r="A446" s="63">
        <v>248.05629999999999</v>
      </c>
      <c r="B446" s="63">
        <v>248.36500000000001</v>
      </c>
      <c r="C446" s="63">
        <v>242.0421</v>
      </c>
      <c r="D446" s="63">
        <v>242.20140000000001</v>
      </c>
      <c r="E446" s="63">
        <v>4474252</v>
      </c>
      <c r="F446" s="63" t="s">
        <v>1829</v>
      </c>
      <c r="G446" s="25">
        <f t="shared" si="5"/>
        <v>2.4173683554265191E-2</v>
      </c>
    </row>
    <row r="447" spans="1:7">
      <c r="A447" s="63">
        <v>239.01499999999999</v>
      </c>
      <c r="B447" s="63">
        <v>245.47730000000001</v>
      </c>
      <c r="C447" s="63">
        <v>238.63669999999999</v>
      </c>
      <c r="D447" s="63">
        <v>241.57409999999999</v>
      </c>
      <c r="E447" s="63">
        <v>4035549</v>
      </c>
      <c r="F447" s="63" t="s">
        <v>1828</v>
      </c>
      <c r="G447" s="25">
        <f t="shared" si="5"/>
        <v>-1.059343696199222E-2</v>
      </c>
    </row>
    <row r="448" spans="1:7">
      <c r="A448" s="63">
        <v>237.40199999999999</v>
      </c>
      <c r="B448" s="63">
        <v>242.80879999999999</v>
      </c>
      <c r="C448" s="63">
        <v>237.0136</v>
      </c>
      <c r="D448" s="63">
        <v>240.06059999999999</v>
      </c>
      <c r="E448" s="63">
        <v>5673889</v>
      </c>
      <c r="F448" s="63" t="s">
        <v>1827</v>
      </c>
      <c r="G448" s="25">
        <f t="shared" si="5"/>
        <v>-1.1074703637331651E-2</v>
      </c>
    </row>
    <row r="449" spans="1:7">
      <c r="A449" s="63">
        <v>237.98939999999999</v>
      </c>
      <c r="B449" s="63">
        <v>240.78739999999999</v>
      </c>
      <c r="C449" s="63">
        <v>231.21850000000001</v>
      </c>
      <c r="D449" s="63">
        <v>231.328</v>
      </c>
      <c r="E449" s="63">
        <v>6899342</v>
      </c>
      <c r="F449" s="63" t="s">
        <v>1826</v>
      </c>
      <c r="G449" s="25">
        <f t="shared" si="5"/>
        <v>2.8796341126020142E-2</v>
      </c>
    </row>
    <row r="450" spans="1:7">
      <c r="A450" s="63">
        <v>242.92830000000001</v>
      </c>
      <c r="B450" s="63">
        <v>246.94110000000001</v>
      </c>
      <c r="C450" s="63">
        <v>240.08690000000001</v>
      </c>
      <c r="D450" s="63">
        <v>246.732</v>
      </c>
      <c r="E450" s="63">
        <v>6504544</v>
      </c>
      <c r="F450" s="63" t="s">
        <v>1825</v>
      </c>
      <c r="G450" s="25">
        <f t="shared" si="5"/>
        <v>-1.5416322163318896E-2</v>
      </c>
    </row>
    <row r="451" spans="1:7">
      <c r="A451" s="63">
        <v>251.9795</v>
      </c>
      <c r="B451" s="63">
        <v>262.2355</v>
      </c>
      <c r="C451" s="63">
        <v>248.67359999999999</v>
      </c>
      <c r="D451" s="63">
        <v>258.79020000000003</v>
      </c>
      <c r="E451" s="63">
        <v>5527395</v>
      </c>
      <c r="F451" s="63" t="s">
        <v>1824</v>
      </c>
      <c r="G451" s="25">
        <f t="shared" si="5"/>
        <v>-2.6317457152550738E-2</v>
      </c>
    </row>
    <row r="452" spans="1:7">
      <c r="A452" s="63">
        <v>257.69490000000002</v>
      </c>
      <c r="B452" s="63">
        <v>260.71199999999999</v>
      </c>
      <c r="C452" s="63">
        <v>254.25970000000001</v>
      </c>
      <c r="D452" s="63">
        <v>255.11600000000001</v>
      </c>
      <c r="E452" s="63">
        <v>4647690</v>
      </c>
      <c r="F452" s="63" t="s">
        <v>1823</v>
      </c>
      <c r="G452" s="25">
        <f t="shared" si="5"/>
        <v>1.0108734850029055E-2</v>
      </c>
    </row>
    <row r="453" spans="1:7">
      <c r="A453" s="63">
        <v>256.82870000000003</v>
      </c>
      <c r="B453" s="63">
        <v>259.63659999999999</v>
      </c>
      <c r="C453" s="63">
        <v>254.0307</v>
      </c>
      <c r="D453" s="63">
        <v>258.51139999999998</v>
      </c>
      <c r="E453" s="63">
        <v>3944295</v>
      </c>
      <c r="F453" s="63" t="s">
        <v>1822</v>
      </c>
      <c r="G453" s="25">
        <f t="shared" si="5"/>
        <v>-6.5091906971992408E-3</v>
      </c>
    </row>
    <row r="454" spans="1:7">
      <c r="A454" s="63">
        <v>257.48579999999998</v>
      </c>
      <c r="B454" s="63">
        <v>264.93889999999999</v>
      </c>
      <c r="C454" s="63">
        <v>257.41609999999997</v>
      </c>
      <c r="D454" s="63">
        <v>261.58819999999997</v>
      </c>
      <c r="E454" s="63">
        <v>5101425</v>
      </c>
      <c r="F454" s="63" t="s">
        <v>1821</v>
      </c>
      <c r="G454" s="25">
        <f t="shared" si="5"/>
        <v>-1.568266458502332E-2</v>
      </c>
    </row>
    <row r="455" spans="1:7">
      <c r="A455" s="63">
        <v>261.58819999999997</v>
      </c>
      <c r="B455" s="63">
        <v>263.36059999999998</v>
      </c>
      <c r="C455" s="63">
        <v>255.97229999999999</v>
      </c>
      <c r="D455" s="63">
        <v>257.06760000000003</v>
      </c>
      <c r="E455" s="63">
        <v>6127323</v>
      </c>
      <c r="F455" s="63" t="s">
        <v>1820</v>
      </c>
      <c r="G455" s="25">
        <f t="shared" si="5"/>
        <v>1.7585257729873183E-2</v>
      </c>
    </row>
    <row r="456" spans="1:7">
      <c r="A456" s="63">
        <v>255.4247</v>
      </c>
      <c r="B456" s="63">
        <v>262.95240000000001</v>
      </c>
      <c r="C456" s="63">
        <v>250.6497</v>
      </c>
      <c r="D456" s="63">
        <v>253.6523</v>
      </c>
      <c r="E456" s="63">
        <v>7155846</v>
      </c>
      <c r="F456" s="63" t="s">
        <v>1819</v>
      </c>
      <c r="G456" s="25">
        <f t="shared" si="5"/>
        <v>6.9875179527250086E-3</v>
      </c>
    </row>
    <row r="457" spans="1:7">
      <c r="A457" s="63">
        <v>248.71350000000001</v>
      </c>
      <c r="B457" s="63">
        <v>254.81729999999999</v>
      </c>
      <c r="C457" s="63">
        <v>247.8372</v>
      </c>
      <c r="D457" s="63">
        <v>252.547</v>
      </c>
      <c r="E457" s="63">
        <v>5204088</v>
      </c>
      <c r="F457" s="63" t="s">
        <v>1818</v>
      </c>
      <c r="G457" s="25">
        <f t="shared" si="5"/>
        <v>-1.5179352754140729E-2</v>
      </c>
    </row>
    <row r="458" spans="1:7">
      <c r="A458" s="63">
        <v>254.9666</v>
      </c>
      <c r="B458" s="63">
        <v>256.2312</v>
      </c>
      <c r="C458" s="63">
        <v>252.6678</v>
      </c>
      <c r="D458" s="63">
        <v>255.49440000000001</v>
      </c>
      <c r="E458" s="63">
        <v>3905543</v>
      </c>
      <c r="F458" s="63" t="s">
        <v>1817</v>
      </c>
      <c r="G458" s="25">
        <f t="shared" si="5"/>
        <v>-2.0657987024373936E-3</v>
      </c>
    </row>
    <row r="459" spans="1:7">
      <c r="A459" s="63">
        <v>252.99510000000001</v>
      </c>
      <c r="B459" s="63">
        <v>254.48869999999999</v>
      </c>
      <c r="C459" s="63">
        <v>246.94110000000001</v>
      </c>
      <c r="D459" s="63">
        <v>247.68790000000001</v>
      </c>
      <c r="E459" s="63">
        <v>5647588</v>
      </c>
      <c r="F459" s="63" t="s">
        <v>1816</v>
      </c>
      <c r="G459" s="25">
        <f t="shared" si="5"/>
        <v>2.1426965144441867E-2</v>
      </c>
    </row>
    <row r="460" spans="1:7">
      <c r="A460" s="63">
        <v>246.57259999999999</v>
      </c>
      <c r="B460" s="63">
        <v>247.92679999999999</v>
      </c>
      <c r="C460" s="63">
        <v>244.12309999999999</v>
      </c>
      <c r="D460" s="63">
        <v>247.5883</v>
      </c>
      <c r="E460" s="63">
        <v>4468875</v>
      </c>
      <c r="F460" s="63" t="s">
        <v>1815</v>
      </c>
      <c r="G460" s="25">
        <f t="shared" si="5"/>
        <v>-4.1023747891156814E-3</v>
      </c>
    </row>
    <row r="461" spans="1:7">
      <c r="A461" s="63">
        <v>246.2938</v>
      </c>
      <c r="B461" s="63">
        <v>251.37209999999999</v>
      </c>
      <c r="C461" s="63">
        <v>244.67080000000001</v>
      </c>
      <c r="D461" s="63">
        <v>251.0634</v>
      </c>
      <c r="E461" s="63">
        <v>6351643</v>
      </c>
      <c r="F461" s="63" t="s">
        <v>1814</v>
      </c>
      <c r="G461" s="25">
        <f t="shared" si="5"/>
        <v>-1.899759184333516E-2</v>
      </c>
    </row>
    <row r="462" spans="1:7">
      <c r="A462" s="63">
        <v>250.1473</v>
      </c>
      <c r="B462" s="63">
        <v>254.4787</v>
      </c>
      <c r="C462" s="63">
        <v>248.54419999999999</v>
      </c>
      <c r="D462" s="63">
        <v>252.91540000000001</v>
      </c>
      <c r="E462" s="63">
        <v>5625254</v>
      </c>
      <c r="F462" s="63" t="s">
        <v>1813</v>
      </c>
      <c r="G462" s="25">
        <f t="shared" si="5"/>
        <v>-1.0944766510856963E-2</v>
      </c>
    </row>
    <row r="463" spans="1:7">
      <c r="A463" s="63">
        <v>254.93680000000001</v>
      </c>
      <c r="B463" s="63">
        <v>255.68360000000001</v>
      </c>
      <c r="C463" s="63">
        <v>251.59110000000001</v>
      </c>
      <c r="D463" s="63">
        <v>252.69640000000001</v>
      </c>
      <c r="E463" s="63">
        <v>4780386</v>
      </c>
      <c r="F463" s="63" t="s">
        <v>1812</v>
      </c>
      <c r="G463" s="25">
        <f t="shared" si="5"/>
        <v>8.8659751385455898E-3</v>
      </c>
    </row>
    <row r="464" spans="1:7">
      <c r="A464" s="63">
        <v>251.78030000000001</v>
      </c>
      <c r="B464" s="63">
        <v>255.29519999999999</v>
      </c>
      <c r="C464" s="63">
        <v>251.04349999999999</v>
      </c>
      <c r="D464" s="63">
        <v>254.92679999999999</v>
      </c>
      <c r="E464" s="63">
        <v>4404270</v>
      </c>
      <c r="F464" s="63" t="s">
        <v>1811</v>
      </c>
      <c r="G464" s="25">
        <f t="shared" si="5"/>
        <v>-1.234275878409008E-2</v>
      </c>
    </row>
    <row r="465" spans="1:7">
      <c r="A465" s="63">
        <v>252.88560000000001</v>
      </c>
      <c r="B465" s="63">
        <v>254.19990000000001</v>
      </c>
      <c r="C465" s="63">
        <v>248.62379999999999</v>
      </c>
      <c r="D465" s="63">
        <v>250.54560000000001</v>
      </c>
      <c r="E465" s="63">
        <v>4705492</v>
      </c>
      <c r="F465" s="63" t="s">
        <v>1810</v>
      </c>
      <c r="G465" s="25">
        <f t="shared" si="5"/>
        <v>9.3396172193804805E-3</v>
      </c>
    </row>
    <row r="466" spans="1:7">
      <c r="A466" s="63">
        <v>250.04769999999999</v>
      </c>
      <c r="B466" s="63">
        <v>254.32939999999999</v>
      </c>
      <c r="C466" s="63">
        <v>249.8486</v>
      </c>
      <c r="D466" s="63">
        <v>251.5214</v>
      </c>
      <c r="E466" s="63">
        <v>5343727</v>
      </c>
      <c r="F466" s="63" t="s">
        <v>1809</v>
      </c>
      <c r="G466" s="25">
        <f t="shared" si="5"/>
        <v>-5.8591435957338067E-3</v>
      </c>
    </row>
    <row r="467" spans="1:7">
      <c r="A467" s="63">
        <v>251.51150000000001</v>
      </c>
      <c r="B467" s="63">
        <v>253.71199999999999</v>
      </c>
      <c r="C467" s="63">
        <v>245.0591</v>
      </c>
      <c r="D467" s="63">
        <v>250.12739999999999</v>
      </c>
      <c r="E467" s="63">
        <v>8947679</v>
      </c>
      <c r="F467" s="63" t="s">
        <v>1808</v>
      </c>
      <c r="G467" s="25">
        <f t="shared" si="5"/>
        <v>5.5335800875875307E-3</v>
      </c>
    </row>
    <row r="468" spans="1:7">
      <c r="A468" s="63">
        <v>251.35210000000001</v>
      </c>
      <c r="B468" s="63">
        <v>255.90260000000001</v>
      </c>
      <c r="C468" s="63">
        <v>250.0179</v>
      </c>
      <c r="D468" s="63">
        <v>254.9965</v>
      </c>
      <c r="E468" s="63">
        <v>7017109</v>
      </c>
      <c r="F468" s="63" t="s">
        <v>1807</v>
      </c>
      <c r="G468" s="25">
        <f t="shared" si="5"/>
        <v>-1.4291960870051135E-2</v>
      </c>
    </row>
    <row r="469" spans="1:7">
      <c r="A469" s="63">
        <v>255.87280000000001</v>
      </c>
      <c r="B469" s="63">
        <v>261.3109</v>
      </c>
      <c r="C469" s="63">
        <v>255.69380000000001</v>
      </c>
      <c r="D469" s="63">
        <v>259.85939999999999</v>
      </c>
      <c r="E469" s="63">
        <v>6539287</v>
      </c>
      <c r="F469" s="63" t="s">
        <v>1806</v>
      </c>
      <c r="G469" s="25">
        <f t="shared" si="5"/>
        <v>-1.5341373065588471E-2</v>
      </c>
    </row>
    <row r="470" spans="1:7">
      <c r="A470" s="63">
        <v>261.65890000000002</v>
      </c>
      <c r="B470" s="63">
        <v>264.25959999999998</v>
      </c>
      <c r="C470" s="63">
        <v>259.79480000000001</v>
      </c>
      <c r="D470" s="63">
        <v>261.19159999999999</v>
      </c>
      <c r="E470" s="63">
        <v>6562111</v>
      </c>
      <c r="F470" s="63" t="s">
        <v>1805</v>
      </c>
      <c r="G470" s="25">
        <f t="shared" si="5"/>
        <v>1.7891080723884123E-3</v>
      </c>
    </row>
    <row r="471" spans="1:7">
      <c r="A471" s="63">
        <v>259.43189999999998</v>
      </c>
      <c r="B471" s="63">
        <v>259.7004</v>
      </c>
      <c r="C471" s="63">
        <v>255.44030000000001</v>
      </c>
      <c r="D471" s="63">
        <v>255.48500000000001</v>
      </c>
      <c r="E471" s="63">
        <v>4755729</v>
      </c>
      <c r="F471" s="63" t="s">
        <v>1804</v>
      </c>
      <c r="G471" s="25">
        <f t="shared" si="5"/>
        <v>1.5448656476896749E-2</v>
      </c>
    </row>
    <row r="472" spans="1:7">
      <c r="A472" s="63">
        <v>254.6996</v>
      </c>
      <c r="B472" s="63">
        <v>256.23070000000001</v>
      </c>
      <c r="C472" s="63">
        <v>252.58199999999999</v>
      </c>
      <c r="D472" s="63">
        <v>253.56630000000001</v>
      </c>
      <c r="E472" s="63">
        <v>5130593</v>
      </c>
      <c r="F472" s="63" t="s">
        <v>1803</v>
      </c>
      <c r="G472" s="25">
        <f t="shared" si="5"/>
        <v>4.4694425087246081E-3</v>
      </c>
    </row>
    <row r="473" spans="1:7">
      <c r="A473" s="63">
        <v>254.71950000000001</v>
      </c>
      <c r="B473" s="63">
        <v>257.97039999999998</v>
      </c>
      <c r="C473" s="63">
        <v>253.04929999999999</v>
      </c>
      <c r="D473" s="63">
        <v>256.64819999999997</v>
      </c>
      <c r="E473" s="63">
        <v>5871685</v>
      </c>
      <c r="F473" s="63" t="s">
        <v>1802</v>
      </c>
      <c r="G473" s="25">
        <f t="shared" si="5"/>
        <v>-7.5149562708796136E-3</v>
      </c>
    </row>
    <row r="474" spans="1:7">
      <c r="A474" s="63">
        <v>255.60429999999999</v>
      </c>
      <c r="B474" s="63">
        <v>258.66640000000001</v>
      </c>
      <c r="C474" s="63">
        <v>251.7071</v>
      </c>
      <c r="D474" s="63">
        <v>252.02529999999999</v>
      </c>
      <c r="E474" s="63">
        <v>12619303</v>
      </c>
      <c r="F474" s="63" t="s">
        <v>1801</v>
      </c>
      <c r="G474" s="25">
        <f t="shared" si="5"/>
        <v>1.4200955221559175E-2</v>
      </c>
    </row>
    <row r="475" spans="1:7">
      <c r="A475" s="63">
        <v>251.37909999999999</v>
      </c>
      <c r="B475" s="63">
        <v>257.09559999999999</v>
      </c>
      <c r="C475" s="63">
        <v>243.02789999999999</v>
      </c>
      <c r="D475" s="63">
        <v>243.57470000000001</v>
      </c>
      <c r="E475" s="63">
        <v>12869018</v>
      </c>
      <c r="F475" s="63" t="s">
        <v>1800</v>
      </c>
      <c r="G475" s="25">
        <f t="shared" si="5"/>
        <v>3.2041094580020024E-2</v>
      </c>
    </row>
    <row r="476" spans="1:7">
      <c r="A476" s="63">
        <v>241.7355</v>
      </c>
      <c r="B476" s="63">
        <v>242.19280000000001</v>
      </c>
      <c r="C476" s="63">
        <v>238.50540000000001</v>
      </c>
      <c r="D476" s="63">
        <v>240.06530000000001</v>
      </c>
      <c r="E476" s="63">
        <v>4524735</v>
      </c>
      <c r="F476" s="63" t="s">
        <v>1799</v>
      </c>
      <c r="G476" s="25">
        <f t="shared" si="5"/>
        <v>6.9572737084451219E-3</v>
      </c>
    </row>
    <row r="477" spans="1:7">
      <c r="A477" s="63">
        <v>240.3536</v>
      </c>
      <c r="B477" s="63">
        <v>241.6858</v>
      </c>
      <c r="C477" s="63">
        <v>238.47460000000001</v>
      </c>
      <c r="D477" s="63">
        <v>240.3734</v>
      </c>
      <c r="E477" s="63">
        <v>6216627</v>
      </c>
      <c r="F477" s="63" t="s">
        <v>1798</v>
      </c>
      <c r="G477" s="25">
        <f t="shared" si="5"/>
        <v>-8.2371843140749412E-5</v>
      </c>
    </row>
    <row r="478" spans="1:7">
      <c r="A478" s="63">
        <v>238.54419999999999</v>
      </c>
      <c r="B478" s="63">
        <v>242.98820000000001</v>
      </c>
      <c r="C478" s="63">
        <v>238.41489999999999</v>
      </c>
      <c r="D478" s="63">
        <v>241.77520000000001</v>
      </c>
      <c r="E478" s="63">
        <v>7545685</v>
      </c>
      <c r="F478" s="63" t="s">
        <v>1797</v>
      </c>
      <c r="G478" s="25">
        <f t="shared" si="5"/>
        <v>-1.3363653509541162E-2</v>
      </c>
    </row>
    <row r="479" spans="1:7">
      <c r="A479" s="63">
        <v>243.6344</v>
      </c>
      <c r="B479" s="63">
        <v>243.94649999999999</v>
      </c>
      <c r="C479" s="63">
        <v>238.7927</v>
      </c>
      <c r="D479" s="63">
        <v>239.1705</v>
      </c>
      <c r="E479" s="63">
        <v>15928785</v>
      </c>
      <c r="F479" s="63" t="s">
        <v>1796</v>
      </c>
      <c r="G479" s="25">
        <f t="shared" si="5"/>
        <v>1.8664091098191449E-2</v>
      </c>
    </row>
    <row r="480" spans="1:7">
      <c r="A480" s="63">
        <v>240.39330000000001</v>
      </c>
      <c r="B480" s="63">
        <v>242.3519</v>
      </c>
      <c r="C480" s="63">
        <v>231.49539999999999</v>
      </c>
      <c r="D480" s="63">
        <v>231.49539999999999</v>
      </c>
      <c r="E480" s="63">
        <v>14809627</v>
      </c>
      <c r="F480" s="63" t="s">
        <v>1795</v>
      </c>
      <c r="G480" s="25">
        <f t="shared" si="5"/>
        <v>3.8436616883100072E-2</v>
      </c>
    </row>
    <row r="481" spans="1:7">
      <c r="A481" s="63">
        <v>230.4615</v>
      </c>
      <c r="B481" s="63">
        <v>230.93870000000001</v>
      </c>
      <c r="C481" s="63">
        <v>227.8965</v>
      </c>
      <c r="D481" s="63">
        <v>229.13919999999999</v>
      </c>
      <c r="E481" s="63">
        <v>7119770</v>
      </c>
      <c r="F481" s="63" t="s">
        <v>1794</v>
      </c>
      <c r="G481" s="25">
        <f t="shared" si="5"/>
        <v>5.7707280116192639E-3</v>
      </c>
    </row>
    <row r="482" spans="1:7">
      <c r="A482" s="63">
        <v>229.13919999999999</v>
      </c>
      <c r="B482" s="63">
        <v>230.4913</v>
      </c>
      <c r="C482" s="63">
        <v>226.44499999999999</v>
      </c>
      <c r="D482" s="63">
        <v>228.94040000000001</v>
      </c>
      <c r="E482" s="63">
        <v>10563678</v>
      </c>
      <c r="F482" s="63" t="s">
        <v>1793</v>
      </c>
      <c r="G482" s="25">
        <f t="shared" si="5"/>
        <v>8.6834826880699545E-4</v>
      </c>
    </row>
    <row r="483" spans="1:7">
      <c r="A483" s="63">
        <v>230.5907</v>
      </c>
      <c r="B483" s="63">
        <v>233.88130000000001</v>
      </c>
      <c r="C483" s="63">
        <v>227.86660000000001</v>
      </c>
      <c r="D483" s="63">
        <v>228.01580000000001</v>
      </c>
      <c r="E483" s="63">
        <v>8833734</v>
      </c>
      <c r="F483" s="63" t="s">
        <v>1792</v>
      </c>
      <c r="G483" s="25">
        <f t="shared" si="5"/>
        <v>1.1292638492595541E-2</v>
      </c>
    </row>
    <row r="484" spans="1:7">
      <c r="A484" s="63">
        <v>227.69759999999999</v>
      </c>
      <c r="B484" s="63">
        <v>234.2791</v>
      </c>
      <c r="C484" s="63">
        <v>227.32980000000001</v>
      </c>
      <c r="D484" s="63">
        <v>234.1499</v>
      </c>
      <c r="E484" s="63">
        <v>13566707</v>
      </c>
      <c r="F484" s="63" t="s">
        <v>1791</v>
      </c>
      <c r="G484" s="25">
        <f t="shared" si="5"/>
        <v>-2.7556279118633009E-2</v>
      </c>
    </row>
    <row r="485" spans="1:7">
      <c r="A485" s="63">
        <v>234.4282</v>
      </c>
      <c r="B485" s="63">
        <v>240.791</v>
      </c>
      <c r="C485" s="63">
        <v>233.52350000000001</v>
      </c>
      <c r="D485" s="63">
        <v>239.16050000000001</v>
      </c>
      <c r="E485" s="63">
        <v>10260116</v>
      </c>
      <c r="F485" s="63" t="s">
        <v>1790</v>
      </c>
      <c r="G485" s="25">
        <f t="shared" si="5"/>
        <v>-1.9787130399877895E-2</v>
      </c>
    </row>
    <row r="486" spans="1:7">
      <c r="A486" s="63">
        <v>239.58799999999999</v>
      </c>
      <c r="B486" s="63">
        <v>242.33199999999999</v>
      </c>
      <c r="C486" s="63">
        <v>234.88560000000001</v>
      </c>
      <c r="D486" s="63">
        <v>239.75710000000001</v>
      </c>
      <c r="E486" s="63">
        <v>7264354</v>
      </c>
      <c r="F486" s="63" t="s">
        <v>1789</v>
      </c>
      <c r="G486" s="25">
        <f t="shared" si="5"/>
        <v>-7.052971528268559E-4</v>
      </c>
    </row>
    <row r="487" spans="1:7">
      <c r="A487" s="63">
        <v>240.4331</v>
      </c>
      <c r="B487" s="63">
        <v>242.2226</v>
      </c>
      <c r="C487" s="63">
        <v>239.03129999999999</v>
      </c>
      <c r="D487" s="63">
        <v>240.38339999999999</v>
      </c>
      <c r="E487" s="63">
        <v>7660118</v>
      </c>
      <c r="F487" s="63" t="s">
        <v>1788</v>
      </c>
      <c r="G487" s="25">
        <f t="shared" si="5"/>
        <v>2.0675304534334416E-4</v>
      </c>
    </row>
    <row r="488" spans="1:7">
      <c r="A488" s="63">
        <v>240.44300000000001</v>
      </c>
      <c r="B488" s="63">
        <v>242.51079999999999</v>
      </c>
      <c r="C488" s="63">
        <v>238.8905</v>
      </c>
      <c r="D488" s="63">
        <v>240.9203</v>
      </c>
      <c r="E488" s="63">
        <v>6883831</v>
      </c>
      <c r="F488" s="63" t="s">
        <v>1787</v>
      </c>
      <c r="G488" s="25">
        <f t="shared" si="5"/>
        <v>-1.9811531033291363E-3</v>
      </c>
    </row>
    <row r="489" spans="1:7">
      <c r="A489" s="63">
        <v>241.3477</v>
      </c>
      <c r="B489" s="63">
        <v>245.31450000000001</v>
      </c>
      <c r="C489" s="63">
        <v>238.05699999999999</v>
      </c>
      <c r="D489" s="63">
        <v>238.4845</v>
      </c>
      <c r="E489" s="63">
        <v>11693763</v>
      </c>
      <c r="F489" s="63" t="s">
        <v>1786</v>
      </c>
      <c r="G489" s="25">
        <f t="shared" si="5"/>
        <v>1.2005811698454272E-2</v>
      </c>
    </row>
    <row r="490" spans="1:7">
      <c r="A490" s="63">
        <v>235.154</v>
      </c>
      <c r="B490" s="63">
        <v>235.54169999999999</v>
      </c>
      <c r="C490" s="63">
        <v>230.203</v>
      </c>
      <c r="D490" s="63">
        <v>234.26920000000001</v>
      </c>
      <c r="E490" s="63">
        <v>10772093</v>
      </c>
      <c r="F490" s="63" t="s">
        <v>1785</v>
      </c>
      <c r="G490" s="25">
        <f t="shared" si="5"/>
        <v>3.7768515878313647E-3</v>
      </c>
    </row>
    <row r="491" spans="1:7">
      <c r="A491" s="63">
        <v>233.49369999999999</v>
      </c>
      <c r="B491" s="63">
        <v>239.19030000000001</v>
      </c>
      <c r="C491" s="63">
        <v>230.8492</v>
      </c>
      <c r="D491" s="63">
        <v>234.34870000000001</v>
      </c>
      <c r="E491" s="63">
        <v>11197479</v>
      </c>
      <c r="F491" s="63" t="s">
        <v>1784</v>
      </c>
      <c r="G491" s="25">
        <f t="shared" si="5"/>
        <v>-3.6484094001801859E-3</v>
      </c>
    </row>
    <row r="492" spans="1:7">
      <c r="A492" s="63">
        <v>235.24350000000001</v>
      </c>
      <c r="B492" s="63">
        <v>239.58799999999999</v>
      </c>
      <c r="C492" s="63">
        <v>228.87090000000001</v>
      </c>
      <c r="D492" s="63">
        <v>233.2551</v>
      </c>
      <c r="E492" s="63">
        <v>19962737</v>
      </c>
      <c r="F492" s="63" t="s">
        <v>1783</v>
      </c>
      <c r="G492" s="25">
        <f t="shared" si="5"/>
        <v>8.5245724530782496E-3</v>
      </c>
    </row>
    <row r="493" spans="1:7">
      <c r="A493" s="63">
        <v>233.0762</v>
      </c>
      <c r="B493" s="63">
        <v>233.2551</v>
      </c>
      <c r="C493" s="63">
        <v>214.8031</v>
      </c>
      <c r="D493" s="63">
        <v>217.83529999999999</v>
      </c>
      <c r="E493" s="63">
        <v>36807425</v>
      </c>
      <c r="F493" s="63" t="s">
        <v>1782</v>
      </c>
      <c r="G493" s="25">
        <f t="shared" si="5"/>
        <v>6.996524438417473E-2</v>
      </c>
    </row>
    <row r="494" spans="1:7">
      <c r="A494" s="63">
        <v>216.74170000000001</v>
      </c>
      <c r="B494" s="63">
        <v>223.78049999999999</v>
      </c>
      <c r="C494" s="63">
        <v>210.76669999999999</v>
      </c>
      <c r="D494" s="63">
        <v>222.10040000000001</v>
      </c>
      <c r="E494" s="63">
        <v>66860913</v>
      </c>
      <c r="F494" s="63" t="s">
        <v>1781</v>
      </c>
      <c r="G494" s="25">
        <f t="shared" si="5"/>
        <v>-2.4127376627867347E-2</v>
      </c>
    </row>
    <row r="495" spans="1:7">
      <c r="A495" s="63">
        <v>270.03989999999999</v>
      </c>
      <c r="B495" s="63">
        <v>271.27760000000001</v>
      </c>
      <c r="C495" s="63">
        <v>266.21230000000003</v>
      </c>
      <c r="D495" s="63">
        <v>266.4409</v>
      </c>
      <c r="E495" s="63">
        <v>13397852</v>
      </c>
      <c r="F495" s="63" t="s">
        <v>1780</v>
      </c>
      <c r="G495" s="25">
        <f t="shared" si="5"/>
        <v>1.3507685944612824E-2</v>
      </c>
    </row>
    <row r="496" spans="1:7">
      <c r="A496" s="63">
        <v>268.26029999999997</v>
      </c>
      <c r="B496" s="63">
        <v>271.63549999999998</v>
      </c>
      <c r="C496" s="63">
        <v>265.60579999999999</v>
      </c>
      <c r="D496" s="63">
        <v>271.51119999999997</v>
      </c>
      <c r="E496" s="63">
        <v>9294119</v>
      </c>
      <c r="F496" s="63" t="s">
        <v>1779</v>
      </c>
      <c r="G496" s="25">
        <f t="shared" si="5"/>
        <v>-1.1973355058649493E-2</v>
      </c>
    </row>
    <row r="497" spans="1:7">
      <c r="A497" s="63">
        <v>270.70600000000002</v>
      </c>
      <c r="B497" s="63">
        <v>273.36040000000003</v>
      </c>
      <c r="C497" s="63">
        <v>266.96780000000001</v>
      </c>
      <c r="D497" s="63">
        <v>269.35390000000001</v>
      </c>
      <c r="E497" s="63">
        <v>8325132</v>
      </c>
      <c r="F497" s="63" t="s">
        <v>1778</v>
      </c>
      <c r="G497" s="25">
        <f t="shared" si="5"/>
        <v>5.0197899492081532E-3</v>
      </c>
    </row>
    <row r="498" spans="1:7">
      <c r="A498" s="63">
        <v>276.94940000000003</v>
      </c>
      <c r="B498" s="63">
        <v>285.3304</v>
      </c>
      <c r="C498" s="63">
        <v>275.84589999999997</v>
      </c>
      <c r="D498" s="63">
        <v>285.01220000000001</v>
      </c>
      <c r="E498" s="63">
        <v>5456632</v>
      </c>
      <c r="F498" s="63" t="s">
        <v>1777</v>
      </c>
      <c r="G498" s="25">
        <f t="shared" si="5"/>
        <v>-2.8289315334571574E-2</v>
      </c>
    </row>
    <row r="499" spans="1:7">
      <c r="A499" s="63">
        <v>282.16890000000001</v>
      </c>
      <c r="B499" s="63">
        <v>285.41989999999998</v>
      </c>
      <c r="C499" s="63">
        <v>281.18959999999998</v>
      </c>
      <c r="D499" s="63">
        <v>281.76130000000001</v>
      </c>
      <c r="E499" s="63">
        <v>3309164</v>
      </c>
      <c r="F499" s="63" t="s">
        <v>1776</v>
      </c>
      <c r="G499" s="25">
        <f t="shared" si="5"/>
        <v>1.4466145634619565E-3</v>
      </c>
    </row>
    <row r="500" spans="1:7">
      <c r="A500" s="63">
        <v>282.10919999999999</v>
      </c>
      <c r="B500" s="63">
        <v>285.54910000000001</v>
      </c>
      <c r="C500" s="63">
        <v>281.642</v>
      </c>
      <c r="D500" s="63">
        <v>285.1216</v>
      </c>
      <c r="E500" s="63">
        <v>3492113</v>
      </c>
      <c r="F500" s="63" t="s">
        <v>1775</v>
      </c>
      <c r="G500" s="25">
        <f t="shared" si="5"/>
        <v>-1.0565316692947913E-2</v>
      </c>
    </row>
    <row r="501" spans="1:7">
      <c r="A501" s="63">
        <v>285.39999999999998</v>
      </c>
      <c r="B501" s="63">
        <v>286.04680000000002</v>
      </c>
      <c r="C501" s="63">
        <v>283.45139999999998</v>
      </c>
      <c r="D501" s="63">
        <v>284.33620000000002</v>
      </c>
      <c r="E501" s="63">
        <v>2799272</v>
      </c>
      <c r="F501" s="63" t="s">
        <v>1774</v>
      </c>
      <c r="G501" s="25">
        <f t="shared" si="5"/>
        <v>3.7413456323884819E-3</v>
      </c>
    </row>
    <row r="502" spans="1:7">
      <c r="A502" s="63">
        <v>283.94850000000002</v>
      </c>
      <c r="B502" s="63">
        <v>285.66840000000002</v>
      </c>
      <c r="C502" s="63">
        <v>282.60629999999998</v>
      </c>
      <c r="D502" s="63">
        <v>285.37020000000001</v>
      </c>
      <c r="E502" s="63">
        <v>3478869</v>
      </c>
      <c r="F502" s="63" t="s">
        <v>1773</v>
      </c>
      <c r="G502" s="25">
        <f t="shared" si="5"/>
        <v>-4.9819497620984254E-3</v>
      </c>
    </row>
    <row r="503" spans="1:7">
      <c r="A503" s="63">
        <v>283.02390000000003</v>
      </c>
      <c r="B503" s="63">
        <v>288.33280000000002</v>
      </c>
      <c r="C503" s="63">
        <v>282.92450000000002</v>
      </c>
      <c r="D503" s="63">
        <v>287.73630000000003</v>
      </c>
      <c r="E503" s="63">
        <v>3559188</v>
      </c>
      <c r="F503" s="63" t="s">
        <v>1772</v>
      </c>
      <c r="G503" s="25">
        <f t="shared" si="5"/>
        <v>-1.6377495644449458E-2</v>
      </c>
    </row>
    <row r="504" spans="1:7">
      <c r="A504" s="63">
        <v>285.86720000000003</v>
      </c>
      <c r="B504" s="63">
        <v>286.12569999999999</v>
      </c>
      <c r="C504" s="63">
        <v>278.10270000000003</v>
      </c>
      <c r="D504" s="63">
        <v>278.11259999999999</v>
      </c>
      <c r="E504" s="63">
        <v>5828547</v>
      </c>
      <c r="F504" s="63" t="s">
        <v>1771</v>
      </c>
      <c r="G504" s="25">
        <f t="shared" si="5"/>
        <v>2.7882951006175327E-2</v>
      </c>
    </row>
    <row r="505" spans="1:7">
      <c r="A505" s="63">
        <v>275.18970000000002</v>
      </c>
      <c r="B505" s="63">
        <v>277.23770000000002</v>
      </c>
      <c r="C505" s="63">
        <v>273.44</v>
      </c>
      <c r="D505" s="63">
        <v>275.34879999999998</v>
      </c>
      <c r="E505" s="63">
        <v>3056843</v>
      </c>
      <c r="F505" s="63" t="s">
        <v>1770</v>
      </c>
      <c r="G505" s="25">
        <f t="shared" ref="G505:G568" si="6">A505/D505-1</f>
        <v>-5.7781257808264819E-4</v>
      </c>
    </row>
    <row r="506" spans="1:7">
      <c r="A506" s="63">
        <v>275.90550000000002</v>
      </c>
      <c r="B506" s="63">
        <v>276.18389999999999</v>
      </c>
      <c r="C506" s="63">
        <v>273.58409999999998</v>
      </c>
      <c r="D506" s="63">
        <v>275.52769999999998</v>
      </c>
      <c r="E506" s="63">
        <v>2998662</v>
      </c>
      <c r="F506" s="63" t="s">
        <v>1769</v>
      </c>
      <c r="G506" s="25">
        <f t="shared" si="6"/>
        <v>1.3711869986212655E-3</v>
      </c>
    </row>
    <row r="507" spans="1:7">
      <c r="A507" s="63">
        <v>275.06049999999999</v>
      </c>
      <c r="B507" s="63">
        <v>278.01319999999998</v>
      </c>
      <c r="C507" s="63">
        <v>273.37040000000002</v>
      </c>
      <c r="D507" s="63">
        <v>274.49380000000002</v>
      </c>
      <c r="E507" s="63">
        <v>2912308</v>
      </c>
      <c r="F507" s="63" t="s">
        <v>1768</v>
      </c>
      <c r="G507" s="25">
        <f t="shared" si="6"/>
        <v>2.0645275048105649E-3</v>
      </c>
    </row>
    <row r="508" spans="1:7">
      <c r="A508" s="63">
        <v>273.56920000000002</v>
      </c>
      <c r="B508" s="63">
        <v>273.7482</v>
      </c>
      <c r="C508" s="63">
        <v>269.4939</v>
      </c>
      <c r="D508" s="63">
        <v>270.58670000000001</v>
      </c>
      <c r="E508" s="63">
        <v>4709740</v>
      </c>
      <c r="F508" s="63" t="s">
        <v>1767</v>
      </c>
      <c r="G508" s="25">
        <f t="shared" si="6"/>
        <v>1.1022345148523627E-2</v>
      </c>
    </row>
    <row r="509" spans="1:7">
      <c r="A509" s="63">
        <v>277.34710000000001</v>
      </c>
      <c r="B509" s="63">
        <v>278.31150000000002</v>
      </c>
      <c r="C509" s="63">
        <v>274.1259</v>
      </c>
      <c r="D509" s="63">
        <v>274.1259</v>
      </c>
      <c r="E509" s="63">
        <v>3283270</v>
      </c>
      <c r="F509" s="63" t="s">
        <v>1766</v>
      </c>
      <c r="G509" s="25">
        <f t="shared" si="6"/>
        <v>1.1750805013316823E-2</v>
      </c>
    </row>
    <row r="510" spans="1:7">
      <c r="A510" s="63">
        <v>275.5675</v>
      </c>
      <c r="B510" s="63">
        <v>277.25959999999998</v>
      </c>
      <c r="C510" s="63">
        <v>272.47559999999999</v>
      </c>
      <c r="D510" s="63">
        <v>273.98680000000002</v>
      </c>
      <c r="E510" s="63">
        <v>3507733</v>
      </c>
      <c r="F510" s="63" t="s">
        <v>1765</v>
      </c>
      <c r="G510" s="25">
        <f t="shared" si="6"/>
        <v>5.7692560371520596E-3</v>
      </c>
    </row>
    <row r="511" spans="1:7">
      <c r="A511" s="63">
        <v>274.0265</v>
      </c>
      <c r="B511" s="63">
        <v>275.51780000000002</v>
      </c>
      <c r="C511" s="63">
        <v>272.46570000000003</v>
      </c>
      <c r="D511" s="63">
        <v>274.5634</v>
      </c>
      <c r="E511" s="63">
        <v>3744763</v>
      </c>
      <c r="F511" s="63" t="s">
        <v>1764</v>
      </c>
      <c r="G511" s="25">
        <f t="shared" si="6"/>
        <v>-1.955468208799882E-3</v>
      </c>
    </row>
    <row r="512" spans="1:7">
      <c r="A512" s="63">
        <v>272.06799999999998</v>
      </c>
      <c r="B512" s="63">
        <v>276.05470000000003</v>
      </c>
      <c r="C512" s="63">
        <v>271.75979999999998</v>
      </c>
      <c r="D512" s="63">
        <v>275.20960000000002</v>
      </c>
      <c r="E512" s="63">
        <v>4041636</v>
      </c>
      <c r="F512" s="63" t="s">
        <v>1763</v>
      </c>
      <c r="G512" s="25">
        <f t="shared" si="6"/>
        <v>-1.1415299466297824E-2</v>
      </c>
    </row>
    <row r="513" spans="1:7">
      <c r="A513" s="63">
        <v>270.54689999999999</v>
      </c>
      <c r="B513" s="63">
        <v>271.4914</v>
      </c>
      <c r="C513" s="63">
        <v>266.38130000000001</v>
      </c>
      <c r="D513" s="63">
        <v>268.85680000000002</v>
      </c>
      <c r="E513" s="63">
        <v>3859883</v>
      </c>
      <c r="F513" s="63" t="s">
        <v>1762</v>
      </c>
      <c r="G513" s="25">
        <f t="shared" si="6"/>
        <v>6.2862460611001758E-3</v>
      </c>
    </row>
    <row r="514" spans="1:7">
      <c r="A514" s="63">
        <v>267.12689999999998</v>
      </c>
      <c r="B514" s="63">
        <v>272.40600000000001</v>
      </c>
      <c r="C514" s="63">
        <v>264.99939999999998</v>
      </c>
      <c r="D514" s="63">
        <v>267.45499999999998</v>
      </c>
      <c r="E514" s="63">
        <v>3761619</v>
      </c>
      <c r="F514" s="63" t="s">
        <v>1761</v>
      </c>
      <c r="G514" s="25">
        <f t="shared" si="6"/>
        <v>-1.2267484249687266E-3</v>
      </c>
    </row>
    <row r="515" spans="1:7">
      <c r="A515" s="63">
        <v>267.37540000000001</v>
      </c>
      <c r="B515" s="63">
        <v>273.01249999999999</v>
      </c>
      <c r="C515" s="63">
        <v>266.79390000000001</v>
      </c>
      <c r="D515" s="63">
        <v>272.91300000000001</v>
      </c>
      <c r="E515" s="63">
        <v>5217985</v>
      </c>
      <c r="F515" s="63" t="s">
        <v>1760</v>
      </c>
      <c r="G515" s="25">
        <f t="shared" si="6"/>
        <v>-2.029071535617577E-2</v>
      </c>
    </row>
    <row r="516" spans="1:7">
      <c r="A516" s="63">
        <v>274.13589999999999</v>
      </c>
      <c r="B516" s="63">
        <v>275.67689999999999</v>
      </c>
      <c r="C516" s="63">
        <v>271.63060000000002</v>
      </c>
      <c r="D516" s="63">
        <v>273.29079999999999</v>
      </c>
      <c r="E516" s="63">
        <v>3608840</v>
      </c>
      <c r="F516" s="63" t="s">
        <v>1759</v>
      </c>
      <c r="G516" s="25">
        <f t="shared" si="6"/>
        <v>3.0923104619695607E-3</v>
      </c>
    </row>
    <row r="517" spans="1:7">
      <c r="A517" s="63">
        <v>272.6943</v>
      </c>
      <c r="B517" s="63">
        <v>275.28910000000002</v>
      </c>
      <c r="C517" s="63">
        <v>271.8716</v>
      </c>
      <c r="D517" s="63">
        <v>273.40019999999998</v>
      </c>
      <c r="E517" s="63">
        <v>3754585</v>
      </c>
      <c r="F517" s="63" t="s">
        <v>1758</v>
      </c>
      <c r="G517" s="25">
        <f t="shared" si="6"/>
        <v>-2.5819293475278782E-3</v>
      </c>
    </row>
    <row r="518" spans="1:7">
      <c r="A518" s="63">
        <v>271.55099999999999</v>
      </c>
      <c r="B518" s="63">
        <v>271.98849999999999</v>
      </c>
      <c r="C518" s="63">
        <v>267.71350000000001</v>
      </c>
      <c r="D518" s="63">
        <v>270.02</v>
      </c>
      <c r="E518" s="63">
        <v>4811919</v>
      </c>
      <c r="F518" s="63" t="s">
        <v>1757</v>
      </c>
      <c r="G518" s="25">
        <f t="shared" si="6"/>
        <v>5.6699503740464952E-3</v>
      </c>
    </row>
    <row r="519" spans="1:7">
      <c r="A519" s="63">
        <v>274.58330000000001</v>
      </c>
      <c r="B519" s="63">
        <v>277.31659999999999</v>
      </c>
      <c r="C519" s="63">
        <v>272.5154</v>
      </c>
      <c r="D519" s="63">
        <v>276.3827</v>
      </c>
      <c r="E519" s="63">
        <v>3938845</v>
      </c>
      <c r="F519" s="63" t="s">
        <v>1756</v>
      </c>
      <c r="G519" s="25">
        <f t="shared" si="6"/>
        <v>-6.5105377434984124E-3</v>
      </c>
    </row>
    <row r="520" spans="1:7">
      <c r="A520" s="63">
        <v>275.07040000000001</v>
      </c>
      <c r="B520" s="63">
        <v>275.09030000000001</v>
      </c>
      <c r="C520" s="63">
        <v>268.83690000000001</v>
      </c>
      <c r="D520" s="63">
        <v>273.35050000000001</v>
      </c>
      <c r="E520" s="63">
        <v>6285237</v>
      </c>
      <c r="F520" s="63" t="s">
        <v>1755</v>
      </c>
      <c r="G520" s="25">
        <f t="shared" si="6"/>
        <v>6.2919219097825607E-3</v>
      </c>
    </row>
    <row r="521" spans="1:7">
      <c r="A521" s="63">
        <v>272.21710000000002</v>
      </c>
      <c r="B521" s="63">
        <v>278.0729</v>
      </c>
      <c r="C521" s="63">
        <v>267.99180000000001</v>
      </c>
      <c r="D521" s="63">
        <v>277.7647</v>
      </c>
      <c r="E521" s="63">
        <v>6747204</v>
      </c>
      <c r="F521" s="63" t="s">
        <v>1754</v>
      </c>
      <c r="G521" s="25">
        <f t="shared" si="6"/>
        <v>-1.9972300295897916E-2</v>
      </c>
    </row>
    <row r="522" spans="1:7">
      <c r="A522" s="63">
        <v>268.7971</v>
      </c>
      <c r="B522" s="63">
        <v>271.56099999999998</v>
      </c>
      <c r="C522" s="63">
        <v>267.16669999999999</v>
      </c>
      <c r="D522" s="63">
        <v>270.90480000000002</v>
      </c>
      <c r="E522" s="63">
        <v>4913553</v>
      </c>
      <c r="F522" s="63" t="s">
        <v>1753</v>
      </c>
      <c r="G522" s="25">
        <f t="shared" si="6"/>
        <v>-7.7802239015329899E-3</v>
      </c>
    </row>
    <row r="523" spans="1:7">
      <c r="A523" s="63">
        <v>270.3381</v>
      </c>
      <c r="B523" s="63">
        <v>274.72250000000003</v>
      </c>
      <c r="C523" s="63">
        <v>268.1807</v>
      </c>
      <c r="D523" s="63">
        <v>274.71249999999998</v>
      </c>
      <c r="E523" s="63">
        <v>5918155</v>
      </c>
      <c r="F523" s="63" t="s">
        <v>1752</v>
      </c>
      <c r="G523" s="25">
        <f t="shared" si="6"/>
        <v>-1.5923556445374687E-2</v>
      </c>
    </row>
    <row r="524" spans="1:7">
      <c r="A524" s="63">
        <v>274.71249999999998</v>
      </c>
      <c r="B524" s="63">
        <v>277.3449</v>
      </c>
      <c r="C524" s="63">
        <v>273.24110000000002</v>
      </c>
      <c r="D524" s="63">
        <v>276.12430000000001</v>
      </c>
      <c r="E524" s="63">
        <v>4199384</v>
      </c>
      <c r="F524" s="63" t="s">
        <v>1751</v>
      </c>
      <c r="G524" s="25">
        <f t="shared" si="6"/>
        <v>-5.1129147271719022E-3</v>
      </c>
    </row>
    <row r="525" spans="1:7">
      <c r="A525" s="63">
        <v>275.7962</v>
      </c>
      <c r="B525" s="63">
        <v>278.92779999999999</v>
      </c>
      <c r="C525" s="63">
        <v>270.85520000000002</v>
      </c>
      <c r="D525" s="63">
        <v>273.18150000000003</v>
      </c>
      <c r="E525" s="63">
        <v>7624347</v>
      </c>
      <c r="F525" s="63" t="s">
        <v>1750</v>
      </c>
      <c r="G525" s="25">
        <f t="shared" si="6"/>
        <v>9.5712923459310151E-3</v>
      </c>
    </row>
    <row r="526" spans="1:7">
      <c r="A526" s="63">
        <v>271.31240000000003</v>
      </c>
      <c r="B526" s="63">
        <v>284.81</v>
      </c>
      <c r="C526" s="63">
        <v>270.07960000000003</v>
      </c>
      <c r="D526" s="63">
        <v>281.29399999999998</v>
      </c>
      <c r="E526" s="63">
        <v>18365087</v>
      </c>
      <c r="F526" s="63" t="s">
        <v>1749</v>
      </c>
      <c r="G526" s="25">
        <f t="shared" si="6"/>
        <v>-3.5484581967620943E-2</v>
      </c>
    </row>
    <row r="527" spans="1:7">
      <c r="A527" s="63">
        <v>292.6078</v>
      </c>
      <c r="B527" s="63">
        <v>296.1173</v>
      </c>
      <c r="C527" s="63">
        <v>291.79259999999999</v>
      </c>
      <c r="D527" s="63">
        <v>295.14299999999997</v>
      </c>
      <c r="E527" s="63">
        <v>3819966</v>
      </c>
      <c r="F527" s="63" t="s">
        <v>1748</v>
      </c>
      <c r="G527" s="25">
        <f t="shared" si="6"/>
        <v>-8.5897344676986176E-3</v>
      </c>
    </row>
    <row r="528" spans="1:7">
      <c r="A528" s="63">
        <v>297.40969999999999</v>
      </c>
      <c r="B528" s="63">
        <v>299.33839999999998</v>
      </c>
      <c r="C528" s="63">
        <v>294.68340000000001</v>
      </c>
      <c r="D528" s="63">
        <v>297.7278</v>
      </c>
      <c r="E528" s="63">
        <v>3468596</v>
      </c>
      <c r="F528" s="63" t="s">
        <v>1747</v>
      </c>
      <c r="G528" s="25">
        <f t="shared" si="6"/>
        <v>-1.0684255887425387E-3</v>
      </c>
    </row>
    <row r="529" spans="1:7">
      <c r="A529" s="63">
        <v>297.87700000000001</v>
      </c>
      <c r="B529" s="63">
        <v>299.1694</v>
      </c>
      <c r="C529" s="63">
        <v>296.41550000000001</v>
      </c>
      <c r="D529" s="63">
        <v>296.71379999999999</v>
      </c>
      <c r="E529" s="63">
        <v>3036384</v>
      </c>
      <c r="F529" s="63" t="s">
        <v>1746</v>
      </c>
      <c r="G529" s="25">
        <f t="shared" si="6"/>
        <v>3.9202760370431466E-3</v>
      </c>
    </row>
    <row r="530" spans="1:7">
      <c r="A530" s="63">
        <v>300.61099999999999</v>
      </c>
      <c r="B530" s="63">
        <v>303.82220000000001</v>
      </c>
      <c r="C530" s="63">
        <v>297.50920000000002</v>
      </c>
      <c r="D530" s="63">
        <v>301.55540000000002</v>
      </c>
      <c r="E530" s="63">
        <v>2998100</v>
      </c>
      <c r="F530" s="63" t="s">
        <v>1745</v>
      </c>
      <c r="G530" s="25">
        <f t="shared" si="6"/>
        <v>-3.1317628535255659E-3</v>
      </c>
    </row>
    <row r="531" spans="1:7">
      <c r="A531" s="63">
        <v>299.97469999999998</v>
      </c>
      <c r="B531" s="63">
        <v>301.73439999999999</v>
      </c>
      <c r="C531" s="63">
        <v>297.77749999999997</v>
      </c>
      <c r="D531" s="63">
        <v>299.34840000000003</v>
      </c>
      <c r="E531" s="63">
        <v>3142901</v>
      </c>
      <c r="F531" s="63" t="s">
        <v>1744</v>
      </c>
      <c r="G531" s="25">
        <f t="shared" si="6"/>
        <v>2.0922109488474838E-3</v>
      </c>
    </row>
    <row r="532" spans="1:7">
      <c r="A532" s="63">
        <v>300.15359999999998</v>
      </c>
      <c r="B532" s="63">
        <v>301.6499</v>
      </c>
      <c r="C532" s="63">
        <v>291.58879999999999</v>
      </c>
      <c r="D532" s="63">
        <v>291.83229999999998</v>
      </c>
      <c r="E532" s="63">
        <v>4918179</v>
      </c>
      <c r="F532" s="63" t="s">
        <v>1743</v>
      </c>
      <c r="G532" s="25">
        <f t="shared" si="6"/>
        <v>2.8513978747383373E-2</v>
      </c>
    </row>
    <row r="533" spans="1:7">
      <c r="A533" s="63">
        <v>292.42880000000002</v>
      </c>
      <c r="B533" s="63">
        <v>309.48899999999998</v>
      </c>
      <c r="C533" s="63">
        <v>290.40069999999997</v>
      </c>
      <c r="D533" s="63">
        <v>306.4667</v>
      </c>
      <c r="E533" s="63">
        <v>8351020</v>
      </c>
      <c r="F533" s="63" t="s">
        <v>1742</v>
      </c>
      <c r="G533" s="25">
        <f t="shared" si="6"/>
        <v>-4.5805629127079639E-2</v>
      </c>
    </row>
    <row r="534" spans="1:7">
      <c r="A534" s="63">
        <v>302.96719999999999</v>
      </c>
      <c r="B534" s="63">
        <v>305.37310000000002</v>
      </c>
      <c r="C534" s="63">
        <v>301.33670000000001</v>
      </c>
      <c r="D534" s="63">
        <v>302.22149999999999</v>
      </c>
      <c r="E534" s="63">
        <v>3047382</v>
      </c>
      <c r="F534" s="63" t="s">
        <v>1741</v>
      </c>
      <c r="G534" s="25">
        <f t="shared" si="6"/>
        <v>2.4673956022320809E-3</v>
      </c>
    </row>
    <row r="535" spans="1:7">
      <c r="A535" s="63">
        <v>302.23149999999998</v>
      </c>
      <c r="B535" s="63">
        <v>302.68579999999997</v>
      </c>
      <c r="C535" s="63">
        <v>293.17399999999998</v>
      </c>
      <c r="D535" s="63">
        <v>295.76929999999999</v>
      </c>
      <c r="E535" s="63">
        <v>4746113</v>
      </c>
      <c r="F535" s="63" t="s">
        <v>1740</v>
      </c>
      <c r="G535" s="25">
        <f t="shared" si="6"/>
        <v>2.1848785523041148E-2</v>
      </c>
    </row>
    <row r="536" spans="1:7">
      <c r="A536" s="63">
        <v>300.5016</v>
      </c>
      <c r="B536" s="63">
        <v>301.74430000000001</v>
      </c>
      <c r="C536" s="63">
        <v>298.2448</v>
      </c>
      <c r="D536" s="63">
        <v>299.93490000000003</v>
      </c>
      <c r="E536" s="63">
        <v>2918140</v>
      </c>
      <c r="F536" s="63" t="s">
        <v>1739</v>
      </c>
      <c r="G536" s="25">
        <f t="shared" si="6"/>
        <v>1.8894100019704041E-3</v>
      </c>
    </row>
    <row r="537" spans="1:7">
      <c r="A537" s="63">
        <v>299.42790000000002</v>
      </c>
      <c r="B537" s="63">
        <v>301.0385</v>
      </c>
      <c r="C537" s="63">
        <v>297.89170000000001</v>
      </c>
      <c r="D537" s="63">
        <v>298.25479999999999</v>
      </c>
      <c r="E537" s="63">
        <v>4892275</v>
      </c>
      <c r="F537" s="63" t="s">
        <v>1738</v>
      </c>
      <c r="G537" s="25">
        <f t="shared" si="6"/>
        <v>3.933214151121911E-3</v>
      </c>
    </row>
    <row r="538" spans="1:7">
      <c r="A538" s="63">
        <v>299.62670000000003</v>
      </c>
      <c r="B538" s="63">
        <v>307.50069999999999</v>
      </c>
      <c r="C538" s="63">
        <v>296.89269999999999</v>
      </c>
      <c r="D538" s="63">
        <v>305.6515</v>
      </c>
      <c r="E538" s="63">
        <v>3859858</v>
      </c>
      <c r="F538" s="63" t="s">
        <v>1737</v>
      </c>
      <c r="G538" s="25">
        <f t="shared" si="6"/>
        <v>-1.9711337912622584E-2</v>
      </c>
    </row>
    <row r="539" spans="1:7">
      <c r="A539" s="63">
        <v>304.05079999999998</v>
      </c>
      <c r="B539" s="63">
        <v>306.18830000000003</v>
      </c>
      <c r="C539" s="63">
        <v>303.11630000000002</v>
      </c>
      <c r="D539" s="63">
        <v>305.69119999999998</v>
      </c>
      <c r="E539" s="63">
        <v>3893853</v>
      </c>
      <c r="F539" s="63" t="s">
        <v>1736</v>
      </c>
      <c r="G539" s="25">
        <f t="shared" si="6"/>
        <v>-5.3661996158214098E-3</v>
      </c>
    </row>
    <row r="540" spans="1:7">
      <c r="A540" s="63">
        <v>304.27949999999998</v>
      </c>
      <c r="B540" s="63">
        <v>305.91989999999998</v>
      </c>
      <c r="C540" s="63">
        <v>300.77999999999997</v>
      </c>
      <c r="D540" s="63">
        <v>301.9332</v>
      </c>
      <c r="E540" s="63">
        <v>4141223</v>
      </c>
      <c r="F540" s="63" t="s">
        <v>1735</v>
      </c>
      <c r="G540" s="25">
        <f t="shared" si="6"/>
        <v>7.7709241646828353E-3</v>
      </c>
    </row>
    <row r="541" spans="1:7">
      <c r="A541" s="63">
        <v>305.9796</v>
      </c>
      <c r="B541" s="63">
        <v>308.42520000000002</v>
      </c>
      <c r="C541" s="63">
        <v>304.86610000000002</v>
      </c>
      <c r="D541" s="63">
        <v>307.52050000000003</v>
      </c>
      <c r="E541" s="63">
        <v>3779208</v>
      </c>
      <c r="F541" s="63" t="s">
        <v>1734</v>
      </c>
      <c r="G541" s="25">
        <f t="shared" si="6"/>
        <v>-5.0107228623783584E-3</v>
      </c>
    </row>
    <row r="542" spans="1:7">
      <c r="A542" s="63">
        <v>306.59589999999997</v>
      </c>
      <c r="B542" s="63">
        <v>309.98610000000002</v>
      </c>
      <c r="C542" s="63">
        <v>304.56779999999998</v>
      </c>
      <c r="D542" s="63">
        <v>306.14859999999999</v>
      </c>
      <c r="E542" s="63">
        <v>6083853</v>
      </c>
      <c r="F542" s="63" t="s">
        <v>1733</v>
      </c>
      <c r="G542" s="25">
        <f t="shared" si="6"/>
        <v>1.4610551869254085E-3</v>
      </c>
    </row>
    <row r="543" spans="1:7">
      <c r="A543" s="63">
        <v>304.29939999999999</v>
      </c>
      <c r="B543" s="63">
        <v>305.23390000000001</v>
      </c>
      <c r="C543" s="63">
        <v>298.93579999999997</v>
      </c>
      <c r="D543" s="63">
        <v>300.2133</v>
      </c>
      <c r="E543" s="63">
        <v>4946571</v>
      </c>
      <c r="F543" s="63" t="s">
        <v>1732</v>
      </c>
      <c r="G543" s="25">
        <f t="shared" si="6"/>
        <v>1.36106561568059E-2</v>
      </c>
    </row>
    <row r="544" spans="1:7">
      <c r="A544" s="63">
        <v>299.69630000000001</v>
      </c>
      <c r="B544" s="63">
        <v>300.0145</v>
      </c>
      <c r="C544" s="63">
        <v>294.89440000000002</v>
      </c>
      <c r="D544" s="63">
        <v>296.44529999999997</v>
      </c>
      <c r="E544" s="63">
        <v>3329873</v>
      </c>
      <c r="F544" s="63" t="s">
        <v>1731</v>
      </c>
      <c r="G544" s="25">
        <f t="shared" si="6"/>
        <v>1.0966610028899204E-2</v>
      </c>
    </row>
    <row r="545" spans="1:7">
      <c r="A545" s="63">
        <v>298.76179999999999</v>
      </c>
      <c r="B545" s="63">
        <v>299.21910000000003</v>
      </c>
      <c r="C545" s="63">
        <v>294.29790000000003</v>
      </c>
      <c r="D545" s="63">
        <v>297.87700000000001</v>
      </c>
      <c r="E545" s="63">
        <v>5240467</v>
      </c>
      <c r="F545" s="63" t="s">
        <v>1730</v>
      </c>
      <c r="G545" s="25">
        <f t="shared" si="6"/>
        <v>2.9703535351839339E-3</v>
      </c>
    </row>
    <row r="546" spans="1:7">
      <c r="A546" s="63">
        <v>292.61770000000001</v>
      </c>
      <c r="B546" s="63">
        <v>298.30450000000002</v>
      </c>
      <c r="C546" s="63">
        <v>292.06099999999998</v>
      </c>
      <c r="D546" s="63">
        <v>297.2208</v>
      </c>
      <c r="E546" s="63">
        <v>11885105</v>
      </c>
      <c r="F546" s="63" t="s">
        <v>1729</v>
      </c>
      <c r="G546" s="25">
        <f t="shared" si="6"/>
        <v>-1.5487139527247007E-2</v>
      </c>
    </row>
    <row r="547" spans="1:7">
      <c r="A547" s="63">
        <v>301.55540000000002</v>
      </c>
      <c r="B547" s="63">
        <v>307.68950000000001</v>
      </c>
      <c r="C547" s="63">
        <v>300.23820000000001</v>
      </c>
      <c r="D547" s="63">
        <v>303.22570000000002</v>
      </c>
      <c r="E547" s="63">
        <v>4828755</v>
      </c>
      <c r="F547" s="63" t="s">
        <v>1728</v>
      </c>
      <c r="G547" s="25">
        <f t="shared" si="6"/>
        <v>-5.5084381040261254E-3</v>
      </c>
    </row>
    <row r="548" spans="1:7">
      <c r="A548" s="63">
        <v>302.90750000000003</v>
      </c>
      <c r="B548" s="63">
        <v>305.93979999999999</v>
      </c>
      <c r="C548" s="63">
        <v>301.3467</v>
      </c>
      <c r="D548" s="63">
        <v>303.22570000000002</v>
      </c>
      <c r="E548" s="63">
        <v>5548843</v>
      </c>
      <c r="F548" s="63" t="s">
        <v>1727</v>
      </c>
      <c r="G548" s="25">
        <f t="shared" si="6"/>
        <v>-1.0493833471239E-3</v>
      </c>
    </row>
    <row r="549" spans="1:7">
      <c r="A549" s="63">
        <v>304.43860000000001</v>
      </c>
      <c r="B549" s="63">
        <v>306.84140000000002</v>
      </c>
      <c r="C549" s="63">
        <v>301.7081</v>
      </c>
      <c r="D549" s="63">
        <v>304.52789999999999</v>
      </c>
      <c r="E549" s="63">
        <v>4831976</v>
      </c>
      <c r="F549" s="63" t="s">
        <v>1726</v>
      </c>
      <c r="G549" s="25">
        <f t="shared" si="6"/>
        <v>-2.9324078352088723E-4</v>
      </c>
    </row>
    <row r="550" spans="1:7">
      <c r="A550" s="63">
        <v>303.82299999999998</v>
      </c>
      <c r="B550" s="63">
        <v>305.41660000000002</v>
      </c>
      <c r="C550" s="63">
        <v>298.1139</v>
      </c>
      <c r="D550" s="63">
        <v>300.48689999999999</v>
      </c>
      <c r="E550" s="63">
        <v>4895493</v>
      </c>
      <c r="F550" s="63" t="s">
        <v>1725</v>
      </c>
      <c r="G550" s="25">
        <f t="shared" si="6"/>
        <v>1.1102314277261272E-2</v>
      </c>
    </row>
    <row r="551" spans="1:7">
      <c r="A551" s="63">
        <v>303.10809999999998</v>
      </c>
      <c r="B551" s="63">
        <v>306.67259999999999</v>
      </c>
      <c r="C551" s="63">
        <v>300.05</v>
      </c>
      <c r="D551" s="63">
        <v>300.05</v>
      </c>
      <c r="E551" s="63">
        <v>4851635</v>
      </c>
      <c r="F551" s="63" t="s">
        <v>1724</v>
      </c>
      <c r="G551" s="25">
        <f t="shared" si="6"/>
        <v>1.0191968005332397E-2</v>
      </c>
    </row>
    <row r="552" spans="1:7">
      <c r="A552" s="63">
        <v>300.26850000000002</v>
      </c>
      <c r="B552" s="63">
        <v>304.58749999999998</v>
      </c>
      <c r="C552" s="63">
        <v>299.60320000000002</v>
      </c>
      <c r="D552" s="63">
        <v>303.82299999999998</v>
      </c>
      <c r="E552" s="63">
        <v>6788862</v>
      </c>
      <c r="F552" s="63" t="s">
        <v>1723</v>
      </c>
      <c r="G552" s="25">
        <f t="shared" si="6"/>
        <v>-1.1699245942538794E-2</v>
      </c>
    </row>
    <row r="553" spans="1:7">
      <c r="A553" s="63">
        <v>301.60879999999997</v>
      </c>
      <c r="B553" s="63">
        <v>303.71379999999999</v>
      </c>
      <c r="C553" s="63">
        <v>300.58120000000002</v>
      </c>
      <c r="D553" s="63">
        <v>302.4776</v>
      </c>
      <c r="E553" s="63">
        <v>8270036</v>
      </c>
      <c r="F553" s="63" t="s">
        <v>1722</v>
      </c>
      <c r="G553" s="25">
        <f t="shared" si="6"/>
        <v>-2.8722788067613303E-3</v>
      </c>
    </row>
    <row r="554" spans="1:7">
      <c r="A554" s="63">
        <v>296.62459999999999</v>
      </c>
      <c r="B554" s="63">
        <v>310.32639999999998</v>
      </c>
      <c r="C554" s="63">
        <v>294.03309999999999</v>
      </c>
      <c r="D554" s="63">
        <v>309.09519999999998</v>
      </c>
      <c r="E554" s="63">
        <v>9015308</v>
      </c>
      <c r="F554" s="63" t="s">
        <v>1721</v>
      </c>
      <c r="G554" s="25">
        <f t="shared" si="6"/>
        <v>-4.0345498733076357E-2</v>
      </c>
    </row>
    <row r="555" spans="1:7">
      <c r="A555" s="63">
        <v>312.4015</v>
      </c>
      <c r="B555" s="63">
        <v>315.39510000000001</v>
      </c>
      <c r="C555" s="63">
        <v>311.30930000000001</v>
      </c>
      <c r="D555" s="63">
        <v>312.33199999999999</v>
      </c>
      <c r="E555" s="63">
        <v>9349980</v>
      </c>
      <c r="F555" s="63" t="s">
        <v>1720</v>
      </c>
      <c r="G555" s="25">
        <f t="shared" si="6"/>
        <v>2.2251962655128743E-4</v>
      </c>
    </row>
    <row r="556" spans="1:7">
      <c r="A556" s="63">
        <v>314.62560000000002</v>
      </c>
      <c r="B556" s="63">
        <v>316.44749999999999</v>
      </c>
      <c r="C556" s="63">
        <v>304.43369999999999</v>
      </c>
      <c r="D556" s="63">
        <v>304.8159</v>
      </c>
      <c r="E556" s="63">
        <v>9366647</v>
      </c>
      <c r="F556" s="63" t="s">
        <v>1719</v>
      </c>
      <c r="G556" s="25">
        <f t="shared" si="6"/>
        <v>3.2182376313046657E-2</v>
      </c>
    </row>
    <row r="557" spans="1:7">
      <c r="A557" s="63">
        <v>306.62290000000002</v>
      </c>
      <c r="B557" s="63">
        <v>308.33069999999998</v>
      </c>
      <c r="C557" s="63">
        <v>292.6927</v>
      </c>
      <c r="D557" s="63">
        <v>297.8657</v>
      </c>
      <c r="E557" s="63">
        <v>21737805</v>
      </c>
      <c r="F557" s="63" t="s">
        <v>1718</v>
      </c>
      <c r="G557" s="25">
        <f t="shared" si="6"/>
        <v>2.9399826834711096E-2</v>
      </c>
    </row>
    <row r="558" spans="1:7">
      <c r="A558" s="63">
        <v>297.63729999999998</v>
      </c>
      <c r="B558" s="63">
        <v>298.73439999999999</v>
      </c>
      <c r="C558" s="63">
        <v>294.49979999999999</v>
      </c>
      <c r="D558" s="63">
        <v>297.44869999999997</v>
      </c>
      <c r="E558" s="63">
        <v>12490784</v>
      </c>
      <c r="F558" s="63" t="s">
        <v>1717</v>
      </c>
      <c r="G558" s="25">
        <f t="shared" si="6"/>
        <v>6.3405891503309775E-4</v>
      </c>
    </row>
    <row r="559" spans="1:7">
      <c r="A559" s="63">
        <v>297.36919999999998</v>
      </c>
      <c r="B559" s="63">
        <v>299.60320000000002</v>
      </c>
      <c r="C559" s="63">
        <v>294.48989999999998</v>
      </c>
      <c r="D559" s="63">
        <v>299.43439999999998</v>
      </c>
      <c r="E559" s="63">
        <v>6178811</v>
      </c>
      <c r="F559" s="63" t="s">
        <v>1716</v>
      </c>
      <c r="G559" s="25">
        <f t="shared" si="6"/>
        <v>-6.8970031499386852E-3</v>
      </c>
    </row>
    <row r="560" spans="1:7">
      <c r="A560" s="63">
        <v>298.25290000000001</v>
      </c>
      <c r="B560" s="63">
        <v>301.66829999999999</v>
      </c>
      <c r="C560" s="63">
        <v>292.90120000000002</v>
      </c>
      <c r="D560" s="63">
        <v>293.48700000000002</v>
      </c>
      <c r="E560" s="63">
        <v>8719272</v>
      </c>
      <c r="F560" s="63" t="s">
        <v>1715</v>
      </c>
      <c r="G560" s="25">
        <f t="shared" si="6"/>
        <v>1.6238879405220619E-2</v>
      </c>
    </row>
    <row r="561" spans="1:7">
      <c r="A561" s="63">
        <v>290.71690000000001</v>
      </c>
      <c r="B561" s="63">
        <v>295.87990000000002</v>
      </c>
      <c r="C561" s="63">
        <v>289.00909999999999</v>
      </c>
      <c r="D561" s="63">
        <v>295.87990000000002</v>
      </c>
      <c r="E561" s="63">
        <v>4416764</v>
      </c>
      <c r="F561" s="63" t="s">
        <v>1714</v>
      </c>
      <c r="G561" s="25">
        <f t="shared" si="6"/>
        <v>-1.7449647644196209E-2</v>
      </c>
    </row>
    <row r="562" spans="1:7">
      <c r="A562" s="63">
        <v>291.56079999999997</v>
      </c>
      <c r="B562" s="63">
        <v>292.53390000000002</v>
      </c>
      <c r="C562" s="63">
        <v>289.32690000000002</v>
      </c>
      <c r="D562" s="63">
        <v>289.92259999999999</v>
      </c>
      <c r="E562" s="63">
        <v>5264297</v>
      </c>
      <c r="F562" s="63" t="s">
        <v>1713</v>
      </c>
      <c r="G562" s="25">
        <f t="shared" si="6"/>
        <v>5.6504736091631536E-3</v>
      </c>
    </row>
    <row r="563" spans="1:7">
      <c r="A563" s="63">
        <v>281.53269999999998</v>
      </c>
      <c r="B563" s="63">
        <v>281.55259999999998</v>
      </c>
      <c r="C563" s="63">
        <v>276.37470000000002</v>
      </c>
      <c r="D563" s="63">
        <v>278.07749999999999</v>
      </c>
      <c r="E563" s="63">
        <v>3799041</v>
      </c>
      <c r="F563" s="63" t="s">
        <v>1712</v>
      </c>
      <c r="G563" s="25">
        <f t="shared" si="6"/>
        <v>1.242531308717898E-2</v>
      </c>
    </row>
    <row r="564" spans="1:7">
      <c r="A564" s="63">
        <v>284.35250000000002</v>
      </c>
      <c r="B564" s="63">
        <v>288.7808</v>
      </c>
      <c r="C564" s="63">
        <v>282.13339999999999</v>
      </c>
      <c r="D564" s="63">
        <v>287.44040000000001</v>
      </c>
      <c r="E564" s="63">
        <v>4285328</v>
      </c>
      <c r="F564" s="63" t="s">
        <v>1711</v>
      </c>
      <c r="G564" s="25">
        <f t="shared" si="6"/>
        <v>-1.0742748757655463E-2</v>
      </c>
    </row>
    <row r="565" spans="1:7">
      <c r="A565" s="63">
        <v>287.65879999999999</v>
      </c>
      <c r="B565" s="63">
        <v>289.99209999999999</v>
      </c>
      <c r="C565" s="63">
        <v>285.83190000000002</v>
      </c>
      <c r="D565" s="63">
        <v>289.92259999999999</v>
      </c>
      <c r="E565" s="63">
        <v>4159391</v>
      </c>
      <c r="F565" s="63" t="s">
        <v>1710</v>
      </c>
      <c r="G565" s="25">
        <f t="shared" si="6"/>
        <v>-7.8082909024684843E-3</v>
      </c>
    </row>
    <row r="566" spans="1:7">
      <c r="A566" s="63">
        <v>289.863</v>
      </c>
      <c r="B566" s="63">
        <v>289.92259999999999</v>
      </c>
      <c r="C566" s="63">
        <v>285.96100000000001</v>
      </c>
      <c r="D566" s="63">
        <v>289.26729999999998</v>
      </c>
      <c r="E566" s="63">
        <v>3986522</v>
      </c>
      <c r="F566" s="63" t="s">
        <v>1709</v>
      </c>
      <c r="G566" s="25">
        <f t="shared" si="6"/>
        <v>2.0593409624938275E-3</v>
      </c>
    </row>
    <row r="567" spans="1:7">
      <c r="A567" s="63">
        <v>287.09289999999999</v>
      </c>
      <c r="B567" s="63">
        <v>287.40069999999997</v>
      </c>
      <c r="C567" s="63">
        <v>282.61489999999998</v>
      </c>
      <c r="D567" s="63">
        <v>282.97239999999999</v>
      </c>
      <c r="E567" s="63">
        <v>3850721</v>
      </c>
      <c r="F567" s="63" t="s">
        <v>1708</v>
      </c>
      <c r="G567" s="25">
        <f t="shared" si="6"/>
        <v>1.4561490802636579E-2</v>
      </c>
    </row>
    <row r="568" spans="1:7">
      <c r="A568" s="63">
        <v>279.14980000000003</v>
      </c>
      <c r="B568" s="63">
        <v>281.4135</v>
      </c>
      <c r="C568" s="63">
        <v>274.45569999999998</v>
      </c>
      <c r="D568" s="63">
        <v>278.41500000000002</v>
      </c>
      <c r="E568" s="63">
        <v>4956553</v>
      </c>
      <c r="F568" s="63" t="s">
        <v>1707</v>
      </c>
      <c r="G568" s="25">
        <f t="shared" si="6"/>
        <v>2.6392256164358141E-3</v>
      </c>
    </row>
    <row r="569" spans="1:7">
      <c r="A569" s="63">
        <v>285.27589999999998</v>
      </c>
      <c r="B569" s="63">
        <v>288.92970000000003</v>
      </c>
      <c r="C569" s="63">
        <v>284.95819999999998</v>
      </c>
      <c r="D569" s="63">
        <v>288.75099999999998</v>
      </c>
      <c r="E569" s="63">
        <v>3750035</v>
      </c>
      <c r="F569" s="63" t="s">
        <v>1706</v>
      </c>
      <c r="G569" s="25">
        <f t="shared" ref="G569:G632" si="7">A569/D569-1</f>
        <v>-1.2034936675544006E-2</v>
      </c>
    </row>
    <row r="570" spans="1:7">
      <c r="A570" s="63">
        <v>289.2276</v>
      </c>
      <c r="B570" s="63">
        <v>293.1395</v>
      </c>
      <c r="C570" s="63">
        <v>288.97930000000002</v>
      </c>
      <c r="D570" s="63">
        <v>291.16370000000001</v>
      </c>
      <c r="E570" s="63">
        <v>4376347</v>
      </c>
      <c r="F570" s="63" t="s">
        <v>1705</v>
      </c>
      <c r="G570" s="25">
        <f t="shared" si="7"/>
        <v>-6.6495239619499547E-3</v>
      </c>
    </row>
    <row r="571" spans="1:7">
      <c r="A571" s="63">
        <v>289.87290000000002</v>
      </c>
      <c r="B571" s="63">
        <v>291.0247</v>
      </c>
      <c r="C571" s="63">
        <v>286.92410000000001</v>
      </c>
      <c r="D571" s="63">
        <v>287.24180000000001</v>
      </c>
      <c r="E571" s="63">
        <v>4488432</v>
      </c>
      <c r="F571" s="63" t="s">
        <v>1704</v>
      </c>
      <c r="G571" s="25">
        <f t="shared" si="7"/>
        <v>9.1598785413544714E-3</v>
      </c>
    </row>
    <row r="572" spans="1:7">
      <c r="A572" s="63">
        <v>286.7851</v>
      </c>
      <c r="B572" s="63">
        <v>287.73820000000001</v>
      </c>
      <c r="C572" s="63">
        <v>283.17099999999999</v>
      </c>
      <c r="D572" s="63">
        <v>285.3057</v>
      </c>
      <c r="E572" s="63">
        <v>3621376</v>
      </c>
      <c r="F572" s="63" t="s">
        <v>1703</v>
      </c>
      <c r="G572" s="25">
        <f t="shared" si="7"/>
        <v>5.1853152600875863E-3</v>
      </c>
    </row>
    <row r="573" spans="1:7">
      <c r="A573" s="63">
        <v>283.79649999999998</v>
      </c>
      <c r="B573" s="63">
        <v>286.5865</v>
      </c>
      <c r="C573" s="63">
        <v>279.90440000000001</v>
      </c>
      <c r="D573" s="63">
        <v>285.89150000000001</v>
      </c>
      <c r="E573" s="63">
        <v>4207846</v>
      </c>
      <c r="F573" s="63" t="s">
        <v>1702</v>
      </c>
      <c r="G573" s="25">
        <f t="shared" si="7"/>
        <v>-7.3279548360130065E-3</v>
      </c>
    </row>
    <row r="574" spans="1:7">
      <c r="A574" s="63">
        <v>286.06029999999998</v>
      </c>
      <c r="B574" s="63">
        <v>286.99360000000001</v>
      </c>
      <c r="C574" s="63">
        <v>279.35829999999999</v>
      </c>
      <c r="D574" s="63">
        <v>284.21350000000001</v>
      </c>
      <c r="E574" s="63">
        <v>5274790</v>
      </c>
      <c r="F574" s="63" t="s">
        <v>1701</v>
      </c>
      <c r="G574" s="25">
        <f t="shared" si="7"/>
        <v>6.4979320123779161E-3</v>
      </c>
    </row>
    <row r="575" spans="1:7">
      <c r="A575" s="63">
        <v>283.6277</v>
      </c>
      <c r="B575" s="63">
        <v>286.10989999999998</v>
      </c>
      <c r="C575" s="63">
        <v>281.14550000000003</v>
      </c>
      <c r="D575" s="63">
        <v>283.17099999999999</v>
      </c>
      <c r="E575" s="63">
        <v>3629843</v>
      </c>
      <c r="F575" s="63" t="s">
        <v>1700</v>
      </c>
      <c r="G575" s="25">
        <f t="shared" si="7"/>
        <v>1.6128063961351469E-3</v>
      </c>
    </row>
    <row r="576" spans="1:7">
      <c r="A576" s="63">
        <v>281.78089999999997</v>
      </c>
      <c r="B576" s="63">
        <v>283.02199999999999</v>
      </c>
      <c r="C576" s="63">
        <v>279.35829999999999</v>
      </c>
      <c r="D576" s="63">
        <v>280.00369999999998</v>
      </c>
      <c r="E576" s="63">
        <v>3218346</v>
      </c>
      <c r="F576" s="63" t="s">
        <v>1699</v>
      </c>
      <c r="G576" s="25">
        <f t="shared" si="7"/>
        <v>6.3470589852918646E-3</v>
      </c>
    </row>
    <row r="577" spans="1:7">
      <c r="A577" s="63">
        <v>279.09019999999998</v>
      </c>
      <c r="B577" s="63">
        <v>283.59789999999998</v>
      </c>
      <c r="C577" s="63">
        <v>278.82209999999998</v>
      </c>
      <c r="D577" s="63">
        <v>282.02910000000003</v>
      </c>
      <c r="E577" s="63">
        <v>4557283</v>
      </c>
      <c r="F577" s="63" t="s">
        <v>1698</v>
      </c>
      <c r="G577" s="25">
        <f t="shared" si="7"/>
        <v>-1.0420555892991401E-2</v>
      </c>
    </row>
    <row r="578" spans="1:7">
      <c r="A578" s="63">
        <v>285.68299999999999</v>
      </c>
      <c r="B578" s="63">
        <v>287.2319</v>
      </c>
      <c r="C578" s="63">
        <v>284.47730000000001</v>
      </c>
      <c r="D578" s="63">
        <v>285.58370000000002</v>
      </c>
      <c r="E578" s="63">
        <v>4810928</v>
      </c>
      <c r="F578" s="63" t="s">
        <v>1697</v>
      </c>
      <c r="G578" s="25">
        <f t="shared" si="7"/>
        <v>3.4770892036184442E-4</v>
      </c>
    </row>
    <row r="579" spans="1:7">
      <c r="A579" s="63">
        <v>285.81200000000001</v>
      </c>
      <c r="B579" s="63">
        <v>286.10000000000002</v>
      </c>
      <c r="C579" s="63">
        <v>279.00080000000003</v>
      </c>
      <c r="D579" s="63">
        <v>279.39800000000002</v>
      </c>
      <c r="E579" s="63">
        <v>5762263</v>
      </c>
      <c r="F579" s="63" t="s">
        <v>1696</v>
      </c>
      <c r="G579" s="25">
        <f t="shared" si="7"/>
        <v>2.2956499330703872E-2</v>
      </c>
    </row>
    <row r="580" spans="1:7">
      <c r="A580" s="63">
        <v>277.94839999999999</v>
      </c>
      <c r="B580" s="63">
        <v>281.32420000000002</v>
      </c>
      <c r="C580" s="63">
        <v>276.70229999999998</v>
      </c>
      <c r="D580" s="63">
        <v>277.29309999999998</v>
      </c>
      <c r="E580" s="63">
        <v>4877365</v>
      </c>
      <c r="F580" s="63" t="s">
        <v>1695</v>
      </c>
      <c r="G580" s="25">
        <f t="shared" si="7"/>
        <v>2.3632034118412637E-3</v>
      </c>
    </row>
    <row r="581" spans="1:7">
      <c r="A581" s="63">
        <v>277.04489999999998</v>
      </c>
      <c r="B581" s="63">
        <v>277.86180000000002</v>
      </c>
      <c r="C581" s="63">
        <v>274.89030000000002</v>
      </c>
      <c r="D581" s="63">
        <v>276.62779999999998</v>
      </c>
      <c r="E581" s="63">
        <v>4178020</v>
      </c>
      <c r="F581" s="63" t="s">
        <v>1694</v>
      </c>
      <c r="G581" s="25">
        <f t="shared" si="7"/>
        <v>1.5078021804026953E-3</v>
      </c>
    </row>
    <row r="582" spans="1:7">
      <c r="A582" s="63">
        <v>274.91019999999997</v>
      </c>
      <c r="B582" s="63">
        <v>278.96109999999999</v>
      </c>
      <c r="C582" s="63">
        <v>274.72149999999999</v>
      </c>
      <c r="D582" s="63">
        <v>277.98809999999997</v>
      </c>
      <c r="E582" s="63">
        <v>7037765</v>
      </c>
      <c r="F582" s="63" t="s">
        <v>1693</v>
      </c>
      <c r="G582" s="25">
        <f t="shared" si="7"/>
        <v>-1.107205668156297E-2</v>
      </c>
    </row>
    <row r="583" spans="1:7">
      <c r="A583" s="63">
        <v>274.80090000000001</v>
      </c>
      <c r="B583" s="63">
        <v>279.70580000000001</v>
      </c>
      <c r="C583" s="63">
        <v>273.74849999999998</v>
      </c>
      <c r="D583" s="63">
        <v>278.83210000000003</v>
      </c>
      <c r="E583" s="63">
        <v>6573810</v>
      </c>
      <c r="F583" s="63" t="s">
        <v>1692</v>
      </c>
      <c r="G583" s="25">
        <f t="shared" si="7"/>
        <v>-1.4457445896652543E-2</v>
      </c>
    </row>
    <row r="584" spans="1:7">
      <c r="A584" s="63">
        <v>278.30579999999998</v>
      </c>
      <c r="B584" s="63">
        <v>283.68729999999999</v>
      </c>
      <c r="C584" s="63">
        <v>278.17669999999998</v>
      </c>
      <c r="D584" s="63">
        <v>281.77100000000002</v>
      </c>
      <c r="E584" s="63">
        <v>6735912</v>
      </c>
      <c r="F584" s="63" t="s">
        <v>1691</v>
      </c>
      <c r="G584" s="25">
        <f t="shared" si="7"/>
        <v>-1.2297929879228287E-2</v>
      </c>
    </row>
    <row r="585" spans="1:7">
      <c r="A585" s="63">
        <v>278.88170000000002</v>
      </c>
      <c r="B585" s="63">
        <v>279.99369999999999</v>
      </c>
      <c r="C585" s="63">
        <v>273.5677</v>
      </c>
      <c r="D585" s="63">
        <v>274.5428</v>
      </c>
      <c r="E585" s="63">
        <v>7413577</v>
      </c>
      <c r="F585" s="63" t="s">
        <v>1690</v>
      </c>
      <c r="G585" s="25">
        <f t="shared" si="7"/>
        <v>1.5804093205139758E-2</v>
      </c>
    </row>
    <row r="586" spans="1:7">
      <c r="A586" s="63">
        <v>272.50740000000002</v>
      </c>
      <c r="B586" s="63">
        <v>273.72859999999997</v>
      </c>
      <c r="C586" s="63">
        <v>270.20389999999998</v>
      </c>
      <c r="D586" s="63">
        <v>271.05779999999999</v>
      </c>
      <c r="E586" s="63">
        <v>4752437</v>
      </c>
      <c r="F586" s="63" t="s">
        <v>1689</v>
      </c>
      <c r="G586" s="25">
        <f t="shared" si="7"/>
        <v>5.3479368606992317E-3</v>
      </c>
    </row>
    <row r="587" spans="1:7">
      <c r="A587" s="63">
        <v>269.50889999999998</v>
      </c>
      <c r="B587" s="63">
        <v>269.96559999999999</v>
      </c>
      <c r="C587" s="63">
        <v>262.2509</v>
      </c>
      <c r="D587" s="63">
        <v>266.38130000000001</v>
      </c>
      <c r="E587" s="63">
        <v>4706498</v>
      </c>
      <c r="F587" s="63" t="s">
        <v>1688</v>
      </c>
      <c r="G587" s="25">
        <f t="shared" si="7"/>
        <v>1.1741064406547874E-2</v>
      </c>
    </row>
    <row r="588" spans="1:7">
      <c r="A588" s="63">
        <v>267.2749</v>
      </c>
      <c r="B588" s="63">
        <v>269.63299999999998</v>
      </c>
      <c r="C588" s="63">
        <v>265.81529999999998</v>
      </c>
      <c r="D588" s="63">
        <v>267.78120000000001</v>
      </c>
      <c r="E588" s="63">
        <v>5858670</v>
      </c>
      <c r="F588" s="63" t="s">
        <v>1687</v>
      </c>
      <c r="G588" s="25">
        <f t="shared" si="7"/>
        <v>-1.890722724373517E-3</v>
      </c>
    </row>
    <row r="589" spans="1:7">
      <c r="A589" s="63">
        <v>269.99540000000002</v>
      </c>
      <c r="B589" s="63">
        <v>273.28179999999998</v>
      </c>
      <c r="C589" s="63">
        <v>269.13159999999999</v>
      </c>
      <c r="D589" s="63">
        <v>269.30040000000002</v>
      </c>
      <c r="E589" s="63">
        <v>4847604</v>
      </c>
      <c r="F589" s="63" t="s">
        <v>1686</v>
      </c>
      <c r="G589" s="25">
        <f t="shared" si="7"/>
        <v>2.5807611128687569E-3</v>
      </c>
    </row>
    <row r="590" spans="1:7">
      <c r="A590" s="63">
        <v>269.44929999999999</v>
      </c>
      <c r="B590" s="63">
        <v>271.01799999999997</v>
      </c>
      <c r="C590" s="63">
        <v>263.214</v>
      </c>
      <c r="D590" s="63">
        <v>266.0933</v>
      </c>
      <c r="E590" s="63">
        <v>9012600</v>
      </c>
      <c r="F590" s="63" t="s">
        <v>1685</v>
      </c>
      <c r="G590" s="25">
        <f t="shared" si="7"/>
        <v>1.2612117629417829E-2</v>
      </c>
    </row>
    <row r="591" spans="1:7">
      <c r="A591" s="63">
        <v>262.2509</v>
      </c>
      <c r="B591" s="63">
        <v>264.5643</v>
      </c>
      <c r="C591" s="63">
        <v>260.88069999999999</v>
      </c>
      <c r="D591" s="63">
        <v>261.39699999999999</v>
      </c>
      <c r="E591" s="63">
        <v>5128300</v>
      </c>
      <c r="F591" s="63" t="s">
        <v>1684</v>
      </c>
      <c r="G591" s="25">
        <f t="shared" si="7"/>
        <v>3.2666786535422432E-3</v>
      </c>
    </row>
    <row r="592" spans="1:7">
      <c r="A592" s="63">
        <v>259.48070000000001</v>
      </c>
      <c r="B592" s="63">
        <v>262.0523</v>
      </c>
      <c r="C592" s="63">
        <v>256.93889999999999</v>
      </c>
      <c r="D592" s="63">
        <v>257.65379999999999</v>
      </c>
      <c r="E592" s="63">
        <v>4571839</v>
      </c>
      <c r="F592" s="63" t="s">
        <v>1683</v>
      </c>
      <c r="G592" s="25">
        <f t="shared" si="7"/>
        <v>7.0905222434134441E-3</v>
      </c>
    </row>
    <row r="593" spans="1:7">
      <c r="A593" s="63">
        <v>259.01409999999998</v>
      </c>
      <c r="B593" s="63">
        <v>259.69909999999999</v>
      </c>
      <c r="C593" s="63">
        <v>249.60149999999999</v>
      </c>
      <c r="D593" s="63">
        <v>250.41569999999999</v>
      </c>
      <c r="E593" s="63">
        <v>6626012</v>
      </c>
      <c r="F593" s="63" t="s">
        <v>1682</v>
      </c>
      <c r="G593" s="25">
        <f t="shared" si="7"/>
        <v>3.4336505259055183E-2</v>
      </c>
    </row>
    <row r="594" spans="1:7">
      <c r="A594" s="63">
        <v>249.33340000000001</v>
      </c>
      <c r="B594" s="63">
        <v>252.1036</v>
      </c>
      <c r="C594" s="63">
        <v>248.39019999999999</v>
      </c>
      <c r="D594" s="63">
        <v>249.4228</v>
      </c>
      <c r="E594" s="63">
        <v>3675979</v>
      </c>
      <c r="F594" s="63" t="s">
        <v>1681</v>
      </c>
      <c r="G594" s="25">
        <f t="shared" si="7"/>
        <v>-3.5842753749848466E-4</v>
      </c>
    </row>
    <row r="595" spans="1:7">
      <c r="A595" s="63">
        <v>249.45259999999999</v>
      </c>
      <c r="B595" s="63">
        <v>250.8426</v>
      </c>
      <c r="C595" s="63">
        <v>248.0625</v>
      </c>
      <c r="D595" s="63">
        <v>250.0384</v>
      </c>
      <c r="E595" s="63">
        <v>4489773</v>
      </c>
      <c r="F595" s="63" t="s">
        <v>1680</v>
      </c>
      <c r="G595" s="25">
        <f t="shared" si="7"/>
        <v>-2.3428401397546095E-3</v>
      </c>
    </row>
    <row r="596" spans="1:7">
      <c r="A596" s="63">
        <v>250.04830000000001</v>
      </c>
      <c r="B596" s="63">
        <v>252.3518</v>
      </c>
      <c r="C596" s="63">
        <v>249.97880000000001</v>
      </c>
      <c r="D596" s="63">
        <v>251.69649999999999</v>
      </c>
      <c r="E596" s="63">
        <v>5097120</v>
      </c>
      <c r="F596" s="63" t="s">
        <v>1679</v>
      </c>
      <c r="G596" s="25">
        <f t="shared" si="7"/>
        <v>-6.5483628099713975E-3</v>
      </c>
    </row>
    <row r="597" spans="1:7">
      <c r="A597" s="63">
        <v>254.30779999999999</v>
      </c>
      <c r="B597" s="63">
        <v>258.7063</v>
      </c>
      <c r="C597" s="63">
        <v>251.96459999999999</v>
      </c>
      <c r="D597" s="63">
        <v>258.68639999999999</v>
      </c>
      <c r="E597" s="63">
        <v>4741418</v>
      </c>
      <c r="F597" s="63" t="s">
        <v>1678</v>
      </c>
      <c r="G597" s="25">
        <f t="shared" si="7"/>
        <v>-1.6926286035910731E-2</v>
      </c>
    </row>
    <row r="598" spans="1:7">
      <c r="A598" s="63">
        <v>261.2679</v>
      </c>
      <c r="B598" s="63">
        <v>263.75920000000002</v>
      </c>
      <c r="C598" s="63">
        <v>260.78640000000001</v>
      </c>
      <c r="D598" s="63">
        <v>263.12459999999999</v>
      </c>
      <c r="E598" s="63">
        <v>3706552</v>
      </c>
      <c r="F598" s="63" t="s">
        <v>1677</v>
      </c>
      <c r="G598" s="25">
        <f t="shared" si="7"/>
        <v>-7.0563527697523609E-3</v>
      </c>
    </row>
    <row r="599" spans="1:7">
      <c r="A599" s="63">
        <v>263.69049999999999</v>
      </c>
      <c r="B599" s="63">
        <v>265.02100000000002</v>
      </c>
      <c r="C599" s="63">
        <v>263.41250000000002</v>
      </c>
      <c r="D599" s="63">
        <v>264.60399999999998</v>
      </c>
      <c r="E599" s="63">
        <v>2958714</v>
      </c>
      <c r="F599" s="63" t="s">
        <v>1676</v>
      </c>
      <c r="G599" s="25">
        <f t="shared" si="7"/>
        <v>-3.4523287629816268E-3</v>
      </c>
    </row>
    <row r="600" spans="1:7">
      <c r="A600" s="63">
        <v>264.82240000000002</v>
      </c>
      <c r="B600" s="63">
        <v>265.11040000000003</v>
      </c>
      <c r="C600" s="63">
        <v>263.51179999999999</v>
      </c>
      <c r="D600" s="63">
        <v>264.048</v>
      </c>
      <c r="E600" s="63">
        <v>3386951</v>
      </c>
      <c r="F600" s="63" t="s">
        <v>1675</v>
      </c>
      <c r="G600" s="25">
        <f t="shared" si="7"/>
        <v>2.9328000969521817E-3</v>
      </c>
    </row>
    <row r="601" spans="1:7">
      <c r="A601" s="63">
        <v>264.32600000000002</v>
      </c>
      <c r="B601" s="63">
        <v>264.63380000000001</v>
      </c>
      <c r="C601" s="63">
        <v>262.73739999999998</v>
      </c>
      <c r="D601" s="63">
        <v>263.64089999999999</v>
      </c>
      <c r="E601" s="63">
        <v>3219024</v>
      </c>
      <c r="F601" s="63" t="s">
        <v>1674</v>
      </c>
      <c r="G601" s="25">
        <f t="shared" si="7"/>
        <v>2.5986104583926029E-3</v>
      </c>
    </row>
    <row r="602" spans="1:7">
      <c r="A602" s="63">
        <v>264.44510000000002</v>
      </c>
      <c r="B602" s="63">
        <v>266.2423</v>
      </c>
      <c r="C602" s="63">
        <v>263.41250000000002</v>
      </c>
      <c r="D602" s="63">
        <v>265.35860000000002</v>
      </c>
      <c r="E602" s="63">
        <v>3110591</v>
      </c>
      <c r="F602" s="63" t="s">
        <v>1673</v>
      </c>
      <c r="G602" s="25">
        <f t="shared" si="7"/>
        <v>-3.4425113789415818E-3</v>
      </c>
    </row>
    <row r="603" spans="1:7">
      <c r="A603" s="63">
        <v>265.34870000000001</v>
      </c>
      <c r="B603" s="63">
        <v>266.45080000000002</v>
      </c>
      <c r="C603" s="63">
        <v>262.36009999999999</v>
      </c>
      <c r="D603" s="63">
        <v>262.86649999999997</v>
      </c>
      <c r="E603" s="63">
        <v>5160697</v>
      </c>
      <c r="F603" s="63" t="s">
        <v>1672</v>
      </c>
      <c r="G603" s="25">
        <f t="shared" si="7"/>
        <v>9.4428160301902597E-3</v>
      </c>
    </row>
    <row r="604" spans="1:7">
      <c r="A604" s="63">
        <v>258.39850000000001</v>
      </c>
      <c r="B604" s="63">
        <v>263.03519999999997</v>
      </c>
      <c r="C604" s="63">
        <v>258.22969999999998</v>
      </c>
      <c r="D604" s="63">
        <v>259.79840000000002</v>
      </c>
      <c r="E604" s="63">
        <v>4510533</v>
      </c>
      <c r="F604" s="63" t="s">
        <v>1671</v>
      </c>
      <c r="G604" s="25">
        <f t="shared" si="7"/>
        <v>-5.3884088585610668E-3</v>
      </c>
    </row>
    <row r="605" spans="1:7">
      <c r="A605" s="63">
        <v>262.45940000000002</v>
      </c>
      <c r="B605" s="63">
        <v>264.68340000000001</v>
      </c>
      <c r="C605" s="63">
        <v>261.85879999999997</v>
      </c>
      <c r="D605" s="63">
        <v>263.5813</v>
      </c>
      <c r="E605" s="63">
        <v>4665500</v>
      </c>
      <c r="F605" s="63" t="s">
        <v>1670</v>
      </c>
      <c r="G605" s="25">
        <f t="shared" si="7"/>
        <v>-4.2563717532312362E-3</v>
      </c>
    </row>
    <row r="606" spans="1:7">
      <c r="A606" s="63">
        <v>261.71469999999999</v>
      </c>
      <c r="B606" s="63">
        <v>263.70049999999998</v>
      </c>
      <c r="C606" s="63">
        <v>257.83249999999998</v>
      </c>
      <c r="D606" s="63">
        <v>257.97149999999999</v>
      </c>
      <c r="E606" s="63">
        <v>7498521</v>
      </c>
      <c r="F606" s="63" t="s">
        <v>1669</v>
      </c>
      <c r="G606" s="25">
        <f t="shared" si="7"/>
        <v>1.4510129994980137E-2</v>
      </c>
    </row>
    <row r="607" spans="1:7">
      <c r="A607" s="63">
        <v>259.7389</v>
      </c>
      <c r="B607" s="63">
        <v>260.44380000000001</v>
      </c>
      <c r="C607" s="63">
        <v>252.69929999999999</v>
      </c>
      <c r="D607" s="63">
        <v>253.19569999999999</v>
      </c>
      <c r="E607" s="63">
        <v>13739532</v>
      </c>
      <c r="F607" s="63" t="s">
        <v>1668</v>
      </c>
      <c r="G607" s="25">
        <f t="shared" si="7"/>
        <v>2.5842460989661475E-2</v>
      </c>
    </row>
    <row r="608" spans="1:7">
      <c r="A608" s="63">
        <v>255.3801</v>
      </c>
      <c r="B608" s="63">
        <v>256.92899999999997</v>
      </c>
      <c r="C608" s="63">
        <v>251.41849999999999</v>
      </c>
      <c r="D608" s="63">
        <v>254.67509999999999</v>
      </c>
      <c r="E608" s="63">
        <v>6613211</v>
      </c>
      <c r="F608" s="63" t="s">
        <v>1667</v>
      </c>
      <c r="G608" s="25">
        <f t="shared" si="7"/>
        <v>2.7682329367888503E-3</v>
      </c>
    </row>
    <row r="609" spans="1:7">
      <c r="A609" s="63">
        <v>255.48929999999999</v>
      </c>
      <c r="B609" s="63">
        <v>257.2765</v>
      </c>
      <c r="C609" s="63">
        <v>253.34469999999999</v>
      </c>
      <c r="D609" s="63">
        <v>255.678</v>
      </c>
      <c r="E609" s="63">
        <v>6567630</v>
      </c>
      <c r="F609" s="63" t="s">
        <v>1666</v>
      </c>
      <c r="G609" s="25">
        <f t="shared" si="7"/>
        <v>-7.3803768802949143E-4</v>
      </c>
    </row>
    <row r="610" spans="1:7">
      <c r="A610" s="63">
        <v>254.62549999999999</v>
      </c>
      <c r="B610" s="63">
        <v>254.75460000000001</v>
      </c>
      <c r="C610" s="63">
        <v>249.23410000000001</v>
      </c>
      <c r="D610" s="63">
        <v>250.0086</v>
      </c>
      <c r="E610" s="63">
        <v>5827551</v>
      </c>
      <c r="F610" s="63" t="s">
        <v>1665</v>
      </c>
      <c r="G610" s="25">
        <f t="shared" si="7"/>
        <v>1.8466964736413072E-2</v>
      </c>
    </row>
    <row r="611" spans="1:7">
      <c r="A611" s="63">
        <v>250.3065</v>
      </c>
      <c r="B611" s="63">
        <v>251.71629999999999</v>
      </c>
      <c r="C611" s="63">
        <v>247.93350000000001</v>
      </c>
      <c r="D611" s="63">
        <v>248.22139999999999</v>
      </c>
      <c r="E611" s="63">
        <v>4765980</v>
      </c>
      <c r="F611" s="63" t="s">
        <v>1664</v>
      </c>
      <c r="G611" s="25">
        <f t="shared" si="7"/>
        <v>8.4001621133391602E-3</v>
      </c>
    </row>
    <row r="612" spans="1:7">
      <c r="A612" s="63">
        <v>249.0256</v>
      </c>
      <c r="B612" s="63">
        <v>250.29650000000001</v>
      </c>
      <c r="C612" s="63">
        <v>246.23560000000001</v>
      </c>
      <c r="D612" s="63">
        <v>246.7817</v>
      </c>
      <c r="E612" s="63">
        <v>4605805</v>
      </c>
      <c r="F612" s="63" t="s">
        <v>1663</v>
      </c>
      <c r="G612" s="25">
        <f t="shared" si="7"/>
        <v>9.092651521567463E-3</v>
      </c>
    </row>
    <row r="613" spans="1:7">
      <c r="A613" s="63">
        <v>247.0796</v>
      </c>
      <c r="B613" s="63">
        <v>248.9462</v>
      </c>
      <c r="C613" s="63">
        <v>245.12960000000001</v>
      </c>
      <c r="D613" s="63">
        <v>246.9803</v>
      </c>
      <c r="E613" s="63">
        <v>6568249</v>
      </c>
      <c r="F613" s="63" t="s">
        <v>1662</v>
      </c>
      <c r="G613" s="25">
        <f t="shared" si="7"/>
        <v>4.0205635834111852E-4</v>
      </c>
    </row>
    <row r="614" spans="1:7">
      <c r="A614" s="63">
        <v>247.35759999999999</v>
      </c>
      <c r="B614" s="63">
        <v>252.17580000000001</v>
      </c>
      <c r="C614" s="63">
        <v>247.0796</v>
      </c>
      <c r="D614" s="63">
        <v>249.73060000000001</v>
      </c>
      <c r="E614" s="63">
        <v>5374769</v>
      </c>
      <c r="F614" s="63" t="s">
        <v>1661</v>
      </c>
      <c r="G614" s="25">
        <f t="shared" si="7"/>
        <v>-9.5022396134074594E-3</v>
      </c>
    </row>
    <row r="615" spans="1:7">
      <c r="A615" s="63">
        <v>249.23410000000001</v>
      </c>
      <c r="B615" s="63">
        <v>249.87950000000001</v>
      </c>
      <c r="C615" s="63">
        <v>246.87110000000001</v>
      </c>
      <c r="D615" s="63">
        <v>248.2115</v>
      </c>
      <c r="E615" s="63">
        <v>5771514</v>
      </c>
      <c r="F615" s="63" t="s">
        <v>1660</v>
      </c>
      <c r="G615" s="25">
        <f t="shared" si="7"/>
        <v>4.1198735755596516E-3</v>
      </c>
    </row>
    <row r="616" spans="1:7">
      <c r="A616" s="63">
        <v>248.8767</v>
      </c>
      <c r="B616" s="63">
        <v>253.30500000000001</v>
      </c>
      <c r="C616" s="63">
        <v>248.07249999999999</v>
      </c>
      <c r="D616" s="63">
        <v>251.00149999999999</v>
      </c>
      <c r="E616" s="63">
        <v>11429249</v>
      </c>
      <c r="F616" s="63" t="s">
        <v>1659</v>
      </c>
      <c r="G616" s="25">
        <f t="shared" si="7"/>
        <v>-8.4652880560474042E-3</v>
      </c>
    </row>
    <row r="617" spans="1:7">
      <c r="A617" s="63">
        <v>258.15019999999998</v>
      </c>
      <c r="B617" s="63">
        <v>261.55579999999998</v>
      </c>
      <c r="C617" s="63">
        <v>247.92349999999999</v>
      </c>
      <c r="D617" s="63">
        <v>248.22139999999999</v>
      </c>
      <c r="E617" s="63">
        <v>14538232</v>
      </c>
      <c r="F617" s="63" t="s">
        <v>1658</v>
      </c>
      <c r="G617" s="25">
        <f t="shared" si="7"/>
        <v>3.999977439495539E-2</v>
      </c>
    </row>
    <row r="618" spans="1:7">
      <c r="A618" s="63">
        <v>250.1079</v>
      </c>
      <c r="B618" s="63">
        <v>250.70359999999999</v>
      </c>
      <c r="C618" s="63">
        <v>241.91659999999999</v>
      </c>
      <c r="D618" s="63">
        <v>247.27809999999999</v>
      </c>
      <c r="E618" s="63">
        <v>24425715</v>
      </c>
      <c r="F618" s="63" t="s">
        <v>1657</v>
      </c>
      <c r="G618" s="25">
        <f t="shared" si="7"/>
        <v>1.1443795467532381E-2</v>
      </c>
    </row>
    <row r="619" spans="1:7">
      <c r="A619" s="63">
        <v>228.71119999999999</v>
      </c>
      <c r="B619" s="63">
        <v>229.85300000000001</v>
      </c>
      <c r="C619" s="63">
        <v>225.64320000000001</v>
      </c>
      <c r="D619" s="63">
        <v>226.9836</v>
      </c>
      <c r="E619" s="63">
        <v>12327442</v>
      </c>
      <c r="F619" s="63" t="s">
        <v>1656</v>
      </c>
      <c r="G619" s="25">
        <f t="shared" si="7"/>
        <v>7.6111225656831927E-3</v>
      </c>
    </row>
    <row r="620" spans="1:7">
      <c r="A620" s="63">
        <v>223.31979999999999</v>
      </c>
      <c r="B620" s="63">
        <v>223.9255</v>
      </c>
      <c r="C620" s="63">
        <v>220.649</v>
      </c>
      <c r="D620" s="63">
        <v>222.01910000000001</v>
      </c>
      <c r="E620" s="63">
        <v>5535336</v>
      </c>
      <c r="F620" s="63" t="s">
        <v>1655</v>
      </c>
      <c r="G620" s="25">
        <f t="shared" si="7"/>
        <v>5.8585049664645616E-3</v>
      </c>
    </row>
    <row r="621" spans="1:7">
      <c r="A621" s="63">
        <v>223.19069999999999</v>
      </c>
      <c r="B621" s="63">
        <v>224.61060000000001</v>
      </c>
      <c r="C621" s="63">
        <v>222.65459999999999</v>
      </c>
      <c r="D621" s="63">
        <v>223.89570000000001</v>
      </c>
      <c r="E621" s="63">
        <v>4885506</v>
      </c>
      <c r="F621" s="63" t="s">
        <v>1654</v>
      </c>
      <c r="G621" s="25">
        <f t="shared" si="7"/>
        <v>-3.1487875827896916E-3</v>
      </c>
    </row>
    <row r="622" spans="1:7">
      <c r="A622" s="63">
        <v>222.78370000000001</v>
      </c>
      <c r="B622" s="63">
        <v>222.8929</v>
      </c>
      <c r="C622" s="63">
        <v>220.53970000000001</v>
      </c>
      <c r="D622" s="63">
        <v>222.7638</v>
      </c>
      <c r="E622" s="63">
        <v>1869111</v>
      </c>
      <c r="F622" s="63" t="s">
        <v>1653</v>
      </c>
      <c r="G622" s="25">
        <f t="shared" si="7"/>
        <v>8.9332288280230543E-5</v>
      </c>
    </row>
    <row r="623" spans="1:7">
      <c r="A623" s="63">
        <v>222.2475</v>
      </c>
      <c r="B623" s="63">
        <v>224.08369999999999</v>
      </c>
      <c r="C623" s="63">
        <v>221.62200000000001</v>
      </c>
      <c r="D623" s="63">
        <v>222.70419999999999</v>
      </c>
      <c r="E623" s="63">
        <v>3894413</v>
      </c>
      <c r="F623" s="63" t="s">
        <v>1652</v>
      </c>
      <c r="G623" s="25">
        <f t="shared" si="7"/>
        <v>-2.0507022319290469E-3</v>
      </c>
    </row>
    <row r="624" spans="1:7">
      <c r="A624" s="63">
        <v>222.72409999999999</v>
      </c>
      <c r="B624" s="63">
        <v>224.36240000000001</v>
      </c>
      <c r="C624" s="63">
        <v>221.9496</v>
      </c>
      <c r="D624" s="63">
        <v>222.40639999999999</v>
      </c>
      <c r="E624" s="63">
        <v>3852324</v>
      </c>
      <c r="F624" s="63" t="s">
        <v>1651</v>
      </c>
      <c r="G624" s="25">
        <f t="shared" si="7"/>
        <v>1.4284660873069566E-3</v>
      </c>
    </row>
    <row r="625" spans="1:7">
      <c r="A625" s="63">
        <v>223.5283</v>
      </c>
      <c r="B625" s="63">
        <v>224.4914</v>
      </c>
      <c r="C625" s="63">
        <v>219.0504</v>
      </c>
      <c r="D625" s="63">
        <v>219.85470000000001</v>
      </c>
      <c r="E625" s="63">
        <v>4600980</v>
      </c>
      <c r="F625" s="63" t="s">
        <v>1650</v>
      </c>
      <c r="G625" s="25">
        <f t="shared" si="7"/>
        <v>1.6709217496828632E-2</v>
      </c>
    </row>
    <row r="626" spans="1:7">
      <c r="A626" s="63">
        <v>219.64609999999999</v>
      </c>
      <c r="B626" s="63">
        <v>221.20500000000001</v>
      </c>
      <c r="C626" s="63">
        <v>218.81209999999999</v>
      </c>
      <c r="D626" s="63">
        <v>219.59649999999999</v>
      </c>
      <c r="E626" s="63">
        <v>3636397</v>
      </c>
      <c r="F626" s="63" t="s">
        <v>1649</v>
      </c>
      <c r="G626" s="25">
        <f t="shared" si="7"/>
        <v>2.2586880938457732E-4</v>
      </c>
    </row>
    <row r="627" spans="1:7">
      <c r="A627" s="63">
        <v>219.87450000000001</v>
      </c>
      <c r="B627" s="63">
        <v>221.18510000000001</v>
      </c>
      <c r="C627" s="63">
        <v>217.38239999999999</v>
      </c>
      <c r="D627" s="63">
        <v>218.4348</v>
      </c>
      <c r="E627" s="63">
        <v>3712533</v>
      </c>
      <c r="F627" s="63" t="s">
        <v>1648</v>
      </c>
      <c r="G627" s="25">
        <f t="shared" si="7"/>
        <v>6.5909827554950784E-3</v>
      </c>
    </row>
    <row r="628" spans="1:7">
      <c r="A628" s="63">
        <v>217.85900000000001</v>
      </c>
      <c r="B628" s="63">
        <v>219.79509999999999</v>
      </c>
      <c r="C628" s="63">
        <v>216.11150000000001</v>
      </c>
      <c r="D628" s="63">
        <v>219.17949999999999</v>
      </c>
      <c r="E628" s="63">
        <v>4800679</v>
      </c>
      <c r="F628" s="63" t="s">
        <v>1647</v>
      </c>
      <c r="G628" s="25">
        <f t="shared" si="7"/>
        <v>-6.0247422774483139E-3</v>
      </c>
    </row>
    <row r="629" spans="1:7">
      <c r="A629" s="63">
        <v>219.60640000000001</v>
      </c>
      <c r="B629" s="63">
        <v>219.67590000000001</v>
      </c>
      <c r="C629" s="63">
        <v>216.39940000000001</v>
      </c>
      <c r="D629" s="63">
        <v>217.4419</v>
      </c>
      <c r="E629" s="63">
        <v>4743828</v>
      </c>
      <c r="F629" s="63" t="s">
        <v>1646</v>
      </c>
      <c r="G629" s="25">
        <f t="shared" si="7"/>
        <v>9.954383216850049E-3</v>
      </c>
    </row>
    <row r="630" spans="1:7">
      <c r="A630" s="63">
        <v>213.7484</v>
      </c>
      <c r="B630" s="63">
        <v>214.60230000000001</v>
      </c>
      <c r="C630" s="63">
        <v>210.2534</v>
      </c>
      <c r="D630" s="63">
        <v>211.05770000000001</v>
      </c>
      <c r="E630" s="63">
        <v>3306626</v>
      </c>
      <c r="F630" s="63" t="s">
        <v>1645</v>
      </c>
      <c r="G630" s="25">
        <f t="shared" si="7"/>
        <v>1.2748646460186031E-2</v>
      </c>
    </row>
    <row r="631" spans="1:7">
      <c r="A631" s="63">
        <v>212.11009999999999</v>
      </c>
      <c r="B631" s="63">
        <v>212.7406</v>
      </c>
      <c r="C631" s="63">
        <v>207.35900000000001</v>
      </c>
      <c r="D631" s="63">
        <v>207.9102</v>
      </c>
      <c r="E631" s="63">
        <v>4113413</v>
      </c>
      <c r="F631" s="63" t="s">
        <v>1644</v>
      </c>
      <c r="G631" s="25">
        <f t="shared" si="7"/>
        <v>2.0200548121256157E-2</v>
      </c>
    </row>
    <row r="632" spans="1:7">
      <c r="A632" s="63">
        <v>208.51589999999999</v>
      </c>
      <c r="B632" s="63">
        <v>212.06049999999999</v>
      </c>
      <c r="C632" s="63">
        <v>207.58260000000001</v>
      </c>
      <c r="D632" s="63">
        <v>212.0506</v>
      </c>
      <c r="E632" s="63">
        <v>4731434</v>
      </c>
      <c r="F632" s="63" t="s">
        <v>1643</v>
      </c>
      <c r="G632" s="25">
        <f t="shared" si="7"/>
        <v>-1.6669134631074001E-2</v>
      </c>
    </row>
    <row r="633" spans="1:7">
      <c r="A633" s="63">
        <v>209.96549999999999</v>
      </c>
      <c r="B633" s="63">
        <v>211.00800000000001</v>
      </c>
      <c r="C633" s="63">
        <v>208.1585</v>
      </c>
      <c r="D633" s="63">
        <v>210.90880000000001</v>
      </c>
      <c r="E633" s="63">
        <v>3433465</v>
      </c>
      <c r="F633" s="63" t="s">
        <v>1642</v>
      </c>
      <c r="G633" s="25">
        <f t="shared" ref="G633:G696" si="8">A633/D633-1</f>
        <v>-4.4725492724818627E-3</v>
      </c>
    </row>
    <row r="634" spans="1:7">
      <c r="A634" s="63">
        <v>210.3329</v>
      </c>
      <c r="B634" s="63">
        <v>211.82220000000001</v>
      </c>
      <c r="C634" s="63">
        <v>207.4684</v>
      </c>
      <c r="D634" s="63">
        <v>208.0095</v>
      </c>
      <c r="E634" s="63">
        <v>5467113</v>
      </c>
      <c r="F634" s="63" t="s">
        <v>1641</v>
      </c>
      <c r="G634" s="25">
        <f t="shared" si="8"/>
        <v>1.1169682153939986E-2</v>
      </c>
    </row>
    <row r="635" spans="1:7">
      <c r="A635" s="63">
        <v>205.9443</v>
      </c>
      <c r="B635" s="63">
        <v>206.99680000000001</v>
      </c>
      <c r="C635" s="63">
        <v>203.2337</v>
      </c>
      <c r="D635" s="63">
        <v>206.7287</v>
      </c>
      <c r="E635" s="63">
        <v>3729658</v>
      </c>
      <c r="F635" s="63" t="s">
        <v>1640</v>
      </c>
      <c r="G635" s="25">
        <f t="shared" si="8"/>
        <v>-3.7943449554900255E-3</v>
      </c>
    </row>
    <row r="636" spans="1:7">
      <c r="A636" s="63">
        <v>205.994</v>
      </c>
      <c r="B636" s="63">
        <v>208.68469999999999</v>
      </c>
      <c r="C636" s="63">
        <v>205.7259</v>
      </c>
      <c r="D636" s="63">
        <v>207.90029999999999</v>
      </c>
      <c r="E636" s="63">
        <v>3861880</v>
      </c>
      <c r="F636" s="63" t="s">
        <v>1639</v>
      </c>
      <c r="G636" s="25">
        <f t="shared" si="8"/>
        <v>-9.1692989380005585E-3</v>
      </c>
    </row>
    <row r="637" spans="1:7">
      <c r="A637" s="63">
        <v>206.6294</v>
      </c>
      <c r="B637" s="63">
        <v>206.7783</v>
      </c>
      <c r="C637" s="63">
        <v>204.48480000000001</v>
      </c>
      <c r="D637" s="63">
        <v>204.84219999999999</v>
      </c>
      <c r="E637" s="63">
        <v>4963628</v>
      </c>
      <c r="F637" s="63" t="s">
        <v>1638</v>
      </c>
      <c r="G637" s="25">
        <f t="shared" si="8"/>
        <v>8.7247647213319901E-3</v>
      </c>
    </row>
    <row r="638" spans="1:7">
      <c r="A638" s="63">
        <v>202.45930000000001</v>
      </c>
      <c r="B638" s="63">
        <v>203.0352</v>
      </c>
      <c r="C638" s="63">
        <v>199.06360000000001</v>
      </c>
      <c r="D638" s="63">
        <v>199.4906</v>
      </c>
      <c r="E638" s="63">
        <v>3593561</v>
      </c>
      <c r="F638" s="63" t="s">
        <v>1637</v>
      </c>
      <c r="G638" s="25">
        <f t="shared" si="8"/>
        <v>1.4881402933271115E-2</v>
      </c>
    </row>
    <row r="639" spans="1:7">
      <c r="A639" s="63">
        <v>199.40119999999999</v>
      </c>
      <c r="B639" s="63">
        <v>200.4735</v>
      </c>
      <c r="C639" s="63">
        <v>197.2466</v>
      </c>
      <c r="D639" s="63">
        <v>198.9941</v>
      </c>
      <c r="E639" s="63">
        <v>3425426</v>
      </c>
      <c r="F639" s="63" t="s">
        <v>1636</v>
      </c>
      <c r="G639" s="25">
        <f t="shared" si="8"/>
        <v>2.0457892972705061E-3</v>
      </c>
    </row>
    <row r="640" spans="1:7">
      <c r="A640" s="63">
        <v>197.85230000000001</v>
      </c>
      <c r="B640" s="63">
        <v>199.15299999999999</v>
      </c>
      <c r="C640" s="63">
        <v>195.67789999999999</v>
      </c>
      <c r="D640" s="63">
        <v>197.58420000000001</v>
      </c>
      <c r="E640" s="63">
        <v>3438456</v>
      </c>
      <c r="F640" s="63" t="s">
        <v>1635</v>
      </c>
      <c r="G640" s="25">
        <f t="shared" si="8"/>
        <v>1.3568898727731593E-3</v>
      </c>
    </row>
    <row r="641" spans="1:7">
      <c r="A641" s="63">
        <v>195.17150000000001</v>
      </c>
      <c r="B641" s="63">
        <v>196.8991</v>
      </c>
      <c r="C641" s="63">
        <v>194.0198</v>
      </c>
      <c r="D641" s="63">
        <v>195.8963</v>
      </c>
      <c r="E641" s="63">
        <v>3168554</v>
      </c>
      <c r="F641" s="63" t="s">
        <v>1634</v>
      </c>
      <c r="G641" s="25">
        <f t="shared" si="8"/>
        <v>-3.6999167416638112E-3</v>
      </c>
    </row>
    <row r="642" spans="1:7">
      <c r="A642" s="63">
        <v>194.85380000000001</v>
      </c>
      <c r="B642" s="63">
        <v>198.23949999999999</v>
      </c>
      <c r="C642" s="63">
        <v>192.3021</v>
      </c>
      <c r="D642" s="63">
        <v>196.0155</v>
      </c>
      <c r="E642" s="63">
        <v>5149060</v>
      </c>
      <c r="F642" s="63" t="s">
        <v>1633</v>
      </c>
      <c r="G642" s="25">
        <f t="shared" si="8"/>
        <v>-5.9265721333261467E-3</v>
      </c>
    </row>
    <row r="643" spans="1:7">
      <c r="A643" s="63">
        <v>195.65799999999999</v>
      </c>
      <c r="B643" s="63">
        <v>202.29050000000001</v>
      </c>
      <c r="C643" s="63">
        <v>194.03960000000001</v>
      </c>
      <c r="D643" s="63">
        <v>201.7543</v>
      </c>
      <c r="E643" s="63">
        <v>4489976</v>
      </c>
      <c r="F643" s="63" t="s">
        <v>1632</v>
      </c>
      <c r="G643" s="25">
        <f t="shared" si="8"/>
        <v>-3.0216456353098886E-2</v>
      </c>
    </row>
    <row r="644" spans="1:7">
      <c r="A644" s="63">
        <v>202.7671</v>
      </c>
      <c r="B644" s="63">
        <v>203.1841</v>
      </c>
      <c r="C644" s="63">
        <v>199.49549999999999</v>
      </c>
      <c r="D644" s="63">
        <v>202.28059999999999</v>
      </c>
      <c r="E644" s="63">
        <v>3959708</v>
      </c>
      <c r="F644" s="63" t="s">
        <v>1631</v>
      </c>
      <c r="G644" s="25">
        <f t="shared" si="8"/>
        <v>2.4050749305668528E-3</v>
      </c>
    </row>
    <row r="645" spans="1:7">
      <c r="A645" s="63">
        <v>200.56290000000001</v>
      </c>
      <c r="B645" s="63">
        <v>202.1217</v>
      </c>
      <c r="C645" s="63">
        <v>196.44239999999999</v>
      </c>
      <c r="D645" s="63">
        <v>198.4778</v>
      </c>
      <c r="E645" s="63">
        <v>4564116</v>
      </c>
      <c r="F645" s="63" t="s">
        <v>1630</v>
      </c>
      <c r="G645" s="25">
        <f t="shared" si="8"/>
        <v>1.0505457033481935E-2</v>
      </c>
    </row>
    <row r="646" spans="1:7">
      <c r="A646" s="63">
        <v>202.28059999999999</v>
      </c>
      <c r="B646" s="63">
        <v>206.6294</v>
      </c>
      <c r="C646" s="63">
        <v>200.68199999999999</v>
      </c>
      <c r="D646" s="63">
        <v>205.88480000000001</v>
      </c>
      <c r="E646" s="63">
        <v>5539077</v>
      </c>
      <c r="F646" s="63" t="s">
        <v>1629</v>
      </c>
      <c r="G646" s="25">
        <f t="shared" si="8"/>
        <v>-1.7505906215514844E-2</v>
      </c>
    </row>
    <row r="647" spans="1:7">
      <c r="A647" s="63">
        <v>206.83789999999999</v>
      </c>
      <c r="B647" s="63">
        <v>209.44919999999999</v>
      </c>
      <c r="C647" s="63">
        <v>204.06780000000001</v>
      </c>
      <c r="D647" s="63">
        <v>204.9812</v>
      </c>
      <c r="E647" s="63">
        <v>4995930</v>
      </c>
      <c r="F647" s="63" t="s">
        <v>1628</v>
      </c>
      <c r="G647" s="25">
        <f t="shared" si="8"/>
        <v>9.0579038467917261E-3</v>
      </c>
    </row>
    <row r="648" spans="1:7">
      <c r="A648" s="63">
        <v>203.37280000000001</v>
      </c>
      <c r="B648" s="63">
        <v>208.1386</v>
      </c>
      <c r="C648" s="63">
        <v>202.7373</v>
      </c>
      <c r="D648" s="63">
        <v>207.3939</v>
      </c>
      <c r="E648" s="63">
        <v>3380758</v>
      </c>
      <c r="F648" s="63" t="s">
        <v>1627</v>
      </c>
      <c r="G648" s="25">
        <f t="shared" si="8"/>
        <v>-1.9388709118252745E-2</v>
      </c>
    </row>
    <row r="649" spans="1:7">
      <c r="A649" s="63">
        <v>208.34710000000001</v>
      </c>
      <c r="B649" s="63">
        <v>210.43219999999999</v>
      </c>
      <c r="C649" s="63">
        <v>204.53440000000001</v>
      </c>
      <c r="D649" s="63">
        <v>205.02090000000001</v>
      </c>
      <c r="E649" s="63">
        <v>4006090</v>
      </c>
      <c r="F649" s="63" t="s">
        <v>1626</v>
      </c>
      <c r="G649" s="25">
        <f t="shared" si="8"/>
        <v>1.6223711826452769E-2</v>
      </c>
    </row>
    <row r="650" spans="1:7">
      <c r="A650" s="63">
        <v>207.04640000000001</v>
      </c>
      <c r="B650" s="63">
        <v>207.99959999999999</v>
      </c>
      <c r="C650" s="63">
        <v>203.5813</v>
      </c>
      <c r="D650" s="63">
        <v>204.37559999999999</v>
      </c>
      <c r="E650" s="63">
        <v>3623223</v>
      </c>
      <c r="F650" s="63" t="s">
        <v>1625</v>
      </c>
      <c r="G650" s="25">
        <f t="shared" si="8"/>
        <v>1.3068096191521938E-2</v>
      </c>
    </row>
    <row r="651" spans="1:7">
      <c r="A651" s="63">
        <v>203.1345</v>
      </c>
      <c r="B651" s="63">
        <v>205.66630000000001</v>
      </c>
      <c r="C651" s="63">
        <v>201.76429999999999</v>
      </c>
      <c r="D651" s="63">
        <v>203.6508</v>
      </c>
      <c r="E651" s="63">
        <v>3678409</v>
      </c>
      <c r="F651" s="63" t="s">
        <v>1624</v>
      </c>
      <c r="G651" s="25">
        <f t="shared" si="8"/>
        <v>-2.5352220565791894E-3</v>
      </c>
    </row>
    <row r="652" spans="1:7">
      <c r="A652" s="63">
        <v>204.2167</v>
      </c>
      <c r="B652" s="63">
        <v>207.09610000000001</v>
      </c>
      <c r="C652" s="63">
        <v>201.82380000000001</v>
      </c>
      <c r="D652" s="63">
        <v>206.35140000000001</v>
      </c>
      <c r="E652" s="63">
        <v>3548635</v>
      </c>
      <c r="F652" s="63" t="s">
        <v>1623</v>
      </c>
      <c r="G652" s="25">
        <f t="shared" si="8"/>
        <v>-1.034497464034656E-2</v>
      </c>
    </row>
    <row r="653" spans="1:7">
      <c r="A653" s="63">
        <v>205.3784</v>
      </c>
      <c r="B653" s="63">
        <v>207.71170000000001</v>
      </c>
      <c r="C653" s="63">
        <v>202.95570000000001</v>
      </c>
      <c r="D653" s="63">
        <v>205.75569999999999</v>
      </c>
      <c r="E653" s="63">
        <v>3971001</v>
      </c>
      <c r="F653" s="63" t="s">
        <v>1622</v>
      </c>
      <c r="G653" s="25">
        <f t="shared" si="8"/>
        <v>-1.8337280571084635E-3</v>
      </c>
    </row>
    <row r="654" spans="1:7">
      <c r="A654" s="63">
        <v>205.40819999999999</v>
      </c>
      <c r="B654" s="63">
        <v>207.727</v>
      </c>
      <c r="C654" s="63">
        <v>204.79259999999999</v>
      </c>
      <c r="D654" s="63">
        <v>206.1628</v>
      </c>
      <c r="E654" s="63">
        <v>4503470</v>
      </c>
      <c r="F654" s="63" t="s">
        <v>1621</v>
      </c>
      <c r="G654" s="25">
        <f t="shared" si="8"/>
        <v>-3.660214160847719E-3</v>
      </c>
    </row>
    <row r="655" spans="1:7">
      <c r="A655" s="63">
        <v>205.7457</v>
      </c>
      <c r="B655" s="63">
        <v>206.79820000000001</v>
      </c>
      <c r="C655" s="63">
        <v>203.2337</v>
      </c>
      <c r="D655" s="63">
        <v>203.4323</v>
      </c>
      <c r="E655" s="63">
        <v>2781322</v>
      </c>
      <c r="F655" s="63" t="s">
        <v>1620</v>
      </c>
      <c r="G655" s="25">
        <f t="shared" si="8"/>
        <v>1.1371842131264298E-2</v>
      </c>
    </row>
    <row r="656" spans="1:7">
      <c r="A656" s="63">
        <v>205.88480000000001</v>
      </c>
      <c r="B656" s="63">
        <v>206.78829999999999</v>
      </c>
      <c r="C656" s="63">
        <v>198.46789999999999</v>
      </c>
      <c r="D656" s="63">
        <v>199.05369999999999</v>
      </c>
      <c r="E656" s="63">
        <v>4989189</v>
      </c>
      <c r="F656" s="63" t="s">
        <v>1619</v>
      </c>
      <c r="G656" s="25">
        <f t="shared" si="8"/>
        <v>3.4317875025684064E-2</v>
      </c>
    </row>
    <row r="657" spans="1:7">
      <c r="A657" s="63">
        <v>200.5728</v>
      </c>
      <c r="B657" s="63">
        <v>200.71180000000001</v>
      </c>
      <c r="C657" s="63">
        <v>197.078</v>
      </c>
      <c r="D657" s="63">
        <v>200.56290000000001</v>
      </c>
      <c r="E657" s="63">
        <v>3592613</v>
      </c>
      <c r="F657" s="63" t="s">
        <v>1618</v>
      </c>
      <c r="G657" s="25">
        <f t="shared" si="8"/>
        <v>4.9361073259257537E-5</v>
      </c>
    </row>
    <row r="658" spans="1:7">
      <c r="A658" s="63">
        <v>200.43379999999999</v>
      </c>
      <c r="B658" s="63">
        <v>201.29750000000001</v>
      </c>
      <c r="C658" s="63">
        <v>198.09059999999999</v>
      </c>
      <c r="D658" s="63">
        <v>199.45089999999999</v>
      </c>
      <c r="E658" s="63">
        <v>3656350</v>
      </c>
      <c r="F658" s="63" t="s">
        <v>1617</v>
      </c>
      <c r="G658" s="25">
        <f t="shared" si="8"/>
        <v>4.9280299061071897E-3</v>
      </c>
    </row>
    <row r="659" spans="1:7">
      <c r="A659" s="63">
        <v>198.4083</v>
      </c>
      <c r="B659" s="63">
        <v>202.11670000000001</v>
      </c>
      <c r="C659" s="63">
        <v>196.0155</v>
      </c>
      <c r="D659" s="63">
        <v>201.3075</v>
      </c>
      <c r="E659" s="63">
        <v>4622359</v>
      </c>
      <c r="F659" s="63" t="s">
        <v>1616</v>
      </c>
      <c r="G659" s="25">
        <f t="shared" si="8"/>
        <v>-1.440184791922805E-2</v>
      </c>
    </row>
    <row r="660" spans="1:7">
      <c r="A660" s="63">
        <v>202.26070000000001</v>
      </c>
      <c r="B660" s="63">
        <v>203.6508</v>
      </c>
      <c r="C660" s="63">
        <v>199.0934</v>
      </c>
      <c r="D660" s="63">
        <v>199.37139999999999</v>
      </c>
      <c r="E660" s="63">
        <v>3745684</v>
      </c>
      <c r="F660" s="63" t="s">
        <v>1615</v>
      </c>
      <c r="G660" s="25">
        <f t="shared" si="8"/>
        <v>1.4492048508462307E-2</v>
      </c>
    </row>
    <row r="661" spans="1:7">
      <c r="A661" s="63">
        <v>201.3373</v>
      </c>
      <c r="B661" s="63">
        <v>206.3117</v>
      </c>
      <c r="C661" s="63">
        <v>200.66220000000001</v>
      </c>
      <c r="D661" s="63">
        <v>203.62100000000001</v>
      </c>
      <c r="E661" s="63">
        <v>4405143</v>
      </c>
      <c r="F661" s="63" t="s">
        <v>1614</v>
      </c>
      <c r="G661" s="25">
        <f t="shared" si="8"/>
        <v>-1.1215444379509054E-2</v>
      </c>
    </row>
    <row r="662" spans="1:7">
      <c r="A662" s="63">
        <v>201.7543</v>
      </c>
      <c r="B662" s="63">
        <v>203.69049999999999</v>
      </c>
      <c r="C662" s="63">
        <v>198.13059999999999</v>
      </c>
      <c r="D662" s="63">
        <v>199.33170000000001</v>
      </c>
      <c r="E662" s="63">
        <v>4344035</v>
      </c>
      <c r="F662" s="63" t="s">
        <v>1613</v>
      </c>
      <c r="G662" s="25">
        <f t="shared" si="8"/>
        <v>1.2153611292132549E-2</v>
      </c>
    </row>
    <row r="663" spans="1:7">
      <c r="A663" s="63">
        <v>201.2877</v>
      </c>
      <c r="B663" s="63">
        <v>202.47919999999999</v>
      </c>
      <c r="C663" s="63">
        <v>199.5104</v>
      </c>
      <c r="D663" s="63">
        <v>201.54580000000001</v>
      </c>
      <c r="E663" s="63">
        <v>4123766</v>
      </c>
      <c r="F663" s="63" t="s">
        <v>1612</v>
      </c>
      <c r="G663" s="25">
        <f t="shared" si="8"/>
        <v>-1.2806022253999405E-3</v>
      </c>
    </row>
    <row r="664" spans="1:7">
      <c r="A664" s="63">
        <v>201.04939999999999</v>
      </c>
      <c r="B664" s="63">
        <v>204.97130000000001</v>
      </c>
      <c r="C664" s="63">
        <v>199.84800000000001</v>
      </c>
      <c r="D664" s="63">
        <v>204.00819999999999</v>
      </c>
      <c r="E664" s="63">
        <v>5404503</v>
      </c>
      <c r="F664" s="63" t="s">
        <v>1611</v>
      </c>
      <c r="G664" s="25">
        <f t="shared" si="8"/>
        <v>-1.4503338591291937E-2</v>
      </c>
    </row>
    <row r="665" spans="1:7">
      <c r="A665" s="63">
        <v>204.87200000000001</v>
      </c>
      <c r="B665" s="63">
        <v>205.0607</v>
      </c>
      <c r="C665" s="63">
        <v>202.4196</v>
      </c>
      <c r="D665" s="63">
        <v>203.54150000000001</v>
      </c>
      <c r="E665" s="63">
        <v>4067309</v>
      </c>
      <c r="F665" s="63" t="s">
        <v>1610</v>
      </c>
      <c r="G665" s="25">
        <f t="shared" si="8"/>
        <v>6.5367504906861384E-3</v>
      </c>
    </row>
    <row r="666" spans="1:7">
      <c r="A666" s="63">
        <v>204.9614</v>
      </c>
      <c r="B666" s="63">
        <v>208.22800000000001</v>
      </c>
      <c r="C666" s="63">
        <v>204.4153</v>
      </c>
      <c r="D666" s="63">
        <v>207.82089999999999</v>
      </c>
      <c r="E666" s="63">
        <v>3848593</v>
      </c>
      <c r="F666" s="63" t="s">
        <v>1609</v>
      </c>
      <c r="G666" s="25">
        <f t="shared" si="8"/>
        <v>-1.3759443828796791E-2</v>
      </c>
    </row>
    <row r="667" spans="1:7">
      <c r="A667" s="63">
        <v>207.1259</v>
      </c>
      <c r="B667" s="63">
        <v>210.38499999999999</v>
      </c>
      <c r="C667" s="63">
        <v>206.58969999999999</v>
      </c>
      <c r="D667" s="63">
        <v>208.3074</v>
      </c>
      <c r="E667" s="63">
        <v>4957895</v>
      </c>
      <c r="F667" s="63" t="s">
        <v>1608</v>
      </c>
      <c r="G667" s="25">
        <f t="shared" si="8"/>
        <v>-5.6719060388636944E-3</v>
      </c>
    </row>
    <row r="668" spans="1:7">
      <c r="A668" s="63">
        <v>211.51439999999999</v>
      </c>
      <c r="B668" s="63">
        <v>215.63489999999999</v>
      </c>
      <c r="C668" s="63">
        <v>211.40520000000001</v>
      </c>
      <c r="D668" s="63">
        <v>213.66900000000001</v>
      </c>
      <c r="E668" s="63">
        <v>2991594</v>
      </c>
      <c r="F668" s="63" t="s">
        <v>1607</v>
      </c>
      <c r="G668" s="25">
        <f t="shared" si="8"/>
        <v>-1.0083821237521717E-2</v>
      </c>
    </row>
    <row r="669" spans="1:7">
      <c r="A669" s="63">
        <v>214.16540000000001</v>
      </c>
      <c r="B669" s="63">
        <v>214.52289999999999</v>
      </c>
      <c r="C669" s="63">
        <v>210.7499</v>
      </c>
      <c r="D669" s="63">
        <v>212.8647</v>
      </c>
      <c r="E669" s="63">
        <v>4002204</v>
      </c>
      <c r="F669" s="63" t="s">
        <v>1606</v>
      </c>
      <c r="G669" s="25">
        <f t="shared" si="8"/>
        <v>6.1104541993106665E-3</v>
      </c>
    </row>
    <row r="670" spans="1:7">
      <c r="A670" s="63">
        <v>213.47040000000001</v>
      </c>
      <c r="B670" s="63">
        <v>214.84059999999999</v>
      </c>
      <c r="C670" s="63">
        <v>212.65620000000001</v>
      </c>
      <c r="D670" s="63">
        <v>213.0335</v>
      </c>
      <c r="E670" s="63">
        <v>4279576</v>
      </c>
      <c r="F670" s="63" t="s">
        <v>1605</v>
      </c>
      <c r="G670" s="25">
        <f t="shared" si="8"/>
        <v>2.0508511572123744E-3</v>
      </c>
    </row>
    <row r="671" spans="1:7">
      <c r="A671" s="63">
        <v>213.08320000000001</v>
      </c>
      <c r="B671" s="63">
        <v>217.63050000000001</v>
      </c>
      <c r="C671" s="63">
        <v>211.94139999999999</v>
      </c>
      <c r="D671" s="63">
        <v>217.31290000000001</v>
      </c>
      <c r="E671" s="63">
        <v>9939044</v>
      </c>
      <c r="F671" s="63" t="s">
        <v>1604</v>
      </c>
      <c r="G671" s="25">
        <f t="shared" si="8"/>
        <v>-1.9463639756314599E-2</v>
      </c>
    </row>
    <row r="672" spans="1:7">
      <c r="A672" s="63">
        <v>217.2235</v>
      </c>
      <c r="B672" s="63">
        <v>219.00470000000001</v>
      </c>
      <c r="C672" s="63">
        <v>216.78659999999999</v>
      </c>
      <c r="D672" s="63">
        <v>217.85900000000001</v>
      </c>
      <c r="E672" s="63">
        <v>4297203</v>
      </c>
      <c r="F672" s="63" t="s">
        <v>1603</v>
      </c>
      <c r="G672" s="25">
        <f t="shared" si="8"/>
        <v>-2.9170243138911811E-3</v>
      </c>
    </row>
    <row r="673" spans="1:7">
      <c r="A673" s="63">
        <v>217.24340000000001</v>
      </c>
      <c r="B673" s="63">
        <v>220.2816</v>
      </c>
      <c r="C673" s="63">
        <v>216.74199999999999</v>
      </c>
      <c r="D673" s="63">
        <v>219.60640000000001</v>
      </c>
      <c r="E673" s="63">
        <v>4173592</v>
      </c>
      <c r="F673" s="63" t="s">
        <v>1602</v>
      </c>
      <c r="G673" s="25">
        <f t="shared" si="8"/>
        <v>-1.0760159995337082E-2</v>
      </c>
    </row>
    <row r="674" spans="1:7">
      <c r="A674" s="63">
        <v>220.083</v>
      </c>
      <c r="B674" s="63">
        <v>223.19069999999999</v>
      </c>
      <c r="C674" s="63">
        <v>219.6859</v>
      </c>
      <c r="D674" s="63">
        <v>221.8603</v>
      </c>
      <c r="E674" s="63">
        <v>4002279</v>
      </c>
      <c r="F674" s="63" t="s">
        <v>1601</v>
      </c>
      <c r="G674" s="25">
        <f t="shared" si="8"/>
        <v>-8.010896947313273E-3</v>
      </c>
    </row>
    <row r="675" spans="1:7">
      <c r="A675" s="63">
        <v>223.70699999999999</v>
      </c>
      <c r="B675" s="63">
        <v>225.21129999999999</v>
      </c>
      <c r="C675" s="63">
        <v>221.20500000000001</v>
      </c>
      <c r="D675" s="63">
        <v>224.40209999999999</v>
      </c>
      <c r="E675" s="63">
        <v>4417969</v>
      </c>
      <c r="F675" s="63" t="s">
        <v>1600</v>
      </c>
      <c r="G675" s="25">
        <f t="shared" si="8"/>
        <v>-3.0975645949836705E-3</v>
      </c>
    </row>
    <row r="676" spans="1:7">
      <c r="A676" s="63">
        <v>223.161</v>
      </c>
      <c r="B676" s="63">
        <v>223.86590000000001</v>
      </c>
      <c r="C676" s="63">
        <v>221.27449999999999</v>
      </c>
      <c r="D676" s="63">
        <v>221.7312</v>
      </c>
      <c r="E676" s="63">
        <v>4580356</v>
      </c>
      <c r="F676" s="63" t="s">
        <v>1599</v>
      </c>
      <c r="G676" s="25">
        <f t="shared" si="8"/>
        <v>6.4483482703381334E-3</v>
      </c>
    </row>
    <row r="677" spans="1:7">
      <c r="A677" s="63">
        <v>220.9468</v>
      </c>
      <c r="B677" s="63">
        <v>221.1454</v>
      </c>
      <c r="C677" s="63">
        <v>217.74969999999999</v>
      </c>
      <c r="D677" s="63">
        <v>218.20650000000001</v>
      </c>
      <c r="E677" s="63">
        <v>4201915</v>
      </c>
      <c r="F677" s="63" t="s">
        <v>1598</v>
      </c>
      <c r="G677" s="25">
        <f t="shared" si="8"/>
        <v>1.2558287677039814E-2</v>
      </c>
    </row>
    <row r="678" spans="1:7">
      <c r="A678" s="63">
        <v>220.04329999999999</v>
      </c>
      <c r="B678" s="63">
        <v>220.62899999999999</v>
      </c>
      <c r="C678" s="63">
        <v>217.46180000000001</v>
      </c>
      <c r="D678" s="63">
        <v>217.90860000000001</v>
      </c>
      <c r="E678" s="63">
        <v>5066665</v>
      </c>
      <c r="F678" s="63" t="s">
        <v>1597</v>
      </c>
      <c r="G678" s="25">
        <f t="shared" si="8"/>
        <v>9.7963090947303932E-3</v>
      </c>
    </row>
    <row r="679" spans="1:7">
      <c r="A679" s="63">
        <v>217.13409999999999</v>
      </c>
      <c r="B679" s="63">
        <v>218.75239999999999</v>
      </c>
      <c r="C679" s="63">
        <v>216.06180000000001</v>
      </c>
      <c r="D679" s="63">
        <v>217.7696</v>
      </c>
      <c r="E679" s="63">
        <v>5807335</v>
      </c>
      <c r="F679" s="63" t="s">
        <v>1596</v>
      </c>
      <c r="G679" s="25">
        <f t="shared" si="8"/>
        <v>-2.9182218271053273E-3</v>
      </c>
    </row>
    <row r="680" spans="1:7">
      <c r="A680" s="63">
        <v>219.9539</v>
      </c>
      <c r="B680" s="63">
        <v>222.3766</v>
      </c>
      <c r="C680" s="63">
        <v>218.9511</v>
      </c>
      <c r="D680" s="63">
        <v>221.90989999999999</v>
      </c>
      <c r="E680" s="63">
        <v>5600939</v>
      </c>
      <c r="F680" s="63" t="s">
        <v>1595</v>
      </c>
      <c r="G680" s="25">
        <f t="shared" si="8"/>
        <v>-8.8143881818701919E-3</v>
      </c>
    </row>
    <row r="681" spans="1:7">
      <c r="A681" s="63">
        <v>219.8844</v>
      </c>
      <c r="B681" s="63">
        <v>227.16229999999999</v>
      </c>
      <c r="C681" s="63">
        <v>219.62629999999999</v>
      </c>
      <c r="D681" s="63">
        <v>226.37790000000001</v>
      </c>
      <c r="E681" s="63">
        <v>19268398</v>
      </c>
      <c r="F681" s="63" t="s">
        <v>1594</v>
      </c>
      <c r="G681" s="25">
        <f t="shared" si="8"/>
        <v>-2.8684337119480374E-2</v>
      </c>
    </row>
    <row r="682" spans="1:7">
      <c r="A682" s="63">
        <v>213.51009999999999</v>
      </c>
      <c r="B682" s="63">
        <v>214.05619999999999</v>
      </c>
      <c r="C682" s="63">
        <v>207.94</v>
      </c>
      <c r="D682" s="63">
        <v>210.26339999999999</v>
      </c>
      <c r="E682" s="63">
        <v>9946011</v>
      </c>
      <c r="F682" s="63" t="s">
        <v>1593</v>
      </c>
      <c r="G682" s="25">
        <f t="shared" si="8"/>
        <v>1.5441108628510669E-2</v>
      </c>
    </row>
    <row r="683" spans="1:7">
      <c r="A683" s="63">
        <v>210.452</v>
      </c>
      <c r="B683" s="63">
        <v>210.9485</v>
      </c>
      <c r="C683" s="63">
        <v>205.05070000000001</v>
      </c>
      <c r="D683" s="63">
        <v>205.2791</v>
      </c>
      <c r="E683" s="63">
        <v>5850364</v>
      </c>
      <c r="F683" s="63" t="s">
        <v>1592</v>
      </c>
      <c r="G683" s="25">
        <f t="shared" si="8"/>
        <v>2.51993505427488E-2</v>
      </c>
    </row>
    <row r="684" spans="1:7">
      <c r="A684" s="63">
        <v>210.21369999999999</v>
      </c>
      <c r="B684" s="63">
        <v>211.9579</v>
      </c>
      <c r="C684" s="63">
        <v>208.14850000000001</v>
      </c>
      <c r="D684" s="63">
        <v>208.9528</v>
      </c>
      <c r="E684" s="63">
        <v>4086852</v>
      </c>
      <c r="F684" s="63" t="s">
        <v>1591</v>
      </c>
      <c r="G684" s="25">
        <f t="shared" si="8"/>
        <v>6.0343771416320191E-3</v>
      </c>
    </row>
    <row r="685" spans="1:7">
      <c r="A685" s="63">
        <v>207.97970000000001</v>
      </c>
      <c r="B685" s="63">
        <v>209.2903</v>
      </c>
      <c r="C685" s="63">
        <v>204.0181</v>
      </c>
      <c r="D685" s="63">
        <v>204.0479</v>
      </c>
      <c r="E685" s="63">
        <v>3068820</v>
      </c>
      <c r="F685" s="63" t="s">
        <v>1590</v>
      </c>
      <c r="G685" s="25">
        <f t="shared" si="8"/>
        <v>1.9269004973832216E-2</v>
      </c>
    </row>
    <row r="686" spans="1:7">
      <c r="A686" s="63">
        <v>204.0479</v>
      </c>
      <c r="B686" s="63">
        <v>210.48179999999999</v>
      </c>
      <c r="C686" s="63">
        <v>203.97839999999999</v>
      </c>
      <c r="D686" s="63">
        <v>209.50880000000001</v>
      </c>
      <c r="E686" s="63">
        <v>3960326</v>
      </c>
      <c r="F686" s="63" t="s">
        <v>1589</v>
      </c>
      <c r="G686" s="25">
        <f t="shared" si="8"/>
        <v>-2.606525358362044E-2</v>
      </c>
    </row>
    <row r="687" spans="1:7">
      <c r="A687" s="63">
        <v>207.6422</v>
      </c>
      <c r="B687" s="63">
        <v>209.4889</v>
      </c>
      <c r="C687" s="63">
        <v>205.66630000000001</v>
      </c>
      <c r="D687" s="63">
        <v>206.52019999999999</v>
      </c>
      <c r="E687" s="63">
        <v>3833154</v>
      </c>
      <c r="F687" s="63" t="s">
        <v>1588</v>
      </c>
      <c r="G687" s="25">
        <f t="shared" si="8"/>
        <v>5.4328825945355597E-3</v>
      </c>
    </row>
    <row r="688" spans="1:7">
      <c r="A688" s="63">
        <v>205.28899999999999</v>
      </c>
      <c r="B688" s="63">
        <v>208.61019999999999</v>
      </c>
      <c r="C688" s="63">
        <v>204.53620000000001</v>
      </c>
      <c r="D688" s="63">
        <v>208.357</v>
      </c>
      <c r="E688" s="63">
        <v>3153623</v>
      </c>
      <c r="F688" s="63" t="s">
        <v>1587</v>
      </c>
      <c r="G688" s="25">
        <f t="shared" si="8"/>
        <v>-1.4724727270982063E-2</v>
      </c>
    </row>
    <row r="689" spans="1:7">
      <c r="A689" s="63">
        <v>207.5429</v>
      </c>
      <c r="B689" s="63">
        <v>207.93010000000001</v>
      </c>
      <c r="C689" s="63">
        <v>202.7671</v>
      </c>
      <c r="D689" s="63">
        <v>204.53440000000001</v>
      </c>
      <c r="E689" s="63">
        <v>4023325</v>
      </c>
      <c r="F689" s="63" t="s">
        <v>1586</v>
      </c>
      <c r="G689" s="25">
        <f t="shared" si="8"/>
        <v>1.4709017162883198E-2</v>
      </c>
    </row>
    <row r="690" spans="1:7">
      <c r="A690" s="63">
        <v>203.37280000000001</v>
      </c>
      <c r="B690" s="63">
        <v>204.035</v>
      </c>
      <c r="C690" s="63">
        <v>198.7757</v>
      </c>
      <c r="D690" s="63">
        <v>199.5402</v>
      </c>
      <c r="E690" s="63">
        <v>4267165</v>
      </c>
      <c r="F690" s="63" t="s">
        <v>1585</v>
      </c>
      <c r="G690" s="25">
        <f t="shared" si="8"/>
        <v>1.9207157254528262E-2</v>
      </c>
    </row>
    <row r="691" spans="1:7">
      <c r="A691" s="63">
        <v>202.38980000000001</v>
      </c>
      <c r="B691" s="63">
        <v>205.45779999999999</v>
      </c>
      <c r="C691" s="63">
        <v>201.94300000000001</v>
      </c>
      <c r="D691" s="63">
        <v>205.10040000000001</v>
      </c>
      <c r="E691" s="63">
        <v>4062741</v>
      </c>
      <c r="F691" s="63" t="s">
        <v>1584</v>
      </c>
      <c r="G691" s="25">
        <f t="shared" si="8"/>
        <v>-1.3215966424248826E-2</v>
      </c>
    </row>
    <row r="692" spans="1:7">
      <c r="A692" s="63">
        <v>205.51740000000001</v>
      </c>
      <c r="B692" s="63">
        <v>208.19820000000001</v>
      </c>
      <c r="C692" s="63">
        <v>205.4777</v>
      </c>
      <c r="D692" s="63">
        <v>206.52019999999999</v>
      </c>
      <c r="E692" s="63">
        <v>2759603</v>
      </c>
      <c r="F692" s="63" t="s">
        <v>1583</v>
      </c>
      <c r="G692" s="25">
        <f t="shared" si="8"/>
        <v>-4.8556993456329023E-3</v>
      </c>
    </row>
    <row r="693" spans="1:7">
      <c r="A693" s="63">
        <v>207.2946</v>
      </c>
      <c r="B693" s="63">
        <v>210.85910000000001</v>
      </c>
      <c r="C693" s="63">
        <v>206.3613</v>
      </c>
      <c r="D693" s="63">
        <v>208.83359999999999</v>
      </c>
      <c r="E693" s="63">
        <v>4076371</v>
      </c>
      <c r="F693" s="63" t="s">
        <v>1582</v>
      </c>
      <c r="G693" s="25">
        <f t="shared" si="8"/>
        <v>-7.3695037580159273E-3</v>
      </c>
    </row>
    <row r="694" spans="1:7">
      <c r="A694" s="63">
        <v>210.5513</v>
      </c>
      <c r="B694" s="63">
        <v>210.59100000000001</v>
      </c>
      <c r="C694" s="63">
        <v>205.6465</v>
      </c>
      <c r="D694" s="63">
        <v>206.42089999999999</v>
      </c>
      <c r="E694" s="63">
        <v>3304673</v>
      </c>
      <c r="F694" s="63" t="s">
        <v>1581</v>
      </c>
      <c r="G694" s="25">
        <f t="shared" si="8"/>
        <v>2.0009601740909044E-2</v>
      </c>
    </row>
    <row r="695" spans="1:7">
      <c r="A695" s="63">
        <v>207.21520000000001</v>
      </c>
      <c r="B695" s="63">
        <v>208.0095</v>
      </c>
      <c r="C695" s="63">
        <v>204.03800000000001</v>
      </c>
      <c r="D695" s="63">
        <v>204.6635</v>
      </c>
      <c r="E695" s="63">
        <v>2930776</v>
      </c>
      <c r="F695" s="63" t="s">
        <v>1580</v>
      </c>
      <c r="G695" s="25">
        <f t="shared" si="8"/>
        <v>1.2467782481976553E-2</v>
      </c>
    </row>
    <row r="696" spans="1:7">
      <c r="A696" s="63">
        <v>206.76840000000001</v>
      </c>
      <c r="B696" s="63">
        <v>208.84350000000001</v>
      </c>
      <c r="C696" s="63">
        <v>204.97130000000001</v>
      </c>
      <c r="D696" s="63">
        <v>206.69890000000001</v>
      </c>
      <c r="E696" s="63">
        <v>4004728</v>
      </c>
      <c r="F696" s="63" t="s">
        <v>1579</v>
      </c>
      <c r="G696" s="25">
        <f t="shared" si="8"/>
        <v>3.3623788031778012E-4</v>
      </c>
    </row>
    <row r="697" spans="1:7">
      <c r="A697" s="63">
        <v>204.3954</v>
      </c>
      <c r="B697" s="63">
        <v>210.1542</v>
      </c>
      <c r="C697" s="63">
        <v>203.4522</v>
      </c>
      <c r="D697" s="63">
        <v>210.14420000000001</v>
      </c>
      <c r="E697" s="63">
        <v>7847512</v>
      </c>
      <c r="F697" s="63" t="s">
        <v>1578</v>
      </c>
      <c r="G697" s="25">
        <f t="shared" ref="G697:G760" si="9">A697/D697-1</f>
        <v>-2.7356453330617869E-2</v>
      </c>
    </row>
    <row r="698" spans="1:7">
      <c r="A698" s="63">
        <v>210.07470000000001</v>
      </c>
      <c r="B698" s="63">
        <v>212.6662</v>
      </c>
      <c r="C698" s="63">
        <v>209.6379</v>
      </c>
      <c r="D698" s="63">
        <v>212.0307</v>
      </c>
      <c r="E698" s="63">
        <v>4843817</v>
      </c>
      <c r="F698" s="63" t="s">
        <v>1577</v>
      </c>
      <c r="G698" s="25">
        <f t="shared" si="9"/>
        <v>-9.2250791984367364E-3</v>
      </c>
    </row>
    <row r="699" spans="1:7">
      <c r="A699" s="63">
        <v>214.52289999999999</v>
      </c>
      <c r="B699" s="63">
        <v>215.34780000000001</v>
      </c>
      <c r="C699" s="63">
        <v>212.8449</v>
      </c>
      <c r="D699" s="63">
        <v>213.7782</v>
      </c>
      <c r="E699" s="63">
        <v>3615192</v>
      </c>
      <c r="F699" s="63" t="s">
        <v>1576</v>
      </c>
      <c r="G699" s="25">
        <f t="shared" si="9"/>
        <v>3.4835170283966654E-3</v>
      </c>
    </row>
    <row r="700" spans="1:7">
      <c r="A700" s="63">
        <v>213.0633</v>
      </c>
      <c r="B700" s="63">
        <v>215.70439999999999</v>
      </c>
      <c r="C700" s="63">
        <v>211.55410000000001</v>
      </c>
      <c r="D700" s="63">
        <v>214.87039999999999</v>
      </c>
      <c r="E700" s="63">
        <v>4800357</v>
      </c>
      <c r="F700" s="63" t="s">
        <v>1575</v>
      </c>
      <c r="G700" s="25">
        <f t="shared" si="9"/>
        <v>-8.4101858608723878E-3</v>
      </c>
    </row>
    <row r="701" spans="1:7">
      <c r="A701" s="63">
        <v>214.0264</v>
      </c>
      <c r="B701" s="63">
        <v>216.6576</v>
      </c>
      <c r="C701" s="63">
        <v>213.07320000000001</v>
      </c>
      <c r="D701" s="63">
        <v>214.6619</v>
      </c>
      <c r="E701" s="63">
        <v>5517079</v>
      </c>
      <c r="F701" s="63" t="s">
        <v>1574</v>
      </c>
      <c r="G701" s="25">
        <f t="shared" si="9"/>
        <v>-2.9604694638406537E-3</v>
      </c>
    </row>
    <row r="702" spans="1:7">
      <c r="A702" s="63">
        <v>218.93129999999999</v>
      </c>
      <c r="B702" s="63">
        <v>221.2645</v>
      </c>
      <c r="C702" s="63">
        <v>217.23840000000001</v>
      </c>
      <c r="D702" s="63">
        <v>220.4007</v>
      </c>
      <c r="E702" s="63">
        <v>5129661</v>
      </c>
      <c r="F702" s="63" t="s">
        <v>1573</v>
      </c>
      <c r="G702" s="25">
        <f t="shared" si="9"/>
        <v>-6.6669479724883463E-3</v>
      </c>
    </row>
    <row r="703" spans="1:7">
      <c r="A703" s="63">
        <v>222.67439999999999</v>
      </c>
      <c r="B703" s="63">
        <v>223.2106</v>
      </c>
      <c r="C703" s="63">
        <v>220.0532</v>
      </c>
      <c r="D703" s="63">
        <v>222.2971</v>
      </c>
      <c r="E703" s="63">
        <v>4214465</v>
      </c>
      <c r="F703" s="63" t="s">
        <v>1572</v>
      </c>
      <c r="G703" s="25">
        <f t="shared" si="9"/>
        <v>1.6972781021433736E-3</v>
      </c>
    </row>
    <row r="704" spans="1:7">
      <c r="A704" s="63">
        <v>223.4092</v>
      </c>
      <c r="B704" s="63">
        <v>223.7765</v>
      </c>
      <c r="C704" s="63">
        <v>220.17240000000001</v>
      </c>
      <c r="D704" s="63">
        <v>220.7681</v>
      </c>
      <c r="E704" s="63">
        <v>5573114</v>
      </c>
      <c r="F704" s="63" t="s">
        <v>1571</v>
      </c>
      <c r="G704" s="25">
        <f t="shared" si="9"/>
        <v>1.1963232006798163E-2</v>
      </c>
    </row>
    <row r="705" spans="1:7">
      <c r="A705" s="63">
        <v>223.995</v>
      </c>
      <c r="B705" s="63">
        <v>225.69280000000001</v>
      </c>
      <c r="C705" s="63">
        <v>222.38650000000001</v>
      </c>
      <c r="D705" s="63">
        <v>224.3921</v>
      </c>
      <c r="E705" s="63">
        <v>4239278</v>
      </c>
      <c r="F705" s="63" t="s">
        <v>1570</v>
      </c>
      <c r="G705" s="25">
        <f t="shared" si="9"/>
        <v>-1.7696701443589147E-3</v>
      </c>
    </row>
    <row r="706" spans="1:7">
      <c r="A706" s="63">
        <v>223.54820000000001</v>
      </c>
      <c r="B706" s="63">
        <v>228.5026</v>
      </c>
      <c r="C706" s="63">
        <v>222.41630000000001</v>
      </c>
      <c r="D706" s="63">
        <v>226.41759999999999</v>
      </c>
      <c r="E706" s="63">
        <v>4299574</v>
      </c>
      <c r="F706" s="63" t="s">
        <v>1569</v>
      </c>
      <c r="G706" s="25">
        <f t="shared" si="9"/>
        <v>-1.2673043084989843E-2</v>
      </c>
    </row>
    <row r="707" spans="1:7">
      <c r="A707" s="63">
        <v>223.9751</v>
      </c>
      <c r="B707" s="63">
        <v>225.8914</v>
      </c>
      <c r="C707" s="63">
        <v>221.5326</v>
      </c>
      <c r="D707" s="63">
        <v>222.8631</v>
      </c>
      <c r="E707" s="63">
        <v>4856673</v>
      </c>
      <c r="F707" s="63" t="s">
        <v>1568</v>
      </c>
      <c r="G707" s="25">
        <f t="shared" si="9"/>
        <v>4.9896102136244291E-3</v>
      </c>
    </row>
    <row r="708" spans="1:7">
      <c r="A708" s="63">
        <v>224.42189999999999</v>
      </c>
      <c r="B708" s="63">
        <v>225.90129999999999</v>
      </c>
      <c r="C708" s="63">
        <v>223.58789999999999</v>
      </c>
      <c r="D708" s="63">
        <v>224.273</v>
      </c>
      <c r="E708" s="63">
        <v>3203658</v>
      </c>
      <c r="F708" s="63" t="s">
        <v>1567</v>
      </c>
      <c r="G708" s="25">
        <f t="shared" si="9"/>
        <v>6.639229867171359E-4</v>
      </c>
    </row>
    <row r="709" spans="1:7">
      <c r="A709" s="63">
        <v>224.05459999999999</v>
      </c>
      <c r="B709" s="63">
        <v>225.9708</v>
      </c>
      <c r="C709" s="63">
        <v>221.94970000000001</v>
      </c>
      <c r="D709" s="63">
        <v>225.64320000000001</v>
      </c>
      <c r="E709" s="63">
        <v>5363244</v>
      </c>
      <c r="F709" s="63" t="s">
        <v>1566</v>
      </c>
      <c r="G709" s="25">
        <f t="shared" si="9"/>
        <v>-7.0403185205670793E-3</v>
      </c>
    </row>
    <row r="710" spans="1:7">
      <c r="A710" s="63">
        <v>226.4375</v>
      </c>
      <c r="B710" s="63">
        <v>229.1679</v>
      </c>
      <c r="C710" s="63">
        <v>225.673</v>
      </c>
      <c r="D710" s="63">
        <v>228.36369999999999</v>
      </c>
      <c r="E710" s="63">
        <v>3529741</v>
      </c>
      <c r="F710" s="63" t="s">
        <v>1565</v>
      </c>
      <c r="G710" s="25">
        <f t="shared" si="9"/>
        <v>-8.4347906431713193E-3</v>
      </c>
    </row>
    <row r="711" spans="1:7">
      <c r="A711" s="63">
        <v>226.5368</v>
      </c>
      <c r="B711" s="63">
        <v>231.83879999999999</v>
      </c>
      <c r="C711" s="63">
        <v>225.70269999999999</v>
      </c>
      <c r="D711" s="63">
        <v>229.45590000000001</v>
      </c>
      <c r="E711" s="63">
        <v>5302994</v>
      </c>
      <c r="F711" s="63" t="s">
        <v>1564</v>
      </c>
      <c r="G711" s="25">
        <f t="shared" si="9"/>
        <v>-1.2721834566032153E-2</v>
      </c>
    </row>
    <row r="712" spans="1:7">
      <c r="A712" s="63">
        <v>232.70259999999999</v>
      </c>
      <c r="B712" s="63">
        <v>236.52520000000001</v>
      </c>
      <c r="C712" s="63">
        <v>229.58500000000001</v>
      </c>
      <c r="D712" s="63">
        <v>232.31540000000001</v>
      </c>
      <c r="E712" s="63">
        <v>8516287</v>
      </c>
      <c r="F712" s="63" t="s">
        <v>1563</v>
      </c>
      <c r="G712" s="25">
        <f t="shared" si="9"/>
        <v>1.6666996677792145E-3</v>
      </c>
    </row>
    <row r="713" spans="1:7">
      <c r="A713" s="63">
        <v>226.01050000000001</v>
      </c>
      <c r="B713" s="63">
        <v>227.9872</v>
      </c>
      <c r="C713" s="63">
        <v>223.86089999999999</v>
      </c>
      <c r="D713" s="63">
        <v>225.43469999999999</v>
      </c>
      <c r="E713" s="63">
        <v>5094240</v>
      </c>
      <c r="F713" s="63" t="s">
        <v>1562</v>
      </c>
      <c r="G713" s="25">
        <f t="shared" si="9"/>
        <v>2.5541764422247759E-3</v>
      </c>
    </row>
    <row r="714" spans="1:7">
      <c r="A714" s="63">
        <v>226.37790000000001</v>
      </c>
      <c r="B714" s="63">
        <v>228.64169999999999</v>
      </c>
      <c r="C714" s="63">
        <v>226.1893</v>
      </c>
      <c r="D714" s="63">
        <v>227.60910000000001</v>
      </c>
      <c r="E714" s="63">
        <v>3558250</v>
      </c>
      <c r="F714" s="63" t="s">
        <v>1561</v>
      </c>
      <c r="G714" s="25">
        <f t="shared" si="9"/>
        <v>-5.4092740580231613E-3</v>
      </c>
    </row>
    <row r="715" spans="1:7">
      <c r="A715" s="63">
        <v>227.69839999999999</v>
      </c>
      <c r="B715" s="63">
        <v>230.548</v>
      </c>
      <c r="C715" s="63">
        <v>226.52680000000001</v>
      </c>
      <c r="D715" s="63">
        <v>228.0658</v>
      </c>
      <c r="E715" s="63">
        <v>4278735</v>
      </c>
      <c r="F715" s="63" t="s">
        <v>1560</v>
      </c>
      <c r="G715" s="25">
        <f t="shared" si="9"/>
        <v>-1.6109385975451307E-3</v>
      </c>
    </row>
    <row r="716" spans="1:7">
      <c r="A716" s="63">
        <v>228.73099999999999</v>
      </c>
      <c r="B716" s="63">
        <v>229.3168</v>
      </c>
      <c r="C716" s="63">
        <v>225.98079999999999</v>
      </c>
      <c r="D716" s="63">
        <v>226.6361</v>
      </c>
      <c r="E716" s="63">
        <v>5800286</v>
      </c>
      <c r="F716" s="63" t="s">
        <v>1559</v>
      </c>
      <c r="G716" s="25">
        <f t="shared" si="9"/>
        <v>9.2434523890942977E-3</v>
      </c>
    </row>
    <row r="717" spans="1:7">
      <c r="A717" s="63">
        <v>225.66300000000001</v>
      </c>
      <c r="B717" s="63">
        <v>226.46729999999999</v>
      </c>
      <c r="C717" s="63">
        <v>220.03649999999999</v>
      </c>
      <c r="D717" s="63">
        <v>220.32130000000001</v>
      </c>
      <c r="E717" s="63">
        <v>8923503</v>
      </c>
      <c r="F717" s="63" t="s">
        <v>1558</v>
      </c>
      <c r="G717" s="25">
        <f t="shared" si="9"/>
        <v>2.4245045758172212E-2</v>
      </c>
    </row>
    <row r="718" spans="1:7">
      <c r="A718" s="63">
        <v>219.59649999999999</v>
      </c>
      <c r="B718" s="63">
        <v>220.7681</v>
      </c>
      <c r="C718" s="63">
        <v>215.69450000000001</v>
      </c>
      <c r="D718" s="63">
        <v>220.4802</v>
      </c>
      <c r="E718" s="63">
        <v>10030524</v>
      </c>
      <c r="F718" s="63" t="s">
        <v>1557</v>
      </c>
      <c r="G718" s="25">
        <f t="shared" si="9"/>
        <v>-4.0080696588628006E-3</v>
      </c>
    </row>
    <row r="719" spans="1:7">
      <c r="A719" s="63">
        <v>211.29599999999999</v>
      </c>
      <c r="B719" s="63">
        <v>211.35560000000001</v>
      </c>
      <c r="C719" s="63">
        <v>206.833</v>
      </c>
      <c r="D719" s="63">
        <v>207.51310000000001</v>
      </c>
      <c r="E719" s="63">
        <v>3820076</v>
      </c>
      <c r="F719" s="63" t="s">
        <v>1556</v>
      </c>
      <c r="G719" s="25">
        <f t="shared" si="9"/>
        <v>1.8229692486883886E-2</v>
      </c>
    </row>
    <row r="720" spans="1:7">
      <c r="A720" s="63">
        <v>208.09889999999999</v>
      </c>
      <c r="B720" s="63">
        <v>210.601</v>
      </c>
      <c r="C720" s="63">
        <v>207.7911</v>
      </c>
      <c r="D720" s="63">
        <v>208.27760000000001</v>
      </c>
      <c r="E720" s="63">
        <v>3022151</v>
      </c>
      <c r="F720" s="63" t="s">
        <v>1555</v>
      </c>
      <c r="G720" s="25">
        <f t="shared" si="9"/>
        <v>-8.5798952935900452E-4</v>
      </c>
    </row>
    <row r="721" spans="1:7">
      <c r="A721" s="63">
        <v>208.64500000000001</v>
      </c>
      <c r="B721" s="63">
        <v>210.98820000000001</v>
      </c>
      <c r="C721" s="63">
        <v>206.35239999999999</v>
      </c>
      <c r="D721" s="63">
        <v>209.69739999999999</v>
      </c>
      <c r="E721" s="63">
        <v>4254061</v>
      </c>
      <c r="F721" s="63" t="s">
        <v>1554</v>
      </c>
      <c r="G721" s="25">
        <f t="shared" si="9"/>
        <v>-5.0186602218242893E-3</v>
      </c>
    </row>
    <row r="722" spans="1:7">
      <c r="A722" s="63">
        <v>212.2988</v>
      </c>
      <c r="B722" s="63">
        <v>213.09309999999999</v>
      </c>
      <c r="C722" s="63">
        <v>208.59530000000001</v>
      </c>
      <c r="D722" s="63">
        <v>208.99250000000001</v>
      </c>
      <c r="E722" s="63">
        <v>5071608</v>
      </c>
      <c r="F722" s="63" t="s">
        <v>1553</v>
      </c>
      <c r="G722" s="25">
        <f t="shared" si="9"/>
        <v>1.5820184934866033E-2</v>
      </c>
    </row>
    <row r="723" spans="1:7">
      <c r="A723" s="63">
        <v>210.14420000000001</v>
      </c>
      <c r="B723" s="63">
        <v>210.452</v>
      </c>
      <c r="C723" s="63">
        <v>208.4265</v>
      </c>
      <c r="D723" s="63">
        <v>209.0719</v>
      </c>
      <c r="E723" s="63">
        <v>2399966</v>
      </c>
      <c r="F723" s="63" t="s">
        <v>1552</v>
      </c>
      <c r="G723" s="25">
        <f t="shared" si="9"/>
        <v>5.1288575844004036E-3</v>
      </c>
    </row>
    <row r="724" spans="1:7">
      <c r="A724" s="63">
        <v>209.75700000000001</v>
      </c>
      <c r="B724" s="63">
        <v>212.32859999999999</v>
      </c>
      <c r="C724" s="63">
        <v>209.46100000000001</v>
      </c>
      <c r="D724" s="63">
        <v>210.3527</v>
      </c>
      <c r="E724" s="63">
        <v>5984203</v>
      </c>
      <c r="F724" s="63" t="s">
        <v>1551</v>
      </c>
      <c r="G724" s="25">
        <f t="shared" si="9"/>
        <v>-2.8319104057138444E-3</v>
      </c>
    </row>
    <row r="725" spans="1:7">
      <c r="A725" s="63">
        <v>208.93289999999999</v>
      </c>
      <c r="B725" s="63">
        <v>211.1371</v>
      </c>
      <c r="C725" s="63">
        <v>208.22800000000001</v>
      </c>
      <c r="D725" s="63">
        <v>210.39250000000001</v>
      </c>
      <c r="E725" s="63">
        <v>3838304</v>
      </c>
      <c r="F725" s="63" t="s">
        <v>1550</v>
      </c>
      <c r="G725" s="25">
        <f t="shared" si="9"/>
        <v>-6.937509654574292E-3</v>
      </c>
    </row>
    <row r="726" spans="1:7">
      <c r="A726" s="63">
        <v>210.66050000000001</v>
      </c>
      <c r="B726" s="63">
        <v>210.69030000000001</v>
      </c>
      <c r="C726" s="63">
        <v>206.12299999999999</v>
      </c>
      <c r="D726" s="63">
        <v>206.9273</v>
      </c>
      <c r="E726" s="63">
        <v>4775913</v>
      </c>
      <c r="F726" s="63" t="s">
        <v>1549</v>
      </c>
      <c r="G726" s="25">
        <f t="shared" si="9"/>
        <v>1.8041118789062782E-2</v>
      </c>
    </row>
    <row r="727" spans="1:7">
      <c r="A727" s="63">
        <v>207.33439999999999</v>
      </c>
      <c r="B727" s="63">
        <v>208.98259999999999</v>
      </c>
      <c r="C727" s="63">
        <v>206.0436</v>
      </c>
      <c r="D727" s="63">
        <v>206.6592</v>
      </c>
      <c r="E727" s="63">
        <v>4014756</v>
      </c>
      <c r="F727" s="63" t="s">
        <v>1548</v>
      </c>
      <c r="G727" s="25">
        <f t="shared" si="9"/>
        <v>3.2672148155030722E-3</v>
      </c>
    </row>
    <row r="728" spans="1:7">
      <c r="A728" s="63">
        <v>205.88480000000001</v>
      </c>
      <c r="B728" s="63">
        <v>210.24350000000001</v>
      </c>
      <c r="C728" s="63">
        <v>205.87479999999999</v>
      </c>
      <c r="D728" s="63">
        <v>207.53290000000001</v>
      </c>
      <c r="E728" s="63">
        <v>4771543</v>
      </c>
      <c r="F728" s="63" t="s">
        <v>1547</v>
      </c>
      <c r="G728" s="25">
        <f t="shared" si="9"/>
        <v>-7.9413914613056802E-3</v>
      </c>
    </row>
    <row r="729" spans="1:7">
      <c r="A729" s="63">
        <v>208.59530000000001</v>
      </c>
      <c r="B729" s="63">
        <v>209.49889999999999</v>
      </c>
      <c r="C729" s="63">
        <v>206.58969999999999</v>
      </c>
      <c r="D729" s="63">
        <v>209.00239999999999</v>
      </c>
      <c r="E729" s="63">
        <v>14037587</v>
      </c>
      <c r="F729" s="63" t="s">
        <v>1546</v>
      </c>
      <c r="G729" s="25">
        <f t="shared" si="9"/>
        <v>-1.9478245225891255E-3</v>
      </c>
    </row>
    <row r="730" spans="1:7">
      <c r="A730" s="63">
        <v>211.77260000000001</v>
      </c>
      <c r="B730" s="63">
        <v>212.4342</v>
      </c>
      <c r="C730" s="63">
        <v>207.60239999999999</v>
      </c>
      <c r="D730" s="63">
        <v>208.1386</v>
      </c>
      <c r="E730" s="63">
        <v>5694224</v>
      </c>
      <c r="F730" s="63" t="s">
        <v>1545</v>
      </c>
      <c r="G730" s="25">
        <f t="shared" si="9"/>
        <v>1.7459519762312192E-2</v>
      </c>
    </row>
    <row r="731" spans="1:7">
      <c r="A731" s="63">
        <v>208.09889999999999</v>
      </c>
      <c r="B731" s="63">
        <v>216.24549999999999</v>
      </c>
      <c r="C731" s="63">
        <v>206.5898</v>
      </c>
      <c r="D731" s="63">
        <v>214.9796</v>
      </c>
      <c r="E731" s="63">
        <v>7971632</v>
      </c>
      <c r="F731" s="63" t="s">
        <v>1544</v>
      </c>
      <c r="G731" s="25">
        <f t="shared" si="9"/>
        <v>-3.2006292690097138E-2</v>
      </c>
    </row>
    <row r="732" spans="1:7">
      <c r="A732" s="63">
        <v>215.4264</v>
      </c>
      <c r="B732" s="63">
        <v>215.50579999999999</v>
      </c>
      <c r="C732" s="63">
        <v>207.1259</v>
      </c>
      <c r="D732" s="63">
        <v>207.16560000000001</v>
      </c>
      <c r="E732" s="63">
        <v>9527235</v>
      </c>
      <c r="F732" s="63" t="s">
        <v>1543</v>
      </c>
      <c r="G732" s="25">
        <f t="shared" si="9"/>
        <v>3.9875346099931486E-2</v>
      </c>
    </row>
    <row r="733" spans="1:7">
      <c r="A733" s="63">
        <v>210.2534</v>
      </c>
      <c r="B733" s="63">
        <v>212.13</v>
      </c>
      <c r="C733" s="63">
        <v>209.10169999999999</v>
      </c>
      <c r="D733" s="63">
        <v>212.02080000000001</v>
      </c>
      <c r="E733" s="63">
        <v>13672662</v>
      </c>
      <c r="F733" s="63" t="s">
        <v>1542</v>
      </c>
      <c r="G733" s="25">
        <f t="shared" si="9"/>
        <v>-8.3359745836257826E-3</v>
      </c>
    </row>
    <row r="734" spans="1:7">
      <c r="A734" s="63">
        <v>210.41229999999999</v>
      </c>
      <c r="B734" s="63">
        <v>211.8073</v>
      </c>
      <c r="C734" s="63">
        <v>205.8947</v>
      </c>
      <c r="D734" s="63">
        <v>206.47059999999999</v>
      </c>
      <c r="E734" s="63">
        <v>7905381</v>
      </c>
      <c r="F734" s="63" t="s">
        <v>1541</v>
      </c>
      <c r="G734" s="25">
        <f t="shared" si="9"/>
        <v>1.9090853613056735E-2</v>
      </c>
    </row>
    <row r="735" spans="1:7">
      <c r="A735" s="63">
        <v>207.9102</v>
      </c>
      <c r="B735" s="63">
        <v>210.2038</v>
      </c>
      <c r="C735" s="63">
        <v>203.56139999999999</v>
      </c>
      <c r="D735" s="63">
        <v>206.22229999999999</v>
      </c>
      <c r="E735" s="63">
        <v>8963393</v>
      </c>
      <c r="F735" s="63" t="s">
        <v>1540</v>
      </c>
      <c r="G735" s="25">
        <f t="shared" si="9"/>
        <v>8.1848568268321209E-3</v>
      </c>
    </row>
    <row r="736" spans="1:7">
      <c r="A736" s="63">
        <v>207.4932</v>
      </c>
      <c r="B736" s="63">
        <v>214.6942</v>
      </c>
      <c r="C736" s="63">
        <v>206.4408</v>
      </c>
      <c r="D736" s="63">
        <v>213.96680000000001</v>
      </c>
      <c r="E736" s="63">
        <v>11698916</v>
      </c>
      <c r="F736" s="63" t="s">
        <v>1539</v>
      </c>
      <c r="G736" s="25">
        <f t="shared" si="9"/>
        <v>-3.0255161081064963E-2</v>
      </c>
    </row>
    <row r="737" spans="1:7">
      <c r="A737" s="63">
        <v>212.16970000000001</v>
      </c>
      <c r="B737" s="63">
        <v>218.822</v>
      </c>
      <c r="C737" s="63">
        <v>210.63069999999999</v>
      </c>
      <c r="D737" s="63">
        <v>214.6122</v>
      </c>
      <c r="E737" s="63">
        <v>11585179</v>
      </c>
      <c r="F737" s="63" t="s">
        <v>1538</v>
      </c>
      <c r="G737" s="25">
        <f t="shared" si="9"/>
        <v>-1.1380993252014582E-2</v>
      </c>
    </row>
    <row r="738" spans="1:7">
      <c r="A738" s="63">
        <v>213.7782</v>
      </c>
      <c r="B738" s="63">
        <v>217.1044</v>
      </c>
      <c r="C738" s="63">
        <v>209.19110000000001</v>
      </c>
      <c r="D738" s="63">
        <v>209.19110000000001</v>
      </c>
      <c r="E738" s="63">
        <v>7679636</v>
      </c>
      <c r="F738" s="63" t="s">
        <v>1537</v>
      </c>
      <c r="G738" s="25">
        <f t="shared" si="9"/>
        <v>2.1927797119475789E-2</v>
      </c>
    </row>
    <row r="739" spans="1:7">
      <c r="A739" s="63">
        <v>208.0393</v>
      </c>
      <c r="B739" s="63">
        <v>208.88329999999999</v>
      </c>
      <c r="C739" s="63">
        <v>203.39259999999999</v>
      </c>
      <c r="D739" s="63">
        <v>203.9188</v>
      </c>
      <c r="E739" s="63">
        <v>5551699</v>
      </c>
      <c r="F739" s="63" t="s">
        <v>1536</v>
      </c>
      <c r="G739" s="25">
        <f t="shared" si="9"/>
        <v>2.0206572420002455E-2</v>
      </c>
    </row>
    <row r="740" spans="1:7">
      <c r="A740" s="63">
        <v>204.2663</v>
      </c>
      <c r="B740" s="63">
        <v>215.11859999999999</v>
      </c>
      <c r="C740" s="63">
        <v>203.32310000000001</v>
      </c>
      <c r="D740" s="63">
        <v>213.35120000000001</v>
      </c>
      <c r="E740" s="63">
        <v>9323896</v>
      </c>
      <c r="F740" s="63" t="s">
        <v>1535</v>
      </c>
      <c r="G740" s="25">
        <f t="shared" si="9"/>
        <v>-4.2581902515664294E-2</v>
      </c>
    </row>
    <row r="741" spans="1:7">
      <c r="A741" s="63">
        <v>211.3357</v>
      </c>
      <c r="B741" s="63">
        <v>211.8818</v>
      </c>
      <c r="C741" s="63">
        <v>206.88759999999999</v>
      </c>
      <c r="D741" s="63">
        <v>207.06630000000001</v>
      </c>
      <c r="E741" s="63">
        <v>6795996</v>
      </c>
      <c r="F741" s="63" t="s">
        <v>1534</v>
      </c>
      <c r="G741" s="25">
        <f t="shared" si="9"/>
        <v>2.0618516871166337E-2</v>
      </c>
    </row>
    <row r="742" spans="1:7">
      <c r="A742" s="63">
        <v>208.36699999999999</v>
      </c>
      <c r="B742" s="63">
        <v>210.80950000000001</v>
      </c>
      <c r="C742" s="63">
        <v>205.58189999999999</v>
      </c>
      <c r="D742" s="63">
        <v>208.9726</v>
      </c>
      <c r="E742" s="63">
        <v>7804410</v>
      </c>
      <c r="F742" s="63" t="s">
        <v>1533</v>
      </c>
      <c r="G742" s="25">
        <f t="shared" si="9"/>
        <v>-2.8979875830611457E-3</v>
      </c>
    </row>
    <row r="743" spans="1:7">
      <c r="A743" s="63">
        <v>211.51439999999999</v>
      </c>
      <c r="B743" s="63">
        <v>214.60230000000001</v>
      </c>
      <c r="C743" s="63">
        <v>208.93289999999999</v>
      </c>
      <c r="D743" s="63">
        <v>211.3853</v>
      </c>
      <c r="E743" s="63">
        <v>11026890</v>
      </c>
      <c r="F743" s="63" t="s">
        <v>1532</v>
      </c>
      <c r="G743" s="25">
        <f t="shared" si="9"/>
        <v>6.1073310206527509E-4</v>
      </c>
    </row>
    <row r="744" spans="1:7">
      <c r="A744" s="63">
        <v>211.3853</v>
      </c>
      <c r="B744" s="63">
        <v>213.8278</v>
      </c>
      <c r="C744" s="63">
        <v>204.59399999999999</v>
      </c>
      <c r="D744" s="63">
        <v>206.73859999999999</v>
      </c>
      <c r="E744" s="63">
        <v>20907358</v>
      </c>
      <c r="F744" s="63" t="s">
        <v>1531</v>
      </c>
      <c r="G744" s="25">
        <f t="shared" si="9"/>
        <v>2.2476209087224142E-2</v>
      </c>
    </row>
    <row r="745" spans="1:7">
      <c r="A745" s="63">
        <v>221.79079999999999</v>
      </c>
      <c r="B745" s="63">
        <v>223.39930000000001</v>
      </c>
      <c r="C745" s="63">
        <v>215.51570000000001</v>
      </c>
      <c r="D745" s="63">
        <v>217.988</v>
      </c>
      <c r="E745" s="63">
        <v>19624026</v>
      </c>
      <c r="F745" s="63" t="s">
        <v>1530</v>
      </c>
      <c r="G745" s="25">
        <f t="shared" si="9"/>
        <v>1.7444996972310278E-2</v>
      </c>
    </row>
    <row r="746" spans="1:7">
      <c r="A746" s="63">
        <v>217.31290000000001</v>
      </c>
      <c r="B746" s="63">
        <v>220.55959999999999</v>
      </c>
      <c r="C746" s="63">
        <v>214.1952</v>
      </c>
      <c r="D746" s="63">
        <v>217.71</v>
      </c>
      <c r="E746" s="63">
        <v>10421048</v>
      </c>
      <c r="F746" s="63" t="s">
        <v>1529</v>
      </c>
      <c r="G746" s="25">
        <f t="shared" si="9"/>
        <v>-1.823986036470493E-3</v>
      </c>
    </row>
    <row r="747" spans="1:7">
      <c r="A747" s="63">
        <v>213.90729999999999</v>
      </c>
      <c r="B747" s="63">
        <v>214.6122</v>
      </c>
      <c r="C747" s="63">
        <v>211.0378</v>
      </c>
      <c r="D747" s="63">
        <v>211.286</v>
      </c>
      <c r="E747" s="63">
        <v>6933320</v>
      </c>
      <c r="F747" s="63" t="s">
        <v>1528</v>
      </c>
      <c r="G747" s="25">
        <f t="shared" si="9"/>
        <v>1.240640648220892E-2</v>
      </c>
    </row>
    <row r="748" spans="1:7">
      <c r="A748" s="63">
        <v>208.41659999999999</v>
      </c>
      <c r="B748" s="63">
        <v>210.8194</v>
      </c>
      <c r="C748" s="63">
        <v>206.9571</v>
      </c>
      <c r="D748" s="63">
        <v>210.51159999999999</v>
      </c>
      <c r="E748" s="63">
        <v>6496676</v>
      </c>
      <c r="F748" s="63" t="s">
        <v>1527</v>
      </c>
      <c r="G748" s="25">
        <f t="shared" si="9"/>
        <v>-9.951945641000326E-3</v>
      </c>
    </row>
    <row r="749" spans="1:7">
      <c r="A749" s="63">
        <v>207.5727</v>
      </c>
      <c r="B749" s="63">
        <v>208.71449999999999</v>
      </c>
      <c r="C749" s="63">
        <v>203.95859999999999</v>
      </c>
      <c r="D749" s="63">
        <v>204.57409999999999</v>
      </c>
      <c r="E749" s="63">
        <v>4894012</v>
      </c>
      <c r="F749" s="63" t="s">
        <v>1526</v>
      </c>
      <c r="G749" s="25">
        <f t="shared" si="9"/>
        <v>1.4657769483038319E-2</v>
      </c>
    </row>
    <row r="750" spans="1:7">
      <c r="A750" s="63">
        <v>205.16990000000001</v>
      </c>
      <c r="B750" s="63">
        <v>208.14850000000001</v>
      </c>
      <c r="C750" s="63">
        <v>205.00110000000001</v>
      </c>
      <c r="D750" s="63">
        <v>206.262</v>
      </c>
      <c r="E750" s="63">
        <v>4256810</v>
      </c>
      <c r="F750" s="63" t="s">
        <v>1525</v>
      </c>
      <c r="G750" s="25">
        <f t="shared" si="9"/>
        <v>-5.2947222464632127E-3</v>
      </c>
    </row>
    <row r="751" spans="1:7">
      <c r="A751" s="63">
        <v>208.76410000000001</v>
      </c>
      <c r="B751" s="63">
        <v>211.30590000000001</v>
      </c>
      <c r="C751" s="63">
        <v>207.55279999999999</v>
      </c>
      <c r="D751" s="63">
        <v>207.68190000000001</v>
      </c>
      <c r="E751" s="63">
        <v>3890834</v>
      </c>
      <c r="F751" s="63" t="s">
        <v>1524</v>
      </c>
      <c r="G751" s="25">
        <f t="shared" si="9"/>
        <v>5.2108537142621092E-3</v>
      </c>
    </row>
    <row r="752" spans="1:7">
      <c r="A752" s="63">
        <v>208.86340000000001</v>
      </c>
      <c r="B752" s="63">
        <v>211.72290000000001</v>
      </c>
      <c r="C752" s="63">
        <v>208.4365</v>
      </c>
      <c r="D752" s="63">
        <v>211.44489999999999</v>
      </c>
      <c r="E752" s="63">
        <v>6091604</v>
      </c>
      <c r="F752" s="63" t="s">
        <v>1523</v>
      </c>
      <c r="G752" s="25">
        <f t="shared" si="9"/>
        <v>-1.2208854410770686E-2</v>
      </c>
    </row>
    <row r="753" spans="1:7">
      <c r="A753" s="63">
        <v>211.8023</v>
      </c>
      <c r="B753" s="63">
        <v>212.35839999999999</v>
      </c>
      <c r="C753" s="63">
        <v>207.8407</v>
      </c>
      <c r="D753" s="63">
        <v>208.0095</v>
      </c>
      <c r="E753" s="63">
        <v>5165465</v>
      </c>
      <c r="F753" s="63" t="s">
        <v>1522</v>
      </c>
      <c r="G753" s="25">
        <f t="shared" si="9"/>
        <v>1.823378259166053E-2</v>
      </c>
    </row>
    <row r="754" spans="1:7">
      <c r="A754" s="63">
        <v>207.8904</v>
      </c>
      <c r="B754" s="63">
        <v>207.99959999999999</v>
      </c>
      <c r="C754" s="63">
        <v>203.34299999999999</v>
      </c>
      <c r="D754" s="63">
        <v>205.02590000000001</v>
      </c>
      <c r="E754" s="63">
        <v>5772221</v>
      </c>
      <c r="F754" s="63" t="s">
        <v>1521</v>
      </c>
      <c r="G754" s="25">
        <f t="shared" si="9"/>
        <v>1.3971405563882433E-2</v>
      </c>
    </row>
    <row r="755" spans="1:7">
      <c r="A755" s="63">
        <v>203.10470000000001</v>
      </c>
      <c r="B755" s="63">
        <v>204.20679999999999</v>
      </c>
      <c r="C755" s="63">
        <v>200.31469999999999</v>
      </c>
      <c r="D755" s="63">
        <v>200.49340000000001</v>
      </c>
      <c r="E755" s="63">
        <v>4424764</v>
      </c>
      <c r="F755" s="63" t="s">
        <v>1520</v>
      </c>
      <c r="G755" s="25">
        <f t="shared" si="9"/>
        <v>1.3024368881968229E-2</v>
      </c>
    </row>
    <row r="756" spans="1:7">
      <c r="A756" s="63">
        <v>201.88339999999999</v>
      </c>
      <c r="B756" s="63">
        <v>203.93860000000001</v>
      </c>
      <c r="C756" s="63">
        <v>201.03450000000001</v>
      </c>
      <c r="D756" s="63">
        <v>202.3004</v>
      </c>
      <c r="E756" s="63">
        <v>4518205</v>
      </c>
      <c r="F756" s="63" t="s">
        <v>1519</v>
      </c>
      <c r="G756" s="25">
        <f t="shared" si="9"/>
        <v>-2.0612910305664034E-3</v>
      </c>
    </row>
    <row r="757" spans="1:7">
      <c r="A757" s="63">
        <v>200.3742</v>
      </c>
      <c r="B757" s="63">
        <v>202.5129</v>
      </c>
      <c r="C757" s="63">
        <v>198.7062</v>
      </c>
      <c r="D757" s="63">
        <v>201.98269999999999</v>
      </c>
      <c r="E757" s="63">
        <v>4733643</v>
      </c>
      <c r="F757" s="63" t="s">
        <v>1518</v>
      </c>
      <c r="G757" s="25">
        <f t="shared" si="9"/>
        <v>-7.9635533142194959E-3</v>
      </c>
    </row>
    <row r="758" spans="1:7">
      <c r="A758" s="63">
        <v>202.0224</v>
      </c>
      <c r="B758" s="63">
        <v>202.3501</v>
      </c>
      <c r="C758" s="63">
        <v>197.14169999999999</v>
      </c>
      <c r="D758" s="63">
        <v>201.46639999999999</v>
      </c>
      <c r="E758" s="63">
        <v>5366315</v>
      </c>
      <c r="F758" s="63" t="s">
        <v>1517</v>
      </c>
      <c r="G758" s="25">
        <f t="shared" si="9"/>
        <v>2.7597654000866001E-3</v>
      </c>
    </row>
    <row r="759" spans="1:7">
      <c r="A759" s="63">
        <v>203.39259999999999</v>
      </c>
      <c r="B759" s="63">
        <v>204.8124</v>
      </c>
      <c r="C759" s="63">
        <v>201.59549999999999</v>
      </c>
      <c r="D759" s="63">
        <v>203.482</v>
      </c>
      <c r="E759" s="63">
        <v>6535555</v>
      </c>
      <c r="F759" s="63" t="s">
        <v>1516</v>
      </c>
      <c r="G759" s="25">
        <f t="shared" si="9"/>
        <v>-4.3935090081681505E-4</v>
      </c>
    </row>
    <row r="760" spans="1:7">
      <c r="A760" s="63">
        <v>199.74870000000001</v>
      </c>
      <c r="B760" s="63">
        <v>202.3501</v>
      </c>
      <c r="C760" s="63">
        <v>195.38</v>
      </c>
      <c r="D760" s="63">
        <v>195.38</v>
      </c>
      <c r="E760" s="63">
        <v>6996781</v>
      </c>
      <c r="F760" s="63" t="s">
        <v>1515</v>
      </c>
      <c r="G760" s="25">
        <f t="shared" si="9"/>
        <v>2.2360016378339731E-2</v>
      </c>
    </row>
    <row r="761" spans="1:7">
      <c r="A761" s="63">
        <v>196.49209999999999</v>
      </c>
      <c r="B761" s="63">
        <v>199.0735</v>
      </c>
      <c r="C761" s="63">
        <v>194.685</v>
      </c>
      <c r="D761" s="63">
        <v>197.30619999999999</v>
      </c>
      <c r="E761" s="63">
        <v>4169404</v>
      </c>
      <c r="F761" s="63" t="s">
        <v>1514</v>
      </c>
      <c r="G761" s="25">
        <f t="shared" ref="G761:G824" si="10">A761/D761-1</f>
        <v>-4.1260740919444316E-3</v>
      </c>
    </row>
    <row r="762" spans="1:7">
      <c r="A762" s="63">
        <v>196.18430000000001</v>
      </c>
      <c r="B762" s="63">
        <v>196.70060000000001</v>
      </c>
      <c r="C762" s="63">
        <v>191.8751</v>
      </c>
      <c r="D762" s="63">
        <v>192.5702</v>
      </c>
      <c r="E762" s="63">
        <v>4284371</v>
      </c>
      <c r="F762" s="63" t="s">
        <v>1513</v>
      </c>
      <c r="G762" s="25">
        <f t="shared" si="10"/>
        <v>1.8767701336966924E-2</v>
      </c>
    </row>
    <row r="763" spans="1:7">
      <c r="A763" s="63">
        <v>191.01130000000001</v>
      </c>
      <c r="B763" s="63">
        <v>193.17580000000001</v>
      </c>
      <c r="C763" s="63">
        <v>189.40289999999999</v>
      </c>
      <c r="D763" s="63">
        <v>190.53469999999999</v>
      </c>
      <c r="E763" s="63">
        <v>4386506</v>
      </c>
      <c r="F763" s="63" t="s">
        <v>1512</v>
      </c>
      <c r="G763" s="25">
        <f t="shared" si="10"/>
        <v>2.5013816380954346E-3</v>
      </c>
    </row>
    <row r="764" spans="1:7">
      <c r="A764" s="63">
        <v>191.2397</v>
      </c>
      <c r="B764" s="63">
        <v>194.39709999999999</v>
      </c>
      <c r="C764" s="63">
        <v>191.19</v>
      </c>
      <c r="D764" s="63">
        <v>192.82830000000001</v>
      </c>
      <c r="E764" s="63">
        <v>3779878</v>
      </c>
      <c r="F764" s="63" t="s">
        <v>1511</v>
      </c>
      <c r="G764" s="25">
        <f t="shared" si="10"/>
        <v>-8.2384172862594029E-3</v>
      </c>
    </row>
    <row r="765" spans="1:7">
      <c r="A765" s="63">
        <v>192.46090000000001</v>
      </c>
      <c r="B765" s="63">
        <v>196.9984</v>
      </c>
      <c r="C765" s="63">
        <v>191.55840000000001</v>
      </c>
      <c r="D765" s="63">
        <v>196.6112</v>
      </c>
      <c r="E765" s="63">
        <v>6051017</v>
      </c>
      <c r="F765" s="63" t="s">
        <v>1510</v>
      </c>
      <c r="G765" s="25">
        <f t="shared" si="10"/>
        <v>-2.1109173841571516E-2</v>
      </c>
    </row>
    <row r="766" spans="1:7">
      <c r="A766" s="63">
        <v>196.3828</v>
      </c>
      <c r="B766" s="63">
        <v>197.63390000000001</v>
      </c>
      <c r="C766" s="63">
        <v>195.7176</v>
      </c>
      <c r="D766" s="63">
        <v>196.35300000000001</v>
      </c>
      <c r="E766" s="63">
        <v>2882931</v>
      </c>
      <c r="F766" s="63" t="s">
        <v>1509</v>
      </c>
      <c r="G766" s="25">
        <f t="shared" si="10"/>
        <v>1.5176747999778861E-4</v>
      </c>
    </row>
    <row r="767" spans="1:7">
      <c r="A767" s="63">
        <v>196.95869999999999</v>
      </c>
      <c r="B767" s="63">
        <v>197.23179999999999</v>
      </c>
      <c r="C767" s="63">
        <v>193.88079999999999</v>
      </c>
      <c r="D767" s="63">
        <v>194.75450000000001</v>
      </c>
      <c r="E767" s="63">
        <v>4094567</v>
      </c>
      <c r="F767" s="63" t="s">
        <v>1508</v>
      </c>
      <c r="G767" s="25">
        <f t="shared" si="10"/>
        <v>1.1317838612201481E-2</v>
      </c>
    </row>
    <row r="768" spans="1:7">
      <c r="A768" s="63">
        <v>194.54599999999999</v>
      </c>
      <c r="B768" s="63">
        <v>196.10480000000001</v>
      </c>
      <c r="C768" s="63">
        <v>191.89500000000001</v>
      </c>
      <c r="D768" s="63">
        <v>192.7886</v>
      </c>
      <c r="E768" s="63">
        <v>4794364</v>
      </c>
      <c r="F768" s="63" t="s">
        <v>1507</v>
      </c>
      <c r="G768" s="25">
        <f t="shared" si="10"/>
        <v>9.1156842261419513E-3</v>
      </c>
    </row>
    <row r="769" spans="1:7">
      <c r="A769" s="63">
        <v>190.1574</v>
      </c>
      <c r="B769" s="63">
        <v>192.9872</v>
      </c>
      <c r="C769" s="63">
        <v>189.21420000000001</v>
      </c>
      <c r="D769" s="63">
        <v>191.24959999999999</v>
      </c>
      <c r="E769" s="63">
        <v>4007551</v>
      </c>
      <c r="F769" s="63" t="s">
        <v>1506</v>
      </c>
      <c r="G769" s="25">
        <f t="shared" si="10"/>
        <v>-5.7108616174883498E-3</v>
      </c>
    </row>
    <row r="770" spans="1:7">
      <c r="A770" s="63">
        <v>189.3135</v>
      </c>
      <c r="B770" s="63">
        <v>192.7389</v>
      </c>
      <c r="C770" s="63">
        <v>189.27379999999999</v>
      </c>
      <c r="D770" s="63">
        <v>192.59</v>
      </c>
      <c r="E770" s="63">
        <v>5009990</v>
      </c>
      <c r="F770" s="63" t="s">
        <v>1505</v>
      </c>
      <c r="G770" s="25">
        <f t="shared" si="10"/>
        <v>-1.7012825172646573E-2</v>
      </c>
    </row>
    <row r="771" spans="1:7">
      <c r="A771" s="63">
        <v>193.5333</v>
      </c>
      <c r="B771" s="63">
        <v>197.35589999999999</v>
      </c>
      <c r="C771" s="63">
        <v>192.67949999999999</v>
      </c>
      <c r="D771" s="63">
        <v>197.03809999999999</v>
      </c>
      <c r="E771" s="63">
        <v>4449683</v>
      </c>
      <c r="F771" s="63" t="s">
        <v>1504</v>
      </c>
      <c r="G771" s="25">
        <f t="shared" si="10"/>
        <v>-1.7787422838527078E-2</v>
      </c>
    </row>
    <row r="772" spans="1:7">
      <c r="A772" s="63">
        <v>197.614</v>
      </c>
      <c r="B772" s="63">
        <v>197.70339999999999</v>
      </c>
      <c r="C772" s="63">
        <v>195.06729999999999</v>
      </c>
      <c r="D772" s="63">
        <v>195.62819999999999</v>
      </c>
      <c r="E772" s="63">
        <v>4860102</v>
      </c>
      <c r="F772" s="63" t="s">
        <v>1503</v>
      </c>
      <c r="G772" s="25">
        <f t="shared" si="10"/>
        <v>1.0150888266620139E-2</v>
      </c>
    </row>
    <row r="773" spans="1:7">
      <c r="A773" s="63">
        <v>196.10480000000001</v>
      </c>
      <c r="B773" s="63">
        <v>198.6593</v>
      </c>
      <c r="C773" s="63">
        <v>195.41970000000001</v>
      </c>
      <c r="D773" s="63">
        <v>195.77719999999999</v>
      </c>
      <c r="E773" s="63">
        <v>3619971</v>
      </c>
      <c r="F773" s="63" t="s">
        <v>1502</v>
      </c>
      <c r="G773" s="25">
        <f t="shared" si="10"/>
        <v>1.6733307044947132E-3</v>
      </c>
    </row>
    <row r="774" spans="1:7">
      <c r="A774" s="63">
        <v>197.50479999999999</v>
      </c>
      <c r="B774" s="63">
        <v>197.65369999999999</v>
      </c>
      <c r="C774" s="63">
        <v>194.33750000000001</v>
      </c>
      <c r="D774" s="63">
        <v>194.9034</v>
      </c>
      <c r="E774" s="63">
        <v>3665103</v>
      </c>
      <c r="F774" s="63" t="s">
        <v>1501</v>
      </c>
      <c r="G774" s="25">
        <f t="shared" si="10"/>
        <v>1.334712478078881E-2</v>
      </c>
    </row>
    <row r="775" spans="1:7">
      <c r="A775" s="63">
        <v>197.08779999999999</v>
      </c>
      <c r="B775" s="63">
        <v>198.69630000000001</v>
      </c>
      <c r="C775" s="63">
        <v>195.65799999999999</v>
      </c>
      <c r="D775" s="63">
        <v>197.66370000000001</v>
      </c>
      <c r="E775" s="63">
        <v>4679040</v>
      </c>
      <c r="F775" s="63" t="s">
        <v>1500</v>
      </c>
      <c r="G775" s="25">
        <f t="shared" si="10"/>
        <v>-2.9135344527093654E-3</v>
      </c>
    </row>
    <row r="776" spans="1:7">
      <c r="A776" s="63">
        <v>195.67789999999999</v>
      </c>
      <c r="B776" s="63">
        <v>196.1148</v>
      </c>
      <c r="C776" s="63">
        <v>193.64250000000001</v>
      </c>
      <c r="D776" s="63">
        <v>193.7715</v>
      </c>
      <c r="E776" s="63">
        <v>5413475</v>
      </c>
      <c r="F776" s="63" t="s">
        <v>1499</v>
      </c>
      <c r="G776" s="25">
        <f t="shared" si="10"/>
        <v>9.8383921268090369E-3</v>
      </c>
    </row>
    <row r="777" spans="1:7">
      <c r="A777" s="63">
        <v>193.26519999999999</v>
      </c>
      <c r="B777" s="63">
        <v>193.78149999999999</v>
      </c>
      <c r="C777" s="63">
        <v>189.82980000000001</v>
      </c>
      <c r="D777" s="63">
        <v>190.48509999999999</v>
      </c>
      <c r="E777" s="63">
        <v>5073782</v>
      </c>
      <c r="F777" s="63" t="s">
        <v>1498</v>
      </c>
      <c r="G777" s="25">
        <f t="shared" si="10"/>
        <v>1.4594842326250301E-2</v>
      </c>
    </row>
    <row r="778" spans="1:7">
      <c r="A778" s="63">
        <v>192.6397</v>
      </c>
      <c r="B778" s="63">
        <v>192.99209999999999</v>
      </c>
      <c r="C778" s="63">
        <v>189.0951</v>
      </c>
      <c r="D778" s="63">
        <v>189.0951</v>
      </c>
      <c r="E778" s="63">
        <v>4716442</v>
      </c>
      <c r="F778" s="63" t="s">
        <v>1497</v>
      </c>
      <c r="G778" s="25">
        <f t="shared" si="10"/>
        <v>1.8745065313696685E-2</v>
      </c>
    </row>
    <row r="779" spans="1:7">
      <c r="A779" s="63">
        <v>188.96600000000001</v>
      </c>
      <c r="B779" s="63">
        <v>190.5198</v>
      </c>
      <c r="C779" s="63">
        <v>188.1816</v>
      </c>
      <c r="D779" s="63">
        <v>188.9461</v>
      </c>
      <c r="E779" s="63">
        <v>5033376</v>
      </c>
      <c r="F779" s="63" t="s">
        <v>1496</v>
      </c>
      <c r="G779" s="25">
        <f t="shared" si="10"/>
        <v>1.0532104129179487E-4</v>
      </c>
    </row>
    <row r="780" spans="1:7">
      <c r="A780" s="63">
        <v>187.5462</v>
      </c>
      <c r="B780" s="63">
        <v>189.10499999999999</v>
      </c>
      <c r="C780" s="63">
        <v>185.97739999999999</v>
      </c>
      <c r="D780" s="63">
        <v>187.7149</v>
      </c>
      <c r="E780" s="63">
        <v>4907689</v>
      </c>
      <c r="F780" s="63" t="s">
        <v>1495</v>
      </c>
      <c r="G780" s="25">
        <f t="shared" si="10"/>
        <v>-8.987032995250166E-4</v>
      </c>
    </row>
    <row r="781" spans="1:7">
      <c r="A781" s="63">
        <v>190.1277</v>
      </c>
      <c r="B781" s="63">
        <v>191.18010000000001</v>
      </c>
      <c r="C781" s="63">
        <v>187.93340000000001</v>
      </c>
      <c r="D781" s="63">
        <v>189.23410000000001</v>
      </c>
      <c r="E781" s="63">
        <v>5263845</v>
      </c>
      <c r="F781" s="63" t="s">
        <v>1494</v>
      </c>
      <c r="G781" s="25">
        <f t="shared" si="10"/>
        <v>4.7221933044836462E-3</v>
      </c>
    </row>
    <row r="782" spans="1:7">
      <c r="A782" s="63">
        <v>191.18010000000001</v>
      </c>
      <c r="B782" s="63">
        <v>192.6893</v>
      </c>
      <c r="C782" s="63">
        <v>188.25110000000001</v>
      </c>
      <c r="D782" s="63">
        <v>192.6198</v>
      </c>
      <c r="E782" s="63">
        <v>6304734</v>
      </c>
      <c r="F782" s="63" t="s">
        <v>1493</v>
      </c>
      <c r="G782" s="25">
        <f t="shared" si="10"/>
        <v>-7.4743094946624344E-3</v>
      </c>
    </row>
    <row r="783" spans="1:7">
      <c r="A783" s="63">
        <v>193.9205</v>
      </c>
      <c r="B783" s="63">
        <v>196.8793</v>
      </c>
      <c r="C783" s="63">
        <v>192.35169999999999</v>
      </c>
      <c r="D783" s="63">
        <v>196.59129999999999</v>
      </c>
      <c r="E783" s="63">
        <v>3953707</v>
      </c>
      <c r="F783" s="63" t="s">
        <v>1492</v>
      </c>
      <c r="G783" s="25">
        <f t="shared" si="10"/>
        <v>-1.3585545240303087E-2</v>
      </c>
    </row>
    <row r="784" spans="1:7">
      <c r="A784" s="63">
        <v>195.797</v>
      </c>
      <c r="B784" s="63">
        <v>197.28880000000001</v>
      </c>
      <c r="C784" s="63">
        <v>195.22120000000001</v>
      </c>
      <c r="D784" s="63">
        <v>196.74029999999999</v>
      </c>
      <c r="E784" s="63">
        <v>4659099</v>
      </c>
      <c r="F784" s="63" t="s">
        <v>1491</v>
      </c>
      <c r="G784" s="25">
        <f t="shared" si="10"/>
        <v>-4.7946455301735025E-3</v>
      </c>
    </row>
    <row r="785" spans="1:7">
      <c r="A785" s="63">
        <v>195.09209999999999</v>
      </c>
      <c r="B785" s="63">
        <v>197.5147</v>
      </c>
      <c r="C785" s="63">
        <v>194.13890000000001</v>
      </c>
      <c r="D785" s="63">
        <v>196.8098</v>
      </c>
      <c r="E785" s="63">
        <v>5340770</v>
      </c>
      <c r="F785" s="63" t="s">
        <v>1490</v>
      </c>
      <c r="G785" s="25">
        <f t="shared" si="10"/>
        <v>-8.7277157946403783E-3</v>
      </c>
    </row>
    <row r="786" spans="1:7">
      <c r="A786" s="63">
        <v>198.3587</v>
      </c>
      <c r="B786" s="63">
        <v>198.5771</v>
      </c>
      <c r="C786" s="63">
        <v>195.58850000000001</v>
      </c>
      <c r="D786" s="63">
        <v>196.08500000000001</v>
      </c>
      <c r="E786" s="63">
        <v>6634260</v>
      </c>
      <c r="F786" s="63" t="s">
        <v>1489</v>
      </c>
      <c r="G786" s="25">
        <f t="shared" si="10"/>
        <v>1.1595481551367914E-2</v>
      </c>
    </row>
    <row r="787" spans="1:7">
      <c r="A787" s="63">
        <v>195.2013</v>
      </c>
      <c r="B787" s="63">
        <v>196.76009999999999</v>
      </c>
      <c r="C787" s="63">
        <v>194.0992</v>
      </c>
      <c r="D787" s="63">
        <v>196.363</v>
      </c>
      <c r="E787" s="63">
        <v>6932465</v>
      </c>
      <c r="F787" s="63" t="s">
        <v>1488</v>
      </c>
      <c r="G787" s="25">
        <f t="shared" si="10"/>
        <v>-5.9160839873092508E-3</v>
      </c>
    </row>
    <row r="788" spans="1:7">
      <c r="A788" s="63">
        <v>195.24100000000001</v>
      </c>
      <c r="B788" s="63">
        <v>196.02539999999999</v>
      </c>
      <c r="C788" s="63">
        <v>191.5078</v>
      </c>
      <c r="D788" s="63">
        <v>191.76589999999999</v>
      </c>
      <c r="E788" s="63">
        <v>8085228</v>
      </c>
      <c r="F788" s="63" t="s">
        <v>1487</v>
      </c>
      <c r="G788" s="25">
        <f t="shared" si="10"/>
        <v>1.8121574273632701E-2</v>
      </c>
    </row>
    <row r="789" spans="1:7">
      <c r="A789" s="63">
        <v>190.93190000000001</v>
      </c>
      <c r="B789" s="63">
        <v>191.4581</v>
      </c>
      <c r="C789" s="63">
        <v>189.81989999999999</v>
      </c>
      <c r="D789" s="63">
        <v>189.81989999999999</v>
      </c>
      <c r="E789" s="63">
        <v>4899041</v>
      </c>
      <c r="F789" s="63" t="s">
        <v>1486</v>
      </c>
      <c r="G789" s="25">
        <f t="shared" si="10"/>
        <v>5.8581845212226646E-3</v>
      </c>
    </row>
    <row r="790" spans="1:7">
      <c r="A790" s="63">
        <v>189.89930000000001</v>
      </c>
      <c r="B790" s="63">
        <v>190.7432</v>
      </c>
      <c r="C790" s="63">
        <v>187.56100000000001</v>
      </c>
      <c r="D790" s="63">
        <v>187.57589999999999</v>
      </c>
      <c r="E790" s="63">
        <v>7776500</v>
      </c>
      <c r="F790" s="63" t="s">
        <v>1485</v>
      </c>
      <c r="G790" s="25">
        <f t="shared" si="10"/>
        <v>1.2386452630641864E-2</v>
      </c>
    </row>
    <row r="791" spans="1:7">
      <c r="A791" s="63">
        <v>188.70779999999999</v>
      </c>
      <c r="B791" s="63">
        <v>188.96600000000001</v>
      </c>
      <c r="C791" s="63">
        <v>184.76609999999999</v>
      </c>
      <c r="D791" s="63">
        <v>185.17320000000001</v>
      </c>
      <c r="E791" s="63">
        <v>6104529</v>
      </c>
      <c r="F791" s="63" t="s">
        <v>1484</v>
      </c>
      <c r="G791" s="25">
        <f t="shared" si="10"/>
        <v>1.9088075380238489E-2</v>
      </c>
    </row>
    <row r="792" spans="1:7">
      <c r="A792" s="63">
        <v>186.10650000000001</v>
      </c>
      <c r="B792" s="63">
        <v>189.20429999999999</v>
      </c>
      <c r="C792" s="63">
        <v>184.25970000000001</v>
      </c>
      <c r="D792" s="63">
        <v>186.0668</v>
      </c>
      <c r="E792" s="63">
        <v>8685007</v>
      </c>
      <c r="F792" s="63" t="s">
        <v>1483</v>
      </c>
      <c r="G792" s="25">
        <f t="shared" si="10"/>
        <v>2.1336423263051962E-4</v>
      </c>
    </row>
    <row r="793" spans="1:7">
      <c r="A793" s="63">
        <v>185.1831</v>
      </c>
      <c r="B793" s="63">
        <v>190.078</v>
      </c>
      <c r="C793" s="63">
        <v>185.0838</v>
      </c>
      <c r="D793" s="63">
        <v>188.64830000000001</v>
      </c>
      <c r="E793" s="63">
        <v>6575610</v>
      </c>
      <c r="F793" s="63" t="s">
        <v>1482</v>
      </c>
      <c r="G793" s="25">
        <f t="shared" si="10"/>
        <v>-1.8368572629597013E-2</v>
      </c>
    </row>
    <row r="794" spans="1:7">
      <c r="A794" s="63">
        <v>187.33760000000001</v>
      </c>
      <c r="B794" s="63">
        <v>187.93340000000001</v>
      </c>
      <c r="C794" s="63">
        <v>183.5746</v>
      </c>
      <c r="D794" s="63">
        <v>184.54759999999999</v>
      </c>
      <c r="E794" s="63">
        <v>6982001</v>
      </c>
      <c r="F794" s="63" t="s">
        <v>1481</v>
      </c>
      <c r="G794" s="25">
        <f t="shared" si="10"/>
        <v>1.5118050844335151E-2</v>
      </c>
    </row>
    <row r="795" spans="1:7">
      <c r="A795" s="63">
        <v>183.93209999999999</v>
      </c>
      <c r="B795" s="63">
        <v>184.20009999999999</v>
      </c>
      <c r="C795" s="63">
        <v>181.35050000000001</v>
      </c>
      <c r="D795" s="63">
        <v>182.89940000000001</v>
      </c>
      <c r="E795" s="63">
        <v>5513205</v>
      </c>
      <c r="F795" s="63" t="s">
        <v>1480</v>
      </c>
      <c r="G795" s="25">
        <f t="shared" si="10"/>
        <v>5.6462733065278936E-3</v>
      </c>
    </row>
    <row r="796" spans="1:7">
      <c r="A796" s="63">
        <v>183.53489999999999</v>
      </c>
      <c r="B796" s="63">
        <v>186.32490000000001</v>
      </c>
      <c r="C796" s="63">
        <v>182.8647</v>
      </c>
      <c r="D796" s="63">
        <v>184.71639999999999</v>
      </c>
      <c r="E796" s="63">
        <v>10493254</v>
      </c>
      <c r="F796" s="63" t="s">
        <v>1479</v>
      </c>
      <c r="G796" s="25">
        <f t="shared" si="10"/>
        <v>-6.3962918289875992E-3</v>
      </c>
    </row>
    <row r="797" spans="1:7">
      <c r="A797" s="63">
        <v>185.9675</v>
      </c>
      <c r="B797" s="63">
        <v>186.315</v>
      </c>
      <c r="C797" s="63">
        <v>181.6782</v>
      </c>
      <c r="D797" s="63">
        <v>181.99590000000001</v>
      </c>
      <c r="E797" s="63">
        <v>8370712</v>
      </c>
      <c r="F797" s="63" t="s">
        <v>1478</v>
      </c>
      <c r="G797" s="25">
        <f t="shared" si="10"/>
        <v>2.1822469627063024E-2</v>
      </c>
    </row>
    <row r="798" spans="1:7">
      <c r="A798" s="63">
        <v>181.6087</v>
      </c>
      <c r="B798" s="63">
        <v>182.55189999999999</v>
      </c>
      <c r="C798" s="63">
        <v>176.94210000000001</v>
      </c>
      <c r="D798" s="63">
        <v>177.8854</v>
      </c>
      <c r="E798" s="63">
        <v>7716870</v>
      </c>
      <c r="F798" s="63" t="s">
        <v>1477</v>
      </c>
      <c r="G798" s="25">
        <f t="shared" si="10"/>
        <v>2.0930891461581336E-2</v>
      </c>
    </row>
    <row r="799" spans="1:7">
      <c r="A799" s="63">
        <v>181.58879999999999</v>
      </c>
      <c r="B799" s="63">
        <v>183.99160000000001</v>
      </c>
      <c r="C799" s="63">
        <v>177.8357</v>
      </c>
      <c r="D799" s="63">
        <v>178.71940000000001</v>
      </c>
      <c r="E799" s="63">
        <v>10138054</v>
      </c>
      <c r="F799" s="63" t="s">
        <v>1476</v>
      </c>
      <c r="G799" s="25">
        <f t="shared" si="10"/>
        <v>1.605533590645436E-2</v>
      </c>
    </row>
    <row r="800" spans="1:7">
      <c r="A800" s="63">
        <v>174.26130000000001</v>
      </c>
      <c r="B800" s="63">
        <v>175.84</v>
      </c>
      <c r="C800" s="63">
        <v>168.79050000000001</v>
      </c>
      <c r="D800" s="63">
        <v>169.7834</v>
      </c>
      <c r="E800" s="63">
        <v>9154758</v>
      </c>
      <c r="F800" s="63" t="s">
        <v>1475</v>
      </c>
      <c r="G800" s="25">
        <f t="shared" si="10"/>
        <v>2.6374192058823187E-2</v>
      </c>
    </row>
    <row r="801" spans="1:7">
      <c r="A801" s="63">
        <v>171.9479</v>
      </c>
      <c r="B801" s="63">
        <v>178.084</v>
      </c>
      <c r="C801" s="63">
        <v>170.48840000000001</v>
      </c>
      <c r="D801" s="63">
        <v>177.23009999999999</v>
      </c>
      <c r="E801" s="63">
        <v>14108961</v>
      </c>
      <c r="F801" s="63" t="s">
        <v>1474</v>
      </c>
      <c r="G801" s="25">
        <f t="shared" si="10"/>
        <v>-2.9804192402983376E-2</v>
      </c>
    </row>
    <row r="802" spans="1:7">
      <c r="A802" s="63">
        <v>177.4485</v>
      </c>
      <c r="B802" s="63">
        <v>182.53620000000001</v>
      </c>
      <c r="C802" s="63">
        <v>177.2698</v>
      </c>
      <c r="D802" s="63">
        <v>181.79730000000001</v>
      </c>
      <c r="E802" s="63">
        <v>7102401</v>
      </c>
      <c r="F802" s="63" t="s">
        <v>1473</v>
      </c>
      <c r="G802" s="25">
        <f t="shared" si="10"/>
        <v>-2.3921147343772486E-2</v>
      </c>
    </row>
    <row r="803" spans="1:7">
      <c r="A803" s="63">
        <v>181.64840000000001</v>
      </c>
      <c r="B803" s="63">
        <v>183.58449999999999</v>
      </c>
      <c r="C803" s="63">
        <v>180.50659999999999</v>
      </c>
      <c r="D803" s="63">
        <v>181.99590000000001</v>
      </c>
      <c r="E803" s="63">
        <v>6749072</v>
      </c>
      <c r="F803" s="63" t="s">
        <v>1472</v>
      </c>
      <c r="G803" s="25">
        <f t="shared" si="10"/>
        <v>-1.9093836729289215E-3</v>
      </c>
    </row>
    <row r="804" spans="1:7">
      <c r="A804" s="63">
        <v>182.01580000000001</v>
      </c>
      <c r="B804" s="63">
        <v>184.8356</v>
      </c>
      <c r="C804" s="63">
        <v>181.7278</v>
      </c>
      <c r="D804" s="63">
        <v>183.14269999999999</v>
      </c>
      <c r="E804" s="63">
        <v>9024333</v>
      </c>
      <c r="F804" s="63" t="s">
        <v>1471</v>
      </c>
      <c r="G804" s="25">
        <f t="shared" si="10"/>
        <v>-6.153125404397608E-3</v>
      </c>
    </row>
    <row r="805" spans="1:7">
      <c r="A805" s="63">
        <v>182.4924</v>
      </c>
      <c r="B805" s="63">
        <v>187.65539999999999</v>
      </c>
      <c r="C805" s="63">
        <v>182.3186</v>
      </c>
      <c r="D805" s="63">
        <v>183.7533</v>
      </c>
      <c r="E805" s="63">
        <v>10770253</v>
      </c>
      <c r="F805" s="63" t="s">
        <v>1470</v>
      </c>
      <c r="G805" s="25">
        <f t="shared" si="10"/>
        <v>-6.861917581888255E-3</v>
      </c>
    </row>
    <row r="806" spans="1:7">
      <c r="A806" s="63">
        <v>185.1037</v>
      </c>
      <c r="B806" s="63">
        <v>188.41990000000001</v>
      </c>
      <c r="C806" s="63">
        <v>182.97890000000001</v>
      </c>
      <c r="D806" s="63">
        <v>186.732</v>
      </c>
      <c r="E806" s="63">
        <v>12087193</v>
      </c>
      <c r="F806" s="63" t="s">
        <v>1469</v>
      </c>
      <c r="G806" s="25">
        <f t="shared" si="10"/>
        <v>-8.719983719983726E-3</v>
      </c>
    </row>
    <row r="807" spans="1:7">
      <c r="A807" s="63">
        <v>185.26249999999999</v>
      </c>
      <c r="B807" s="63">
        <v>192.53039999999999</v>
      </c>
      <c r="C807" s="63">
        <v>183.88239999999999</v>
      </c>
      <c r="D807" s="63">
        <v>191.74610000000001</v>
      </c>
      <c r="E807" s="63">
        <v>37719871</v>
      </c>
      <c r="F807" s="63" t="s">
        <v>1468</v>
      </c>
      <c r="G807" s="25">
        <f t="shared" si="10"/>
        <v>-3.3813464784942293E-2</v>
      </c>
    </row>
    <row r="808" spans="1:7">
      <c r="A808" s="63">
        <v>166.15940000000001</v>
      </c>
      <c r="B808" s="63">
        <v>166.78489999999999</v>
      </c>
      <c r="C808" s="63">
        <v>161.82050000000001</v>
      </c>
      <c r="D808" s="63">
        <v>161.8304</v>
      </c>
      <c r="E808" s="63">
        <v>15841217</v>
      </c>
      <c r="F808" s="63" t="s">
        <v>1467</v>
      </c>
      <c r="G808" s="25">
        <f t="shared" si="10"/>
        <v>2.6750227398560478E-2</v>
      </c>
    </row>
    <row r="809" spans="1:7">
      <c r="A809" s="63">
        <v>162.446</v>
      </c>
      <c r="B809" s="63">
        <v>163.28</v>
      </c>
      <c r="C809" s="63">
        <v>160.38079999999999</v>
      </c>
      <c r="D809" s="63">
        <v>161.37370000000001</v>
      </c>
      <c r="E809" s="63">
        <v>6912624</v>
      </c>
      <c r="F809" s="63" t="s">
        <v>1466</v>
      </c>
      <c r="G809" s="25">
        <f t="shared" si="10"/>
        <v>6.6448250241519791E-3</v>
      </c>
    </row>
    <row r="810" spans="1:7">
      <c r="A810" s="63">
        <v>161.9794</v>
      </c>
      <c r="B810" s="63">
        <v>163.59780000000001</v>
      </c>
      <c r="C810" s="63">
        <v>161.0659</v>
      </c>
      <c r="D810" s="63">
        <v>162.67439999999999</v>
      </c>
      <c r="E810" s="63">
        <v>6891182</v>
      </c>
      <c r="F810" s="63" t="s">
        <v>1465</v>
      </c>
      <c r="G810" s="25">
        <f t="shared" si="10"/>
        <v>-4.2723378724617289E-3</v>
      </c>
    </row>
    <row r="811" spans="1:7">
      <c r="A811" s="63">
        <v>161.04599999999999</v>
      </c>
      <c r="B811" s="63">
        <v>161.2347</v>
      </c>
      <c r="C811" s="63">
        <v>158.51910000000001</v>
      </c>
      <c r="D811" s="63">
        <v>159.44749999999999</v>
      </c>
      <c r="E811" s="63">
        <v>6569915</v>
      </c>
      <c r="F811" s="63" t="s">
        <v>1464</v>
      </c>
      <c r="G811" s="25">
        <f t="shared" si="10"/>
        <v>1.0025243418680052E-2</v>
      </c>
    </row>
    <row r="812" spans="1:7">
      <c r="A812" s="63">
        <v>162.95240000000001</v>
      </c>
      <c r="B812" s="63">
        <v>164.2928</v>
      </c>
      <c r="C812" s="63">
        <v>160.4205</v>
      </c>
      <c r="D812" s="63">
        <v>164.11410000000001</v>
      </c>
      <c r="E812" s="63">
        <v>4679419</v>
      </c>
      <c r="F812" s="63" t="s">
        <v>1463</v>
      </c>
      <c r="G812" s="25">
        <f t="shared" si="10"/>
        <v>-7.0786117707131169E-3</v>
      </c>
    </row>
    <row r="813" spans="1:7">
      <c r="A813" s="63">
        <v>162.1978</v>
      </c>
      <c r="B813" s="63">
        <v>163.8261</v>
      </c>
      <c r="C813" s="63">
        <v>160.95670000000001</v>
      </c>
      <c r="D813" s="63">
        <v>161.9496</v>
      </c>
      <c r="E813" s="63">
        <v>4343685</v>
      </c>
      <c r="F813" s="63" t="s">
        <v>1462</v>
      </c>
      <c r="G813" s="25">
        <f t="shared" si="10"/>
        <v>1.5325755667194851E-3</v>
      </c>
    </row>
    <row r="814" spans="1:7">
      <c r="A814" s="63">
        <v>160.47020000000001</v>
      </c>
      <c r="B814" s="63">
        <v>163.33959999999999</v>
      </c>
      <c r="C814" s="63">
        <v>160.3014</v>
      </c>
      <c r="D814" s="63">
        <v>162.57509999999999</v>
      </c>
      <c r="E814" s="63">
        <v>5210800</v>
      </c>
      <c r="F814" s="63" t="s">
        <v>1461</v>
      </c>
      <c r="G814" s="25">
        <f t="shared" si="10"/>
        <v>-1.2947247149163621E-2</v>
      </c>
    </row>
    <row r="815" spans="1:7">
      <c r="A815" s="63">
        <v>163.9949</v>
      </c>
      <c r="B815" s="63">
        <v>165.9211</v>
      </c>
      <c r="C815" s="63">
        <v>161.5822</v>
      </c>
      <c r="D815" s="63">
        <v>163.85589999999999</v>
      </c>
      <c r="E815" s="63">
        <v>8084490</v>
      </c>
      <c r="F815" s="63" t="s">
        <v>1460</v>
      </c>
      <c r="G815" s="25">
        <f t="shared" si="10"/>
        <v>8.4830634722354858E-4</v>
      </c>
    </row>
    <row r="816" spans="1:7">
      <c r="A816" s="63">
        <v>166.91399999999999</v>
      </c>
      <c r="B816" s="63">
        <v>169.15790000000001</v>
      </c>
      <c r="C816" s="63">
        <v>166.76240000000001</v>
      </c>
      <c r="D816" s="63">
        <v>167.7877</v>
      </c>
      <c r="E816" s="63">
        <v>7483541</v>
      </c>
      <c r="F816" s="63" t="s">
        <v>1459</v>
      </c>
      <c r="G816" s="25">
        <f t="shared" si="10"/>
        <v>-5.2071754961776628E-3</v>
      </c>
    </row>
    <row r="817" spans="1:7">
      <c r="A817" s="63">
        <v>169.8827</v>
      </c>
      <c r="B817" s="63">
        <v>170.38409999999999</v>
      </c>
      <c r="C817" s="63">
        <v>167.04310000000001</v>
      </c>
      <c r="D817" s="63">
        <v>167.64869999999999</v>
      </c>
      <c r="E817" s="63">
        <v>4998274</v>
      </c>
      <c r="F817" s="63" t="s">
        <v>1458</v>
      </c>
      <c r="G817" s="25">
        <f t="shared" si="10"/>
        <v>1.3325483585616915E-2</v>
      </c>
    </row>
    <row r="818" spans="1:7">
      <c r="A818" s="63">
        <v>168.7508</v>
      </c>
      <c r="B818" s="63">
        <v>171.5607</v>
      </c>
      <c r="C818" s="63">
        <v>166.6558</v>
      </c>
      <c r="D818" s="63">
        <v>167.0232</v>
      </c>
      <c r="E818" s="63">
        <v>8393074</v>
      </c>
      <c r="F818" s="63" t="s">
        <v>1457</v>
      </c>
      <c r="G818" s="25">
        <f t="shared" si="10"/>
        <v>1.0343473242040657E-2</v>
      </c>
    </row>
    <row r="819" spans="1:7">
      <c r="A819" s="63">
        <v>169.8629</v>
      </c>
      <c r="B819" s="63">
        <v>169.94229999999999</v>
      </c>
      <c r="C819" s="63">
        <v>165.76220000000001</v>
      </c>
      <c r="D819" s="63">
        <v>167.08279999999999</v>
      </c>
      <c r="E819" s="63">
        <v>8820334</v>
      </c>
      <c r="F819" s="63" t="s">
        <v>1456</v>
      </c>
      <c r="G819" s="25">
        <f t="shared" si="10"/>
        <v>1.6639055605963016E-2</v>
      </c>
    </row>
    <row r="820" spans="1:7">
      <c r="A820" s="63">
        <v>165.8417</v>
      </c>
      <c r="B820" s="63">
        <v>168.5324</v>
      </c>
      <c r="C820" s="63">
        <v>164.15379999999999</v>
      </c>
      <c r="D820" s="63">
        <v>166.4622</v>
      </c>
      <c r="E820" s="63">
        <v>11273735</v>
      </c>
      <c r="F820" s="63" t="s">
        <v>1455</v>
      </c>
      <c r="G820" s="25">
        <f t="shared" si="10"/>
        <v>-3.7275729865398066E-3</v>
      </c>
    </row>
    <row r="821" spans="1:7">
      <c r="A821" s="63">
        <v>172.42449999999999</v>
      </c>
      <c r="B821" s="63">
        <v>174.13229999999999</v>
      </c>
      <c r="C821" s="63">
        <v>170.78620000000001</v>
      </c>
      <c r="D821" s="63">
        <v>172.09690000000001</v>
      </c>
      <c r="E821" s="63">
        <v>11512319</v>
      </c>
      <c r="F821" s="63" t="s">
        <v>1454</v>
      </c>
      <c r="G821" s="25">
        <f t="shared" si="10"/>
        <v>1.9035787396517456E-3</v>
      </c>
    </row>
    <row r="822" spans="1:7">
      <c r="A822" s="63">
        <v>168.42320000000001</v>
      </c>
      <c r="B822" s="63">
        <v>171.22309999999999</v>
      </c>
      <c r="C822" s="63">
        <v>168.02770000000001</v>
      </c>
      <c r="D822" s="63">
        <v>168.79050000000001</v>
      </c>
      <c r="E822" s="63">
        <v>7694533</v>
      </c>
      <c r="F822" s="63" t="s">
        <v>1453</v>
      </c>
      <c r="G822" s="25">
        <f t="shared" si="10"/>
        <v>-2.1760703357119882E-3</v>
      </c>
    </row>
    <row r="823" spans="1:7">
      <c r="A823" s="63">
        <v>170.06139999999999</v>
      </c>
      <c r="B823" s="63">
        <v>170.50819999999999</v>
      </c>
      <c r="C823" s="63">
        <v>165.4247</v>
      </c>
      <c r="D823" s="63">
        <v>166.37780000000001</v>
      </c>
      <c r="E823" s="63">
        <v>6179220</v>
      </c>
      <c r="F823" s="63" t="s">
        <v>1452</v>
      </c>
      <c r="G823" s="25">
        <f t="shared" si="10"/>
        <v>2.2139973001205515E-2</v>
      </c>
    </row>
    <row r="824" spans="1:7">
      <c r="A824" s="63">
        <v>167.84729999999999</v>
      </c>
      <c r="B824" s="63">
        <v>169.9522</v>
      </c>
      <c r="C824" s="63">
        <v>166.15940000000001</v>
      </c>
      <c r="D824" s="63">
        <v>166.8048</v>
      </c>
      <c r="E824" s="63">
        <v>4310553</v>
      </c>
      <c r="F824" s="63" t="s">
        <v>1451</v>
      </c>
      <c r="G824" s="25">
        <f t="shared" si="10"/>
        <v>6.2498201490603922E-3</v>
      </c>
    </row>
    <row r="825" spans="1:7">
      <c r="A825" s="63">
        <v>169.82310000000001</v>
      </c>
      <c r="B825" s="63">
        <v>173.83439999999999</v>
      </c>
      <c r="C825" s="63">
        <v>168.6515</v>
      </c>
      <c r="D825" s="63">
        <v>168.81039999999999</v>
      </c>
      <c r="E825" s="63">
        <v>6481708</v>
      </c>
      <c r="F825" s="63" t="s">
        <v>1450</v>
      </c>
      <c r="G825" s="25">
        <f t="shared" ref="G825:G888" si="11">A825/D825-1</f>
        <v>5.9990379739638389E-3</v>
      </c>
    </row>
    <row r="826" spans="1:7">
      <c r="A826" s="63">
        <v>173.39750000000001</v>
      </c>
      <c r="B826" s="63">
        <v>177.5677</v>
      </c>
      <c r="C826" s="63">
        <v>171.66990000000001</v>
      </c>
      <c r="D826" s="63">
        <v>174.4599</v>
      </c>
      <c r="E826" s="63">
        <v>10667075</v>
      </c>
      <c r="F826" s="63" t="s">
        <v>1449</v>
      </c>
      <c r="G826" s="25">
        <f t="shared" si="11"/>
        <v>-6.089651547432906E-3</v>
      </c>
    </row>
    <row r="827" spans="1:7">
      <c r="A827" s="63">
        <v>170.5976</v>
      </c>
      <c r="B827" s="63">
        <v>171.8486</v>
      </c>
      <c r="C827" s="63">
        <v>165.81190000000001</v>
      </c>
      <c r="D827" s="63">
        <v>166.5367</v>
      </c>
      <c r="E827" s="63">
        <v>8853905</v>
      </c>
      <c r="F827" s="63" t="s">
        <v>1448</v>
      </c>
      <c r="G827" s="25">
        <f t="shared" si="11"/>
        <v>2.4384414966791113E-2</v>
      </c>
    </row>
    <row r="828" spans="1:7">
      <c r="A828" s="63">
        <v>166.77500000000001</v>
      </c>
      <c r="B828" s="63">
        <v>166.81469999999999</v>
      </c>
      <c r="C828" s="63">
        <v>163.1112</v>
      </c>
      <c r="D828" s="63">
        <v>163.1112</v>
      </c>
      <c r="E828" s="63">
        <v>6421297</v>
      </c>
      <c r="F828" s="63" t="s">
        <v>1447</v>
      </c>
      <c r="G828" s="25">
        <f t="shared" si="11"/>
        <v>2.2461976859958099E-2</v>
      </c>
    </row>
    <row r="829" spans="1:7">
      <c r="A829" s="63">
        <v>163.5779</v>
      </c>
      <c r="B829" s="63">
        <v>165.2559</v>
      </c>
      <c r="C829" s="63">
        <v>162.23750000000001</v>
      </c>
      <c r="D829" s="63">
        <v>162.90270000000001</v>
      </c>
      <c r="E829" s="63">
        <v>8169797</v>
      </c>
      <c r="F829" s="63" t="s">
        <v>1446</v>
      </c>
      <c r="G829" s="25">
        <f t="shared" si="11"/>
        <v>4.1448054574908522E-3</v>
      </c>
    </row>
    <row r="830" spans="1:7">
      <c r="A830" s="63">
        <v>163.34950000000001</v>
      </c>
      <c r="B830" s="63">
        <v>166.05019999999999</v>
      </c>
      <c r="C830" s="63">
        <v>162.43610000000001</v>
      </c>
      <c r="D830" s="63">
        <v>163.8758</v>
      </c>
      <c r="E830" s="63">
        <v>9872265</v>
      </c>
      <c r="F830" s="63" t="s">
        <v>1445</v>
      </c>
      <c r="G830" s="25">
        <f t="shared" si="11"/>
        <v>-3.2115785247119888E-3</v>
      </c>
    </row>
    <row r="831" spans="1:7">
      <c r="A831" s="63">
        <v>163.91550000000001</v>
      </c>
      <c r="B831" s="63">
        <v>163.9949</v>
      </c>
      <c r="C831" s="63">
        <v>156.9752</v>
      </c>
      <c r="D831" s="63">
        <v>157.06460000000001</v>
      </c>
      <c r="E831" s="63">
        <v>13354588</v>
      </c>
      <c r="F831" s="63" t="s">
        <v>1444</v>
      </c>
      <c r="G831" s="25">
        <f t="shared" si="11"/>
        <v>4.3618358306072746E-2</v>
      </c>
    </row>
    <row r="832" spans="1:7">
      <c r="A832" s="63">
        <v>155.05889999999999</v>
      </c>
      <c r="B832" s="63">
        <v>155.28729999999999</v>
      </c>
      <c r="C832" s="63">
        <v>148.75409999999999</v>
      </c>
      <c r="D832" s="63">
        <v>150.13419999999999</v>
      </c>
      <c r="E832" s="63">
        <v>9390506</v>
      </c>
      <c r="F832" s="63" t="s">
        <v>1443</v>
      </c>
      <c r="G832" s="25">
        <f t="shared" si="11"/>
        <v>3.2801986489420898E-2</v>
      </c>
    </row>
    <row r="833" spans="1:7">
      <c r="A833" s="63">
        <v>153.75829999999999</v>
      </c>
      <c r="B833" s="63">
        <v>159.0702</v>
      </c>
      <c r="C833" s="63">
        <v>153.4008</v>
      </c>
      <c r="D833" s="63">
        <v>153.51</v>
      </c>
      <c r="E833" s="63">
        <v>6390216</v>
      </c>
      <c r="F833" s="63" t="s">
        <v>1442</v>
      </c>
      <c r="G833" s="25">
        <f t="shared" si="11"/>
        <v>1.6174842029834657E-3</v>
      </c>
    </row>
    <row r="834" spans="1:7">
      <c r="A834" s="63">
        <v>154.7611</v>
      </c>
      <c r="B834" s="63">
        <v>156.74680000000001</v>
      </c>
      <c r="C834" s="63">
        <v>152.13990000000001</v>
      </c>
      <c r="D834" s="63">
        <v>156.23050000000001</v>
      </c>
      <c r="E834" s="63">
        <v>19922870</v>
      </c>
      <c r="F834" s="63" t="s">
        <v>1441</v>
      </c>
      <c r="G834" s="25">
        <f t="shared" si="11"/>
        <v>-9.4053337856564445E-3</v>
      </c>
    </row>
    <row r="835" spans="1:7">
      <c r="A835" s="63">
        <v>150.1739</v>
      </c>
      <c r="B835" s="63">
        <v>150.447</v>
      </c>
      <c r="C835" s="63">
        <v>143.27340000000001</v>
      </c>
      <c r="D835" s="63">
        <v>143.27340000000001</v>
      </c>
      <c r="E835" s="63">
        <v>10127053</v>
      </c>
      <c r="F835" s="63" t="s">
        <v>1440</v>
      </c>
      <c r="G835" s="25">
        <f t="shared" si="11"/>
        <v>4.8163162178045615E-2</v>
      </c>
    </row>
    <row r="836" spans="1:7">
      <c r="A836" s="63">
        <v>145.36840000000001</v>
      </c>
      <c r="B836" s="63">
        <v>145.63650000000001</v>
      </c>
      <c r="C836" s="63">
        <v>142.14150000000001</v>
      </c>
      <c r="D836" s="63">
        <v>142.49889999999999</v>
      </c>
      <c r="E836" s="63">
        <v>7070135</v>
      </c>
      <c r="F836" s="63" t="s">
        <v>1439</v>
      </c>
      <c r="G836" s="25">
        <f t="shared" si="11"/>
        <v>2.0136997548753088E-2</v>
      </c>
    </row>
    <row r="837" spans="1:7">
      <c r="A837" s="63">
        <v>144.4152</v>
      </c>
      <c r="B837" s="63">
        <v>148.4761</v>
      </c>
      <c r="C837" s="63">
        <v>144.25630000000001</v>
      </c>
      <c r="D837" s="63">
        <v>147.80090000000001</v>
      </c>
      <c r="E837" s="63">
        <v>7812580</v>
      </c>
      <c r="F837" s="63" t="s">
        <v>1438</v>
      </c>
      <c r="G837" s="25">
        <f t="shared" si="11"/>
        <v>-2.2907167683011487E-2</v>
      </c>
    </row>
    <row r="838" spans="1:7">
      <c r="A838" s="63">
        <v>147.41370000000001</v>
      </c>
      <c r="B838" s="63">
        <v>149.41929999999999</v>
      </c>
      <c r="C838" s="63">
        <v>145.0607</v>
      </c>
      <c r="D838" s="63">
        <v>148.53569999999999</v>
      </c>
      <c r="E838" s="63">
        <v>9407610</v>
      </c>
      <c r="F838" s="63" t="s">
        <v>1437</v>
      </c>
      <c r="G838" s="25">
        <f t="shared" si="11"/>
        <v>-7.5537396060340045E-3</v>
      </c>
    </row>
    <row r="839" spans="1:7">
      <c r="A839" s="63">
        <v>148.44630000000001</v>
      </c>
      <c r="B839" s="63">
        <v>148.8931</v>
      </c>
      <c r="C839" s="63">
        <v>145.0548</v>
      </c>
      <c r="D839" s="63">
        <v>145.15989999999999</v>
      </c>
      <c r="E839" s="63">
        <v>8378111</v>
      </c>
      <c r="F839" s="63" t="s">
        <v>1436</v>
      </c>
      <c r="G839" s="25">
        <f t="shared" si="11"/>
        <v>2.2639861284004859E-2</v>
      </c>
    </row>
    <row r="840" spans="1:7">
      <c r="A840" s="63">
        <v>148.53569999999999</v>
      </c>
      <c r="B840" s="63">
        <v>148.75409999999999</v>
      </c>
      <c r="C840" s="63">
        <v>142.91589999999999</v>
      </c>
      <c r="D840" s="63">
        <v>146.78819999999999</v>
      </c>
      <c r="E840" s="63">
        <v>11678023</v>
      </c>
      <c r="F840" s="63" t="s">
        <v>1435</v>
      </c>
      <c r="G840" s="25">
        <f t="shared" si="11"/>
        <v>1.1904907887691163E-2</v>
      </c>
    </row>
    <row r="841" spans="1:7">
      <c r="A841" s="63">
        <v>143.8691</v>
      </c>
      <c r="B841" s="63">
        <v>145.9939</v>
      </c>
      <c r="C841" s="63">
        <v>142.53870000000001</v>
      </c>
      <c r="D841" s="63">
        <v>144.24639999999999</v>
      </c>
      <c r="E841" s="63">
        <v>13595042</v>
      </c>
      <c r="F841" s="63" t="s">
        <v>1434</v>
      </c>
      <c r="G841" s="25">
        <f t="shared" si="11"/>
        <v>-2.6156631985269074E-3</v>
      </c>
    </row>
    <row r="842" spans="1:7">
      <c r="A842" s="63">
        <v>146.39099999999999</v>
      </c>
      <c r="B842" s="63">
        <v>148.21799999999999</v>
      </c>
      <c r="C842" s="63">
        <v>144.56800000000001</v>
      </c>
      <c r="D842" s="63">
        <v>144.77260000000001</v>
      </c>
      <c r="E842" s="63">
        <v>6527711</v>
      </c>
      <c r="F842" s="63" t="s">
        <v>1433</v>
      </c>
      <c r="G842" s="25">
        <f t="shared" si="11"/>
        <v>1.1178910926515018E-2</v>
      </c>
    </row>
    <row r="843" spans="1:7">
      <c r="A843" s="63">
        <v>146.05350000000001</v>
      </c>
      <c r="B843" s="63">
        <v>148.13849999999999</v>
      </c>
      <c r="C843" s="63">
        <v>141.57560000000001</v>
      </c>
      <c r="D843" s="63">
        <v>141.57560000000001</v>
      </c>
      <c r="E843" s="63">
        <v>13679737</v>
      </c>
      <c r="F843" s="63" t="s">
        <v>1432</v>
      </c>
      <c r="G843" s="25">
        <f t="shared" si="11"/>
        <v>3.1629037772045399E-2</v>
      </c>
    </row>
    <row r="844" spans="1:7">
      <c r="A844" s="63">
        <v>139.5104</v>
      </c>
      <c r="B844" s="63">
        <v>140.6422</v>
      </c>
      <c r="C844" s="63">
        <v>134.5856</v>
      </c>
      <c r="D844" s="63">
        <v>136.60120000000001</v>
      </c>
      <c r="E844" s="63">
        <v>9145711</v>
      </c>
      <c r="F844" s="63" t="s">
        <v>1431</v>
      </c>
      <c r="G844" s="25">
        <f t="shared" si="11"/>
        <v>2.129703106561287E-2</v>
      </c>
    </row>
    <row r="845" spans="1:7">
      <c r="A845" s="63">
        <v>135.37</v>
      </c>
      <c r="B845" s="63">
        <v>137.60400000000001</v>
      </c>
      <c r="C845" s="63">
        <v>133.285</v>
      </c>
      <c r="D845" s="63">
        <v>136.66079999999999</v>
      </c>
      <c r="E845" s="63">
        <v>8493489</v>
      </c>
      <c r="F845" s="63" t="s">
        <v>1430</v>
      </c>
      <c r="G845" s="25">
        <f t="shared" si="11"/>
        <v>-9.4452835048528527E-3</v>
      </c>
    </row>
    <row r="846" spans="1:7">
      <c r="A846" s="63">
        <v>138.59690000000001</v>
      </c>
      <c r="B846" s="63">
        <v>140.8408</v>
      </c>
      <c r="C846" s="63">
        <v>136.63589999999999</v>
      </c>
      <c r="D846" s="63">
        <v>140.21530000000001</v>
      </c>
      <c r="E846" s="63">
        <v>14322576</v>
      </c>
      <c r="F846" s="63" t="s">
        <v>1429</v>
      </c>
      <c r="G846" s="25">
        <f t="shared" si="11"/>
        <v>-1.1542249668902049E-2</v>
      </c>
    </row>
    <row r="847" spans="1:7">
      <c r="A847" s="63">
        <v>133.8211</v>
      </c>
      <c r="B847" s="63">
        <v>135.97569999999999</v>
      </c>
      <c r="C847" s="63">
        <v>132.08359999999999</v>
      </c>
      <c r="D847" s="63">
        <v>134.22819999999999</v>
      </c>
      <c r="E847" s="63">
        <v>8196354</v>
      </c>
      <c r="F847" s="63" t="s">
        <v>1428</v>
      </c>
      <c r="G847" s="25">
        <f t="shared" si="11"/>
        <v>-3.0328947270393813E-3</v>
      </c>
    </row>
    <row r="848" spans="1:7">
      <c r="A848" s="63">
        <v>131.64670000000001</v>
      </c>
      <c r="B848" s="63">
        <v>131.69630000000001</v>
      </c>
      <c r="C848" s="63">
        <v>129.43260000000001</v>
      </c>
      <c r="D848" s="63">
        <v>129.6808</v>
      </c>
      <c r="E848" s="63">
        <v>5630216</v>
      </c>
      <c r="F848" s="63" t="s">
        <v>1427</v>
      </c>
      <c r="G848" s="25">
        <f t="shared" si="11"/>
        <v>1.5159530169462254E-2</v>
      </c>
    </row>
    <row r="849" spans="1:7">
      <c r="A849" s="63">
        <v>131.59710000000001</v>
      </c>
      <c r="B849" s="63">
        <v>132.00409999999999</v>
      </c>
      <c r="C849" s="63">
        <v>128.5787</v>
      </c>
      <c r="D849" s="63">
        <v>128.7773</v>
      </c>
      <c r="E849" s="63">
        <v>7628826</v>
      </c>
      <c r="F849" s="63" t="s">
        <v>1426</v>
      </c>
      <c r="G849" s="25">
        <f t="shared" si="11"/>
        <v>2.1896716269094174E-2</v>
      </c>
    </row>
    <row r="850" spans="1:7">
      <c r="A850" s="63">
        <v>127.556</v>
      </c>
      <c r="B850" s="63">
        <v>130.20699999999999</v>
      </c>
      <c r="C850" s="63">
        <v>127.2581</v>
      </c>
      <c r="D850" s="63">
        <v>128.78720000000001</v>
      </c>
      <c r="E850" s="63">
        <v>6249841</v>
      </c>
      <c r="F850" s="63" t="s">
        <v>1425</v>
      </c>
      <c r="G850" s="25">
        <f t="shared" si="11"/>
        <v>-9.5599562689461237E-3</v>
      </c>
    </row>
    <row r="851" spans="1:7">
      <c r="A851" s="63">
        <v>129.7304</v>
      </c>
      <c r="B851" s="63">
        <v>130.81270000000001</v>
      </c>
      <c r="C851" s="63">
        <v>126.7418</v>
      </c>
      <c r="D851" s="63">
        <v>127.6454</v>
      </c>
      <c r="E851" s="63">
        <v>8300844</v>
      </c>
      <c r="F851" s="63" t="s">
        <v>1424</v>
      </c>
      <c r="G851" s="25">
        <f t="shared" si="11"/>
        <v>1.6334313653292742E-2</v>
      </c>
    </row>
    <row r="852" spans="1:7">
      <c r="A852" s="63">
        <v>128.51910000000001</v>
      </c>
      <c r="B852" s="63">
        <v>128.93610000000001</v>
      </c>
      <c r="C852" s="63">
        <v>126.6823</v>
      </c>
      <c r="D852" s="63">
        <v>127.8142</v>
      </c>
      <c r="E852" s="63">
        <v>5821329</v>
      </c>
      <c r="F852" s="63" t="s">
        <v>1423</v>
      </c>
      <c r="G852" s="25">
        <f t="shared" si="11"/>
        <v>5.5150366704170839E-3</v>
      </c>
    </row>
    <row r="853" spans="1:7">
      <c r="A853" s="63">
        <v>128.27090000000001</v>
      </c>
      <c r="B853" s="63">
        <v>128.61840000000001</v>
      </c>
      <c r="C853" s="63">
        <v>125.44119999999999</v>
      </c>
      <c r="D853" s="63">
        <v>127.7546</v>
      </c>
      <c r="E853" s="63">
        <v>9972880</v>
      </c>
      <c r="F853" s="63" t="s">
        <v>1422</v>
      </c>
      <c r="G853" s="25">
        <f t="shared" si="11"/>
        <v>4.041341759905448E-3</v>
      </c>
    </row>
    <row r="854" spans="1:7">
      <c r="A854" s="63">
        <v>129.37299999999999</v>
      </c>
      <c r="B854" s="63">
        <v>131.21979999999999</v>
      </c>
      <c r="C854" s="63">
        <v>125.69929999999999</v>
      </c>
      <c r="D854" s="63">
        <v>127.0457</v>
      </c>
      <c r="E854" s="63">
        <v>9313242</v>
      </c>
      <c r="F854" s="63" t="s">
        <v>1421</v>
      </c>
      <c r="G854" s="25">
        <f t="shared" si="11"/>
        <v>1.8318605037399793E-2</v>
      </c>
    </row>
    <row r="855" spans="1:7">
      <c r="A855" s="63">
        <v>127.53619999999999</v>
      </c>
      <c r="B855" s="63">
        <v>129.0617</v>
      </c>
      <c r="C855" s="63">
        <v>126.2851</v>
      </c>
      <c r="D855" s="63">
        <v>126.5929</v>
      </c>
      <c r="E855" s="63">
        <v>8455518</v>
      </c>
      <c r="F855" s="63" t="s">
        <v>1420</v>
      </c>
      <c r="G855" s="25">
        <f t="shared" si="11"/>
        <v>7.4514447492710634E-3</v>
      </c>
    </row>
    <row r="856" spans="1:7">
      <c r="A856" s="63">
        <v>128.09219999999999</v>
      </c>
      <c r="B856" s="63">
        <v>128.65799999999999</v>
      </c>
      <c r="C856" s="63">
        <v>126.295</v>
      </c>
      <c r="D856" s="63">
        <v>126.861</v>
      </c>
      <c r="E856" s="63">
        <v>9441407</v>
      </c>
      <c r="F856" s="63" t="s">
        <v>1419</v>
      </c>
      <c r="G856" s="25">
        <f t="shared" si="11"/>
        <v>9.7051103175915809E-3</v>
      </c>
    </row>
    <row r="857" spans="1:7">
      <c r="A857" s="63">
        <v>127.3574</v>
      </c>
      <c r="B857" s="63">
        <v>128.95599999999999</v>
      </c>
      <c r="C857" s="63">
        <v>125.9876</v>
      </c>
      <c r="D857" s="63">
        <v>128.00280000000001</v>
      </c>
      <c r="E857" s="63">
        <v>15464710</v>
      </c>
      <c r="F857" s="63" t="s">
        <v>1418</v>
      </c>
      <c r="G857" s="25">
        <f t="shared" si="11"/>
        <v>-5.0420772045611795E-3</v>
      </c>
    </row>
    <row r="858" spans="1:7">
      <c r="A858" s="63">
        <v>129.512</v>
      </c>
      <c r="B858" s="63">
        <v>133.16079999999999</v>
      </c>
      <c r="C858" s="63">
        <v>128.75739999999999</v>
      </c>
      <c r="D858" s="63">
        <v>130.73320000000001</v>
      </c>
      <c r="E858" s="63">
        <v>10810351</v>
      </c>
      <c r="F858" s="63" t="s">
        <v>1417</v>
      </c>
      <c r="G858" s="25">
        <f t="shared" si="11"/>
        <v>-9.3411620001653262E-3</v>
      </c>
    </row>
    <row r="859" spans="1:7">
      <c r="A859" s="63">
        <v>133.79130000000001</v>
      </c>
      <c r="B859" s="63">
        <v>136.29339999999999</v>
      </c>
      <c r="C859" s="63">
        <v>132.28210000000001</v>
      </c>
      <c r="D859" s="63">
        <v>134.04949999999999</v>
      </c>
      <c r="E859" s="63">
        <v>9611766</v>
      </c>
      <c r="F859" s="63" t="s">
        <v>1416</v>
      </c>
      <c r="G859" s="25">
        <f t="shared" si="11"/>
        <v>-1.9261541445509955E-3</v>
      </c>
    </row>
    <row r="860" spans="1:7">
      <c r="A860" s="63">
        <v>134.6551</v>
      </c>
      <c r="B860" s="63">
        <v>138.88480000000001</v>
      </c>
      <c r="C860" s="63">
        <v>133.0864</v>
      </c>
      <c r="D860" s="63">
        <v>136.41249999999999</v>
      </c>
      <c r="E860" s="63">
        <v>12579843</v>
      </c>
      <c r="F860" s="63" t="s">
        <v>1415</v>
      </c>
      <c r="G860" s="25">
        <f t="shared" si="11"/>
        <v>-1.288298359754414E-2</v>
      </c>
    </row>
    <row r="861" spans="1:7">
      <c r="A861" s="63">
        <v>132.16300000000001</v>
      </c>
      <c r="B861" s="63">
        <v>133.13489999999999</v>
      </c>
      <c r="C861" s="63">
        <v>130.01840000000001</v>
      </c>
      <c r="D861" s="63">
        <v>130.16730000000001</v>
      </c>
      <c r="E861" s="63">
        <v>11852355</v>
      </c>
      <c r="F861" s="63" t="s">
        <v>1414</v>
      </c>
      <c r="G861" s="25">
        <f t="shared" si="11"/>
        <v>1.5331807604521241E-2</v>
      </c>
    </row>
    <row r="862" spans="1:7">
      <c r="A862" s="63">
        <v>130.1772</v>
      </c>
      <c r="B862" s="63">
        <v>132.4211</v>
      </c>
      <c r="C862" s="63">
        <v>127.4468</v>
      </c>
      <c r="D862" s="63">
        <v>128.81700000000001</v>
      </c>
      <c r="E862" s="63">
        <v>10287478</v>
      </c>
      <c r="F862" s="63" t="s">
        <v>1413</v>
      </c>
      <c r="G862" s="25">
        <f t="shared" si="11"/>
        <v>1.0559165327557629E-2</v>
      </c>
    </row>
    <row r="863" spans="1:7">
      <c r="A863" s="63">
        <v>129.20419999999999</v>
      </c>
      <c r="B863" s="63">
        <v>130.5247</v>
      </c>
      <c r="C863" s="63">
        <v>126.1163</v>
      </c>
      <c r="D863" s="63">
        <v>127.5163</v>
      </c>
      <c r="E863" s="63">
        <v>15156912</v>
      </c>
      <c r="F863" s="63" t="s">
        <v>1412</v>
      </c>
      <c r="G863" s="25">
        <f t="shared" si="11"/>
        <v>1.3236739146289311E-2</v>
      </c>
    </row>
    <row r="864" spans="1:7">
      <c r="A864" s="63">
        <v>129.55170000000001</v>
      </c>
      <c r="B864" s="63">
        <v>132.79839999999999</v>
      </c>
      <c r="C864" s="63">
        <v>129.095</v>
      </c>
      <c r="D864" s="63">
        <v>131.5573</v>
      </c>
      <c r="E864" s="63">
        <v>12915933</v>
      </c>
      <c r="F864" s="63" t="s">
        <v>1411</v>
      </c>
      <c r="G864" s="25">
        <f t="shared" si="11"/>
        <v>-1.5245068118606819E-2</v>
      </c>
    </row>
    <row r="865" spans="1:7">
      <c r="A865" s="63">
        <v>132.3219</v>
      </c>
      <c r="B865" s="63">
        <v>133.59280000000001</v>
      </c>
      <c r="C865" s="63">
        <v>129.9786</v>
      </c>
      <c r="D865" s="63">
        <v>131.76580000000001</v>
      </c>
      <c r="E865" s="63">
        <v>16981804</v>
      </c>
      <c r="F865" s="63" t="s">
        <v>1410</v>
      </c>
      <c r="G865" s="25">
        <f t="shared" si="11"/>
        <v>4.2203667415974255E-3</v>
      </c>
    </row>
    <row r="866" spans="1:7">
      <c r="A866" s="63">
        <v>132.97720000000001</v>
      </c>
      <c r="B866" s="63">
        <v>143.36269999999999</v>
      </c>
      <c r="C866" s="63">
        <v>131.93459999999999</v>
      </c>
      <c r="D866" s="63">
        <v>141.7841</v>
      </c>
      <c r="E866" s="63">
        <v>20294602</v>
      </c>
      <c r="F866" s="63" t="s">
        <v>1409</v>
      </c>
      <c r="G866" s="25">
        <f t="shared" si="11"/>
        <v>-6.2114863373255447E-2</v>
      </c>
    </row>
    <row r="867" spans="1:7">
      <c r="A867" s="63">
        <v>143.53149999999999</v>
      </c>
      <c r="B867" s="63">
        <v>144.17689999999999</v>
      </c>
      <c r="C867" s="63">
        <v>141.76419999999999</v>
      </c>
      <c r="D867" s="63">
        <v>143.26349999999999</v>
      </c>
      <c r="E867" s="63">
        <v>15086663</v>
      </c>
      <c r="F867" s="63" t="s">
        <v>1408</v>
      </c>
      <c r="G867" s="25">
        <f t="shared" si="11"/>
        <v>1.8706788539997188E-3</v>
      </c>
    </row>
    <row r="868" spans="1:7">
      <c r="A868" s="63">
        <v>145.95419999999999</v>
      </c>
      <c r="B868" s="63">
        <v>146.536</v>
      </c>
      <c r="C868" s="63">
        <v>141.0692</v>
      </c>
      <c r="D868" s="63">
        <v>146.50030000000001</v>
      </c>
      <c r="E868" s="63">
        <v>33721470</v>
      </c>
      <c r="F868" s="63" t="s">
        <v>1407</v>
      </c>
      <c r="G868" s="25">
        <f t="shared" si="11"/>
        <v>-3.7276374178074612E-3</v>
      </c>
    </row>
    <row r="869" spans="1:7">
      <c r="A869" s="63">
        <v>159.10990000000001</v>
      </c>
      <c r="B869" s="63">
        <v>159.10990000000001</v>
      </c>
      <c r="C869" s="63">
        <v>149.06190000000001</v>
      </c>
      <c r="D869" s="63">
        <v>149.67750000000001</v>
      </c>
      <c r="E869" s="63">
        <v>14591528</v>
      </c>
      <c r="F869" s="63" t="s">
        <v>1406</v>
      </c>
      <c r="G869" s="25">
        <f t="shared" si="11"/>
        <v>6.3018155701424661E-2</v>
      </c>
    </row>
    <row r="870" spans="1:7">
      <c r="A870" s="63">
        <v>150.6009</v>
      </c>
      <c r="B870" s="63">
        <v>152.92420000000001</v>
      </c>
      <c r="C870" s="63">
        <v>150.18389999999999</v>
      </c>
      <c r="D870" s="63">
        <v>151.6335</v>
      </c>
      <c r="E870" s="63">
        <v>6398123</v>
      </c>
      <c r="F870" s="63" t="s">
        <v>1405</v>
      </c>
      <c r="G870" s="25">
        <f t="shared" si="11"/>
        <v>-6.8098408333251426E-3</v>
      </c>
    </row>
    <row r="871" spans="1:7">
      <c r="A871" s="63">
        <v>152.5966</v>
      </c>
      <c r="B871" s="63">
        <v>154.215</v>
      </c>
      <c r="C871" s="63">
        <v>150.9186</v>
      </c>
      <c r="D871" s="63">
        <v>150.9186</v>
      </c>
      <c r="E871" s="63">
        <v>7935615</v>
      </c>
      <c r="F871" s="63" t="s">
        <v>1404</v>
      </c>
      <c r="G871" s="25">
        <f t="shared" si="11"/>
        <v>1.1118576504155264E-2</v>
      </c>
    </row>
    <row r="872" spans="1:7">
      <c r="A872" s="63">
        <v>152.25899999999999</v>
      </c>
      <c r="B872" s="63">
        <v>152.94409999999999</v>
      </c>
      <c r="C872" s="63">
        <v>150.303</v>
      </c>
      <c r="D872" s="63">
        <v>150.9881</v>
      </c>
      <c r="E872" s="63">
        <v>3023746</v>
      </c>
      <c r="F872" s="63" t="s">
        <v>1403</v>
      </c>
      <c r="G872" s="25">
        <f t="shared" si="11"/>
        <v>8.4172196351897099E-3</v>
      </c>
    </row>
    <row r="873" spans="1:7">
      <c r="A873" s="63">
        <v>151.15690000000001</v>
      </c>
      <c r="B873" s="63">
        <v>151.82210000000001</v>
      </c>
      <c r="C873" s="63">
        <v>146.50030000000001</v>
      </c>
      <c r="D873" s="63">
        <v>146.56979999999999</v>
      </c>
      <c r="E873" s="63">
        <v>5558886</v>
      </c>
      <c r="F873" s="63" t="s">
        <v>1402</v>
      </c>
      <c r="G873" s="25">
        <f t="shared" si="11"/>
        <v>3.1296351635875963E-2</v>
      </c>
    </row>
    <row r="874" spans="1:7">
      <c r="A874" s="63">
        <v>148.18819999999999</v>
      </c>
      <c r="B874" s="63">
        <v>148.31720000000001</v>
      </c>
      <c r="C874" s="63">
        <v>141.9032</v>
      </c>
      <c r="D874" s="63">
        <v>144.167</v>
      </c>
      <c r="E874" s="63">
        <v>7017708</v>
      </c>
      <c r="F874" s="63" t="s">
        <v>1401</v>
      </c>
      <c r="G874" s="25">
        <f t="shared" si="11"/>
        <v>2.7892652271324092E-2</v>
      </c>
    </row>
    <row r="875" spans="1:7">
      <c r="A875" s="63">
        <v>143.81950000000001</v>
      </c>
      <c r="B875" s="63">
        <v>146.29179999999999</v>
      </c>
      <c r="C875" s="63">
        <v>142.37479999999999</v>
      </c>
      <c r="D875" s="63">
        <v>144.9812</v>
      </c>
      <c r="E875" s="63">
        <v>8015886</v>
      </c>
      <c r="F875" s="63" t="s">
        <v>1400</v>
      </c>
      <c r="G875" s="25">
        <f t="shared" si="11"/>
        <v>-8.0127630341036982E-3</v>
      </c>
    </row>
    <row r="876" spans="1:7">
      <c r="A876" s="63">
        <v>146.98679999999999</v>
      </c>
      <c r="B876" s="63">
        <v>151.2363</v>
      </c>
      <c r="C876" s="63">
        <v>144.6088</v>
      </c>
      <c r="D876" s="63">
        <v>150.75970000000001</v>
      </c>
      <c r="E876" s="63">
        <v>7556035</v>
      </c>
      <c r="F876" s="63" t="s">
        <v>1399</v>
      </c>
      <c r="G876" s="25">
        <f t="shared" si="11"/>
        <v>-2.5025918730270935E-2</v>
      </c>
    </row>
    <row r="877" spans="1:7">
      <c r="A877" s="63">
        <v>148.625</v>
      </c>
      <c r="B877" s="63">
        <v>150.68029999999999</v>
      </c>
      <c r="C877" s="63">
        <v>147.28460000000001</v>
      </c>
      <c r="D877" s="63">
        <v>149.1215</v>
      </c>
      <c r="E877" s="63">
        <v>7357904</v>
      </c>
      <c r="F877" s="63" t="s">
        <v>1398</v>
      </c>
      <c r="G877" s="25">
        <f t="shared" si="11"/>
        <v>-3.3294997703214868E-3</v>
      </c>
    </row>
    <row r="878" spans="1:7">
      <c r="A878" s="63">
        <v>154.0164</v>
      </c>
      <c r="B878" s="63">
        <v>159.67590000000001</v>
      </c>
      <c r="C878" s="63">
        <v>152.73560000000001</v>
      </c>
      <c r="D878" s="63">
        <v>158.86170000000001</v>
      </c>
      <c r="E878" s="63">
        <v>6454684</v>
      </c>
      <c r="F878" s="63" t="s">
        <v>1397</v>
      </c>
      <c r="G878" s="25">
        <f t="shared" si="11"/>
        <v>-3.0500114250319621E-2</v>
      </c>
    </row>
    <row r="879" spans="1:7">
      <c r="A879" s="63">
        <v>160.917</v>
      </c>
      <c r="B879" s="63">
        <v>164.07429999999999</v>
      </c>
      <c r="C879" s="63">
        <v>159.60560000000001</v>
      </c>
      <c r="D879" s="63">
        <v>161.52260000000001</v>
      </c>
      <c r="E879" s="63">
        <v>8116050</v>
      </c>
      <c r="F879" s="63" t="s">
        <v>1396</v>
      </c>
      <c r="G879" s="25">
        <f t="shared" si="11"/>
        <v>-3.7493205285205056E-3</v>
      </c>
    </row>
    <row r="880" spans="1:7">
      <c r="A880" s="63">
        <v>157.53120000000001</v>
      </c>
      <c r="B880" s="63">
        <v>159.0206</v>
      </c>
      <c r="C880" s="63">
        <v>153.54480000000001</v>
      </c>
      <c r="D880" s="63">
        <v>154.7114</v>
      </c>
      <c r="E880" s="63">
        <v>6580055</v>
      </c>
      <c r="F880" s="63" t="s">
        <v>1395</v>
      </c>
      <c r="G880" s="25">
        <f t="shared" si="11"/>
        <v>1.822619406197612E-2</v>
      </c>
    </row>
    <row r="881" spans="1:7">
      <c r="A881" s="63">
        <v>156.6078</v>
      </c>
      <c r="B881" s="63">
        <v>158.78229999999999</v>
      </c>
      <c r="C881" s="63">
        <v>154.47309999999999</v>
      </c>
      <c r="D881" s="63">
        <v>155.3767</v>
      </c>
      <c r="E881" s="63">
        <v>7382476</v>
      </c>
      <c r="F881" s="63" t="s">
        <v>1394</v>
      </c>
      <c r="G881" s="25">
        <f t="shared" si="11"/>
        <v>7.9233244109315759E-3</v>
      </c>
    </row>
    <row r="882" spans="1:7">
      <c r="A882" s="63">
        <v>155.18799999999999</v>
      </c>
      <c r="B882" s="63">
        <v>155.25749999999999</v>
      </c>
      <c r="C882" s="63">
        <v>148.66480000000001</v>
      </c>
      <c r="D882" s="63">
        <v>149.92570000000001</v>
      </c>
      <c r="E882" s="63">
        <v>8777927</v>
      </c>
      <c r="F882" s="63" t="s">
        <v>1393</v>
      </c>
      <c r="G882" s="25">
        <f t="shared" si="11"/>
        <v>3.5099385895813517E-2</v>
      </c>
    </row>
    <row r="883" spans="1:7">
      <c r="A883" s="63">
        <v>141.04929999999999</v>
      </c>
      <c r="B883" s="63">
        <v>145.28450000000001</v>
      </c>
      <c r="C883" s="63">
        <v>140.93020000000001</v>
      </c>
      <c r="D883" s="63">
        <v>144.8124</v>
      </c>
      <c r="E883" s="63">
        <v>5588538</v>
      </c>
      <c r="F883" s="63" t="s">
        <v>1392</v>
      </c>
      <c r="G883" s="25">
        <f t="shared" si="11"/>
        <v>-2.5986034345125253E-2</v>
      </c>
    </row>
    <row r="884" spans="1:7">
      <c r="A884" s="63">
        <v>146.05350000000001</v>
      </c>
      <c r="B884" s="63">
        <v>150.48169999999999</v>
      </c>
      <c r="C884" s="63">
        <v>144.0478</v>
      </c>
      <c r="D884" s="63">
        <v>144.05779999999999</v>
      </c>
      <c r="E884" s="63">
        <v>9101759</v>
      </c>
      <c r="F884" s="63" t="s">
        <v>1391</v>
      </c>
      <c r="G884" s="25">
        <f t="shared" si="11"/>
        <v>1.3853467149991472E-2</v>
      </c>
    </row>
    <row r="885" spans="1:7">
      <c r="A885" s="63">
        <v>143.56129999999999</v>
      </c>
      <c r="B885" s="63">
        <v>143.8989</v>
      </c>
      <c r="C885" s="63">
        <v>137.78280000000001</v>
      </c>
      <c r="D885" s="63">
        <v>139.61959999999999</v>
      </c>
      <c r="E885" s="63">
        <v>7379946</v>
      </c>
      <c r="F885" s="63" t="s">
        <v>1390</v>
      </c>
      <c r="G885" s="25">
        <f t="shared" si="11"/>
        <v>2.823170958805199E-2</v>
      </c>
    </row>
    <row r="886" spans="1:7">
      <c r="A886" s="63">
        <v>138.7756</v>
      </c>
      <c r="B886" s="63">
        <v>145.90450000000001</v>
      </c>
      <c r="C886" s="63">
        <v>135.07220000000001</v>
      </c>
      <c r="D886" s="63">
        <v>145.45769999999999</v>
      </c>
      <c r="E886" s="63">
        <v>14265341</v>
      </c>
      <c r="F886" s="63" t="s">
        <v>1389</v>
      </c>
      <c r="G886" s="25">
        <f t="shared" si="11"/>
        <v>-4.5938441210056191E-2</v>
      </c>
    </row>
    <row r="887" spans="1:7">
      <c r="A887" s="63">
        <v>145.28890000000001</v>
      </c>
      <c r="B887" s="63">
        <v>149.3449</v>
      </c>
      <c r="C887" s="63">
        <v>145.09039999999999</v>
      </c>
      <c r="D887" s="63">
        <v>147.93989999999999</v>
      </c>
      <c r="E887" s="63">
        <v>5999352</v>
      </c>
      <c r="F887" s="63" t="s">
        <v>1388</v>
      </c>
      <c r="G887" s="25">
        <f t="shared" si="11"/>
        <v>-1.7919438907285867E-2</v>
      </c>
    </row>
    <row r="888" spans="1:7">
      <c r="A888" s="63">
        <v>148.94280000000001</v>
      </c>
      <c r="B888" s="63">
        <v>158.63329999999999</v>
      </c>
      <c r="C888" s="63">
        <v>148.8931</v>
      </c>
      <c r="D888" s="63">
        <v>158.37520000000001</v>
      </c>
      <c r="E888" s="63">
        <v>7242215</v>
      </c>
      <c r="F888" s="63" t="s">
        <v>1387</v>
      </c>
      <c r="G888" s="25">
        <f t="shared" si="11"/>
        <v>-5.9557304426450575E-2</v>
      </c>
    </row>
    <row r="889" spans="1:7">
      <c r="A889" s="63">
        <v>158.68299999999999</v>
      </c>
      <c r="B889" s="63">
        <v>164.52099999999999</v>
      </c>
      <c r="C889" s="63">
        <v>158.5043</v>
      </c>
      <c r="D889" s="63">
        <v>163.8261</v>
      </c>
      <c r="E889" s="63">
        <v>4545909</v>
      </c>
      <c r="F889" s="63" t="s">
        <v>1386</v>
      </c>
      <c r="G889" s="25">
        <f t="shared" ref="G889:G952" si="12">A889/D889-1</f>
        <v>-3.1393654613031785E-2</v>
      </c>
    </row>
    <row r="890" spans="1:7">
      <c r="A890" s="63">
        <v>161.4333</v>
      </c>
      <c r="B890" s="63">
        <v>162.83320000000001</v>
      </c>
      <c r="C890" s="63">
        <v>159.8546</v>
      </c>
      <c r="D890" s="63">
        <v>160.9666</v>
      </c>
      <c r="E890" s="63">
        <v>4878097</v>
      </c>
      <c r="F890" s="63" t="s">
        <v>1385</v>
      </c>
      <c r="G890" s="25">
        <f t="shared" si="12"/>
        <v>2.8993592459554129E-3</v>
      </c>
    </row>
    <row r="891" spans="1:7">
      <c r="A891" s="63">
        <v>161.86019999999999</v>
      </c>
      <c r="B891" s="63">
        <v>161.9297</v>
      </c>
      <c r="C891" s="63">
        <v>157.04470000000001</v>
      </c>
      <c r="D891" s="63">
        <v>158.37520000000001</v>
      </c>
      <c r="E891" s="63">
        <v>5055359</v>
      </c>
      <c r="F891" s="63" t="s">
        <v>1384</v>
      </c>
      <c r="G891" s="25">
        <f t="shared" si="12"/>
        <v>2.2004707807788071E-2</v>
      </c>
    </row>
    <row r="892" spans="1:7">
      <c r="A892" s="63">
        <v>158.61349999999999</v>
      </c>
      <c r="B892" s="63">
        <v>163.48849999999999</v>
      </c>
      <c r="C892" s="63">
        <v>158.1865</v>
      </c>
      <c r="D892" s="63">
        <v>160.6489</v>
      </c>
      <c r="E892" s="63">
        <v>4987716</v>
      </c>
      <c r="F892" s="63" t="s">
        <v>1383</v>
      </c>
      <c r="G892" s="25">
        <f t="shared" si="12"/>
        <v>-1.2669865775613798E-2</v>
      </c>
    </row>
    <row r="893" spans="1:7">
      <c r="A893" s="63">
        <v>158.7723</v>
      </c>
      <c r="B893" s="63">
        <v>162.95240000000001</v>
      </c>
      <c r="C893" s="63">
        <v>157.57089999999999</v>
      </c>
      <c r="D893" s="63">
        <v>158.66309999999999</v>
      </c>
      <c r="E893" s="63">
        <v>6623009</v>
      </c>
      <c r="F893" s="63" t="s">
        <v>1382</v>
      </c>
      <c r="G893" s="25">
        <f t="shared" si="12"/>
        <v>6.8825076530099061E-4</v>
      </c>
    </row>
    <row r="894" spans="1:7">
      <c r="A894" s="63">
        <v>164.0942</v>
      </c>
      <c r="B894" s="63">
        <v>164.84880000000001</v>
      </c>
      <c r="C894" s="63">
        <v>160.53469999999999</v>
      </c>
      <c r="D894" s="63">
        <v>160.5496</v>
      </c>
      <c r="E894" s="63">
        <v>5804513</v>
      </c>
      <c r="F894" s="63" t="s">
        <v>1381</v>
      </c>
      <c r="G894" s="25">
        <f t="shared" si="12"/>
        <v>2.2077912371005537E-2</v>
      </c>
    </row>
    <row r="895" spans="1:7">
      <c r="A895" s="63">
        <v>159.50710000000001</v>
      </c>
      <c r="B895" s="63">
        <v>160.4205</v>
      </c>
      <c r="C895" s="63">
        <v>157.26990000000001</v>
      </c>
      <c r="D895" s="63">
        <v>160.0333</v>
      </c>
      <c r="E895" s="63">
        <v>6259152</v>
      </c>
      <c r="F895" s="63" t="s">
        <v>1380</v>
      </c>
      <c r="G895" s="25">
        <f t="shared" si="12"/>
        <v>-3.2880656713321077E-3</v>
      </c>
    </row>
    <row r="896" spans="1:7">
      <c r="A896" s="63">
        <v>159.03049999999999</v>
      </c>
      <c r="B896" s="63">
        <v>159.2886</v>
      </c>
      <c r="C896" s="63">
        <v>153.71680000000001</v>
      </c>
      <c r="D896" s="63">
        <v>156.37950000000001</v>
      </c>
      <c r="E896" s="63">
        <v>8335482</v>
      </c>
      <c r="F896" s="63" t="s">
        <v>1379</v>
      </c>
      <c r="G896" s="25">
        <f t="shared" si="12"/>
        <v>1.6952349892409124E-2</v>
      </c>
    </row>
    <row r="897" spans="1:7">
      <c r="A897" s="63">
        <v>156.37950000000001</v>
      </c>
      <c r="B897" s="63">
        <v>160.1524</v>
      </c>
      <c r="C897" s="63">
        <v>152.50720000000001</v>
      </c>
      <c r="D897" s="63">
        <v>153.8973</v>
      </c>
      <c r="E897" s="63">
        <v>9203368</v>
      </c>
      <c r="F897" s="63" t="s">
        <v>1378</v>
      </c>
      <c r="G897" s="25">
        <f t="shared" si="12"/>
        <v>1.6128937934583698E-2</v>
      </c>
    </row>
    <row r="898" spans="1:7">
      <c r="A898" s="63">
        <v>152.57669999999999</v>
      </c>
      <c r="B898" s="63">
        <v>154.84049999999999</v>
      </c>
      <c r="C898" s="63">
        <v>149.56829999999999</v>
      </c>
      <c r="D898" s="63">
        <v>150.77959999999999</v>
      </c>
      <c r="E898" s="63">
        <v>6220490</v>
      </c>
      <c r="F898" s="63" t="s">
        <v>1377</v>
      </c>
      <c r="G898" s="25">
        <f t="shared" si="12"/>
        <v>1.1918721100201868E-2</v>
      </c>
    </row>
    <row r="899" spans="1:7">
      <c r="A899" s="63">
        <v>152.43770000000001</v>
      </c>
      <c r="B899" s="63">
        <v>157.839</v>
      </c>
      <c r="C899" s="63">
        <v>150.8193</v>
      </c>
      <c r="D899" s="63">
        <v>155.33690000000001</v>
      </c>
      <c r="E899" s="63">
        <v>16354759</v>
      </c>
      <c r="F899" s="63" t="s">
        <v>1376</v>
      </c>
      <c r="G899" s="25">
        <f t="shared" si="12"/>
        <v>-1.866394913249847E-2</v>
      </c>
    </row>
    <row r="900" spans="1:7">
      <c r="A900" s="63">
        <v>146.13290000000001</v>
      </c>
      <c r="B900" s="63">
        <v>147.93989999999999</v>
      </c>
      <c r="C900" s="63">
        <v>144.90369999999999</v>
      </c>
      <c r="D900" s="63">
        <v>145.0308</v>
      </c>
      <c r="E900" s="63">
        <v>6288211</v>
      </c>
      <c r="F900" s="63" t="s">
        <v>1375</v>
      </c>
      <c r="G900" s="25">
        <f t="shared" si="12"/>
        <v>7.599075506719899E-3</v>
      </c>
    </row>
    <row r="901" spans="1:7">
      <c r="A901" s="63">
        <v>141.20820000000001</v>
      </c>
      <c r="B901" s="63">
        <v>146.64920000000001</v>
      </c>
      <c r="C901" s="63">
        <v>140.9898</v>
      </c>
      <c r="D901" s="63">
        <v>146.2818</v>
      </c>
      <c r="E901" s="63">
        <v>5738358</v>
      </c>
      <c r="F901" s="63" t="s">
        <v>1374</v>
      </c>
      <c r="G901" s="25">
        <f t="shared" si="12"/>
        <v>-3.4683740561026744E-2</v>
      </c>
    </row>
    <row r="902" spans="1:7">
      <c r="A902" s="63">
        <v>144.40530000000001</v>
      </c>
      <c r="B902" s="63">
        <v>145.2989</v>
      </c>
      <c r="C902" s="63">
        <v>136.61109999999999</v>
      </c>
      <c r="D902" s="63">
        <v>137.97139999999999</v>
      </c>
      <c r="E902" s="63">
        <v>6548552</v>
      </c>
      <c r="F902" s="63" t="s">
        <v>1373</v>
      </c>
      <c r="G902" s="25">
        <f t="shared" si="12"/>
        <v>4.6632128107709336E-2</v>
      </c>
    </row>
    <row r="903" spans="1:7">
      <c r="A903" s="63">
        <v>141.27770000000001</v>
      </c>
      <c r="B903" s="63">
        <v>142.4195</v>
      </c>
      <c r="C903" s="63">
        <v>138.58699999999999</v>
      </c>
      <c r="D903" s="63">
        <v>141.29750000000001</v>
      </c>
      <c r="E903" s="63">
        <v>5707135</v>
      </c>
      <c r="F903" s="63" t="s">
        <v>1372</v>
      </c>
      <c r="G903" s="25">
        <f t="shared" si="12"/>
        <v>-1.4012986783207282E-4</v>
      </c>
    </row>
    <row r="904" spans="1:7">
      <c r="A904" s="63">
        <v>141.5557</v>
      </c>
      <c r="B904" s="63">
        <v>143.93860000000001</v>
      </c>
      <c r="C904" s="63">
        <v>138.5274</v>
      </c>
      <c r="D904" s="63">
        <v>143.4819</v>
      </c>
      <c r="E904" s="63">
        <v>7414980</v>
      </c>
      <c r="F904" s="63" t="s">
        <v>1371</v>
      </c>
      <c r="G904" s="25">
        <f t="shared" si="12"/>
        <v>-1.3424689804079737E-2</v>
      </c>
    </row>
    <row r="905" spans="1:7">
      <c r="A905" s="63">
        <v>144.60390000000001</v>
      </c>
      <c r="B905" s="63">
        <v>149.8886</v>
      </c>
      <c r="C905" s="63">
        <v>143.5514</v>
      </c>
      <c r="D905" s="63">
        <v>149.54839999999999</v>
      </c>
      <c r="E905" s="63">
        <v>5497767</v>
      </c>
      <c r="F905" s="63" t="s">
        <v>1370</v>
      </c>
      <c r="G905" s="25">
        <f t="shared" si="12"/>
        <v>-3.306287462787949E-2</v>
      </c>
    </row>
    <row r="906" spans="1:7">
      <c r="A906" s="63">
        <v>149.2208</v>
      </c>
      <c r="B906" s="63">
        <v>152.08029999999999</v>
      </c>
      <c r="C906" s="63">
        <v>148.208</v>
      </c>
      <c r="D906" s="63">
        <v>150.72</v>
      </c>
      <c r="E906" s="63">
        <v>5956733</v>
      </c>
      <c r="F906" s="63" t="s">
        <v>1369</v>
      </c>
      <c r="G906" s="25">
        <f t="shared" si="12"/>
        <v>-9.946921443736767E-3</v>
      </c>
    </row>
    <row r="907" spans="1:7">
      <c r="A907" s="63">
        <v>154.35400000000001</v>
      </c>
      <c r="B907" s="63">
        <v>157.1241</v>
      </c>
      <c r="C907" s="63">
        <v>153.34219999999999</v>
      </c>
      <c r="D907" s="63">
        <v>154.6121</v>
      </c>
      <c r="E907" s="63">
        <v>3853938</v>
      </c>
      <c r="F907" s="63" t="s">
        <v>1368</v>
      </c>
      <c r="G907" s="25">
        <f t="shared" si="12"/>
        <v>-1.6693389456581276E-3</v>
      </c>
    </row>
    <row r="908" spans="1:7">
      <c r="A908" s="63">
        <v>155.11850000000001</v>
      </c>
      <c r="B908" s="63">
        <v>155.8433</v>
      </c>
      <c r="C908" s="63">
        <v>150.85890000000001</v>
      </c>
      <c r="D908" s="63">
        <v>151.1172</v>
      </c>
      <c r="E908" s="63">
        <v>4256243</v>
      </c>
      <c r="F908" s="63" t="s">
        <v>1367</v>
      </c>
      <c r="G908" s="25">
        <f t="shared" si="12"/>
        <v>2.6478124263816571E-2</v>
      </c>
    </row>
    <row r="909" spans="1:7">
      <c r="A909" s="63">
        <v>154.62209999999999</v>
      </c>
      <c r="B909" s="63">
        <v>156.29509999999999</v>
      </c>
      <c r="C909" s="63">
        <v>150.14420000000001</v>
      </c>
      <c r="D909" s="63">
        <v>150.6207</v>
      </c>
      <c r="E909" s="63">
        <v>8017945</v>
      </c>
      <c r="F909" s="63" t="s">
        <v>1366</v>
      </c>
      <c r="G909" s="25">
        <f t="shared" si="12"/>
        <v>2.656606960397867E-2</v>
      </c>
    </row>
    <row r="910" spans="1:7">
      <c r="A910" s="63">
        <v>146.84780000000001</v>
      </c>
      <c r="B910" s="63">
        <v>147.90020000000001</v>
      </c>
      <c r="C910" s="63">
        <v>142.87620000000001</v>
      </c>
      <c r="D910" s="63">
        <v>143.9485</v>
      </c>
      <c r="E910" s="63">
        <v>6819910</v>
      </c>
      <c r="F910" s="63" t="s">
        <v>1365</v>
      </c>
      <c r="G910" s="25">
        <f t="shared" si="12"/>
        <v>2.0141231065276877E-2</v>
      </c>
    </row>
    <row r="911" spans="1:7">
      <c r="A911" s="63">
        <v>142.8167</v>
      </c>
      <c r="B911" s="63">
        <v>147.57259999999999</v>
      </c>
      <c r="C911" s="63">
        <v>142.72730000000001</v>
      </c>
      <c r="D911" s="63">
        <v>144.97120000000001</v>
      </c>
      <c r="E911" s="63">
        <v>7575618</v>
      </c>
      <c r="F911" s="63" t="s">
        <v>1364</v>
      </c>
      <c r="G911" s="25">
        <f t="shared" si="12"/>
        <v>-1.4861572505435627E-2</v>
      </c>
    </row>
    <row r="912" spans="1:7">
      <c r="A912" s="63">
        <v>145.7655</v>
      </c>
      <c r="B912" s="63">
        <v>147.92009999999999</v>
      </c>
      <c r="C912" s="63">
        <v>143.97829999999999</v>
      </c>
      <c r="D912" s="63">
        <v>147.3939</v>
      </c>
      <c r="E912" s="63">
        <v>8602480</v>
      </c>
      <c r="F912" s="63" t="s">
        <v>1363</v>
      </c>
      <c r="G912" s="25">
        <f t="shared" si="12"/>
        <v>-1.1047947031729288E-2</v>
      </c>
    </row>
    <row r="913" spans="1:7">
      <c r="A913" s="63">
        <v>149.10159999999999</v>
      </c>
      <c r="B913" s="63">
        <v>149.80160000000001</v>
      </c>
      <c r="C913" s="63">
        <v>144.6302</v>
      </c>
      <c r="D913" s="63">
        <v>144.96129999999999</v>
      </c>
      <c r="E913" s="63">
        <v>7908447</v>
      </c>
      <c r="F913" s="63" t="s">
        <v>1362</v>
      </c>
      <c r="G913" s="25">
        <f t="shared" si="12"/>
        <v>2.8561416046903432E-2</v>
      </c>
    </row>
    <row r="914" spans="1:7">
      <c r="A914" s="63">
        <v>147.83070000000001</v>
      </c>
      <c r="B914" s="63">
        <v>149.5385</v>
      </c>
      <c r="C914" s="63">
        <v>145.21449999999999</v>
      </c>
      <c r="D914" s="63">
        <v>147.31440000000001</v>
      </c>
      <c r="E914" s="63">
        <v>7046635</v>
      </c>
      <c r="F914" s="63" t="s">
        <v>1361</v>
      </c>
      <c r="G914" s="25">
        <f t="shared" si="12"/>
        <v>3.5047490265718295E-3</v>
      </c>
    </row>
    <row r="915" spans="1:7">
      <c r="A915" s="63">
        <v>145.279</v>
      </c>
      <c r="B915" s="63">
        <v>150.11439999999999</v>
      </c>
      <c r="C915" s="63">
        <v>144.3159</v>
      </c>
      <c r="D915" s="63">
        <v>145.95419999999999</v>
      </c>
      <c r="E915" s="63">
        <v>7862409</v>
      </c>
      <c r="F915" s="63" t="s">
        <v>1360</v>
      </c>
      <c r="G915" s="25">
        <f t="shared" si="12"/>
        <v>-4.6261087382205579E-3</v>
      </c>
    </row>
    <row r="916" spans="1:7">
      <c r="A916" s="63">
        <v>145.9641</v>
      </c>
      <c r="B916" s="63">
        <v>148.774</v>
      </c>
      <c r="C916" s="63">
        <v>143.75989999999999</v>
      </c>
      <c r="D916" s="63">
        <v>147.01660000000001</v>
      </c>
      <c r="E916" s="63">
        <v>9175754</v>
      </c>
      <c r="F916" s="63" t="s">
        <v>1359</v>
      </c>
      <c r="G916" s="25">
        <f t="shared" si="12"/>
        <v>-7.1590555080175422E-3</v>
      </c>
    </row>
    <row r="917" spans="1:7">
      <c r="A917" s="63">
        <v>149.08179999999999</v>
      </c>
      <c r="B917" s="63">
        <v>151.77250000000001</v>
      </c>
      <c r="C917" s="63">
        <v>148.0889</v>
      </c>
      <c r="D917" s="63">
        <v>148.44630000000001</v>
      </c>
      <c r="E917" s="63">
        <v>12405065</v>
      </c>
      <c r="F917" s="63" t="s">
        <v>1358</v>
      </c>
      <c r="G917" s="25">
        <f t="shared" si="12"/>
        <v>4.2810093616343359E-3</v>
      </c>
    </row>
    <row r="918" spans="1:7">
      <c r="A918" s="63">
        <v>146.5797</v>
      </c>
      <c r="B918" s="63">
        <v>152.20939999999999</v>
      </c>
      <c r="C918" s="63">
        <v>146.4605</v>
      </c>
      <c r="D918" s="63">
        <v>150.14420000000001</v>
      </c>
      <c r="E918" s="63">
        <v>6164388</v>
      </c>
      <c r="F918" s="63" t="s">
        <v>1357</v>
      </c>
      <c r="G918" s="25">
        <f t="shared" si="12"/>
        <v>-2.3740510788961555E-2</v>
      </c>
    </row>
    <row r="919" spans="1:7">
      <c r="A919" s="63">
        <v>148.73429999999999</v>
      </c>
      <c r="B919" s="63">
        <v>150.5016</v>
      </c>
      <c r="C919" s="63">
        <v>147.79300000000001</v>
      </c>
      <c r="D919" s="63">
        <v>149.92570000000001</v>
      </c>
      <c r="E919" s="63">
        <v>5505747</v>
      </c>
      <c r="F919" s="63" t="s">
        <v>1356</v>
      </c>
      <c r="G919" s="25">
        <f t="shared" si="12"/>
        <v>-7.946602883961984E-3</v>
      </c>
    </row>
    <row r="920" spans="1:7">
      <c r="A920" s="63">
        <v>151.74270000000001</v>
      </c>
      <c r="B920" s="63">
        <v>152.44759999999999</v>
      </c>
      <c r="C920" s="63">
        <v>149.33000000000001</v>
      </c>
      <c r="D920" s="63">
        <v>149.6378</v>
      </c>
      <c r="E920" s="63">
        <v>4874836</v>
      </c>
      <c r="F920" s="63" t="s">
        <v>1355</v>
      </c>
      <c r="G920" s="25">
        <f t="shared" si="12"/>
        <v>1.4066632896233555E-2</v>
      </c>
    </row>
    <row r="921" spans="1:7">
      <c r="A921" s="63">
        <v>150.43209999999999</v>
      </c>
      <c r="B921" s="63">
        <v>151.12309999999999</v>
      </c>
      <c r="C921" s="63">
        <v>148.49600000000001</v>
      </c>
      <c r="D921" s="63">
        <v>150.83920000000001</v>
      </c>
      <c r="E921" s="63">
        <v>9882285</v>
      </c>
      <c r="F921" s="63" t="s">
        <v>1354</v>
      </c>
      <c r="G921" s="25">
        <f t="shared" si="12"/>
        <v>-2.6989005510504871E-3</v>
      </c>
    </row>
    <row r="922" spans="1:7">
      <c r="A922" s="63">
        <v>153.6788</v>
      </c>
      <c r="B922" s="63">
        <v>158.7028</v>
      </c>
      <c r="C922" s="63">
        <v>153.2122</v>
      </c>
      <c r="D922" s="63">
        <v>155.68450000000001</v>
      </c>
      <c r="E922" s="63">
        <v>7012150</v>
      </c>
      <c r="F922" s="63" t="s">
        <v>1353</v>
      </c>
      <c r="G922" s="25">
        <f t="shared" si="12"/>
        <v>-1.2883106539186784E-2</v>
      </c>
    </row>
    <row r="923" spans="1:7">
      <c r="A923" s="63">
        <v>159.1397</v>
      </c>
      <c r="B923" s="63">
        <v>160.5</v>
      </c>
      <c r="C923" s="63">
        <v>156.88579999999999</v>
      </c>
      <c r="D923" s="63">
        <v>157.46170000000001</v>
      </c>
      <c r="E923" s="63">
        <v>6037309</v>
      </c>
      <c r="F923" s="63" t="s">
        <v>1352</v>
      </c>
      <c r="G923" s="25">
        <f t="shared" si="12"/>
        <v>1.0656559658634324E-2</v>
      </c>
    </row>
    <row r="924" spans="1:7">
      <c r="A924" s="63">
        <v>156.9752</v>
      </c>
      <c r="B924" s="63">
        <v>160.1078</v>
      </c>
      <c r="C924" s="63">
        <v>156.68729999999999</v>
      </c>
      <c r="D924" s="63">
        <v>157.1241</v>
      </c>
      <c r="E924" s="63">
        <v>5463179</v>
      </c>
      <c r="F924" s="63" t="s">
        <v>1351</v>
      </c>
      <c r="G924" s="25">
        <f t="shared" si="12"/>
        <v>-9.4765857051848368E-4</v>
      </c>
    </row>
    <row r="925" spans="1:7">
      <c r="A925" s="63">
        <v>164.45160000000001</v>
      </c>
      <c r="B925" s="63">
        <v>164.48140000000001</v>
      </c>
      <c r="C925" s="63">
        <v>161.5822</v>
      </c>
      <c r="D925" s="63">
        <v>162.52539999999999</v>
      </c>
      <c r="E925" s="63">
        <v>6353354</v>
      </c>
      <c r="F925" s="63" t="s">
        <v>1350</v>
      </c>
      <c r="G925" s="25">
        <f t="shared" si="12"/>
        <v>1.1851685951857593E-2</v>
      </c>
    </row>
    <row r="926" spans="1:7">
      <c r="A926" s="63">
        <v>161.4333</v>
      </c>
      <c r="B926" s="63">
        <v>162.13319999999999</v>
      </c>
      <c r="C926" s="63">
        <v>157.3426</v>
      </c>
      <c r="D926" s="63">
        <v>157.4717</v>
      </c>
      <c r="E926" s="63">
        <v>5645429</v>
      </c>
      <c r="F926" s="63" t="s">
        <v>1349</v>
      </c>
      <c r="G926" s="25">
        <f t="shared" si="12"/>
        <v>2.5157536243020306E-2</v>
      </c>
    </row>
    <row r="927" spans="1:7">
      <c r="A927" s="63">
        <v>155.78370000000001</v>
      </c>
      <c r="B927" s="63">
        <v>155.9128</v>
      </c>
      <c r="C927" s="63">
        <v>150.7002</v>
      </c>
      <c r="D927" s="63">
        <v>151.2363</v>
      </c>
      <c r="E927" s="63">
        <v>6659237</v>
      </c>
      <c r="F927" s="63" t="s">
        <v>1348</v>
      </c>
      <c r="G927" s="25">
        <f t="shared" si="12"/>
        <v>3.0068178076295249E-2</v>
      </c>
    </row>
    <row r="928" spans="1:7">
      <c r="A928" s="63">
        <v>152.18950000000001</v>
      </c>
      <c r="B928" s="63">
        <v>152.96539999999999</v>
      </c>
      <c r="C928" s="63">
        <v>149.40940000000001</v>
      </c>
      <c r="D928" s="63">
        <v>150.21369999999999</v>
      </c>
      <c r="E928" s="63">
        <v>6211356</v>
      </c>
      <c r="F928" s="63" t="s">
        <v>1347</v>
      </c>
      <c r="G928" s="25">
        <f t="shared" si="12"/>
        <v>1.3153260987513349E-2</v>
      </c>
    </row>
    <row r="929" spans="1:7">
      <c r="A929" s="63">
        <v>150.64060000000001</v>
      </c>
      <c r="B929" s="63">
        <v>153.3313</v>
      </c>
      <c r="C929" s="63">
        <v>149.74700000000001</v>
      </c>
      <c r="D929" s="63">
        <v>151.79230000000001</v>
      </c>
      <c r="E929" s="63">
        <v>6373733</v>
      </c>
      <c r="F929" s="63" t="s">
        <v>1346</v>
      </c>
      <c r="G929" s="25">
        <f t="shared" si="12"/>
        <v>-7.5873413868819961E-3</v>
      </c>
    </row>
    <row r="930" spans="1:7">
      <c r="A930" s="63">
        <v>152.5966</v>
      </c>
      <c r="B930" s="63">
        <v>157.5412</v>
      </c>
      <c r="C930" s="63">
        <v>151.87180000000001</v>
      </c>
      <c r="D930" s="63">
        <v>155.34690000000001</v>
      </c>
      <c r="E930" s="63">
        <v>7315696</v>
      </c>
      <c r="F930" s="63" t="s">
        <v>1345</v>
      </c>
      <c r="G930" s="25">
        <f t="shared" si="12"/>
        <v>-1.7704247719137034E-2</v>
      </c>
    </row>
    <row r="931" spans="1:7">
      <c r="A931" s="63">
        <v>152.43770000000001</v>
      </c>
      <c r="B931" s="63">
        <v>154.22489999999999</v>
      </c>
      <c r="C931" s="63">
        <v>149.79660000000001</v>
      </c>
      <c r="D931" s="63">
        <v>153.76820000000001</v>
      </c>
      <c r="E931" s="63">
        <v>9924037</v>
      </c>
      <c r="F931" s="63" t="s">
        <v>1344</v>
      </c>
      <c r="G931" s="25">
        <f t="shared" si="12"/>
        <v>-8.6526342897946806E-3</v>
      </c>
    </row>
    <row r="932" spans="1:7">
      <c r="A932" s="63">
        <v>155.0093</v>
      </c>
      <c r="B932" s="63">
        <v>160.06309999999999</v>
      </c>
      <c r="C932" s="63">
        <v>154.8604</v>
      </c>
      <c r="D932" s="63">
        <v>158.6532</v>
      </c>
      <c r="E932" s="63">
        <v>9166083</v>
      </c>
      <c r="F932" s="63" t="s">
        <v>1343</v>
      </c>
      <c r="G932" s="25">
        <f t="shared" si="12"/>
        <v>-2.2967705662413351E-2</v>
      </c>
    </row>
    <row r="933" spans="1:7">
      <c r="A933" s="63">
        <v>158.53399999999999</v>
      </c>
      <c r="B933" s="63">
        <v>162.68430000000001</v>
      </c>
      <c r="C933" s="63">
        <v>157.25319999999999</v>
      </c>
      <c r="D933" s="63">
        <v>160.98650000000001</v>
      </c>
      <c r="E933" s="63">
        <v>8079359</v>
      </c>
      <c r="F933" s="63" t="s">
        <v>1342</v>
      </c>
      <c r="G933" s="25">
        <f t="shared" si="12"/>
        <v>-1.5234196656241483E-2</v>
      </c>
    </row>
    <row r="934" spans="1:7">
      <c r="A934" s="63">
        <v>159.0702</v>
      </c>
      <c r="B934" s="63">
        <v>164.6353</v>
      </c>
      <c r="C934" s="63">
        <v>158.91130000000001</v>
      </c>
      <c r="D934" s="63">
        <v>163.1112</v>
      </c>
      <c r="E934" s="63">
        <v>9329900</v>
      </c>
      <c r="F934" s="63" t="s">
        <v>1341</v>
      </c>
      <c r="G934" s="25">
        <f t="shared" si="12"/>
        <v>-2.4774509659667765E-2</v>
      </c>
    </row>
    <row r="935" spans="1:7">
      <c r="A935" s="63">
        <v>164.05449999999999</v>
      </c>
      <c r="B935" s="63">
        <v>175.04570000000001</v>
      </c>
      <c r="C935" s="63">
        <v>163.4588</v>
      </c>
      <c r="D935" s="63">
        <v>172.72239999999999</v>
      </c>
      <c r="E935" s="63">
        <v>11074721</v>
      </c>
      <c r="F935" s="63" t="s">
        <v>1340</v>
      </c>
      <c r="G935" s="25">
        <f t="shared" si="12"/>
        <v>-5.0183994664270593E-2</v>
      </c>
    </row>
    <row r="936" spans="1:7">
      <c r="A936" s="63">
        <v>172.67269999999999</v>
      </c>
      <c r="B936" s="63">
        <v>172.90110000000001</v>
      </c>
      <c r="C936" s="63">
        <v>164.38210000000001</v>
      </c>
      <c r="D936" s="63">
        <v>167.38059999999999</v>
      </c>
      <c r="E936" s="63">
        <v>24025585</v>
      </c>
      <c r="F936" s="63" t="s">
        <v>1339</v>
      </c>
      <c r="G936" s="25">
        <f t="shared" si="12"/>
        <v>3.1617164713234391E-2</v>
      </c>
    </row>
    <row r="937" spans="1:7">
      <c r="A937" s="63">
        <v>178.72929999999999</v>
      </c>
      <c r="B937" s="63">
        <v>179.94069999999999</v>
      </c>
      <c r="C937" s="63">
        <v>174.8074</v>
      </c>
      <c r="D937" s="63">
        <v>175.41309999999999</v>
      </c>
      <c r="E937" s="63">
        <v>11438813</v>
      </c>
      <c r="F937" s="63" t="s">
        <v>1338</v>
      </c>
      <c r="G937" s="25">
        <f t="shared" si="12"/>
        <v>1.8905087476362992E-2</v>
      </c>
    </row>
    <row r="938" spans="1:7">
      <c r="A938" s="63">
        <v>174.74789999999999</v>
      </c>
      <c r="B938" s="63">
        <v>176.84219999999999</v>
      </c>
      <c r="C938" s="63">
        <v>173.66059999999999</v>
      </c>
      <c r="D938" s="63">
        <v>174.62870000000001</v>
      </c>
      <c r="E938" s="63">
        <v>5076836</v>
      </c>
      <c r="F938" s="63" t="s">
        <v>1337</v>
      </c>
      <c r="G938" s="25">
        <f t="shared" si="12"/>
        <v>6.8259112047441839E-4</v>
      </c>
    </row>
    <row r="939" spans="1:7">
      <c r="A939" s="63">
        <v>175.7209</v>
      </c>
      <c r="B939" s="63">
        <v>179.30520000000001</v>
      </c>
      <c r="C939" s="63">
        <v>174.8074</v>
      </c>
      <c r="D939" s="63">
        <v>178.71940000000001</v>
      </c>
      <c r="E939" s="63">
        <v>5182913</v>
      </c>
      <c r="F939" s="63" t="s">
        <v>1336</v>
      </c>
      <c r="G939" s="25">
        <f t="shared" si="12"/>
        <v>-1.6777697328885455E-2</v>
      </c>
    </row>
    <row r="940" spans="1:7">
      <c r="A940" s="63">
        <v>182.46260000000001</v>
      </c>
      <c r="B940" s="63">
        <v>184.1207</v>
      </c>
      <c r="C940" s="63">
        <v>180.28819999999999</v>
      </c>
      <c r="D940" s="63">
        <v>183.9023</v>
      </c>
      <c r="E940" s="63">
        <v>4346139</v>
      </c>
      <c r="F940" s="63" t="s">
        <v>1335</v>
      </c>
      <c r="G940" s="25">
        <f t="shared" si="12"/>
        <v>-7.8286133452381002E-3</v>
      </c>
    </row>
    <row r="941" spans="1:7">
      <c r="A941" s="63">
        <v>186.59299999999999</v>
      </c>
      <c r="B941" s="63">
        <v>187.22839999999999</v>
      </c>
      <c r="C941" s="63">
        <v>185.2824</v>
      </c>
      <c r="D941" s="63">
        <v>187.0795</v>
      </c>
      <c r="E941" s="63">
        <v>2791624</v>
      </c>
      <c r="F941" s="63" t="s">
        <v>1334</v>
      </c>
      <c r="G941" s="25">
        <f t="shared" si="12"/>
        <v>-2.6004987184593542E-3</v>
      </c>
    </row>
    <row r="942" spans="1:7">
      <c r="A942" s="63">
        <v>186.62280000000001</v>
      </c>
      <c r="B942" s="63">
        <v>188.0823</v>
      </c>
      <c r="C942" s="63">
        <v>185.14340000000001</v>
      </c>
      <c r="D942" s="63">
        <v>186.3845</v>
      </c>
      <c r="E942" s="63">
        <v>3181278</v>
      </c>
      <c r="F942" s="63" t="s">
        <v>1333</v>
      </c>
      <c r="G942" s="25">
        <f t="shared" si="12"/>
        <v>1.2785397927403963E-3</v>
      </c>
    </row>
    <row r="943" spans="1:7">
      <c r="A943" s="63">
        <v>188.24119999999999</v>
      </c>
      <c r="B943" s="63">
        <v>189.4922</v>
      </c>
      <c r="C943" s="63">
        <v>185.0342</v>
      </c>
      <c r="D943" s="63">
        <v>188.20150000000001</v>
      </c>
      <c r="E943" s="63">
        <v>3835945</v>
      </c>
      <c r="F943" s="63" t="s">
        <v>1332</v>
      </c>
      <c r="G943" s="25">
        <f t="shared" si="12"/>
        <v>2.1094412106159588E-4</v>
      </c>
    </row>
    <row r="944" spans="1:7">
      <c r="A944" s="63">
        <v>189.70070000000001</v>
      </c>
      <c r="B944" s="63">
        <v>190.73830000000001</v>
      </c>
      <c r="C944" s="63">
        <v>187.55609999999999</v>
      </c>
      <c r="D944" s="63">
        <v>187.70500000000001</v>
      </c>
      <c r="E944" s="63">
        <v>2768479</v>
      </c>
      <c r="F944" s="63" t="s">
        <v>1331</v>
      </c>
      <c r="G944" s="25">
        <f t="shared" si="12"/>
        <v>1.0632108894275571E-2</v>
      </c>
    </row>
    <row r="945" spans="1:7">
      <c r="A945" s="63">
        <v>188.53899999999999</v>
      </c>
      <c r="B945" s="63">
        <v>188.66810000000001</v>
      </c>
      <c r="C945" s="63">
        <v>184.18520000000001</v>
      </c>
      <c r="D945" s="63">
        <v>185.3022</v>
      </c>
      <c r="E945" s="63">
        <v>3846152</v>
      </c>
      <c r="F945" s="63" t="s">
        <v>1330</v>
      </c>
      <c r="G945" s="25">
        <f t="shared" si="12"/>
        <v>1.746768252076869E-2</v>
      </c>
    </row>
    <row r="946" spans="1:7">
      <c r="A946" s="63">
        <v>185.4015</v>
      </c>
      <c r="B946" s="63">
        <v>191.13050000000001</v>
      </c>
      <c r="C946" s="63">
        <v>184.99440000000001</v>
      </c>
      <c r="D946" s="63">
        <v>190.76310000000001</v>
      </c>
      <c r="E946" s="63">
        <v>4175064</v>
      </c>
      <c r="F946" s="63" t="s">
        <v>1329</v>
      </c>
      <c r="G946" s="25">
        <f t="shared" si="12"/>
        <v>-2.8106064537638642E-2</v>
      </c>
    </row>
    <row r="947" spans="1:7">
      <c r="A947" s="63">
        <v>187.2681</v>
      </c>
      <c r="B947" s="63">
        <v>188.22030000000001</v>
      </c>
      <c r="C947" s="63">
        <v>184.8852</v>
      </c>
      <c r="D947" s="63">
        <v>186.82130000000001</v>
      </c>
      <c r="E947" s="63">
        <v>4179165</v>
      </c>
      <c r="F947" s="63" t="s">
        <v>1328</v>
      </c>
      <c r="G947" s="25">
        <f t="shared" si="12"/>
        <v>2.3915902522892996E-3</v>
      </c>
    </row>
    <row r="948" spans="1:7">
      <c r="A948" s="63">
        <v>180.9435</v>
      </c>
      <c r="B948" s="63">
        <v>185.7987</v>
      </c>
      <c r="C948" s="63">
        <v>178.54069999999999</v>
      </c>
      <c r="D948" s="63">
        <v>184.97460000000001</v>
      </c>
      <c r="E948" s="63">
        <v>5851671</v>
      </c>
      <c r="F948" s="63" t="s">
        <v>1327</v>
      </c>
      <c r="G948" s="25">
        <f t="shared" si="12"/>
        <v>-2.1792721811535243E-2</v>
      </c>
    </row>
    <row r="949" spans="1:7">
      <c r="A949" s="63">
        <v>188.4</v>
      </c>
      <c r="B949" s="63">
        <v>192.9872</v>
      </c>
      <c r="C949" s="63">
        <v>187.73480000000001</v>
      </c>
      <c r="D949" s="63">
        <v>189.73050000000001</v>
      </c>
      <c r="E949" s="63">
        <v>3398638</v>
      </c>
      <c r="F949" s="63" t="s">
        <v>1326</v>
      </c>
      <c r="G949" s="25">
        <f t="shared" si="12"/>
        <v>-7.0125783677373876E-3</v>
      </c>
    </row>
    <row r="950" spans="1:7">
      <c r="A950" s="63">
        <v>188.81700000000001</v>
      </c>
      <c r="B950" s="63">
        <v>190.43549999999999</v>
      </c>
      <c r="C950" s="63">
        <v>184.9547</v>
      </c>
      <c r="D950" s="63">
        <v>185.6696</v>
      </c>
      <c r="E950" s="63">
        <v>4090307</v>
      </c>
      <c r="F950" s="63" t="s">
        <v>1325</v>
      </c>
      <c r="G950" s="25">
        <f t="shared" si="12"/>
        <v>1.6951617281450559E-2</v>
      </c>
    </row>
    <row r="951" spans="1:7">
      <c r="A951" s="63">
        <v>189.9092</v>
      </c>
      <c r="B951" s="63">
        <v>190.21700000000001</v>
      </c>
      <c r="C951" s="63">
        <v>185.9178</v>
      </c>
      <c r="D951" s="63">
        <v>187.21850000000001</v>
      </c>
      <c r="E951" s="63">
        <v>3759666</v>
      </c>
      <c r="F951" s="63" t="s">
        <v>1324</v>
      </c>
      <c r="G951" s="25">
        <f t="shared" si="12"/>
        <v>1.4371977128328606E-2</v>
      </c>
    </row>
    <row r="952" spans="1:7">
      <c r="A952" s="63">
        <v>188.30070000000001</v>
      </c>
      <c r="B952" s="63">
        <v>189.32339999999999</v>
      </c>
      <c r="C952" s="63">
        <v>184.05119999999999</v>
      </c>
      <c r="D952" s="63">
        <v>184.21010000000001</v>
      </c>
      <c r="E952" s="63">
        <v>5786256</v>
      </c>
      <c r="F952" s="63" t="s">
        <v>1323</v>
      </c>
      <c r="G952" s="25">
        <f t="shared" si="12"/>
        <v>2.2206165677126188E-2</v>
      </c>
    </row>
    <row r="953" spans="1:7">
      <c r="A953" s="63">
        <v>182.48240000000001</v>
      </c>
      <c r="B953" s="63">
        <v>183.8228</v>
      </c>
      <c r="C953" s="63">
        <v>178.15450000000001</v>
      </c>
      <c r="D953" s="63">
        <v>179.52359999999999</v>
      </c>
      <c r="E953" s="63">
        <v>4317852</v>
      </c>
      <c r="F953" s="63" t="s">
        <v>1322</v>
      </c>
      <c r="G953" s="25">
        <f t="shared" ref="G953:G1016" si="13">A953/D953-1</f>
        <v>1.648139854592956E-2</v>
      </c>
    </row>
    <row r="954" spans="1:7">
      <c r="A954" s="63">
        <v>181.6782</v>
      </c>
      <c r="B954" s="63">
        <v>183.86250000000001</v>
      </c>
      <c r="C954" s="63">
        <v>178.4811</v>
      </c>
      <c r="D954" s="63">
        <v>180.0102</v>
      </c>
      <c r="E954" s="63">
        <v>3997132</v>
      </c>
      <c r="F954" s="63" t="s">
        <v>1321</v>
      </c>
      <c r="G954" s="25">
        <f t="shared" si="13"/>
        <v>9.2661415853101392E-3</v>
      </c>
    </row>
    <row r="955" spans="1:7">
      <c r="A955" s="63">
        <v>182.71080000000001</v>
      </c>
      <c r="B955" s="63">
        <v>183.108</v>
      </c>
      <c r="C955" s="63">
        <v>178.93780000000001</v>
      </c>
      <c r="D955" s="63">
        <v>180.5265</v>
      </c>
      <c r="E955" s="63">
        <v>4751359</v>
      </c>
      <c r="F955" s="63" t="s">
        <v>1320</v>
      </c>
      <c r="G955" s="25">
        <f t="shared" si="13"/>
        <v>1.2099608644714266E-2</v>
      </c>
    </row>
    <row r="956" spans="1:7">
      <c r="A956" s="63">
        <v>180.00020000000001</v>
      </c>
      <c r="B956" s="63">
        <v>180.58600000000001</v>
      </c>
      <c r="C956" s="63">
        <v>174.67840000000001</v>
      </c>
      <c r="D956" s="63">
        <v>177.14070000000001</v>
      </c>
      <c r="E956" s="63">
        <v>4562052</v>
      </c>
      <c r="F956" s="63" t="s">
        <v>1319</v>
      </c>
      <c r="G956" s="25">
        <f t="shared" si="13"/>
        <v>1.6142535284098924E-2</v>
      </c>
    </row>
    <row r="957" spans="1:7">
      <c r="A957" s="63">
        <v>179.01730000000001</v>
      </c>
      <c r="B957" s="63">
        <v>180.93350000000001</v>
      </c>
      <c r="C957" s="63">
        <v>173.1096</v>
      </c>
      <c r="D957" s="63">
        <v>173.61600000000001</v>
      </c>
      <c r="E957" s="63">
        <v>4960877</v>
      </c>
      <c r="F957" s="63" t="s">
        <v>1318</v>
      </c>
      <c r="G957" s="25">
        <f t="shared" si="13"/>
        <v>3.1110611925168064E-2</v>
      </c>
    </row>
    <row r="958" spans="1:7">
      <c r="A958" s="63">
        <v>169.2473</v>
      </c>
      <c r="B958" s="63">
        <v>175.8698</v>
      </c>
      <c r="C958" s="63">
        <v>168.55240000000001</v>
      </c>
      <c r="D958" s="63">
        <v>175.85</v>
      </c>
      <c r="E958" s="63">
        <v>3886477</v>
      </c>
      <c r="F958" s="63" t="s">
        <v>1317</v>
      </c>
      <c r="G958" s="25">
        <f t="shared" si="13"/>
        <v>-3.7547341484219454E-2</v>
      </c>
    </row>
    <row r="959" spans="1:7">
      <c r="A959" s="63">
        <v>176.02869999999999</v>
      </c>
      <c r="B959" s="63">
        <v>180.6952</v>
      </c>
      <c r="C959" s="63">
        <v>173.82939999999999</v>
      </c>
      <c r="D959" s="63">
        <v>180.53639999999999</v>
      </c>
      <c r="E959" s="63">
        <v>4407891</v>
      </c>
      <c r="F959" s="63" t="s">
        <v>1316</v>
      </c>
      <c r="G959" s="25">
        <f t="shared" si="13"/>
        <v>-2.4968372029130936E-2</v>
      </c>
    </row>
    <row r="960" spans="1:7">
      <c r="A960" s="63">
        <v>181.17179999999999</v>
      </c>
      <c r="B960" s="63">
        <v>186.22559999999999</v>
      </c>
      <c r="C960" s="63">
        <v>179.64279999999999</v>
      </c>
      <c r="D960" s="63">
        <v>183.7533</v>
      </c>
      <c r="E960" s="63">
        <v>3804734</v>
      </c>
      <c r="F960" s="63" t="s">
        <v>1315</v>
      </c>
      <c r="G960" s="25">
        <f t="shared" si="13"/>
        <v>-1.4048727288162977E-2</v>
      </c>
    </row>
    <row r="961" spans="1:7">
      <c r="A961" s="63">
        <v>184.03129999999999</v>
      </c>
      <c r="B961" s="63">
        <v>184.21010000000001</v>
      </c>
      <c r="C961" s="63">
        <v>178.6251</v>
      </c>
      <c r="D961" s="63">
        <v>179.37469999999999</v>
      </c>
      <c r="E961" s="63">
        <v>3885958</v>
      </c>
      <c r="F961" s="63" t="s">
        <v>1314</v>
      </c>
      <c r="G961" s="25">
        <f t="shared" si="13"/>
        <v>2.5960182790549569E-2</v>
      </c>
    </row>
    <row r="962" spans="1:7">
      <c r="A962" s="63">
        <v>181.15199999999999</v>
      </c>
      <c r="B962" s="63">
        <v>182.1944</v>
      </c>
      <c r="C962" s="63">
        <v>174.36060000000001</v>
      </c>
      <c r="D962" s="63">
        <v>174.84710000000001</v>
      </c>
      <c r="E962" s="63">
        <v>5654028</v>
      </c>
      <c r="F962" s="63" t="s">
        <v>1313</v>
      </c>
      <c r="G962" s="25">
        <f t="shared" si="13"/>
        <v>3.6059505705270389E-2</v>
      </c>
    </row>
    <row r="963" spans="1:7">
      <c r="A963" s="63">
        <v>172.57339999999999</v>
      </c>
      <c r="B963" s="63">
        <v>172.8614</v>
      </c>
      <c r="C963" s="63">
        <v>166.61609999999999</v>
      </c>
      <c r="D963" s="63">
        <v>169.70400000000001</v>
      </c>
      <c r="E963" s="63">
        <v>4373417</v>
      </c>
      <c r="F963" s="63" t="s">
        <v>1312</v>
      </c>
      <c r="G963" s="25">
        <f t="shared" si="13"/>
        <v>1.690826380049959E-2</v>
      </c>
    </row>
    <row r="964" spans="1:7">
      <c r="A964" s="63">
        <v>166.69560000000001</v>
      </c>
      <c r="B964" s="63">
        <v>171.4118</v>
      </c>
      <c r="C964" s="63">
        <v>165.9211</v>
      </c>
      <c r="D964" s="63">
        <v>167.74799999999999</v>
      </c>
      <c r="E964" s="63">
        <v>3818189</v>
      </c>
      <c r="F964" s="63" t="s">
        <v>1311</v>
      </c>
      <c r="G964" s="25">
        <f t="shared" si="13"/>
        <v>-6.2736962586735778E-3</v>
      </c>
    </row>
    <row r="965" spans="1:7">
      <c r="A965" s="63">
        <v>166.1892</v>
      </c>
      <c r="B965" s="63">
        <v>166.41749999999999</v>
      </c>
      <c r="C965" s="63">
        <v>161.0659</v>
      </c>
      <c r="D965" s="63">
        <v>162.5453</v>
      </c>
      <c r="E965" s="63">
        <v>6037651</v>
      </c>
      <c r="F965" s="63" t="s">
        <v>1310</v>
      </c>
      <c r="G965" s="25">
        <f t="shared" si="13"/>
        <v>2.2417750620903787E-2</v>
      </c>
    </row>
    <row r="966" spans="1:7">
      <c r="A966" s="63">
        <v>159.89429999999999</v>
      </c>
      <c r="B966" s="63">
        <v>160.55950000000001</v>
      </c>
      <c r="C966" s="63">
        <v>156.5284</v>
      </c>
      <c r="D966" s="63">
        <v>159.8844</v>
      </c>
      <c r="E966" s="63">
        <v>6096089</v>
      </c>
      <c r="F966" s="63" t="s">
        <v>1309</v>
      </c>
      <c r="G966" s="25">
        <f t="shared" si="13"/>
        <v>6.191973700997444E-5</v>
      </c>
    </row>
    <row r="967" spans="1:7">
      <c r="A967" s="63">
        <v>162.32689999999999</v>
      </c>
      <c r="B967" s="63">
        <v>164.6601</v>
      </c>
      <c r="C967" s="63">
        <v>160.02340000000001</v>
      </c>
      <c r="D967" s="63">
        <v>161.25450000000001</v>
      </c>
      <c r="E967" s="63">
        <v>6225916</v>
      </c>
      <c r="F967" s="63" t="s">
        <v>1308</v>
      </c>
      <c r="G967" s="25">
        <f t="shared" si="13"/>
        <v>6.6503570442995041E-3</v>
      </c>
    </row>
    <row r="968" spans="1:7">
      <c r="A968" s="63">
        <v>165.14670000000001</v>
      </c>
      <c r="B968" s="63">
        <v>172.1465</v>
      </c>
      <c r="C968" s="63">
        <v>163.1807</v>
      </c>
      <c r="D968" s="63">
        <v>170.98480000000001</v>
      </c>
      <c r="E968" s="63">
        <v>7072984</v>
      </c>
      <c r="F968" s="63" t="s">
        <v>1307</v>
      </c>
      <c r="G968" s="25">
        <f t="shared" si="13"/>
        <v>-3.4143970692131709E-2</v>
      </c>
    </row>
    <row r="969" spans="1:7">
      <c r="A969" s="63">
        <v>173.11949999999999</v>
      </c>
      <c r="B969" s="63">
        <v>175.06559999999999</v>
      </c>
      <c r="C969" s="63">
        <v>170.04159999999999</v>
      </c>
      <c r="D969" s="63">
        <v>172.7621</v>
      </c>
      <c r="E969" s="63">
        <v>3697537</v>
      </c>
      <c r="F969" s="63" t="s">
        <v>1306</v>
      </c>
      <c r="G969" s="25">
        <f t="shared" si="13"/>
        <v>2.0687407712685069E-3</v>
      </c>
    </row>
    <row r="970" spans="1:7">
      <c r="A970" s="63">
        <v>174.25139999999999</v>
      </c>
      <c r="B970" s="63">
        <v>175.3535</v>
      </c>
      <c r="C970" s="63">
        <v>171.6103</v>
      </c>
      <c r="D970" s="63">
        <v>172.8117</v>
      </c>
      <c r="E970" s="63">
        <v>2869242</v>
      </c>
      <c r="F970" s="63" t="s">
        <v>1305</v>
      </c>
      <c r="G970" s="25">
        <f t="shared" si="13"/>
        <v>8.331033141853128E-3</v>
      </c>
    </row>
    <row r="971" spans="1:7">
      <c r="A971" s="63">
        <v>175.38329999999999</v>
      </c>
      <c r="B971" s="63">
        <v>175.68039999999999</v>
      </c>
      <c r="C971" s="63">
        <v>171.93799999999999</v>
      </c>
      <c r="D971" s="63">
        <v>172.93090000000001</v>
      </c>
      <c r="E971" s="63">
        <v>4000121</v>
      </c>
      <c r="F971" s="63" t="s">
        <v>1304</v>
      </c>
      <c r="G971" s="25">
        <f t="shared" si="13"/>
        <v>1.4181386900779414E-2</v>
      </c>
    </row>
    <row r="972" spans="1:7">
      <c r="A972" s="63">
        <v>171.50110000000001</v>
      </c>
      <c r="B972" s="63">
        <v>173.81450000000001</v>
      </c>
      <c r="C972" s="63">
        <v>169.6146</v>
      </c>
      <c r="D972" s="63">
        <v>172.28550000000001</v>
      </c>
      <c r="E972" s="63">
        <v>4085109</v>
      </c>
      <c r="F972" s="63" t="s">
        <v>1303</v>
      </c>
      <c r="G972" s="25">
        <f t="shared" si="13"/>
        <v>-4.5529078187079852E-3</v>
      </c>
    </row>
    <row r="973" spans="1:7">
      <c r="A973" s="63">
        <v>170.97489999999999</v>
      </c>
      <c r="B973" s="63">
        <v>171.12379999999999</v>
      </c>
      <c r="C973" s="63">
        <v>163.43889999999999</v>
      </c>
      <c r="D973" s="63">
        <v>164.91829999999999</v>
      </c>
      <c r="E973" s="63">
        <v>4618069</v>
      </c>
      <c r="F973" s="63" t="s">
        <v>1302</v>
      </c>
      <c r="G973" s="25">
        <f t="shared" si="13"/>
        <v>3.6724851032299055E-2</v>
      </c>
    </row>
    <row r="974" spans="1:7">
      <c r="A974" s="63">
        <v>167.0034</v>
      </c>
      <c r="B974" s="63">
        <v>167.94659999999999</v>
      </c>
      <c r="C974" s="63">
        <v>162.88290000000001</v>
      </c>
      <c r="D974" s="63">
        <v>163.58779999999999</v>
      </c>
      <c r="E974" s="63">
        <v>4561576</v>
      </c>
      <c r="F974" s="63" t="s">
        <v>1301</v>
      </c>
      <c r="G974" s="25">
        <f t="shared" si="13"/>
        <v>2.087930762562995E-2</v>
      </c>
    </row>
    <row r="975" spans="1:7">
      <c r="A975" s="63">
        <v>163.86580000000001</v>
      </c>
      <c r="B975" s="63">
        <v>166.3083</v>
      </c>
      <c r="C975" s="63">
        <v>159.96379999999999</v>
      </c>
      <c r="D975" s="63">
        <v>163.8758</v>
      </c>
      <c r="E975" s="63">
        <v>9539418</v>
      </c>
      <c r="F975" s="63" t="s">
        <v>1300</v>
      </c>
      <c r="G975" s="25">
        <f t="shared" si="13"/>
        <v>-6.1021822624129918E-5</v>
      </c>
    </row>
    <row r="976" spans="1:7">
      <c r="A976" s="63">
        <v>169.39619999999999</v>
      </c>
      <c r="B976" s="63">
        <v>172.5437</v>
      </c>
      <c r="C976" s="63">
        <v>166.86429999999999</v>
      </c>
      <c r="D976" s="63">
        <v>171.27279999999999</v>
      </c>
      <c r="E976" s="63">
        <v>5430441</v>
      </c>
      <c r="F976" s="63" t="s">
        <v>1299</v>
      </c>
      <c r="G976" s="25">
        <f t="shared" si="13"/>
        <v>-1.0956789402637224E-2</v>
      </c>
    </row>
    <row r="977" spans="1:7">
      <c r="A977" s="63">
        <v>170.24019999999999</v>
      </c>
      <c r="B977" s="63">
        <v>181.03280000000001</v>
      </c>
      <c r="C977" s="63">
        <v>170.22030000000001</v>
      </c>
      <c r="D977" s="63">
        <v>179.00729999999999</v>
      </c>
      <c r="E977" s="63">
        <v>6682362</v>
      </c>
      <c r="F977" s="63" t="s">
        <v>1298</v>
      </c>
      <c r="G977" s="25">
        <f t="shared" si="13"/>
        <v>-4.8976214936485851E-2</v>
      </c>
    </row>
    <row r="978" spans="1:7">
      <c r="A978" s="63">
        <v>180.02010000000001</v>
      </c>
      <c r="B978" s="63">
        <v>185.2526</v>
      </c>
      <c r="C978" s="63">
        <v>179.1875</v>
      </c>
      <c r="D978" s="63">
        <v>184.7859</v>
      </c>
      <c r="E978" s="63">
        <v>6170845</v>
      </c>
      <c r="F978" s="63" t="s">
        <v>1297</v>
      </c>
      <c r="G978" s="25">
        <f t="shared" si="13"/>
        <v>-2.579092885333778E-2</v>
      </c>
    </row>
    <row r="979" spans="1:7">
      <c r="A979" s="63">
        <v>184.59729999999999</v>
      </c>
      <c r="B979" s="63">
        <v>185.0788</v>
      </c>
      <c r="C979" s="63">
        <v>175.29390000000001</v>
      </c>
      <c r="D979" s="63">
        <v>176.4556</v>
      </c>
      <c r="E979" s="63">
        <v>12107108</v>
      </c>
      <c r="F979" s="63" t="s">
        <v>1296</v>
      </c>
      <c r="G979" s="25">
        <f t="shared" si="13"/>
        <v>4.6140218842587011E-2</v>
      </c>
    </row>
    <row r="980" spans="1:7">
      <c r="A980" s="63">
        <v>171.81880000000001</v>
      </c>
      <c r="B980" s="63">
        <v>172.15629999999999</v>
      </c>
      <c r="C980" s="63">
        <v>165.93100000000001</v>
      </c>
      <c r="D980" s="63">
        <v>167.887</v>
      </c>
      <c r="E980" s="63">
        <v>7257956</v>
      </c>
      <c r="F980" s="63" t="s">
        <v>1295</v>
      </c>
      <c r="G980" s="25">
        <f t="shared" si="13"/>
        <v>2.3419323711782347E-2</v>
      </c>
    </row>
    <row r="981" spans="1:7">
      <c r="A981" s="63">
        <v>166.2587</v>
      </c>
      <c r="B981" s="63">
        <v>169.2373</v>
      </c>
      <c r="C981" s="63">
        <v>163.04169999999999</v>
      </c>
      <c r="D981" s="63">
        <v>163.5283</v>
      </c>
      <c r="E981" s="63">
        <v>5865254</v>
      </c>
      <c r="F981" s="63" t="s">
        <v>1294</v>
      </c>
      <c r="G981" s="25">
        <f t="shared" si="13"/>
        <v>1.6696804161726142E-2</v>
      </c>
    </row>
    <row r="982" spans="1:7">
      <c r="A982" s="63">
        <v>165.6431</v>
      </c>
      <c r="B982" s="63">
        <v>168.14519999999999</v>
      </c>
      <c r="C982" s="63">
        <v>163.7268</v>
      </c>
      <c r="D982" s="63">
        <v>163.8758</v>
      </c>
      <c r="E982" s="63">
        <v>6736788</v>
      </c>
      <c r="F982" s="63" t="s">
        <v>1293</v>
      </c>
      <c r="G982" s="25">
        <f t="shared" si="13"/>
        <v>1.0784386712376026E-2</v>
      </c>
    </row>
    <row r="983" spans="1:7">
      <c r="A983" s="63">
        <v>162.0985</v>
      </c>
      <c r="B983" s="63">
        <v>165.04740000000001</v>
      </c>
      <c r="C983" s="63">
        <v>157.04470000000001</v>
      </c>
      <c r="D983" s="63">
        <v>157.43190000000001</v>
      </c>
      <c r="E983" s="63">
        <v>13074626</v>
      </c>
      <c r="F983" s="63" t="s">
        <v>1292</v>
      </c>
      <c r="G983" s="25">
        <f t="shared" si="13"/>
        <v>2.9642022995339579E-2</v>
      </c>
    </row>
    <row r="984" spans="1:7">
      <c r="A984" s="63">
        <v>158.71279999999999</v>
      </c>
      <c r="B984" s="63">
        <v>165.71260000000001</v>
      </c>
      <c r="C984" s="63">
        <v>157.4915</v>
      </c>
      <c r="D984" s="63">
        <v>162.5652</v>
      </c>
      <c r="E984" s="63">
        <v>8090882</v>
      </c>
      <c r="F984" s="63" t="s">
        <v>1291</v>
      </c>
      <c r="G984" s="25">
        <f t="shared" si="13"/>
        <v>-2.3697568729346807E-2</v>
      </c>
    </row>
    <row r="985" spans="1:7">
      <c r="A985" s="63">
        <v>167.3509</v>
      </c>
      <c r="B985" s="63">
        <v>170.2799</v>
      </c>
      <c r="C985" s="63">
        <v>163.50839999999999</v>
      </c>
      <c r="D985" s="63">
        <v>165.5438</v>
      </c>
      <c r="E985" s="63">
        <v>7740676</v>
      </c>
      <c r="F985" s="63" t="s">
        <v>1290</v>
      </c>
      <c r="G985" s="25">
        <f t="shared" si="13"/>
        <v>1.091614424702092E-2</v>
      </c>
    </row>
    <row r="986" spans="1:7">
      <c r="A986" s="63">
        <v>163.28</v>
      </c>
      <c r="B986" s="63">
        <v>168.42320000000001</v>
      </c>
      <c r="C986" s="63">
        <v>160.99639999999999</v>
      </c>
      <c r="D986" s="63">
        <v>167.52959999999999</v>
      </c>
      <c r="E986" s="63">
        <v>8576172</v>
      </c>
      <c r="F986" s="63" t="s">
        <v>1289</v>
      </c>
      <c r="G986" s="25">
        <f t="shared" si="13"/>
        <v>-2.5366263633411545E-2</v>
      </c>
    </row>
    <row r="987" spans="1:7">
      <c r="A987" s="63">
        <v>164.84880000000001</v>
      </c>
      <c r="B987" s="63">
        <v>171.45150000000001</v>
      </c>
      <c r="C987" s="63">
        <v>163.88570000000001</v>
      </c>
      <c r="D987" s="63">
        <v>169.3366</v>
      </c>
      <c r="E987" s="63">
        <v>10726191</v>
      </c>
      <c r="F987" s="63" t="s">
        <v>1288</v>
      </c>
      <c r="G987" s="25">
        <f t="shared" si="13"/>
        <v>-2.6502244641737227E-2</v>
      </c>
    </row>
    <row r="988" spans="1:7">
      <c r="A988" s="63">
        <v>177.18039999999999</v>
      </c>
      <c r="B988" s="63">
        <v>182.6413</v>
      </c>
      <c r="C988" s="63">
        <v>175.94370000000001</v>
      </c>
      <c r="D988" s="63">
        <v>182.3236</v>
      </c>
      <c r="E988" s="63">
        <v>7857553</v>
      </c>
      <c r="F988" s="63" t="s">
        <v>1287</v>
      </c>
      <c r="G988" s="25">
        <f t="shared" si="13"/>
        <v>-2.8209184110011054E-2</v>
      </c>
    </row>
    <row r="989" spans="1:7">
      <c r="A989" s="63">
        <v>185.77879999999999</v>
      </c>
      <c r="B989" s="63">
        <v>191.3091</v>
      </c>
      <c r="C989" s="63">
        <v>185.2824</v>
      </c>
      <c r="D989" s="63">
        <v>187.18870000000001</v>
      </c>
      <c r="E989" s="63">
        <v>8486282</v>
      </c>
      <c r="F989" s="63" t="s">
        <v>1286</v>
      </c>
      <c r="G989" s="25">
        <f t="shared" si="13"/>
        <v>-7.5319717482947857E-3</v>
      </c>
    </row>
    <row r="990" spans="1:7">
      <c r="A990" s="63">
        <v>187.84399999999999</v>
      </c>
      <c r="B990" s="63">
        <v>189.20419999999999</v>
      </c>
      <c r="C990" s="63">
        <v>184.0711</v>
      </c>
      <c r="D990" s="63">
        <v>185.6696</v>
      </c>
      <c r="E990" s="63">
        <v>6226152</v>
      </c>
      <c r="F990" s="63" t="s">
        <v>1285</v>
      </c>
      <c r="G990" s="25">
        <f t="shared" si="13"/>
        <v>1.171112556929077E-2</v>
      </c>
    </row>
    <row r="991" spans="1:7">
      <c r="A991" s="63">
        <v>185.8185</v>
      </c>
      <c r="B991" s="63">
        <v>187.25819999999999</v>
      </c>
      <c r="C991" s="63">
        <v>180.41720000000001</v>
      </c>
      <c r="D991" s="63">
        <v>180.41720000000001</v>
      </c>
      <c r="E991" s="63">
        <v>6331089</v>
      </c>
      <c r="F991" s="63" t="s">
        <v>1284</v>
      </c>
      <c r="G991" s="25">
        <f t="shared" si="13"/>
        <v>2.9937832978230494E-2</v>
      </c>
    </row>
    <row r="992" spans="1:7">
      <c r="A992" s="63">
        <v>181.56899999999999</v>
      </c>
      <c r="B992" s="63">
        <v>189.06530000000001</v>
      </c>
      <c r="C992" s="63">
        <v>180.40729999999999</v>
      </c>
      <c r="D992" s="63">
        <v>187.58590000000001</v>
      </c>
      <c r="E992" s="63">
        <v>5811718</v>
      </c>
      <c r="F992" s="63" t="s">
        <v>1283</v>
      </c>
      <c r="G992" s="25">
        <f t="shared" si="13"/>
        <v>-3.2075438505772658E-2</v>
      </c>
    </row>
    <row r="993" spans="1:7">
      <c r="A993" s="63">
        <v>183.59450000000001</v>
      </c>
      <c r="B993" s="63">
        <v>188.29079999999999</v>
      </c>
      <c r="C993" s="63">
        <v>182.4924</v>
      </c>
      <c r="D993" s="63">
        <v>183.68379999999999</v>
      </c>
      <c r="E993" s="63">
        <v>9223960</v>
      </c>
      <c r="F993" s="63" t="s">
        <v>1282</v>
      </c>
      <c r="G993" s="25">
        <f t="shared" si="13"/>
        <v>-4.8616154500280562E-4</v>
      </c>
    </row>
    <row r="994" spans="1:7">
      <c r="A994" s="63">
        <v>187.05959999999999</v>
      </c>
      <c r="B994" s="63">
        <v>188.7773</v>
      </c>
      <c r="C994" s="63">
        <v>173.4571</v>
      </c>
      <c r="D994" s="63">
        <v>173.755</v>
      </c>
      <c r="E994" s="63">
        <v>19231217</v>
      </c>
      <c r="F994" s="63" t="s">
        <v>1281</v>
      </c>
      <c r="G994" s="25">
        <f t="shared" si="13"/>
        <v>7.6571033927081089E-2</v>
      </c>
    </row>
    <row r="995" spans="1:7">
      <c r="A995" s="63">
        <v>174.81739999999999</v>
      </c>
      <c r="B995" s="63">
        <v>183.108</v>
      </c>
      <c r="C995" s="63">
        <v>173.12950000000001</v>
      </c>
      <c r="D995" s="63">
        <v>176.74359999999999</v>
      </c>
      <c r="E995" s="63">
        <v>37037406</v>
      </c>
      <c r="F995" s="63" t="s">
        <v>1280</v>
      </c>
      <c r="G995" s="25">
        <f t="shared" si="13"/>
        <v>-1.0898272978484003E-2</v>
      </c>
    </row>
    <row r="996" spans="1:7">
      <c r="A996" s="63">
        <v>159.1</v>
      </c>
      <c r="B996" s="63">
        <v>166.0899</v>
      </c>
      <c r="C996" s="63">
        <v>158.21629999999999</v>
      </c>
      <c r="D996" s="63">
        <v>165.7722</v>
      </c>
      <c r="E996" s="63">
        <v>18114610</v>
      </c>
      <c r="F996" s="63" t="s">
        <v>1279</v>
      </c>
      <c r="G996" s="25">
        <f t="shared" si="13"/>
        <v>-4.0249209457315582E-2</v>
      </c>
    </row>
    <row r="997" spans="1:7">
      <c r="A997" s="63">
        <v>163.9254</v>
      </c>
      <c r="B997" s="63">
        <v>164.05449999999999</v>
      </c>
      <c r="C997" s="63">
        <v>159.10990000000001</v>
      </c>
      <c r="D997" s="63">
        <v>159.52690000000001</v>
      </c>
      <c r="E997" s="63">
        <v>7883615</v>
      </c>
      <c r="F997" s="63" t="s">
        <v>1278</v>
      </c>
      <c r="G997" s="25">
        <f t="shared" si="13"/>
        <v>2.7572152408151807E-2</v>
      </c>
    </row>
    <row r="998" spans="1:7">
      <c r="A998" s="63">
        <v>161.30420000000001</v>
      </c>
      <c r="B998" s="63">
        <v>162.52539999999999</v>
      </c>
      <c r="C998" s="63">
        <v>156.44900000000001</v>
      </c>
      <c r="D998" s="63">
        <v>158.5539</v>
      </c>
      <c r="E998" s="63">
        <v>6697678</v>
      </c>
      <c r="F998" s="63" t="s">
        <v>1277</v>
      </c>
      <c r="G998" s="25">
        <f t="shared" si="13"/>
        <v>1.7346151687218203E-2</v>
      </c>
    </row>
    <row r="999" spans="1:7">
      <c r="A999" s="63">
        <v>158.51419999999999</v>
      </c>
      <c r="B999" s="63">
        <v>160.73820000000001</v>
      </c>
      <c r="C999" s="63">
        <v>154.215</v>
      </c>
      <c r="D999" s="63">
        <v>154.215</v>
      </c>
      <c r="E999" s="63">
        <v>7436776</v>
      </c>
      <c r="F999" s="63" t="s">
        <v>1276</v>
      </c>
      <c r="G999" s="25">
        <f t="shared" si="13"/>
        <v>2.7877962584702987E-2</v>
      </c>
    </row>
    <row r="1000" spans="1:7">
      <c r="A1000" s="63">
        <v>155.8135</v>
      </c>
      <c r="B1000" s="63">
        <v>157.26310000000001</v>
      </c>
      <c r="C1000" s="63">
        <v>153.45050000000001</v>
      </c>
      <c r="D1000" s="63">
        <v>156.64760000000001</v>
      </c>
      <c r="E1000" s="63">
        <v>6928394</v>
      </c>
      <c r="F1000" s="63" t="s">
        <v>1275</v>
      </c>
      <c r="G1000" s="25">
        <f t="shared" si="13"/>
        <v>-5.324690579364133E-3</v>
      </c>
    </row>
    <row r="1001" spans="1:7">
      <c r="A1001" s="63">
        <v>159.17939999999999</v>
      </c>
      <c r="B1001" s="63">
        <v>159.5865</v>
      </c>
      <c r="C1001" s="63">
        <v>154.80080000000001</v>
      </c>
      <c r="D1001" s="63">
        <v>158.7028</v>
      </c>
      <c r="E1001" s="63">
        <v>6148844</v>
      </c>
      <c r="F1001" s="63" t="s">
        <v>1274</v>
      </c>
      <c r="G1001" s="25">
        <f t="shared" si="13"/>
        <v>3.0030976139046039E-3</v>
      </c>
    </row>
    <row r="1002" spans="1:7">
      <c r="A1002" s="63">
        <v>158.51419999999999</v>
      </c>
      <c r="B1002" s="63">
        <v>159.5865</v>
      </c>
      <c r="C1002" s="63">
        <v>153.45050000000001</v>
      </c>
      <c r="D1002" s="63">
        <v>157.61070000000001</v>
      </c>
      <c r="E1002" s="63">
        <v>9068740</v>
      </c>
      <c r="F1002" s="63" t="s">
        <v>1273</v>
      </c>
      <c r="G1002" s="25">
        <f t="shared" si="13"/>
        <v>5.7324788228210188E-3</v>
      </c>
    </row>
    <row r="1003" spans="1:7">
      <c r="A1003" s="63">
        <v>154.49299999999999</v>
      </c>
      <c r="B1003" s="63">
        <v>158.11699999999999</v>
      </c>
      <c r="C1003" s="63">
        <v>153.6292</v>
      </c>
      <c r="D1003" s="63">
        <v>154.12559999999999</v>
      </c>
      <c r="E1003" s="63">
        <v>8382193</v>
      </c>
      <c r="F1003" s="63" t="s">
        <v>1272</v>
      </c>
      <c r="G1003" s="25">
        <f t="shared" si="13"/>
        <v>2.383770119954054E-3</v>
      </c>
    </row>
    <row r="1004" spans="1:7">
      <c r="A1004" s="63">
        <v>156.2107</v>
      </c>
      <c r="B1004" s="63">
        <v>163.34950000000001</v>
      </c>
      <c r="C1004" s="63">
        <v>155.0788</v>
      </c>
      <c r="D1004" s="63">
        <v>161.66159999999999</v>
      </c>
      <c r="E1004" s="63">
        <v>7454376</v>
      </c>
      <c r="F1004" s="63" t="s">
        <v>1271</v>
      </c>
      <c r="G1004" s="25">
        <f t="shared" si="13"/>
        <v>-3.3717963944436935E-2</v>
      </c>
    </row>
    <row r="1005" spans="1:7">
      <c r="A1005" s="63">
        <v>162.5652</v>
      </c>
      <c r="B1005" s="63">
        <v>167.89689999999999</v>
      </c>
      <c r="C1005" s="63">
        <v>157.14400000000001</v>
      </c>
      <c r="D1005" s="63">
        <v>166.1395</v>
      </c>
      <c r="E1005" s="63">
        <v>7317728</v>
      </c>
      <c r="F1005" s="63" t="s">
        <v>1270</v>
      </c>
      <c r="G1005" s="25">
        <f t="shared" si="13"/>
        <v>-2.1513848302179728E-2</v>
      </c>
    </row>
    <row r="1006" spans="1:7">
      <c r="A1006" s="63">
        <v>162.95240000000001</v>
      </c>
      <c r="B1006" s="63">
        <v>164.9282</v>
      </c>
      <c r="C1006" s="63">
        <v>160.72829999999999</v>
      </c>
      <c r="D1006" s="63">
        <v>163.56800000000001</v>
      </c>
      <c r="E1006" s="63">
        <v>5065837</v>
      </c>
      <c r="F1006" s="63" t="s">
        <v>1269</v>
      </c>
      <c r="G1006" s="25">
        <f t="shared" si="13"/>
        <v>-3.7635723368873997E-3</v>
      </c>
    </row>
    <row r="1007" spans="1:7">
      <c r="A1007" s="63">
        <v>165.7225</v>
      </c>
      <c r="B1007" s="63">
        <v>167.47989999999999</v>
      </c>
      <c r="C1007" s="63">
        <v>160.85740000000001</v>
      </c>
      <c r="D1007" s="63">
        <v>162.38640000000001</v>
      </c>
      <c r="E1007" s="63">
        <v>6499749</v>
      </c>
      <c r="F1007" s="63" t="s">
        <v>1268</v>
      </c>
      <c r="G1007" s="25">
        <f t="shared" si="13"/>
        <v>2.0544208135656605E-2</v>
      </c>
    </row>
    <row r="1008" spans="1:7">
      <c r="A1008" s="63">
        <v>159.27869999999999</v>
      </c>
      <c r="B1008" s="63">
        <v>165.66300000000001</v>
      </c>
      <c r="C1008" s="63">
        <v>153.53980000000001</v>
      </c>
      <c r="D1008" s="63">
        <v>155.8135</v>
      </c>
      <c r="E1008" s="63">
        <v>10187549</v>
      </c>
      <c r="F1008" s="63" t="s">
        <v>1267</v>
      </c>
      <c r="G1008" s="25">
        <f t="shared" si="13"/>
        <v>2.2239408010217288E-2</v>
      </c>
    </row>
    <row r="1009" spans="1:7">
      <c r="A1009" s="63">
        <v>160.12270000000001</v>
      </c>
      <c r="B1009" s="63">
        <v>168.77070000000001</v>
      </c>
      <c r="C1009" s="63">
        <v>159.6858</v>
      </c>
      <c r="D1009" s="63">
        <v>164.32259999999999</v>
      </c>
      <c r="E1009" s="63">
        <v>7220076</v>
      </c>
      <c r="F1009" s="63" t="s">
        <v>1266</v>
      </c>
      <c r="G1009" s="25">
        <f t="shared" si="13"/>
        <v>-2.5558870173670534E-2</v>
      </c>
    </row>
    <row r="1010" spans="1:7">
      <c r="A1010" s="63">
        <v>165.96080000000001</v>
      </c>
      <c r="B1010" s="63">
        <v>170.04159999999999</v>
      </c>
      <c r="C1010" s="63">
        <v>162.11340000000001</v>
      </c>
      <c r="D1010" s="63">
        <v>166.22890000000001</v>
      </c>
      <c r="E1010" s="63">
        <v>8598717</v>
      </c>
      <c r="F1010" s="63" t="s">
        <v>1265</v>
      </c>
      <c r="G1010" s="25">
        <f t="shared" si="13"/>
        <v>-1.6128362757619197E-3</v>
      </c>
    </row>
    <row r="1011" spans="1:7">
      <c r="A1011" s="63">
        <v>162.43610000000001</v>
      </c>
      <c r="B1011" s="63">
        <v>169.077</v>
      </c>
      <c r="C1011" s="63">
        <v>160.97649999999999</v>
      </c>
      <c r="D1011" s="63">
        <v>165.53389999999999</v>
      </c>
      <c r="E1011" s="63">
        <v>9997769</v>
      </c>
      <c r="F1011" s="63" t="s">
        <v>1264</v>
      </c>
      <c r="G1011" s="25">
        <f t="shared" si="13"/>
        <v>-1.8713991514728856E-2</v>
      </c>
    </row>
    <row r="1012" spans="1:7">
      <c r="A1012" s="63">
        <v>168.49270000000001</v>
      </c>
      <c r="B1012" s="63">
        <v>171.20330000000001</v>
      </c>
      <c r="C1012" s="63">
        <v>164.40199999999999</v>
      </c>
      <c r="D1012" s="63">
        <v>168.2842</v>
      </c>
      <c r="E1012" s="63">
        <v>7232666</v>
      </c>
      <c r="F1012" s="63" t="s">
        <v>1263</v>
      </c>
      <c r="G1012" s="25">
        <f t="shared" si="13"/>
        <v>1.2389754950257181E-3</v>
      </c>
    </row>
    <row r="1013" spans="1:7">
      <c r="A1013" s="63">
        <v>171.07419999999999</v>
      </c>
      <c r="B1013" s="63">
        <v>180.9385</v>
      </c>
      <c r="C1013" s="63">
        <v>168.61179999999999</v>
      </c>
      <c r="D1013" s="63">
        <v>179.20590000000001</v>
      </c>
      <c r="E1013" s="63">
        <v>8379395</v>
      </c>
      <c r="F1013" s="63" t="s">
        <v>1262</v>
      </c>
      <c r="G1013" s="25">
        <f t="shared" si="13"/>
        <v>-4.5376296204533539E-2</v>
      </c>
    </row>
    <row r="1014" spans="1:7">
      <c r="A1014" s="63">
        <v>184.16040000000001</v>
      </c>
      <c r="B1014" s="63">
        <v>184.65690000000001</v>
      </c>
      <c r="C1014" s="63">
        <v>173.49680000000001</v>
      </c>
      <c r="D1014" s="63">
        <v>178.4315</v>
      </c>
      <c r="E1014" s="63">
        <v>7563074</v>
      </c>
      <c r="F1014" s="63" t="s">
        <v>1261</v>
      </c>
      <c r="G1014" s="25">
        <f t="shared" si="13"/>
        <v>3.2106999044451356E-2</v>
      </c>
    </row>
    <row r="1015" spans="1:7">
      <c r="A1015" s="63">
        <v>177.09110000000001</v>
      </c>
      <c r="B1015" s="63">
        <v>179.10169999999999</v>
      </c>
      <c r="C1015" s="63">
        <v>174.87690000000001</v>
      </c>
      <c r="D1015" s="63">
        <v>175.69110000000001</v>
      </c>
      <c r="E1015" s="63">
        <v>5047686</v>
      </c>
      <c r="F1015" s="63" t="s">
        <v>1260</v>
      </c>
      <c r="G1015" s="25">
        <f t="shared" si="13"/>
        <v>7.9685311321973096E-3</v>
      </c>
    </row>
    <row r="1016" spans="1:7">
      <c r="A1016" s="63">
        <v>176.30670000000001</v>
      </c>
      <c r="B1016" s="63">
        <v>176.51519999999999</v>
      </c>
      <c r="C1016" s="63">
        <v>171.88829999999999</v>
      </c>
      <c r="D1016" s="63">
        <v>173.8443</v>
      </c>
      <c r="E1016" s="63">
        <v>6278442</v>
      </c>
      <c r="F1016" s="63" t="s">
        <v>1259</v>
      </c>
      <c r="G1016" s="25">
        <f t="shared" si="13"/>
        <v>1.416439883274867E-2</v>
      </c>
    </row>
    <row r="1017" spans="1:7">
      <c r="A1017" s="63">
        <v>174.6883</v>
      </c>
      <c r="B1017" s="63">
        <v>184.04130000000001</v>
      </c>
      <c r="C1017" s="63">
        <v>174.05279999999999</v>
      </c>
      <c r="D1017" s="63">
        <v>181.27109999999999</v>
      </c>
      <c r="E1017" s="63">
        <v>7110752</v>
      </c>
      <c r="F1017" s="63" t="s">
        <v>1258</v>
      </c>
      <c r="G1017" s="25">
        <f t="shared" ref="G1017:G1080" si="14">A1017/D1017-1</f>
        <v>-3.6314669023357782E-2</v>
      </c>
    </row>
    <row r="1018" spans="1:7">
      <c r="A1018" s="63">
        <v>184.4186</v>
      </c>
      <c r="B1018" s="63">
        <v>185.6001</v>
      </c>
      <c r="C1018" s="63">
        <v>177.70670000000001</v>
      </c>
      <c r="D1018" s="63">
        <v>180.11940000000001</v>
      </c>
      <c r="E1018" s="63">
        <v>10617861</v>
      </c>
      <c r="F1018" s="63" t="s">
        <v>1257</v>
      </c>
      <c r="G1018" s="25">
        <f t="shared" si="14"/>
        <v>2.3868611598750533E-2</v>
      </c>
    </row>
    <row r="1019" spans="1:7">
      <c r="A1019" s="63">
        <v>173.43729999999999</v>
      </c>
      <c r="B1019" s="63">
        <v>175.9691</v>
      </c>
      <c r="C1019" s="63">
        <v>169.4111</v>
      </c>
      <c r="D1019" s="63">
        <v>169.7834</v>
      </c>
      <c r="E1019" s="63">
        <v>9644616</v>
      </c>
      <c r="F1019" s="63" t="s">
        <v>1256</v>
      </c>
      <c r="G1019" s="25">
        <f t="shared" si="14"/>
        <v>2.1520949633474062E-2</v>
      </c>
    </row>
    <row r="1020" spans="1:7">
      <c r="A1020" s="63">
        <v>168.87</v>
      </c>
      <c r="B1020" s="63">
        <v>172.48410000000001</v>
      </c>
      <c r="C1020" s="63">
        <v>166.358</v>
      </c>
      <c r="D1020" s="63">
        <v>171.39189999999999</v>
      </c>
      <c r="E1020" s="63">
        <v>8073280</v>
      </c>
      <c r="F1020" s="63" t="s">
        <v>1255</v>
      </c>
      <c r="G1020" s="25">
        <f t="shared" si="14"/>
        <v>-1.4714230952571183E-2</v>
      </c>
    </row>
    <row r="1021" spans="1:7">
      <c r="A1021" s="63">
        <v>173.328</v>
      </c>
      <c r="B1021" s="63">
        <v>173.51669999999999</v>
      </c>
      <c r="C1021" s="63">
        <v>168.02379999999999</v>
      </c>
      <c r="D1021" s="63">
        <v>168.4828</v>
      </c>
      <c r="E1021" s="63">
        <v>7988936</v>
      </c>
      <c r="F1021" s="63" t="s">
        <v>1254</v>
      </c>
      <c r="G1021" s="25">
        <f t="shared" si="14"/>
        <v>2.8757831659967703E-2</v>
      </c>
    </row>
    <row r="1022" spans="1:7">
      <c r="A1022" s="63">
        <v>170.21039999999999</v>
      </c>
      <c r="B1022" s="63">
        <v>177.77619999999999</v>
      </c>
      <c r="C1022" s="63">
        <v>169.8827</v>
      </c>
      <c r="D1022" s="63">
        <v>176.4358</v>
      </c>
      <c r="E1022" s="63">
        <v>8843906</v>
      </c>
      <c r="F1022" s="63" t="s">
        <v>1253</v>
      </c>
      <c r="G1022" s="25">
        <f t="shared" si="14"/>
        <v>-3.5284222363035189E-2</v>
      </c>
    </row>
    <row r="1023" spans="1:7">
      <c r="A1023" s="63">
        <v>175.9691</v>
      </c>
      <c r="B1023" s="63">
        <v>188.81700000000001</v>
      </c>
      <c r="C1023" s="63">
        <v>175.48259999999999</v>
      </c>
      <c r="D1023" s="63">
        <v>187.43690000000001</v>
      </c>
      <c r="E1023" s="63">
        <v>9119512</v>
      </c>
      <c r="F1023" s="63" t="s">
        <v>1252</v>
      </c>
      <c r="G1023" s="25">
        <f t="shared" si="14"/>
        <v>-6.1182189846289647E-2</v>
      </c>
    </row>
    <row r="1024" spans="1:7">
      <c r="A1024" s="63">
        <v>184.9051</v>
      </c>
      <c r="B1024" s="63">
        <v>191.9248</v>
      </c>
      <c r="C1024" s="63">
        <v>184.7561</v>
      </c>
      <c r="D1024" s="63">
        <v>191.51769999999999</v>
      </c>
      <c r="E1024" s="63">
        <v>6015364</v>
      </c>
      <c r="F1024" s="63" t="s">
        <v>1251</v>
      </c>
      <c r="G1024" s="25">
        <f t="shared" si="14"/>
        <v>-3.4527357001467696E-2</v>
      </c>
    </row>
    <row r="1025" spans="1:7">
      <c r="A1025" s="63">
        <v>190.0284</v>
      </c>
      <c r="B1025" s="63">
        <v>190.83260000000001</v>
      </c>
      <c r="C1025" s="63">
        <v>184.20009999999999</v>
      </c>
      <c r="D1025" s="63">
        <v>185.90790000000001</v>
      </c>
      <c r="E1025" s="63">
        <v>6120405</v>
      </c>
      <c r="F1025" s="63" t="s">
        <v>1250</v>
      </c>
      <c r="G1025" s="25">
        <f t="shared" si="14"/>
        <v>2.2164200660649724E-2</v>
      </c>
    </row>
    <row r="1026" spans="1:7">
      <c r="A1026" s="63">
        <v>185.67949999999999</v>
      </c>
      <c r="B1026" s="63">
        <v>188.00290000000001</v>
      </c>
      <c r="C1026" s="63">
        <v>184.21010000000001</v>
      </c>
      <c r="D1026" s="63">
        <v>186.96039999999999</v>
      </c>
      <c r="E1026" s="63">
        <v>4899472</v>
      </c>
      <c r="F1026" s="63" t="s">
        <v>1249</v>
      </c>
      <c r="G1026" s="25">
        <f t="shared" si="14"/>
        <v>-6.8511834591710175E-3</v>
      </c>
    </row>
    <row r="1027" spans="1:7">
      <c r="A1027" s="63">
        <v>188.0625</v>
      </c>
      <c r="B1027" s="63">
        <v>195.05240000000001</v>
      </c>
      <c r="C1027" s="63">
        <v>187.87379999999999</v>
      </c>
      <c r="D1027" s="63">
        <v>194.92330000000001</v>
      </c>
      <c r="E1027" s="63">
        <v>5126676</v>
      </c>
      <c r="F1027" s="63" t="s">
        <v>1248</v>
      </c>
      <c r="G1027" s="25">
        <f t="shared" si="14"/>
        <v>-3.5197434067656408E-2</v>
      </c>
    </row>
    <row r="1028" spans="1:7">
      <c r="A1028" s="63">
        <v>194.32759999999999</v>
      </c>
      <c r="B1028" s="63">
        <v>195.6977</v>
      </c>
      <c r="C1028" s="63">
        <v>187.97309999999999</v>
      </c>
      <c r="D1028" s="63">
        <v>190.6191</v>
      </c>
      <c r="E1028" s="63">
        <v>8733017</v>
      </c>
      <c r="F1028" s="63" t="s">
        <v>1247</v>
      </c>
      <c r="G1028" s="25">
        <f t="shared" si="14"/>
        <v>1.9455028378583261E-2</v>
      </c>
    </row>
    <row r="1029" spans="1:7">
      <c r="A1029" s="63">
        <v>193.42400000000001</v>
      </c>
      <c r="B1029" s="63">
        <v>199.6891</v>
      </c>
      <c r="C1029" s="63">
        <v>193.19569999999999</v>
      </c>
      <c r="D1029" s="63">
        <v>198.3289</v>
      </c>
      <c r="E1029" s="63">
        <v>4832184</v>
      </c>
      <c r="F1029" s="63" t="s">
        <v>1246</v>
      </c>
      <c r="G1029" s="25">
        <f t="shared" si="14"/>
        <v>-2.4731141049035177E-2</v>
      </c>
    </row>
    <row r="1030" spans="1:7">
      <c r="A1030" s="63">
        <v>194.05950000000001</v>
      </c>
      <c r="B1030" s="63">
        <v>195.6977</v>
      </c>
      <c r="C1030" s="63">
        <v>190.7929</v>
      </c>
      <c r="D1030" s="63">
        <v>192.82830000000001</v>
      </c>
      <c r="E1030" s="63">
        <v>5173760</v>
      </c>
      <c r="F1030" s="63" t="s">
        <v>1245</v>
      </c>
      <c r="G1030" s="25">
        <f t="shared" si="14"/>
        <v>6.3849549054781907E-3</v>
      </c>
    </row>
    <row r="1031" spans="1:7">
      <c r="A1031" s="63">
        <v>195.7672</v>
      </c>
      <c r="B1031" s="63">
        <v>198.71610000000001</v>
      </c>
      <c r="C1031" s="63">
        <v>195.22120000000001</v>
      </c>
      <c r="D1031" s="63">
        <v>197.2268</v>
      </c>
      <c r="E1031" s="63">
        <v>3897664</v>
      </c>
      <c r="F1031" s="63" t="s">
        <v>1244</v>
      </c>
      <c r="G1031" s="25">
        <f t="shared" si="14"/>
        <v>-7.4006169546937395E-3</v>
      </c>
    </row>
    <row r="1032" spans="1:7">
      <c r="A1032" s="63">
        <v>198.73599999999999</v>
      </c>
      <c r="B1032" s="63">
        <v>201.27780000000001</v>
      </c>
      <c r="C1032" s="63">
        <v>196.78</v>
      </c>
      <c r="D1032" s="63">
        <v>197.70339999999999</v>
      </c>
      <c r="E1032" s="63">
        <v>5245971</v>
      </c>
      <c r="F1032" s="63" t="s">
        <v>1243</v>
      </c>
      <c r="G1032" s="25">
        <f t="shared" si="14"/>
        <v>5.2229754268262596E-3</v>
      </c>
    </row>
    <row r="1033" spans="1:7">
      <c r="A1033" s="63">
        <v>199.3913</v>
      </c>
      <c r="B1033" s="63">
        <v>204.00319999999999</v>
      </c>
      <c r="C1033" s="63">
        <v>196.67080000000001</v>
      </c>
      <c r="D1033" s="63">
        <v>203.75</v>
      </c>
      <c r="E1033" s="63">
        <v>7171285</v>
      </c>
      <c r="F1033" s="63" t="s">
        <v>1242</v>
      </c>
      <c r="G1033" s="25">
        <f t="shared" si="14"/>
        <v>-2.1392392638036828E-2</v>
      </c>
    </row>
    <row r="1034" spans="1:7">
      <c r="A1034" s="63">
        <v>208.64500000000001</v>
      </c>
      <c r="B1034" s="63">
        <v>216.71709999999999</v>
      </c>
      <c r="C1034" s="63">
        <v>207.18539999999999</v>
      </c>
      <c r="D1034" s="63">
        <v>216.44909999999999</v>
      </c>
      <c r="E1034" s="63">
        <v>7304637</v>
      </c>
      <c r="F1034" s="63" t="s">
        <v>1241</v>
      </c>
      <c r="G1034" s="25">
        <f t="shared" si="14"/>
        <v>-3.6055127972349998E-2</v>
      </c>
    </row>
    <row r="1035" spans="1:7">
      <c r="A1035" s="63">
        <v>217.29300000000001</v>
      </c>
      <c r="B1035" s="63">
        <v>219.42769999999999</v>
      </c>
      <c r="C1035" s="63">
        <v>212.57679999999999</v>
      </c>
      <c r="D1035" s="63">
        <v>213.10300000000001</v>
      </c>
      <c r="E1035" s="63">
        <v>7845801</v>
      </c>
      <c r="F1035" s="63" t="s">
        <v>1240</v>
      </c>
      <c r="G1035" s="25">
        <f t="shared" si="14"/>
        <v>1.9661853657620965E-2</v>
      </c>
    </row>
    <row r="1036" spans="1:7">
      <c r="A1036" s="63">
        <v>210.74</v>
      </c>
      <c r="B1036" s="63">
        <v>212.50729999999999</v>
      </c>
      <c r="C1036" s="63">
        <v>208.54570000000001</v>
      </c>
      <c r="D1036" s="63">
        <v>210.9683</v>
      </c>
      <c r="E1036" s="63">
        <v>6007859</v>
      </c>
      <c r="F1036" s="63" t="s">
        <v>1239</v>
      </c>
      <c r="G1036" s="25">
        <f t="shared" si="14"/>
        <v>-1.0821531007264573E-3</v>
      </c>
    </row>
    <row r="1037" spans="1:7">
      <c r="A1037" s="63">
        <v>210.80950000000001</v>
      </c>
      <c r="B1037" s="63">
        <v>215.24770000000001</v>
      </c>
      <c r="C1037" s="63">
        <v>210.28319999999999</v>
      </c>
      <c r="D1037" s="63">
        <v>212.97399999999999</v>
      </c>
      <c r="E1037" s="63">
        <v>7141260</v>
      </c>
      <c r="F1037" s="63" t="s">
        <v>1238</v>
      </c>
      <c r="G1037" s="25">
        <f t="shared" si="14"/>
        <v>-1.0163212410904454E-2</v>
      </c>
    </row>
    <row r="1038" spans="1:7">
      <c r="A1038" s="63">
        <v>213.41079999999999</v>
      </c>
      <c r="B1038" s="63">
        <v>218.2859</v>
      </c>
      <c r="C1038" s="63">
        <v>211.8818</v>
      </c>
      <c r="D1038" s="63">
        <v>218.14689999999999</v>
      </c>
      <c r="E1038" s="63">
        <v>4951199</v>
      </c>
      <c r="F1038" s="63" t="s">
        <v>1237</v>
      </c>
      <c r="G1038" s="25">
        <f t="shared" si="14"/>
        <v>-2.1710599600544334E-2</v>
      </c>
    </row>
    <row r="1039" spans="1:7">
      <c r="A1039" s="63">
        <v>219.71559999999999</v>
      </c>
      <c r="B1039" s="63">
        <v>220.5745</v>
      </c>
      <c r="C1039" s="63">
        <v>215.2278</v>
      </c>
      <c r="D1039" s="63">
        <v>217.06460000000001</v>
      </c>
      <c r="E1039" s="63">
        <v>5370373</v>
      </c>
      <c r="F1039" s="63" t="s">
        <v>1236</v>
      </c>
      <c r="G1039" s="25">
        <f t="shared" si="14"/>
        <v>1.2212954115963459E-2</v>
      </c>
    </row>
    <row r="1040" spans="1:7">
      <c r="A1040" s="63">
        <v>213.7484</v>
      </c>
      <c r="B1040" s="63">
        <v>213.8477</v>
      </c>
      <c r="C1040" s="63">
        <v>207.8109</v>
      </c>
      <c r="D1040" s="63">
        <v>208.88329999999999</v>
      </c>
      <c r="E1040" s="63">
        <v>4290886</v>
      </c>
      <c r="F1040" s="63" t="s">
        <v>1235</v>
      </c>
      <c r="G1040" s="25">
        <f t="shared" si="14"/>
        <v>2.329099549844349E-2</v>
      </c>
    </row>
    <row r="1041" spans="1:7">
      <c r="A1041" s="63">
        <v>209.52860000000001</v>
      </c>
      <c r="B1041" s="63">
        <v>214.32429999999999</v>
      </c>
      <c r="C1041" s="63">
        <v>206.99680000000001</v>
      </c>
      <c r="D1041" s="63">
        <v>212.7456</v>
      </c>
      <c r="E1041" s="63">
        <v>3657994</v>
      </c>
      <c r="F1041" s="63" t="s">
        <v>1234</v>
      </c>
      <c r="G1041" s="25">
        <f t="shared" si="14"/>
        <v>-1.5121346810462732E-2</v>
      </c>
    </row>
    <row r="1042" spans="1:7">
      <c r="A1042" s="63">
        <v>212.45769999999999</v>
      </c>
      <c r="B1042" s="63">
        <v>212.58670000000001</v>
      </c>
      <c r="C1042" s="63">
        <v>208.37690000000001</v>
      </c>
      <c r="D1042" s="63">
        <v>210.83920000000001</v>
      </c>
      <c r="E1042" s="63">
        <v>4150252</v>
      </c>
      <c r="F1042" s="63" t="s">
        <v>1233</v>
      </c>
      <c r="G1042" s="25">
        <f t="shared" si="14"/>
        <v>7.6764662358801417E-3</v>
      </c>
    </row>
    <row r="1043" spans="1:7">
      <c r="A1043" s="63">
        <v>209.60810000000001</v>
      </c>
      <c r="B1043" s="63">
        <v>212.40799999999999</v>
      </c>
      <c r="C1043" s="63">
        <v>206.828</v>
      </c>
      <c r="D1043" s="63">
        <v>212.3484</v>
      </c>
      <c r="E1043" s="63">
        <v>8404667</v>
      </c>
      <c r="F1043" s="63" t="s">
        <v>1232</v>
      </c>
      <c r="G1043" s="25">
        <f t="shared" si="14"/>
        <v>-1.2904735802106271E-2</v>
      </c>
    </row>
    <row r="1044" spans="1:7">
      <c r="A1044" s="63">
        <v>216.6576</v>
      </c>
      <c r="B1044" s="63">
        <v>220.27170000000001</v>
      </c>
      <c r="C1044" s="63">
        <v>211.10239999999999</v>
      </c>
      <c r="D1044" s="63">
        <v>212.1995</v>
      </c>
      <c r="E1044" s="63">
        <v>7018788</v>
      </c>
      <c r="F1044" s="63" t="s">
        <v>1231</v>
      </c>
      <c r="G1044" s="25">
        <f t="shared" si="14"/>
        <v>2.1009003319989006E-2</v>
      </c>
    </row>
    <row r="1045" spans="1:7">
      <c r="A1045" s="63">
        <v>212.1995</v>
      </c>
      <c r="B1045" s="63">
        <v>217.5412</v>
      </c>
      <c r="C1045" s="63">
        <v>209.11160000000001</v>
      </c>
      <c r="D1045" s="63">
        <v>216.6377</v>
      </c>
      <c r="E1045" s="63">
        <v>6448739</v>
      </c>
      <c r="F1045" s="63" t="s">
        <v>1230</v>
      </c>
      <c r="G1045" s="25">
        <f t="shared" si="14"/>
        <v>-2.0486738919403225E-2</v>
      </c>
    </row>
    <row r="1046" spans="1:7">
      <c r="A1046" s="63">
        <v>217.24340000000001</v>
      </c>
      <c r="B1046" s="63">
        <v>218.01779999999999</v>
      </c>
      <c r="C1046" s="63">
        <v>206.82300000000001</v>
      </c>
      <c r="D1046" s="63">
        <v>207.7414</v>
      </c>
      <c r="E1046" s="63">
        <v>12220551</v>
      </c>
      <c r="F1046" s="63" t="s">
        <v>1229</v>
      </c>
      <c r="G1046" s="25">
        <f t="shared" si="14"/>
        <v>4.5739558893894028E-2</v>
      </c>
    </row>
    <row r="1047" spans="1:7">
      <c r="A1047" s="63">
        <v>208.91309999999999</v>
      </c>
      <c r="B1047" s="63">
        <v>209.18109999999999</v>
      </c>
      <c r="C1047" s="63">
        <v>201.119</v>
      </c>
      <c r="D1047" s="63">
        <v>203.16419999999999</v>
      </c>
      <c r="E1047" s="63">
        <v>5842555</v>
      </c>
      <c r="F1047" s="63" t="s">
        <v>1228</v>
      </c>
      <c r="G1047" s="25">
        <f t="shared" si="14"/>
        <v>2.8296816072910458E-2</v>
      </c>
    </row>
    <row r="1048" spans="1:7">
      <c r="A1048" s="63">
        <v>204.10749999999999</v>
      </c>
      <c r="B1048" s="63">
        <v>204.43510000000001</v>
      </c>
      <c r="C1048" s="63">
        <v>195.92609999999999</v>
      </c>
      <c r="D1048" s="63">
        <v>197.2466</v>
      </c>
      <c r="E1048" s="63">
        <v>6043359</v>
      </c>
      <c r="F1048" s="63" t="s">
        <v>1227</v>
      </c>
      <c r="G1048" s="25">
        <f t="shared" si="14"/>
        <v>3.4783362552256891E-2</v>
      </c>
    </row>
    <row r="1049" spans="1:7">
      <c r="A1049" s="63">
        <v>194.74459999999999</v>
      </c>
      <c r="B1049" s="63">
        <v>198.53739999999999</v>
      </c>
      <c r="C1049" s="63">
        <v>191.36879999999999</v>
      </c>
      <c r="D1049" s="63">
        <v>197.11760000000001</v>
      </c>
      <c r="E1049" s="63">
        <v>5276325</v>
      </c>
      <c r="F1049" s="63" t="s">
        <v>1226</v>
      </c>
      <c r="G1049" s="25">
        <f t="shared" si="14"/>
        <v>-1.2038498845359458E-2</v>
      </c>
    </row>
    <row r="1050" spans="1:7">
      <c r="A1050" s="63">
        <v>191.74610000000001</v>
      </c>
      <c r="B1050" s="63">
        <v>198.73599999999999</v>
      </c>
      <c r="C1050" s="63">
        <v>190.45529999999999</v>
      </c>
      <c r="D1050" s="63">
        <v>196.8296</v>
      </c>
      <c r="E1050" s="63">
        <v>5665470</v>
      </c>
      <c r="F1050" s="63" t="s">
        <v>1225</v>
      </c>
      <c r="G1050" s="25">
        <f t="shared" si="14"/>
        <v>-2.5826908147961403E-2</v>
      </c>
    </row>
    <row r="1051" spans="1:7">
      <c r="A1051" s="63">
        <v>196.49209999999999</v>
      </c>
      <c r="B1051" s="63">
        <v>203.31319999999999</v>
      </c>
      <c r="C1051" s="63">
        <v>196.22399999999999</v>
      </c>
      <c r="D1051" s="63">
        <v>203.31319999999999</v>
      </c>
      <c r="E1051" s="63">
        <v>5196914</v>
      </c>
      <c r="F1051" s="63" t="s">
        <v>1224</v>
      </c>
      <c r="G1051" s="25">
        <f t="shared" si="14"/>
        <v>-3.3549715414444292E-2</v>
      </c>
    </row>
    <row r="1052" spans="1:7">
      <c r="A1052" s="63">
        <v>198.726</v>
      </c>
      <c r="B1052" s="63">
        <v>199.76859999999999</v>
      </c>
      <c r="C1052" s="63">
        <v>196.12469999999999</v>
      </c>
      <c r="D1052" s="63">
        <v>197.68350000000001</v>
      </c>
      <c r="E1052" s="63">
        <v>5604161</v>
      </c>
      <c r="F1052" s="63" t="s">
        <v>1223</v>
      </c>
      <c r="G1052" s="25">
        <f t="shared" si="14"/>
        <v>5.2735812548847516E-3</v>
      </c>
    </row>
    <row r="1053" spans="1:7">
      <c r="A1053" s="63">
        <v>201.71459999999999</v>
      </c>
      <c r="B1053" s="63">
        <v>203.76990000000001</v>
      </c>
      <c r="C1053" s="63">
        <v>195.8169</v>
      </c>
      <c r="D1053" s="63">
        <v>196.93889999999999</v>
      </c>
      <c r="E1053" s="63">
        <v>6881263</v>
      </c>
      <c r="F1053" s="63" t="s">
        <v>1222</v>
      </c>
      <c r="G1053" s="25">
        <f t="shared" si="14"/>
        <v>2.4249653064986054E-2</v>
      </c>
    </row>
    <row r="1054" spans="1:7">
      <c r="A1054" s="63">
        <v>190.71350000000001</v>
      </c>
      <c r="B1054" s="63">
        <v>195.797</v>
      </c>
      <c r="C1054" s="63">
        <v>187.85390000000001</v>
      </c>
      <c r="D1054" s="63">
        <v>192.89779999999999</v>
      </c>
      <c r="E1054" s="63">
        <v>8229049</v>
      </c>
      <c r="F1054" s="63" t="s">
        <v>1221</v>
      </c>
      <c r="G1054" s="25">
        <f t="shared" si="14"/>
        <v>-1.1323612814661321E-2</v>
      </c>
    </row>
    <row r="1055" spans="1:7">
      <c r="A1055" s="63">
        <v>194.8339</v>
      </c>
      <c r="B1055" s="63">
        <v>203.47200000000001</v>
      </c>
      <c r="C1055" s="63">
        <v>194.64529999999999</v>
      </c>
      <c r="D1055" s="63">
        <v>202.0026</v>
      </c>
      <c r="E1055" s="63">
        <v>7043501</v>
      </c>
      <c r="F1055" s="63" t="s">
        <v>1220</v>
      </c>
      <c r="G1055" s="25">
        <f t="shared" si="14"/>
        <v>-3.5488157083126692E-2</v>
      </c>
    </row>
    <row r="1056" spans="1:7">
      <c r="A1056" s="63">
        <v>201.56569999999999</v>
      </c>
      <c r="B1056" s="63">
        <v>204.9117</v>
      </c>
      <c r="C1056" s="63">
        <v>197.8424</v>
      </c>
      <c r="D1056" s="63">
        <v>203.24369999999999</v>
      </c>
      <c r="E1056" s="63">
        <v>6816423</v>
      </c>
      <c r="F1056" s="63" t="s">
        <v>1219</v>
      </c>
      <c r="G1056" s="25">
        <f t="shared" si="14"/>
        <v>-8.2560984670126958E-3</v>
      </c>
    </row>
    <row r="1057" spans="1:7">
      <c r="A1057" s="63">
        <v>203.29329999999999</v>
      </c>
      <c r="B1057" s="63">
        <v>210.12440000000001</v>
      </c>
      <c r="C1057" s="63">
        <v>202.7671</v>
      </c>
      <c r="D1057" s="63">
        <v>208.89320000000001</v>
      </c>
      <c r="E1057" s="63">
        <v>6559852</v>
      </c>
      <c r="F1057" s="63" t="s">
        <v>1218</v>
      </c>
      <c r="G1057" s="25">
        <f t="shared" si="14"/>
        <v>-2.6807478654163996E-2</v>
      </c>
    </row>
    <row r="1058" spans="1:7">
      <c r="A1058" s="63">
        <v>208.89320000000001</v>
      </c>
      <c r="B1058" s="63">
        <v>215.7636</v>
      </c>
      <c r="C1058" s="63">
        <v>199.71899999999999</v>
      </c>
      <c r="D1058" s="63">
        <v>214.5626</v>
      </c>
      <c r="E1058" s="63">
        <v>16670096</v>
      </c>
      <c r="F1058" s="63" t="s">
        <v>1217</v>
      </c>
      <c r="G1058" s="25">
        <f t="shared" si="14"/>
        <v>-2.6423057886136747E-2</v>
      </c>
    </row>
    <row r="1059" spans="1:7">
      <c r="A1059" s="63">
        <v>207.40389999999999</v>
      </c>
      <c r="B1059" s="63">
        <v>212.8647</v>
      </c>
      <c r="C1059" s="63">
        <v>206.9769</v>
      </c>
      <c r="D1059" s="63">
        <v>211.8818</v>
      </c>
      <c r="E1059" s="63">
        <v>12587317</v>
      </c>
      <c r="F1059" s="63" t="s">
        <v>1216</v>
      </c>
      <c r="G1059" s="25">
        <f t="shared" si="14"/>
        <v>-2.1133952986995608E-2</v>
      </c>
    </row>
    <row r="1060" spans="1:7">
      <c r="A1060" s="63">
        <v>209.03219999999999</v>
      </c>
      <c r="B1060" s="63">
        <v>210.16409999999999</v>
      </c>
      <c r="C1060" s="63">
        <v>205.4777</v>
      </c>
      <c r="D1060" s="63">
        <v>206.3117</v>
      </c>
      <c r="E1060" s="63">
        <v>7904654</v>
      </c>
      <c r="F1060" s="63" t="s">
        <v>1215</v>
      </c>
      <c r="G1060" s="25">
        <f t="shared" si="14"/>
        <v>1.3186358311234825E-2</v>
      </c>
    </row>
    <row r="1061" spans="1:7">
      <c r="A1061" s="63">
        <v>206.6096</v>
      </c>
      <c r="B1061" s="63">
        <v>206.98429999999999</v>
      </c>
      <c r="C1061" s="63">
        <v>200.17570000000001</v>
      </c>
      <c r="D1061" s="63">
        <v>203.26750000000001</v>
      </c>
      <c r="E1061" s="63">
        <v>5853614</v>
      </c>
      <c r="F1061" s="63" t="s">
        <v>1214</v>
      </c>
      <c r="G1061" s="25">
        <f t="shared" si="14"/>
        <v>1.644188077287323E-2</v>
      </c>
    </row>
    <row r="1062" spans="1:7">
      <c r="A1062" s="63">
        <v>202.8366</v>
      </c>
      <c r="B1062" s="63">
        <v>203.44229999999999</v>
      </c>
      <c r="C1062" s="63">
        <v>183.12780000000001</v>
      </c>
      <c r="D1062" s="63">
        <v>183.42570000000001</v>
      </c>
      <c r="E1062" s="63">
        <v>11792612</v>
      </c>
      <c r="F1062" s="63" t="s">
        <v>1213</v>
      </c>
      <c r="G1062" s="25">
        <f t="shared" si="14"/>
        <v>0.10582432014706766</v>
      </c>
    </row>
    <row r="1063" spans="1:7">
      <c r="A1063" s="63">
        <v>189.18440000000001</v>
      </c>
      <c r="B1063" s="63">
        <v>197.58420000000001</v>
      </c>
      <c r="C1063" s="63">
        <v>188.7773</v>
      </c>
      <c r="D1063" s="63">
        <v>194.95310000000001</v>
      </c>
      <c r="E1063" s="63">
        <v>7784294</v>
      </c>
      <c r="F1063" s="63" t="s">
        <v>1212</v>
      </c>
      <c r="G1063" s="25">
        <f t="shared" si="14"/>
        <v>-2.9590193744033821E-2</v>
      </c>
    </row>
    <row r="1064" spans="1:7">
      <c r="A1064" s="63">
        <v>193.74180000000001</v>
      </c>
      <c r="B1064" s="63">
        <v>200.02670000000001</v>
      </c>
      <c r="C1064" s="63">
        <v>192.1482</v>
      </c>
      <c r="D1064" s="63">
        <v>194.13890000000001</v>
      </c>
      <c r="E1064" s="63">
        <v>8434762</v>
      </c>
      <c r="F1064" s="63" t="s">
        <v>1211</v>
      </c>
      <c r="G1064" s="25">
        <f t="shared" si="14"/>
        <v>-2.0454427216801685E-3</v>
      </c>
    </row>
    <row r="1065" spans="1:7">
      <c r="A1065" s="63">
        <v>195.43960000000001</v>
      </c>
      <c r="B1065" s="63">
        <v>201.15860000000001</v>
      </c>
      <c r="C1065" s="63">
        <v>194.39709999999999</v>
      </c>
      <c r="D1065" s="63">
        <v>198.9743</v>
      </c>
      <c r="E1065" s="63">
        <v>6691812</v>
      </c>
      <c r="F1065" s="63" t="s">
        <v>1210</v>
      </c>
      <c r="G1065" s="25">
        <f t="shared" si="14"/>
        <v>-1.7764605780746456E-2</v>
      </c>
    </row>
    <row r="1066" spans="1:7">
      <c r="A1066" s="63">
        <v>198.6069</v>
      </c>
      <c r="B1066" s="63">
        <v>208.2577</v>
      </c>
      <c r="C1066" s="63">
        <v>198.08070000000001</v>
      </c>
      <c r="D1066" s="63">
        <v>206.84780000000001</v>
      </c>
      <c r="E1066" s="63">
        <v>8820050</v>
      </c>
      <c r="F1066" s="63" t="s">
        <v>1209</v>
      </c>
      <c r="G1066" s="25">
        <f t="shared" si="14"/>
        <v>-3.984040439395542E-2</v>
      </c>
    </row>
    <row r="1067" spans="1:7">
      <c r="A1067" s="63">
        <v>210.2336</v>
      </c>
      <c r="B1067" s="63">
        <v>210.90880000000001</v>
      </c>
      <c r="C1067" s="63">
        <v>206.7287</v>
      </c>
      <c r="D1067" s="63">
        <v>209.49889999999999</v>
      </c>
      <c r="E1067" s="63">
        <v>7072715</v>
      </c>
      <c r="F1067" s="63" t="s">
        <v>1208</v>
      </c>
      <c r="G1067" s="25">
        <f t="shared" si="14"/>
        <v>3.5069396545757137E-3</v>
      </c>
    </row>
    <row r="1068" spans="1:7">
      <c r="A1068" s="63">
        <v>212.72569999999999</v>
      </c>
      <c r="B1068" s="63">
        <v>213.04349999999999</v>
      </c>
      <c r="C1068" s="63">
        <v>207.03649999999999</v>
      </c>
      <c r="D1068" s="63">
        <v>208.2577</v>
      </c>
      <c r="E1068" s="63">
        <v>6355740</v>
      </c>
      <c r="F1068" s="63" t="s">
        <v>1207</v>
      </c>
      <c r="G1068" s="25">
        <f t="shared" si="14"/>
        <v>2.1454188728676105E-2</v>
      </c>
    </row>
    <row r="1069" spans="1:7">
      <c r="A1069" s="63">
        <v>204.9316</v>
      </c>
      <c r="B1069" s="63">
        <v>208.4067</v>
      </c>
      <c r="C1069" s="63">
        <v>203.17420000000001</v>
      </c>
      <c r="D1069" s="63">
        <v>204.33580000000001</v>
      </c>
      <c r="E1069" s="63">
        <v>7005942</v>
      </c>
      <c r="F1069" s="63" t="s">
        <v>1206</v>
      </c>
      <c r="G1069" s="25">
        <f t="shared" si="14"/>
        <v>2.915788618538695E-3</v>
      </c>
    </row>
    <row r="1070" spans="1:7">
      <c r="A1070" s="63">
        <v>206.42089999999999</v>
      </c>
      <c r="B1070" s="63">
        <v>218.36529999999999</v>
      </c>
      <c r="C1070" s="63">
        <v>204.64570000000001</v>
      </c>
      <c r="D1070" s="63">
        <v>216.0718</v>
      </c>
      <c r="E1070" s="63">
        <v>8165623</v>
      </c>
      <c r="F1070" s="63" t="s">
        <v>1205</v>
      </c>
      <c r="G1070" s="25">
        <f t="shared" si="14"/>
        <v>-4.4665245534123432E-2</v>
      </c>
    </row>
    <row r="1071" spans="1:7">
      <c r="A1071" s="63">
        <v>216.12139999999999</v>
      </c>
      <c r="B1071" s="63">
        <v>220.41069999999999</v>
      </c>
      <c r="C1071" s="63">
        <v>214.27459999999999</v>
      </c>
      <c r="D1071" s="63">
        <v>216.15119999999999</v>
      </c>
      <c r="E1071" s="63">
        <v>5312607</v>
      </c>
      <c r="F1071" s="63" t="s">
        <v>1204</v>
      </c>
      <c r="G1071" s="25">
        <f t="shared" si="14"/>
        <v>-1.378664564434251E-4</v>
      </c>
    </row>
    <row r="1072" spans="1:7">
      <c r="A1072" s="63">
        <v>220.46029999999999</v>
      </c>
      <c r="B1072" s="63">
        <v>220.60919999999999</v>
      </c>
      <c r="C1072" s="63">
        <v>214.03630000000001</v>
      </c>
      <c r="D1072" s="63">
        <v>219.5667</v>
      </c>
      <c r="E1072" s="63">
        <v>6107708</v>
      </c>
      <c r="F1072" s="63" t="s">
        <v>1203</v>
      </c>
      <c r="G1072" s="25">
        <f t="shared" si="14"/>
        <v>4.0698339046858489E-3</v>
      </c>
    </row>
    <row r="1073" spans="1:7">
      <c r="A1073" s="63">
        <v>215.88310000000001</v>
      </c>
      <c r="B1073" s="63">
        <v>216.3895</v>
      </c>
      <c r="C1073" s="63">
        <v>210.64070000000001</v>
      </c>
      <c r="D1073" s="63">
        <v>214.06610000000001</v>
      </c>
      <c r="E1073" s="63">
        <v>5628683</v>
      </c>
      <c r="F1073" s="63" t="s">
        <v>1202</v>
      </c>
      <c r="G1073" s="25">
        <f t="shared" si="14"/>
        <v>8.4880324348415304E-3</v>
      </c>
    </row>
    <row r="1074" spans="1:7">
      <c r="A1074" s="63">
        <v>215.4264</v>
      </c>
      <c r="B1074" s="63">
        <v>219.8646</v>
      </c>
      <c r="C1074" s="63">
        <v>215.11859999999999</v>
      </c>
      <c r="D1074" s="63">
        <v>217.4419</v>
      </c>
      <c r="E1074" s="63">
        <v>3922259</v>
      </c>
      <c r="F1074" s="63" t="s">
        <v>1201</v>
      </c>
      <c r="G1074" s="25">
        <f t="shared" si="14"/>
        <v>-9.2691426997281168E-3</v>
      </c>
    </row>
    <row r="1075" spans="1:7">
      <c r="A1075" s="63">
        <v>217.6703</v>
      </c>
      <c r="B1075" s="63">
        <v>220.09289999999999</v>
      </c>
      <c r="C1075" s="63">
        <v>211.67330000000001</v>
      </c>
      <c r="D1075" s="63">
        <v>213.4605</v>
      </c>
      <c r="E1075" s="63">
        <v>6176474</v>
      </c>
      <c r="F1075" s="63" t="s">
        <v>1200</v>
      </c>
      <c r="G1075" s="25">
        <f t="shared" si="14"/>
        <v>1.9721681528901192E-2</v>
      </c>
    </row>
    <row r="1076" spans="1:7">
      <c r="A1076" s="63">
        <v>211.25630000000001</v>
      </c>
      <c r="B1076" s="63">
        <v>219.2201</v>
      </c>
      <c r="C1076" s="63">
        <v>208.90309999999999</v>
      </c>
      <c r="D1076" s="63">
        <v>216.51859999999999</v>
      </c>
      <c r="E1076" s="63">
        <v>12826597</v>
      </c>
      <c r="F1076" s="63" t="s">
        <v>1199</v>
      </c>
      <c r="G1076" s="25">
        <f t="shared" si="14"/>
        <v>-2.4304147542058674E-2</v>
      </c>
    </row>
    <row r="1077" spans="1:7">
      <c r="A1077" s="63">
        <v>223.4092</v>
      </c>
      <c r="B1077" s="63">
        <v>232.82169999999999</v>
      </c>
      <c r="C1077" s="63">
        <v>221.43029999999999</v>
      </c>
      <c r="D1077" s="63">
        <v>232.0771</v>
      </c>
      <c r="E1077" s="63">
        <v>9378866</v>
      </c>
      <c r="F1077" s="63" t="s">
        <v>1198</v>
      </c>
      <c r="G1077" s="25">
        <f t="shared" si="14"/>
        <v>-3.7349225752993265E-2</v>
      </c>
    </row>
    <row r="1078" spans="1:7">
      <c r="A1078" s="63">
        <v>230.46860000000001</v>
      </c>
      <c r="B1078" s="63">
        <v>231.12389999999999</v>
      </c>
      <c r="C1078" s="63">
        <v>224.7099</v>
      </c>
      <c r="D1078" s="63">
        <v>230.71680000000001</v>
      </c>
      <c r="E1078" s="63">
        <v>6387115</v>
      </c>
      <c r="F1078" s="63" t="s">
        <v>1197</v>
      </c>
      <c r="G1078" s="25">
        <f t="shared" si="14"/>
        <v>-1.0757777500380872E-3</v>
      </c>
    </row>
    <row r="1079" spans="1:7">
      <c r="A1079" s="63">
        <v>230.97499999999999</v>
      </c>
      <c r="B1079" s="63">
        <v>231.25299999999999</v>
      </c>
      <c r="C1079" s="63">
        <v>220.67869999999999</v>
      </c>
      <c r="D1079" s="63">
        <v>221.3638</v>
      </c>
      <c r="E1079" s="63">
        <v>7084216</v>
      </c>
      <c r="F1079" s="63" t="s">
        <v>1196</v>
      </c>
      <c r="G1079" s="25">
        <f t="shared" si="14"/>
        <v>4.3418119855188619E-2</v>
      </c>
    </row>
    <row r="1080" spans="1:7">
      <c r="A1080" s="63">
        <v>220.5497</v>
      </c>
      <c r="B1080" s="63">
        <v>220.70849999999999</v>
      </c>
      <c r="C1080" s="63">
        <v>209.37970000000001</v>
      </c>
      <c r="D1080" s="63">
        <v>212.77539999999999</v>
      </c>
      <c r="E1080" s="63">
        <v>8254892</v>
      </c>
      <c r="F1080" s="63" t="s">
        <v>1195</v>
      </c>
      <c r="G1080" s="25">
        <f t="shared" si="14"/>
        <v>3.65375884618242E-2</v>
      </c>
    </row>
    <row r="1081" spans="1:7">
      <c r="A1081" s="63">
        <v>211.22649999999999</v>
      </c>
      <c r="B1081" s="63">
        <v>221.5624</v>
      </c>
      <c r="C1081" s="63">
        <v>210.5513</v>
      </c>
      <c r="D1081" s="63">
        <v>212.55690000000001</v>
      </c>
      <c r="E1081" s="63">
        <v>9468583</v>
      </c>
      <c r="F1081" s="63" t="s">
        <v>1194</v>
      </c>
      <c r="G1081" s="25">
        <f t="shared" ref="G1081:G1144" si="15">A1081/D1081-1</f>
        <v>-6.2590299350433476E-3</v>
      </c>
    </row>
    <row r="1082" spans="1:7">
      <c r="A1082" s="63">
        <v>209.49889999999999</v>
      </c>
      <c r="B1082" s="63">
        <v>219.8844</v>
      </c>
      <c r="C1082" s="63">
        <v>207.58260000000001</v>
      </c>
      <c r="D1082" s="63">
        <v>218.04759999999999</v>
      </c>
      <c r="E1082" s="63">
        <v>10029562</v>
      </c>
      <c r="F1082" s="63" t="s">
        <v>1193</v>
      </c>
      <c r="G1082" s="25">
        <f t="shared" si="15"/>
        <v>-3.9205659681647465E-2</v>
      </c>
    </row>
    <row r="1083" spans="1:7">
      <c r="A1083" s="63">
        <v>213.85759999999999</v>
      </c>
      <c r="B1083" s="63">
        <v>222.30709999999999</v>
      </c>
      <c r="C1083" s="63">
        <v>213.14269999999999</v>
      </c>
      <c r="D1083" s="63">
        <v>219.42769999999999</v>
      </c>
      <c r="E1083" s="63">
        <v>9092713</v>
      </c>
      <c r="F1083" s="63" t="s">
        <v>1192</v>
      </c>
      <c r="G1083" s="25">
        <f t="shared" si="15"/>
        <v>-2.5384671124019431E-2</v>
      </c>
    </row>
    <row r="1084" spans="1:7">
      <c r="A1084" s="63">
        <v>221.44329999999999</v>
      </c>
      <c r="B1084" s="63">
        <v>221.79079999999999</v>
      </c>
      <c r="C1084" s="63">
        <v>206.03370000000001</v>
      </c>
      <c r="D1084" s="63">
        <v>210.87899999999999</v>
      </c>
      <c r="E1084" s="63">
        <v>11674760</v>
      </c>
      <c r="F1084" s="63" t="s">
        <v>1191</v>
      </c>
      <c r="G1084" s="25">
        <f t="shared" si="15"/>
        <v>5.0096500836972924E-2</v>
      </c>
    </row>
    <row r="1085" spans="1:7">
      <c r="A1085" s="63">
        <v>217.0746</v>
      </c>
      <c r="B1085" s="63">
        <v>223.17089999999999</v>
      </c>
      <c r="C1085" s="63">
        <v>216.69730000000001</v>
      </c>
      <c r="D1085" s="63">
        <v>221.47309999999999</v>
      </c>
      <c r="E1085" s="63">
        <v>9128418</v>
      </c>
      <c r="F1085" s="63" t="s">
        <v>1190</v>
      </c>
      <c r="G1085" s="25">
        <f t="shared" si="15"/>
        <v>-1.9860199726287275E-2</v>
      </c>
    </row>
    <row r="1086" spans="1:7">
      <c r="A1086" s="63">
        <v>221.35390000000001</v>
      </c>
      <c r="B1086" s="63">
        <v>229.75370000000001</v>
      </c>
      <c r="C1086" s="63">
        <v>220.90710000000001</v>
      </c>
      <c r="D1086" s="63">
        <v>227.44030000000001</v>
      </c>
      <c r="E1086" s="63">
        <v>5663652</v>
      </c>
      <c r="F1086" s="63" t="s">
        <v>1189</v>
      </c>
      <c r="G1086" s="25">
        <f t="shared" si="15"/>
        <v>-2.6760429000489361E-2</v>
      </c>
    </row>
    <row r="1087" spans="1:7">
      <c r="A1087" s="63">
        <v>224.6602</v>
      </c>
      <c r="B1087" s="63">
        <v>230.55799999999999</v>
      </c>
      <c r="C1087" s="63">
        <v>224.5609</v>
      </c>
      <c r="D1087" s="63">
        <v>225.85169999999999</v>
      </c>
      <c r="E1087" s="63">
        <v>5332617</v>
      </c>
      <c r="F1087" s="63" t="s">
        <v>1188</v>
      </c>
      <c r="G1087" s="25">
        <f t="shared" si="15"/>
        <v>-5.2755857051329791E-3</v>
      </c>
    </row>
    <row r="1088" spans="1:7">
      <c r="A1088" s="63">
        <v>224.45169999999999</v>
      </c>
      <c r="B1088" s="63">
        <v>229.08850000000001</v>
      </c>
      <c r="C1088" s="63">
        <v>223.69710000000001</v>
      </c>
      <c r="D1088" s="63">
        <v>226.82470000000001</v>
      </c>
      <c r="E1088" s="63">
        <v>6034024</v>
      </c>
      <c r="F1088" s="63" t="s">
        <v>1187</v>
      </c>
      <c r="G1088" s="25">
        <f t="shared" si="15"/>
        <v>-1.0461823602103348E-2</v>
      </c>
    </row>
    <row r="1089" spans="1:7">
      <c r="A1089" s="63">
        <v>229.5849</v>
      </c>
      <c r="B1089" s="63">
        <v>231.63030000000001</v>
      </c>
      <c r="C1089" s="63">
        <v>225.9881</v>
      </c>
      <c r="D1089" s="63">
        <v>226.40770000000001</v>
      </c>
      <c r="E1089" s="63">
        <v>5805137</v>
      </c>
      <c r="F1089" s="63" t="s">
        <v>1186</v>
      </c>
      <c r="G1089" s="25">
        <f t="shared" si="15"/>
        <v>1.403309163071742E-2</v>
      </c>
    </row>
    <row r="1090" spans="1:7">
      <c r="A1090" s="63">
        <v>227.0034</v>
      </c>
      <c r="B1090" s="63">
        <v>237.09110000000001</v>
      </c>
      <c r="C1090" s="63">
        <v>226.29849999999999</v>
      </c>
      <c r="D1090" s="63">
        <v>235.81030000000001</v>
      </c>
      <c r="E1090" s="63">
        <v>6680317</v>
      </c>
      <c r="F1090" s="63" t="s">
        <v>1185</v>
      </c>
      <c r="G1090" s="25">
        <f t="shared" si="15"/>
        <v>-3.7347393222433523E-2</v>
      </c>
    </row>
    <row r="1091" spans="1:7">
      <c r="A1091" s="63">
        <v>236.13800000000001</v>
      </c>
      <c r="B1091" s="63">
        <v>237.57769999999999</v>
      </c>
      <c r="C1091" s="63">
        <v>234.08269999999999</v>
      </c>
      <c r="D1091" s="63">
        <v>235.31389999999999</v>
      </c>
      <c r="E1091" s="63">
        <v>6718884</v>
      </c>
      <c r="F1091" s="63" t="s">
        <v>1184</v>
      </c>
      <c r="G1091" s="25">
        <f t="shared" si="15"/>
        <v>3.5021305583733398E-3</v>
      </c>
    </row>
    <row r="1092" spans="1:7">
      <c r="A1092" s="63">
        <v>233.16919999999999</v>
      </c>
      <c r="B1092" s="63">
        <v>234.66849999999999</v>
      </c>
      <c r="C1092" s="63">
        <v>224.94820000000001</v>
      </c>
      <c r="D1092" s="63">
        <v>227.1722</v>
      </c>
      <c r="E1092" s="63">
        <v>7635332</v>
      </c>
      <c r="F1092" s="63" t="s">
        <v>1183</v>
      </c>
      <c r="G1092" s="25">
        <f t="shared" si="15"/>
        <v>2.6398476574158281E-2</v>
      </c>
    </row>
    <row r="1093" spans="1:7">
      <c r="A1093" s="63">
        <v>227.99629999999999</v>
      </c>
      <c r="B1093" s="63">
        <v>228.19489999999999</v>
      </c>
      <c r="C1093" s="63">
        <v>217.33269999999999</v>
      </c>
      <c r="D1093" s="63">
        <v>223.89570000000001</v>
      </c>
      <c r="E1093" s="63">
        <v>7803784</v>
      </c>
      <c r="F1093" s="63" t="s">
        <v>1182</v>
      </c>
      <c r="G1093" s="25">
        <f t="shared" si="15"/>
        <v>1.8314777818421613E-2</v>
      </c>
    </row>
    <row r="1094" spans="1:7">
      <c r="A1094" s="63">
        <v>226.6857</v>
      </c>
      <c r="B1094" s="63">
        <v>230.6275</v>
      </c>
      <c r="C1094" s="63">
        <v>224.4418</v>
      </c>
      <c r="D1094" s="63">
        <v>226.87440000000001</v>
      </c>
      <c r="E1094" s="63">
        <v>6286718</v>
      </c>
      <c r="F1094" s="63" t="s">
        <v>1181</v>
      </c>
      <c r="G1094" s="25">
        <f t="shared" si="15"/>
        <v>-8.317377368270984E-4</v>
      </c>
    </row>
    <row r="1095" spans="1:7">
      <c r="A1095" s="63">
        <v>227.5197</v>
      </c>
      <c r="B1095" s="63">
        <v>232.81180000000001</v>
      </c>
      <c r="C1095" s="63">
        <v>224.44499999999999</v>
      </c>
      <c r="D1095" s="63">
        <v>226.41759999999999</v>
      </c>
      <c r="E1095" s="63">
        <v>9376094</v>
      </c>
      <c r="F1095" s="63" t="s">
        <v>1180</v>
      </c>
      <c r="G1095" s="25">
        <f t="shared" si="15"/>
        <v>4.8675544657306169E-3</v>
      </c>
    </row>
    <row r="1096" spans="1:7">
      <c r="A1096" s="63">
        <v>226.05029999999999</v>
      </c>
      <c r="B1096" s="63">
        <v>236.50530000000001</v>
      </c>
      <c r="C1096" s="63">
        <v>225.69280000000001</v>
      </c>
      <c r="D1096" s="63">
        <v>234.4898</v>
      </c>
      <c r="E1096" s="63">
        <v>18882465</v>
      </c>
      <c r="F1096" s="63" t="s">
        <v>1179</v>
      </c>
      <c r="G1096" s="25">
        <f t="shared" si="15"/>
        <v>-3.5990904508426458E-2</v>
      </c>
    </row>
    <row r="1097" spans="1:7">
      <c r="A1097" s="63">
        <v>246.464</v>
      </c>
      <c r="B1097" s="63">
        <v>255.04249999999999</v>
      </c>
      <c r="C1097" s="63">
        <v>241.6634</v>
      </c>
      <c r="D1097" s="63">
        <v>255.02269999999999</v>
      </c>
      <c r="E1097" s="63">
        <v>7240729</v>
      </c>
      <c r="F1097" s="63" t="s">
        <v>1178</v>
      </c>
      <c r="G1097" s="25">
        <f t="shared" si="15"/>
        <v>-3.3560541865488736E-2</v>
      </c>
    </row>
    <row r="1098" spans="1:7">
      <c r="A1098" s="63">
        <v>253.64250000000001</v>
      </c>
      <c r="B1098" s="63">
        <v>254.87370000000001</v>
      </c>
      <c r="C1098" s="63">
        <v>246.881</v>
      </c>
      <c r="D1098" s="63">
        <v>253.19569999999999</v>
      </c>
      <c r="E1098" s="63">
        <v>4318489</v>
      </c>
      <c r="F1098" s="63" t="s">
        <v>1177</v>
      </c>
      <c r="G1098" s="25">
        <f t="shared" si="15"/>
        <v>1.7646429224509319E-3</v>
      </c>
    </row>
    <row r="1099" spans="1:7">
      <c r="A1099" s="63">
        <v>252.322</v>
      </c>
      <c r="B1099" s="63">
        <v>254.6652</v>
      </c>
      <c r="C1099" s="63">
        <v>251.82560000000001</v>
      </c>
      <c r="D1099" s="63">
        <v>252.65960000000001</v>
      </c>
      <c r="E1099" s="63">
        <v>3169312</v>
      </c>
      <c r="F1099" s="63" t="s">
        <v>1176</v>
      </c>
      <c r="G1099" s="25">
        <f t="shared" si="15"/>
        <v>-1.3361851281329384E-3</v>
      </c>
    </row>
    <row r="1100" spans="1:7">
      <c r="A1100" s="63">
        <v>253.51349999999999</v>
      </c>
      <c r="B1100" s="63">
        <v>256.0652</v>
      </c>
      <c r="C1100" s="63">
        <v>252.6497</v>
      </c>
      <c r="D1100" s="63">
        <v>253.4837</v>
      </c>
      <c r="E1100" s="63">
        <v>2950573</v>
      </c>
      <c r="F1100" s="63" t="s">
        <v>1175</v>
      </c>
      <c r="G1100" s="25">
        <f t="shared" si="15"/>
        <v>1.1756179983168913E-4</v>
      </c>
    </row>
    <row r="1101" spans="1:7">
      <c r="A1101" s="63">
        <v>252.72909999999999</v>
      </c>
      <c r="B1101" s="63">
        <v>254.60560000000001</v>
      </c>
      <c r="C1101" s="63">
        <v>251.3192</v>
      </c>
      <c r="D1101" s="63">
        <v>254.17869999999999</v>
      </c>
      <c r="E1101" s="63">
        <v>2592745</v>
      </c>
      <c r="F1101" s="63" t="s">
        <v>1174</v>
      </c>
      <c r="G1101" s="25">
        <f t="shared" si="15"/>
        <v>-5.7030742544517121E-3</v>
      </c>
    </row>
    <row r="1102" spans="1:7">
      <c r="A1102" s="63">
        <v>253.6326</v>
      </c>
      <c r="B1102" s="63">
        <v>258.92469999999997</v>
      </c>
      <c r="C1102" s="63">
        <v>253.12430000000001</v>
      </c>
      <c r="D1102" s="63">
        <v>257.88220000000001</v>
      </c>
      <c r="E1102" s="63">
        <v>3296365</v>
      </c>
      <c r="F1102" s="63" t="s">
        <v>1173</v>
      </c>
      <c r="G1102" s="25">
        <f t="shared" si="15"/>
        <v>-1.6478841889824181E-2</v>
      </c>
    </row>
    <row r="1103" spans="1:7">
      <c r="A1103" s="63">
        <v>256.46230000000003</v>
      </c>
      <c r="B1103" s="63">
        <v>256.59140000000002</v>
      </c>
      <c r="C1103" s="63">
        <v>251.4383</v>
      </c>
      <c r="D1103" s="63">
        <v>251.5873</v>
      </c>
      <c r="E1103" s="63">
        <v>3532542</v>
      </c>
      <c r="F1103" s="63" t="s">
        <v>1172</v>
      </c>
      <c r="G1103" s="25">
        <f t="shared" si="15"/>
        <v>1.9376971731085213E-2</v>
      </c>
    </row>
    <row r="1104" spans="1:7">
      <c r="A1104" s="63">
        <v>251.3391</v>
      </c>
      <c r="B1104" s="63">
        <v>252.50069999999999</v>
      </c>
      <c r="C1104" s="63">
        <v>247.56110000000001</v>
      </c>
      <c r="D1104" s="63">
        <v>249.4426</v>
      </c>
      <c r="E1104" s="63">
        <v>3769478</v>
      </c>
      <c r="F1104" s="63" t="s">
        <v>1171</v>
      </c>
      <c r="G1104" s="25">
        <f t="shared" si="15"/>
        <v>7.6029515407551873E-3</v>
      </c>
    </row>
    <row r="1105" spans="1:7">
      <c r="A1105" s="63">
        <v>251.00149999999999</v>
      </c>
      <c r="B1105" s="63">
        <v>252.4511</v>
      </c>
      <c r="C1105" s="63">
        <v>247.73490000000001</v>
      </c>
      <c r="D1105" s="63">
        <v>251.61709999999999</v>
      </c>
      <c r="E1105" s="63">
        <v>4982392</v>
      </c>
      <c r="F1105" s="63" t="s">
        <v>1170</v>
      </c>
      <c r="G1105" s="25">
        <f t="shared" si="15"/>
        <v>-2.4465745770061442E-3</v>
      </c>
    </row>
    <row r="1106" spans="1:7">
      <c r="A1106" s="63">
        <v>250.75319999999999</v>
      </c>
      <c r="B1106" s="63">
        <v>251.21</v>
      </c>
      <c r="C1106" s="63">
        <v>243.5052</v>
      </c>
      <c r="D1106" s="63">
        <v>246.23560000000001</v>
      </c>
      <c r="E1106" s="63">
        <v>5428209</v>
      </c>
      <c r="F1106" s="63" t="s">
        <v>1169</v>
      </c>
      <c r="G1106" s="25">
        <f t="shared" si="15"/>
        <v>1.8346656616671231E-2</v>
      </c>
    </row>
    <row r="1107" spans="1:7">
      <c r="A1107" s="63">
        <v>245.4512</v>
      </c>
      <c r="B1107" s="63">
        <v>249.75040000000001</v>
      </c>
      <c r="C1107" s="63">
        <v>244.74629999999999</v>
      </c>
      <c r="D1107" s="63">
        <v>248.1122</v>
      </c>
      <c r="E1107" s="63">
        <v>5580059</v>
      </c>
      <c r="F1107" s="63" t="s">
        <v>1168</v>
      </c>
      <c r="G1107" s="25">
        <f t="shared" si="15"/>
        <v>-1.07249865181962E-2</v>
      </c>
    </row>
    <row r="1108" spans="1:7">
      <c r="A1108" s="63">
        <v>251.13050000000001</v>
      </c>
      <c r="B1108" s="63">
        <v>252.09360000000001</v>
      </c>
      <c r="C1108" s="63">
        <v>245.0342</v>
      </c>
      <c r="D1108" s="63">
        <v>249.45259999999999</v>
      </c>
      <c r="E1108" s="63">
        <v>12170272</v>
      </c>
      <c r="F1108" s="63" t="s">
        <v>1167</v>
      </c>
      <c r="G1108" s="25">
        <f t="shared" si="15"/>
        <v>6.7263279677181043E-3</v>
      </c>
    </row>
    <row r="1109" spans="1:7">
      <c r="A1109" s="63">
        <v>251.3192</v>
      </c>
      <c r="B1109" s="63">
        <v>259.4905</v>
      </c>
      <c r="C1109" s="63">
        <v>250.4256</v>
      </c>
      <c r="D1109" s="63">
        <v>258.15019999999998</v>
      </c>
      <c r="E1109" s="63">
        <v>6556672</v>
      </c>
      <c r="F1109" s="63" t="s">
        <v>1166</v>
      </c>
      <c r="G1109" s="25">
        <f t="shared" si="15"/>
        <v>-2.6461339173860732E-2</v>
      </c>
    </row>
    <row r="1110" spans="1:7">
      <c r="A1110" s="63">
        <v>258.19</v>
      </c>
      <c r="B1110" s="63">
        <v>258.33890000000002</v>
      </c>
      <c r="C1110" s="63">
        <v>250.1079</v>
      </c>
      <c r="D1110" s="63">
        <v>253.0369</v>
      </c>
      <c r="E1110" s="63">
        <v>6484942</v>
      </c>
      <c r="F1110" s="63" t="s">
        <v>1165</v>
      </c>
      <c r="G1110" s="25">
        <f t="shared" si="15"/>
        <v>2.0365013956462397E-2</v>
      </c>
    </row>
    <row r="1111" spans="1:7">
      <c r="A1111" s="63">
        <v>253.77160000000001</v>
      </c>
      <c r="B1111" s="63">
        <v>260.28500000000003</v>
      </c>
      <c r="C1111" s="63">
        <v>251.49789999999999</v>
      </c>
      <c r="D1111" s="63">
        <v>260.13600000000002</v>
      </c>
      <c r="E1111" s="63">
        <v>7227339</v>
      </c>
      <c r="F1111" s="63" t="s">
        <v>1164</v>
      </c>
      <c r="G1111" s="25">
        <f t="shared" si="15"/>
        <v>-2.4465664114155738E-2</v>
      </c>
    </row>
    <row r="1112" spans="1:7">
      <c r="A1112" s="63">
        <v>263.86930000000001</v>
      </c>
      <c r="B1112" s="63">
        <v>268.63510000000002</v>
      </c>
      <c r="C1112" s="63">
        <v>262.72739999999999</v>
      </c>
      <c r="D1112" s="63">
        <v>263.90899999999999</v>
      </c>
      <c r="E1112" s="63">
        <v>3625721</v>
      </c>
      <c r="F1112" s="63" t="s">
        <v>1163</v>
      </c>
      <c r="G1112" s="25">
        <f t="shared" si="15"/>
        <v>-1.5043064086472935E-4</v>
      </c>
    </row>
    <row r="1113" spans="1:7">
      <c r="A1113" s="63">
        <v>264.13729999999998</v>
      </c>
      <c r="B1113" s="63">
        <v>268.64499999999998</v>
      </c>
      <c r="C1113" s="63">
        <v>262.55869999999999</v>
      </c>
      <c r="D1113" s="63">
        <v>264.20679999999999</v>
      </c>
      <c r="E1113" s="63">
        <v>3480091</v>
      </c>
      <c r="F1113" s="63" t="s">
        <v>1162</v>
      </c>
      <c r="G1113" s="25">
        <f t="shared" si="15"/>
        <v>-2.6305151873462496E-4</v>
      </c>
    </row>
    <row r="1114" spans="1:7">
      <c r="A1114" s="63">
        <v>262.43950000000001</v>
      </c>
      <c r="B1114" s="63">
        <v>264.78269999999998</v>
      </c>
      <c r="C1114" s="63">
        <v>260.7715</v>
      </c>
      <c r="D1114" s="63">
        <v>264.14729999999997</v>
      </c>
      <c r="E1114" s="63">
        <v>3966956</v>
      </c>
      <c r="F1114" s="63" t="s">
        <v>1161</v>
      </c>
      <c r="G1114" s="25">
        <f t="shared" si="15"/>
        <v>-6.4653320325438468E-3</v>
      </c>
    </row>
    <row r="1115" spans="1:7">
      <c r="A1115" s="63">
        <v>264.41539999999998</v>
      </c>
      <c r="B1115" s="63">
        <v>266.58980000000003</v>
      </c>
      <c r="C1115" s="63">
        <v>262.68770000000001</v>
      </c>
      <c r="D1115" s="63">
        <v>266.40109999999999</v>
      </c>
      <c r="E1115" s="63">
        <v>4586480</v>
      </c>
      <c r="F1115" s="63" t="s">
        <v>1160</v>
      </c>
      <c r="G1115" s="25">
        <f t="shared" si="15"/>
        <v>-7.4537980511342194E-3</v>
      </c>
    </row>
    <row r="1116" spans="1:7">
      <c r="A1116" s="63">
        <v>265.09050000000002</v>
      </c>
      <c r="B1116" s="63">
        <v>268.3075</v>
      </c>
      <c r="C1116" s="63">
        <v>261.72460000000001</v>
      </c>
      <c r="D1116" s="63">
        <v>263.5813</v>
      </c>
      <c r="E1116" s="63">
        <v>7401230</v>
      </c>
      <c r="F1116" s="63" t="s">
        <v>1159</v>
      </c>
      <c r="G1116" s="25">
        <f t="shared" si="15"/>
        <v>5.7257476156313825E-3</v>
      </c>
    </row>
    <row r="1117" spans="1:7">
      <c r="A1117" s="63">
        <v>256.90910000000002</v>
      </c>
      <c r="B1117" s="63">
        <v>257.38569999999999</v>
      </c>
      <c r="C1117" s="63">
        <v>248.9263</v>
      </c>
      <c r="D1117" s="63">
        <v>254.27799999999999</v>
      </c>
      <c r="E1117" s="63">
        <v>7122951</v>
      </c>
      <c r="F1117" s="63" t="s">
        <v>1158</v>
      </c>
      <c r="G1117" s="25">
        <f t="shared" si="15"/>
        <v>1.0347336379867844E-2</v>
      </c>
    </row>
    <row r="1118" spans="1:7">
      <c r="A1118" s="63">
        <v>256.48219999999998</v>
      </c>
      <c r="B1118" s="63">
        <v>259.88780000000003</v>
      </c>
      <c r="C1118" s="63">
        <v>249.9093</v>
      </c>
      <c r="D1118" s="63">
        <v>259.68920000000003</v>
      </c>
      <c r="E1118" s="63">
        <v>8944026</v>
      </c>
      <c r="F1118" s="63" t="s">
        <v>1157</v>
      </c>
      <c r="G1118" s="25">
        <f t="shared" si="15"/>
        <v>-1.23493776406568E-2</v>
      </c>
    </row>
    <row r="1119" spans="1:7">
      <c r="A1119" s="63">
        <v>259.3417</v>
      </c>
      <c r="B1119" s="63">
        <v>260.71190000000001</v>
      </c>
      <c r="C1119" s="63">
        <v>250.34630000000001</v>
      </c>
      <c r="D1119" s="63">
        <v>251.0213</v>
      </c>
      <c r="E1119" s="63">
        <v>12200786</v>
      </c>
      <c r="F1119" s="63" t="s">
        <v>1156</v>
      </c>
      <c r="G1119" s="25">
        <f t="shared" si="15"/>
        <v>3.3146191179792339E-2</v>
      </c>
    </row>
    <row r="1120" spans="1:7">
      <c r="A1120" s="63">
        <v>249.7107</v>
      </c>
      <c r="B1120" s="63">
        <v>274.96969999999999</v>
      </c>
      <c r="C1120" s="63">
        <v>249.67099999999999</v>
      </c>
      <c r="D1120" s="63">
        <v>269.33010000000002</v>
      </c>
      <c r="E1120" s="63">
        <v>30744431</v>
      </c>
      <c r="F1120" s="63" t="s">
        <v>1155</v>
      </c>
      <c r="G1120" s="25">
        <f t="shared" si="15"/>
        <v>-7.2845181433490058E-2</v>
      </c>
    </row>
    <row r="1121" spans="1:7">
      <c r="A1121" s="63">
        <v>282.93270000000001</v>
      </c>
      <c r="B1121" s="63">
        <v>297.14089999999999</v>
      </c>
      <c r="C1121" s="63">
        <v>281.38380000000001</v>
      </c>
      <c r="D1121" s="63">
        <v>294.08280000000002</v>
      </c>
      <c r="E1121" s="63">
        <v>13597638</v>
      </c>
      <c r="F1121" s="63" t="s">
        <v>1154</v>
      </c>
      <c r="G1121" s="25">
        <f t="shared" si="15"/>
        <v>-3.7914832149313127E-2</v>
      </c>
    </row>
    <row r="1122" spans="1:7">
      <c r="A1122" s="63">
        <v>294.62889999999999</v>
      </c>
      <c r="B1122" s="63">
        <v>296.26710000000003</v>
      </c>
      <c r="C1122" s="63">
        <v>282.67450000000002</v>
      </c>
      <c r="D1122" s="63">
        <v>287.46019999999999</v>
      </c>
      <c r="E1122" s="63">
        <v>8215565</v>
      </c>
      <c r="F1122" s="63" t="s">
        <v>1153</v>
      </c>
      <c r="G1122" s="25">
        <f t="shared" si="15"/>
        <v>2.4938060990704169E-2</v>
      </c>
    </row>
    <row r="1123" spans="1:7">
      <c r="A1123" s="63">
        <v>282.18799999999999</v>
      </c>
      <c r="B1123" s="63">
        <v>285.52409999999998</v>
      </c>
      <c r="C1123" s="63">
        <v>281.02629999999999</v>
      </c>
      <c r="D1123" s="63">
        <v>282.47590000000002</v>
      </c>
      <c r="E1123" s="63">
        <v>4195279</v>
      </c>
      <c r="F1123" s="63" t="s">
        <v>1152</v>
      </c>
      <c r="G1123" s="25">
        <f t="shared" si="15"/>
        <v>-1.0192019920992612E-3</v>
      </c>
    </row>
    <row r="1124" spans="1:7">
      <c r="A1124" s="63">
        <v>287.11270000000002</v>
      </c>
      <c r="B1124" s="63">
        <v>287.39060000000001</v>
      </c>
      <c r="C1124" s="63">
        <v>281.18520000000001</v>
      </c>
      <c r="D1124" s="63">
        <v>284.005</v>
      </c>
      <c r="E1124" s="63">
        <v>5091437</v>
      </c>
      <c r="F1124" s="63" t="s">
        <v>1151</v>
      </c>
      <c r="G1124" s="25">
        <f t="shared" si="15"/>
        <v>1.0942412985686989E-2</v>
      </c>
    </row>
    <row r="1125" spans="1:7">
      <c r="A1125" s="63">
        <v>289.3467</v>
      </c>
      <c r="B1125" s="63">
        <v>294.36079999999998</v>
      </c>
      <c r="C1125" s="63">
        <v>286.25880000000001</v>
      </c>
      <c r="D1125" s="63">
        <v>291.56079999999997</v>
      </c>
      <c r="E1125" s="63">
        <v>6432469</v>
      </c>
      <c r="F1125" s="63" t="s">
        <v>1150</v>
      </c>
      <c r="G1125" s="25">
        <f t="shared" si="15"/>
        <v>-7.5939563891990192E-3</v>
      </c>
    </row>
    <row r="1126" spans="1:7">
      <c r="A1126" s="63">
        <v>294.72820000000002</v>
      </c>
      <c r="B1126" s="63">
        <v>303.31659999999999</v>
      </c>
      <c r="C1126" s="63">
        <v>294.60899999999998</v>
      </c>
      <c r="D1126" s="63">
        <v>299.69260000000003</v>
      </c>
      <c r="E1126" s="63">
        <v>4476157</v>
      </c>
      <c r="F1126" s="63" t="s">
        <v>1149</v>
      </c>
      <c r="G1126" s="25">
        <f t="shared" si="15"/>
        <v>-1.6564973576257858E-2</v>
      </c>
    </row>
    <row r="1127" spans="1:7">
      <c r="A1127" s="63">
        <v>299.02730000000003</v>
      </c>
      <c r="B1127" s="63">
        <v>303.82299999999998</v>
      </c>
      <c r="C1127" s="63">
        <v>298.95780000000002</v>
      </c>
      <c r="D1127" s="63">
        <v>303.53500000000003</v>
      </c>
      <c r="E1127" s="63">
        <v>4758869</v>
      </c>
      <c r="F1127" s="63" t="s">
        <v>1148</v>
      </c>
      <c r="G1127" s="25">
        <f t="shared" si="15"/>
        <v>-1.485067619879088E-2</v>
      </c>
    </row>
    <row r="1128" spans="1:7">
      <c r="A1128" s="63">
        <v>300.83440000000002</v>
      </c>
      <c r="B1128" s="63">
        <v>304.80590000000001</v>
      </c>
      <c r="C1128" s="63">
        <v>297.44869999999997</v>
      </c>
      <c r="D1128" s="63">
        <v>303.98180000000002</v>
      </c>
      <c r="E1128" s="63">
        <v>4444339</v>
      </c>
      <c r="F1128" s="63" t="s">
        <v>1147</v>
      </c>
      <c r="G1128" s="25">
        <f t="shared" si="15"/>
        <v>-1.0353909345888535E-2</v>
      </c>
    </row>
    <row r="1129" spans="1:7">
      <c r="A1129" s="63">
        <v>305.82859999999999</v>
      </c>
      <c r="B1129" s="63">
        <v>307.6952</v>
      </c>
      <c r="C1129" s="63">
        <v>305.0641</v>
      </c>
      <c r="D1129" s="63">
        <v>305.59030000000001</v>
      </c>
      <c r="E1129" s="63">
        <v>3864656</v>
      </c>
      <c r="F1129" s="63" t="s">
        <v>1146</v>
      </c>
      <c r="G1129" s="25">
        <f t="shared" si="15"/>
        <v>7.7980223848728158E-4</v>
      </c>
    </row>
    <row r="1130" spans="1:7">
      <c r="A1130" s="63">
        <v>304.90519999999998</v>
      </c>
      <c r="B1130" s="63">
        <v>305.39170000000001</v>
      </c>
      <c r="C1130" s="63">
        <v>300.56729999999999</v>
      </c>
      <c r="D1130" s="63">
        <v>301.91660000000002</v>
      </c>
      <c r="E1130" s="63">
        <v>2989383</v>
      </c>
      <c r="F1130" s="63" t="s">
        <v>1145</v>
      </c>
      <c r="G1130" s="25">
        <f t="shared" si="15"/>
        <v>9.8987601211724119E-3</v>
      </c>
    </row>
    <row r="1131" spans="1:7">
      <c r="A1131" s="63">
        <v>303.31659999999999</v>
      </c>
      <c r="B1131" s="63">
        <v>305.57049999999998</v>
      </c>
      <c r="C1131" s="63">
        <v>301.0727</v>
      </c>
      <c r="D1131" s="63">
        <v>304.71660000000003</v>
      </c>
      <c r="E1131" s="63">
        <v>3595625</v>
      </c>
      <c r="F1131" s="63" t="s">
        <v>1144</v>
      </c>
      <c r="G1131" s="25">
        <f t="shared" si="15"/>
        <v>-4.5944329911794535E-3</v>
      </c>
    </row>
    <row r="1132" spans="1:7">
      <c r="A1132" s="63">
        <v>304.46839999999997</v>
      </c>
      <c r="B1132" s="63">
        <v>305.03429999999997</v>
      </c>
      <c r="C1132" s="63">
        <v>299.48410000000001</v>
      </c>
      <c r="D1132" s="63">
        <v>302.33370000000002</v>
      </c>
      <c r="E1132" s="63">
        <v>3803734</v>
      </c>
      <c r="F1132" s="63" t="s">
        <v>1143</v>
      </c>
      <c r="G1132" s="25">
        <f t="shared" si="15"/>
        <v>7.0607411611738335E-3</v>
      </c>
    </row>
    <row r="1133" spans="1:7">
      <c r="A1133" s="63">
        <v>300.8245</v>
      </c>
      <c r="B1133" s="63">
        <v>303.57479999999998</v>
      </c>
      <c r="C1133" s="63">
        <v>299.35500000000002</v>
      </c>
      <c r="D1133" s="63">
        <v>299.35500000000002</v>
      </c>
      <c r="E1133" s="63">
        <v>2681892</v>
      </c>
      <c r="F1133" s="63" t="s">
        <v>1142</v>
      </c>
      <c r="G1133" s="25">
        <f t="shared" si="15"/>
        <v>4.9088874413321104E-3</v>
      </c>
    </row>
    <row r="1134" spans="1:7">
      <c r="A1134" s="63">
        <v>297.53800000000001</v>
      </c>
      <c r="B1134" s="63">
        <v>306.39460000000003</v>
      </c>
      <c r="C1134" s="63">
        <v>295.76569999999998</v>
      </c>
      <c r="D1134" s="63">
        <v>304.38889999999998</v>
      </c>
      <c r="E1134" s="63">
        <v>4350924</v>
      </c>
      <c r="F1134" s="63" t="s">
        <v>1141</v>
      </c>
      <c r="G1134" s="25">
        <f t="shared" si="15"/>
        <v>-2.2507062511149312E-2</v>
      </c>
    </row>
    <row r="1135" spans="1:7">
      <c r="A1135" s="63">
        <v>307.50659999999999</v>
      </c>
      <c r="B1135" s="63">
        <v>309.53210000000001</v>
      </c>
      <c r="C1135" s="63">
        <v>305.03429999999997</v>
      </c>
      <c r="D1135" s="63">
        <v>307.79450000000003</v>
      </c>
      <c r="E1135" s="63">
        <v>3126523</v>
      </c>
      <c r="F1135" s="63" t="s">
        <v>1140</v>
      </c>
      <c r="G1135" s="25">
        <f t="shared" si="15"/>
        <v>-9.3536434211793917E-4</v>
      </c>
    </row>
    <row r="1136" spans="1:7">
      <c r="A1136" s="63">
        <v>307.75479999999999</v>
      </c>
      <c r="B1136" s="63">
        <v>309.1746</v>
      </c>
      <c r="C1136" s="63">
        <v>303.72379999999998</v>
      </c>
      <c r="D1136" s="63">
        <v>305.01440000000002</v>
      </c>
      <c r="E1136" s="63">
        <v>3893014</v>
      </c>
      <c r="F1136" s="63" t="s">
        <v>1139</v>
      </c>
      <c r="G1136" s="25">
        <f t="shared" si="15"/>
        <v>8.9844938468477409E-3</v>
      </c>
    </row>
    <row r="1137" spans="1:7">
      <c r="A1137" s="63">
        <v>305.0641</v>
      </c>
      <c r="B1137" s="63">
        <v>309.18459999999999</v>
      </c>
      <c r="C1137" s="63">
        <v>301.18189999999998</v>
      </c>
      <c r="D1137" s="63">
        <v>306.30520000000001</v>
      </c>
      <c r="E1137" s="63">
        <v>4681990</v>
      </c>
      <c r="F1137" s="63" t="s">
        <v>1138</v>
      </c>
      <c r="G1137" s="25">
        <f t="shared" si="15"/>
        <v>-4.0518411048849901E-3</v>
      </c>
    </row>
    <row r="1138" spans="1:7">
      <c r="A1138" s="63">
        <v>305.8485</v>
      </c>
      <c r="B1138" s="63">
        <v>306.2158</v>
      </c>
      <c r="C1138" s="63">
        <v>300.24860000000001</v>
      </c>
      <c r="D1138" s="63">
        <v>301.3408</v>
      </c>
      <c r="E1138" s="63">
        <v>3833787</v>
      </c>
      <c r="F1138" s="63" t="s">
        <v>1137</v>
      </c>
      <c r="G1138" s="25">
        <f t="shared" si="15"/>
        <v>1.4958810755131724E-2</v>
      </c>
    </row>
    <row r="1139" spans="1:7">
      <c r="A1139" s="63">
        <v>300.73509999999999</v>
      </c>
      <c r="B1139" s="63">
        <v>301.7876</v>
      </c>
      <c r="C1139" s="63">
        <v>296.06849999999997</v>
      </c>
      <c r="D1139" s="63">
        <v>301.7876</v>
      </c>
      <c r="E1139" s="63">
        <v>3260169</v>
      </c>
      <c r="F1139" s="63" t="s">
        <v>1136</v>
      </c>
      <c r="G1139" s="25">
        <f t="shared" si="15"/>
        <v>-3.4875521724551106E-3</v>
      </c>
    </row>
    <row r="1140" spans="1:7">
      <c r="A1140" s="63">
        <v>300.79469999999998</v>
      </c>
      <c r="B1140" s="63">
        <v>301.28120000000001</v>
      </c>
      <c r="C1140" s="63">
        <v>297.2799</v>
      </c>
      <c r="D1140" s="63">
        <v>299.57339999999999</v>
      </c>
      <c r="E1140" s="63">
        <v>4177512</v>
      </c>
      <c r="F1140" s="63" t="s">
        <v>1135</v>
      </c>
      <c r="G1140" s="25">
        <f t="shared" si="15"/>
        <v>4.0767972056263702E-3</v>
      </c>
    </row>
    <row r="1141" spans="1:7">
      <c r="A1141" s="63">
        <v>300.60599999999999</v>
      </c>
      <c r="B1141" s="63">
        <v>302.69110000000001</v>
      </c>
      <c r="C1141" s="63">
        <v>297.58769999999998</v>
      </c>
      <c r="D1141" s="63">
        <v>299.35500000000002</v>
      </c>
      <c r="E1141" s="63">
        <v>3825097</v>
      </c>
      <c r="F1141" s="63" t="s">
        <v>1134</v>
      </c>
      <c r="G1141" s="25">
        <f t="shared" si="15"/>
        <v>4.1789848173572341E-3</v>
      </c>
    </row>
    <row r="1142" spans="1:7">
      <c r="A1142" s="63">
        <v>297.55790000000002</v>
      </c>
      <c r="B1142" s="63">
        <v>298.64010000000002</v>
      </c>
      <c r="C1142" s="63">
        <v>294.16219999999998</v>
      </c>
      <c r="D1142" s="63">
        <v>295.87990000000002</v>
      </c>
      <c r="E1142" s="63">
        <v>4251850</v>
      </c>
      <c r="F1142" s="63" t="s">
        <v>1133</v>
      </c>
      <c r="G1142" s="25">
        <f t="shared" si="15"/>
        <v>5.6712199781059347E-3</v>
      </c>
    </row>
    <row r="1143" spans="1:7">
      <c r="A1143" s="63">
        <v>296.25720000000001</v>
      </c>
      <c r="B1143" s="63">
        <v>296.68400000000003</v>
      </c>
      <c r="C1143" s="63">
        <v>291.44170000000003</v>
      </c>
      <c r="D1143" s="63">
        <v>292.97070000000002</v>
      </c>
      <c r="E1143" s="63">
        <v>3450407</v>
      </c>
      <c r="F1143" s="63" t="s">
        <v>1132</v>
      </c>
      <c r="G1143" s="25">
        <f t="shared" si="15"/>
        <v>1.1217845334021481E-2</v>
      </c>
    </row>
    <row r="1144" spans="1:7">
      <c r="A1144" s="63">
        <v>293.05020000000002</v>
      </c>
      <c r="B1144" s="63">
        <v>297.06139999999999</v>
      </c>
      <c r="C1144" s="63">
        <v>292.99059999999997</v>
      </c>
      <c r="D1144" s="63">
        <v>294.42039999999997</v>
      </c>
      <c r="E1144" s="63">
        <v>3742741</v>
      </c>
      <c r="F1144" s="63" t="s">
        <v>1131</v>
      </c>
      <c r="G1144" s="25">
        <f t="shared" si="15"/>
        <v>-4.6538894723325841E-3</v>
      </c>
    </row>
    <row r="1145" spans="1:7">
      <c r="A1145" s="63">
        <v>293.01049999999998</v>
      </c>
      <c r="B1145" s="63">
        <v>296.2373</v>
      </c>
      <c r="C1145" s="63">
        <v>291.53109999999998</v>
      </c>
      <c r="D1145" s="63">
        <v>293.67570000000001</v>
      </c>
      <c r="E1145" s="63">
        <v>3601447</v>
      </c>
      <c r="F1145" s="63" t="s">
        <v>1130</v>
      </c>
      <c r="G1145" s="25">
        <f t="shared" ref="G1145:G1208" si="16">A1145/D1145-1</f>
        <v>-2.2650835598587715E-3</v>
      </c>
    </row>
    <row r="1146" spans="1:7">
      <c r="A1146" s="63">
        <v>291.82889999999998</v>
      </c>
      <c r="B1146" s="63">
        <v>293.03030000000001</v>
      </c>
      <c r="C1146" s="63">
        <v>289.64460000000003</v>
      </c>
      <c r="D1146" s="63">
        <v>291.2133</v>
      </c>
      <c r="E1146" s="63">
        <v>2993500</v>
      </c>
      <c r="F1146" s="63" t="s">
        <v>1129</v>
      </c>
      <c r="G1146" s="25">
        <f t="shared" si="16"/>
        <v>2.1139144400341703E-3</v>
      </c>
    </row>
    <row r="1147" spans="1:7">
      <c r="A1147" s="63">
        <v>290.47859999999997</v>
      </c>
      <c r="B1147" s="63">
        <v>290.91550000000001</v>
      </c>
      <c r="C1147" s="63">
        <v>286.12979999999999</v>
      </c>
      <c r="D1147" s="63">
        <v>286.94389999999999</v>
      </c>
      <c r="E1147" s="63">
        <v>2927049</v>
      </c>
      <c r="F1147" s="63" t="s">
        <v>1128</v>
      </c>
      <c r="G1147" s="25">
        <f t="shared" si="16"/>
        <v>1.2318435763924551E-2</v>
      </c>
    </row>
    <row r="1148" spans="1:7">
      <c r="A1148" s="63">
        <v>287.7482</v>
      </c>
      <c r="B1148" s="63">
        <v>289.49970000000002</v>
      </c>
      <c r="C1148" s="63">
        <v>286.21910000000003</v>
      </c>
      <c r="D1148" s="63">
        <v>287.41059999999999</v>
      </c>
      <c r="E1148" s="63">
        <v>2828499</v>
      </c>
      <c r="F1148" s="63" t="s">
        <v>1127</v>
      </c>
      <c r="G1148" s="25">
        <f t="shared" si="16"/>
        <v>1.1746261272200798E-3</v>
      </c>
    </row>
    <row r="1149" spans="1:7">
      <c r="A1149" s="63">
        <v>288.02620000000002</v>
      </c>
      <c r="B1149" s="63">
        <v>293.30829999999997</v>
      </c>
      <c r="C1149" s="63">
        <v>285.90140000000002</v>
      </c>
      <c r="D1149" s="63">
        <v>291.0247</v>
      </c>
      <c r="E1149" s="63">
        <v>4487918</v>
      </c>
      <c r="F1149" s="63" t="s">
        <v>1126</v>
      </c>
      <c r="G1149" s="25">
        <f t="shared" si="16"/>
        <v>-1.0303249174382745E-2</v>
      </c>
    </row>
    <row r="1150" spans="1:7">
      <c r="A1150" s="63">
        <v>290.2602</v>
      </c>
      <c r="B1150" s="63">
        <v>293.42750000000001</v>
      </c>
      <c r="C1150" s="63">
        <v>289.28710000000001</v>
      </c>
      <c r="D1150" s="63">
        <v>290.02190000000002</v>
      </c>
      <c r="E1150" s="63">
        <v>3631164</v>
      </c>
      <c r="F1150" s="63" t="s">
        <v>1125</v>
      </c>
      <c r="G1150" s="25">
        <f t="shared" si="16"/>
        <v>8.2166208827660903E-4</v>
      </c>
    </row>
    <row r="1151" spans="1:7">
      <c r="A1151" s="63">
        <v>289.62470000000002</v>
      </c>
      <c r="B1151" s="63">
        <v>291.16370000000001</v>
      </c>
      <c r="C1151" s="63">
        <v>286.65600000000001</v>
      </c>
      <c r="D1151" s="63">
        <v>288.71129999999999</v>
      </c>
      <c r="E1151" s="63">
        <v>5163348</v>
      </c>
      <c r="F1151" s="63" t="s">
        <v>1124</v>
      </c>
      <c r="G1151" s="25">
        <f t="shared" si="16"/>
        <v>3.1637140631490812E-3</v>
      </c>
    </row>
    <row r="1152" spans="1:7">
      <c r="A1152" s="63">
        <v>289.58499999999998</v>
      </c>
      <c r="B1152" s="63">
        <v>290.78640000000001</v>
      </c>
      <c r="C1152" s="63">
        <v>287.26170000000002</v>
      </c>
      <c r="D1152" s="63">
        <v>290.40910000000002</v>
      </c>
      <c r="E1152" s="63">
        <v>5119331</v>
      </c>
      <c r="F1152" s="63" t="s">
        <v>1123</v>
      </c>
      <c r="G1152" s="25">
        <f t="shared" si="16"/>
        <v>-2.8377209942802573E-3</v>
      </c>
    </row>
    <row r="1153" spans="1:7">
      <c r="A1153" s="63">
        <v>287.95670000000001</v>
      </c>
      <c r="B1153" s="63">
        <v>288.57229999999998</v>
      </c>
      <c r="C1153" s="63">
        <v>282.63479999999998</v>
      </c>
      <c r="D1153" s="63">
        <v>283.96530000000001</v>
      </c>
      <c r="E1153" s="63">
        <v>5435676</v>
      </c>
      <c r="F1153" s="63" t="s">
        <v>1122</v>
      </c>
      <c r="G1153" s="25">
        <f t="shared" si="16"/>
        <v>1.4055942750751615E-2</v>
      </c>
    </row>
    <row r="1154" spans="1:7">
      <c r="A1154" s="63">
        <v>282.38659999999999</v>
      </c>
      <c r="B1154" s="63">
        <v>283.07170000000002</v>
      </c>
      <c r="C1154" s="63">
        <v>276.61790000000002</v>
      </c>
      <c r="D1154" s="63">
        <v>278.00799999999998</v>
      </c>
      <c r="E1154" s="63">
        <v>6575213</v>
      </c>
      <c r="F1154" s="63" t="s">
        <v>1121</v>
      </c>
      <c r="G1154" s="25">
        <f t="shared" si="16"/>
        <v>1.5749906477511511E-2</v>
      </c>
    </row>
    <row r="1155" spans="1:7">
      <c r="A1155" s="63">
        <v>277.01510000000002</v>
      </c>
      <c r="B1155" s="63">
        <v>278.75220000000002</v>
      </c>
      <c r="C1155" s="63">
        <v>274.06040000000002</v>
      </c>
      <c r="D1155" s="63">
        <v>274.45339999999999</v>
      </c>
      <c r="E1155" s="63">
        <v>5970095</v>
      </c>
      <c r="F1155" s="63" t="s">
        <v>1120</v>
      </c>
      <c r="G1155" s="25">
        <f t="shared" si="16"/>
        <v>9.3338249772092485E-3</v>
      </c>
    </row>
    <row r="1156" spans="1:7">
      <c r="A1156" s="63">
        <v>271.80239999999998</v>
      </c>
      <c r="B1156" s="63">
        <v>274.30450000000002</v>
      </c>
      <c r="C1156" s="63">
        <v>269.57839999999999</v>
      </c>
      <c r="D1156" s="63">
        <v>269.84640000000002</v>
      </c>
      <c r="E1156" s="63">
        <v>2693021</v>
      </c>
      <c r="F1156" s="63" t="s">
        <v>1119</v>
      </c>
      <c r="G1156" s="25">
        <f t="shared" si="16"/>
        <v>7.2485680742822023E-3</v>
      </c>
    </row>
    <row r="1157" spans="1:7">
      <c r="A1157" s="63">
        <v>270.54149999999998</v>
      </c>
      <c r="B1157" s="63">
        <v>274.94990000000001</v>
      </c>
      <c r="C1157" s="63">
        <v>270.33300000000003</v>
      </c>
      <c r="D1157" s="63">
        <v>273.5797</v>
      </c>
      <c r="E1157" s="63">
        <v>2683286</v>
      </c>
      <c r="F1157" s="63" t="s">
        <v>1118</v>
      </c>
      <c r="G1157" s="25">
        <f t="shared" si="16"/>
        <v>-1.1105356135707511E-2</v>
      </c>
    </row>
    <row r="1158" spans="1:7">
      <c r="A1158" s="63">
        <v>272.62650000000002</v>
      </c>
      <c r="B1158" s="63">
        <v>277.51150000000001</v>
      </c>
      <c r="C1158" s="63">
        <v>272.13499999999999</v>
      </c>
      <c r="D1158" s="63">
        <v>274.93</v>
      </c>
      <c r="E1158" s="63">
        <v>5374204</v>
      </c>
      <c r="F1158" s="63" t="s">
        <v>1117</v>
      </c>
      <c r="G1158" s="25">
        <f t="shared" si="16"/>
        <v>-8.3784963445240335E-3</v>
      </c>
    </row>
    <row r="1159" spans="1:7">
      <c r="A1159" s="63">
        <v>273.3116</v>
      </c>
      <c r="B1159" s="63">
        <v>273.52999999999997</v>
      </c>
      <c r="C1159" s="63">
        <v>265.59690000000001</v>
      </c>
      <c r="D1159" s="63">
        <v>267.75150000000002</v>
      </c>
      <c r="E1159" s="63">
        <v>4745485</v>
      </c>
      <c r="F1159" s="63" t="s">
        <v>1116</v>
      </c>
      <c r="G1159" s="25">
        <f t="shared" si="16"/>
        <v>2.0765896736339329E-2</v>
      </c>
    </row>
    <row r="1160" spans="1:7">
      <c r="A1160" s="63">
        <v>269.8365</v>
      </c>
      <c r="B1160" s="63">
        <v>271.60289999999998</v>
      </c>
      <c r="C1160" s="63">
        <v>269.10180000000003</v>
      </c>
      <c r="D1160" s="63">
        <v>270.17410000000001</v>
      </c>
      <c r="E1160" s="63">
        <v>4050404</v>
      </c>
      <c r="F1160" s="63" t="s">
        <v>1115</v>
      </c>
      <c r="G1160" s="25">
        <f t="shared" si="16"/>
        <v>-1.2495646325832999E-3</v>
      </c>
    </row>
    <row r="1161" spans="1:7">
      <c r="A1161" s="63">
        <v>268.93299999999999</v>
      </c>
      <c r="B1161" s="63">
        <v>273.34140000000002</v>
      </c>
      <c r="C1161" s="63">
        <v>264.2466</v>
      </c>
      <c r="D1161" s="63">
        <v>273.262</v>
      </c>
      <c r="E1161" s="63">
        <v>6393840</v>
      </c>
      <c r="F1161" s="63" t="s">
        <v>1114</v>
      </c>
      <c r="G1161" s="25">
        <f t="shared" si="16"/>
        <v>-1.5841939237801084E-2</v>
      </c>
    </row>
    <row r="1162" spans="1:7">
      <c r="A1162" s="63">
        <v>273.30169999999998</v>
      </c>
      <c r="B1162" s="63">
        <v>274.37400000000002</v>
      </c>
      <c r="C1162" s="63">
        <v>266.85789999999997</v>
      </c>
      <c r="D1162" s="63">
        <v>269.5684</v>
      </c>
      <c r="E1162" s="63">
        <v>4756004</v>
      </c>
      <c r="F1162" s="63" t="s">
        <v>1113</v>
      </c>
      <c r="G1162" s="25">
        <f t="shared" si="16"/>
        <v>1.384917520006046E-2</v>
      </c>
    </row>
    <row r="1163" spans="1:7">
      <c r="A1163" s="63">
        <v>269.29039999999998</v>
      </c>
      <c r="B1163" s="63">
        <v>272.30880000000002</v>
      </c>
      <c r="C1163" s="63">
        <v>268.51600000000002</v>
      </c>
      <c r="D1163" s="63">
        <v>268.72449999999998</v>
      </c>
      <c r="E1163" s="63">
        <v>5226998</v>
      </c>
      <c r="F1163" s="63" t="s">
        <v>1112</v>
      </c>
      <c r="G1163" s="25">
        <f t="shared" si="16"/>
        <v>2.1058742317876522E-3</v>
      </c>
    </row>
    <row r="1164" spans="1:7">
      <c r="A1164" s="63">
        <v>268.57549999999998</v>
      </c>
      <c r="B1164" s="63">
        <v>272.72800000000001</v>
      </c>
      <c r="C1164" s="63">
        <v>267.3245</v>
      </c>
      <c r="D1164" s="63">
        <v>271.54430000000002</v>
      </c>
      <c r="E1164" s="63">
        <v>4361850</v>
      </c>
      <c r="F1164" s="63" t="s">
        <v>1111</v>
      </c>
      <c r="G1164" s="25">
        <f t="shared" si="16"/>
        <v>-1.0933022714894158E-2</v>
      </c>
    </row>
    <row r="1165" spans="1:7">
      <c r="A1165" s="63">
        <v>270.34289999999999</v>
      </c>
      <c r="B1165" s="63">
        <v>274.73140000000001</v>
      </c>
      <c r="C1165" s="63">
        <v>268.11880000000002</v>
      </c>
      <c r="D1165" s="63">
        <v>273.15269999999998</v>
      </c>
      <c r="E1165" s="63">
        <v>7127081</v>
      </c>
      <c r="F1165" s="63" t="s">
        <v>1110</v>
      </c>
      <c r="G1165" s="25">
        <f t="shared" si="16"/>
        <v>-1.0286554004408477E-2</v>
      </c>
    </row>
    <row r="1166" spans="1:7">
      <c r="A1166" s="63">
        <v>277.6902</v>
      </c>
      <c r="B1166" s="63">
        <v>281.74119999999999</v>
      </c>
      <c r="C1166" s="63">
        <v>277.0548</v>
      </c>
      <c r="D1166" s="63">
        <v>280.43060000000003</v>
      </c>
      <c r="E1166" s="63">
        <v>5941145</v>
      </c>
      <c r="F1166" s="63" t="s">
        <v>1109</v>
      </c>
      <c r="G1166" s="25">
        <f t="shared" si="16"/>
        <v>-9.7721147406881759E-3</v>
      </c>
    </row>
    <row r="1167" spans="1:7">
      <c r="A1167" s="63">
        <v>283.59789999999998</v>
      </c>
      <c r="B1167" s="63">
        <v>284.3227</v>
      </c>
      <c r="C1167" s="63">
        <v>276.23070000000001</v>
      </c>
      <c r="D1167" s="63">
        <v>276.51859999999999</v>
      </c>
      <c r="E1167" s="63">
        <v>13368305</v>
      </c>
      <c r="F1167" s="63" t="s">
        <v>1108</v>
      </c>
      <c r="G1167" s="25">
        <f t="shared" si="16"/>
        <v>2.5601532772117297E-2</v>
      </c>
    </row>
    <row r="1168" spans="1:7">
      <c r="A1168" s="63">
        <v>275.88319999999999</v>
      </c>
      <c r="B1168" s="63">
        <v>277.40230000000003</v>
      </c>
      <c r="C1168" s="63">
        <v>264.50470000000001</v>
      </c>
      <c r="D1168" s="63">
        <v>268.07909999999998</v>
      </c>
      <c r="E1168" s="63">
        <v>15617209</v>
      </c>
      <c r="F1168" s="63" t="s">
        <v>1107</v>
      </c>
      <c r="G1168" s="25">
        <f t="shared" si="16"/>
        <v>2.9111183975177424E-2</v>
      </c>
    </row>
    <row r="1169" spans="1:7">
      <c r="A1169" s="63">
        <v>257.32619999999997</v>
      </c>
      <c r="B1169" s="63">
        <v>258.50670000000002</v>
      </c>
      <c r="C1169" s="63">
        <v>254.38720000000001</v>
      </c>
      <c r="D1169" s="63">
        <v>257.05810000000002</v>
      </c>
      <c r="E1169" s="63">
        <v>4355561</v>
      </c>
      <c r="F1169" s="63" t="s">
        <v>1106</v>
      </c>
      <c r="G1169" s="25">
        <f t="shared" si="16"/>
        <v>1.0429548806278888E-3</v>
      </c>
    </row>
    <row r="1170" spans="1:7">
      <c r="A1170" s="63">
        <v>256.13470000000001</v>
      </c>
      <c r="B1170" s="63">
        <v>260.68209999999999</v>
      </c>
      <c r="C1170" s="63">
        <v>255.93610000000001</v>
      </c>
      <c r="D1170" s="63">
        <v>257.62400000000002</v>
      </c>
      <c r="E1170" s="63">
        <v>6040565</v>
      </c>
      <c r="F1170" s="63" t="s">
        <v>1105</v>
      </c>
      <c r="G1170" s="25">
        <f t="shared" si="16"/>
        <v>-5.7809055056983194E-3</v>
      </c>
    </row>
    <row r="1171" spans="1:7">
      <c r="A1171" s="63">
        <v>256.38290000000001</v>
      </c>
      <c r="B1171" s="63">
        <v>257.37079999999997</v>
      </c>
      <c r="C1171" s="63">
        <v>253.12620000000001</v>
      </c>
      <c r="D1171" s="63">
        <v>254.7645</v>
      </c>
      <c r="E1171" s="63">
        <v>5985544</v>
      </c>
      <c r="F1171" s="63" t="s">
        <v>1104</v>
      </c>
      <c r="G1171" s="25">
        <f t="shared" si="16"/>
        <v>6.3525334181175896E-3</v>
      </c>
    </row>
    <row r="1172" spans="1:7">
      <c r="A1172" s="63">
        <v>258.67649999999998</v>
      </c>
      <c r="B1172" s="63">
        <v>259.83819999999997</v>
      </c>
      <c r="C1172" s="63">
        <v>256.83960000000002</v>
      </c>
      <c r="D1172" s="63">
        <v>257.42540000000002</v>
      </c>
      <c r="E1172" s="63">
        <v>7053537</v>
      </c>
      <c r="F1172" s="63" t="s">
        <v>1103</v>
      </c>
      <c r="G1172" s="25">
        <f t="shared" si="16"/>
        <v>4.8600487752954447E-3</v>
      </c>
    </row>
    <row r="1173" spans="1:7">
      <c r="A1173" s="63">
        <v>258.5077</v>
      </c>
      <c r="B1173" s="63">
        <v>259.36160000000001</v>
      </c>
      <c r="C1173" s="63">
        <v>253.1858</v>
      </c>
      <c r="D1173" s="63">
        <v>253.71199999999999</v>
      </c>
      <c r="E1173" s="63">
        <v>5122575</v>
      </c>
      <c r="F1173" s="63" t="s">
        <v>1102</v>
      </c>
      <c r="G1173" s="25">
        <f t="shared" si="16"/>
        <v>1.8902141010279427E-2</v>
      </c>
    </row>
    <row r="1174" spans="1:7">
      <c r="A1174" s="63">
        <v>254.33760000000001</v>
      </c>
      <c r="B1174" s="63">
        <v>254.91839999999999</v>
      </c>
      <c r="C1174" s="63">
        <v>251.15039999999999</v>
      </c>
      <c r="D1174" s="63">
        <v>252.72909999999999</v>
      </c>
      <c r="E1174" s="63">
        <v>4764574</v>
      </c>
      <c r="F1174" s="63" t="s">
        <v>1101</v>
      </c>
      <c r="G1174" s="25">
        <f t="shared" si="16"/>
        <v>6.3645223284538588E-3</v>
      </c>
    </row>
    <row r="1175" spans="1:7">
      <c r="A1175" s="63">
        <v>252.56030000000001</v>
      </c>
      <c r="B1175" s="63">
        <v>253.29499999999999</v>
      </c>
      <c r="C1175" s="63">
        <v>251.2</v>
      </c>
      <c r="D1175" s="63">
        <v>252.3022</v>
      </c>
      <c r="E1175" s="63">
        <v>4097542</v>
      </c>
      <c r="F1175" s="63" t="s">
        <v>1100</v>
      </c>
      <c r="G1175" s="25">
        <f t="shared" si="16"/>
        <v>1.0229795855922763E-3</v>
      </c>
    </row>
    <row r="1176" spans="1:7">
      <c r="A1176" s="63">
        <v>252.3022</v>
      </c>
      <c r="B1176" s="63">
        <v>255.85579999999999</v>
      </c>
      <c r="C1176" s="63">
        <v>250.39580000000001</v>
      </c>
      <c r="D1176" s="63">
        <v>255.17160000000001</v>
      </c>
      <c r="E1176" s="63">
        <v>5258184</v>
      </c>
      <c r="F1176" s="63" t="s">
        <v>1099</v>
      </c>
      <c r="G1176" s="25">
        <f t="shared" si="16"/>
        <v>-1.1244981808320453E-2</v>
      </c>
    </row>
    <row r="1177" spans="1:7">
      <c r="A1177" s="63">
        <v>255.37020000000001</v>
      </c>
      <c r="B1177" s="63">
        <v>259.72879999999998</v>
      </c>
      <c r="C1177" s="63">
        <v>254.67509999999999</v>
      </c>
      <c r="D1177" s="63">
        <v>259.1431</v>
      </c>
      <c r="E1177" s="63">
        <v>5280883</v>
      </c>
      <c r="F1177" s="63" t="s">
        <v>1098</v>
      </c>
      <c r="G1177" s="25">
        <f t="shared" si="16"/>
        <v>-1.455913740323389E-2</v>
      </c>
    </row>
    <row r="1178" spans="1:7">
      <c r="A1178" s="63">
        <v>258.88499999999999</v>
      </c>
      <c r="B1178" s="63">
        <v>261.83390000000003</v>
      </c>
      <c r="C1178" s="63">
        <v>258.59800000000001</v>
      </c>
      <c r="D1178" s="63">
        <v>259.95729999999998</v>
      </c>
      <c r="E1178" s="63">
        <v>4126467</v>
      </c>
      <c r="F1178" s="63" t="s">
        <v>1097</v>
      </c>
      <c r="G1178" s="25">
        <f t="shared" si="16"/>
        <v>-4.1249082060783593E-3</v>
      </c>
    </row>
    <row r="1179" spans="1:7">
      <c r="A1179" s="63">
        <v>260.7516</v>
      </c>
      <c r="B1179" s="63">
        <v>262.45940000000002</v>
      </c>
      <c r="C1179" s="63">
        <v>259.71899999999999</v>
      </c>
      <c r="D1179" s="63">
        <v>261.74450000000002</v>
      </c>
      <c r="E1179" s="63">
        <v>3851513</v>
      </c>
      <c r="F1179" s="63" t="s">
        <v>1096</v>
      </c>
      <c r="G1179" s="25">
        <f t="shared" si="16"/>
        <v>-3.7933939395098371E-3</v>
      </c>
    </row>
    <row r="1180" spans="1:7">
      <c r="A1180" s="63">
        <v>263.32319999999999</v>
      </c>
      <c r="B1180" s="63">
        <v>265.99400000000003</v>
      </c>
      <c r="C1180" s="63">
        <v>262.19130000000001</v>
      </c>
      <c r="D1180" s="63">
        <v>264.64370000000002</v>
      </c>
      <c r="E1180" s="63">
        <v>4673779</v>
      </c>
      <c r="F1180" s="63" t="s">
        <v>1095</v>
      </c>
      <c r="G1180" s="25">
        <f t="shared" si="16"/>
        <v>-4.9897276980334082E-3</v>
      </c>
    </row>
    <row r="1181" spans="1:7">
      <c r="A1181" s="63">
        <v>265.17989999999998</v>
      </c>
      <c r="B1181" s="63">
        <v>265.50749999999999</v>
      </c>
      <c r="C1181" s="63">
        <v>259.9375</v>
      </c>
      <c r="D1181" s="63">
        <v>261.72460000000001</v>
      </c>
      <c r="E1181" s="63">
        <v>7357515</v>
      </c>
      <c r="F1181" s="63" t="s">
        <v>1094</v>
      </c>
      <c r="G1181" s="25">
        <f t="shared" si="16"/>
        <v>1.3202045203240198E-2</v>
      </c>
    </row>
    <row r="1182" spans="1:7">
      <c r="A1182" s="63">
        <v>262.27069999999998</v>
      </c>
      <c r="B1182" s="63">
        <v>267.34440000000001</v>
      </c>
      <c r="C1182" s="63">
        <v>262.04239999999999</v>
      </c>
      <c r="D1182" s="63">
        <v>267.08620000000002</v>
      </c>
      <c r="E1182" s="63">
        <v>4499608</v>
      </c>
      <c r="F1182" s="63" t="s">
        <v>1093</v>
      </c>
      <c r="G1182" s="25">
        <f t="shared" si="16"/>
        <v>-1.8029759680582735E-2</v>
      </c>
    </row>
    <row r="1183" spans="1:7">
      <c r="A1183" s="63">
        <v>266.41109999999998</v>
      </c>
      <c r="B1183" s="63">
        <v>271.3159</v>
      </c>
      <c r="C1183" s="63">
        <v>263.70049999999998</v>
      </c>
      <c r="D1183" s="63">
        <v>264.37560000000002</v>
      </c>
      <c r="E1183" s="63">
        <v>7189035</v>
      </c>
      <c r="F1183" s="63" t="s">
        <v>1092</v>
      </c>
      <c r="G1183" s="25">
        <f t="shared" si="16"/>
        <v>7.6992733066136854E-3</v>
      </c>
    </row>
    <row r="1184" spans="1:7">
      <c r="A1184" s="63">
        <v>263.38279999999997</v>
      </c>
      <c r="B1184" s="63">
        <v>264.87209999999999</v>
      </c>
      <c r="C1184" s="63">
        <v>260.83100000000002</v>
      </c>
      <c r="D1184" s="63">
        <v>262.88630000000001</v>
      </c>
      <c r="E1184" s="63">
        <v>5901518</v>
      </c>
      <c r="F1184" s="63" t="s">
        <v>1091</v>
      </c>
      <c r="G1184" s="25">
        <f t="shared" si="16"/>
        <v>1.8886491992924359E-3</v>
      </c>
    </row>
    <row r="1185" spans="1:7">
      <c r="A1185" s="63">
        <v>263.0849</v>
      </c>
      <c r="B1185" s="63">
        <v>265.67630000000003</v>
      </c>
      <c r="C1185" s="63">
        <v>262.86649999999997</v>
      </c>
      <c r="D1185" s="63">
        <v>263.91890000000001</v>
      </c>
      <c r="E1185" s="63">
        <v>5729953</v>
      </c>
      <c r="F1185" s="63" t="s">
        <v>1090</v>
      </c>
      <c r="G1185" s="25">
        <f t="shared" si="16"/>
        <v>-3.1600616704601237E-3</v>
      </c>
    </row>
    <row r="1186" spans="1:7">
      <c r="A1186" s="63">
        <v>264.63380000000001</v>
      </c>
      <c r="B1186" s="63">
        <v>268.98259999999999</v>
      </c>
      <c r="C1186" s="63">
        <v>263.54160000000002</v>
      </c>
      <c r="D1186" s="63">
        <v>265.95429999999999</v>
      </c>
      <c r="E1186" s="63">
        <v>7992509</v>
      </c>
      <c r="F1186" s="63" t="s">
        <v>1089</v>
      </c>
      <c r="G1186" s="25">
        <f t="shared" si="16"/>
        <v>-4.9651387475215802E-3</v>
      </c>
    </row>
    <row r="1187" spans="1:7">
      <c r="A1187" s="63">
        <v>265.88479999999998</v>
      </c>
      <c r="B1187" s="63">
        <v>273.262</v>
      </c>
      <c r="C1187" s="63">
        <v>265.4579</v>
      </c>
      <c r="D1187" s="63">
        <v>267.88049999999998</v>
      </c>
      <c r="E1187" s="63">
        <v>18986966</v>
      </c>
      <c r="F1187" s="63" t="s">
        <v>1088</v>
      </c>
      <c r="G1187" s="25">
        <f t="shared" si="16"/>
        <v>-7.4499636964989735E-3</v>
      </c>
    </row>
    <row r="1188" spans="1:7">
      <c r="A1188" s="63">
        <v>258.99419999999998</v>
      </c>
      <c r="B1188" s="63">
        <v>260.0367</v>
      </c>
      <c r="C1188" s="63">
        <v>256.9042</v>
      </c>
      <c r="D1188" s="63">
        <v>259.00409999999999</v>
      </c>
      <c r="E1188" s="63">
        <v>9700952</v>
      </c>
      <c r="F1188" s="63" t="s">
        <v>1087</v>
      </c>
      <c r="G1188" s="25">
        <f t="shared" si="16"/>
        <v>-3.8223333144182803E-5</v>
      </c>
    </row>
    <row r="1189" spans="1:7">
      <c r="A1189" s="63">
        <v>257.81270000000001</v>
      </c>
      <c r="B1189" s="63">
        <v>260.63249999999999</v>
      </c>
      <c r="C1189" s="63">
        <v>257.21570000000003</v>
      </c>
      <c r="D1189" s="63">
        <v>260.0566</v>
      </c>
      <c r="E1189" s="63">
        <v>6685164</v>
      </c>
      <c r="F1189" s="63" t="s">
        <v>1086</v>
      </c>
      <c r="G1189" s="25">
        <f t="shared" si="16"/>
        <v>-8.6285062559458003E-3</v>
      </c>
    </row>
    <row r="1190" spans="1:7">
      <c r="A1190" s="63">
        <v>258.66649999999998</v>
      </c>
      <c r="B1190" s="63">
        <v>259.99200000000002</v>
      </c>
      <c r="C1190" s="63">
        <v>254.74459999999999</v>
      </c>
      <c r="D1190" s="63">
        <v>255.17160000000001</v>
      </c>
      <c r="E1190" s="63">
        <v>7603867</v>
      </c>
      <c r="F1190" s="63" t="s">
        <v>1085</v>
      </c>
      <c r="G1190" s="25">
        <f t="shared" si="16"/>
        <v>1.3696273409736781E-2</v>
      </c>
    </row>
    <row r="1191" spans="1:7">
      <c r="A1191" s="63">
        <v>254.30779999999999</v>
      </c>
      <c r="B1191" s="63">
        <v>256.03539999999998</v>
      </c>
      <c r="C1191" s="63">
        <v>250.81280000000001</v>
      </c>
      <c r="D1191" s="63">
        <v>251.2</v>
      </c>
      <c r="E1191" s="63">
        <v>5510730</v>
      </c>
      <c r="F1191" s="63" t="s">
        <v>1084</v>
      </c>
      <c r="G1191" s="25">
        <f t="shared" si="16"/>
        <v>1.2371815286624122E-2</v>
      </c>
    </row>
    <row r="1192" spans="1:7">
      <c r="A1192" s="63">
        <v>251.26949999999999</v>
      </c>
      <c r="B1192" s="63">
        <v>253.62260000000001</v>
      </c>
      <c r="C1192" s="63">
        <v>246.6129</v>
      </c>
      <c r="D1192" s="63">
        <v>247.3973</v>
      </c>
      <c r="E1192" s="63">
        <v>6600793</v>
      </c>
      <c r="F1192" s="63" t="s">
        <v>1083</v>
      </c>
      <c r="G1192" s="25">
        <f t="shared" si="16"/>
        <v>1.5651747209852296E-2</v>
      </c>
    </row>
    <row r="1193" spans="1:7">
      <c r="A1193" s="63">
        <v>249.43270000000001</v>
      </c>
      <c r="B1193" s="63">
        <v>254.96799999999999</v>
      </c>
      <c r="C1193" s="63">
        <v>245.95760000000001</v>
      </c>
      <c r="D1193" s="63">
        <v>246.23560000000001</v>
      </c>
      <c r="E1193" s="63">
        <v>8306650</v>
      </c>
      <c r="F1193" s="63" t="s">
        <v>1082</v>
      </c>
      <c r="G1193" s="25">
        <f t="shared" si="16"/>
        <v>1.2983906470063644E-2</v>
      </c>
    </row>
    <row r="1194" spans="1:7">
      <c r="A1194" s="63">
        <v>245.2328</v>
      </c>
      <c r="B1194" s="63">
        <v>247.4271</v>
      </c>
      <c r="C1194" s="63">
        <v>244.19030000000001</v>
      </c>
      <c r="D1194" s="63">
        <v>246.49379999999999</v>
      </c>
      <c r="E1194" s="63">
        <v>3472597</v>
      </c>
      <c r="F1194" s="63" t="s">
        <v>1081</v>
      </c>
      <c r="G1194" s="25">
        <f t="shared" si="16"/>
        <v>-5.1157473331986392E-3</v>
      </c>
    </row>
    <row r="1195" spans="1:7">
      <c r="A1195" s="63">
        <v>247.4271</v>
      </c>
      <c r="B1195" s="63">
        <v>249.21430000000001</v>
      </c>
      <c r="C1195" s="63">
        <v>242.73070000000001</v>
      </c>
      <c r="D1195" s="63">
        <v>248.39019999999999</v>
      </c>
      <c r="E1195" s="63">
        <v>4048733</v>
      </c>
      <c r="F1195" s="63" t="s">
        <v>1080</v>
      </c>
      <c r="G1195" s="25">
        <f t="shared" si="16"/>
        <v>-3.8773671425039735E-3</v>
      </c>
    </row>
    <row r="1196" spans="1:7">
      <c r="A1196" s="63">
        <v>249.77029999999999</v>
      </c>
      <c r="B1196" s="63">
        <v>251.96459999999999</v>
      </c>
      <c r="C1196" s="63">
        <v>247.0994</v>
      </c>
      <c r="D1196" s="63">
        <v>249.91919999999999</v>
      </c>
      <c r="E1196" s="63">
        <v>5986436</v>
      </c>
      <c r="F1196" s="63" t="s">
        <v>1079</v>
      </c>
      <c r="G1196" s="25">
        <f t="shared" si="16"/>
        <v>-5.9579256015540594E-4</v>
      </c>
    </row>
    <row r="1197" spans="1:7">
      <c r="A1197" s="63">
        <v>246.62280000000001</v>
      </c>
      <c r="B1197" s="63">
        <v>246.6626</v>
      </c>
      <c r="C1197" s="63">
        <v>240.2088</v>
      </c>
      <c r="D1197" s="63">
        <v>240.7747</v>
      </c>
      <c r="E1197" s="63">
        <v>4468390</v>
      </c>
      <c r="F1197" s="63" t="s">
        <v>1078</v>
      </c>
      <c r="G1197" s="25">
        <f t="shared" si="16"/>
        <v>2.428868149352903E-2</v>
      </c>
    </row>
    <row r="1198" spans="1:7">
      <c r="A1198" s="63">
        <v>240.55629999999999</v>
      </c>
      <c r="B1198" s="63">
        <v>244.39879999999999</v>
      </c>
      <c r="C1198" s="63">
        <v>238.39179999999999</v>
      </c>
      <c r="D1198" s="63">
        <v>242.92930000000001</v>
      </c>
      <c r="E1198" s="63">
        <v>3999205</v>
      </c>
      <c r="F1198" s="63" t="s">
        <v>1077</v>
      </c>
      <c r="G1198" s="25">
        <f t="shared" si="16"/>
        <v>-9.7682741439588661E-3</v>
      </c>
    </row>
    <row r="1199" spans="1:7">
      <c r="A1199" s="63">
        <v>241.6584</v>
      </c>
      <c r="B1199" s="63">
        <v>249.46250000000001</v>
      </c>
      <c r="C1199" s="63">
        <v>241.3109</v>
      </c>
      <c r="D1199" s="63">
        <v>249.08519999999999</v>
      </c>
      <c r="E1199" s="63">
        <v>4430617</v>
      </c>
      <c r="F1199" s="63" t="s">
        <v>1076</v>
      </c>
      <c r="G1199" s="25">
        <f t="shared" si="16"/>
        <v>-2.9816303818934187E-2</v>
      </c>
    </row>
    <row r="1200" spans="1:7">
      <c r="A1200" s="63">
        <v>247.5462</v>
      </c>
      <c r="B1200" s="63">
        <v>250.6242</v>
      </c>
      <c r="C1200" s="63">
        <v>246.08670000000001</v>
      </c>
      <c r="D1200" s="63">
        <v>249.63130000000001</v>
      </c>
      <c r="E1200" s="63">
        <v>3312170</v>
      </c>
      <c r="F1200" s="63" t="s">
        <v>1075</v>
      </c>
      <c r="G1200" s="25">
        <f t="shared" si="16"/>
        <v>-8.3527185893756961E-3</v>
      </c>
    </row>
    <row r="1201" spans="1:7">
      <c r="A1201" s="63">
        <v>248.80719999999999</v>
      </c>
      <c r="B1201" s="63">
        <v>250.28659999999999</v>
      </c>
      <c r="C1201" s="63">
        <v>247.4469</v>
      </c>
      <c r="D1201" s="63">
        <v>247.45689999999999</v>
      </c>
      <c r="E1201" s="63">
        <v>4045384</v>
      </c>
      <c r="F1201" s="63" t="s">
        <v>1074</v>
      </c>
      <c r="G1201" s="25">
        <f t="shared" si="16"/>
        <v>5.4567078145730807E-3</v>
      </c>
    </row>
    <row r="1202" spans="1:7">
      <c r="A1202" s="63">
        <v>248.7774</v>
      </c>
      <c r="B1202" s="63">
        <v>249.1165</v>
      </c>
      <c r="C1202" s="63">
        <v>241.8091</v>
      </c>
      <c r="D1202" s="63">
        <v>242.9392</v>
      </c>
      <c r="E1202" s="63">
        <v>5235193</v>
      </c>
      <c r="F1202" s="63" t="s">
        <v>1073</v>
      </c>
      <c r="G1202" s="25">
        <f t="shared" si="16"/>
        <v>2.4031527229858352E-2</v>
      </c>
    </row>
    <row r="1203" spans="1:7">
      <c r="A1203" s="63">
        <v>242.43289999999999</v>
      </c>
      <c r="B1203" s="63">
        <v>242.90950000000001</v>
      </c>
      <c r="C1203" s="63">
        <v>237.9649</v>
      </c>
      <c r="D1203" s="63">
        <v>239.90100000000001</v>
      </c>
      <c r="E1203" s="63">
        <v>4121614</v>
      </c>
      <c r="F1203" s="63" t="s">
        <v>1072</v>
      </c>
      <c r="G1203" s="25">
        <f t="shared" si="16"/>
        <v>1.0553936832276456E-2</v>
      </c>
    </row>
    <row r="1204" spans="1:7">
      <c r="A1204" s="63">
        <v>239.4145</v>
      </c>
      <c r="B1204" s="63">
        <v>241.32079999999999</v>
      </c>
      <c r="C1204" s="63">
        <v>237.33940000000001</v>
      </c>
      <c r="D1204" s="63">
        <v>239.6627</v>
      </c>
      <c r="E1204" s="63">
        <v>3077919</v>
      </c>
      <c r="F1204" s="63" t="s">
        <v>1071</v>
      </c>
      <c r="G1204" s="25">
        <f t="shared" si="16"/>
        <v>-1.0356221472928029E-3</v>
      </c>
    </row>
    <row r="1205" spans="1:7">
      <c r="A1205" s="63">
        <v>239.1464</v>
      </c>
      <c r="B1205" s="63">
        <v>240.745</v>
      </c>
      <c r="C1205" s="63">
        <v>237.18049999999999</v>
      </c>
      <c r="D1205" s="63">
        <v>240.58609999999999</v>
      </c>
      <c r="E1205" s="63">
        <v>3525726</v>
      </c>
      <c r="F1205" s="63" t="s">
        <v>1070</v>
      </c>
      <c r="G1205" s="25">
        <f t="shared" si="16"/>
        <v>-5.9841362406223286E-3</v>
      </c>
    </row>
    <row r="1206" spans="1:7">
      <c r="A1206" s="63">
        <v>240.2088</v>
      </c>
      <c r="B1206" s="63">
        <v>242.50239999999999</v>
      </c>
      <c r="C1206" s="63">
        <v>239.9109</v>
      </c>
      <c r="D1206" s="63">
        <v>241.27119999999999</v>
      </c>
      <c r="E1206" s="63">
        <v>3748445</v>
      </c>
      <c r="F1206" s="63" t="s">
        <v>1069</v>
      </c>
      <c r="G1206" s="25">
        <f t="shared" si="16"/>
        <v>-4.4033436232753242E-3</v>
      </c>
    </row>
    <row r="1207" spans="1:7">
      <c r="A1207" s="63">
        <v>242.3038</v>
      </c>
      <c r="B1207" s="63">
        <v>244.40870000000001</v>
      </c>
      <c r="C1207" s="63">
        <v>241.7577</v>
      </c>
      <c r="D1207" s="63">
        <v>241.7577</v>
      </c>
      <c r="E1207" s="63">
        <v>3271103</v>
      </c>
      <c r="F1207" s="63" t="s">
        <v>1068</v>
      </c>
      <c r="G1207" s="25">
        <f t="shared" si="16"/>
        <v>2.2588732437478498E-3</v>
      </c>
    </row>
    <row r="1208" spans="1:7">
      <c r="A1208" s="63">
        <v>242.2244</v>
      </c>
      <c r="B1208" s="63">
        <v>244.32929999999999</v>
      </c>
      <c r="C1208" s="63">
        <v>241.27119999999999</v>
      </c>
      <c r="D1208" s="63">
        <v>242.08539999999999</v>
      </c>
      <c r="E1208" s="63">
        <v>4100237</v>
      </c>
      <c r="F1208" s="63" t="s">
        <v>1067</v>
      </c>
      <c r="G1208" s="25">
        <f t="shared" si="16"/>
        <v>5.7417754230537632E-4</v>
      </c>
    </row>
    <row r="1209" spans="1:7">
      <c r="A1209" s="63">
        <v>241.77760000000001</v>
      </c>
      <c r="B1209" s="63">
        <v>246.3647</v>
      </c>
      <c r="C1209" s="63">
        <v>239.47409999999999</v>
      </c>
      <c r="D1209" s="63">
        <v>245.4512</v>
      </c>
      <c r="E1209" s="63">
        <v>6352540</v>
      </c>
      <c r="F1209" s="63" t="s">
        <v>1066</v>
      </c>
      <c r="G1209" s="25">
        <f t="shared" ref="G1209:G1272" si="17">A1209/D1209-1</f>
        <v>-1.4966722509403119E-2</v>
      </c>
    </row>
    <row r="1210" spans="1:7">
      <c r="A1210" s="63">
        <v>245.83850000000001</v>
      </c>
      <c r="B1210" s="63">
        <v>246.7122</v>
      </c>
      <c r="C1210" s="63">
        <v>244.0711</v>
      </c>
      <c r="D1210" s="63">
        <v>246.4342</v>
      </c>
      <c r="E1210" s="63">
        <v>3960897</v>
      </c>
      <c r="F1210" s="63" t="s">
        <v>1065</v>
      </c>
      <c r="G1210" s="25">
        <f t="shared" si="17"/>
        <v>-2.4172781212996597E-3</v>
      </c>
    </row>
    <row r="1211" spans="1:7">
      <c r="A1211" s="63">
        <v>246.4838</v>
      </c>
      <c r="B1211" s="63">
        <v>248.7774</v>
      </c>
      <c r="C1211" s="63">
        <v>244.92500000000001</v>
      </c>
      <c r="D1211" s="63">
        <v>248.22139999999999</v>
      </c>
      <c r="E1211" s="63">
        <v>5877259</v>
      </c>
      <c r="F1211" s="63" t="s">
        <v>1064</v>
      </c>
      <c r="G1211" s="25">
        <f t="shared" si="17"/>
        <v>-7.0002022388077068E-3</v>
      </c>
    </row>
    <row r="1212" spans="1:7">
      <c r="A1212" s="63">
        <v>246.5136</v>
      </c>
      <c r="B1212" s="63">
        <v>246.9306</v>
      </c>
      <c r="C1212" s="63">
        <v>241.6088</v>
      </c>
      <c r="D1212" s="63">
        <v>241.76759999999999</v>
      </c>
      <c r="E1212" s="63">
        <v>7868703</v>
      </c>
      <c r="F1212" s="63" t="s">
        <v>1063</v>
      </c>
      <c r="G1212" s="25">
        <f t="shared" si="17"/>
        <v>1.9630421942394394E-2</v>
      </c>
    </row>
    <row r="1213" spans="1:7">
      <c r="A1213" s="63">
        <v>240.38749999999999</v>
      </c>
      <c r="B1213" s="63">
        <v>241.25129999999999</v>
      </c>
      <c r="C1213" s="63">
        <v>236.57480000000001</v>
      </c>
      <c r="D1213" s="63">
        <v>239.72229999999999</v>
      </c>
      <c r="E1213" s="63">
        <v>15323125</v>
      </c>
      <c r="F1213" s="63" t="s">
        <v>1062</v>
      </c>
      <c r="G1213" s="25">
        <f t="shared" si="17"/>
        <v>2.7748774310942803E-3</v>
      </c>
    </row>
    <row r="1214" spans="1:7">
      <c r="A1214" s="63">
        <v>238.40180000000001</v>
      </c>
      <c r="B1214" s="63">
        <v>241.44990000000001</v>
      </c>
      <c r="C1214" s="63">
        <v>234.5891</v>
      </c>
      <c r="D1214" s="63">
        <v>237.0018</v>
      </c>
      <c r="E1214" s="63">
        <v>8486974</v>
      </c>
      <c r="F1214" s="63" t="s">
        <v>1061</v>
      </c>
      <c r="G1214" s="25">
        <f t="shared" si="17"/>
        <v>5.9071281315163926E-3</v>
      </c>
    </row>
    <row r="1215" spans="1:7">
      <c r="A1215" s="63">
        <v>235.86</v>
      </c>
      <c r="B1215" s="63">
        <v>236.8032</v>
      </c>
      <c r="C1215" s="63">
        <v>232.6431</v>
      </c>
      <c r="D1215" s="63">
        <v>234.82740000000001</v>
      </c>
      <c r="E1215" s="63">
        <v>8842963</v>
      </c>
      <c r="F1215" s="63" t="s">
        <v>1060</v>
      </c>
      <c r="G1215" s="25">
        <f t="shared" si="17"/>
        <v>4.397272209290648E-3</v>
      </c>
    </row>
    <row r="1216" spans="1:7">
      <c r="A1216" s="63">
        <v>236.7337</v>
      </c>
      <c r="B1216" s="63">
        <v>239.16630000000001</v>
      </c>
      <c r="C1216" s="63">
        <v>236.07839999999999</v>
      </c>
      <c r="D1216" s="63">
        <v>236.6046</v>
      </c>
      <c r="E1216" s="63">
        <v>7288104</v>
      </c>
      <c r="F1216" s="63" t="s">
        <v>1059</v>
      </c>
      <c r="G1216" s="25">
        <f t="shared" si="17"/>
        <v>5.4563605272250904E-4</v>
      </c>
    </row>
    <row r="1217" spans="1:7">
      <c r="A1217" s="63">
        <v>235.88980000000001</v>
      </c>
      <c r="B1217" s="63">
        <v>240.3031</v>
      </c>
      <c r="C1217" s="63">
        <v>234.14240000000001</v>
      </c>
      <c r="D1217" s="63">
        <v>239.50389999999999</v>
      </c>
      <c r="E1217" s="63">
        <v>7912574</v>
      </c>
      <c r="F1217" s="63" t="s">
        <v>1058</v>
      </c>
      <c r="G1217" s="25">
        <f t="shared" si="17"/>
        <v>-1.5089942167956227E-2</v>
      </c>
    </row>
    <row r="1218" spans="1:7">
      <c r="A1218" s="63">
        <v>240.70519999999999</v>
      </c>
      <c r="B1218" s="63">
        <v>244.3938</v>
      </c>
      <c r="C1218" s="63">
        <v>238.1635</v>
      </c>
      <c r="D1218" s="63">
        <v>242.76050000000001</v>
      </c>
      <c r="E1218" s="63">
        <v>6375745</v>
      </c>
      <c r="F1218" s="63" t="s">
        <v>1057</v>
      </c>
      <c r="G1218" s="25">
        <f t="shared" si="17"/>
        <v>-8.4663691168869182E-3</v>
      </c>
    </row>
    <row r="1219" spans="1:7">
      <c r="A1219" s="63">
        <v>242.28389999999999</v>
      </c>
      <c r="B1219" s="63">
        <v>245.39660000000001</v>
      </c>
      <c r="C1219" s="63">
        <v>239.9606</v>
      </c>
      <c r="D1219" s="63">
        <v>240.56620000000001</v>
      </c>
      <c r="E1219" s="63">
        <v>6699829</v>
      </c>
      <c r="F1219" s="63" t="s">
        <v>1056</v>
      </c>
      <c r="G1219" s="25">
        <f t="shared" si="17"/>
        <v>7.1402383210941167E-3</v>
      </c>
    </row>
    <row r="1220" spans="1:7">
      <c r="A1220" s="63">
        <v>241.18180000000001</v>
      </c>
      <c r="B1220" s="63">
        <v>245.5009</v>
      </c>
      <c r="C1220" s="63">
        <v>240.1294</v>
      </c>
      <c r="D1220" s="63">
        <v>245.46119999999999</v>
      </c>
      <c r="E1220" s="63">
        <v>5604490</v>
      </c>
      <c r="F1220" s="63" t="s">
        <v>1055</v>
      </c>
      <c r="G1220" s="25">
        <f t="shared" si="17"/>
        <v>-1.743411993422983E-2</v>
      </c>
    </row>
    <row r="1221" spans="1:7">
      <c r="A1221" s="63">
        <v>243.31649999999999</v>
      </c>
      <c r="B1221" s="63">
        <v>246.23560000000001</v>
      </c>
      <c r="C1221" s="63">
        <v>242.35339999999999</v>
      </c>
      <c r="D1221" s="63">
        <v>243.84280000000001</v>
      </c>
      <c r="E1221" s="63">
        <v>4213545</v>
      </c>
      <c r="F1221" s="63" t="s">
        <v>1054</v>
      </c>
      <c r="G1221" s="25">
        <f t="shared" si="17"/>
        <v>-2.1583577616399729E-3</v>
      </c>
    </row>
    <row r="1222" spans="1:7">
      <c r="A1222" s="63">
        <v>244.0513</v>
      </c>
      <c r="B1222" s="63">
        <v>244.82570000000001</v>
      </c>
      <c r="C1222" s="63">
        <v>240.02019999999999</v>
      </c>
      <c r="D1222" s="63">
        <v>243.09809999999999</v>
      </c>
      <c r="E1222" s="63">
        <v>5159623</v>
      </c>
      <c r="F1222" s="63" t="s">
        <v>1053</v>
      </c>
      <c r="G1222" s="25">
        <f t="shared" si="17"/>
        <v>3.9210508021247925E-3</v>
      </c>
    </row>
    <row r="1223" spans="1:7">
      <c r="A1223" s="63">
        <v>246.67250000000001</v>
      </c>
      <c r="B1223" s="63">
        <v>251.69649999999999</v>
      </c>
      <c r="C1223" s="63">
        <v>246.0966</v>
      </c>
      <c r="D1223" s="63">
        <v>251.2</v>
      </c>
      <c r="E1223" s="63">
        <v>5101415</v>
      </c>
      <c r="F1223" s="63" t="s">
        <v>1052</v>
      </c>
      <c r="G1223" s="25">
        <f t="shared" si="17"/>
        <v>-1.8023487261146443E-2</v>
      </c>
    </row>
    <row r="1224" spans="1:7">
      <c r="A1224" s="63">
        <v>248.46960000000001</v>
      </c>
      <c r="B1224" s="63">
        <v>251.1206</v>
      </c>
      <c r="C1224" s="63">
        <v>246.6088</v>
      </c>
      <c r="D1224" s="63">
        <v>247.2285</v>
      </c>
      <c r="E1224" s="63">
        <v>5590223</v>
      </c>
      <c r="F1224" s="63" t="s">
        <v>1051</v>
      </c>
      <c r="G1224" s="25">
        <f t="shared" si="17"/>
        <v>5.0200522997956298E-3</v>
      </c>
    </row>
    <row r="1225" spans="1:7">
      <c r="A1225" s="63">
        <v>246.4342</v>
      </c>
      <c r="B1225" s="63">
        <v>247.18879999999999</v>
      </c>
      <c r="C1225" s="63">
        <v>244.09100000000001</v>
      </c>
      <c r="D1225" s="63">
        <v>245.16329999999999</v>
      </c>
      <c r="E1225" s="63">
        <v>4056827</v>
      </c>
      <c r="F1225" s="63" t="s">
        <v>1050</v>
      </c>
      <c r="G1225" s="25">
        <f t="shared" si="17"/>
        <v>5.183891716256106E-3</v>
      </c>
    </row>
    <row r="1226" spans="1:7">
      <c r="A1226" s="63">
        <v>243.2371</v>
      </c>
      <c r="B1226" s="63">
        <v>244.8357</v>
      </c>
      <c r="C1226" s="63">
        <v>240.8939</v>
      </c>
      <c r="D1226" s="63">
        <v>242.76050000000001</v>
      </c>
      <c r="E1226" s="63">
        <v>3899605</v>
      </c>
      <c r="F1226" s="63" t="s">
        <v>1049</v>
      </c>
      <c r="G1226" s="25">
        <f t="shared" si="17"/>
        <v>1.9632518469849813E-3</v>
      </c>
    </row>
    <row r="1227" spans="1:7">
      <c r="A1227" s="63">
        <v>242.53219999999999</v>
      </c>
      <c r="B1227" s="63">
        <v>244.87039999999999</v>
      </c>
      <c r="C1227" s="63">
        <v>241.76759999999999</v>
      </c>
      <c r="D1227" s="63">
        <v>243.73349999999999</v>
      </c>
      <c r="E1227" s="63">
        <v>4168762</v>
      </c>
      <c r="F1227" s="63" t="s">
        <v>1048</v>
      </c>
      <c r="G1227" s="25">
        <f t="shared" si="17"/>
        <v>-4.9287438944585205E-3</v>
      </c>
    </row>
    <row r="1228" spans="1:7">
      <c r="A1228" s="63">
        <v>244.06120000000001</v>
      </c>
      <c r="B1228" s="63">
        <v>245.02430000000001</v>
      </c>
      <c r="C1228" s="63">
        <v>240.70519999999999</v>
      </c>
      <c r="D1228" s="63">
        <v>242.70089999999999</v>
      </c>
      <c r="E1228" s="63">
        <v>3871917</v>
      </c>
      <c r="F1228" s="63" t="s">
        <v>1047</v>
      </c>
      <c r="G1228" s="25">
        <f t="shared" si="17"/>
        <v>5.6048411851790103E-3</v>
      </c>
    </row>
    <row r="1229" spans="1:7">
      <c r="A1229" s="63">
        <v>242.83</v>
      </c>
      <c r="B1229" s="63">
        <v>245.82849999999999</v>
      </c>
      <c r="C1229" s="63">
        <v>241.86689999999999</v>
      </c>
      <c r="D1229" s="63">
        <v>242.4726</v>
      </c>
      <c r="E1229" s="63">
        <v>4274889</v>
      </c>
      <c r="F1229" s="63" t="s">
        <v>1046</v>
      </c>
      <c r="G1229" s="25">
        <f t="shared" si="17"/>
        <v>1.4739809776445068E-3</v>
      </c>
    </row>
    <row r="1230" spans="1:7">
      <c r="A1230" s="63">
        <v>240.14920000000001</v>
      </c>
      <c r="B1230" s="63">
        <v>242.46270000000001</v>
      </c>
      <c r="C1230" s="63">
        <v>239.27549999999999</v>
      </c>
      <c r="D1230" s="63">
        <v>242.45269999999999</v>
      </c>
      <c r="E1230" s="63">
        <v>15409267</v>
      </c>
      <c r="F1230" s="63" t="s">
        <v>1045</v>
      </c>
      <c r="G1230" s="25">
        <f t="shared" si="17"/>
        <v>-9.5008222222313643E-3</v>
      </c>
    </row>
    <row r="1231" spans="1:7">
      <c r="A1231" s="63">
        <v>242.03569999999999</v>
      </c>
      <c r="B1231" s="63">
        <v>245.92779999999999</v>
      </c>
      <c r="C1231" s="63">
        <v>240.97329999999999</v>
      </c>
      <c r="D1231" s="63">
        <v>241.61869999999999</v>
      </c>
      <c r="E1231" s="63">
        <v>4987330</v>
      </c>
      <c r="F1231" s="63" t="s">
        <v>1044</v>
      </c>
      <c r="G1231" s="25">
        <f t="shared" si="17"/>
        <v>1.7258597947924503E-3</v>
      </c>
    </row>
    <row r="1232" spans="1:7">
      <c r="A1232" s="63">
        <v>240.11940000000001</v>
      </c>
      <c r="B1232" s="63">
        <v>242.76050000000001</v>
      </c>
      <c r="C1232" s="63">
        <v>239.13650000000001</v>
      </c>
      <c r="D1232" s="63">
        <v>242.01589999999999</v>
      </c>
      <c r="E1232" s="63">
        <v>4482408</v>
      </c>
      <c r="F1232" s="63" t="s">
        <v>1043</v>
      </c>
      <c r="G1232" s="25">
        <f t="shared" si="17"/>
        <v>-7.8362619976620751E-3</v>
      </c>
    </row>
    <row r="1233" spans="1:7">
      <c r="A1233" s="63">
        <v>241.38040000000001</v>
      </c>
      <c r="B1233" s="63">
        <v>242.97900000000001</v>
      </c>
      <c r="C1233" s="63">
        <v>239.17570000000001</v>
      </c>
      <c r="D1233" s="63">
        <v>242.06549999999999</v>
      </c>
      <c r="E1233" s="63">
        <v>4457165</v>
      </c>
      <c r="F1233" s="63" t="s">
        <v>1042</v>
      </c>
      <c r="G1233" s="25">
        <f t="shared" si="17"/>
        <v>-2.8302257033735456E-3</v>
      </c>
    </row>
    <row r="1234" spans="1:7">
      <c r="A1234" s="63">
        <v>242.7407</v>
      </c>
      <c r="B1234" s="63">
        <v>242.97900000000001</v>
      </c>
      <c r="C1234" s="63">
        <v>237.19040000000001</v>
      </c>
      <c r="D1234" s="63">
        <v>241.71799999999999</v>
      </c>
      <c r="E1234" s="63">
        <v>5895120</v>
      </c>
      <c r="F1234" s="63" t="s">
        <v>1041</v>
      </c>
      <c r="G1234" s="25">
        <f t="shared" si="17"/>
        <v>4.2309633539909797E-3</v>
      </c>
    </row>
    <row r="1235" spans="1:7">
      <c r="A1235" s="63">
        <v>241.05279999999999</v>
      </c>
      <c r="B1235" s="63">
        <v>244.25980000000001</v>
      </c>
      <c r="C1235" s="63">
        <v>239.345</v>
      </c>
      <c r="D1235" s="63">
        <v>240.1294</v>
      </c>
      <c r="E1235" s="63">
        <v>7822172</v>
      </c>
      <c r="F1235" s="63" t="s">
        <v>1040</v>
      </c>
      <c r="G1235" s="25">
        <f t="shared" si="17"/>
        <v>3.8454266741181353E-3</v>
      </c>
    </row>
    <row r="1236" spans="1:7">
      <c r="A1236" s="63">
        <v>242.691</v>
      </c>
      <c r="B1236" s="63">
        <v>245.42150000000001</v>
      </c>
      <c r="C1236" s="63">
        <v>239.48400000000001</v>
      </c>
      <c r="D1236" s="63">
        <v>240.2783</v>
      </c>
      <c r="E1236" s="63">
        <v>5170176</v>
      </c>
      <c r="F1236" s="63" t="s">
        <v>1039</v>
      </c>
      <c r="G1236" s="25">
        <f t="shared" si="17"/>
        <v>1.0041272973880799E-2</v>
      </c>
    </row>
    <row r="1237" spans="1:7">
      <c r="A1237" s="63">
        <v>240.66550000000001</v>
      </c>
      <c r="B1237" s="63">
        <v>243.26689999999999</v>
      </c>
      <c r="C1237" s="63">
        <v>237.77619999999999</v>
      </c>
      <c r="D1237" s="63">
        <v>240.2783</v>
      </c>
      <c r="E1237" s="63">
        <v>5099349</v>
      </c>
      <c r="F1237" s="63" t="s">
        <v>1038</v>
      </c>
      <c r="G1237" s="25">
        <f t="shared" si="17"/>
        <v>1.6114647057183795E-3</v>
      </c>
    </row>
    <row r="1238" spans="1:7">
      <c r="A1238" s="63">
        <v>240.85419999999999</v>
      </c>
      <c r="B1238" s="63">
        <v>243.60939999999999</v>
      </c>
      <c r="C1238" s="63">
        <v>240.28819999999999</v>
      </c>
      <c r="D1238" s="63">
        <v>243.46549999999999</v>
      </c>
      <c r="E1238" s="63">
        <v>5135289</v>
      </c>
      <c r="F1238" s="63" t="s">
        <v>1037</v>
      </c>
      <c r="G1238" s="25">
        <f t="shared" si="17"/>
        <v>-1.0725544276293797E-2</v>
      </c>
    </row>
    <row r="1239" spans="1:7">
      <c r="A1239" s="63">
        <v>244.50800000000001</v>
      </c>
      <c r="B1239" s="63">
        <v>244.8853</v>
      </c>
      <c r="C1239" s="63">
        <v>238.76910000000001</v>
      </c>
      <c r="D1239" s="63">
        <v>238.98759999999999</v>
      </c>
      <c r="E1239" s="63">
        <v>6764691</v>
      </c>
      <c r="F1239" s="63" t="s">
        <v>1036</v>
      </c>
      <c r="G1239" s="25">
        <f t="shared" si="17"/>
        <v>2.309910639715218E-2</v>
      </c>
    </row>
    <row r="1240" spans="1:7">
      <c r="A1240" s="63">
        <v>238.6003</v>
      </c>
      <c r="B1240" s="63">
        <v>238.65989999999999</v>
      </c>
      <c r="C1240" s="63">
        <v>236.71379999999999</v>
      </c>
      <c r="D1240" s="63">
        <v>237.32939999999999</v>
      </c>
      <c r="E1240" s="63">
        <v>4624184</v>
      </c>
      <c r="F1240" s="63" t="s">
        <v>1035</v>
      </c>
      <c r="G1240" s="25">
        <f t="shared" si="17"/>
        <v>5.3550044790069418E-3</v>
      </c>
    </row>
    <row r="1241" spans="1:7">
      <c r="A1241" s="63">
        <v>238.4812</v>
      </c>
      <c r="B1241" s="63">
        <v>238.5805</v>
      </c>
      <c r="C1241" s="63">
        <v>233.477</v>
      </c>
      <c r="D1241" s="63">
        <v>234.321</v>
      </c>
      <c r="E1241" s="63">
        <v>4659511</v>
      </c>
      <c r="F1241" s="63" t="s">
        <v>1034</v>
      </c>
      <c r="G1241" s="25">
        <f t="shared" si="17"/>
        <v>1.7754277252145512E-2</v>
      </c>
    </row>
    <row r="1242" spans="1:7">
      <c r="A1242" s="63">
        <v>234.41040000000001</v>
      </c>
      <c r="B1242" s="63">
        <v>237.17060000000001</v>
      </c>
      <c r="C1242" s="63">
        <v>233.83449999999999</v>
      </c>
      <c r="D1242" s="63">
        <v>237.17060000000001</v>
      </c>
      <c r="E1242" s="63">
        <v>3350916</v>
      </c>
      <c r="F1242" s="63" t="s">
        <v>1033</v>
      </c>
      <c r="G1242" s="25">
        <f t="shared" si="17"/>
        <v>-1.1638036080357295E-2</v>
      </c>
    </row>
    <row r="1243" spans="1:7">
      <c r="A1243" s="63">
        <v>234.738</v>
      </c>
      <c r="B1243" s="63">
        <v>240.06979999999999</v>
      </c>
      <c r="C1243" s="63">
        <v>233.9933</v>
      </c>
      <c r="D1243" s="63">
        <v>237.1011</v>
      </c>
      <c r="E1243" s="63">
        <v>5827260</v>
      </c>
      <c r="F1243" s="63" t="s">
        <v>1032</v>
      </c>
      <c r="G1243" s="25">
        <f t="shared" si="17"/>
        <v>-9.9666344863014178E-3</v>
      </c>
    </row>
    <row r="1244" spans="1:7">
      <c r="A1244" s="63">
        <v>236.44579999999999</v>
      </c>
      <c r="B1244" s="63">
        <v>237.7663</v>
      </c>
      <c r="C1244" s="63">
        <v>234.16210000000001</v>
      </c>
      <c r="D1244" s="63">
        <v>234.91669999999999</v>
      </c>
      <c r="E1244" s="63">
        <v>3510776</v>
      </c>
      <c r="F1244" s="63" t="s">
        <v>1031</v>
      </c>
      <c r="G1244" s="25">
        <f t="shared" si="17"/>
        <v>6.5091157844461289E-3</v>
      </c>
    </row>
    <row r="1245" spans="1:7">
      <c r="A1245" s="63">
        <v>235.79050000000001</v>
      </c>
      <c r="B1245" s="63">
        <v>236.19749999999999</v>
      </c>
      <c r="C1245" s="63">
        <v>229.87289999999999</v>
      </c>
      <c r="D1245" s="63">
        <v>229.9821</v>
      </c>
      <c r="E1245" s="63">
        <v>6177588</v>
      </c>
      <c r="F1245" s="63" t="s">
        <v>1030</v>
      </c>
      <c r="G1245" s="25">
        <f t="shared" si="17"/>
        <v>2.5255878609683036E-2</v>
      </c>
    </row>
    <row r="1246" spans="1:7">
      <c r="A1246" s="63">
        <v>229.1977</v>
      </c>
      <c r="B1246" s="63">
        <v>231.52109999999999</v>
      </c>
      <c r="C1246" s="63">
        <v>227.79769999999999</v>
      </c>
      <c r="D1246" s="63">
        <v>231.23310000000001</v>
      </c>
      <c r="E1246" s="63">
        <v>5109029</v>
      </c>
      <c r="F1246" s="63" t="s">
        <v>1029</v>
      </c>
      <c r="G1246" s="25">
        <f t="shared" si="17"/>
        <v>-8.8023730166658654E-3</v>
      </c>
    </row>
    <row r="1247" spans="1:7">
      <c r="A1247" s="63">
        <v>232.95079999999999</v>
      </c>
      <c r="B1247" s="63">
        <v>236.59469999999999</v>
      </c>
      <c r="C1247" s="63">
        <v>232.23589999999999</v>
      </c>
      <c r="D1247" s="63">
        <v>232.73240000000001</v>
      </c>
      <c r="E1247" s="63">
        <v>5543876</v>
      </c>
      <c r="F1247" s="63" t="s">
        <v>1028</v>
      </c>
      <c r="G1247" s="25">
        <f t="shared" si="17"/>
        <v>9.3841682550421801E-4</v>
      </c>
    </row>
    <row r="1248" spans="1:7">
      <c r="A1248" s="63">
        <v>234.5196</v>
      </c>
      <c r="B1248" s="63">
        <v>236.7039</v>
      </c>
      <c r="C1248" s="63">
        <v>230.80619999999999</v>
      </c>
      <c r="D1248" s="63">
        <v>236.30680000000001</v>
      </c>
      <c r="E1248" s="63">
        <v>8103888</v>
      </c>
      <c r="F1248" s="63" t="s">
        <v>1027</v>
      </c>
      <c r="G1248" s="25">
        <f t="shared" si="17"/>
        <v>-7.5630493917230313E-3</v>
      </c>
    </row>
    <row r="1249" spans="1:7">
      <c r="A1249" s="63">
        <v>236.40610000000001</v>
      </c>
      <c r="B1249" s="63">
        <v>241.76759999999999</v>
      </c>
      <c r="C1249" s="63">
        <v>236.13800000000001</v>
      </c>
      <c r="D1249" s="63">
        <v>237.5181</v>
      </c>
      <c r="E1249" s="63">
        <v>17814520</v>
      </c>
      <c r="F1249" s="63" t="s">
        <v>1026</v>
      </c>
      <c r="G1249" s="25">
        <f t="shared" si="17"/>
        <v>-4.6817484646433094E-3</v>
      </c>
    </row>
    <row r="1250" spans="1:7">
      <c r="A1250" s="63">
        <v>224.22329999999999</v>
      </c>
      <c r="B1250" s="63">
        <v>227.8871</v>
      </c>
      <c r="C1250" s="63">
        <v>223.78649999999999</v>
      </c>
      <c r="D1250" s="63">
        <v>227.8871</v>
      </c>
      <c r="E1250" s="63">
        <v>15344063</v>
      </c>
      <c r="F1250" s="63" t="s">
        <v>1025</v>
      </c>
      <c r="G1250" s="25">
        <f t="shared" si="17"/>
        <v>-1.6077259309544067E-2</v>
      </c>
    </row>
    <row r="1251" spans="1:7">
      <c r="A1251" s="63">
        <v>228.04599999999999</v>
      </c>
      <c r="B1251" s="63">
        <v>228.602</v>
      </c>
      <c r="C1251" s="63">
        <v>226.66579999999999</v>
      </c>
      <c r="D1251" s="63">
        <v>226.8545</v>
      </c>
      <c r="E1251" s="63">
        <v>5807104</v>
      </c>
      <c r="F1251" s="63" t="s">
        <v>1024</v>
      </c>
      <c r="G1251" s="25">
        <f t="shared" si="17"/>
        <v>5.25226521845501E-3</v>
      </c>
    </row>
    <row r="1252" spans="1:7">
      <c r="A1252" s="63">
        <v>226.09</v>
      </c>
      <c r="B1252" s="63">
        <v>228.0857</v>
      </c>
      <c r="C1252" s="63">
        <v>224.67009999999999</v>
      </c>
      <c r="D1252" s="63">
        <v>226.37790000000001</v>
      </c>
      <c r="E1252" s="63">
        <v>6256329</v>
      </c>
      <c r="F1252" s="63" t="s">
        <v>1023</v>
      </c>
      <c r="G1252" s="25">
        <f t="shared" si="17"/>
        <v>-1.2717672528987922E-3</v>
      </c>
    </row>
    <row r="1253" spans="1:7">
      <c r="A1253" s="63">
        <v>225.3751</v>
      </c>
      <c r="B1253" s="63">
        <v>225.98079999999999</v>
      </c>
      <c r="C1253" s="63">
        <v>222.61490000000001</v>
      </c>
      <c r="D1253" s="63">
        <v>223.39930000000001</v>
      </c>
      <c r="E1253" s="63">
        <v>5288324</v>
      </c>
      <c r="F1253" s="63" t="s">
        <v>1022</v>
      </c>
      <c r="G1253" s="25">
        <f t="shared" si="17"/>
        <v>8.8442533168187065E-3</v>
      </c>
    </row>
    <row r="1254" spans="1:7">
      <c r="A1254" s="63">
        <v>220.9965</v>
      </c>
      <c r="B1254" s="63">
        <v>224.17789999999999</v>
      </c>
      <c r="C1254" s="63">
        <v>220.85749999999999</v>
      </c>
      <c r="D1254" s="63">
        <v>223.6078</v>
      </c>
      <c r="E1254" s="63">
        <v>4913623</v>
      </c>
      <c r="F1254" s="63" t="s">
        <v>1021</v>
      </c>
      <c r="G1254" s="25">
        <f t="shared" si="17"/>
        <v>-1.167803627601538E-2</v>
      </c>
    </row>
    <row r="1255" spans="1:7">
      <c r="A1255" s="63">
        <v>222.18790000000001</v>
      </c>
      <c r="B1255" s="63">
        <v>225.21619999999999</v>
      </c>
      <c r="C1255" s="63">
        <v>220.77799999999999</v>
      </c>
      <c r="D1255" s="63">
        <v>221.39359999999999</v>
      </c>
      <c r="E1255" s="63">
        <v>6705464</v>
      </c>
      <c r="F1255" s="63" t="s">
        <v>1020</v>
      </c>
      <c r="G1255" s="25">
        <f t="shared" si="17"/>
        <v>3.5877279198677225E-3</v>
      </c>
    </row>
    <row r="1256" spans="1:7">
      <c r="A1256" s="63">
        <v>219.7653</v>
      </c>
      <c r="B1256" s="63">
        <v>220.02340000000001</v>
      </c>
      <c r="C1256" s="63">
        <v>212.98390000000001</v>
      </c>
      <c r="D1256" s="63">
        <v>214.3143</v>
      </c>
      <c r="E1256" s="63">
        <v>8092067</v>
      </c>
      <c r="F1256" s="63" t="s">
        <v>1019</v>
      </c>
      <c r="G1256" s="25">
        <f t="shared" si="17"/>
        <v>2.5434607023423039E-2</v>
      </c>
    </row>
    <row r="1257" spans="1:7">
      <c r="A1257" s="63">
        <v>212.80520000000001</v>
      </c>
      <c r="B1257" s="63">
        <v>215.80600000000001</v>
      </c>
      <c r="C1257" s="63">
        <v>212.26900000000001</v>
      </c>
      <c r="D1257" s="63">
        <v>213.90729999999999</v>
      </c>
      <c r="E1257" s="63">
        <v>3540556</v>
      </c>
      <c r="F1257" s="63" t="s">
        <v>1018</v>
      </c>
      <c r="G1257" s="25">
        <f t="shared" si="17"/>
        <v>-5.1522318312651194E-3</v>
      </c>
    </row>
    <row r="1258" spans="1:7">
      <c r="A1258" s="63">
        <v>213.53</v>
      </c>
      <c r="B1258" s="63">
        <v>216.17099999999999</v>
      </c>
      <c r="C1258" s="63">
        <v>211.30590000000001</v>
      </c>
      <c r="D1258" s="63">
        <v>215.04910000000001</v>
      </c>
      <c r="E1258" s="63">
        <v>3816066</v>
      </c>
      <c r="F1258" s="63" t="s">
        <v>1017</v>
      </c>
      <c r="G1258" s="25">
        <f t="shared" si="17"/>
        <v>-7.0639681821500488E-3</v>
      </c>
    </row>
    <row r="1259" spans="1:7">
      <c r="A1259" s="63">
        <v>216.11150000000001</v>
      </c>
      <c r="B1259" s="63">
        <v>216.71709999999999</v>
      </c>
      <c r="C1259" s="63">
        <v>212.62639999999999</v>
      </c>
      <c r="D1259" s="63">
        <v>212.6662</v>
      </c>
      <c r="E1259" s="63">
        <v>4429018</v>
      </c>
      <c r="F1259" s="63" t="s">
        <v>1016</v>
      </c>
      <c r="G1259" s="25">
        <f t="shared" si="17"/>
        <v>1.620050576913501E-2</v>
      </c>
    </row>
    <row r="1260" spans="1:7">
      <c r="A1260" s="63">
        <v>210.3527</v>
      </c>
      <c r="B1260" s="63">
        <v>214.10579999999999</v>
      </c>
      <c r="C1260" s="63">
        <v>208.9736</v>
      </c>
      <c r="D1260" s="63">
        <v>211.45480000000001</v>
      </c>
      <c r="E1260" s="63">
        <v>5337992</v>
      </c>
      <c r="F1260" s="63" t="s">
        <v>1015</v>
      </c>
      <c r="G1260" s="25">
        <f t="shared" si="17"/>
        <v>-5.2119885668238108E-3</v>
      </c>
    </row>
    <row r="1261" spans="1:7">
      <c r="A1261" s="63">
        <v>209.0421</v>
      </c>
      <c r="B1261" s="63">
        <v>211.8519</v>
      </c>
      <c r="C1261" s="63">
        <v>207.51310000000001</v>
      </c>
      <c r="D1261" s="63">
        <v>211.82220000000001</v>
      </c>
      <c r="E1261" s="63">
        <v>5482463</v>
      </c>
      <c r="F1261" s="63" t="s">
        <v>1014</v>
      </c>
      <c r="G1261" s="25">
        <f t="shared" si="17"/>
        <v>-1.3124686647575157E-2</v>
      </c>
    </row>
    <row r="1262" spans="1:7">
      <c r="A1262" s="63">
        <v>214.0264</v>
      </c>
      <c r="B1262" s="63">
        <v>215.02430000000001</v>
      </c>
      <c r="C1262" s="63">
        <v>207.4237</v>
      </c>
      <c r="D1262" s="63">
        <v>207.51310000000001</v>
      </c>
      <c r="E1262" s="63">
        <v>6097853</v>
      </c>
      <c r="F1262" s="63" t="s">
        <v>1013</v>
      </c>
      <c r="G1262" s="25">
        <f t="shared" si="17"/>
        <v>3.1387416023373804E-2</v>
      </c>
    </row>
    <row r="1263" spans="1:7">
      <c r="A1263" s="63">
        <v>212.3683</v>
      </c>
      <c r="B1263" s="63">
        <v>214.42359999999999</v>
      </c>
      <c r="C1263" s="63">
        <v>211.71299999999999</v>
      </c>
      <c r="D1263" s="63">
        <v>213.9649</v>
      </c>
      <c r="E1263" s="63">
        <v>5263698</v>
      </c>
      <c r="F1263" s="63" t="s">
        <v>1012</v>
      </c>
      <c r="G1263" s="25">
        <f t="shared" si="17"/>
        <v>-7.4619715663644115E-3</v>
      </c>
    </row>
    <row r="1264" spans="1:7">
      <c r="A1264" s="63">
        <v>214.9597</v>
      </c>
      <c r="B1264" s="63">
        <v>219.6722</v>
      </c>
      <c r="C1264" s="63">
        <v>213.5598</v>
      </c>
      <c r="D1264" s="63">
        <v>218.94120000000001</v>
      </c>
      <c r="E1264" s="63">
        <v>5774748</v>
      </c>
      <c r="F1264" s="63" t="s">
        <v>1011</v>
      </c>
      <c r="G1264" s="25">
        <f t="shared" si="17"/>
        <v>-1.8185247911311375E-2</v>
      </c>
    </row>
    <row r="1265" spans="1:7">
      <c r="A1265" s="63">
        <v>216.49870000000001</v>
      </c>
      <c r="B1265" s="63">
        <v>216.72710000000001</v>
      </c>
      <c r="C1265" s="63">
        <v>211.9811</v>
      </c>
      <c r="D1265" s="63">
        <v>214.2697</v>
      </c>
      <c r="E1265" s="63">
        <v>5200021</v>
      </c>
      <c r="F1265" s="63" t="s">
        <v>1010</v>
      </c>
      <c r="G1265" s="25">
        <f t="shared" si="17"/>
        <v>1.0402777434233679E-2</v>
      </c>
    </row>
    <row r="1266" spans="1:7">
      <c r="A1266" s="63">
        <v>213.86760000000001</v>
      </c>
      <c r="B1266" s="63">
        <v>217.3706</v>
      </c>
      <c r="C1266" s="63">
        <v>213.3115</v>
      </c>
      <c r="D1266" s="63">
        <v>217.26320000000001</v>
      </c>
      <c r="E1266" s="63">
        <v>2676876</v>
      </c>
      <c r="F1266" s="63" t="s">
        <v>1009</v>
      </c>
      <c r="G1266" s="25">
        <f t="shared" si="17"/>
        <v>-1.5628969839346918E-2</v>
      </c>
    </row>
    <row r="1267" spans="1:7">
      <c r="A1267" s="63">
        <v>215.63489999999999</v>
      </c>
      <c r="B1267" s="63">
        <v>220.42060000000001</v>
      </c>
      <c r="C1267" s="63">
        <v>212.83500000000001</v>
      </c>
      <c r="D1267" s="63">
        <v>220.09289999999999</v>
      </c>
      <c r="E1267" s="63">
        <v>6727513</v>
      </c>
      <c r="F1267" s="63" t="s">
        <v>1008</v>
      </c>
      <c r="G1267" s="25">
        <f t="shared" si="17"/>
        <v>-2.0255083194414714E-2</v>
      </c>
    </row>
    <row r="1268" spans="1:7">
      <c r="A1268" s="63">
        <v>222.16810000000001</v>
      </c>
      <c r="B1268" s="63">
        <v>229.8133</v>
      </c>
      <c r="C1268" s="63">
        <v>221.483</v>
      </c>
      <c r="D1268" s="63">
        <v>229.12819999999999</v>
      </c>
      <c r="E1268" s="63">
        <v>5835707</v>
      </c>
      <c r="F1268" s="63" t="s">
        <v>1007</v>
      </c>
      <c r="G1268" s="25">
        <f t="shared" si="17"/>
        <v>-3.0376444278792269E-2</v>
      </c>
    </row>
    <row r="1269" spans="1:7">
      <c r="A1269" s="63">
        <v>228.6814</v>
      </c>
      <c r="B1269" s="63">
        <v>232.83170000000001</v>
      </c>
      <c r="C1269" s="63">
        <v>227.8871</v>
      </c>
      <c r="D1269" s="63">
        <v>231.1438</v>
      </c>
      <c r="E1269" s="63">
        <v>5024797</v>
      </c>
      <c r="F1269" s="63" t="s">
        <v>1006</v>
      </c>
      <c r="G1269" s="25">
        <f t="shared" si="17"/>
        <v>-1.0653108584353088E-2</v>
      </c>
    </row>
    <row r="1270" spans="1:7">
      <c r="A1270" s="63">
        <v>232.6927</v>
      </c>
      <c r="B1270" s="63">
        <v>235.97909999999999</v>
      </c>
      <c r="C1270" s="63">
        <v>230.51820000000001</v>
      </c>
      <c r="D1270" s="63">
        <v>235.63159999999999</v>
      </c>
      <c r="E1270" s="63">
        <v>4140803</v>
      </c>
      <c r="F1270" s="63" t="s">
        <v>1005</v>
      </c>
      <c r="G1270" s="25">
        <f t="shared" si="17"/>
        <v>-1.2472435785353064E-2</v>
      </c>
    </row>
    <row r="1271" spans="1:7">
      <c r="A1271" s="63">
        <v>235.19470000000001</v>
      </c>
      <c r="B1271" s="63">
        <v>236.6344</v>
      </c>
      <c r="C1271" s="63">
        <v>231.86859999999999</v>
      </c>
      <c r="D1271" s="63">
        <v>233.32810000000001</v>
      </c>
      <c r="E1271" s="63">
        <v>4274512</v>
      </c>
      <c r="F1271" s="63" t="s">
        <v>1004</v>
      </c>
      <c r="G1271" s="25">
        <f t="shared" si="17"/>
        <v>7.9998937119019065E-3</v>
      </c>
    </row>
    <row r="1272" spans="1:7">
      <c r="A1272" s="63">
        <v>232.5437</v>
      </c>
      <c r="B1272" s="63">
        <v>234.2217</v>
      </c>
      <c r="C1272" s="63">
        <v>230.26009999999999</v>
      </c>
      <c r="D1272" s="63">
        <v>233.78479999999999</v>
      </c>
      <c r="E1272" s="63">
        <v>3445222</v>
      </c>
      <c r="F1272" s="63" t="s">
        <v>1003</v>
      </c>
      <c r="G1272" s="25">
        <f t="shared" si="17"/>
        <v>-5.3087283689957632E-3</v>
      </c>
    </row>
    <row r="1273" spans="1:7">
      <c r="A1273" s="63">
        <v>233.78479999999999</v>
      </c>
      <c r="B1273" s="63">
        <v>234.1268</v>
      </c>
      <c r="C1273" s="63">
        <v>230.762</v>
      </c>
      <c r="D1273" s="63">
        <v>232.3749</v>
      </c>
      <c r="E1273" s="63">
        <v>3459634</v>
      </c>
      <c r="F1273" s="63" t="s">
        <v>1002</v>
      </c>
      <c r="G1273" s="25">
        <f t="shared" ref="G1273:G1336" si="18">A1273/D1273-1</f>
        <v>6.0673506475956707E-3</v>
      </c>
    </row>
    <row r="1274" spans="1:7">
      <c r="A1274" s="63">
        <v>231.84870000000001</v>
      </c>
      <c r="B1274" s="63">
        <v>233.81460000000001</v>
      </c>
      <c r="C1274" s="63">
        <v>230.10120000000001</v>
      </c>
      <c r="D1274" s="63">
        <v>231.28280000000001</v>
      </c>
      <c r="E1274" s="63">
        <v>5448503</v>
      </c>
      <c r="F1274" s="63" t="s">
        <v>1001</v>
      </c>
      <c r="G1274" s="25">
        <f t="shared" si="18"/>
        <v>2.4467880880030268E-3</v>
      </c>
    </row>
    <row r="1275" spans="1:7">
      <c r="A1275" s="63">
        <v>229.70410000000001</v>
      </c>
      <c r="B1275" s="63">
        <v>232.226</v>
      </c>
      <c r="C1275" s="63">
        <v>227.38069999999999</v>
      </c>
      <c r="D1275" s="63">
        <v>228.36369999999999</v>
      </c>
      <c r="E1275" s="63">
        <v>4975361</v>
      </c>
      <c r="F1275" s="63" t="s">
        <v>1000</v>
      </c>
      <c r="G1275" s="25">
        <f t="shared" si="18"/>
        <v>5.8695843516285429E-3</v>
      </c>
    </row>
    <row r="1276" spans="1:7">
      <c r="A1276" s="63">
        <v>228.91970000000001</v>
      </c>
      <c r="B1276" s="63">
        <v>229.1481</v>
      </c>
      <c r="C1276" s="63">
        <v>225.0574</v>
      </c>
      <c r="D1276" s="63">
        <v>225.49420000000001</v>
      </c>
      <c r="E1276" s="63">
        <v>4024031</v>
      </c>
      <c r="F1276" s="63" t="s">
        <v>999</v>
      </c>
      <c r="G1276" s="25">
        <f t="shared" si="18"/>
        <v>1.5191078085378784E-2</v>
      </c>
    </row>
    <row r="1277" spans="1:7">
      <c r="A1277" s="63">
        <v>226.3382</v>
      </c>
      <c r="B1277" s="63">
        <v>229.80340000000001</v>
      </c>
      <c r="C1277" s="63">
        <v>225.2758</v>
      </c>
      <c r="D1277" s="63">
        <v>228.36369999999999</v>
      </c>
      <c r="E1277" s="63">
        <v>4081214</v>
      </c>
      <c r="F1277" s="63" t="s">
        <v>998</v>
      </c>
      <c r="G1277" s="25">
        <f t="shared" si="18"/>
        <v>-8.8696233245476597E-3</v>
      </c>
    </row>
    <row r="1278" spans="1:7">
      <c r="A1278" s="63">
        <v>228.86009999999999</v>
      </c>
      <c r="B1278" s="63">
        <v>230.54339999999999</v>
      </c>
      <c r="C1278" s="63">
        <v>227.24170000000001</v>
      </c>
      <c r="D1278" s="63">
        <v>229.18780000000001</v>
      </c>
      <c r="E1278" s="63">
        <v>4257749</v>
      </c>
      <c r="F1278" s="63" t="s">
        <v>997</v>
      </c>
      <c r="G1278" s="25">
        <f t="shared" si="18"/>
        <v>-1.4298317798766558E-3</v>
      </c>
    </row>
    <row r="1279" spans="1:7">
      <c r="A1279" s="63">
        <v>230.26009999999999</v>
      </c>
      <c r="B1279" s="63">
        <v>232.33519999999999</v>
      </c>
      <c r="C1279" s="63">
        <v>228.25790000000001</v>
      </c>
      <c r="D1279" s="63">
        <v>232.33519999999999</v>
      </c>
      <c r="E1279" s="63">
        <v>5088749</v>
      </c>
      <c r="F1279" s="63" t="s">
        <v>996</v>
      </c>
      <c r="G1279" s="25">
        <f t="shared" si="18"/>
        <v>-8.9314920855728674E-3</v>
      </c>
    </row>
    <row r="1280" spans="1:7">
      <c r="A1280" s="63">
        <v>231.34229999999999</v>
      </c>
      <c r="B1280" s="63">
        <v>231.42179999999999</v>
      </c>
      <c r="C1280" s="63">
        <v>227.8672</v>
      </c>
      <c r="D1280" s="63">
        <v>228.2346</v>
      </c>
      <c r="E1280" s="63">
        <v>5073856</v>
      </c>
      <c r="F1280" s="63" t="s">
        <v>995</v>
      </c>
      <c r="G1280" s="25">
        <f t="shared" si="18"/>
        <v>1.3616252750459301E-2</v>
      </c>
    </row>
    <row r="1281" spans="1:7">
      <c r="A1281" s="63">
        <v>226.39779999999999</v>
      </c>
      <c r="B1281" s="63">
        <v>231.4813</v>
      </c>
      <c r="C1281" s="63">
        <v>226.0403</v>
      </c>
      <c r="D1281" s="63">
        <v>231.1934</v>
      </c>
      <c r="E1281" s="63">
        <v>4617597</v>
      </c>
      <c r="F1281" s="63" t="s">
        <v>994</v>
      </c>
      <c r="G1281" s="25">
        <f t="shared" si="18"/>
        <v>-2.0742806671816827E-2</v>
      </c>
    </row>
    <row r="1282" spans="1:7">
      <c r="A1282" s="63">
        <v>230.34950000000001</v>
      </c>
      <c r="B1282" s="63">
        <v>231.8289</v>
      </c>
      <c r="C1282" s="63">
        <v>226.87440000000001</v>
      </c>
      <c r="D1282" s="63">
        <v>227.3708</v>
      </c>
      <c r="E1282" s="63">
        <v>5397052</v>
      </c>
      <c r="F1282" s="63" t="s">
        <v>993</v>
      </c>
      <c r="G1282" s="25">
        <f t="shared" si="18"/>
        <v>1.3100626817515781E-2</v>
      </c>
    </row>
    <row r="1283" spans="1:7">
      <c r="A1283" s="63">
        <v>227.13249999999999</v>
      </c>
      <c r="B1283" s="63">
        <v>228.21469999999999</v>
      </c>
      <c r="C1283" s="63">
        <v>225.53399999999999</v>
      </c>
      <c r="D1283" s="63">
        <v>227.8871</v>
      </c>
      <c r="E1283" s="63">
        <v>6205676</v>
      </c>
      <c r="F1283" s="63" t="s">
        <v>992</v>
      </c>
      <c r="G1283" s="25">
        <f t="shared" si="18"/>
        <v>-3.3112887916868505E-3</v>
      </c>
    </row>
    <row r="1284" spans="1:7">
      <c r="A1284" s="63">
        <v>229.63460000000001</v>
      </c>
      <c r="B1284" s="63">
        <v>229.6644</v>
      </c>
      <c r="C1284" s="63">
        <v>222.03899999999999</v>
      </c>
      <c r="D1284" s="63">
        <v>222.73400000000001</v>
      </c>
      <c r="E1284" s="63">
        <v>7319270</v>
      </c>
      <c r="F1284" s="63" t="s">
        <v>991</v>
      </c>
      <c r="G1284" s="25">
        <f t="shared" si="18"/>
        <v>3.098134995106272E-2</v>
      </c>
    </row>
    <row r="1285" spans="1:7">
      <c r="A1285" s="63">
        <v>222.85319999999999</v>
      </c>
      <c r="B1285" s="63">
        <v>224.10419999999999</v>
      </c>
      <c r="C1285" s="63">
        <v>220.8674</v>
      </c>
      <c r="D1285" s="63">
        <v>221.4135</v>
      </c>
      <c r="E1285" s="63">
        <v>6169133</v>
      </c>
      <c r="F1285" s="63" t="s">
        <v>990</v>
      </c>
      <c r="G1285" s="25">
        <f t="shared" si="18"/>
        <v>6.5023135445669844E-3</v>
      </c>
    </row>
    <row r="1286" spans="1:7">
      <c r="A1286" s="63">
        <v>219.2192</v>
      </c>
      <c r="B1286" s="63">
        <v>221.0958</v>
      </c>
      <c r="C1286" s="63">
        <v>217.82919999999999</v>
      </c>
      <c r="D1286" s="63">
        <v>220.3809</v>
      </c>
      <c r="E1286" s="63">
        <v>4403436</v>
      </c>
      <c r="F1286" s="63" t="s">
        <v>989</v>
      </c>
      <c r="G1286" s="25">
        <f t="shared" si="18"/>
        <v>-5.2713279599093665E-3</v>
      </c>
    </row>
    <row r="1287" spans="1:7">
      <c r="A1287" s="63">
        <v>219.5171</v>
      </c>
      <c r="B1287" s="63">
        <v>219.97380000000001</v>
      </c>
      <c r="C1287" s="63">
        <v>216.69730000000001</v>
      </c>
      <c r="D1287" s="63">
        <v>218.2561</v>
      </c>
      <c r="E1287" s="63">
        <v>5448464</v>
      </c>
      <c r="F1287" s="63" t="s">
        <v>988</v>
      </c>
      <c r="G1287" s="25">
        <f t="shared" si="18"/>
        <v>5.7776162957186017E-3</v>
      </c>
    </row>
    <row r="1288" spans="1:7">
      <c r="A1288" s="63">
        <v>218.72280000000001</v>
      </c>
      <c r="B1288" s="63">
        <v>220.26169999999999</v>
      </c>
      <c r="C1288" s="63">
        <v>217.3724</v>
      </c>
      <c r="D1288" s="63">
        <v>218.04759999999999</v>
      </c>
      <c r="E1288" s="63">
        <v>5553185</v>
      </c>
      <c r="F1288" s="63" t="s">
        <v>987</v>
      </c>
      <c r="G1288" s="25">
        <f t="shared" si="18"/>
        <v>3.0965715742801159E-3</v>
      </c>
    </row>
    <row r="1289" spans="1:7">
      <c r="A1289" s="63">
        <v>217.16390000000001</v>
      </c>
      <c r="B1289" s="63">
        <v>217.3724</v>
      </c>
      <c r="C1289" s="63">
        <v>211.852</v>
      </c>
      <c r="D1289" s="63">
        <v>212.0804</v>
      </c>
      <c r="E1289" s="63">
        <v>7763501</v>
      </c>
      <c r="F1289" s="63" t="s">
        <v>986</v>
      </c>
      <c r="G1289" s="25">
        <f t="shared" si="18"/>
        <v>2.396968319561843E-2</v>
      </c>
    </row>
    <row r="1290" spans="1:7">
      <c r="A1290" s="63">
        <v>210.36269999999999</v>
      </c>
      <c r="B1290" s="63">
        <v>212.1498</v>
      </c>
      <c r="C1290" s="63">
        <v>208.61519999999999</v>
      </c>
      <c r="D1290" s="63">
        <v>208.94280000000001</v>
      </c>
      <c r="E1290" s="63">
        <v>6837964</v>
      </c>
      <c r="F1290" s="63" t="s">
        <v>985</v>
      </c>
      <c r="G1290" s="25">
        <f t="shared" si="18"/>
        <v>6.795639763609973E-3</v>
      </c>
    </row>
    <row r="1291" spans="1:7">
      <c r="A1291" s="63">
        <v>208.506</v>
      </c>
      <c r="B1291" s="63">
        <v>209.7868</v>
      </c>
      <c r="C1291" s="63">
        <v>205.87979999999999</v>
      </c>
      <c r="D1291" s="63">
        <v>207.15559999999999</v>
      </c>
      <c r="E1291" s="63">
        <v>4717943</v>
      </c>
      <c r="F1291" s="63" t="s">
        <v>984</v>
      </c>
      <c r="G1291" s="25">
        <f t="shared" si="18"/>
        <v>6.5187713969596661E-3</v>
      </c>
    </row>
    <row r="1292" spans="1:7">
      <c r="A1292" s="63">
        <v>209.2705</v>
      </c>
      <c r="B1292" s="63">
        <v>210.14619999999999</v>
      </c>
      <c r="C1292" s="63">
        <v>204.52449999999999</v>
      </c>
      <c r="D1292" s="63">
        <v>207.523</v>
      </c>
      <c r="E1292" s="63">
        <v>5686945</v>
      </c>
      <c r="F1292" s="63" t="s">
        <v>983</v>
      </c>
      <c r="G1292" s="25">
        <f t="shared" si="18"/>
        <v>8.4207533622779884E-3</v>
      </c>
    </row>
    <row r="1293" spans="1:7">
      <c r="A1293" s="63">
        <v>207.60239999999999</v>
      </c>
      <c r="B1293" s="63">
        <v>207.92019999999999</v>
      </c>
      <c r="C1293" s="63">
        <v>203.31319999999999</v>
      </c>
      <c r="D1293" s="63">
        <v>204.17699999999999</v>
      </c>
      <c r="E1293" s="63">
        <v>7333155</v>
      </c>
      <c r="F1293" s="63" t="s">
        <v>982</v>
      </c>
      <c r="G1293" s="25">
        <f t="shared" si="18"/>
        <v>1.6776620285340549E-2</v>
      </c>
    </row>
    <row r="1294" spans="1:7">
      <c r="A1294" s="63">
        <v>203.97839999999999</v>
      </c>
      <c r="B1294" s="63">
        <v>206.68899999999999</v>
      </c>
      <c r="C1294" s="63">
        <v>202.916</v>
      </c>
      <c r="D1294" s="63">
        <v>204.70320000000001</v>
      </c>
      <c r="E1294" s="63">
        <v>7977209</v>
      </c>
      <c r="F1294" s="63" t="s">
        <v>981</v>
      </c>
      <c r="G1294" s="25">
        <f t="shared" si="18"/>
        <v>-3.5407360510242292E-3</v>
      </c>
    </row>
    <row r="1295" spans="1:7">
      <c r="A1295" s="63">
        <v>208.0393</v>
      </c>
      <c r="B1295" s="63">
        <v>213.7484</v>
      </c>
      <c r="C1295" s="63">
        <v>207.92019999999999</v>
      </c>
      <c r="D1295" s="63">
        <v>213.59950000000001</v>
      </c>
      <c r="E1295" s="63">
        <v>4617736</v>
      </c>
      <c r="F1295" s="63" t="s">
        <v>980</v>
      </c>
      <c r="G1295" s="25">
        <f t="shared" si="18"/>
        <v>-2.6030959810299237E-2</v>
      </c>
    </row>
    <row r="1296" spans="1:7">
      <c r="A1296" s="63">
        <v>213.47040000000001</v>
      </c>
      <c r="B1296" s="63">
        <v>215.88310000000001</v>
      </c>
      <c r="C1296" s="63">
        <v>212.80520000000001</v>
      </c>
      <c r="D1296" s="63">
        <v>213.2321</v>
      </c>
      <c r="E1296" s="63">
        <v>4578046</v>
      </c>
      <c r="F1296" s="63" t="s">
        <v>979</v>
      </c>
      <c r="G1296" s="25">
        <f t="shared" si="18"/>
        <v>1.1175615678877815E-3</v>
      </c>
    </row>
    <row r="1297" spans="1:7">
      <c r="A1297" s="63">
        <v>213.63919999999999</v>
      </c>
      <c r="B1297" s="63">
        <v>215.43629999999999</v>
      </c>
      <c r="C1297" s="63">
        <v>209.8613</v>
      </c>
      <c r="D1297" s="63">
        <v>209.97540000000001</v>
      </c>
      <c r="E1297" s="63">
        <v>5002466</v>
      </c>
      <c r="F1297" s="63" t="s">
        <v>978</v>
      </c>
      <c r="G1297" s="25">
        <f t="shared" si="18"/>
        <v>1.7448710658486632E-2</v>
      </c>
    </row>
    <row r="1298" spans="1:7">
      <c r="A1298" s="63">
        <v>210.69030000000001</v>
      </c>
      <c r="B1298" s="63">
        <v>211.2364</v>
      </c>
      <c r="C1298" s="63">
        <v>207.58260000000001</v>
      </c>
      <c r="D1298" s="63">
        <v>208.31729999999999</v>
      </c>
      <c r="E1298" s="63">
        <v>7088442</v>
      </c>
      <c r="F1298" s="63" t="s">
        <v>977</v>
      </c>
      <c r="G1298" s="25">
        <f t="shared" si="18"/>
        <v>1.1391276672652717E-2</v>
      </c>
    </row>
    <row r="1299" spans="1:7">
      <c r="A1299" s="63">
        <v>207.9897</v>
      </c>
      <c r="B1299" s="63">
        <v>209.87620000000001</v>
      </c>
      <c r="C1299" s="63">
        <v>206.91739999999999</v>
      </c>
      <c r="D1299" s="63">
        <v>209.20099999999999</v>
      </c>
      <c r="E1299" s="63">
        <v>5583153</v>
      </c>
      <c r="F1299" s="63" t="s">
        <v>976</v>
      </c>
      <c r="G1299" s="25">
        <f t="shared" si="18"/>
        <v>-5.7901252862079255E-3</v>
      </c>
    </row>
    <row r="1300" spans="1:7">
      <c r="A1300" s="63">
        <v>211.60380000000001</v>
      </c>
      <c r="B1300" s="63">
        <v>213.2817</v>
      </c>
      <c r="C1300" s="63">
        <v>209.35990000000001</v>
      </c>
      <c r="D1300" s="63">
        <v>212.0009</v>
      </c>
      <c r="E1300" s="63">
        <v>5805143</v>
      </c>
      <c r="F1300" s="63" t="s">
        <v>975</v>
      </c>
      <c r="G1300" s="25">
        <f t="shared" si="18"/>
        <v>-1.8731052556851813E-3</v>
      </c>
    </row>
    <row r="1301" spans="1:7">
      <c r="A1301" s="63">
        <v>212.95410000000001</v>
      </c>
      <c r="B1301" s="63">
        <v>215.14840000000001</v>
      </c>
      <c r="C1301" s="63">
        <v>211.9562</v>
      </c>
      <c r="D1301" s="63">
        <v>213.3115</v>
      </c>
      <c r="E1301" s="63">
        <v>5311048</v>
      </c>
      <c r="F1301" s="63" t="s">
        <v>974</v>
      </c>
      <c r="G1301" s="25">
        <f t="shared" si="18"/>
        <v>-1.6754839753130302E-3</v>
      </c>
    </row>
    <row r="1302" spans="1:7">
      <c r="A1302" s="63">
        <v>211.286</v>
      </c>
      <c r="B1302" s="63">
        <v>211.42509999999999</v>
      </c>
      <c r="C1302" s="63">
        <v>208.0095</v>
      </c>
      <c r="D1302" s="63">
        <v>210.34280000000001</v>
      </c>
      <c r="E1302" s="63">
        <v>5741240</v>
      </c>
      <c r="F1302" s="63" t="s">
        <v>973</v>
      </c>
      <c r="G1302" s="25">
        <f t="shared" si="18"/>
        <v>4.4841087976388305E-3</v>
      </c>
    </row>
    <row r="1303" spans="1:7">
      <c r="A1303" s="63">
        <v>210.7002</v>
      </c>
      <c r="B1303" s="63">
        <v>212.32859999999999</v>
      </c>
      <c r="C1303" s="63">
        <v>207.8109</v>
      </c>
      <c r="D1303" s="63">
        <v>211.9314</v>
      </c>
      <c r="E1303" s="63">
        <v>6114641</v>
      </c>
      <c r="F1303" s="63" t="s">
        <v>972</v>
      </c>
      <c r="G1303" s="25">
        <f t="shared" si="18"/>
        <v>-5.80942701270315E-3</v>
      </c>
    </row>
    <row r="1304" spans="1:7">
      <c r="A1304" s="63">
        <v>214.4136</v>
      </c>
      <c r="B1304" s="63">
        <v>216.61779999999999</v>
      </c>
      <c r="C1304" s="63">
        <v>212.8287</v>
      </c>
      <c r="D1304" s="63">
        <v>213.47040000000001</v>
      </c>
      <c r="E1304" s="63">
        <v>6430984</v>
      </c>
      <c r="F1304" s="63" t="s">
        <v>971</v>
      </c>
      <c r="G1304" s="25">
        <f t="shared" si="18"/>
        <v>4.4184111708227558E-3</v>
      </c>
    </row>
    <row r="1305" spans="1:7">
      <c r="A1305" s="63">
        <v>210.452</v>
      </c>
      <c r="B1305" s="63">
        <v>214.6122</v>
      </c>
      <c r="C1305" s="63">
        <v>210.26339999999999</v>
      </c>
      <c r="D1305" s="63">
        <v>213.19239999999999</v>
      </c>
      <c r="E1305" s="63">
        <v>7186394</v>
      </c>
      <c r="F1305" s="63" t="s">
        <v>970</v>
      </c>
      <c r="G1305" s="25">
        <f t="shared" si="18"/>
        <v>-1.2854116750878553E-2</v>
      </c>
    </row>
    <row r="1306" spans="1:7">
      <c r="A1306" s="63">
        <v>210.02510000000001</v>
      </c>
      <c r="B1306" s="63">
        <v>214.25479999999999</v>
      </c>
      <c r="C1306" s="63">
        <v>209.66759999999999</v>
      </c>
      <c r="D1306" s="63">
        <v>210.6705</v>
      </c>
      <c r="E1306" s="63">
        <v>9732242</v>
      </c>
      <c r="F1306" s="63" t="s">
        <v>969</v>
      </c>
      <c r="G1306" s="25">
        <f t="shared" si="18"/>
        <v>-3.0635518499267933E-3</v>
      </c>
    </row>
    <row r="1307" spans="1:7">
      <c r="A1307" s="63">
        <v>206.2422</v>
      </c>
      <c r="B1307" s="63">
        <v>213.37110000000001</v>
      </c>
      <c r="C1307" s="63">
        <v>206.0933</v>
      </c>
      <c r="D1307" s="63">
        <v>212.1002</v>
      </c>
      <c r="E1307" s="63">
        <v>9576414</v>
      </c>
      <c r="F1307" s="63" t="s">
        <v>968</v>
      </c>
      <c r="G1307" s="25">
        <f t="shared" si="18"/>
        <v>-2.7619021575651548E-2</v>
      </c>
    </row>
    <row r="1308" spans="1:7">
      <c r="A1308" s="63">
        <v>209.26060000000001</v>
      </c>
      <c r="B1308" s="63">
        <v>210.83920000000001</v>
      </c>
      <c r="C1308" s="63">
        <v>201.77420000000001</v>
      </c>
      <c r="D1308" s="63">
        <v>208.51589999999999</v>
      </c>
      <c r="E1308" s="63">
        <v>11405951</v>
      </c>
      <c r="F1308" s="63" t="s">
        <v>967</v>
      </c>
      <c r="G1308" s="25">
        <f t="shared" si="18"/>
        <v>3.5714302842133616E-3</v>
      </c>
    </row>
    <row r="1309" spans="1:7">
      <c r="A1309" s="63">
        <v>203.86920000000001</v>
      </c>
      <c r="B1309" s="63">
        <v>207.60239999999999</v>
      </c>
      <c r="C1309" s="63">
        <v>200.07640000000001</v>
      </c>
      <c r="D1309" s="63">
        <v>205.36850000000001</v>
      </c>
      <c r="E1309" s="63">
        <v>12800545</v>
      </c>
      <c r="F1309" s="63" t="s">
        <v>966</v>
      </c>
      <c r="G1309" s="25">
        <f t="shared" si="18"/>
        <v>-7.3005353790869254E-3</v>
      </c>
    </row>
    <row r="1310" spans="1:7">
      <c r="A1310" s="63">
        <v>204.53440000000001</v>
      </c>
      <c r="B1310" s="63">
        <v>211.8023</v>
      </c>
      <c r="C1310" s="63">
        <v>203.93369999999999</v>
      </c>
      <c r="D1310" s="63">
        <v>211.3158</v>
      </c>
      <c r="E1310" s="63">
        <v>11459016</v>
      </c>
      <c r="F1310" s="63" t="s">
        <v>965</v>
      </c>
      <c r="G1310" s="25">
        <f t="shared" si="18"/>
        <v>-3.209130599794241E-2</v>
      </c>
    </row>
    <row r="1311" spans="1:7">
      <c r="A1311" s="63">
        <v>211.9513</v>
      </c>
      <c r="B1311" s="63">
        <v>217.04480000000001</v>
      </c>
      <c r="C1311" s="63">
        <v>211.82220000000001</v>
      </c>
      <c r="D1311" s="63">
        <v>216.84620000000001</v>
      </c>
      <c r="E1311" s="63">
        <v>10211493</v>
      </c>
      <c r="F1311" s="63" t="s">
        <v>964</v>
      </c>
      <c r="G1311" s="25">
        <f t="shared" si="18"/>
        <v>-2.2573141701353383E-2</v>
      </c>
    </row>
    <row r="1312" spans="1:7">
      <c r="A1312" s="63">
        <v>215.9923</v>
      </c>
      <c r="B1312" s="63">
        <v>218.63339999999999</v>
      </c>
      <c r="C1312" s="63">
        <v>213.50020000000001</v>
      </c>
      <c r="D1312" s="63">
        <v>218.3355</v>
      </c>
      <c r="E1312" s="63">
        <v>14027677</v>
      </c>
      <c r="F1312" s="63" t="s">
        <v>963</v>
      </c>
      <c r="G1312" s="25">
        <f t="shared" si="18"/>
        <v>-1.0732107238630384E-2</v>
      </c>
    </row>
    <row r="1313" spans="1:7">
      <c r="A1313" s="63">
        <v>214.9597</v>
      </c>
      <c r="B1313" s="63">
        <v>228.86009999999999</v>
      </c>
      <c r="C1313" s="63">
        <v>214.80090000000001</v>
      </c>
      <c r="D1313" s="63">
        <v>227.75800000000001</v>
      </c>
      <c r="E1313" s="63">
        <v>20372918</v>
      </c>
      <c r="F1313" s="63" t="s">
        <v>962</v>
      </c>
      <c r="G1313" s="25">
        <f t="shared" si="18"/>
        <v>-5.6192537693516842E-2</v>
      </c>
    </row>
    <row r="1314" spans="1:7">
      <c r="A1314" s="63">
        <v>229.43600000000001</v>
      </c>
      <c r="B1314" s="63">
        <v>238.64</v>
      </c>
      <c r="C1314" s="63">
        <v>228.1353</v>
      </c>
      <c r="D1314" s="63">
        <v>236.833</v>
      </c>
      <c r="E1314" s="63">
        <v>8828937</v>
      </c>
      <c r="F1314" s="63" t="s">
        <v>961</v>
      </c>
      <c r="G1314" s="25">
        <f t="shared" si="18"/>
        <v>-3.1232978512285015E-2</v>
      </c>
    </row>
    <row r="1315" spans="1:7">
      <c r="A1315" s="63">
        <v>238.75919999999999</v>
      </c>
      <c r="B1315" s="63">
        <v>239.78190000000001</v>
      </c>
      <c r="C1315" s="63">
        <v>229.8629</v>
      </c>
      <c r="D1315" s="63">
        <v>233.85429999999999</v>
      </c>
      <c r="E1315" s="63">
        <v>6128260</v>
      </c>
      <c r="F1315" s="63" t="s">
        <v>960</v>
      </c>
      <c r="G1315" s="25">
        <f t="shared" si="18"/>
        <v>2.0974170669515235E-2</v>
      </c>
    </row>
    <row r="1316" spans="1:7">
      <c r="A1316" s="63">
        <v>233.96360000000001</v>
      </c>
      <c r="B1316" s="63">
        <v>237.25989999999999</v>
      </c>
      <c r="C1316" s="63">
        <v>227.38069999999999</v>
      </c>
      <c r="D1316" s="63">
        <v>233.58629999999999</v>
      </c>
      <c r="E1316" s="63">
        <v>8641607</v>
      </c>
      <c r="F1316" s="63" t="s">
        <v>959</v>
      </c>
      <c r="G1316" s="25">
        <f t="shared" si="18"/>
        <v>1.6152488395082543E-3</v>
      </c>
    </row>
    <row r="1317" spans="1:7">
      <c r="A1317" s="63">
        <v>239.23580000000001</v>
      </c>
      <c r="B1317" s="63">
        <v>242.78039999999999</v>
      </c>
      <c r="C1317" s="63">
        <v>238.66980000000001</v>
      </c>
      <c r="D1317" s="63">
        <v>242.5222</v>
      </c>
      <c r="E1317" s="63">
        <v>5055001</v>
      </c>
      <c r="F1317" s="63" t="s">
        <v>958</v>
      </c>
      <c r="G1317" s="25">
        <f t="shared" si="18"/>
        <v>-1.3550924410218879E-2</v>
      </c>
    </row>
    <row r="1318" spans="1:7">
      <c r="A1318" s="63">
        <v>244.80590000000001</v>
      </c>
      <c r="B1318" s="63">
        <v>247.6157</v>
      </c>
      <c r="C1318" s="63">
        <v>244.23</v>
      </c>
      <c r="D1318" s="63">
        <v>246.23560000000001</v>
      </c>
      <c r="E1318" s="63">
        <v>4647670</v>
      </c>
      <c r="F1318" s="63" t="s">
        <v>957</v>
      </c>
      <c r="G1318" s="25">
        <f t="shared" si="18"/>
        <v>-5.8062278565731429E-3</v>
      </c>
    </row>
    <row r="1319" spans="1:7">
      <c r="A1319" s="63">
        <v>245.2527</v>
      </c>
      <c r="B1319" s="63">
        <v>246.24549999999999</v>
      </c>
      <c r="C1319" s="63">
        <v>240.84440000000001</v>
      </c>
      <c r="D1319" s="63">
        <v>244.2201</v>
      </c>
      <c r="E1319" s="63">
        <v>4159075</v>
      </c>
      <c r="F1319" s="63" t="s">
        <v>956</v>
      </c>
      <c r="G1319" s="25">
        <f t="shared" si="18"/>
        <v>4.2281532109764708E-3</v>
      </c>
    </row>
    <row r="1320" spans="1:7">
      <c r="A1320" s="63">
        <v>245.898</v>
      </c>
      <c r="B1320" s="63">
        <v>247.72489999999999</v>
      </c>
      <c r="C1320" s="63">
        <v>243.7534</v>
      </c>
      <c r="D1320" s="63">
        <v>246.82140000000001</v>
      </c>
      <c r="E1320" s="63">
        <v>5907885</v>
      </c>
      <c r="F1320" s="63" t="s">
        <v>955</v>
      </c>
      <c r="G1320" s="25">
        <f t="shared" si="18"/>
        <v>-3.7411666897603224E-3</v>
      </c>
    </row>
    <row r="1321" spans="1:7">
      <c r="A1321" s="63">
        <v>246.82140000000001</v>
      </c>
      <c r="B1321" s="63">
        <v>249.4426</v>
      </c>
      <c r="C1321" s="63">
        <v>242.06549999999999</v>
      </c>
      <c r="D1321" s="63">
        <v>243.25700000000001</v>
      </c>
      <c r="E1321" s="63">
        <v>10837611</v>
      </c>
      <c r="F1321" s="63" t="s">
        <v>954</v>
      </c>
      <c r="G1321" s="25">
        <f t="shared" si="18"/>
        <v>1.46528157463095E-2</v>
      </c>
    </row>
    <row r="1322" spans="1:7">
      <c r="A1322" s="63">
        <v>238.65989999999999</v>
      </c>
      <c r="B1322" s="63">
        <v>239.84139999999999</v>
      </c>
      <c r="C1322" s="63">
        <v>237.21029999999999</v>
      </c>
      <c r="D1322" s="63">
        <v>239.23580000000001</v>
      </c>
      <c r="E1322" s="63">
        <v>4314439</v>
      </c>
      <c r="F1322" s="63" t="s">
        <v>953</v>
      </c>
      <c r="G1322" s="25">
        <f t="shared" si="18"/>
        <v>-2.4072484134900485E-3</v>
      </c>
    </row>
    <row r="1323" spans="1:7">
      <c r="A1323" s="63">
        <v>239.52369999999999</v>
      </c>
      <c r="B1323" s="63">
        <v>241.16200000000001</v>
      </c>
      <c r="C1323" s="63">
        <v>236.8826</v>
      </c>
      <c r="D1323" s="63">
        <v>237.23009999999999</v>
      </c>
      <c r="E1323" s="63">
        <v>6091619</v>
      </c>
      <c r="F1323" s="63" t="s">
        <v>952</v>
      </c>
      <c r="G1323" s="25">
        <f t="shared" si="18"/>
        <v>9.6682503611471571E-3</v>
      </c>
    </row>
    <row r="1324" spans="1:7">
      <c r="A1324" s="63">
        <v>235.0359</v>
      </c>
      <c r="B1324" s="63">
        <v>236.52520000000001</v>
      </c>
      <c r="C1324" s="63">
        <v>232.2955</v>
      </c>
      <c r="D1324" s="63">
        <v>235.76070000000001</v>
      </c>
      <c r="E1324" s="63">
        <v>5535571</v>
      </c>
      <c r="F1324" s="63" t="s">
        <v>951</v>
      </c>
      <c r="G1324" s="25">
        <f t="shared" si="18"/>
        <v>-3.0743037325560163E-3</v>
      </c>
    </row>
    <row r="1325" spans="1:7">
      <c r="A1325" s="63">
        <v>235.01599999999999</v>
      </c>
      <c r="B1325" s="63">
        <v>238.37200000000001</v>
      </c>
      <c r="C1325" s="63">
        <v>234.55590000000001</v>
      </c>
      <c r="D1325" s="63">
        <v>237.85570000000001</v>
      </c>
      <c r="E1325" s="63">
        <v>5157234</v>
      </c>
      <c r="F1325" s="63" t="s">
        <v>950</v>
      </c>
      <c r="G1325" s="25">
        <f t="shared" si="18"/>
        <v>-1.1938751099931699E-2</v>
      </c>
    </row>
    <row r="1326" spans="1:7">
      <c r="A1326" s="63">
        <v>237.23009999999999</v>
      </c>
      <c r="B1326" s="63">
        <v>239.3946</v>
      </c>
      <c r="C1326" s="63">
        <v>235.44300000000001</v>
      </c>
      <c r="D1326" s="63">
        <v>237.80600000000001</v>
      </c>
      <c r="E1326" s="63">
        <v>4336360</v>
      </c>
      <c r="F1326" s="63" t="s">
        <v>949</v>
      </c>
      <c r="G1326" s="25">
        <f t="shared" si="18"/>
        <v>-2.4217219077736774E-3</v>
      </c>
    </row>
    <row r="1327" spans="1:7">
      <c r="A1327" s="63">
        <v>237.19040000000001</v>
      </c>
      <c r="B1327" s="63">
        <v>237.65710000000001</v>
      </c>
      <c r="C1327" s="63">
        <v>234.72810000000001</v>
      </c>
      <c r="D1327" s="63">
        <v>237.4486</v>
      </c>
      <c r="E1327" s="63">
        <v>5019976</v>
      </c>
      <c r="F1327" s="63" t="s">
        <v>948</v>
      </c>
      <c r="G1327" s="25">
        <f t="shared" si="18"/>
        <v>-1.087393229524114E-3</v>
      </c>
    </row>
    <row r="1328" spans="1:7">
      <c r="A1328" s="63">
        <v>236.2869</v>
      </c>
      <c r="B1328" s="63">
        <v>236.5351</v>
      </c>
      <c r="C1328" s="63">
        <v>233.79480000000001</v>
      </c>
      <c r="D1328" s="63">
        <v>233.84440000000001</v>
      </c>
      <c r="E1328" s="63">
        <v>4770722</v>
      </c>
      <c r="F1328" s="63" t="s">
        <v>947</v>
      </c>
      <c r="G1328" s="25">
        <f t="shared" si="18"/>
        <v>1.0444979653136954E-2</v>
      </c>
    </row>
    <row r="1329" spans="1:7">
      <c r="A1329" s="63">
        <v>233.14940000000001</v>
      </c>
      <c r="B1329" s="63">
        <v>234.321</v>
      </c>
      <c r="C1329" s="63">
        <v>230.60759999999999</v>
      </c>
      <c r="D1329" s="63">
        <v>233.32810000000001</v>
      </c>
      <c r="E1329" s="63">
        <v>5357550</v>
      </c>
      <c r="F1329" s="63" t="s">
        <v>946</v>
      </c>
      <c r="G1329" s="25">
        <f t="shared" si="18"/>
        <v>-7.6587432032404479E-4</v>
      </c>
    </row>
    <row r="1330" spans="1:7">
      <c r="A1330" s="63">
        <v>232.53380000000001</v>
      </c>
      <c r="B1330" s="63">
        <v>234.2713</v>
      </c>
      <c r="C1330" s="63">
        <v>229.73390000000001</v>
      </c>
      <c r="D1330" s="63">
        <v>229.82320000000001</v>
      </c>
      <c r="E1330" s="63">
        <v>7134891</v>
      </c>
      <c r="F1330" s="63" t="s">
        <v>945</v>
      </c>
      <c r="G1330" s="25">
        <f t="shared" si="18"/>
        <v>1.1794283605832678E-2</v>
      </c>
    </row>
    <row r="1331" spans="1:7">
      <c r="A1331" s="63">
        <v>226.83459999999999</v>
      </c>
      <c r="B1331" s="63">
        <v>228.26439999999999</v>
      </c>
      <c r="C1331" s="63">
        <v>223.14609999999999</v>
      </c>
      <c r="D1331" s="63">
        <v>225.59350000000001</v>
      </c>
      <c r="E1331" s="63">
        <v>5696684</v>
      </c>
      <c r="F1331" s="63" t="s">
        <v>944</v>
      </c>
      <c r="G1331" s="25">
        <f t="shared" si="18"/>
        <v>5.5014882964268264E-3</v>
      </c>
    </row>
    <row r="1332" spans="1:7">
      <c r="A1332" s="63">
        <v>223.95529999999999</v>
      </c>
      <c r="B1332" s="63">
        <v>227.16229999999999</v>
      </c>
      <c r="C1332" s="63">
        <v>221.4333</v>
      </c>
      <c r="D1332" s="63">
        <v>223.0617</v>
      </c>
      <c r="E1332" s="63">
        <v>6472983</v>
      </c>
      <c r="F1332" s="63" t="s">
        <v>943</v>
      </c>
      <c r="G1332" s="25">
        <f t="shared" si="18"/>
        <v>4.0060664829506543E-3</v>
      </c>
    </row>
    <row r="1333" spans="1:7">
      <c r="A1333" s="63">
        <v>224.8886</v>
      </c>
      <c r="B1333" s="63">
        <v>227.9665</v>
      </c>
      <c r="C1333" s="63">
        <v>223.39930000000001</v>
      </c>
      <c r="D1333" s="63">
        <v>223.39930000000001</v>
      </c>
      <c r="E1333" s="63">
        <v>7246045</v>
      </c>
      <c r="F1333" s="63" t="s">
        <v>942</v>
      </c>
      <c r="G1333" s="25">
        <f t="shared" si="18"/>
        <v>6.6665383463599959E-3</v>
      </c>
    </row>
    <row r="1334" spans="1:7">
      <c r="A1334" s="63">
        <v>223.1808</v>
      </c>
      <c r="B1334" s="63">
        <v>226.1893</v>
      </c>
      <c r="C1334" s="63">
        <v>220.00360000000001</v>
      </c>
      <c r="D1334" s="63">
        <v>222.10849999999999</v>
      </c>
      <c r="E1334" s="63">
        <v>7641060</v>
      </c>
      <c r="F1334" s="63" t="s">
        <v>941</v>
      </c>
      <c r="G1334" s="25">
        <f t="shared" si="18"/>
        <v>4.8278206372112109E-3</v>
      </c>
    </row>
    <row r="1335" spans="1:7">
      <c r="A1335" s="63">
        <v>224.65029999999999</v>
      </c>
      <c r="B1335" s="63">
        <v>226.2885</v>
      </c>
      <c r="C1335" s="63">
        <v>222.9425</v>
      </c>
      <c r="D1335" s="63">
        <v>226.17930000000001</v>
      </c>
      <c r="E1335" s="63">
        <v>5021036</v>
      </c>
      <c r="F1335" s="63" t="s">
        <v>940</v>
      </c>
      <c r="G1335" s="25">
        <f t="shared" si="18"/>
        <v>-6.760123494944148E-3</v>
      </c>
    </row>
    <row r="1336" spans="1:7">
      <c r="A1336" s="63">
        <v>224.31270000000001</v>
      </c>
      <c r="B1336" s="63">
        <v>228.66149999999999</v>
      </c>
      <c r="C1336" s="63">
        <v>219.74539999999999</v>
      </c>
      <c r="D1336" s="63">
        <v>228.05590000000001</v>
      </c>
      <c r="E1336" s="63">
        <v>8213455</v>
      </c>
      <c r="F1336" s="63" t="s">
        <v>939</v>
      </c>
      <c r="G1336" s="25">
        <f t="shared" si="18"/>
        <v>-1.6413519667765719E-2</v>
      </c>
    </row>
    <row r="1337" spans="1:7">
      <c r="A1337" s="63">
        <v>224.16380000000001</v>
      </c>
      <c r="B1337" s="63">
        <v>226.1694</v>
      </c>
      <c r="C1337" s="63">
        <v>222.15809999999999</v>
      </c>
      <c r="D1337" s="63">
        <v>223.3</v>
      </c>
      <c r="E1337" s="63">
        <v>10186076</v>
      </c>
      <c r="F1337" s="63" t="s">
        <v>938</v>
      </c>
      <c r="G1337" s="25">
        <f t="shared" ref="G1337:G1400" si="19">A1337/D1337-1</f>
        <v>3.8683385579936225E-3</v>
      </c>
    </row>
    <row r="1338" spans="1:7">
      <c r="A1338" s="63">
        <v>220.58940000000001</v>
      </c>
      <c r="B1338" s="63">
        <v>223.14109999999999</v>
      </c>
      <c r="C1338" s="63">
        <v>219.249</v>
      </c>
      <c r="D1338" s="63">
        <v>222.0986</v>
      </c>
      <c r="E1338" s="63">
        <v>6800810</v>
      </c>
      <c r="F1338" s="63" t="s">
        <v>937</v>
      </c>
      <c r="G1338" s="25">
        <f t="shared" si="19"/>
        <v>-6.7951801587222693E-3</v>
      </c>
    </row>
    <row r="1339" spans="1:7">
      <c r="A1339" s="63">
        <v>221.85040000000001</v>
      </c>
      <c r="B1339" s="63">
        <v>223.04179999999999</v>
      </c>
      <c r="C1339" s="63">
        <v>218.405</v>
      </c>
      <c r="D1339" s="63">
        <v>220.41069999999999</v>
      </c>
      <c r="E1339" s="63">
        <v>9857747</v>
      </c>
      <c r="F1339" s="63" t="s">
        <v>936</v>
      </c>
      <c r="G1339" s="25">
        <f t="shared" si="19"/>
        <v>6.5318970449257385E-3</v>
      </c>
    </row>
    <row r="1340" spans="1:7">
      <c r="A1340" s="63">
        <v>215.21789999999999</v>
      </c>
      <c r="B1340" s="63">
        <v>215.73419999999999</v>
      </c>
      <c r="C1340" s="63">
        <v>212.17959999999999</v>
      </c>
      <c r="D1340" s="63">
        <v>213.81790000000001</v>
      </c>
      <c r="E1340" s="63">
        <v>7753752</v>
      </c>
      <c r="F1340" s="63" t="s">
        <v>935</v>
      </c>
      <c r="G1340" s="25">
        <f t="shared" si="19"/>
        <v>6.5476276775704445E-3</v>
      </c>
    </row>
    <row r="1341" spans="1:7">
      <c r="A1341" s="63">
        <v>211.62360000000001</v>
      </c>
      <c r="B1341" s="63">
        <v>216.32</v>
      </c>
      <c r="C1341" s="63">
        <v>211.46969999999999</v>
      </c>
      <c r="D1341" s="63">
        <v>214.63210000000001</v>
      </c>
      <c r="E1341" s="63">
        <v>8525598</v>
      </c>
      <c r="F1341" s="63" t="s">
        <v>934</v>
      </c>
      <c r="G1341" s="25">
        <f t="shared" si="19"/>
        <v>-1.4017008639434669E-2</v>
      </c>
    </row>
    <row r="1342" spans="1:7">
      <c r="A1342" s="63">
        <v>214.06610000000001</v>
      </c>
      <c r="B1342" s="63">
        <v>217.9384</v>
      </c>
      <c r="C1342" s="63">
        <v>214.01650000000001</v>
      </c>
      <c r="D1342" s="63">
        <v>216.67740000000001</v>
      </c>
      <c r="E1342" s="63">
        <v>6548025</v>
      </c>
      <c r="F1342" s="63" t="s">
        <v>933</v>
      </c>
      <c r="G1342" s="25">
        <f t="shared" si="19"/>
        <v>-1.2051556830569354E-2</v>
      </c>
    </row>
    <row r="1343" spans="1:7">
      <c r="A1343" s="63">
        <v>216.62780000000001</v>
      </c>
      <c r="B1343" s="63">
        <v>217.3426</v>
      </c>
      <c r="C1343" s="63">
        <v>213.9966</v>
      </c>
      <c r="D1343" s="63">
        <v>215.4562</v>
      </c>
      <c r="E1343" s="63">
        <v>6839171</v>
      </c>
      <c r="F1343" s="63" t="s">
        <v>932</v>
      </c>
      <c r="G1343" s="25">
        <f t="shared" si="19"/>
        <v>5.4377641488154715E-3</v>
      </c>
    </row>
    <row r="1344" spans="1:7">
      <c r="A1344" s="63">
        <v>213.98670000000001</v>
      </c>
      <c r="B1344" s="63">
        <v>216.74690000000001</v>
      </c>
      <c r="C1344" s="63">
        <v>212.5669</v>
      </c>
      <c r="D1344" s="63">
        <v>216.44909999999999</v>
      </c>
      <c r="E1344" s="63">
        <v>10735962</v>
      </c>
      <c r="F1344" s="63" t="s">
        <v>931</v>
      </c>
      <c r="G1344" s="25">
        <f t="shared" si="19"/>
        <v>-1.137634667919607E-2</v>
      </c>
    </row>
    <row r="1345" spans="1:7">
      <c r="A1345" s="63">
        <v>216.69730000000001</v>
      </c>
      <c r="B1345" s="63">
        <v>219.01070000000001</v>
      </c>
      <c r="C1345" s="63">
        <v>214.69159999999999</v>
      </c>
      <c r="D1345" s="63">
        <v>218.0675</v>
      </c>
      <c r="E1345" s="63">
        <v>7206463</v>
      </c>
      <c r="F1345" s="63" t="s">
        <v>930</v>
      </c>
      <c r="G1345" s="25">
        <f t="shared" si="19"/>
        <v>-6.2833755603195485E-3</v>
      </c>
    </row>
    <row r="1346" spans="1:7">
      <c r="A1346" s="63">
        <v>220.46029999999999</v>
      </c>
      <c r="B1346" s="63">
        <v>220.73830000000001</v>
      </c>
      <c r="C1346" s="63">
        <v>217.66040000000001</v>
      </c>
      <c r="D1346" s="63">
        <v>218.4348</v>
      </c>
      <c r="E1346" s="63">
        <v>7301710</v>
      </c>
      <c r="F1346" s="63" t="s">
        <v>929</v>
      </c>
      <c r="G1346" s="25">
        <f t="shared" si="19"/>
        <v>9.2727898668161224E-3</v>
      </c>
    </row>
    <row r="1347" spans="1:7">
      <c r="A1347" s="63">
        <v>216.42920000000001</v>
      </c>
      <c r="B1347" s="63">
        <v>219.09010000000001</v>
      </c>
      <c r="C1347" s="63">
        <v>214.9597</v>
      </c>
      <c r="D1347" s="63">
        <v>215.48599999999999</v>
      </c>
      <c r="E1347" s="63">
        <v>8443142</v>
      </c>
      <c r="F1347" s="63" t="s">
        <v>928</v>
      </c>
      <c r="G1347" s="25">
        <f t="shared" si="19"/>
        <v>4.3770825018796256E-3</v>
      </c>
    </row>
    <row r="1348" spans="1:7">
      <c r="A1348" s="63">
        <v>214.6122</v>
      </c>
      <c r="B1348" s="63">
        <v>218.89160000000001</v>
      </c>
      <c r="C1348" s="63">
        <v>214.2448</v>
      </c>
      <c r="D1348" s="63">
        <v>216.44909999999999</v>
      </c>
      <c r="E1348" s="63">
        <v>9789849</v>
      </c>
      <c r="F1348" s="63" t="s">
        <v>927</v>
      </c>
      <c r="G1348" s="25">
        <f t="shared" si="19"/>
        <v>-8.4865217734791942E-3</v>
      </c>
    </row>
    <row r="1349" spans="1:7">
      <c r="A1349" s="63">
        <v>219.94399999999999</v>
      </c>
      <c r="B1349" s="63">
        <v>221.4135</v>
      </c>
      <c r="C1349" s="63">
        <v>216.4391</v>
      </c>
      <c r="D1349" s="63">
        <v>217.92850000000001</v>
      </c>
      <c r="E1349" s="63">
        <v>8657235</v>
      </c>
      <c r="F1349" s="63" t="s">
        <v>926</v>
      </c>
      <c r="G1349" s="25">
        <f t="shared" si="19"/>
        <v>9.2484461646822336E-3</v>
      </c>
    </row>
    <row r="1350" spans="1:7">
      <c r="A1350" s="63">
        <v>218.74260000000001</v>
      </c>
      <c r="B1350" s="63">
        <v>222.15809999999999</v>
      </c>
      <c r="C1350" s="63">
        <v>214.18530000000001</v>
      </c>
      <c r="D1350" s="63">
        <v>221.05600000000001</v>
      </c>
      <c r="E1350" s="63">
        <v>10319917</v>
      </c>
      <c r="F1350" s="63" t="s">
        <v>925</v>
      </c>
      <c r="G1350" s="25">
        <f t="shared" si="19"/>
        <v>-1.0465221482339304E-2</v>
      </c>
    </row>
    <row r="1351" spans="1:7">
      <c r="A1351" s="63">
        <v>220.9468</v>
      </c>
      <c r="B1351" s="63">
        <v>221.20500000000001</v>
      </c>
      <c r="C1351" s="63">
        <v>218.6036</v>
      </c>
      <c r="D1351" s="63">
        <v>220.68870000000001</v>
      </c>
      <c r="E1351" s="63">
        <v>6011121</v>
      </c>
      <c r="F1351" s="63" t="s">
        <v>924</v>
      </c>
      <c r="G1351" s="25">
        <f t="shared" si="19"/>
        <v>1.1695206868316266E-3</v>
      </c>
    </row>
    <row r="1352" spans="1:7">
      <c r="A1352" s="63">
        <v>220.8177</v>
      </c>
      <c r="B1352" s="63">
        <v>222.0505</v>
      </c>
      <c r="C1352" s="63">
        <v>220.00360000000001</v>
      </c>
      <c r="D1352" s="63">
        <v>221.54259999999999</v>
      </c>
      <c r="E1352" s="63">
        <v>4724009</v>
      </c>
      <c r="F1352" s="63" t="s">
        <v>923</v>
      </c>
      <c r="G1352" s="25">
        <f t="shared" si="19"/>
        <v>-3.2720569317141734E-3</v>
      </c>
    </row>
    <row r="1353" spans="1:7">
      <c r="A1353" s="63">
        <v>220.87729999999999</v>
      </c>
      <c r="B1353" s="63">
        <v>223.69710000000001</v>
      </c>
      <c r="C1353" s="63">
        <v>219.28870000000001</v>
      </c>
      <c r="D1353" s="63">
        <v>223.36949999999999</v>
      </c>
      <c r="E1353" s="63">
        <v>6122445</v>
      </c>
      <c r="F1353" s="63" t="s">
        <v>922</v>
      </c>
      <c r="G1353" s="25">
        <f t="shared" si="19"/>
        <v>-1.1157297661498089E-2</v>
      </c>
    </row>
    <row r="1354" spans="1:7">
      <c r="A1354" s="63">
        <v>223.04179999999999</v>
      </c>
      <c r="B1354" s="63">
        <v>226.21899999999999</v>
      </c>
      <c r="C1354" s="63">
        <v>220.47020000000001</v>
      </c>
      <c r="D1354" s="63">
        <v>225.60499999999999</v>
      </c>
      <c r="E1354" s="63">
        <v>6422513</v>
      </c>
      <c r="F1354" s="63" t="s">
        <v>921</v>
      </c>
      <c r="G1354" s="25">
        <f t="shared" si="19"/>
        <v>-1.1361450322466271E-2</v>
      </c>
    </row>
    <row r="1355" spans="1:7">
      <c r="A1355" s="63">
        <v>224.1737</v>
      </c>
      <c r="B1355" s="63">
        <v>227.55940000000001</v>
      </c>
      <c r="C1355" s="63">
        <v>223.22569999999999</v>
      </c>
      <c r="D1355" s="63">
        <v>226.67580000000001</v>
      </c>
      <c r="E1355" s="63">
        <v>6146282</v>
      </c>
      <c r="F1355" s="63" t="s">
        <v>920</v>
      </c>
      <c r="G1355" s="25">
        <f t="shared" si="19"/>
        <v>-1.1038231694781797E-2</v>
      </c>
    </row>
    <row r="1356" spans="1:7">
      <c r="A1356" s="63">
        <v>225.81200000000001</v>
      </c>
      <c r="B1356" s="63">
        <v>231.52109999999999</v>
      </c>
      <c r="C1356" s="63">
        <v>225.49420000000001</v>
      </c>
      <c r="D1356" s="63">
        <v>230.8459</v>
      </c>
      <c r="E1356" s="63">
        <v>7090526</v>
      </c>
      <c r="F1356" s="63" t="s">
        <v>919</v>
      </c>
      <c r="G1356" s="25">
        <f t="shared" si="19"/>
        <v>-2.1806321879660806E-2</v>
      </c>
    </row>
    <row r="1357" spans="1:7">
      <c r="A1357" s="63">
        <v>229.52539999999999</v>
      </c>
      <c r="B1357" s="63">
        <v>230.22040000000001</v>
      </c>
      <c r="C1357" s="63">
        <v>224.9879</v>
      </c>
      <c r="D1357" s="63">
        <v>225.38499999999999</v>
      </c>
      <c r="E1357" s="63">
        <v>10367337</v>
      </c>
      <c r="F1357" s="63" t="s">
        <v>918</v>
      </c>
      <c r="G1357" s="25">
        <f t="shared" si="19"/>
        <v>1.8370344077911049E-2</v>
      </c>
    </row>
    <row r="1358" spans="1:7">
      <c r="A1358" s="63">
        <v>224.8588</v>
      </c>
      <c r="B1358" s="63">
        <v>225.8219</v>
      </c>
      <c r="C1358" s="63">
        <v>223.1113</v>
      </c>
      <c r="D1358" s="63">
        <v>223.3</v>
      </c>
      <c r="E1358" s="63">
        <v>9219003</v>
      </c>
      <c r="F1358" s="63" t="s">
        <v>917</v>
      </c>
      <c r="G1358" s="25">
        <f t="shared" si="19"/>
        <v>6.9807433945363595E-3</v>
      </c>
    </row>
    <row r="1359" spans="1:7">
      <c r="A1359" s="63">
        <v>225.81200000000001</v>
      </c>
      <c r="B1359" s="63">
        <v>226.19919999999999</v>
      </c>
      <c r="C1359" s="63">
        <v>222.80350000000001</v>
      </c>
      <c r="D1359" s="63">
        <v>225.4049</v>
      </c>
      <c r="E1359" s="63">
        <v>11845438</v>
      </c>
      <c r="F1359" s="63" t="s">
        <v>916</v>
      </c>
      <c r="G1359" s="25">
        <f t="shared" si="19"/>
        <v>1.8060831863015991E-3</v>
      </c>
    </row>
    <row r="1360" spans="1:7">
      <c r="A1360" s="63">
        <v>224.31270000000001</v>
      </c>
      <c r="B1360" s="63">
        <v>225.11689999999999</v>
      </c>
      <c r="C1360" s="63">
        <v>222.90280000000001</v>
      </c>
      <c r="D1360" s="63">
        <v>223.3</v>
      </c>
      <c r="E1360" s="63">
        <v>9946888</v>
      </c>
      <c r="F1360" s="63" t="s">
        <v>915</v>
      </c>
      <c r="G1360" s="25">
        <f t="shared" si="19"/>
        <v>4.5351545006717675E-3</v>
      </c>
    </row>
    <row r="1361" spans="1:7">
      <c r="A1361" s="63">
        <v>222.0291</v>
      </c>
      <c r="B1361" s="63">
        <v>222.40639999999999</v>
      </c>
      <c r="C1361" s="63">
        <v>218.68299999999999</v>
      </c>
      <c r="D1361" s="63">
        <v>219.90430000000001</v>
      </c>
      <c r="E1361" s="63">
        <v>8821387</v>
      </c>
      <c r="F1361" s="63" t="s">
        <v>914</v>
      </c>
      <c r="G1361" s="25">
        <f t="shared" si="19"/>
        <v>9.6623849556374264E-3</v>
      </c>
    </row>
    <row r="1362" spans="1:7">
      <c r="A1362" s="63">
        <v>218.5838</v>
      </c>
      <c r="B1362" s="63">
        <v>220.55959999999999</v>
      </c>
      <c r="C1362" s="63">
        <v>216.64760000000001</v>
      </c>
      <c r="D1362" s="63">
        <v>220.49010000000001</v>
      </c>
      <c r="E1362" s="63">
        <v>10775832</v>
      </c>
      <c r="F1362" s="63" t="s">
        <v>913</v>
      </c>
      <c r="G1362" s="25">
        <f t="shared" si="19"/>
        <v>-8.6457396499889372E-3</v>
      </c>
    </row>
    <row r="1363" spans="1:7">
      <c r="A1363" s="63">
        <v>219.69579999999999</v>
      </c>
      <c r="B1363" s="63">
        <v>221.8801</v>
      </c>
      <c r="C1363" s="63">
        <v>218.88159999999999</v>
      </c>
      <c r="D1363" s="63">
        <v>221.50280000000001</v>
      </c>
      <c r="E1363" s="63">
        <v>8508542</v>
      </c>
      <c r="F1363" s="63" t="s">
        <v>912</v>
      </c>
      <c r="G1363" s="25">
        <f t="shared" si="19"/>
        <v>-8.1579104191911167E-3</v>
      </c>
    </row>
    <row r="1364" spans="1:7">
      <c r="A1364" s="63">
        <v>220.83760000000001</v>
      </c>
      <c r="B1364" s="63">
        <v>221.15530000000001</v>
      </c>
      <c r="C1364" s="63">
        <v>218.41499999999999</v>
      </c>
      <c r="D1364" s="63">
        <v>220.34119999999999</v>
      </c>
      <c r="E1364" s="63">
        <v>8214441</v>
      </c>
      <c r="F1364" s="63" t="s">
        <v>911</v>
      </c>
      <c r="G1364" s="25">
        <f t="shared" si="19"/>
        <v>2.2528696403578685E-3</v>
      </c>
    </row>
    <row r="1365" spans="1:7">
      <c r="A1365" s="63">
        <v>221.334</v>
      </c>
      <c r="B1365" s="63">
        <v>222.71420000000001</v>
      </c>
      <c r="C1365" s="63">
        <v>218.59370000000001</v>
      </c>
      <c r="D1365" s="63">
        <v>219.0008</v>
      </c>
      <c r="E1365" s="63">
        <v>9258643</v>
      </c>
      <c r="F1365" s="63" t="s">
        <v>910</v>
      </c>
      <c r="G1365" s="25">
        <f t="shared" si="19"/>
        <v>1.065384236039324E-2</v>
      </c>
    </row>
    <row r="1366" spans="1:7">
      <c r="A1366" s="63">
        <v>219.0008</v>
      </c>
      <c r="B1366" s="63">
        <v>227.21190000000001</v>
      </c>
      <c r="C1366" s="63">
        <v>218.50149999999999</v>
      </c>
      <c r="D1366" s="63">
        <v>226.42760000000001</v>
      </c>
      <c r="E1366" s="63">
        <v>15651837</v>
      </c>
      <c r="F1366" s="63" t="s">
        <v>909</v>
      </c>
      <c r="G1366" s="25">
        <f t="shared" si="19"/>
        <v>-3.2799888352833428E-2</v>
      </c>
    </row>
    <row r="1367" spans="1:7">
      <c r="A1367" s="63">
        <v>226.2389</v>
      </c>
      <c r="B1367" s="63">
        <v>227.8672</v>
      </c>
      <c r="C1367" s="63">
        <v>224.05459999999999</v>
      </c>
      <c r="D1367" s="63">
        <v>227.02330000000001</v>
      </c>
      <c r="E1367" s="63">
        <v>12116750</v>
      </c>
      <c r="F1367" s="63" t="s">
        <v>908</v>
      </c>
      <c r="G1367" s="25">
        <f t="shared" si="19"/>
        <v>-3.4551519601733194E-3</v>
      </c>
    </row>
    <row r="1368" spans="1:7">
      <c r="A1368" s="63">
        <v>226.08</v>
      </c>
      <c r="B1368" s="63">
        <v>228.2346</v>
      </c>
      <c r="C1368" s="63">
        <v>224.6404</v>
      </c>
      <c r="D1368" s="63">
        <v>226.4871</v>
      </c>
      <c r="E1368" s="63">
        <v>12864068</v>
      </c>
      <c r="F1368" s="63" t="s">
        <v>907</v>
      </c>
      <c r="G1368" s="25">
        <f t="shared" si="19"/>
        <v>-1.7974533648935642E-3</v>
      </c>
    </row>
    <row r="1369" spans="1:7">
      <c r="A1369" s="63">
        <v>224.25309999999999</v>
      </c>
      <c r="B1369" s="63">
        <v>226.97149999999999</v>
      </c>
      <c r="C1369" s="63">
        <v>220.2431</v>
      </c>
      <c r="D1369" s="63">
        <v>222.2276</v>
      </c>
      <c r="E1369" s="63">
        <v>20504765</v>
      </c>
      <c r="F1369" s="63" t="s">
        <v>906</v>
      </c>
      <c r="G1369" s="25">
        <f t="shared" si="19"/>
        <v>9.1145294283878631E-3</v>
      </c>
    </row>
    <row r="1370" spans="1:7">
      <c r="A1370" s="63">
        <v>219.39789999999999</v>
      </c>
      <c r="B1370" s="63">
        <v>224.50139999999999</v>
      </c>
      <c r="C1370" s="63">
        <v>218.56399999999999</v>
      </c>
      <c r="D1370" s="63">
        <v>224.50139999999999</v>
      </c>
      <c r="E1370" s="63">
        <v>21395316</v>
      </c>
      <c r="F1370" s="63" t="s">
        <v>905</v>
      </c>
      <c r="G1370" s="25">
        <f t="shared" si="19"/>
        <v>-2.273259765863378E-2</v>
      </c>
    </row>
    <row r="1371" spans="1:7">
      <c r="A1371" s="63">
        <v>219.20930000000001</v>
      </c>
      <c r="B1371" s="63">
        <v>224.3921</v>
      </c>
      <c r="C1371" s="63">
        <v>214.0959</v>
      </c>
      <c r="D1371" s="63">
        <v>223.8758</v>
      </c>
      <c r="E1371" s="63">
        <v>52225539</v>
      </c>
      <c r="F1371" s="63" t="s">
        <v>904</v>
      </c>
      <c r="G1371" s="25">
        <f t="shared" si="19"/>
        <v>-2.0844146620581538E-2</v>
      </c>
    </row>
    <row r="1372" spans="1:7">
      <c r="A1372" s="63">
        <v>239.63290000000001</v>
      </c>
      <c r="B1372" s="63">
        <v>244.94489999999999</v>
      </c>
      <c r="C1372" s="63">
        <v>237.0018</v>
      </c>
      <c r="D1372" s="63">
        <v>243.25700000000001</v>
      </c>
      <c r="E1372" s="63">
        <v>19349095</v>
      </c>
      <c r="F1372" s="63" t="s">
        <v>903</v>
      </c>
      <c r="G1372" s="25">
        <f t="shared" si="19"/>
        <v>-1.4898235199809262E-2</v>
      </c>
    </row>
    <row r="1373" spans="1:7">
      <c r="A1373" s="63">
        <v>244.0513</v>
      </c>
      <c r="B1373" s="63">
        <v>245.8683</v>
      </c>
      <c r="C1373" s="63">
        <v>234.3905</v>
      </c>
      <c r="D1373" s="63">
        <v>243.73349999999999</v>
      </c>
      <c r="E1373" s="63">
        <v>18966437</v>
      </c>
      <c r="F1373" s="63" t="s">
        <v>902</v>
      </c>
      <c r="G1373" s="25">
        <f t="shared" si="19"/>
        <v>1.3038831346532387E-3</v>
      </c>
    </row>
    <row r="1374" spans="1:7">
      <c r="A1374" s="63">
        <v>245.8683</v>
      </c>
      <c r="B1374" s="63">
        <v>250.04830000000001</v>
      </c>
      <c r="C1374" s="63">
        <v>245.27250000000001</v>
      </c>
      <c r="D1374" s="63">
        <v>249.21430000000001</v>
      </c>
      <c r="E1374" s="63">
        <v>7395034</v>
      </c>
      <c r="F1374" s="63" t="s">
        <v>901</v>
      </c>
      <c r="G1374" s="25">
        <f t="shared" si="19"/>
        <v>-1.3426195848312061E-2</v>
      </c>
    </row>
    <row r="1375" spans="1:7">
      <c r="A1375" s="63">
        <v>245.06399999999999</v>
      </c>
      <c r="B1375" s="63">
        <v>264.20190000000002</v>
      </c>
      <c r="C1375" s="63">
        <v>243.3066</v>
      </c>
      <c r="D1375" s="63">
        <v>261.8537</v>
      </c>
      <c r="E1375" s="63">
        <v>26394901</v>
      </c>
      <c r="F1375" s="63" t="s">
        <v>900</v>
      </c>
      <c r="G1375" s="25">
        <f t="shared" si="19"/>
        <v>-6.4118628073615236E-2</v>
      </c>
    </row>
    <row r="1376" spans="1:7">
      <c r="A1376" s="63">
        <v>258.98430000000002</v>
      </c>
      <c r="B1376" s="63">
        <v>260.44380000000001</v>
      </c>
      <c r="C1376" s="63">
        <v>255.98580000000001</v>
      </c>
      <c r="D1376" s="63">
        <v>258.15019999999998</v>
      </c>
      <c r="E1376" s="63">
        <v>5802107</v>
      </c>
      <c r="F1376" s="63" t="s">
        <v>899</v>
      </c>
      <c r="G1376" s="25">
        <f t="shared" si="19"/>
        <v>3.2310647057411934E-3</v>
      </c>
    </row>
    <row r="1377" spans="1:7">
      <c r="A1377" s="63">
        <v>255.80699999999999</v>
      </c>
      <c r="B1377" s="63">
        <v>259.87790000000001</v>
      </c>
      <c r="C1377" s="63">
        <v>252.79859999999999</v>
      </c>
      <c r="D1377" s="63">
        <v>259.37150000000003</v>
      </c>
      <c r="E1377" s="63">
        <v>5385625</v>
      </c>
      <c r="F1377" s="63" t="s">
        <v>898</v>
      </c>
      <c r="G1377" s="25">
        <f t="shared" si="19"/>
        <v>-1.3742836047908269E-2</v>
      </c>
    </row>
    <row r="1378" spans="1:7">
      <c r="A1378" s="63">
        <v>256.20420000000001</v>
      </c>
      <c r="B1378" s="63">
        <v>263.1345</v>
      </c>
      <c r="C1378" s="63">
        <v>255.98580000000001</v>
      </c>
      <c r="D1378" s="63">
        <v>261.71469999999999</v>
      </c>
      <c r="E1378" s="63">
        <v>7289605</v>
      </c>
      <c r="F1378" s="63" t="s">
        <v>897</v>
      </c>
      <c r="G1378" s="25">
        <f t="shared" si="19"/>
        <v>-2.1055370600122858E-2</v>
      </c>
    </row>
    <row r="1379" spans="1:7">
      <c r="A1379" s="63">
        <v>262.7672</v>
      </c>
      <c r="B1379" s="63">
        <v>265.18979999999999</v>
      </c>
      <c r="C1379" s="63">
        <v>253.84110000000001</v>
      </c>
      <c r="D1379" s="63">
        <v>255.0127</v>
      </c>
      <c r="E1379" s="63">
        <v>8084559</v>
      </c>
      <c r="F1379" s="63" t="s">
        <v>896</v>
      </c>
      <c r="G1379" s="25">
        <f t="shared" si="19"/>
        <v>3.0408289469504801E-2</v>
      </c>
    </row>
    <row r="1380" spans="1:7">
      <c r="A1380" s="63">
        <v>255.3305</v>
      </c>
      <c r="B1380" s="63">
        <v>260.79129999999998</v>
      </c>
      <c r="C1380" s="63">
        <v>254.02979999999999</v>
      </c>
      <c r="D1380" s="63">
        <v>254.57589999999999</v>
      </c>
      <c r="E1380" s="63">
        <v>5880543</v>
      </c>
      <c r="F1380" s="63" t="s">
        <v>895</v>
      </c>
      <c r="G1380" s="25">
        <f t="shared" si="19"/>
        <v>2.9641454670297218E-3</v>
      </c>
    </row>
    <row r="1381" spans="1:7">
      <c r="A1381" s="63">
        <v>254.3475</v>
      </c>
      <c r="B1381" s="63">
        <v>256.43259999999998</v>
      </c>
      <c r="C1381" s="63">
        <v>248.68109999999999</v>
      </c>
      <c r="D1381" s="63">
        <v>251.9348</v>
      </c>
      <c r="E1381" s="63">
        <v>5090667</v>
      </c>
      <c r="F1381" s="63" t="s">
        <v>894</v>
      </c>
      <c r="G1381" s="25">
        <f t="shared" si="19"/>
        <v>9.5766841262103775E-3</v>
      </c>
    </row>
    <row r="1382" spans="1:7">
      <c r="A1382" s="63">
        <v>248.1122</v>
      </c>
      <c r="B1382" s="63">
        <v>251.6866</v>
      </c>
      <c r="C1382" s="63">
        <v>246.4143</v>
      </c>
      <c r="D1382" s="63">
        <v>247.7448</v>
      </c>
      <c r="E1382" s="63">
        <v>5712565</v>
      </c>
      <c r="F1382" s="63" t="s">
        <v>893</v>
      </c>
      <c r="G1382" s="25">
        <f t="shared" si="19"/>
        <v>1.4829776447375931E-3</v>
      </c>
    </row>
    <row r="1383" spans="1:7">
      <c r="A1383" s="63">
        <v>247.73490000000001</v>
      </c>
      <c r="B1383" s="63">
        <v>251.98439999999999</v>
      </c>
      <c r="C1383" s="63">
        <v>245.7988</v>
      </c>
      <c r="D1383" s="63">
        <v>251.0412</v>
      </c>
      <c r="E1383" s="63">
        <v>5162933</v>
      </c>
      <c r="F1383" s="63" t="s">
        <v>892</v>
      </c>
      <c r="G1383" s="25">
        <f t="shared" si="19"/>
        <v>-1.3170348134091125E-2</v>
      </c>
    </row>
    <row r="1384" spans="1:7">
      <c r="A1384" s="63">
        <v>247.6455</v>
      </c>
      <c r="B1384" s="63">
        <v>253.15600000000001</v>
      </c>
      <c r="C1384" s="63">
        <v>244.608</v>
      </c>
      <c r="D1384" s="63">
        <v>245.63990000000001</v>
      </c>
      <c r="E1384" s="63">
        <v>5612679</v>
      </c>
      <c r="F1384" s="63" t="s">
        <v>891</v>
      </c>
      <c r="G1384" s="25">
        <f t="shared" si="19"/>
        <v>8.164797331378093E-3</v>
      </c>
    </row>
    <row r="1385" spans="1:7">
      <c r="A1385" s="63">
        <v>252.3717</v>
      </c>
      <c r="B1385" s="63">
        <v>254.9134</v>
      </c>
      <c r="C1385" s="63">
        <v>249.4228</v>
      </c>
      <c r="D1385" s="63">
        <v>251.7064</v>
      </c>
      <c r="E1385" s="63">
        <v>4163391</v>
      </c>
      <c r="F1385" s="63" t="s">
        <v>890</v>
      </c>
      <c r="G1385" s="25">
        <f t="shared" si="19"/>
        <v>2.6431588549198359E-3</v>
      </c>
    </row>
    <row r="1386" spans="1:7">
      <c r="A1386" s="63">
        <v>245.898</v>
      </c>
      <c r="B1386" s="63">
        <v>257.1574</v>
      </c>
      <c r="C1386" s="63">
        <v>241.17189999999999</v>
      </c>
      <c r="D1386" s="63">
        <v>256.22399999999999</v>
      </c>
      <c r="E1386" s="63">
        <v>6863193</v>
      </c>
      <c r="F1386" s="63" t="s">
        <v>889</v>
      </c>
      <c r="G1386" s="25">
        <f t="shared" si="19"/>
        <v>-4.0300674409891268E-2</v>
      </c>
    </row>
    <row r="1387" spans="1:7">
      <c r="A1387" s="63">
        <v>257.43540000000002</v>
      </c>
      <c r="B1387" s="63">
        <v>268.99259999999998</v>
      </c>
      <c r="C1387" s="63">
        <v>255.41980000000001</v>
      </c>
      <c r="D1387" s="63">
        <v>259.09350000000001</v>
      </c>
      <c r="E1387" s="63">
        <v>8777470</v>
      </c>
      <c r="F1387" s="63" t="s">
        <v>888</v>
      </c>
      <c r="G1387" s="25">
        <f t="shared" si="19"/>
        <v>-6.3996202143241643E-3</v>
      </c>
    </row>
    <row r="1388" spans="1:7">
      <c r="A1388" s="63">
        <v>258.29919999999998</v>
      </c>
      <c r="B1388" s="63">
        <v>259.88780000000003</v>
      </c>
      <c r="C1388" s="63">
        <v>252.67939999999999</v>
      </c>
      <c r="D1388" s="63">
        <v>258.15019999999998</v>
      </c>
      <c r="E1388" s="63">
        <v>3798638</v>
      </c>
      <c r="F1388" s="63" t="s">
        <v>887</v>
      </c>
      <c r="G1388" s="25">
        <f t="shared" si="19"/>
        <v>5.7718336069467746E-4</v>
      </c>
    </row>
    <row r="1389" spans="1:7">
      <c r="A1389" s="63">
        <v>258.36869999999999</v>
      </c>
      <c r="B1389" s="63">
        <v>259.06229999999999</v>
      </c>
      <c r="C1389" s="63">
        <v>253.62270000000001</v>
      </c>
      <c r="D1389" s="63">
        <v>256.27370000000002</v>
      </c>
      <c r="E1389" s="63">
        <v>8961728</v>
      </c>
      <c r="F1389" s="63" t="s">
        <v>886</v>
      </c>
      <c r="G1389" s="25">
        <f t="shared" si="19"/>
        <v>8.1748536818251338E-3</v>
      </c>
    </row>
    <row r="1390" spans="1:7">
      <c r="A1390" s="63">
        <v>248.95609999999999</v>
      </c>
      <c r="B1390" s="63">
        <v>251.07589999999999</v>
      </c>
      <c r="C1390" s="63">
        <v>241.5095</v>
      </c>
      <c r="D1390" s="63">
        <v>244.2697</v>
      </c>
      <c r="E1390" s="63">
        <v>6505415</v>
      </c>
      <c r="F1390" s="63" t="s">
        <v>885</v>
      </c>
      <c r="G1390" s="25">
        <f t="shared" si="19"/>
        <v>1.918535127361265E-2</v>
      </c>
    </row>
    <row r="1391" spans="1:7">
      <c r="A1391" s="63">
        <v>235.44300000000001</v>
      </c>
      <c r="B1391" s="63">
        <v>239.22579999999999</v>
      </c>
      <c r="C1391" s="63">
        <v>231.62029999999999</v>
      </c>
      <c r="D1391" s="63">
        <v>233.42740000000001</v>
      </c>
      <c r="E1391" s="63">
        <v>4151377</v>
      </c>
      <c r="F1391" s="63" t="s">
        <v>884</v>
      </c>
      <c r="G1391" s="25">
        <f t="shared" si="19"/>
        <v>8.6348046544664214E-3</v>
      </c>
    </row>
    <row r="1392" spans="1:7">
      <c r="A1392" s="63">
        <v>230.7962</v>
      </c>
      <c r="B1392" s="63">
        <v>236.8032</v>
      </c>
      <c r="C1392" s="63">
        <v>227.36089999999999</v>
      </c>
      <c r="D1392" s="63">
        <v>233.44730000000001</v>
      </c>
      <c r="E1392" s="63">
        <v>3953394</v>
      </c>
      <c r="F1392" s="63" t="s">
        <v>883</v>
      </c>
      <c r="G1392" s="25">
        <f t="shared" si="19"/>
        <v>-1.1356310396393621E-2</v>
      </c>
    </row>
    <row r="1393" spans="1:7">
      <c r="A1393" s="63">
        <v>230.61750000000001</v>
      </c>
      <c r="B1393" s="63">
        <v>236.05850000000001</v>
      </c>
      <c r="C1393" s="63">
        <v>227.03319999999999</v>
      </c>
      <c r="D1393" s="63">
        <v>234.14230000000001</v>
      </c>
      <c r="E1393" s="63">
        <v>5743182</v>
      </c>
      <c r="F1393" s="63" t="s">
        <v>882</v>
      </c>
      <c r="G1393" s="25">
        <f t="shared" si="19"/>
        <v>-1.5054093173254013E-2</v>
      </c>
    </row>
    <row r="1394" spans="1:7">
      <c r="A1394" s="63">
        <v>235.4529</v>
      </c>
      <c r="B1394" s="63">
        <v>240.7946</v>
      </c>
      <c r="C1394" s="63">
        <v>235.44300000000001</v>
      </c>
      <c r="D1394" s="63">
        <v>240.7946</v>
      </c>
      <c r="E1394" s="63">
        <v>4588957</v>
      </c>
      <c r="F1394" s="63" t="s">
        <v>881</v>
      </c>
      <c r="G1394" s="25">
        <f t="shared" si="19"/>
        <v>-2.2183637008471147E-2</v>
      </c>
    </row>
    <row r="1395" spans="1:7">
      <c r="A1395" s="63">
        <v>236.7337</v>
      </c>
      <c r="B1395" s="63">
        <v>243.7038</v>
      </c>
      <c r="C1395" s="63">
        <v>236.3167</v>
      </c>
      <c r="D1395" s="63">
        <v>242.85980000000001</v>
      </c>
      <c r="E1395" s="63">
        <v>4425446</v>
      </c>
      <c r="F1395" s="63" t="s">
        <v>880</v>
      </c>
      <c r="G1395" s="25">
        <f t="shared" si="19"/>
        <v>-2.5224841657614849E-2</v>
      </c>
    </row>
    <row r="1396" spans="1:7">
      <c r="A1396" s="63">
        <v>248.51929999999999</v>
      </c>
      <c r="B1396" s="63">
        <v>249.9589</v>
      </c>
      <c r="C1396" s="63">
        <v>244.01650000000001</v>
      </c>
      <c r="D1396" s="63">
        <v>246.23560000000001</v>
      </c>
      <c r="E1396" s="63">
        <v>4285593</v>
      </c>
      <c r="F1396" s="63" t="s">
        <v>879</v>
      </c>
      <c r="G1396" s="25">
        <f t="shared" si="19"/>
        <v>9.2744509729705271E-3</v>
      </c>
    </row>
    <row r="1397" spans="1:7">
      <c r="A1397" s="63">
        <v>240.25839999999999</v>
      </c>
      <c r="B1397" s="63">
        <v>246.34479999999999</v>
      </c>
      <c r="C1397" s="63">
        <v>235.69120000000001</v>
      </c>
      <c r="D1397" s="63">
        <v>243.5548</v>
      </c>
      <c r="E1397" s="63">
        <v>5864144</v>
      </c>
      <c r="F1397" s="63" t="s">
        <v>878</v>
      </c>
      <c r="G1397" s="25">
        <f t="shared" si="19"/>
        <v>-1.3534531037778796E-2</v>
      </c>
    </row>
    <row r="1398" spans="1:7">
      <c r="A1398" s="63">
        <v>248.73769999999999</v>
      </c>
      <c r="B1398" s="63">
        <v>248.78729999999999</v>
      </c>
      <c r="C1398" s="63">
        <v>245.05410000000001</v>
      </c>
      <c r="D1398" s="63">
        <v>248.32069999999999</v>
      </c>
      <c r="E1398" s="63">
        <v>3159644</v>
      </c>
      <c r="F1398" s="63" t="s">
        <v>877</v>
      </c>
      <c r="G1398" s="25">
        <f t="shared" si="19"/>
        <v>1.6792800600191615E-3</v>
      </c>
    </row>
    <row r="1399" spans="1:7">
      <c r="A1399" s="63">
        <v>247.8937</v>
      </c>
      <c r="B1399" s="63">
        <v>253.40430000000001</v>
      </c>
      <c r="C1399" s="63">
        <v>244.37889999999999</v>
      </c>
      <c r="D1399" s="63">
        <v>252.08369999999999</v>
      </c>
      <c r="E1399" s="63">
        <v>3688499</v>
      </c>
      <c r="F1399" s="63" t="s">
        <v>876</v>
      </c>
      <c r="G1399" s="25">
        <f t="shared" si="19"/>
        <v>-1.6621463426631733E-2</v>
      </c>
    </row>
    <row r="1400" spans="1:7">
      <c r="A1400" s="63">
        <v>252.4213</v>
      </c>
      <c r="B1400" s="63">
        <v>256.47230000000002</v>
      </c>
      <c r="C1400" s="63">
        <v>250.0582</v>
      </c>
      <c r="D1400" s="63">
        <v>254.62549999999999</v>
      </c>
      <c r="E1400" s="63">
        <v>2794023</v>
      </c>
      <c r="F1400" s="63" t="s">
        <v>875</v>
      </c>
      <c r="G1400" s="25">
        <f t="shared" si="19"/>
        <v>-8.6566349403338627E-3</v>
      </c>
    </row>
    <row r="1401" spans="1:7">
      <c r="A1401" s="63">
        <v>254.1489</v>
      </c>
      <c r="B1401" s="63">
        <v>257.33609999999999</v>
      </c>
      <c r="C1401" s="63">
        <v>252.24260000000001</v>
      </c>
      <c r="D1401" s="63">
        <v>254.2979</v>
      </c>
      <c r="E1401" s="63">
        <v>2989655</v>
      </c>
      <c r="F1401" s="63" t="s">
        <v>874</v>
      </c>
      <c r="G1401" s="25">
        <f t="shared" ref="G1401:G1464" si="20">A1401/D1401-1</f>
        <v>-5.8592697776893576E-4</v>
      </c>
    </row>
    <row r="1402" spans="1:7">
      <c r="A1402" s="63">
        <v>253.19569999999999</v>
      </c>
      <c r="B1402" s="63">
        <v>259.61959999999999</v>
      </c>
      <c r="C1402" s="63">
        <v>252.68940000000001</v>
      </c>
      <c r="D1402" s="63">
        <v>257.91199999999998</v>
      </c>
      <c r="E1402" s="63">
        <v>3242263</v>
      </c>
      <c r="F1402" s="63" t="s">
        <v>873</v>
      </c>
      <c r="G1402" s="25">
        <f t="shared" si="20"/>
        <v>-1.8286469803653893E-2</v>
      </c>
    </row>
    <row r="1403" spans="1:7">
      <c r="A1403" s="63">
        <v>256.7106</v>
      </c>
      <c r="B1403" s="63">
        <v>260.65230000000003</v>
      </c>
      <c r="C1403" s="63">
        <v>256.65100000000001</v>
      </c>
      <c r="D1403" s="63">
        <v>257.39569999999998</v>
      </c>
      <c r="E1403" s="63">
        <v>3098043</v>
      </c>
      <c r="F1403" s="63" t="s">
        <v>872</v>
      </c>
      <c r="G1403" s="25">
        <f t="shared" si="20"/>
        <v>-2.6616606260321252E-3</v>
      </c>
    </row>
    <row r="1404" spans="1:7">
      <c r="A1404" s="63">
        <v>255.88650000000001</v>
      </c>
      <c r="B1404" s="63">
        <v>258.66649999999998</v>
      </c>
      <c r="C1404" s="63">
        <v>252.21279999999999</v>
      </c>
      <c r="D1404" s="63">
        <v>256.27370000000002</v>
      </c>
      <c r="E1404" s="63">
        <v>5262379</v>
      </c>
      <c r="F1404" s="63" t="s">
        <v>871</v>
      </c>
      <c r="G1404" s="25">
        <f t="shared" si="20"/>
        <v>-1.5108846518390173E-3</v>
      </c>
    </row>
    <row r="1405" spans="1:7">
      <c r="A1405" s="63">
        <v>259.96719999999999</v>
      </c>
      <c r="B1405" s="63">
        <v>268.238</v>
      </c>
      <c r="C1405" s="63">
        <v>256.9051</v>
      </c>
      <c r="D1405" s="63">
        <v>268.07909999999998</v>
      </c>
      <c r="E1405" s="63">
        <v>5133096</v>
      </c>
      <c r="F1405" s="63" t="s">
        <v>870</v>
      </c>
      <c r="G1405" s="25">
        <f t="shared" si="20"/>
        <v>-3.0259352556764041E-2</v>
      </c>
    </row>
    <row r="1406" spans="1:7">
      <c r="A1406" s="63">
        <v>264.93169999999998</v>
      </c>
      <c r="B1406" s="63">
        <v>266.87709999999998</v>
      </c>
      <c r="C1406" s="63">
        <v>262.35019999999997</v>
      </c>
      <c r="D1406" s="63">
        <v>264.52460000000002</v>
      </c>
      <c r="E1406" s="63">
        <v>3713230</v>
      </c>
      <c r="F1406" s="63" t="s">
        <v>869</v>
      </c>
      <c r="G1406" s="25">
        <f t="shared" si="20"/>
        <v>1.5389873002358279E-3</v>
      </c>
    </row>
    <row r="1407" spans="1:7">
      <c r="A1407" s="63">
        <v>265.16989999999998</v>
      </c>
      <c r="B1407" s="63">
        <v>268.07909999999998</v>
      </c>
      <c r="C1407" s="63">
        <v>263.40530000000001</v>
      </c>
      <c r="D1407" s="63">
        <v>268.07909999999998</v>
      </c>
      <c r="E1407" s="63">
        <v>4317010</v>
      </c>
      <c r="F1407" s="63" t="s">
        <v>868</v>
      </c>
      <c r="G1407" s="25">
        <f t="shared" si="20"/>
        <v>-1.0852020914722593E-2</v>
      </c>
    </row>
    <row r="1408" spans="1:7">
      <c r="A1408" s="63">
        <v>264.08769999999998</v>
      </c>
      <c r="B1408" s="63">
        <v>264.15719999999999</v>
      </c>
      <c r="C1408" s="63">
        <v>259.63959999999997</v>
      </c>
      <c r="D1408" s="63">
        <v>261.02960000000002</v>
      </c>
      <c r="E1408" s="63">
        <v>4225023</v>
      </c>
      <c r="F1408" s="63" t="s">
        <v>867</v>
      </c>
      <c r="G1408" s="25">
        <f t="shared" si="20"/>
        <v>1.1715529579787054E-2</v>
      </c>
    </row>
    <row r="1409" spans="1:7">
      <c r="A1409" s="63">
        <v>258.36869999999999</v>
      </c>
      <c r="B1409" s="63">
        <v>262.73739999999998</v>
      </c>
      <c r="C1409" s="63">
        <v>255.251</v>
      </c>
      <c r="D1409" s="63">
        <v>262.32040000000001</v>
      </c>
      <c r="E1409" s="63">
        <v>4150423</v>
      </c>
      <c r="F1409" s="63" t="s">
        <v>866</v>
      </c>
      <c r="G1409" s="25">
        <f t="shared" si="20"/>
        <v>-1.5064402158581736E-2</v>
      </c>
    </row>
    <row r="1410" spans="1:7">
      <c r="A1410" s="63">
        <v>258.13040000000001</v>
      </c>
      <c r="B1410" s="63">
        <v>258.88499999999999</v>
      </c>
      <c r="C1410" s="63">
        <v>250.4057</v>
      </c>
      <c r="D1410" s="63">
        <v>250.4057</v>
      </c>
      <c r="E1410" s="63">
        <v>4963168</v>
      </c>
      <c r="F1410" s="63" t="s">
        <v>865</v>
      </c>
      <c r="G1410" s="25">
        <f t="shared" si="20"/>
        <v>3.0848738666891418E-2</v>
      </c>
    </row>
    <row r="1411" spans="1:7">
      <c r="A1411" s="63">
        <v>248.3604</v>
      </c>
      <c r="B1411" s="63">
        <v>255.45949999999999</v>
      </c>
      <c r="C1411" s="63">
        <v>247.2285</v>
      </c>
      <c r="D1411" s="63">
        <v>250.93199999999999</v>
      </c>
      <c r="E1411" s="63">
        <v>4448122</v>
      </c>
      <c r="F1411" s="63" t="s">
        <v>864</v>
      </c>
      <c r="G1411" s="25">
        <f t="shared" si="20"/>
        <v>-1.0248194730046345E-2</v>
      </c>
    </row>
    <row r="1412" spans="1:7">
      <c r="A1412" s="63">
        <v>249.7405</v>
      </c>
      <c r="B1412" s="63">
        <v>251.47810000000001</v>
      </c>
      <c r="C1412" s="63">
        <v>247.2285</v>
      </c>
      <c r="D1412" s="63">
        <v>248.22139999999999</v>
      </c>
      <c r="E1412" s="63">
        <v>3403534</v>
      </c>
      <c r="F1412" s="63" t="s">
        <v>863</v>
      </c>
      <c r="G1412" s="25">
        <f t="shared" si="20"/>
        <v>6.1199396989946031E-3</v>
      </c>
    </row>
    <row r="1413" spans="1:7">
      <c r="A1413" s="63">
        <v>246.08670000000001</v>
      </c>
      <c r="B1413" s="63">
        <v>253.1362</v>
      </c>
      <c r="C1413" s="63">
        <v>245.4512</v>
      </c>
      <c r="D1413" s="63">
        <v>247.97319999999999</v>
      </c>
      <c r="E1413" s="63">
        <v>4494464</v>
      </c>
      <c r="F1413" s="63" t="s">
        <v>862</v>
      </c>
      <c r="G1413" s="25">
        <f t="shared" si="20"/>
        <v>-7.6076769586390647E-3</v>
      </c>
    </row>
    <row r="1414" spans="1:7">
      <c r="A1414" s="63">
        <v>251.64680000000001</v>
      </c>
      <c r="B1414" s="63">
        <v>252.85820000000001</v>
      </c>
      <c r="C1414" s="63">
        <v>249.0256</v>
      </c>
      <c r="D1414" s="63">
        <v>251.37880000000001</v>
      </c>
      <c r="E1414" s="63">
        <v>4318011</v>
      </c>
      <c r="F1414" s="63" t="s">
        <v>861</v>
      </c>
      <c r="G1414" s="25">
        <f t="shared" si="20"/>
        <v>1.0661201342356819E-3</v>
      </c>
    </row>
    <row r="1415" spans="1:7">
      <c r="A1415" s="63">
        <v>249.53200000000001</v>
      </c>
      <c r="B1415" s="63">
        <v>253.58969999999999</v>
      </c>
      <c r="C1415" s="63">
        <v>244.4693</v>
      </c>
      <c r="D1415" s="63">
        <v>244.89519999999999</v>
      </c>
      <c r="E1415" s="63">
        <v>8188533</v>
      </c>
      <c r="F1415" s="63" t="s">
        <v>860</v>
      </c>
      <c r="G1415" s="25">
        <f t="shared" si="20"/>
        <v>1.8933813320963555E-2</v>
      </c>
    </row>
    <row r="1416" spans="1:7">
      <c r="A1416" s="63">
        <v>245.68950000000001</v>
      </c>
      <c r="B1416" s="63">
        <v>246.13290000000001</v>
      </c>
      <c r="C1416" s="63">
        <v>242.76050000000001</v>
      </c>
      <c r="D1416" s="63">
        <v>243.51509999999999</v>
      </c>
      <c r="E1416" s="63">
        <v>4009932</v>
      </c>
      <c r="F1416" s="63" t="s">
        <v>859</v>
      </c>
      <c r="G1416" s="25">
        <f t="shared" si="20"/>
        <v>8.9292204056341529E-3</v>
      </c>
    </row>
    <row r="1417" spans="1:7">
      <c r="A1417" s="63">
        <v>244.9151</v>
      </c>
      <c r="B1417" s="63">
        <v>246.8115</v>
      </c>
      <c r="C1417" s="63">
        <v>240.48679999999999</v>
      </c>
      <c r="D1417" s="63">
        <v>245.7988</v>
      </c>
      <c r="E1417" s="63">
        <v>4088330</v>
      </c>
      <c r="F1417" s="63" t="s">
        <v>858</v>
      </c>
      <c r="G1417" s="25">
        <f t="shared" si="20"/>
        <v>-3.595216900977527E-3</v>
      </c>
    </row>
    <row r="1418" spans="1:7">
      <c r="A1418" s="63">
        <v>241.01300000000001</v>
      </c>
      <c r="B1418" s="63">
        <v>242.20949999999999</v>
      </c>
      <c r="C1418" s="63">
        <v>233.37780000000001</v>
      </c>
      <c r="D1418" s="63">
        <v>235.7011</v>
      </c>
      <c r="E1418" s="63">
        <v>5117842</v>
      </c>
      <c r="F1418" s="63" t="s">
        <v>857</v>
      </c>
      <c r="G1418" s="25">
        <f t="shared" si="20"/>
        <v>2.2536594016744127E-2</v>
      </c>
    </row>
    <row r="1419" spans="1:7">
      <c r="A1419" s="63">
        <v>235.86</v>
      </c>
      <c r="B1419" s="63">
        <v>238.25020000000001</v>
      </c>
      <c r="C1419" s="63">
        <v>231.96789999999999</v>
      </c>
      <c r="D1419" s="63">
        <v>234.16210000000001</v>
      </c>
      <c r="E1419" s="63">
        <v>4166772</v>
      </c>
      <c r="F1419" s="63" t="s">
        <v>856</v>
      </c>
      <c r="G1419" s="25">
        <f t="shared" si="20"/>
        <v>7.2509599119583434E-3</v>
      </c>
    </row>
    <row r="1420" spans="1:7">
      <c r="A1420" s="63">
        <v>234.31110000000001</v>
      </c>
      <c r="B1420" s="63">
        <v>247.0001</v>
      </c>
      <c r="C1420" s="63">
        <v>233.6756</v>
      </c>
      <c r="D1420" s="63">
        <v>246.71719999999999</v>
      </c>
      <c r="E1420" s="63">
        <v>7507921</v>
      </c>
      <c r="F1420" s="63" t="s">
        <v>855</v>
      </c>
      <c r="G1420" s="25">
        <f t="shared" si="20"/>
        <v>-5.0284698432050856E-2</v>
      </c>
    </row>
    <row r="1421" spans="1:7">
      <c r="A1421" s="63">
        <v>246.0172</v>
      </c>
      <c r="B1421" s="63">
        <v>246.80160000000001</v>
      </c>
      <c r="C1421" s="63">
        <v>239.5436</v>
      </c>
      <c r="D1421" s="63">
        <v>244.9846</v>
      </c>
      <c r="E1421" s="63">
        <v>3600779</v>
      </c>
      <c r="F1421" s="63" t="s">
        <v>854</v>
      </c>
      <c r="G1421" s="25">
        <f t="shared" si="20"/>
        <v>4.2149588178195252E-3</v>
      </c>
    </row>
    <row r="1422" spans="1:7">
      <c r="A1422" s="63">
        <v>243.3066</v>
      </c>
      <c r="B1422" s="63">
        <v>243.386</v>
      </c>
      <c r="C1422" s="63">
        <v>235.11529999999999</v>
      </c>
      <c r="D1422" s="63">
        <v>237.26990000000001</v>
      </c>
      <c r="E1422" s="63">
        <v>5561603</v>
      </c>
      <c r="F1422" s="63" t="s">
        <v>853</v>
      </c>
      <c r="G1422" s="25">
        <f t="shared" si="20"/>
        <v>2.5442333814782225E-2</v>
      </c>
    </row>
    <row r="1423" spans="1:7">
      <c r="A1423" s="63">
        <v>241.05279999999999</v>
      </c>
      <c r="B1423" s="63">
        <v>246.34479999999999</v>
      </c>
      <c r="C1423" s="63">
        <v>237.01179999999999</v>
      </c>
      <c r="D1423" s="63">
        <v>243.386</v>
      </c>
      <c r="E1423" s="63">
        <v>6595560</v>
      </c>
      <c r="F1423" s="63" t="s">
        <v>852</v>
      </c>
      <c r="G1423" s="25">
        <f t="shared" si="20"/>
        <v>-9.586418282070519E-3</v>
      </c>
    </row>
    <row r="1424" spans="1:7">
      <c r="A1424" s="63">
        <v>242.7903</v>
      </c>
      <c r="B1424" s="63">
        <v>247.04480000000001</v>
      </c>
      <c r="C1424" s="63">
        <v>239.5932</v>
      </c>
      <c r="D1424" s="63">
        <v>244.369</v>
      </c>
      <c r="E1424" s="63">
        <v>5279535</v>
      </c>
      <c r="F1424" s="63" t="s">
        <v>851</v>
      </c>
      <c r="G1424" s="25">
        <f t="shared" si="20"/>
        <v>-6.4603120690430726E-3</v>
      </c>
    </row>
    <row r="1425" spans="1:7">
      <c r="A1425" s="63">
        <v>248.81710000000001</v>
      </c>
      <c r="B1425" s="63">
        <v>253.61279999999999</v>
      </c>
      <c r="C1425" s="63">
        <v>248.44980000000001</v>
      </c>
      <c r="D1425" s="63">
        <v>252.85820000000001</v>
      </c>
      <c r="E1425" s="63">
        <v>5443037</v>
      </c>
      <c r="F1425" s="63" t="s">
        <v>850</v>
      </c>
      <c r="G1425" s="25">
        <f t="shared" si="20"/>
        <v>-1.5981684596346857E-2</v>
      </c>
    </row>
    <row r="1426" spans="1:7">
      <c r="A1426" s="63">
        <v>249.88939999999999</v>
      </c>
      <c r="B1426" s="63">
        <v>250.14760000000001</v>
      </c>
      <c r="C1426" s="63">
        <v>246.74209999999999</v>
      </c>
      <c r="D1426" s="63">
        <v>249.58160000000001</v>
      </c>
      <c r="E1426" s="63">
        <v>4133574</v>
      </c>
      <c r="F1426" s="63" t="s">
        <v>849</v>
      </c>
      <c r="G1426" s="25">
        <f t="shared" si="20"/>
        <v>1.2332639906147413E-3</v>
      </c>
    </row>
    <row r="1427" spans="1:7">
      <c r="A1427" s="63">
        <v>244.8853</v>
      </c>
      <c r="B1427" s="63">
        <v>247.0994</v>
      </c>
      <c r="C1427" s="63">
        <v>242.3038</v>
      </c>
      <c r="D1427" s="63">
        <v>244.55760000000001</v>
      </c>
      <c r="E1427" s="63">
        <v>4255201</v>
      </c>
      <c r="F1427" s="63" t="s">
        <v>848</v>
      </c>
      <c r="G1427" s="25">
        <f t="shared" si="20"/>
        <v>1.3399706245071918E-3</v>
      </c>
    </row>
    <row r="1428" spans="1:7">
      <c r="A1428" s="63">
        <v>241.37049999999999</v>
      </c>
      <c r="B1428" s="63">
        <v>249.5121</v>
      </c>
      <c r="C1428" s="63">
        <v>237.74639999999999</v>
      </c>
      <c r="D1428" s="63">
        <v>248.93629999999999</v>
      </c>
      <c r="E1428" s="63">
        <v>5455231</v>
      </c>
      <c r="F1428" s="63" t="s">
        <v>847</v>
      </c>
      <c r="G1428" s="25">
        <f t="shared" si="20"/>
        <v>-3.0392514068860121E-2</v>
      </c>
    </row>
    <row r="1429" spans="1:7">
      <c r="A1429" s="63">
        <v>246.03700000000001</v>
      </c>
      <c r="B1429" s="63">
        <v>254.68219999999999</v>
      </c>
      <c r="C1429" s="63">
        <v>245.21289999999999</v>
      </c>
      <c r="D1429" s="63">
        <v>252.99719999999999</v>
      </c>
      <c r="E1429" s="63">
        <v>5944965</v>
      </c>
      <c r="F1429" s="63" t="s">
        <v>846</v>
      </c>
      <c r="G1429" s="25">
        <f t="shared" si="20"/>
        <v>-2.7510976406062926E-2</v>
      </c>
    </row>
    <row r="1430" spans="1:7">
      <c r="A1430" s="63">
        <v>248.64830000000001</v>
      </c>
      <c r="B1430" s="63">
        <v>251.64680000000001</v>
      </c>
      <c r="C1430" s="63">
        <v>241.23150000000001</v>
      </c>
      <c r="D1430" s="63">
        <v>244.64699999999999</v>
      </c>
      <c r="E1430" s="63">
        <v>9988571</v>
      </c>
      <c r="F1430" s="63" t="s">
        <v>845</v>
      </c>
      <c r="G1430" s="25">
        <f t="shared" si="20"/>
        <v>1.6355401864727614E-2</v>
      </c>
    </row>
    <row r="1431" spans="1:7">
      <c r="A1431" s="63">
        <v>239.55350000000001</v>
      </c>
      <c r="B1431" s="63">
        <v>251.87020000000001</v>
      </c>
      <c r="C1431" s="63">
        <v>238.4316</v>
      </c>
      <c r="D1431" s="63">
        <v>238.8535</v>
      </c>
      <c r="E1431" s="63">
        <v>15229594</v>
      </c>
      <c r="F1431" s="63" t="s">
        <v>844</v>
      </c>
      <c r="G1431" s="25">
        <f t="shared" si="20"/>
        <v>2.9306667057422686E-3</v>
      </c>
    </row>
    <row r="1432" spans="1:7">
      <c r="A1432" s="63">
        <v>252.88800000000001</v>
      </c>
      <c r="B1432" s="63">
        <v>263.7799</v>
      </c>
      <c r="C1432" s="63">
        <v>241.46979999999999</v>
      </c>
      <c r="D1432" s="63">
        <v>261.10899999999998</v>
      </c>
      <c r="E1432" s="63">
        <v>14374293</v>
      </c>
      <c r="F1432" s="63" t="s">
        <v>843</v>
      </c>
      <c r="G1432" s="25">
        <f t="shared" si="20"/>
        <v>-3.1484935410115988E-2</v>
      </c>
    </row>
    <row r="1433" spans="1:7">
      <c r="A1433" s="63">
        <v>263.12459999999999</v>
      </c>
      <c r="B1433" s="63">
        <v>269.81670000000003</v>
      </c>
      <c r="C1433" s="63">
        <v>255.5787</v>
      </c>
      <c r="D1433" s="63">
        <v>268.65499999999997</v>
      </c>
      <c r="E1433" s="63">
        <v>14000573</v>
      </c>
      <c r="F1433" s="63" t="s">
        <v>842</v>
      </c>
      <c r="G1433" s="25">
        <f t="shared" si="20"/>
        <v>-2.0585509296309312E-2</v>
      </c>
    </row>
    <row r="1434" spans="1:7">
      <c r="A1434" s="63">
        <v>274.72149999999999</v>
      </c>
      <c r="B1434" s="63">
        <v>282.47590000000002</v>
      </c>
      <c r="C1434" s="63">
        <v>266.65929999999997</v>
      </c>
      <c r="D1434" s="63">
        <v>281.45330000000001</v>
      </c>
      <c r="E1434" s="63">
        <v>12963777</v>
      </c>
      <c r="F1434" s="63" t="s">
        <v>841</v>
      </c>
      <c r="G1434" s="25">
        <f t="shared" si="20"/>
        <v>-2.3917999895542219E-2</v>
      </c>
    </row>
    <row r="1435" spans="1:7">
      <c r="A1435" s="63">
        <v>279.2491</v>
      </c>
      <c r="B1435" s="63">
        <v>279.92419999999998</v>
      </c>
      <c r="C1435" s="63">
        <v>268.65499999999997</v>
      </c>
      <c r="D1435" s="63">
        <v>269.072</v>
      </c>
      <c r="E1435" s="63">
        <v>13303236</v>
      </c>
      <c r="F1435" s="63" t="s">
        <v>840</v>
      </c>
      <c r="G1435" s="25">
        <f t="shared" si="20"/>
        <v>3.782296188380796E-2</v>
      </c>
    </row>
    <row r="1436" spans="1:7">
      <c r="A1436" s="63">
        <v>270.71019999999999</v>
      </c>
      <c r="B1436" s="63">
        <v>272.75560000000002</v>
      </c>
      <c r="C1436" s="63">
        <v>264.01819999999998</v>
      </c>
      <c r="D1436" s="63">
        <v>268.07909999999998</v>
      </c>
      <c r="E1436" s="63">
        <v>16010104</v>
      </c>
      <c r="F1436" s="63" t="s">
        <v>839</v>
      </c>
      <c r="G1436" s="25">
        <f t="shared" si="20"/>
        <v>9.8146405296049011E-3</v>
      </c>
    </row>
    <row r="1437" spans="1:7">
      <c r="A1437" s="63">
        <v>269.17129999999997</v>
      </c>
      <c r="B1437" s="63">
        <v>273.78820000000002</v>
      </c>
      <c r="C1437" s="63">
        <v>265.49759999999998</v>
      </c>
      <c r="D1437" s="63">
        <v>269.35000000000002</v>
      </c>
      <c r="E1437" s="63">
        <v>28067962</v>
      </c>
      <c r="F1437" s="63" t="s">
        <v>838</v>
      </c>
      <c r="G1437" s="25">
        <f t="shared" si="20"/>
        <v>-6.6344904399495697E-4</v>
      </c>
    </row>
    <row r="1438" spans="1:7">
      <c r="A1438" s="63">
        <v>274.35410000000002</v>
      </c>
      <c r="B1438" s="63">
        <v>276.30020000000002</v>
      </c>
      <c r="C1438" s="63">
        <v>258.98430000000002</v>
      </c>
      <c r="D1438" s="63">
        <v>265.10039999999998</v>
      </c>
      <c r="E1438" s="63">
        <v>22817093</v>
      </c>
      <c r="F1438" s="63" t="s">
        <v>837</v>
      </c>
      <c r="G1438" s="25">
        <f t="shared" si="20"/>
        <v>3.4906397727050065E-2</v>
      </c>
    </row>
    <row r="1439" spans="1:7">
      <c r="A1439" s="63">
        <v>270.38260000000002</v>
      </c>
      <c r="B1439" s="63">
        <v>275.99239999999998</v>
      </c>
      <c r="C1439" s="63">
        <v>247.6952</v>
      </c>
      <c r="D1439" s="63">
        <v>250.16739999999999</v>
      </c>
      <c r="E1439" s="63">
        <v>63253354</v>
      </c>
      <c r="F1439" s="63" t="s">
        <v>836</v>
      </c>
      <c r="G1439" s="25">
        <f t="shared" si="20"/>
        <v>8.0806691839144573E-2</v>
      </c>
    </row>
    <row r="1440" spans="1:7">
      <c r="A1440" s="63">
        <v>214.5129</v>
      </c>
      <c r="B1440" s="63">
        <v>216.79660000000001</v>
      </c>
      <c r="C1440" s="63">
        <v>209.30029999999999</v>
      </c>
      <c r="D1440" s="63">
        <v>211.70310000000001</v>
      </c>
      <c r="E1440" s="63">
        <v>27096458</v>
      </c>
      <c r="F1440" s="63" t="s">
        <v>835</v>
      </c>
      <c r="G1440" s="25">
        <f t="shared" si="20"/>
        <v>1.3272361151064782E-2</v>
      </c>
    </row>
    <row r="1441" spans="1:7">
      <c r="A1441" s="63">
        <v>206.9769</v>
      </c>
      <c r="B1441" s="63">
        <v>207.80099999999999</v>
      </c>
      <c r="C1441" s="63">
        <v>203.69049999999999</v>
      </c>
      <c r="D1441" s="63">
        <v>207.3939</v>
      </c>
      <c r="E1441" s="63">
        <v>5698981</v>
      </c>
      <c r="F1441" s="63" t="s">
        <v>834</v>
      </c>
      <c r="G1441" s="25">
        <f t="shared" si="20"/>
        <v>-2.0106666589518873E-3</v>
      </c>
    </row>
    <row r="1442" spans="1:7">
      <c r="A1442" s="63">
        <v>206.05350000000001</v>
      </c>
      <c r="B1442" s="63">
        <v>208.506</v>
      </c>
      <c r="C1442" s="63">
        <v>204.7826</v>
      </c>
      <c r="D1442" s="63">
        <v>208.44640000000001</v>
      </c>
      <c r="E1442" s="63">
        <v>5727827</v>
      </c>
      <c r="F1442" s="63" t="s">
        <v>833</v>
      </c>
      <c r="G1442" s="25">
        <f t="shared" si="20"/>
        <v>-1.1479689742782795E-2</v>
      </c>
    </row>
    <row r="1443" spans="1:7">
      <c r="A1443" s="63">
        <v>208.01949999999999</v>
      </c>
      <c r="B1443" s="63">
        <v>208.61519999999999</v>
      </c>
      <c r="C1443" s="63">
        <v>202.06209999999999</v>
      </c>
      <c r="D1443" s="63">
        <v>202.3997</v>
      </c>
      <c r="E1443" s="63">
        <v>5175146</v>
      </c>
      <c r="F1443" s="63" t="s">
        <v>832</v>
      </c>
      <c r="G1443" s="25">
        <f t="shared" si="20"/>
        <v>2.7765851431597932E-2</v>
      </c>
    </row>
    <row r="1444" spans="1:7">
      <c r="A1444" s="63">
        <v>203.6508</v>
      </c>
      <c r="B1444" s="63">
        <v>205.6266</v>
      </c>
      <c r="C1444" s="63">
        <v>198.6069</v>
      </c>
      <c r="D1444" s="63">
        <v>202.5487</v>
      </c>
      <c r="E1444" s="63">
        <v>7080746</v>
      </c>
      <c r="F1444" s="63" t="s">
        <v>831</v>
      </c>
      <c r="G1444" s="25">
        <f t="shared" si="20"/>
        <v>5.4411605702726629E-3</v>
      </c>
    </row>
    <row r="1445" spans="1:7">
      <c r="A1445" s="63">
        <v>202.55860000000001</v>
      </c>
      <c r="B1445" s="63">
        <v>203.34299999999999</v>
      </c>
      <c r="C1445" s="63">
        <v>197.58420000000001</v>
      </c>
      <c r="D1445" s="63">
        <v>197.9119</v>
      </c>
      <c r="E1445" s="63">
        <v>7284820</v>
      </c>
      <c r="F1445" s="63" t="s">
        <v>830</v>
      </c>
      <c r="G1445" s="25">
        <f t="shared" si="20"/>
        <v>2.3478628622129349E-2</v>
      </c>
    </row>
    <row r="1446" spans="1:7">
      <c r="A1446" s="63">
        <v>195.34030000000001</v>
      </c>
      <c r="B1446" s="63">
        <v>195.66800000000001</v>
      </c>
      <c r="C1446" s="63">
        <v>193.03280000000001</v>
      </c>
      <c r="D1446" s="63">
        <v>193.9503</v>
      </c>
      <c r="E1446" s="63">
        <v>3574549</v>
      </c>
      <c r="F1446" s="63" t="s">
        <v>829</v>
      </c>
      <c r="G1446" s="25">
        <f t="shared" si="20"/>
        <v>7.1667844803540159E-3</v>
      </c>
    </row>
    <row r="1447" spans="1:7">
      <c r="A1447" s="63">
        <v>192.08359999999999</v>
      </c>
      <c r="B1447" s="63">
        <v>194.08930000000001</v>
      </c>
      <c r="C1447" s="63">
        <v>191.15029999999999</v>
      </c>
      <c r="D1447" s="63">
        <v>193.83109999999999</v>
      </c>
      <c r="E1447" s="63">
        <v>2833235</v>
      </c>
      <c r="F1447" s="63" t="s">
        <v>828</v>
      </c>
      <c r="G1447" s="25">
        <f t="shared" si="20"/>
        <v>-9.0155810909601231E-3</v>
      </c>
    </row>
    <row r="1448" spans="1:7">
      <c r="A1448" s="63">
        <v>193.7517</v>
      </c>
      <c r="B1448" s="63">
        <v>196.66079999999999</v>
      </c>
      <c r="C1448" s="63">
        <v>191.8553</v>
      </c>
      <c r="D1448" s="63">
        <v>191.94460000000001</v>
      </c>
      <c r="E1448" s="63">
        <v>4711598</v>
      </c>
      <c r="F1448" s="63" t="s">
        <v>827</v>
      </c>
      <c r="G1448" s="25">
        <f t="shared" si="20"/>
        <v>9.4146956986547181E-3</v>
      </c>
    </row>
    <row r="1449" spans="1:7">
      <c r="A1449" s="63">
        <v>191.24959999999999</v>
      </c>
      <c r="B1449" s="63">
        <v>194.02770000000001</v>
      </c>
      <c r="C1449" s="63">
        <v>190.75319999999999</v>
      </c>
      <c r="D1449" s="63">
        <v>191.62690000000001</v>
      </c>
      <c r="E1449" s="63">
        <v>3982152</v>
      </c>
      <c r="F1449" s="63" t="s">
        <v>826</v>
      </c>
      <c r="G1449" s="25">
        <f t="shared" si="20"/>
        <v>-1.9689302493544059E-3</v>
      </c>
    </row>
    <row r="1450" spans="1:7">
      <c r="A1450" s="63">
        <v>190.6241</v>
      </c>
      <c r="B1450" s="63">
        <v>194.44669999999999</v>
      </c>
      <c r="C1450" s="63">
        <v>190.35599999999999</v>
      </c>
      <c r="D1450" s="63">
        <v>192.24250000000001</v>
      </c>
      <c r="E1450" s="63">
        <v>5015367</v>
      </c>
      <c r="F1450" s="63" t="s">
        <v>825</v>
      </c>
      <c r="G1450" s="25">
        <f t="shared" si="20"/>
        <v>-8.418533882986412E-3</v>
      </c>
    </row>
    <row r="1451" spans="1:7">
      <c r="A1451" s="63">
        <v>195.75729999999999</v>
      </c>
      <c r="B1451" s="63">
        <v>200.04660000000001</v>
      </c>
      <c r="C1451" s="63">
        <v>194.32759999999999</v>
      </c>
      <c r="D1451" s="63">
        <v>198.9743</v>
      </c>
      <c r="E1451" s="63">
        <v>5528192</v>
      </c>
      <c r="F1451" s="63" t="s">
        <v>824</v>
      </c>
      <c r="G1451" s="25">
        <f t="shared" si="20"/>
        <v>-1.6167917163171341E-2</v>
      </c>
    </row>
    <row r="1452" spans="1:7">
      <c r="A1452" s="63">
        <v>199.61959999999999</v>
      </c>
      <c r="B1452" s="63">
        <v>205.46770000000001</v>
      </c>
      <c r="C1452" s="63">
        <v>197.16720000000001</v>
      </c>
      <c r="D1452" s="63">
        <v>205.15</v>
      </c>
      <c r="E1452" s="63">
        <v>5423414</v>
      </c>
      <c r="F1452" s="63" t="s">
        <v>823</v>
      </c>
      <c r="G1452" s="25">
        <f t="shared" si="20"/>
        <v>-2.6957835729953805E-2</v>
      </c>
    </row>
    <row r="1453" spans="1:7">
      <c r="A1453" s="63">
        <v>206.3117</v>
      </c>
      <c r="B1453" s="63">
        <v>208.4563</v>
      </c>
      <c r="C1453" s="63">
        <v>200.96</v>
      </c>
      <c r="D1453" s="63">
        <v>201.52600000000001</v>
      </c>
      <c r="E1453" s="63">
        <v>5113305</v>
      </c>
      <c r="F1453" s="63" t="s">
        <v>822</v>
      </c>
      <c r="G1453" s="25">
        <f t="shared" si="20"/>
        <v>2.37473080396573E-2</v>
      </c>
    </row>
    <row r="1454" spans="1:7">
      <c r="A1454" s="63">
        <v>201.19829999999999</v>
      </c>
      <c r="B1454" s="63">
        <v>202.4494</v>
      </c>
      <c r="C1454" s="63">
        <v>200.14590000000001</v>
      </c>
      <c r="D1454" s="63">
        <v>201.35720000000001</v>
      </c>
      <c r="E1454" s="63">
        <v>3615762</v>
      </c>
      <c r="F1454" s="63" t="s">
        <v>821</v>
      </c>
      <c r="G1454" s="25">
        <f t="shared" si="20"/>
        <v>-7.8914486296000064E-4</v>
      </c>
    </row>
    <row r="1455" spans="1:7">
      <c r="A1455" s="63">
        <v>199.97710000000001</v>
      </c>
      <c r="B1455" s="63">
        <v>201.94300000000001</v>
      </c>
      <c r="C1455" s="63">
        <v>197.48490000000001</v>
      </c>
      <c r="D1455" s="63">
        <v>201.5558</v>
      </c>
      <c r="E1455" s="63">
        <v>4438519</v>
      </c>
      <c r="F1455" s="63" t="s">
        <v>820</v>
      </c>
      <c r="G1455" s="25">
        <f t="shared" si="20"/>
        <v>-7.8325704345892921E-3</v>
      </c>
    </row>
    <row r="1456" spans="1:7">
      <c r="A1456" s="63">
        <v>201.74440000000001</v>
      </c>
      <c r="B1456" s="63">
        <v>203.333</v>
      </c>
      <c r="C1456" s="63">
        <v>195.17150000000001</v>
      </c>
      <c r="D1456" s="63">
        <v>196.39279999999999</v>
      </c>
      <c r="E1456" s="63">
        <v>6561007</v>
      </c>
      <c r="F1456" s="63" t="s">
        <v>819</v>
      </c>
      <c r="G1456" s="25">
        <f t="shared" si="20"/>
        <v>2.7249471467385877E-2</v>
      </c>
    </row>
    <row r="1457" spans="1:7">
      <c r="A1457" s="63">
        <v>193.46379999999999</v>
      </c>
      <c r="B1457" s="63">
        <v>193.6028</v>
      </c>
      <c r="C1457" s="63">
        <v>189.31309999999999</v>
      </c>
      <c r="D1457" s="63">
        <v>191.62690000000001</v>
      </c>
      <c r="E1457" s="63">
        <v>3734611</v>
      </c>
      <c r="F1457" s="63" t="s">
        <v>818</v>
      </c>
      <c r="G1457" s="25">
        <f t="shared" si="20"/>
        <v>9.5858149351681909E-3</v>
      </c>
    </row>
    <row r="1458" spans="1:7">
      <c r="A1458" s="63">
        <v>190.33619999999999</v>
      </c>
      <c r="B1458" s="63">
        <v>190.55459999999999</v>
      </c>
      <c r="C1458" s="63">
        <v>186.03700000000001</v>
      </c>
      <c r="D1458" s="63">
        <v>188.73759999999999</v>
      </c>
      <c r="E1458" s="63">
        <v>3587429</v>
      </c>
      <c r="F1458" s="63" t="s">
        <v>817</v>
      </c>
      <c r="G1458" s="25">
        <f t="shared" si="20"/>
        <v>8.4699604106441839E-3</v>
      </c>
    </row>
    <row r="1459" spans="1:7">
      <c r="A1459" s="63">
        <v>192.23259999999999</v>
      </c>
      <c r="B1459" s="63">
        <v>193.17089999999999</v>
      </c>
      <c r="C1459" s="63">
        <v>188.4</v>
      </c>
      <c r="D1459" s="63">
        <v>188.7972</v>
      </c>
      <c r="E1459" s="63">
        <v>3747754</v>
      </c>
      <c r="F1459" s="63" t="s">
        <v>816</v>
      </c>
      <c r="G1459" s="25">
        <f t="shared" si="20"/>
        <v>1.8196244435828346E-2</v>
      </c>
    </row>
    <row r="1460" spans="1:7">
      <c r="A1460" s="63">
        <v>188.15180000000001</v>
      </c>
      <c r="B1460" s="63">
        <v>191.59710000000001</v>
      </c>
      <c r="C1460" s="63">
        <v>187.70500000000001</v>
      </c>
      <c r="D1460" s="63">
        <v>189.64109999999999</v>
      </c>
      <c r="E1460" s="63">
        <v>3114398</v>
      </c>
      <c r="F1460" s="63" t="s">
        <v>815</v>
      </c>
      <c r="G1460" s="25">
        <f t="shared" si="20"/>
        <v>-7.853255438826201E-3</v>
      </c>
    </row>
    <row r="1461" spans="1:7">
      <c r="A1461" s="63">
        <v>189.60140000000001</v>
      </c>
      <c r="B1461" s="63">
        <v>190.19720000000001</v>
      </c>
      <c r="C1461" s="63">
        <v>187.30789999999999</v>
      </c>
      <c r="D1461" s="63">
        <v>188.54900000000001</v>
      </c>
      <c r="E1461" s="63">
        <v>3015701</v>
      </c>
      <c r="F1461" s="63" t="s">
        <v>814</v>
      </c>
      <c r="G1461" s="25">
        <f t="shared" si="20"/>
        <v>5.5815729598140962E-3</v>
      </c>
    </row>
    <row r="1462" spans="1:7">
      <c r="A1462" s="63">
        <v>187.149</v>
      </c>
      <c r="B1462" s="63">
        <v>187.5958</v>
      </c>
      <c r="C1462" s="63">
        <v>183.0633</v>
      </c>
      <c r="D1462" s="63">
        <v>184.7363</v>
      </c>
      <c r="E1462" s="63">
        <v>3908386</v>
      </c>
      <c r="F1462" s="63" t="s">
        <v>813</v>
      </c>
      <c r="G1462" s="25">
        <f t="shared" si="20"/>
        <v>1.3060237755113668E-2</v>
      </c>
    </row>
    <row r="1463" spans="1:7">
      <c r="A1463" s="63">
        <v>187.1986</v>
      </c>
      <c r="B1463" s="63">
        <v>193.1857</v>
      </c>
      <c r="C1463" s="63">
        <v>186.17599999999999</v>
      </c>
      <c r="D1463" s="63">
        <v>190.11770000000001</v>
      </c>
      <c r="E1463" s="63">
        <v>3639519</v>
      </c>
      <c r="F1463" s="63" t="s">
        <v>812</v>
      </c>
      <c r="G1463" s="25">
        <f t="shared" si="20"/>
        <v>-1.535417270459305E-2</v>
      </c>
    </row>
    <row r="1464" spans="1:7">
      <c r="A1464" s="63">
        <v>189.94890000000001</v>
      </c>
      <c r="B1464" s="63">
        <v>190.505</v>
      </c>
      <c r="C1464" s="63">
        <v>187.52629999999999</v>
      </c>
      <c r="D1464" s="63">
        <v>189.42269999999999</v>
      </c>
      <c r="E1464" s="63">
        <v>2833242</v>
      </c>
      <c r="F1464" s="63" t="s">
        <v>811</v>
      </c>
      <c r="G1464" s="25">
        <f t="shared" si="20"/>
        <v>2.7779141570678512E-3</v>
      </c>
    </row>
    <row r="1465" spans="1:7">
      <c r="A1465" s="63">
        <v>189.4426</v>
      </c>
      <c r="B1465" s="63">
        <v>195.102</v>
      </c>
      <c r="C1465" s="63">
        <v>188.13200000000001</v>
      </c>
      <c r="D1465" s="63">
        <v>194.60560000000001</v>
      </c>
      <c r="E1465" s="63">
        <v>5377815</v>
      </c>
      <c r="F1465" s="63" t="s">
        <v>810</v>
      </c>
      <c r="G1465" s="25">
        <f t="shared" ref="G1465:G1528" si="21">A1465/D1465-1</f>
        <v>-2.6530582881479359E-2</v>
      </c>
    </row>
    <row r="1466" spans="1:7">
      <c r="A1466" s="63">
        <v>193.702</v>
      </c>
      <c r="B1466" s="63">
        <v>193.9205</v>
      </c>
      <c r="C1466" s="63">
        <v>185.93770000000001</v>
      </c>
      <c r="D1466" s="63">
        <v>186.56319999999999</v>
      </c>
      <c r="E1466" s="63">
        <v>5728974</v>
      </c>
      <c r="F1466" s="63" t="s">
        <v>809</v>
      </c>
      <c r="G1466" s="25">
        <f t="shared" si="21"/>
        <v>3.8264781050067809E-2</v>
      </c>
    </row>
    <row r="1467" spans="1:7">
      <c r="A1467" s="63">
        <v>186.44409999999999</v>
      </c>
      <c r="B1467" s="63">
        <v>187.05959999999999</v>
      </c>
      <c r="C1467" s="63">
        <v>182.05549999999999</v>
      </c>
      <c r="D1467" s="63">
        <v>185.80860000000001</v>
      </c>
      <c r="E1467" s="63">
        <v>4325636</v>
      </c>
      <c r="F1467" s="63" t="s">
        <v>808</v>
      </c>
      <c r="G1467" s="25">
        <f t="shared" si="21"/>
        <v>3.4201861485418927E-3</v>
      </c>
    </row>
    <row r="1468" spans="1:7">
      <c r="A1468" s="63">
        <v>184.1902</v>
      </c>
      <c r="B1468" s="63">
        <v>185.529</v>
      </c>
      <c r="C1468" s="63">
        <v>180.63570000000001</v>
      </c>
      <c r="D1468" s="63">
        <v>185.09370000000001</v>
      </c>
      <c r="E1468" s="63">
        <v>7350001</v>
      </c>
      <c r="F1468" s="63" t="s">
        <v>807</v>
      </c>
      <c r="G1468" s="25">
        <f t="shared" si="21"/>
        <v>-4.8813114654902012E-3</v>
      </c>
    </row>
    <row r="1469" spans="1:7">
      <c r="A1469" s="63">
        <v>186.7518</v>
      </c>
      <c r="B1469" s="63">
        <v>190.73330000000001</v>
      </c>
      <c r="C1469" s="63">
        <v>185.42140000000001</v>
      </c>
      <c r="D1469" s="63">
        <v>189.67089999999999</v>
      </c>
      <c r="E1469" s="63">
        <v>7681765</v>
      </c>
      <c r="F1469" s="63" t="s">
        <v>806</v>
      </c>
      <c r="G1469" s="25">
        <f t="shared" si="21"/>
        <v>-1.5390341902737803E-2</v>
      </c>
    </row>
    <row r="1470" spans="1:7">
      <c r="A1470" s="63">
        <v>188.2114</v>
      </c>
      <c r="B1470" s="63">
        <v>188.60849999999999</v>
      </c>
      <c r="C1470" s="63">
        <v>181.99590000000001</v>
      </c>
      <c r="D1470" s="63">
        <v>184.66679999999999</v>
      </c>
      <c r="E1470" s="63">
        <v>5854719</v>
      </c>
      <c r="F1470" s="63" t="s">
        <v>805</v>
      </c>
      <c r="G1470" s="25">
        <f t="shared" si="21"/>
        <v>1.9194570978649184E-2</v>
      </c>
    </row>
    <row r="1471" spans="1:7">
      <c r="A1471" s="63">
        <v>187.0001</v>
      </c>
      <c r="B1471" s="63">
        <v>198.83529999999999</v>
      </c>
      <c r="C1471" s="63">
        <v>186.69229999999999</v>
      </c>
      <c r="D1471" s="63">
        <v>198.5771</v>
      </c>
      <c r="E1471" s="63">
        <v>5555350</v>
      </c>
      <c r="F1471" s="63" t="s">
        <v>804</v>
      </c>
      <c r="G1471" s="25">
        <f t="shared" si="21"/>
        <v>-5.8299773740275174E-2</v>
      </c>
    </row>
    <row r="1472" spans="1:7">
      <c r="A1472" s="63">
        <v>197.46510000000001</v>
      </c>
      <c r="B1472" s="63">
        <v>199.297</v>
      </c>
      <c r="C1472" s="63">
        <v>195.68129999999999</v>
      </c>
      <c r="D1472" s="63">
        <v>198.63669999999999</v>
      </c>
      <c r="E1472" s="63">
        <v>3783209</v>
      </c>
      <c r="F1472" s="63" t="s">
        <v>803</v>
      </c>
      <c r="G1472" s="25">
        <f t="shared" si="21"/>
        <v>-5.8982051151674764E-3</v>
      </c>
    </row>
    <row r="1473" spans="1:7">
      <c r="A1473" s="63">
        <v>199.31180000000001</v>
      </c>
      <c r="B1473" s="63">
        <v>201.37710000000001</v>
      </c>
      <c r="C1473" s="63">
        <v>194.24809999999999</v>
      </c>
      <c r="D1473" s="63">
        <v>200.58269999999999</v>
      </c>
      <c r="E1473" s="63">
        <v>6062761</v>
      </c>
      <c r="F1473" s="63" t="s">
        <v>802</v>
      </c>
      <c r="G1473" s="25">
        <f t="shared" si="21"/>
        <v>-6.3360399476125595E-3</v>
      </c>
    </row>
    <row r="1474" spans="1:7">
      <c r="A1474" s="63">
        <v>198.85509999999999</v>
      </c>
      <c r="B1474" s="63">
        <v>199.76859999999999</v>
      </c>
      <c r="C1474" s="63">
        <v>195.946</v>
      </c>
      <c r="D1474" s="63">
        <v>196.59129999999999</v>
      </c>
      <c r="E1474" s="63">
        <v>4233731</v>
      </c>
      <c r="F1474" s="63" t="s">
        <v>801</v>
      </c>
      <c r="G1474" s="25">
        <f t="shared" si="21"/>
        <v>1.1515260339598044E-2</v>
      </c>
    </row>
    <row r="1475" spans="1:7">
      <c r="A1475" s="63">
        <v>194.9829</v>
      </c>
      <c r="B1475" s="63">
        <v>198.7955</v>
      </c>
      <c r="C1475" s="63">
        <v>194.8141</v>
      </c>
      <c r="D1475" s="63">
        <v>196.25380000000001</v>
      </c>
      <c r="E1475" s="63">
        <v>5431497</v>
      </c>
      <c r="F1475" s="63" t="s">
        <v>800</v>
      </c>
      <c r="G1475" s="25">
        <f t="shared" si="21"/>
        <v>-6.4757981756277117E-3</v>
      </c>
    </row>
    <row r="1476" spans="1:7">
      <c r="A1476" s="63">
        <v>196.3133</v>
      </c>
      <c r="B1476" s="63">
        <v>198.03100000000001</v>
      </c>
      <c r="C1476" s="63">
        <v>192.46090000000001</v>
      </c>
      <c r="D1476" s="63">
        <v>193.05670000000001</v>
      </c>
      <c r="E1476" s="63">
        <v>5794241</v>
      </c>
      <c r="F1476" s="63" t="s">
        <v>799</v>
      </c>
      <c r="G1476" s="25">
        <f t="shared" si="21"/>
        <v>1.686861942631368E-2</v>
      </c>
    </row>
    <row r="1477" spans="1:7">
      <c r="A1477" s="63">
        <v>191.16030000000001</v>
      </c>
      <c r="B1477" s="63">
        <v>193.9999</v>
      </c>
      <c r="C1477" s="63">
        <v>190.922</v>
      </c>
      <c r="D1477" s="63">
        <v>191.78579999999999</v>
      </c>
      <c r="E1477" s="63">
        <v>4200292</v>
      </c>
      <c r="F1477" s="63" t="s">
        <v>798</v>
      </c>
      <c r="G1477" s="25">
        <f t="shared" si="21"/>
        <v>-3.2614510563346855E-3</v>
      </c>
    </row>
    <row r="1478" spans="1:7">
      <c r="A1478" s="63">
        <v>190.5248</v>
      </c>
      <c r="B1478" s="63">
        <v>191.44820000000001</v>
      </c>
      <c r="C1478" s="63">
        <v>186.12629999999999</v>
      </c>
      <c r="D1478" s="63">
        <v>186.76179999999999</v>
      </c>
      <c r="E1478" s="63">
        <v>4754613</v>
      </c>
      <c r="F1478" s="63" t="s">
        <v>797</v>
      </c>
      <c r="G1478" s="25">
        <f t="shared" si="21"/>
        <v>2.0148659950803616E-2</v>
      </c>
    </row>
    <row r="1479" spans="1:7">
      <c r="A1479" s="63">
        <v>185.9973</v>
      </c>
      <c r="B1479" s="63">
        <v>186.55330000000001</v>
      </c>
      <c r="C1479" s="63">
        <v>181.8271</v>
      </c>
      <c r="D1479" s="63">
        <v>182.14490000000001</v>
      </c>
      <c r="E1479" s="63">
        <v>4478900</v>
      </c>
      <c r="F1479" s="63" t="s">
        <v>796</v>
      </c>
      <c r="G1479" s="25">
        <f t="shared" si="21"/>
        <v>2.1150194158606528E-2</v>
      </c>
    </row>
    <row r="1480" spans="1:7">
      <c r="A1480" s="63">
        <v>182.0257</v>
      </c>
      <c r="B1480" s="63">
        <v>182.40289999999999</v>
      </c>
      <c r="C1480" s="63">
        <v>178.71940000000001</v>
      </c>
      <c r="D1480" s="63">
        <v>182.01580000000001</v>
      </c>
      <c r="E1480" s="63">
        <v>3972149</v>
      </c>
      <c r="F1480" s="63" t="s">
        <v>795</v>
      </c>
      <c r="G1480" s="25">
        <f t="shared" si="21"/>
        <v>5.4390882549659736E-5</v>
      </c>
    </row>
    <row r="1481" spans="1:7">
      <c r="A1481" s="63">
        <v>181.86680000000001</v>
      </c>
      <c r="B1481" s="63">
        <v>186.8809</v>
      </c>
      <c r="C1481" s="63">
        <v>181.71789999999999</v>
      </c>
      <c r="D1481" s="63">
        <v>186.66249999999999</v>
      </c>
      <c r="E1481" s="63">
        <v>7595666</v>
      </c>
      <c r="F1481" s="63" t="s">
        <v>794</v>
      </c>
      <c r="G1481" s="25">
        <f t="shared" si="21"/>
        <v>-2.5691823478202536E-2</v>
      </c>
    </row>
    <row r="1482" spans="1:7">
      <c r="A1482" s="63">
        <v>187.0001</v>
      </c>
      <c r="B1482" s="63">
        <v>187.42310000000001</v>
      </c>
      <c r="C1482" s="63">
        <v>183.12780000000001</v>
      </c>
      <c r="D1482" s="63">
        <v>184.81569999999999</v>
      </c>
      <c r="E1482" s="63">
        <v>4022421</v>
      </c>
      <c r="F1482" s="63" t="s">
        <v>793</v>
      </c>
      <c r="G1482" s="25">
        <f t="shared" si="21"/>
        <v>1.1819342187920245E-2</v>
      </c>
    </row>
    <row r="1483" spans="1:7">
      <c r="A1483" s="63">
        <v>184.22989999999999</v>
      </c>
      <c r="B1483" s="63">
        <v>187.95320000000001</v>
      </c>
      <c r="C1483" s="63">
        <v>182.73070000000001</v>
      </c>
      <c r="D1483" s="63">
        <v>186.17599999999999</v>
      </c>
      <c r="E1483" s="63">
        <v>4903134</v>
      </c>
      <c r="F1483" s="63" t="s">
        <v>792</v>
      </c>
      <c r="G1483" s="25">
        <f t="shared" si="21"/>
        <v>-1.0453012203506362E-2</v>
      </c>
    </row>
    <row r="1484" spans="1:7">
      <c r="A1484" s="63">
        <v>187.7149</v>
      </c>
      <c r="B1484" s="63">
        <v>192.70920000000001</v>
      </c>
      <c r="C1484" s="63">
        <v>187.2483</v>
      </c>
      <c r="D1484" s="63">
        <v>190.63399999999999</v>
      </c>
      <c r="E1484" s="63">
        <v>6950841</v>
      </c>
      <c r="F1484" s="63" t="s">
        <v>791</v>
      </c>
      <c r="G1484" s="25">
        <f t="shared" si="21"/>
        <v>-1.531258852041073E-2</v>
      </c>
    </row>
    <row r="1485" spans="1:7">
      <c r="A1485" s="63">
        <v>190.28649999999999</v>
      </c>
      <c r="B1485" s="63">
        <v>191.13050000000001</v>
      </c>
      <c r="C1485" s="63">
        <v>185.6696</v>
      </c>
      <c r="D1485" s="63">
        <v>185.6994</v>
      </c>
      <c r="E1485" s="63">
        <v>6252237</v>
      </c>
      <c r="F1485" s="63" t="s">
        <v>790</v>
      </c>
      <c r="G1485" s="25">
        <f t="shared" si="21"/>
        <v>2.4701749170972009E-2</v>
      </c>
    </row>
    <row r="1486" spans="1:7">
      <c r="A1486" s="63">
        <v>185.62</v>
      </c>
      <c r="B1486" s="63">
        <v>189.88939999999999</v>
      </c>
      <c r="C1486" s="63">
        <v>184.1703</v>
      </c>
      <c r="D1486" s="63">
        <v>188.15180000000001</v>
      </c>
      <c r="E1486" s="63">
        <v>11840966</v>
      </c>
      <c r="F1486" s="63" t="s">
        <v>789</v>
      </c>
      <c r="G1486" s="25">
        <f t="shared" si="21"/>
        <v>-1.3456156146260612E-2</v>
      </c>
    </row>
    <row r="1487" spans="1:7">
      <c r="A1487" s="63">
        <v>186.32490000000001</v>
      </c>
      <c r="B1487" s="63">
        <v>187.65539999999999</v>
      </c>
      <c r="C1487" s="63">
        <v>180.3229</v>
      </c>
      <c r="D1487" s="63">
        <v>180.61580000000001</v>
      </c>
      <c r="E1487" s="63">
        <v>8677753</v>
      </c>
      <c r="F1487" s="63" t="s">
        <v>788</v>
      </c>
      <c r="G1487" s="25">
        <f t="shared" si="21"/>
        <v>3.1609084033622725E-2</v>
      </c>
    </row>
    <row r="1488" spans="1:7">
      <c r="A1488" s="63">
        <v>180.10939999999999</v>
      </c>
      <c r="B1488" s="63">
        <v>181.44489999999999</v>
      </c>
      <c r="C1488" s="63">
        <v>179.3946</v>
      </c>
      <c r="D1488" s="63">
        <v>179.6825</v>
      </c>
      <c r="E1488" s="63">
        <v>5038626</v>
      </c>
      <c r="F1488" s="63" t="s">
        <v>787</v>
      </c>
      <c r="G1488" s="25">
        <f t="shared" si="21"/>
        <v>2.3758574151628853E-3</v>
      </c>
    </row>
    <row r="1489" spans="1:7">
      <c r="A1489" s="63">
        <v>179.196</v>
      </c>
      <c r="B1489" s="63">
        <v>181.20160000000001</v>
      </c>
      <c r="C1489" s="63">
        <v>176.74359999999999</v>
      </c>
      <c r="D1489" s="63">
        <v>178.72929999999999</v>
      </c>
      <c r="E1489" s="63">
        <v>5825189</v>
      </c>
      <c r="F1489" s="63" t="s">
        <v>786</v>
      </c>
      <c r="G1489" s="25">
        <f t="shared" si="21"/>
        <v>2.6112114801546404E-3</v>
      </c>
    </row>
    <row r="1490" spans="1:7">
      <c r="A1490" s="63">
        <v>177.33930000000001</v>
      </c>
      <c r="B1490" s="63">
        <v>177.62719999999999</v>
      </c>
      <c r="C1490" s="63">
        <v>170.0515</v>
      </c>
      <c r="D1490" s="63">
        <v>170.77629999999999</v>
      </c>
      <c r="E1490" s="63">
        <v>6001846</v>
      </c>
      <c r="F1490" s="63" t="s">
        <v>785</v>
      </c>
      <c r="G1490" s="25">
        <f t="shared" si="21"/>
        <v>3.8430391102278305E-2</v>
      </c>
    </row>
    <row r="1491" spans="1:7">
      <c r="A1491" s="63">
        <v>173.86420000000001</v>
      </c>
      <c r="B1491" s="63">
        <v>176.42580000000001</v>
      </c>
      <c r="C1491" s="63">
        <v>170.63730000000001</v>
      </c>
      <c r="D1491" s="63">
        <v>174.64859999999999</v>
      </c>
      <c r="E1491" s="63">
        <v>5443819</v>
      </c>
      <c r="F1491" s="63" t="s">
        <v>784</v>
      </c>
      <c r="G1491" s="25">
        <f t="shared" si="21"/>
        <v>-4.4913042532260805E-3</v>
      </c>
    </row>
    <row r="1492" spans="1:7">
      <c r="A1492" s="63">
        <v>170.82599999999999</v>
      </c>
      <c r="B1492" s="63">
        <v>177.16059999999999</v>
      </c>
      <c r="C1492" s="63">
        <v>170.77629999999999</v>
      </c>
      <c r="D1492" s="63">
        <v>175.38329999999999</v>
      </c>
      <c r="E1492" s="63">
        <v>6521167</v>
      </c>
      <c r="F1492" s="63" t="s">
        <v>783</v>
      </c>
      <c r="G1492" s="25">
        <f t="shared" si="21"/>
        <v>-2.5984800149159049E-2</v>
      </c>
    </row>
    <row r="1493" spans="1:7">
      <c r="A1493" s="63">
        <v>180.80449999999999</v>
      </c>
      <c r="B1493" s="63">
        <v>181.20160000000001</v>
      </c>
      <c r="C1493" s="63">
        <v>174.79750000000001</v>
      </c>
      <c r="D1493" s="63">
        <v>174.99610000000001</v>
      </c>
      <c r="E1493" s="63">
        <v>8127243</v>
      </c>
      <c r="F1493" s="63" t="s">
        <v>782</v>
      </c>
      <c r="G1493" s="25">
        <f t="shared" si="21"/>
        <v>3.3191596841300797E-2</v>
      </c>
    </row>
    <row r="1494" spans="1:7">
      <c r="A1494" s="63">
        <v>173.31809999999999</v>
      </c>
      <c r="B1494" s="63">
        <v>174.74789999999999</v>
      </c>
      <c r="C1494" s="63">
        <v>172.2954</v>
      </c>
      <c r="D1494" s="63">
        <v>174.74789999999999</v>
      </c>
      <c r="E1494" s="63">
        <v>4025596</v>
      </c>
      <c r="F1494" s="63" t="s">
        <v>781</v>
      </c>
      <c r="G1494" s="25">
        <f t="shared" si="21"/>
        <v>-8.1820725742627332E-3</v>
      </c>
    </row>
    <row r="1495" spans="1:7">
      <c r="A1495" s="63">
        <v>175.29390000000001</v>
      </c>
      <c r="B1495" s="63">
        <v>175.31379999999999</v>
      </c>
      <c r="C1495" s="63">
        <v>171.4316</v>
      </c>
      <c r="D1495" s="63">
        <v>172.3947</v>
      </c>
      <c r="E1495" s="63">
        <v>4592583</v>
      </c>
      <c r="F1495" s="63" t="s">
        <v>780</v>
      </c>
      <c r="G1495" s="25">
        <f t="shared" si="21"/>
        <v>1.6817222339201798E-2</v>
      </c>
    </row>
    <row r="1496" spans="1:7">
      <c r="A1496" s="63">
        <v>172.6429</v>
      </c>
      <c r="B1496" s="63">
        <v>172.94579999999999</v>
      </c>
      <c r="C1496" s="63">
        <v>165.81190000000001</v>
      </c>
      <c r="D1496" s="63">
        <v>168.8998</v>
      </c>
      <c r="E1496" s="63">
        <v>8232167</v>
      </c>
      <c r="F1496" s="63" t="s">
        <v>779</v>
      </c>
      <c r="G1496" s="25">
        <f t="shared" si="21"/>
        <v>2.2161660345364487E-2</v>
      </c>
    </row>
    <row r="1497" spans="1:7">
      <c r="A1497" s="63">
        <v>170.22030000000001</v>
      </c>
      <c r="B1497" s="63">
        <v>174.18190000000001</v>
      </c>
      <c r="C1497" s="63">
        <v>168.79050000000001</v>
      </c>
      <c r="D1497" s="63">
        <v>173.755</v>
      </c>
      <c r="E1497" s="63">
        <v>7301551</v>
      </c>
      <c r="F1497" s="63" t="s">
        <v>778</v>
      </c>
      <c r="G1497" s="25">
        <f t="shared" si="21"/>
        <v>-2.0343011711893122E-2</v>
      </c>
    </row>
    <row r="1498" spans="1:7">
      <c r="A1498" s="63">
        <v>173.745</v>
      </c>
      <c r="B1498" s="63">
        <v>174.67840000000001</v>
      </c>
      <c r="C1498" s="63">
        <v>171.6113</v>
      </c>
      <c r="D1498" s="63">
        <v>173.58619999999999</v>
      </c>
      <c r="E1498" s="63">
        <v>6004048</v>
      </c>
      <c r="F1498" s="63" t="s">
        <v>777</v>
      </c>
      <c r="G1498" s="25">
        <f t="shared" si="21"/>
        <v>9.1481926558678595E-4</v>
      </c>
    </row>
    <row r="1499" spans="1:7">
      <c r="A1499" s="63">
        <v>172.9905</v>
      </c>
      <c r="B1499" s="63">
        <v>173.6507</v>
      </c>
      <c r="C1499" s="63">
        <v>170.00190000000001</v>
      </c>
      <c r="D1499" s="63">
        <v>173.60599999999999</v>
      </c>
      <c r="E1499" s="63">
        <v>8571769</v>
      </c>
      <c r="F1499" s="63" t="s">
        <v>776</v>
      </c>
      <c r="G1499" s="25">
        <f t="shared" si="21"/>
        <v>-3.5453843761160675E-3</v>
      </c>
    </row>
    <row r="1500" spans="1:7">
      <c r="A1500" s="63">
        <v>175.1053</v>
      </c>
      <c r="B1500" s="63">
        <v>176.25700000000001</v>
      </c>
      <c r="C1500" s="63">
        <v>171.45150000000001</v>
      </c>
      <c r="D1500" s="63">
        <v>171.86850000000001</v>
      </c>
      <c r="E1500" s="63">
        <v>5719312</v>
      </c>
      <c r="F1500" s="63" t="s">
        <v>775</v>
      </c>
      <c r="G1500" s="25">
        <f t="shared" si="21"/>
        <v>1.8833003139027804E-2</v>
      </c>
    </row>
    <row r="1501" spans="1:7">
      <c r="A1501" s="63">
        <v>173.54650000000001</v>
      </c>
      <c r="B1501" s="63">
        <v>173.755</v>
      </c>
      <c r="C1501" s="63">
        <v>169.47559999999999</v>
      </c>
      <c r="D1501" s="63">
        <v>173.06</v>
      </c>
      <c r="E1501" s="63">
        <v>19645389</v>
      </c>
      <c r="F1501" s="63" t="s">
        <v>774</v>
      </c>
      <c r="G1501" s="25">
        <f t="shared" si="21"/>
        <v>2.8111637582342031E-3</v>
      </c>
    </row>
    <row r="1502" spans="1:7">
      <c r="A1502" s="63">
        <v>179.8116</v>
      </c>
      <c r="B1502" s="63">
        <v>183.4853</v>
      </c>
      <c r="C1502" s="63">
        <v>175.84</v>
      </c>
      <c r="D1502" s="63">
        <v>178.71940000000001</v>
      </c>
      <c r="E1502" s="63">
        <v>10363612</v>
      </c>
      <c r="F1502" s="63" t="s">
        <v>773</v>
      </c>
      <c r="G1502" s="25">
        <f t="shared" si="21"/>
        <v>6.1112559688538681E-3</v>
      </c>
    </row>
    <row r="1503" spans="1:7">
      <c r="A1503" s="63">
        <v>175.34360000000001</v>
      </c>
      <c r="B1503" s="63">
        <v>175.3535</v>
      </c>
      <c r="C1503" s="63">
        <v>170.1508</v>
      </c>
      <c r="D1503" s="63">
        <v>175.03579999999999</v>
      </c>
      <c r="E1503" s="63">
        <v>6340206</v>
      </c>
      <c r="F1503" s="63" t="s">
        <v>772</v>
      </c>
      <c r="G1503" s="25">
        <f t="shared" si="21"/>
        <v>1.7584974045310453E-3</v>
      </c>
    </row>
    <row r="1504" spans="1:7">
      <c r="A1504" s="63">
        <v>175.26419999999999</v>
      </c>
      <c r="B1504" s="63">
        <v>180.70519999999999</v>
      </c>
      <c r="C1504" s="63">
        <v>174.96629999999999</v>
      </c>
      <c r="D1504" s="63">
        <v>180.70519999999999</v>
      </c>
      <c r="E1504" s="63">
        <v>8353577</v>
      </c>
      <c r="F1504" s="63" t="s">
        <v>771</v>
      </c>
      <c r="G1504" s="25">
        <f t="shared" si="21"/>
        <v>-3.0109814216746411E-2</v>
      </c>
    </row>
    <row r="1505" spans="1:7">
      <c r="A1505" s="63">
        <v>176.5847</v>
      </c>
      <c r="B1505" s="63">
        <v>177.3691</v>
      </c>
      <c r="C1505" s="63">
        <v>174.20179999999999</v>
      </c>
      <c r="D1505" s="63">
        <v>175.34360000000001</v>
      </c>
      <c r="E1505" s="63">
        <v>4965119</v>
      </c>
      <c r="F1505" s="63" t="s">
        <v>770</v>
      </c>
      <c r="G1505" s="25">
        <f t="shared" si="21"/>
        <v>7.0781026510233769E-3</v>
      </c>
    </row>
    <row r="1506" spans="1:7">
      <c r="A1506" s="63">
        <v>174.01310000000001</v>
      </c>
      <c r="B1506" s="63">
        <v>177.02359999999999</v>
      </c>
      <c r="C1506" s="63">
        <v>173.68549999999999</v>
      </c>
      <c r="D1506" s="63">
        <v>175.6712</v>
      </c>
      <c r="E1506" s="63">
        <v>4429652</v>
      </c>
      <c r="F1506" s="63" t="s">
        <v>769</v>
      </c>
      <c r="G1506" s="25">
        <f t="shared" si="21"/>
        <v>-9.4386558525244579E-3</v>
      </c>
    </row>
    <row r="1507" spans="1:7">
      <c r="A1507" s="63">
        <v>175.6712</v>
      </c>
      <c r="B1507" s="63">
        <v>177.8655</v>
      </c>
      <c r="C1507" s="63">
        <v>173.6557</v>
      </c>
      <c r="D1507" s="63">
        <v>177.2996</v>
      </c>
      <c r="E1507" s="63">
        <v>4951152</v>
      </c>
      <c r="F1507" s="63" t="s">
        <v>768</v>
      </c>
      <c r="G1507" s="25">
        <f t="shared" si="21"/>
        <v>-9.1844538848366852E-3</v>
      </c>
    </row>
    <row r="1508" spans="1:7">
      <c r="A1508" s="63">
        <v>174.7876</v>
      </c>
      <c r="B1508" s="63">
        <v>176.93219999999999</v>
      </c>
      <c r="C1508" s="63">
        <v>171.52099999999999</v>
      </c>
      <c r="D1508" s="63">
        <v>171.52099999999999</v>
      </c>
      <c r="E1508" s="63">
        <v>5264042</v>
      </c>
      <c r="F1508" s="63" t="s">
        <v>767</v>
      </c>
      <c r="G1508" s="25">
        <f t="shared" si="21"/>
        <v>1.9044898292337464E-2</v>
      </c>
    </row>
    <row r="1509" spans="1:7">
      <c r="A1509" s="63">
        <v>171.27279999999999</v>
      </c>
      <c r="B1509" s="63">
        <v>175.7407</v>
      </c>
      <c r="C1509" s="63">
        <v>170.90539999999999</v>
      </c>
      <c r="D1509" s="63">
        <v>172.7621</v>
      </c>
      <c r="E1509" s="63">
        <v>6399484</v>
      </c>
      <c r="F1509" s="63" t="s">
        <v>766</v>
      </c>
      <c r="G1509" s="25">
        <f t="shared" si="21"/>
        <v>-8.6205249878301693E-3</v>
      </c>
    </row>
    <row r="1510" spans="1:7">
      <c r="A1510" s="63">
        <v>170.11109999999999</v>
      </c>
      <c r="B1510" s="63">
        <v>170.4983</v>
      </c>
      <c r="C1510" s="63">
        <v>164.99770000000001</v>
      </c>
      <c r="D1510" s="63">
        <v>166.08</v>
      </c>
      <c r="E1510" s="63">
        <v>5673821</v>
      </c>
      <c r="F1510" s="63" t="s">
        <v>765</v>
      </c>
      <c r="G1510" s="25">
        <f t="shared" si="21"/>
        <v>2.4272037572254268E-2</v>
      </c>
    </row>
    <row r="1511" spans="1:7">
      <c r="A1511" s="63">
        <v>165.81190000000001</v>
      </c>
      <c r="B1511" s="63">
        <v>167.3707</v>
      </c>
      <c r="C1511" s="63">
        <v>163.39920000000001</v>
      </c>
      <c r="D1511" s="63">
        <v>167.24160000000001</v>
      </c>
      <c r="E1511" s="63">
        <v>7442262</v>
      </c>
      <c r="F1511" s="63" t="s">
        <v>764</v>
      </c>
      <c r="G1511" s="25">
        <f t="shared" si="21"/>
        <v>-8.5487103687120758E-3</v>
      </c>
    </row>
    <row r="1512" spans="1:7">
      <c r="A1512" s="63">
        <v>168.4331</v>
      </c>
      <c r="B1512" s="63">
        <v>173.96350000000001</v>
      </c>
      <c r="C1512" s="63">
        <v>165.08619999999999</v>
      </c>
      <c r="D1512" s="63">
        <v>173.9238</v>
      </c>
      <c r="E1512" s="63">
        <v>12534949</v>
      </c>
      <c r="F1512" s="63" t="s">
        <v>763</v>
      </c>
      <c r="G1512" s="25">
        <f t="shared" si="21"/>
        <v>-3.1569572421945691E-2</v>
      </c>
    </row>
    <row r="1513" spans="1:7">
      <c r="A1513" s="63">
        <v>176.27690000000001</v>
      </c>
      <c r="B1513" s="63">
        <v>181.71789999999999</v>
      </c>
      <c r="C1513" s="63">
        <v>175.75069999999999</v>
      </c>
      <c r="D1513" s="63">
        <v>181.69810000000001</v>
      </c>
      <c r="E1513" s="63">
        <v>5904630</v>
      </c>
      <c r="F1513" s="63" t="s">
        <v>762</v>
      </c>
      <c r="G1513" s="25">
        <f t="shared" si="21"/>
        <v>-2.9836305387893391E-2</v>
      </c>
    </row>
    <row r="1514" spans="1:7">
      <c r="A1514" s="63">
        <v>181.37039999999999</v>
      </c>
      <c r="B1514" s="63">
        <v>181.99590000000001</v>
      </c>
      <c r="C1514" s="63">
        <v>172.92089999999999</v>
      </c>
      <c r="D1514" s="63">
        <v>174.31100000000001</v>
      </c>
      <c r="E1514" s="63">
        <v>8695960</v>
      </c>
      <c r="F1514" s="63" t="s">
        <v>761</v>
      </c>
      <c r="G1514" s="25">
        <f t="shared" si="21"/>
        <v>4.0498878441406427E-2</v>
      </c>
    </row>
    <row r="1515" spans="1:7">
      <c r="A1515" s="63">
        <v>174.64859999999999</v>
      </c>
      <c r="B1515" s="63">
        <v>174.82730000000001</v>
      </c>
      <c r="C1515" s="63">
        <v>169.9324</v>
      </c>
      <c r="D1515" s="63">
        <v>171.71960000000001</v>
      </c>
      <c r="E1515" s="63">
        <v>5405882</v>
      </c>
      <c r="F1515" s="63" t="s">
        <v>760</v>
      </c>
      <c r="G1515" s="25">
        <f t="shared" si="21"/>
        <v>1.7056876442758773E-2</v>
      </c>
    </row>
    <row r="1516" spans="1:7">
      <c r="A1516" s="63">
        <v>168.69130000000001</v>
      </c>
      <c r="B1516" s="63">
        <v>170.0515</v>
      </c>
      <c r="C1516" s="63">
        <v>164.8389</v>
      </c>
      <c r="D1516" s="63">
        <v>165.31540000000001</v>
      </c>
      <c r="E1516" s="63">
        <v>6461957</v>
      </c>
      <c r="F1516" s="63" t="s">
        <v>759</v>
      </c>
      <c r="G1516" s="25">
        <f t="shared" si="21"/>
        <v>2.0420965015963466E-2</v>
      </c>
    </row>
    <row r="1517" spans="1:7">
      <c r="A1517" s="63">
        <v>162.50559999999999</v>
      </c>
      <c r="B1517" s="63">
        <v>164.53110000000001</v>
      </c>
      <c r="C1517" s="63">
        <v>161.7638</v>
      </c>
      <c r="D1517" s="63">
        <v>163.27010000000001</v>
      </c>
      <c r="E1517" s="63">
        <v>4112567</v>
      </c>
      <c r="F1517" s="63" t="s">
        <v>758</v>
      </c>
      <c r="G1517" s="25">
        <f t="shared" si="21"/>
        <v>-4.6824250122957656E-3</v>
      </c>
    </row>
    <row r="1518" spans="1:7">
      <c r="A1518" s="63">
        <v>162.08860000000001</v>
      </c>
      <c r="B1518" s="63">
        <v>162.97219999999999</v>
      </c>
      <c r="C1518" s="63">
        <v>159.10990000000001</v>
      </c>
      <c r="D1518" s="63">
        <v>161.37370000000001</v>
      </c>
      <c r="E1518" s="63">
        <v>5264761</v>
      </c>
      <c r="F1518" s="63" t="s">
        <v>757</v>
      </c>
      <c r="G1518" s="25">
        <f t="shared" si="21"/>
        <v>4.4300899093223656E-3</v>
      </c>
    </row>
    <row r="1519" spans="1:7">
      <c r="A1519" s="63">
        <v>160.3212</v>
      </c>
      <c r="B1519" s="63">
        <v>160.8673</v>
      </c>
      <c r="C1519" s="63">
        <v>153.97669999999999</v>
      </c>
      <c r="D1519" s="63">
        <v>154.47309999999999</v>
      </c>
      <c r="E1519" s="63">
        <v>5974158</v>
      </c>
      <c r="F1519" s="63" t="s">
        <v>756</v>
      </c>
      <c r="G1519" s="25">
        <f t="shared" si="21"/>
        <v>3.7858371457554885E-2</v>
      </c>
    </row>
    <row r="1520" spans="1:7">
      <c r="A1520" s="63">
        <v>155.25749999999999</v>
      </c>
      <c r="B1520" s="63">
        <v>159.03049999999999</v>
      </c>
      <c r="C1520" s="63">
        <v>154.15539999999999</v>
      </c>
      <c r="D1520" s="63">
        <v>157.36240000000001</v>
      </c>
      <c r="E1520" s="63">
        <v>4277134</v>
      </c>
      <c r="F1520" s="63" t="s">
        <v>755</v>
      </c>
      <c r="G1520" s="25">
        <f t="shared" si="21"/>
        <v>-1.3376130511481898E-2</v>
      </c>
    </row>
    <row r="1521" spans="1:7">
      <c r="A1521" s="63">
        <v>160.7978</v>
      </c>
      <c r="B1521" s="63">
        <v>164.124</v>
      </c>
      <c r="C1521" s="63">
        <v>158.8716</v>
      </c>
      <c r="D1521" s="63">
        <v>160.48009999999999</v>
      </c>
      <c r="E1521" s="63">
        <v>6830654</v>
      </c>
      <c r="F1521" s="63" t="s">
        <v>754</v>
      </c>
      <c r="G1521" s="25">
        <f t="shared" si="21"/>
        <v>1.9796847085713498E-3</v>
      </c>
    </row>
    <row r="1522" spans="1:7">
      <c r="A1522" s="63">
        <v>159.2886</v>
      </c>
      <c r="B1522" s="63">
        <v>160.73820000000001</v>
      </c>
      <c r="C1522" s="63">
        <v>155.40639999999999</v>
      </c>
      <c r="D1522" s="63">
        <v>156.7568</v>
      </c>
      <c r="E1522" s="63">
        <v>5256730</v>
      </c>
      <c r="F1522" s="63" t="s">
        <v>753</v>
      </c>
      <c r="G1522" s="25">
        <f t="shared" si="21"/>
        <v>1.6151133475549306E-2</v>
      </c>
    </row>
    <row r="1523" spans="1:7">
      <c r="A1523" s="63">
        <v>153.36109999999999</v>
      </c>
      <c r="B1523" s="63">
        <v>159.66589999999999</v>
      </c>
      <c r="C1523" s="63">
        <v>153.0831</v>
      </c>
      <c r="D1523" s="63">
        <v>158.36519999999999</v>
      </c>
      <c r="E1523" s="63">
        <v>4731803</v>
      </c>
      <c r="F1523" s="63" t="s">
        <v>752</v>
      </c>
      <c r="G1523" s="25">
        <f t="shared" si="21"/>
        <v>-3.15984824948915E-2</v>
      </c>
    </row>
    <row r="1524" spans="1:7">
      <c r="A1524" s="63">
        <v>156.5086</v>
      </c>
      <c r="B1524" s="63">
        <v>157.31280000000001</v>
      </c>
      <c r="C1524" s="63">
        <v>153.10300000000001</v>
      </c>
      <c r="D1524" s="63">
        <v>154.43340000000001</v>
      </c>
      <c r="E1524" s="63">
        <v>5036448</v>
      </c>
      <c r="F1524" s="63" t="s">
        <v>751</v>
      </c>
      <c r="G1524" s="25">
        <f t="shared" si="21"/>
        <v>1.3437507689398664E-2</v>
      </c>
    </row>
    <row r="1525" spans="1:7">
      <c r="A1525" s="63">
        <v>152.8845</v>
      </c>
      <c r="B1525" s="63">
        <v>153.4008</v>
      </c>
      <c r="C1525" s="63">
        <v>150.2236</v>
      </c>
      <c r="D1525" s="63">
        <v>152.4973</v>
      </c>
      <c r="E1525" s="63">
        <v>6712013</v>
      </c>
      <c r="F1525" s="63" t="s">
        <v>750</v>
      </c>
      <c r="G1525" s="25">
        <f t="shared" si="21"/>
        <v>2.5390613473157408E-3</v>
      </c>
    </row>
    <row r="1526" spans="1:7">
      <c r="A1526" s="63">
        <v>150.64060000000001</v>
      </c>
      <c r="B1526" s="63">
        <v>155.35640000000001</v>
      </c>
      <c r="C1526" s="63">
        <v>150.4222</v>
      </c>
      <c r="D1526" s="63">
        <v>152.40790000000001</v>
      </c>
      <c r="E1526" s="63">
        <v>6281430</v>
      </c>
      <c r="F1526" s="63" t="s">
        <v>749</v>
      </c>
      <c r="G1526" s="25">
        <f t="shared" si="21"/>
        <v>-1.1595855595412097E-2</v>
      </c>
    </row>
    <row r="1527" spans="1:7">
      <c r="A1527" s="63">
        <v>153.04339999999999</v>
      </c>
      <c r="B1527" s="63">
        <v>154.59229999999999</v>
      </c>
      <c r="C1527" s="63">
        <v>149.60220000000001</v>
      </c>
      <c r="D1527" s="63">
        <v>152.90440000000001</v>
      </c>
      <c r="E1527" s="63">
        <v>6665468</v>
      </c>
      <c r="F1527" s="63" t="s">
        <v>748</v>
      </c>
      <c r="G1527" s="25">
        <f t="shared" si="21"/>
        <v>9.0906474895402489E-4</v>
      </c>
    </row>
    <row r="1528" spans="1:7">
      <c r="A1528" s="63">
        <v>149.4889</v>
      </c>
      <c r="B1528" s="63">
        <v>158.95099999999999</v>
      </c>
      <c r="C1528" s="63">
        <v>146.94710000000001</v>
      </c>
      <c r="D1528" s="63">
        <v>158.86170000000001</v>
      </c>
      <c r="E1528" s="63">
        <v>13737882</v>
      </c>
      <c r="F1528" s="63" t="s">
        <v>747</v>
      </c>
      <c r="G1528" s="25">
        <f t="shared" si="21"/>
        <v>-5.8999746320227087E-2</v>
      </c>
    </row>
    <row r="1529" spans="1:7">
      <c r="A1529" s="63">
        <v>161.60210000000001</v>
      </c>
      <c r="B1529" s="63">
        <v>163.14099999999999</v>
      </c>
      <c r="C1529" s="63">
        <v>159.37799999999999</v>
      </c>
      <c r="D1529" s="63">
        <v>159.60640000000001</v>
      </c>
      <c r="E1529" s="63">
        <v>4685993</v>
      </c>
      <c r="F1529" s="63" t="s">
        <v>746</v>
      </c>
      <c r="G1529" s="25">
        <f t="shared" ref="G1529:G1592" si="22">A1529/D1529-1</f>
        <v>1.2503884556007705E-2</v>
      </c>
    </row>
    <row r="1530" spans="1:7">
      <c r="A1530" s="63">
        <v>161.4631</v>
      </c>
      <c r="B1530" s="63">
        <v>162.0985</v>
      </c>
      <c r="C1530" s="63">
        <v>156.5086</v>
      </c>
      <c r="D1530" s="63">
        <v>158.86170000000001</v>
      </c>
      <c r="E1530" s="63">
        <v>7312872</v>
      </c>
      <c r="F1530" s="63" t="s">
        <v>745</v>
      </c>
      <c r="G1530" s="25">
        <f t="shared" si="22"/>
        <v>1.6375249666848557E-2</v>
      </c>
    </row>
    <row r="1531" spans="1:7">
      <c r="A1531" s="63">
        <v>155.9426</v>
      </c>
      <c r="B1531" s="63">
        <v>156.8759</v>
      </c>
      <c r="C1531" s="63">
        <v>153.15260000000001</v>
      </c>
      <c r="D1531" s="63">
        <v>155.88300000000001</v>
      </c>
      <c r="E1531" s="63">
        <v>4391510</v>
      </c>
      <c r="F1531" s="63" t="s">
        <v>744</v>
      </c>
      <c r="G1531" s="25">
        <f t="shared" si="22"/>
        <v>3.8233803557785606E-4</v>
      </c>
    </row>
    <row r="1532" spans="1:7">
      <c r="A1532" s="63">
        <v>154.52279999999999</v>
      </c>
      <c r="B1532" s="63">
        <v>156.15389999999999</v>
      </c>
      <c r="C1532" s="63">
        <v>152.90440000000001</v>
      </c>
      <c r="D1532" s="63">
        <v>153.97669999999999</v>
      </c>
      <c r="E1532" s="63">
        <v>4042624</v>
      </c>
      <c r="F1532" s="63" t="s">
        <v>743</v>
      </c>
      <c r="G1532" s="25">
        <f t="shared" si="22"/>
        <v>3.5466404982051891E-3</v>
      </c>
    </row>
    <row r="1533" spans="1:7">
      <c r="A1533" s="63">
        <v>156.58799999999999</v>
      </c>
      <c r="B1533" s="63">
        <v>157.66030000000001</v>
      </c>
      <c r="C1533" s="63">
        <v>154.0462</v>
      </c>
      <c r="D1533" s="63">
        <v>154.60220000000001</v>
      </c>
      <c r="E1533" s="63">
        <v>7334310</v>
      </c>
      <c r="F1533" s="63" t="s">
        <v>742</v>
      </c>
      <c r="G1533" s="25">
        <f t="shared" si="22"/>
        <v>1.284457789087079E-2</v>
      </c>
    </row>
    <row r="1534" spans="1:7">
      <c r="A1534" s="63">
        <v>151.41499999999999</v>
      </c>
      <c r="B1534" s="63">
        <v>154.2097</v>
      </c>
      <c r="C1534" s="63">
        <v>148.92789999999999</v>
      </c>
      <c r="D1534" s="63">
        <v>153.02350000000001</v>
      </c>
      <c r="E1534" s="63">
        <v>5138591</v>
      </c>
      <c r="F1534" s="63" t="s">
        <v>741</v>
      </c>
      <c r="G1534" s="25">
        <f t="shared" si="22"/>
        <v>-1.0511457390531609E-2</v>
      </c>
    </row>
    <row r="1535" spans="1:7">
      <c r="A1535" s="63">
        <v>153.45050000000001</v>
      </c>
      <c r="B1535" s="63">
        <v>154.98939999999999</v>
      </c>
      <c r="C1535" s="63">
        <v>150.6009</v>
      </c>
      <c r="D1535" s="63">
        <v>151.3058</v>
      </c>
      <c r="E1535" s="63">
        <v>7094576</v>
      </c>
      <c r="F1535" s="63" t="s">
        <v>740</v>
      </c>
      <c r="G1535" s="25">
        <f t="shared" si="22"/>
        <v>1.4174605335684376E-2</v>
      </c>
    </row>
    <row r="1536" spans="1:7">
      <c r="A1536" s="63">
        <v>150.04490000000001</v>
      </c>
      <c r="B1536" s="63">
        <v>151.07749999999999</v>
      </c>
      <c r="C1536" s="63">
        <v>143.9684</v>
      </c>
      <c r="D1536" s="63">
        <v>145.25919999999999</v>
      </c>
      <c r="E1536" s="63">
        <v>7665521</v>
      </c>
      <c r="F1536" s="63" t="s">
        <v>739</v>
      </c>
      <c r="G1536" s="25">
        <f t="shared" si="22"/>
        <v>3.2945933889213297E-2</v>
      </c>
    </row>
    <row r="1537" spans="1:7">
      <c r="A1537" s="63">
        <v>144.03790000000001</v>
      </c>
      <c r="B1537" s="63">
        <v>149.72710000000001</v>
      </c>
      <c r="C1537" s="63">
        <v>143.4819</v>
      </c>
      <c r="D1537" s="63">
        <v>149.26050000000001</v>
      </c>
      <c r="E1537" s="63">
        <v>7859451</v>
      </c>
      <c r="F1537" s="63" t="s">
        <v>738</v>
      </c>
      <c r="G1537" s="25">
        <f t="shared" si="22"/>
        <v>-3.4989833211063859E-2</v>
      </c>
    </row>
    <row r="1538" spans="1:7">
      <c r="A1538" s="63">
        <v>146.50030000000001</v>
      </c>
      <c r="B1538" s="63">
        <v>148.78389999999999</v>
      </c>
      <c r="C1538" s="63">
        <v>137.31610000000001</v>
      </c>
      <c r="D1538" s="63">
        <v>138.0111</v>
      </c>
      <c r="E1538" s="63">
        <v>12296766</v>
      </c>
      <c r="F1538" s="63" t="s">
        <v>737</v>
      </c>
      <c r="G1538" s="25">
        <f t="shared" si="22"/>
        <v>6.1510994405522545E-2</v>
      </c>
    </row>
    <row r="1539" spans="1:7">
      <c r="A1539" s="63">
        <v>133.3545</v>
      </c>
      <c r="B1539" s="63">
        <v>135.22110000000001</v>
      </c>
      <c r="C1539" s="63">
        <v>130.72409999999999</v>
      </c>
      <c r="D1539" s="63">
        <v>133.49350000000001</v>
      </c>
      <c r="E1539" s="63">
        <v>6004409</v>
      </c>
      <c r="F1539" s="63" t="s">
        <v>736</v>
      </c>
      <c r="G1539" s="25">
        <f t="shared" si="22"/>
        <v>-1.0412491993992967E-3</v>
      </c>
    </row>
    <row r="1540" spans="1:7">
      <c r="A1540" s="63">
        <v>133.36439999999999</v>
      </c>
      <c r="B1540" s="63">
        <v>134.42679999999999</v>
      </c>
      <c r="C1540" s="63">
        <v>129.11109999999999</v>
      </c>
      <c r="D1540" s="63">
        <v>133.0566</v>
      </c>
      <c r="E1540" s="63">
        <v>8150532</v>
      </c>
      <c r="F1540" s="63" t="s">
        <v>735</v>
      </c>
      <c r="G1540" s="25">
        <f t="shared" si="22"/>
        <v>2.3133012567582156E-3</v>
      </c>
    </row>
    <row r="1541" spans="1:7">
      <c r="A1541" s="63">
        <v>133.1062</v>
      </c>
      <c r="B1541" s="63">
        <v>138.07069999999999</v>
      </c>
      <c r="C1541" s="63">
        <v>132.15309999999999</v>
      </c>
      <c r="D1541" s="63">
        <v>137.33590000000001</v>
      </c>
      <c r="E1541" s="63">
        <v>8737615</v>
      </c>
      <c r="F1541" s="63" t="s">
        <v>734</v>
      </c>
      <c r="G1541" s="25">
        <f t="shared" si="22"/>
        <v>-3.0798210810137783E-2</v>
      </c>
    </row>
    <row r="1542" spans="1:7">
      <c r="A1542" s="63">
        <v>142.95570000000001</v>
      </c>
      <c r="B1542" s="63">
        <v>150.869</v>
      </c>
      <c r="C1542" s="63">
        <v>141.76419999999999</v>
      </c>
      <c r="D1542" s="63">
        <v>147.96969999999999</v>
      </c>
      <c r="E1542" s="63">
        <v>10431475</v>
      </c>
      <c r="F1542" s="63" t="s">
        <v>733</v>
      </c>
      <c r="G1542" s="25">
        <f t="shared" si="22"/>
        <v>-3.3885315709905384E-2</v>
      </c>
    </row>
    <row r="1543" spans="1:7">
      <c r="A1543" s="63">
        <v>148.78389999999999</v>
      </c>
      <c r="B1543" s="63">
        <v>151.91149999999999</v>
      </c>
      <c r="C1543" s="63">
        <v>145.51730000000001</v>
      </c>
      <c r="D1543" s="63">
        <v>146.66909999999999</v>
      </c>
      <c r="E1543" s="63">
        <v>7650429</v>
      </c>
      <c r="F1543" s="63" t="s">
        <v>732</v>
      </c>
      <c r="G1543" s="25">
        <f t="shared" si="22"/>
        <v>1.4418851687233447E-2</v>
      </c>
    </row>
    <row r="1544" spans="1:7">
      <c r="A1544" s="63">
        <v>144.96129999999999</v>
      </c>
      <c r="B1544" s="63">
        <v>150.3725</v>
      </c>
      <c r="C1544" s="63">
        <v>143.87899999999999</v>
      </c>
      <c r="D1544" s="63">
        <v>149.55840000000001</v>
      </c>
      <c r="E1544" s="63">
        <v>8273549</v>
      </c>
      <c r="F1544" s="63" t="s">
        <v>731</v>
      </c>
      <c r="G1544" s="25">
        <f t="shared" si="22"/>
        <v>-3.0737825491580661E-2</v>
      </c>
    </row>
    <row r="1545" spans="1:7">
      <c r="A1545" s="63">
        <v>153.6292</v>
      </c>
      <c r="B1545" s="63">
        <v>153.97669999999999</v>
      </c>
      <c r="C1545" s="63">
        <v>146.679</v>
      </c>
      <c r="D1545" s="63">
        <v>147.2449</v>
      </c>
      <c r="E1545" s="63">
        <v>8578887</v>
      </c>
      <c r="F1545" s="63" t="s">
        <v>730</v>
      </c>
      <c r="G1545" s="25">
        <f t="shared" si="22"/>
        <v>4.3358377777430679E-2</v>
      </c>
    </row>
    <row r="1546" spans="1:7">
      <c r="A1546" s="63">
        <v>146.0138</v>
      </c>
      <c r="B1546" s="63">
        <v>156.89580000000001</v>
      </c>
      <c r="C1546" s="63">
        <v>145.9145</v>
      </c>
      <c r="D1546" s="63">
        <v>151.5838</v>
      </c>
      <c r="E1546" s="63">
        <v>10639268</v>
      </c>
      <c r="F1546" s="63" t="s">
        <v>729</v>
      </c>
      <c r="G1546" s="25">
        <f t="shared" si="22"/>
        <v>-3.6745351416180294E-2</v>
      </c>
    </row>
    <row r="1547" spans="1:7">
      <c r="A1547" s="63">
        <v>152.54689999999999</v>
      </c>
      <c r="B1547" s="63">
        <v>153.04339999999999</v>
      </c>
      <c r="C1547" s="63">
        <v>142.1574</v>
      </c>
      <c r="D1547" s="63">
        <v>143.601</v>
      </c>
      <c r="E1547" s="63">
        <v>11834350</v>
      </c>
      <c r="F1547" s="63" t="s">
        <v>728</v>
      </c>
      <c r="G1547" s="25">
        <f t="shared" si="22"/>
        <v>6.2296919937883333E-2</v>
      </c>
    </row>
    <row r="1548" spans="1:7">
      <c r="A1548" s="63">
        <v>139.52029999999999</v>
      </c>
      <c r="B1548" s="63">
        <v>142.69749999999999</v>
      </c>
      <c r="C1548" s="63">
        <v>133.13810000000001</v>
      </c>
      <c r="D1548" s="63">
        <v>137.77279999999999</v>
      </c>
      <c r="E1548" s="63">
        <v>11898309</v>
      </c>
      <c r="F1548" s="63" t="s">
        <v>727</v>
      </c>
      <c r="G1548" s="25">
        <f t="shared" si="22"/>
        <v>1.2683925999907197E-2</v>
      </c>
    </row>
    <row r="1549" spans="1:7">
      <c r="A1549" s="63">
        <v>138.3586</v>
      </c>
      <c r="B1549" s="63">
        <v>145.15989999999999</v>
      </c>
      <c r="C1549" s="63">
        <v>133.64240000000001</v>
      </c>
      <c r="D1549" s="63">
        <v>139.42099999999999</v>
      </c>
      <c r="E1549" s="63">
        <v>12450120</v>
      </c>
      <c r="F1549" s="63" t="s">
        <v>726</v>
      </c>
      <c r="G1549" s="25">
        <f t="shared" si="22"/>
        <v>-7.6200859267971932E-3</v>
      </c>
    </row>
    <row r="1550" spans="1:7">
      <c r="A1550" s="63">
        <v>138.46780000000001</v>
      </c>
      <c r="B1550" s="63">
        <v>142.97550000000001</v>
      </c>
      <c r="C1550" s="63">
        <v>127.9432</v>
      </c>
      <c r="D1550" s="63">
        <v>130.65379999999999</v>
      </c>
      <c r="E1550" s="63">
        <v>10444038</v>
      </c>
      <c r="F1550" s="63" t="s">
        <v>725</v>
      </c>
      <c r="G1550" s="25">
        <f t="shared" si="22"/>
        <v>5.980690955793122E-2</v>
      </c>
    </row>
    <row r="1551" spans="1:7">
      <c r="A1551" s="63">
        <v>131.29920000000001</v>
      </c>
      <c r="B1551" s="63">
        <v>132.4708</v>
      </c>
      <c r="C1551" s="63">
        <v>114.46980000000001</v>
      </c>
      <c r="D1551" s="63">
        <v>124.6469</v>
      </c>
      <c r="E1551" s="63">
        <v>12988155</v>
      </c>
      <c r="F1551" s="63" t="s">
        <v>724</v>
      </c>
      <c r="G1551" s="25">
        <f t="shared" si="22"/>
        <v>5.3369157195245265E-2</v>
      </c>
    </row>
    <row r="1552" spans="1:7">
      <c r="A1552" s="63">
        <v>134.45660000000001</v>
      </c>
      <c r="B1552" s="63">
        <v>137.02809999999999</v>
      </c>
      <c r="C1552" s="63">
        <v>122.0455</v>
      </c>
      <c r="D1552" s="63">
        <v>126.09650000000001</v>
      </c>
      <c r="E1552" s="63">
        <v>12191538</v>
      </c>
      <c r="F1552" s="63" t="s">
        <v>723</v>
      </c>
      <c r="G1552" s="25">
        <f t="shared" si="22"/>
        <v>6.6299223213967196E-2</v>
      </c>
    </row>
    <row r="1553" spans="1:7">
      <c r="A1553" s="63">
        <v>123.4157</v>
      </c>
      <c r="B1553" s="63">
        <v>140.54300000000001</v>
      </c>
      <c r="C1553" s="63">
        <v>122.5121</v>
      </c>
      <c r="D1553" s="63">
        <v>133.0566</v>
      </c>
      <c r="E1553" s="63">
        <v>13845254</v>
      </c>
      <c r="F1553" s="63" t="s">
        <v>722</v>
      </c>
      <c r="G1553" s="25">
        <f t="shared" si="22"/>
        <v>-7.2457134783242672E-2</v>
      </c>
    </row>
    <row r="1554" spans="1:7">
      <c r="A1554" s="63">
        <v>146.7286</v>
      </c>
      <c r="B1554" s="63">
        <v>148.43639999999999</v>
      </c>
      <c r="C1554" s="63">
        <v>134.35730000000001</v>
      </c>
      <c r="D1554" s="63">
        <v>148.4066</v>
      </c>
      <c r="E1554" s="63">
        <v>13765419</v>
      </c>
      <c r="F1554" s="63" t="s">
        <v>721</v>
      </c>
      <c r="G1554" s="25">
        <f t="shared" si="22"/>
        <v>-1.1306774766081773E-2</v>
      </c>
    </row>
    <row r="1555" spans="1:7">
      <c r="A1555" s="63">
        <v>139.5898</v>
      </c>
      <c r="B1555" s="63">
        <v>150.1541</v>
      </c>
      <c r="C1555" s="63">
        <v>139.10329999999999</v>
      </c>
      <c r="D1555" s="63">
        <v>143.31309999999999</v>
      </c>
      <c r="E1555" s="63">
        <v>13212955</v>
      </c>
      <c r="F1555" s="63" t="s">
        <v>720</v>
      </c>
      <c r="G1555" s="25">
        <f t="shared" si="22"/>
        <v>-2.5980179062486175E-2</v>
      </c>
    </row>
    <row r="1556" spans="1:7">
      <c r="A1556" s="63">
        <v>153.47030000000001</v>
      </c>
      <c r="B1556" s="63">
        <v>158.48439999999999</v>
      </c>
      <c r="C1556" s="63">
        <v>149.08179999999999</v>
      </c>
      <c r="D1556" s="63">
        <v>156.5582</v>
      </c>
      <c r="E1556" s="63">
        <v>10345325</v>
      </c>
      <c r="F1556" s="63" t="s">
        <v>719</v>
      </c>
      <c r="G1556" s="25">
        <f t="shared" si="22"/>
        <v>-1.9723655484030767E-2</v>
      </c>
    </row>
    <row r="1557" spans="1:7">
      <c r="A1557" s="63">
        <v>160.19220000000001</v>
      </c>
      <c r="B1557" s="63">
        <v>160.3212</v>
      </c>
      <c r="C1557" s="63">
        <v>149.92570000000001</v>
      </c>
      <c r="D1557" s="63">
        <v>156.1114</v>
      </c>
      <c r="E1557" s="63">
        <v>11443931</v>
      </c>
      <c r="F1557" s="63" t="s">
        <v>718</v>
      </c>
      <c r="G1557" s="25">
        <f t="shared" si="22"/>
        <v>2.6140307498363491E-2</v>
      </c>
    </row>
    <row r="1558" spans="1:7">
      <c r="A1558" s="63">
        <v>150.13419999999999</v>
      </c>
      <c r="B1558" s="63">
        <v>156.58799999999999</v>
      </c>
      <c r="C1558" s="63">
        <v>149.56829999999999</v>
      </c>
      <c r="D1558" s="63">
        <v>150.6207</v>
      </c>
      <c r="E1558" s="63">
        <v>9657064</v>
      </c>
      <c r="F1558" s="63" t="s">
        <v>717</v>
      </c>
      <c r="G1558" s="25">
        <f t="shared" si="22"/>
        <v>-3.2299677268795568E-3</v>
      </c>
    </row>
    <row r="1559" spans="1:7">
      <c r="A1559" s="63">
        <v>162.9127</v>
      </c>
      <c r="B1559" s="63">
        <v>166.37780000000001</v>
      </c>
      <c r="C1559" s="63">
        <v>157.41210000000001</v>
      </c>
      <c r="D1559" s="63">
        <v>164.4914</v>
      </c>
      <c r="E1559" s="63">
        <v>9757735</v>
      </c>
      <c r="F1559" s="63" t="s">
        <v>716</v>
      </c>
      <c r="G1559" s="25">
        <f t="shared" si="22"/>
        <v>-9.5974622381473917E-3</v>
      </c>
    </row>
    <row r="1560" spans="1:7">
      <c r="A1560" s="63">
        <v>168.39340000000001</v>
      </c>
      <c r="B1560" s="63">
        <v>172.51390000000001</v>
      </c>
      <c r="C1560" s="63">
        <v>166.9041</v>
      </c>
      <c r="D1560" s="63">
        <v>171.34229999999999</v>
      </c>
      <c r="E1560" s="63">
        <v>5797479</v>
      </c>
      <c r="F1560" s="63" t="s">
        <v>715</v>
      </c>
      <c r="G1560" s="25">
        <f t="shared" si="22"/>
        <v>-1.7210577889989698E-2</v>
      </c>
    </row>
    <row r="1561" spans="1:7">
      <c r="A1561" s="63">
        <v>174.4401</v>
      </c>
      <c r="B1561" s="63">
        <v>174.5592</v>
      </c>
      <c r="C1561" s="63">
        <v>168.42320000000001</v>
      </c>
      <c r="D1561" s="63">
        <v>171.02449999999999</v>
      </c>
      <c r="E1561" s="63">
        <v>5846719</v>
      </c>
      <c r="F1561" s="63" t="s">
        <v>714</v>
      </c>
      <c r="G1561" s="25">
        <f t="shared" si="22"/>
        <v>1.9971407605343217E-2</v>
      </c>
    </row>
    <row r="1562" spans="1:7">
      <c r="A1562" s="63">
        <v>168.16499999999999</v>
      </c>
      <c r="B1562" s="63">
        <v>177.1506</v>
      </c>
      <c r="C1562" s="63">
        <v>165.90119999999999</v>
      </c>
      <c r="D1562" s="63">
        <v>177.14070000000001</v>
      </c>
      <c r="E1562" s="63">
        <v>8323455</v>
      </c>
      <c r="F1562" s="63" t="s">
        <v>713</v>
      </c>
      <c r="G1562" s="25">
        <f t="shared" si="22"/>
        <v>-5.0669891222062557E-2</v>
      </c>
    </row>
    <row r="1563" spans="1:7">
      <c r="A1563" s="63">
        <v>175.5025</v>
      </c>
      <c r="B1563" s="63">
        <v>175.53219999999999</v>
      </c>
      <c r="C1563" s="63">
        <v>167.39060000000001</v>
      </c>
      <c r="D1563" s="63">
        <v>170.97489999999999</v>
      </c>
      <c r="E1563" s="63">
        <v>7761040</v>
      </c>
      <c r="F1563" s="63" t="s">
        <v>712</v>
      </c>
      <c r="G1563" s="25">
        <f t="shared" si="22"/>
        <v>2.6481079971387711E-2</v>
      </c>
    </row>
    <row r="1564" spans="1:7">
      <c r="A1564" s="63">
        <v>169.18770000000001</v>
      </c>
      <c r="B1564" s="63">
        <v>170.548</v>
      </c>
      <c r="C1564" s="63">
        <v>161.95949999999999</v>
      </c>
      <c r="D1564" s="63">
        <v>163.81620000000001</v>
      </c>
      <c r="E1564" s="63">
        <v>12643588</v>
      </c>
      <c r="F1564" s="63" t="s">
        <v>711</v>
      </c>
      <c r="G1564" s="25">
        <f t="shared" si="22"/>
        <v>3.2789797346050031E-2</v>
      </c>
    </row>
    <row r="1565" spans="1:7">
      <c r="A1565" s="63">
        <v>170.92519999999999</v>
      </c>
      <c r="B1565" s="63">
        <v>177.06129999999999</v>
      </c>
      <c r="C1565" s="63">
        <v>168.84020000000001</v>
      </c>
      <c r="D1565" s="63">
        <v>170.98480000000001</v>
      </c>
      <c r="E1565" s="63">
        <v>9927314</v>
      </c>
      <c r="F1565" s="63" t="s">
        <v>710</v>
      </c>
      <c r="G1565" s="25">
        <f t="shared" si="22"/>
        <v>-3.4856899560675725E-4</v>
      </c>
    </row>
    <row r="1566" spans="1:7">
      <c r="A1566" s="63">
        <v>177.59739999999999</v>
      </c>
      <c r="B1566" s="63">
        <v>181.36539999999999</v>
      </c>
      <c r="C1566" s="63">
        <v>173.0103</v>
      </c>
      <c r="D1566" s="63">
        <v>175.28399999999999</v>
      </c>
      <c r="E1566" s="63">
        <v>13926478</v>
      </c>
      <c r="F1566" s="63" t="s">
        <v>709</v>
      </c>
      <c r="G1566" s="25">
        <f t="shared" si="22"/>
        <v>1.3198010086488132E-2</v>
      </c>
    </row>
    <row r="1567" spans="1:7">
      <c r="A1567" s="63">
        <v>179.9804</v>
      </c>
      <c r="B1567" s="63">
        <v>188.6284</v>
      </c>
      <c r="C1567" s="63">
        <v>178.15350000000001</v>
      </c>
      <c r="D1567" s="63">
        <v>187.12909999999999</v>
      </c>
      <c r="E1567" s="63">
        <v>11361116</v>
      </c>
      <c r="F1567" s="63" t="s">
        <v>708</v>
      </c>
      <c r="G1567" s="25">
        <f t="shared" si="22"/>
        <v>-3.8201968587461721E-2</v>
      </c>
    </row>
    <row r="1568" spans="1:7">
      <c r="A1568" s="63">
        <v>184.61709999999999</v>
      </c>
      <c r="B1568" s="63">
        <v>185.8185</v>
      </c>
      <c r="C1568" s="63">
        <v>177.518</v>
      </c>
      <c r="D1568" s="63">
        <v>177.518</v>
      </c>
      <c r="E1568" s="63">
        <v>8463256</v>
      </c>
      <c r="F1568" s="63" t="s">
        <v>707</v>
      </c>
      <c r="G1568" s="25">
        <f t="shared" si="22"/>
        <v>3.9990874164873347E-2</v>
      </c>
    </row>
    <row r="1569" spans="1:7">
      <c r="A1569" s="63">
        <v>188.15180000000001</v>
      </c>
      <c r="B1569" s="63">
        <v>190.6737</v>
      </c>
      <c r="C1569" s="63">
        <v>185.39160000000001</v>
      </c>
      <c r="D1569" s="63">
        <v>190.4752</v>
      </c>
      <c r="E1569" s="63">
        <v>5244259</v>
      </c>
      <c r="F1569" s="63" t="s">
        <v>706</v>
      </c>
      <c r="G1569" s="25">
        <f t="shared" si="22"/>
        <v>-1.2197913429149776E-2</v>
      </c>
    </row>
    <row r="1570" spans="1:7">
      <c r="A1570" s="63">
        <v>191.98439999999999</v>
      </c>
      <c r="B1570" s="63">
        <v>194.32759999999999</v>
      </c>
      <c r="C1570" s="63">
        <v>188.41990000000001</v>
      </c>
      <c r="D1570" s="63">
        <v>192.6198</v>
      </c>
      <c r="E1570" s="63">
        <v>5451154</v>
      </c>
      <c r="F1570" s="63" t="s">
        <v>705</v>
      </c>
      <c r="G1570" s="25">
        <f t="shared" si="22"/>
        <v>-3.2987262991654998E-3</v>
      </c>
    </row>
    <row r="1571" spans="1:7">
      <c r="A1571" s="63">
        <v>191.49780000000001</v>
      </c>
      <c r="B1571" s="63">
        <v>192.54040000000001</v>
      </c>
      <c r="C1571" s="63">
        <v>190.43549999999999</v>
      </c>
      <c r="D1571" s="63">
        <v>190.63399999999999</v>
      </c>
      <c r="E1571" s="63">
        <v>3903153</v>
      </c>
      <c r="F1571" s="63" t="s">
        <v>704</v>
      </c>
      <c r="G1571" s="25">
        <f t="shared" si="22"/>
        <v>4.5311959041935967E-3</v>
      </c>
    </row>
    <row r="1572" spans="1:7">
      <c r="A1572" s="63">
        <v>189.73050000000001</v>
      </c>
      <c r="B1572" s="63">
        <v>190.13759999999999</v>
      </c>
      <c r="C1572" s="63">
        <v>187.57589999999999</v>
      </c>
      <c r="D1572" s="63">
        <v>189.5915</v>
      </c>
      <c r="E1572" s="63">
        <v>4957450</v>
      </c>
      <c r="F1572" s="63" t="s">
        <v>703</v>
      </c>
      <c r="G1572" s="25">
        <f t="shared" si="22"/>
        <v>7.3315523111538994E-4</v>
      </c>
    </row>
    <row r="1573" spans="1:7">
      <c r="A1573" s="63">
        <v>188.5986</v>
      </c>
      <c r="B1573" s="63">
        <v>188.8965</v>
      </c>
      <c r="C1573" s="63">
        <v>186.76179999999999</v>
      </c>
      <c r="D1573" s="63">
        <v>188.00290000000001</v>
      </c>
      <c r="E1573" s="63">
        <v>3599445</v>
      </c>
      <c r="F1573" s="63" t="s">
        <v>702</v>
      </c>
      <c r="G1573" s="25">
        <f t="shared" si="22"/>
        <v>3.1685681444275637E-3</v>
      </c>
    </row>
    <row r="1574" spans="1:7">
      <c r="A1574" s="63">
        <v>187.2979</v>
      </c>
      <c r="B1574" s="63">
        <v>189.6908</v>
      </c>
      <c r="C1574" s="63">
        <v>187.0795</v>
      </c>
      <c r="D1574" s="63">
        <v>187.15889999999999</v>
      </c>
      <c r="E1574" s="63">
        <v>3132057</v>
      </c>
      <c r="F1574" s="63" t="s">
        <v>701</v>
      </c>
      <c r="G1574" s="25">
        <f t="shared" si="22"/>
        <v>7.4268442483904629E-4</v>
      </c>
    </row>
    <row r="1575" spans="1:7">
      <c r="A1575" s="63">
        <v>188.1121</v>
      </c>
      <c r="B1575" s="63">
        <v>189.16460000000001</v>
      </c>
      <c r="C1575" s="63">
        <v>185.44120000000001</v>
      </c>
      <c r="D1575" s="63">
        <v>188.3603</v>
      </c>
      <c r="E1575" s="63">
        <v>4535367</v>
      </c>
      <c r="F1575" s="63" t="s">
        <v>700</v>
      </c>
      <c r="G1575" s="25">
        <f t="shared" si="22"/>
        <v>-1.3176874320118825E-3</v>
      </c>
    </row>
    <row r="1576" spans="1:7">
      <c r="A1576" s="63">
        <v>187.7646</v>
      </c>
      <c r="B1576" s="63">
        <v>191.22980000000001</v>
      </c>
      <c r="C1576" s="63">
        <v>187.30789999999999</v>
      </c>
      <c r="D1576" s="63">
        <v>190.11770000000001</v>
      </c>
      <c r="E1576" s="63">
        <v>4299231</v>
      </c>
      <c r="F1576" s="63" t="s">
        <v>699</v>
      </c>
      <c r="G1576" s="25">
        <f t="shared" si="22"/>
        <v>-1.2377069573217048E-2</v>
      </c>
    </row>
    <row r="1577" spans="1:7">
      <c r="A1577" s="63">
        <v>187.77449999999999</v>
      </c>
      <c r="B1577" s="63">
        <v>187.92349999999999</v>
      </c>
      <c r="C1577" s="63">
        <v>184.24160000000001</v>
      </c>
      <c r="D1577" s="63">
        <v>184.84549999999999</v>
      </c>
      <c r="E1577" s="63">
        <v>3873498</v>
      </c>
      <c r="F1577" s="63" t="s">
        <v>698</v>
      </c>
      <c r="G1577" s="25">
        <f t="shared" si="22"/>
        <v>1.5845665704601997E-2</v>
      </c>
    </row>
    <row r="1578" spans="1:7">
      <c r="A1578" s="63">
        <v>184.39869999999999</v>
      </c>
      <c r="B1578" s="63">
        <v>187.30789999999999</v>
      </c>
      <c r="C1578" s="63">
        <v>184.32919999999999</v>
      </c>
      <c r="D1578" s="63">
        <v>185.52070000000001</v>
      </c>
      <c r="E1578" s="63">
        <v>3713079</v>
      </c>
      <c r="F1578" s="63" t="s">
        <v>697</v>
      </c>
      <c r="G1578" s="25">
        <f t="shared" si="22"/>
        <v>-6.0478426396624041E-3</v>
      </c>
    </row>
    <row r="1579" spans="1:7">
      <c r="A1579" s="63">
        <v>185.4015</v>
      </c>
      <c r="B1579" s="63">
        <v>186.22559999999999</v>
      </c>
      <c r="C1579" s="63">
        <v>182.92920000000001</v>
      </c>
      <c r="D1579" s="63">
        <v>185.5008</v>
      </c>
      <c r="E1579" s="63">
        <v>4102926</v>
      </c>
      <c r="F1579" s="63" t="s">
        <v>696</v>
      </c>
      <c r="G1579" s="25">
        <f t="shared" si="22"/>
        <v>-5.3530766444132016E-4</v>
      </c>
    </row>
    <row r="1580" spans="1:7">
      <c r="A1580" s="63">
        <v>184.1703</v>
      </c>
      <c r="B1580" s="63">
        <v>189.1943</v>
      </c>
      <c r="C1580" s="63">
        <v>181.5591</v>
      </c>
      <c r="D1580" s="63">
        <v>189.0454</v>
      </c>
      <c r="E1580" s="63">
        <v>6162711</v>
      </c>
      <c r="F1580" s="63" t="s">
        <v>695</v>
      </c>
      <c r="G1580" s="25">
        <f t="shared" si="22"/>
        <v>-2.578798531992843E-2</v>
      </c>
    </row>
    <row r="1581" spans="1:7">
      <c r="A1581" s="63">
        <v>187.0001</v>
      </c>
      <c r="B1581" s="63">
        <v>188.34049999999999</v>
      </c>
      <c r="C1581" s="63">
        <v>185.32210000000001</v>
      </c>
      <c r="D1581" s="63">
        <v>186.66249999999999</v>
      </c>
      <c r="E1581" s="63">
        <v>3983248</v>
      </c>
      <c r="F1581" s="63" t="s">
        <v>694</v>
      </c>
      <c r="G1581" s="25">
        <f t="shared" si="22"/>
        <v>1.8086117993705297E-3</v>
      </c>
    </row>
    <row r="1582" spans="1:7">
      <c r="A1582" s="63">
        <v>184.10079999999999</v>
      </c>
      <c r="B1582" s="63">
        <v>184.55160000000001</v>
      </c>
      <c r="C1582" s="63">
        <v>180.55619999999999</v>
      </c>
      <c r="D1582" s="63">
        <v>181.9562</v>
      </c>
      <c r="E1582" s="63">
        <v>4755709</v>
      </c>
      <c r="F1582" s="63" t="s">
        <v>693</v>
      </c>
      <c r="G1582" s="25">
        <f t="shared" si="22"/>
        <v>1.1786352979453296E-2</v>
      </c>
    </row>
    <row r="1583" spans="1:7">
      <c r="A1583" s="63">
        <v>181.01300000000001</v>
      </c>
      <c r="B1583" s="63">
        <v>184.70650000000001</v>
      </c>
      <c r="C1583" s="63">
        <v>179.50380000000001</v>
      </c>
      <c r="D1583" s="63">
        <v>183.54480000000001</v>
      </c>
      <c r="E1583" s="63">
        <v>4193259</v>
      </c>
      <c r="F1583" s="63" t="s">
        <v>692</v>
      </c>
      <c r="G1583" s="25">
        <f t="shared" si="22"/>
        <v>-1.3793907536470695E-2</v>
      </c>
    </row>
    <row r="1584" spans="1:7">
      <c r="A1584" s="63">
        <v>184.34909999999999</v>
      </c>
      <c r="B1584" s="63">
        <v>184.61709999999999</v>
      </c>
      <c r="C1584" s="63">
        <v>179.25559999999999</v>
      </c>
      <c r="D1584" s="63">
        <v>179.613</v>
      </c>
      <c r="E1584" s="63">
        <v>3716140</v>
      </c>
      <c r="F1584" s="63" t="s">
        <v>691</v>
      </c>
      <c r="G1584" s="25">
        <f t="shared" si="22"/>
        <v>2.6368358637737677E-2</v>
      </c>
    </row>
    <row r="1585" spans="1:7">
      <c r="A1585" s="63">
        <v>180.4768</v>
      </c>
      <c r="B1585" s="63">
        <v>182.7902</v>
      </c>
      <c r="C1585" s="63">
        <v>180.3279</v>
      </c>
      <c r="D1585" s="63">
        <v>182.6909</v>
      </c>
      <c r="E1585" s="63">
        <v>2789482</v>
      </c>
      <c r="F1585" s="63" t="s">
        <v>690</v>
      </c>
      <c r="G1585" s="25">
        <f t="shared" si="22"/>
        <v>-1.2119377593519998E-2</v>
      </c>
    </row>
    <row r="1586" spans="1:7">
      <c r="A1586" s="63">
        <v>181.54910000000001</v>
      </c>
      <c r="B1586" s="63">
        <v>182.547</v>
      </c>
      <c r="C1586" s="63">
        <v>179.06720000000001</v>
      </c>
      <c r="D1586" s="63">
        <v>179.85130000000001</v>
      </c>
      <c r="E1586" s="63">
        <v>3445530</v>
      </c>
      <c r="F1586" s="63" t="s">
        <v>689</v>
      </c>
      <c r="G1586" s="25">
        <f t="shared" si="22"/>
        <v>9.4400207282350213E-3</v>
      </c>
    </row>
    <row r="1587" spans="1:7">
      <c r="A1587" s="63">
        <v>179.42439999999999</v>
      </c>
      <c r="B1587" s="63">
        <v>180.43709999999999</v>
      </c>
      <c r="C1587" s="63">
        <v>176.0386</v>
      </c>
      <c r="D1587" s="63">
        <v>177.4982</v>
      </c>
      <c r="E1587" s="63">
        <v>4239357</v>
      </c>
      <c r="F1587" s="63" t="s">
        <v>688</v>
      </c>
      <c r="G1587" s="25">
        <f t="shared" si="22"/>
        <v>1.0851941033768187E-2</v>
      </c>
    </row>
    <row r="1588" spans="1:7">
      <c r="A1588" s="63">
        <v>180.81440000000001</v>
      </c>
      <c r="B1588" s="63">
        <v>184.8058</v>
      </c>
      <c r="C1588" s="63">
        <v>179.84139999999999</v>
      </c>
      <c r="D1588" s="63">
        <v>183.68379999999999</v>
      </c>
      <c r="E1588" s="63">
        <v>4653931</v>
      </c>
      <c r="F1588" s="63" t="s">
        <v>687</v>
      </c>
      <c r="G1588" s="25">
        <f t="shared" si="22"/>
        <v>-1.562141027134667E-2</v>
      </c>
    </row>
    <row r="1589" spans="1:7">
      <c r="A1589" s="63">
        <v>182.6711</v>
      </c>
      <c r="B1589" s="63">
        <v>182.9888</v>
      </c>
      <c r="C1589" s="63">
        <v>180.0102</v>
      </c>
      <c r="D1589" s="63">
        <v>181.9066</v>
      </c>
      <c r="E1589" s="63">
        <v>4369337</v>
      </c>
      <c r="F1589" s="63" t="s">
        <v>686</v>
      </c>
      <c r="G1589" s="25">
        <f t="shared" si="22"/>
        <v>4.2027062239633484E-3</v>
      </c>
    </row>
    <row r="1590" spans="1:7">
      <c r="A1590" s="63">
        <v>181.44980000000001</v>
      </c>
      <c r="B1590" s="63">
        <v>185.11359999999999</v>
      </c>
      <c r="C1590" s="63">
        <v>181.3903</v>
      </c>
      <c r="D1590" s="63">
        <v>184.0711</v>
      </c>
      <c r="E1590" s="63">
        <v>4781769</v>
      </c>
      <c r="F1590" s="63" t="s">
        <v>685</v>
      </c>
      <c r="G1590" s="25">
        <f t="shared" si="22"/>
        <v>-1.4240692862703574E-2</v>
      </c>
    </row>
    <row r="1591" spans="1:7">
      <c r="A1591" s="63">
        <v>183.95189999999999</v>
      </c>
      <c r="B1591" s="63">
        <v>184.67670000000001</v>
      </c>
      <c r="C1591" s="63">
        <v>180.20869999999999</v>
      </c>
      <c r="D1591" s="63">
        <v>180.21870000000001</v>
      </c>
      <c r="E1591" s="63">
        <v>6302448</v>
      </c>
      <c r="F1591" s="63" t="s">
        <v>684</v>
      </c>
      <c r="G1591" s="25">
        <f t="shared" si="22"/>
        <v>2.0714831479752061E-2</v>
      </c>
    </row>
    <row r="1592" spans="1:7">
      <c r="A1592" s="63">
        <v>180.93350000000001</v>
      </c>
      <c r="B1592" s="63">
        <v>182.03559999999999</v>
      </c>
      <c r="C1592" s="63">
        <v>180.06970000000001</v>
      </c>
      <c r="D1592" s="63">
        <v>181.9264</v>
      </c>
      <c r="E1592" s="63">
        <v>4577245</v>
      </c>
      <c r="F1592" s="63" t="s">
        <v>683</v>
      </c>
      <c r="G1592" s="25">
        <f t="shared" si="22"/>
        <v>-5.4577015760218783E-3</v>
      </c>
    </row>
    <row r="1593" spans="1:7">
      <c r="A1593" s="63">
        <v>181.3903</v>
      </c>
      <c r="B1593" s="63">
        <v>181.8073</v>
      </c>
      <c r="C1593" s="63">
        <v>179.67259999999999</v>
      </c>
      <c r="D1593" s="63">
        <v>180.93350000000001</v>
      </c>
      <c r="E1593" s="63">
        <v>3485298</v>
      </c>
      <c r="F1593" s="63" t="s">
        <v>682</v>
      </c>
      <c r="G1593" s="25">
        <f t="shared" ref="G1593:G1656" si="23">A1593/D1593-1</f>
        <v>2.5246844835256077E-3</v>
      </c>
    </row>
    <row r="1594" spans="1:7">
      <c r="A1594" s="63">
        <v>179.77189999999999</v>
      </c>
      <c r="B1594" s="63">
        <v>181.7825</v>
      </c>
      <c r="C1594" s="63">
        <v>179.33</v>
      </c>
      <c r="D1594" s="63">
        <v>180.38740000000001</v>
      </c>
      <c r="E1594" s="63">
        <v>3886843</v>
      </c>
      <c r="F1594" s="63" t="s">
        <v>681</v>
      </c>
      <c r="G1594" s="25">
        <f t="shared" si="23"/>
        <v>-3.4121008451811763E-3</v>
      </c>
    </row>
    <row r="1595" spans="1:7">
      <c r="A1595" s="63">
        <v>180.82429999999999</v>
      </c>
      <c r="B1595" s="63">
        <v>182.542</v>
      </c>
      <c r="C1595" s="63">
        <v>180.7449</v>
      </c>
      <c r="D1595" s="63">
        <v>182.19450000000001</v>
      </c>
      <c r="E1595" s="63">
        <v>4347509</v>
      </c>
      <c r="F1595" s="63" t="s">
        <v>680</v>
      </c>
      <c r="G1595" s="25">
        <f t="shared" si="23"/>
        <v>-7.5205343739794817E-3</v>
      </c>
    </row>
    <row r="1596" spans="1:7">
      <c r="A1596" s="63">
        <v>182.542</v>
      </c>
      <c r="B1596" s="63">
        <v>183.1377</v>
      </c>
      <c r="C1596" s="63">
        <v>179.84139999999999</v>
      </c>
      <c r="D1596" s="63">
        <v>179.97040000000001</v>
      </c>
      <c r="E1596" s="63">
        <v>6205333</v>
      </c>
      <c r="F1596" s="63" t="s">
        <v>679</v>
      </c>
      <c r="G1596" s="25">
        <f t="shared" si="23"/>
        <v>1.4289016416032752E-2</v>
      </c>
    </row>
    <row r="1597" spans="1:7">
      <c r="A1597" s="63">
        <v>178.91800000000001</v>
      </c>
      <c r="B1597" s="63">
        <v>179.3946</v>
      </c>
      <c r="C1597" s="63">
        <v>177.4187</v>
      </c>
      <c r="D1597" s="63">
        <v>178.56049999999999</v>
      </c>
      <c r="E1597" s="63">
        <v>5112302</v>
      </c>
      <c r="F1597" s="63" t="s">
        <v>678</v>
      </c>
      <c r="G1597" s="25">
        <f t="shared" si="23"/>
        <v>2.0021225298989531E-3</v>
      </c>
    </row>
    <row r="1598" spans="1:7">
      <c r="A1598" s="63">
        <v>178.32220000000001</v>
      </c>
      <c r="B1598" s="63">
        <v>178.62010000000001</v>
      </c>
      <c r="C1598" s="63">
        <v>176.02869999999999</v>
      </c>
      <c r="D1598" s="63">
        <v>177.5677</v>
      </c>
      <c r="E1598" s="63">
        <v>5954966</v>
      </c>
      <c r="F1598" s="63" t="s">
        <v>677</v>
      </c>
      <c r="G1598" s="25">
        <f t="shared" si="23"/>
        <v>4.2490835889634759E-3</v>
      </c>
    </row>
    <row r="1599" spans="1:7">
      <c r="A1599" s="63">
        <v>176.0684</v>
      </c>
      <c r="B1599" s="63">
        <v>177.57759999999999</v>
      </c>
      <c r="C1599" s="63">
        <v>173.5068</v>
      </c>
      <c r="D1599" s="63">
        <v>173.98330000000001</v>
      </c>
      <c r="E1599" s="63">
        <v>7226234</v>
      </c>
      <c r="F1599" s="63" t="s">
        <v>676</v>
      </c>
      <c r="G1599" s="25">
        <f t="shared" si="23"/>
        <v>1.1984483568250326E-2</v>
      </c>
    </row>
    <row r="1600" spans="1:7">
      <c r="A1600" s="63">
        <v>174.74789999999999</v>
      </c>
      <c r="B1600" s="63">
        <v>175.61170000000001</v>
      </c>
      <c r="C1600" s="63">
        <v>170.8657</v>
      </c>
      <c r="D1600" s="63">
        <v>171.99760000000001</v>
      </c>
      <c r="E1600" s="63">
        <v>8310525</v>
      </c>
      <c r="F1600" s="63" t="s">
        <v>675</v>
      </c>
      <c r="G1600" s="25">
        <f t="shared" si="23"/>
        <v>1.5990339400084652E-2</v>
      </c>
    </row>
    <row r="1601" spans="1:7">
      <c r="A1601" s="63">
        <v>172.21600000000001</v>
      </c>
      <c r="B1601" s="63">
        <v>172.43440000000001</v>
      </c>
      <c r="C1601" s="63">
        <v>163.28</v>
      </c>
      <c r="D1601" s="63">
        <v>163.8261</v>
      </c>
      <c r="E1601" s="63">
        <v>8843581</v>
      </c>
      <c r="F1601" s="63" t="s">
        <v>674</v>
      </c>
      <c r="G1601" s="25">
        <f t="shared" si="23"/>
        <v>5.1212230529811942E-2</v>
      </c>
    </row>
    <row r="1602" spans="1:7">
      <c r="A1602" s="63">
        <v>164.98779999999999</v>
      </c>
      <c r="B1602" s="63">
        <v>165.58349999999999</v>
      </c>
      <c r="C1602" s="63">
        <v>163.8261</v>
      </c>
      <c r="D1602" s="63">
        <v>163.88570000000001</v>
      </c>
      <c r="E1602" s="63">
        <v>3205583</v>
      </c>
      <c r="F1602" s="63" t="s">
        <v>673</v>
      </c>
      <c r="G1602" s="25">
        <f t="shared" si="23"/>
        <v>6.7248088149238772E-3</v>
      </c>
    </row>
    <row r="1603" spans="1:7">
      <c r="A1603" s="63">
        <v>165.80199999999999</v>
      </c>
      <c r="B1603" s="63">
        <v>165.88140000000001</v>
      </c>
      <c r="C1603" s="63">
        <v>162.4162</v>
      </c>
      <c r="D1603" s="63">
        <v>162.75380000000001</v>
      </c>
      <c r="E1603" s="63">
        <v>5094557</v>
      </c>
      <c r="F1603" s="63" t="s">
        <v>672</v>
      </c>
      <c r="G1603" s="25">
        <f t="shared" si="23"/>
        <v>1.8728902182314489E-2</v>
      </c>
    </row>
    <row r="1604" spans="1:7">
      <c r="A1604" s="63">
        <v>161.4829</v>
      </c>
      <c r="B1604" s="63">
        <v>162.0985</v>
      </c>
      <c r="C1604" s="63">
        <v>160.6489</v>
      </c>
      <c r="D1604" s="63">
        <v>160.88720000000001</v>
      </c>
      <c r="E1604" s="63">
        <v>3273515</v>
      </c>
      <c r="F1604" s="63" t="s">
        <v>671</v>
      </c>
      <c r="G1604" s="25">
        <f t="shared" si="23"/>
        <v>3.7025941156287878E-3</v>
      </c>
    </row>
    <row r="1605" spans="1:7">
      <c r="A1605" s="63">
        <v>161.2843</v>
      </c>
      <c r="B1605" s="63">
        <v>163.76650000000001</v>
      </c>
      <c r="C1605" s="63">
        <v>160.0532</v>
      </c>
      <c r="D1605" s="63">
        <v>163.68709999999999</v>
      </c>
      <c r="E1605" s="63">
        <v>3197087</v>
      </c>
      <c r="F1605" s="63" t="s">
        <v>670</v>
      </c>
      <c r="G1605" s="25">
        <f t="shared" si="23"/>
        <v>-1.4679226402080414E-2</v>
      </c>
    </row>
    <row r="1606" spans="1:7">
      <c r="A1606" s="63">
        <v>163.80629999999999</v>
      </c>
      <c r="B1606" s="63">
        <v>164.28280000000001</v>
      </c>
      <c r="C1606" s="63">
        <v>162.73390000000001</v>
      </c>
      <c r="D1606" s="63">
        <v>163.68709999999999</v>
      </c>
      <c r="E1606" s="63">
        <v>3410032</v>
      </c>
      <c r="F1606" s="63" t="s">
        <v>669</v>
      </c>
      <c r="G1606" s="25">
        <f t="shared" si="23"/>
        <v>7.2821865620453785E-4</v>
      </c>
    </row>
    <row r="1607" spans="1:7">
      <c r="A1607" s="63">
        <v>163.33959999999999</v>
      </c>
      <c r="B1607" s="63">
        <v>163.3595</v>
      </c>
      <c r="C1607" s="63">
        <v>162.10839999999999</v>
      </c>
      <c r="D1607" s="63">
        <v>162.23750000000001</v>
      </c>
      <c r="E1607" s="63">
        <v>2156316</v>
      </c>
      <c r="F1607" s="63" t="s">
        <v>668</v>
      </c>
      <c r="G1607" s="25">
        <f t="shared" si="23"/>
        <v>6.7931273595807085E-3</v>
      </c>
    </row>
    <row r="1608" spans="1:7">
      <c r="A1608" s="63">
        <v>162.08860000000001</v>
      </c>
      <c r="B1608" s="63">
        <v>162.6765</v>
      </c>
      <c r="C1608" s="63">
        <v>161.71619999999999</v>
      </c>
      <c r="D1608" s="63">
        <v>162.1481</v>
      </c>
      <c r="E1608" s="63">
        <v>1237991</v>
      </c>
      <c r="F1608" s="63" t="s">
        <v>667</v>
      </c>
      <c r="G1608" s="25">
        <f t="shared" si="23"/>
        <v>-3.6694848721618989E-4</v>
      </c>
    </row>
    <row r="1609" spans="1:7">
      <c r="A1609" s="63">
        <v>162.57509999999999</v>
      </c>
      <c r="B1609" s="63">
        <v>163.697</v>
      </c>
      <c r="C1609" s="63">
        <v>162.18790000000001</v>
      </c>
      <c r="D1609" s="63">
        <v>162.87289999999999</v>
      </c>
      <c r="E1609" s="63">
        <v>4373626</v>
      </c>
      <c r="F1609" s="63" t="s">
        <v>666</v>
      </c>
      <c r="G1609" s="25">
        <f t="shared" si="23"/>
        <v>-1.828419583613905E-3</v>
      </c>
    </row>
    <row r="1610" spans="1:7">
      <c r="A1610" s="63">
        <v>163.3793</v>
      </c>
      <c r="B1610" s="63">
        <v>163.9949</v>
      </c>
      <c r="C1610" s="63">
        <v>162.4659</v>
      </c>
      <c r="D1610" s="63">
        <v>163.55799999999999</v>
      </c>
      <c r="E1610" s="63">
        <v>8586884</v>
      </c>
      <c r="F1610" s="63" t="s">
        <v>665</v>
      </c>
      <c r="G1610" s="25">
        <f t="shared" si="23"/>
        <v>-1.0925787793931718E-3</v>
      </c>
    </row>
    <row r="1611" spans="1:7">
      <c r="A1611" s="63">
        <v>162.16800000000001</v>
      </c>
      <c r="B1611" s="63">
        <v>162.17789999999999</v>
      </c>
      <c r="C1611" s="63">
        <v>159.6858</v>
      </c>
      <c r="D1611" s="63">
        <v>160.44040000000001</v>
      </c>
      <c r="E1611" s="63">
        <v>4186371</v>
      </c>
      <c r="F1611" s="63" t="s">
        <v>664</v>
      </c>
      <c r="G1611" s="25">
        <f t="shared" si="23"/>
        <v>1.0767861461327577E-2</v>
      </c>
    </row>
    <row r="1612" spans="1:7">
      <c r="A1612" s="63">
        <v>160.3312</v>
      </c>
      <c r="B1612" s="63">
        <v>162.11840000000001</v>
      </c>
      <c r="C1612" s="63">
        <v>160.3312</v>
      </c>
      <c r="D1612" s="63">
        <v>160.6489</v>
      </c>
      <c r="E1612" s="63">
        <v>4145091</v>
      </c>
      <c r="F1612" s="63" t="s">
        <v>663</v>
      </c>
      <c r="G1612" s="25">
        <f t="shared" si="23"/>
        <v>-1.9776045774356765E-3</v>
      </c>
    </row>
    <row r="1613" spans="1:7">
      <c r="A1613" s="63">
        <v>160.48009999999999</v>
      </c>
      <c r="B1613" s="63">
        <v>161.2148</v>
      </c>
      <c r="C1613" s="63">
        <v>158.6035</v>
      </c>
      <c r="D1613" s="63">
        <v>160.8475</v>
      </c>
      <c r="E1613" s="63">
        <v>4789823</v>
      </c>
      <c r="F1613" s="63" t="s">
        <v>662</v>
      </c>
      <c r="G1613" s="25">
        <f t="shared" si="23"/>
        <v>-2.2841511369464662E-3</v>
      </c>
    </row>
    <row r="1614" spans="1:7">
      <c r="A1614" s="63">
        <v>160.80770000000001</v>
      </c>
      <c r="B1614" s="63">
        <v>161.5822</v>
      </c>
      <c r="C1614" s="63">
        <v>159.67590000000001</v>
      </c>
      <c r="D1614" s="63">
        <v>159.7056</v>
      </c>
      <c r="E1614" s="63">
        <v>5371494</v>
      </c>
      <c r="F1614" s="63" t="s">
        <v>661</v>
      </c>
      <c r="G1614" s="25">
        <f t="shared" si="23"/>
        <v>6.9008225134248313E-3</v>
      </c>
    </row>
    <row r="1615" spans="1:7">
      <c r="A1615" s="63">
        <v>159.9837</v>
      </c>
      <c r="B1615" s="63">
        <v>160.34110000000001</v>
      </c>
      <c r="C1615" s="63">
        <v>157.422</v>
      </c>
      <c r="D1615" s="63">
        <v>157.72980000000001</v>
      </c>
      <c r="E1615" s="63">
        <v>5742818</v>
      </c>
      <c r="F1615" s="63" t="s">
        <v>660</v>
      </c>
      <c r="G1615" s="25">
        <f t="shared" si="23"/>
        <v>1.4289626944306022E-2</v>
      </c>
    </row>
    <row r="1616" spans="1:7">
      <c r="A1616" s="63">
        <v>157.46170000000001</v>
      </c>
      <c r="B1616" s="63">
        <v>157.85890000000001</v>
      </c>
      <c r="C1616" s="63">
        <v>154.20509999999999</v>
      </c>
      <c r="D1616" s="63">
        <v>154.6618</v>
      </c>
      <c r="E1616" s="63">
        <v>5355489</v>
      </c>
      <c r="F1616" s="63" t="s">
        <v>659</v>
      </c>
      <c r="G1616" s="25">
        <f t="shared" si="23"/>
        <v>1.8103371356081421E-2</v>
      </c>
    </row>
    <row r="1617" spans="1:7">
      <c r="A1617" s="63">
        <v>155.2774</v>
      </c>
      <c r="B1617" s="63">
        <v>155.76390000000001</v>
      </c>
      <c r="C1617" s="63">
        <v>154.37379999999999</v>
      </c>
      <c r="D1617" s="63">
        <v>155.7242</v>
      </c>
      <c r="E1617" s="63">
        <v>4869175</v>
      </c>
      <c r="F1617" s="63" t="s">
        <v>658</v>
      </c>
      <c r="G1617" s="25">
        <f t="shared" si="23"/>
        <v>-2.8691751185749848E-3</v>
      </c>
    </row>
    <row r="1618" spans="1:7">
      <c r="A1618" s="63">
        <v>155.28729999999999</v>
      </c>
      <c r="B1618" s="63">
        <v>156.54830000000001</v>
      </c>
      <c r="C1618" s="63">
        <v>155.05889999999999</v>
      </c>
      <c r="D1618" s="63">
        <v>155.893</v>
      </c>
      <c r="E1618" s="63">
        <v>4075754</v>
      </c>
      <c r="F1618" s="63" t="s">
        <v>657</v>
      </c>
      <c r="G1618" s="25">
        <f t="shared" si="23"/>
        <v>-3.8853572642775225E-3</v>
      </c>
    </row>
    <row r="1619" spans="1:7">
      <c r="A1619" s="63">
        <v>156.3596</v>
      </c>
      <c r="B1619" s="63">
        <v>157.76949999999999</v>
      </c>
      <c r="C1619" s="63">
        <v>155.9426</v>
      </c>
      <c r="D1619" s="63">
        <v>156.2603</v>
      </c>
      <c r="E1619" s="63">
        <v>3754080</v>
      </c>
      <c r="F1619" s="63" t="s">
        <v>656</v>
      </c>
      <c r="G1619" s="25">
        <f t="shared" si="23"/>
        <v>6.354781092829942E-4</v>
      </c>
    </row>
    <row r="1620" spans="1:7">
      <c r="A1620" s="63">
        <v>156.88579999999999</v>
      </c>
      <c r="B1620" s="63">
        <v>158.36519999999999</v>
      </c>
      <c r="C1620" s="63">
        <v>156.46879999999999</v>
      </c>
      <c r="D1620" s="63">
        <v>156.9752</v>
      </c>
      <c r="E1620" s="63">
        <v>4754316</v>
      </c>
      <c r="F1620" s="63" t="s">
        <v>655</v>
      </c>
      <c r="G1620" s="25">
        <f t="shared" si="23"/>
        <v>-5.6951671346816557E-4</v>
      </c>
    </row>
    <row r="1621" spans="1:7">
      <c r="A1621" s="63">
        <v>157.09440000000001</v>
      </c>
      <c r="B1621" s="63">
        <v>157.7894</v>
      </c>
      <c r="C1621" s="63">
        <v>154.1455</v>
      </c>
      <c r="D1621" s="63">
        <v>154.63200000000001</v>
      </c>
      <c r="E1621" s="63">
        <v>7127977</v>
      </c>
      <c r="F1621" s="63" t="s">
        <v>654</v>
      </c>
      <c r="G1621" s="25">
        <f t="shared" si="23"/>
        <v>1.592425888561233E-2</v>
      </c>
    </row>
    <row r="1622" spans="1:7">
      <c r="A1622" s="63">
        <v>155.31710000000001</v>
      </c>
      <c r="B1622" s="63">
        <v>159.54679999999999</v>
      </c>
      <c r="C1622" s="63">
        <v>153.4008</v>
      </c>
      <c r="D1622" s="63">
        <v>159.239</v>
      </c>
      <c r="E1622" s="63">
        <v>17805505</v>
      </c>
      <c r="F1622" s="63" t="s">
        <v>653</v>
      </c>
      <c r="G1622" s="25">
        <f t="shared" si="23"/>
        <v>-2.4629016760969291E-2</v>
      </c>
    </row>
    <row r="1623" spans="1:7">
      <c r="A1623" s="63">
        <v>160.4205</v>
      </c>
      <c r="B1623" s="63">
        <v>160.6985</v>
      </c>
      <c r="C1623" s="63">
        <v>155.0788</v>
      </c>
      <c r="D1623" s="63">
        <v>155.8433</v>
      </c>
      <c r="E1623" s="63">
        <v>6622651</v>
      </c>
      <c r="F1623" s="63" t="s">
        <v>652</v>
      </c>
      <c r="G1623" s="25">
        <f t="shared" si="23"/>
        <v>2.9370527959815984E-2</v>
      </c>
    </row>
    <row r="1624" spans="1:7">
      <c r="A1624" s="63">
        <v>159.8546</v>
      </c>
      <c r="B1624" s="63">
        <v>162.0489</v>
      </c>
      <c r="C1624" s="63">
        <v>156.9752</v>
      </c>
      <c r="D1624" s="63">
        <v>161.93960000000001</v>
      </c>
      <c r="E1624" s="63">
        <v>5140087</v>
      </c>
      <c r="F1624" s="63" t="s">
        <v>651</v>
      </c>
      <c r="G1624" s="25">
        <f t="shared" si="23"/>
        <v>-1.2875170742671971E-2</v>
      </c>
    </row>
    <row r="1625" spans="1:7">
      <c r="A1625" s="63">
        <v>161.7311</v>
      </c>
      <c r="B1625" s="63">
        <v>162.2474</v>
      </c>
      <c r="C1625" s="63">
        <v>160.17230000000001</v>
      </c>
      <c r="D1625" s="63">
        <v>160.46019999999999</v>
      </c>
      <c r="E1625" s="63">
        <v>2432473</v>
      </c>
      <c r="F1625" s="63" t="s">
        <v>650</v>
      </c>
      <c r="G1625" s="25">
        <f t="shared" si="23"/>
        <v>7.920344110252886E-3</v>
      </c>
    </row>
    <row r="1626" spans="1:7">
      <c r="A1626" s="63">
        <v>160.36089999999999</v>
      </c>
      <c r="B1626" s="63">
        <v>161.67189999999999</v>
      </c>
      <c r="C1626" s="63">
        <v>159.96379999999999</v>
      </c>
      <c r="D1626" s="63">
        <v>160.768</v>
      </c>
      <c r="E1626" s="63">
        <v>4015939</v>
      </c>
      <c r="F1626" s="63" t="s">
        <v>649</v>
      </c>
      <c r="G1626" s="25">
        <f t="shared" si="23"/>
        <v>-2.5322203423567835E-3</v>
      </c>
    </row>
    <row r="1627" spans="1:7">
      <c r="A1627" s="63">
        <v>161.3836</v>
      </c>
      <c r="B1627" s="63">
        <v>161.45310000000001</v>
      </c>
      <c r="C1627" s="63">
        <v>160.16239999999999</v>
      </c>
      <c r="D1627" s="63">
        <v>160.41059999999999</v>
      </c>
      <c r="E1627" s="63">
        <v>5882383</v>
      </c>
      <c r="F1627" s="63" t="s">
        <v>648</v>
      </c>
      <c r="G1627" s="25">
        <f t="shared" si="23"/>
        <v>6.0656839385926364E-3</v>
      </c>
    </row>
    <row r="1628" spans="1:7">
      <c r="A1628" s="63">
        <v>160.55950000000001</v>
      </c>
      <c r="B1628" s="63">
        <v>163.4786</v>
      </c>
      <c r="C1628" s="63">
        <v>160.3014</v>
      </c>
      <c r="D1628" s="63">
        <v>162.6148</v>
      </c>
      <c r="E1628" s="63">
        <v>5509549</v>
      </c>
      <c r="F1628" s="63" t="s">
        <v>647</v>
      </c>
      <c r="G1628" s="25">
        <f t="shared" si="23"/>
        <v>-1.263907098246897E-2</v>
      </c>
    </row>
    <row r="1629" spans="1:7">
      <c r="A1629" s="63">
        <v>161.65170000000001</v>
      </c>
      <c r="B1629" s="63">
        <v>162.32689999999999</v>
      </c>
      <c r="C1629" s="63">
        <v>160.2319</v>
      </c>
      <c r="D1629" s="63">
        <v>161.82050000000001</v>
      </c>
      <c r="E1629" s="63">
        <v>3761891</v>
      </c>
      <c r="F1629" s="63" t="s">
        <v>646</v>
      </c>
      <c r="G1629" s="25">
        <f t="shared" si="23"/>
        <v>-1.0431311236833718E-3</v>
      </c>
    </row>
    <row r="1630" spans="1:7">
      <c r="A1630" s="63">
        <v>161.72120000000001</v>
      </c>
      <c r="B1630" s="63">
        <v>164.7296</v>
      </c>
      <c r="C1630" s="63">
        <v>161.05600000000001</v>
      </c>
      <c r="D1630" s="63">
        <v>164.1438</v>
      </c>
      <c r="E1630" s="63">
        <v>5724203</v>
      </c>
      <c r="F1630" s="63" t="s">
        <v>645</v>
      </c>
      <c r="G1630" s="25">
        <f t="shared" si="23"/>
        <v>-1.475901008749636E-2</v>
      </c>
    </row>
    <row r="1631" spans="1:7">
      <c r="A1631" s="63">
        <v>163.0318</v>
      </c>
      <c r="B1631" s="63">
        <v>165.1566</v>
      </c>
      <c r="C1631" s="63">
        <v>161.09569999999999</v>
      </c>
      <c r="D1631" s="63">
        <v>162.27719999999999</v>
      </c>
      <c r="E1631" s="63">
        <v>8454931</v>
      </c>
      <c r="F1631" s="63" t="s">
        <v>644</v>
      </c>
      <c r="G1631" s="25">
        <f t="shared" si="23"/>
        <v>4.6500679084924279E-3</v>
      </c>
    </row>
    <row r="1632" spans="1:7">
      <c r="A1632" s="63">
        <v>162.79349999999999</v>
      </c>
      <c r="B1632" s="63">
        <v>163.28</v>
      </c>
      <c r="C1632" s="63">
        <v>160.68860000000001</v>
      </c>
      <c r="D1632" s="63">
        <v>162.47579999999999</v>
      </c>
      <c r="E1632" s="63">
        <v>4956475</v>
      </c>
      <c r="F1632" s="63" t="s">
        <v>643</v>
      </c>
      <c r="G1632" s="25">
        <f t="shared" si="23"/>
        <v>1.9553681225141784E-3</v>
      </c>
    </row>
    <row r="1633" spans="1:7">
      <c r="A1633" s="63">
        <v>161.61199999999999</v>
      </c>
      <c r="B1633" s="63">
        <v>162.83320000000001</v>
      </c>
      <c r="C1633" s="63">
        <v>160.73820000000001</v>
      </c>
      <c r="D1633" s="63">
        <v>162.83320000000001</v>
      </c>
      <c r="E1633" s="63">
        <v>5558132</v>
      </c>
      <c r="F1633" s="63" t="s">
        <v>642</v>
      </c>
      <c r="G1633" s="25">
        <f t="shared" si="23"/>
        <v>-7.4996990785664019E-3</v>
      </c>
    </row>
    <row r="1634" spans="1:7">
      <c r="A1634" s="63">
        <v>162.0489</v>
      </c>
      <c r="B1634" s="63">
        <v>162.7637</v>
      </c>
      <c r="C1634" s="63">
        <v>159.84460000000001</v>
      </c>
      <c r="D1634" s="63">
        <v>162.55520000000001</v>
      </c>
      <c r="E1634" s="63">
        <v>3693235</v>
      </c>
      <c r="F1634" s="63" t="s">
        <v>641</v>
      </c>
      <c r="G1634" s="25">
        <f t="shared" si="23"/>
        <v>-3.1146342903826119E-3</v>
      </c>
    </row>
    <row r="1635" spans="1:7">
      <c r="A1635" s="63">
        <v>161.88999999999999</v>
      </c>
      <c r="B1635" s="63">
        <v>162.4162</v>
      </c>
      <c r="C1635" s="63">
        <v>161.2347</v>
      </c>
      <c r="D1635" s="63">
        <v>161.87010000000001</v>
      </c>
      <c r="E1635" s="63">
        <v>3823268</v>
      </c>
      <c r="F1635" s="63" t="s">
        <v>640</v>
      </c>
      <c r="G1635" s="25">
        <f t="shared" si="23"/>
        <v>1.2293808430330344E-4</v>
      </c>
    </row>
    <row r="1636" spans="1:7">
      <c r="A1636" s="63">
        <v>161.44319999999999</v>
      </c>
      <c r="B1636" s="63">
        <v>163.25020000000001</v>
      </c>
      <c r="C1636" s="63">
        <v>160.8673</v>
      </c>
      <c r="D1636" s="63">
        <v>161.88999999999999</v>
      </c>
      <c r="E1636" s="63">
        <v>5499804</v>
      </c>
      <c r="F1636" s="63" t="s">
        <v>639</v>
      </c>
      <c r="G1636" s="25">
        <f t="shared" si="23"/>
        <v>-2.759898696645835E-3</v>
      </c>
    </row>
    <row r="1637" spans="1:7">
      <c r="A1637" s="63">
        <v>161.7013</v>
      </c>
      <c r="B1637" s="63">
        <v>163.20060000000001</v>
      </c>
      <c r="C1637" s="63">
        <v>160.44040000000001</v>
      </c>
      <c r="D1637" s="63">
        <v>160.8475</v>
      </c>
      <c r="E1637" s="63">
        <v>3710757</v>
      </c>
      <c r="F1637" s="63" t="s">
        <v>638</v>
      </c>
      <c r="G1637" s="25">
        <f t="shared" si="23"/>
        <v>5.3081334804707669E-3</v>
      </c>
    </row>
    <row r="1638" spans="1:7">
      <c r="A1638" s="63">
        <v>160.62899999999999</v>
      </c>
      <c r="B1638" s="63">
        <v>161.07579999999999</v>
      </c>
      <c r="C1638" s="63">
        <v>159.10990000000001</v>
      </c>
      <c r="D1638" s="63">
        <v>160.07300000000001</v>
      </c>
      <c r="E1638" s="63">
        <v>3541597</v>
      </c>
      <c r="F1638" s="63" t="s">
        <v>637</v>
      </c>
      <c r="G1638" s="25">
        <f t="shared" si="23"/>
        <v>3.4734152542901242E-3</v>
      </c>
    </row>
    <row r="1639" spans="1:7">
      <c r="A1639" s="63">
        <v>159.96379999999999</v>
      </c>
      <c r="B1639" s="63">
        <v>160.06309999999999</v>
      </c>
      <c r="C1639" s="63">
        <v>157.77940000000001</v>
      </c>
      <c r="D1639" s="63">
        <v>158.11699999999999</v>
      </c>
      <c r="E1639" s="63">
        <v>3265364</v>
      </c>
      <c r="F1639" s="63" t="s">
        <v>636</v>
      </c>
      <c r="G1639" s="25">
        <f t="shared" si="23"/>
        <v>1.1679958511735089E-2</v>
      </c>
    </row>
    <row r="1640" spans="1:7">
      <c r="A1640" s="63">
        <v>158.36519999999999</v>
      </c>
      <c r="B1640" s="63">
        <v>159.9837</v>
      </c>
      <c r="C1640" s="63">
        <v>156.95529999999999</v>
      </c>
      <c r="D1640" s="63">
        <v>157.79929999999999</v>
      </c>
      <c r="E1640" s="63">
        <v>3802312</v>
      </c>
      <c r="F1640" s="63" t="s">
        <v>635</v>
      </c>
      <c r="G1640" s="25">
        <f t="shared" si="23"/>
        <v>3.5862009527292127E-3</v>
      </c>
    </row>
    <row r="1641" spans="1:7">
      <c r="A1641" s="63">
        <v>157.79929999999999</v>
      </c>
      <c r="B1641" s="63">
        <v>158.86170000000001</v>
      </c>
      <c r="C1641" s="63">
        <v>156.6277</v>
      </c>
      <c r="D1641" s="63">
        <v>157.8092</v>
      </c>
      <c r="E1641" s="63">
        <v>4207428</v>
      </c>
      <c r="F1641" s="63" t="s">
        <v>634</v>
      </c>
      <c r="G1641" s="25">
        <f t="shared" si="23"/>
        <v>-6.2733985090934752E-5</v>
      </c>
    </row>
    <row r="1642" spans="1:7">
      <c r="A1642" s="63">
        <v>157.0249</v>
      </c>
      <c r="B1642" s="63">
        <v>157.988</v>
      </c>
      <c r="C1642" s="63">
        <v>154.3639</v>
      </c>
      <c r="D1642" s="63">
        <v>156.46879999999999</v>
      </c>
      <c r="E1642" s="63">
        <v>4014981</v>
      </c>
      <c r="F1642" s="63" t="s">
        <v>633</v>
      </c>
      <c r="G1642" s="25">
        <f t="shared" si="23"/>
        <v>3.5540631742558837E-3</v>
      </c>
    </row>
    <row r="1643" spans="1:7">
      <c r="A1643" s="63">
        <v>156.47880000000001</v>
      </c>
      <c r="B1643" s="63">
        <v>160.1028</v>
      </c>
      <c r="C1643" s="63">
        <v>155.5752</v>
      </c>
      <c r="D1643" s="63">
        <v>159.79499999999999</v>
      </c>
      <c r="E1643" s="63">
        <v>5748077</v>
      </c>
      <c r="F1643" s="63" t="s">
        <v>632</v>
      </c>
      <c r="G1643" s="25">
        <f t="shared" si="23"/>
        <v>-2.0752839575706283E-2</v>
      </c>
    </row>
    <row r="1644" spans="1:7">
      <c r="A1644" s="63">
        <v>158.6035</v>
      </c>
      <c r="B1644" s="63">
        <v>158.95099999999999</v>
      </c>
      <c r="C1644" s="63">
        <v>155.63480000000001</v>
      </c>
      <c r="D1644" s="63">
        <v>156.78659999999999</v>
      </c>
      <c r="E1644" s="63">
        <v>4771053</v>
      </c>
      <c r="F1644" s="63" t="s">
        <v>631</v>
      </c>
      <c r="G1644" s="25">
        <f t="shared" si="23"/>
        <v>1.1588362781002948E-2</v>
      </c>
    </row>
    <row r="1645" spans="1:7">
      <c r="A1645" s="63">
        <v>155.3767</v>
      </c>
      <c r="B1645" s="63">
        <v>157.15389999999999</v>
      </c>
      <c r="C1645" s="63">
        <v>154.10939999999999</v>
      </c>
      <c r="D1645" s="63">
        <v>155.4462</v>
      </c>
      <c r="E1645" s="63">
        <v>4578255</v>
      </c>
      <c r="F1645" s="63" t="s">
        <v>630</v>
      </c>
      <c r="G1645" s="25">
        <f t="shared" si="23"/>
        <v>-4.4710002560377493E-4</v>
      </c>
    </row>
    <row r="1646" spans="1:7">
      <c r="A1646" s="63">
        <v>157.15389999999999</v>
      </c>
      <c r="B1646" s="63">
        <v>157.2929</v>
      </c>
      <c r="C1646" s="63">
        <v>153.90719999999999</v>
      </c>
      <c r="D1646" s="63">
        <v>154.63200000000001</v>
      </c>
      <c r="E1646" s="63">
        <v>4724478</v>
      </c>
      <c r="F1646" s="63" t="s">
        <v>629</v>
      </c>
      <c r="G1646" s="25">
        <f t="shared" si="23"/>
        <v>1.6309043406280699E-2</v>
      </c>
    </row>
    <row r="1647" spans="1:7">
      <c r="A1647" s="63">
        <v>153.98660000000001</v>
      </c>
      <c r="B1647" s="63">
        <v>155.01920000000001</v>
      </c>
      <c r="C1647" s="63">
        <v>153.32140000000001</v>
      </c>
      <c r="D1647" s="63">
        <v>153.6788</v>
      </c>
      <c r="E1647" s="63">
        <v>5477303</v>
      </c>
      <c r="F1647" s="63" t="s">
        <v>628</v>
      </c>
      <c r="G1647" s="25">
        <f t="shared" si="23"/>
        <v>2.0028787314843033E-3</v>
      </c>
    </row>
    <row r="1648" spans="1:7">
      <c r="A1648" s="63">
        <v>153.68879999999999</v>
      </c>
      <c r="B1648" s="63">
        <v>153.81780000000001</v>
      </c>
      <c r="C1648" s="63">
        <v>148.36689999999999</v>
      </c>
      <c r="D1648" s="63">
        <v>150.12430000000001</v>
      </c>
      <c r="E1648" s="63">
        <v>7576726</v>
      </c>
      <c r="F1648" s="63" t="s">
        <v>627</v>
      </c>
      <c r="G1648" s="25">
        <f t="shared" si="23"/>
        <v>2.3743657755606495E-2</v>
      </c>
    </row>
    <row r="1649" spans="1:7">
      <c r="A1649" s="63">
        <v>149.41929999999999</v>
      </c>
      <c r="B1649" s="63">
        <v>149.5881</v>
      </c>
      <c r="C1649" s="63">
        <v>145.25919999999999</v>
      </c>
      <c r="D1649" s="63">
        <v>146.00380000000001</v>
      </c>
      <c r="E1649" s="63">
        <v>4991422</v>
      </c>
      <c r="F1649" s="63" t="s">
        <v>626</v>
      </c>
      <c r="G1649" s="25">
        <f t="shared" si="23"/>
        <v>2.3393226751632357E-2</v>
      </c>
    </row>
    <row r="1650" spans="1:7">
      <c r="A1650" s="63">
        <v>147.06620000000001</v>
      </c>
      <c r="B1650" s="63">
        <v>147.73140000000001</v>
      </c>
      <c r="C1650" s="63">
        <v>145.35839999999999</v>
      </c>
      <c r="D1650" s="63">
        <v>145.5471</v>
      </c>
      <c r="E1650" s="63">
        <v>5376741</v>
      </c>
      <c r="F1650" s="63" t="s">
        <v>625</v>
      </c>
      <c r="G1650" s="25">
        <f t="shared" si="23"/>
        <v>1.0437171197502426E-2</v>
      </c>
    </row>
    <row r="1651" spans="1:7">
      <c r="A1651" s="63">
        <v>144.0975</v>
      </c>
      <c r="B1651" s="63">
        <v>144.5334</v>
      </c>
      <c r="C1651" s="63">
        <v>140.48339999999999</v>
      </c>
      <c r="D1651" s="63">
        <v>141.09899999999999</v>
      </c>
      <c r="E1651" s="63">
        <v>4941561</v>
      </c>
      <c r="F1651" s="63" t="s">
        <v>624</v>
      </c>
      <c r="G1651" s="25">
        <f t="shared" si="23"/>
        <v>2.1251036506282794E-2</v>
      </c>
    </row>
    <row r="1652" spans="1:7">
      <c r="A1652" s="63">
        <v>141.31739999999999</v>
      </c>
      <c r="B1652" s="63">
        <v>144.92160000000001</v>
      </c>
      <c r="C1652" s="63">
        <v>141.12880000000001</v>
      </c>
      <c r="D1652" s="63">
        <v>144.0181</v>
      </c>
      <c r="E1652" s="63">
        <v>5284014</v>
      </c>
      <c r="F1652" s="63" t="s">
        <v>623</v>
      </c>
      <c r="G1652" s="25">
        <f t="shared" si="23"/>
        <v>-1.8752504025535743E-2</v>
      </c>
    </row>
    <row r="1653" spans="1:7">
      <c r="A1653" s="63">
        <v>143.52160000000001</v>
      </c>
      <c r="B1653" s="63">
        <v>144.15710000000001</v>
      </c>
      <c r="C1653" s="63">
        <v>141.98259999999999</v>
      </c>
      <c r="D1653" s="63">
        <v>143.07480000000001</v>
      </c>
      <c r="E1653" s="63">
        <v>3376519</v>
      </c>
      <c r="F1653" s="63" t="s">
        <v>622</v>
      </c>
      <c r="G1653" s="25">
        <f t="shared" si="23"/>
        <v>3.1228420378710542E-3</v>
      </c>
    </row>
    <row r="1654" spans="1:7">
      <c r="A1654" s="63">
        <v>143.06489999999999</v>
      </c>
      <c r="B1654" s="63">
        <v>145.3982</v>
      </c>
      <c r="C1654" s="63">
        <v>141.3869</v>
      </c>
      <c r="D1654" s="63">
        <v>145.25919999999999</v>
      </c>
      <c r="E1654" s="63">
        <v>6080531</v>
      </c>
      <c r="F1654" s="63" t="s">
        <v>621</v>
      </c>
      <c r="G1654" s="25">
        <f t="shared" si="23"/>
        <v>-1.5106099992289623E-2</v>
      </c>
    </row>
    <row r="1655" spans="1:7">
      <c r="A1655" s="63">
        <v>145.1301</v>
      </c>
      <c r="B1655" s="63">
        <v>146.98679999999999</v>
      </c>
      <c r="C1655" s="63">
        <v>144.47479999999999</v>
      </c>
      <c r="D1655" s="63">
        <v>146.5301</v>
      </c>
      <c r="E1655" s="63">
        <v>5072069</v>
      </c>
      <c r="F1655" s="63" t="s">
        <v>620</v>
      </c>
      <c r="G1655" s="25">
        <f t="shared" si="23"/>
        <v>-9.5543509490542133E-3</v>
      </c>
    </row>
    <row r="1656" spans="1:7">
      <c r="A1656" s="63">
        <v>145.92439999999999</v>
      </c>
      <c r="B1656" s="63">
        <v>149.77180000000001</v>
      </c>
      <c r="C1656" s="63">
        <v>144.7826</v>
      </c>
      <c r="D1656" s="63">
        <v>146.2123</v>
      </c>
      <c r="E1656" s="63">
        <v>9007266</v>
      </c>
      <c r="F1656" s="63" t="s">
        <v>619</v>
      </c>
      <c r="G1656" s="25">
        <f t="shared" si="23"/>
        <v>-1.9690545870628684E-3</v>
      </c>
    </row>
    <row r="1657" spans="1:7">
      <c r="A1657" s="63">
        <v>151.6533</v>
      </c>
      <c r="B1657" s="63">
        <v>151.8817</v>
      </c>
      <c r="C1657" s="63">
        <v>148.55549999999999</v>
      </c>
      <c r="D1657" s="63">
        <v>148.59530000000001</v>
      </c>
      <c r="E1657" s="63">
        <v>3947786</v>
      </c>
      <c r="F1657" s="63" t="s">
        <v>618</v>
      </c>
      <c r="G1657" s="25">
        <f t="shared" ref="G1657:G1720" si="24">A1657/D1657-1</f>
        <v>2.0579385754461832E-2</v>
      </c>
    </row>
    <row r="1658" spans="1:7">
      <c r="A1658" s="63">
        <v>148.3073</v>
      </c>
      <c r="B1658" s="63">
        <v>149.21080000000001</v>
      </c>
      <c r="C1658" s="63">
        <v>147.7414</v>
      </c>
      <c r="D1658" s="63">
        <v>148.33709999999999</v>
      </c>
      <c r="E1658" s="63">
        <v>1583842</v>
      </c>
      <c r="F1658" s="63" t="s">
        <v>617</v>
      </c>
      <c r="G1658" s="25">
        <f t="shared" si="24"/>
        <v>-2.0089377505694284E-4</v>
      </c>
    </row>
    <row r="1659" spans="1:7">
      <c r="A1659" s="63">
        <v>148.3073</v>
      </c>
      <c r="B1659" s="63">
        <v>149.6378</v>
      </c>
      <c r="C1659" s="63">
        <v>147.03639999999999</v>
      </c>
      <c r="D1659" s="63">
        <v>147.08609999999999</v>
      </c>
      <c r="E1659" s="63">
        <v>4690874</v>
      </c>
      <c r="F1659" s="63" t="s">
        <v>616</v>
      </c>
      <c r="G1659" s="25">
        <f t="shared" si="24"/>
        <v>8.3026200300369002E-3</v>
      </c>
    </row>
    <row r="1660" spans="1:7">
      <c r="A1660" s="63">
        <v>145.36840000000001</v>
      </c>
      <c r="B1660" s="63">
        <v>146.50899999999999</v>
      </c>
      <c r="C1660" s="63">
        <v>144.47479999999999</v>
      </c>
      <c r="D1660" s="63">
        <v>145.7953</v>
      </c>
      <c r="E1660" s="63">
        <v>2738583</v>
      </c>
      <c r="F1660" s="63" t="s">
        <v>615</v>
      </c>
      <c r="G1660" s="25">
        <f t="shared" si="24"/>
        <v>-2.9280779284379665E-3</v>
      </c>
    </row>
    <row r="1661" spans="1:7">
      <c r="A1661" s="63">
        <v>146.00380000000001</v>
      </c>
      <c r="B1661" s="63">
        <v>146.79810000000001</v>
      </c>
      <c r="C1661" s="63">
        <v>145.56700000000001</v>
      </c>
      <c r="D1661" s="63">
        <v>146.22229999999999</v>
      </c>
      <c r="E1661" s="63">
        <v>2310243</v>
      </c>
      <c r="F1661" s="63" t="s">
        <v>614</v>
      </c>
      <c r="G1661" s="25">
        <f t="shared" si="24"/>
        <v>-1.4943001170134584E-3</v>
      </c>
    </row>
    <row r="1662" spans="1:7">
      <c r="A1662" s="63">
        <v>144.87190000000001</v>
      </c>
      <c r="B1662" s="63">
        <v>147.28460000000001</v>
      </c>
      <c r="C1662" s="63">
        <v>144.77260000000001</v>
      </c>
      <c r="D1662" s="63">
        <v>146.49029999999999</v>
      </c>
      <c r="E1662" s="63">
        <v>2670470</v>
      </c>
      <c r="F1662" s="63" t="s">
        <v>613</v>
      </c>
      <c r="G1662" s="25">
        <f t="shared" si="24"/>
        <v>-1.1047830470686359E-2</v>
      </c>
    </row>
    <row r="1663" spans="1:7">
      <c r="A1663" s="63">
        <v>147.7414</v>
      </c>
      <c r="B1663" s="63">
        <v>148.26759999999999</v>
      </c>
      <c r="C1663" s="63">
        <v>145.95419999999999</v>
      </c>
      <c r="D1663" s="63">
        <v>146.23220000000001</v>
      </c>
      <c r="E1663" s="63">
        <v>2738198</v>
      </c>
      <c r="F1663" s="63" t="s">
        <v>612</v>
      </c>
      <c r="G1663" s="25">
        <f t="shared" si="24"/>
        <v>1.0320572350002166E-2</v>
      </c>
    </row>
    <row r="1664" spans="1:7">
      <c r="A1664" s="63">
        <v>146.9769</v>
      </c>
      <c r="B1664" s="63">
        <v>147.8605</v>
      </c>
      <c r="C1664" s="63">
        <v>145.16980000000001</v>
      </c>
      <c r="D1664" s="63">
        <v>147.2251</v>
      </c>
      <c r="E1664" s="63">
        <v>3274199</v>
      </c>
      <c r="F1664" s="63" t="s">
        <v>611</v>
      </c>
      <c r="G1664" s="25">
        <f t="shared" si="24"/>
        <v>-1.6858538387815036E-3</v>
      </c>
    </row>
    <row r="1665" spans="1:7">
      <c r="A1665" s="63">
        <v>145.95419999999999</v>
      </c>
      <c r="B1665" s="63">
        <v>146.0138</v>
      </c>
      <c r="C1665" s="63">
        <v>141.0692</v>
      </c>
      <c r="D1665" s="63">
        <v>142.97550000000001</v>
      </c>
      <c r="E1665" s="63">
        <v>3768480</v>
      </c>
      <c r="F1665" s="63" t="s">
        <v>610</v>
      </c>
      <c r="G1665" s="25">
        <f t="shared" si="24"/>
        <v>2.0833639329814968E-2</v>
      </c>
    </row>
    <row r="1666" spans="1:7">
      <c r="A1666" s="63">
        <v>143.19399999999999</v>
      </c>
      <c r="B1666" s="63">
        <v>145.45769999999999</v>
      </c>
      <c r="C1666" s="63">
        <v>142.18119999999999</v>
      </c>
      <c r="D1666" s="63">
        <v>145.02090000000001</v>
      </c>
      <c r="E1666" s="63">
        <v>4486555</v>
      </c>
      <c r="F1666" s="63" t="s">
        <v>609</v>
      </c>
      <c r="G1666" s="25">
        <f t="shared" si="24"/>
        <v>-1.2597494568024503E-2</v>
      </c>
    </row>
    <row r="1667" spans="1:7">
      <c r="A1667" s="63">
        <v>146.63929999999999</v>
      </c>
      <c r="B1667" s="63">
        <v>149.0917</v>
      </c>
      <c r="C1667" s="63">
        <v>146.20240000000001</v>
      </c>
      <c r="D1667" s="63">
        <v>148.4265</v>
      </c>
      <c r="E1667" s="63">
        <v>3213561</v>
      </c>
      <c r="F1667" s="63" t="s">
        <v>608</v>
      </c>
      <c r="G1667" s="25">
        <f t="shared" si="24"/>
        <v>-1.2040976510259371E-2</v>
      </c>
    </row>
    <row r="1668" spans="1:7">
      <c r="A1668" s="63">
        <v>147.38390000000001</v>
      </c>
      <c r="B1668" s="63">
        <v>147.9102</v>
      </c>
      <c r="C1668" s="63">
        <v>146.3613</v>
      </c>
      <c r="D1668" s="63">
        <v>146.8974</v>
      </c>
      <c r="E1668" s="63">
        <v>3733867</v>
      </c>
      <c r="F1668" s="63" t="s">
        <v>607</v>
      </c>
      <c r="G1668" s="25">
        <f t="shared" si="24"/>
        <v>3.3118353354111285E-3</v>
      </c>
    </row>
    <row r="1669" spans="1:7">
      <c r="A1669" s="63">
        <v>147.20519999999999</v>
      </c>
      <c r="B1669" s="63">
        <v>152.06039999999999</v>
      </c>
      <c r="C1669" s="63">
        <v>145.70599999999999</v>
      </c>
      <c r="D1669" s="63">
        <v>152.03059999999999</v>
      </c>
      <c r="E1669" s="63">
        <v>5909440</v>
      </c>
      <c r="F1669" s="63" t="s">
        <v>606</v>
      </c>
      <c r="G1669" s="25">
        <f t="shared" si="24"/>
        <v>-3.173966293627728E-2</v>
      </c>
    </row>
    <row r="1670" spans="1:7">
      <c r="A1670" s="63">
        <v>151.25620000000001</v>
      </c>
      <c r="B1670" s="63">
        <v>152.30860000000001</v>
      </c>
      <c r="C1670" s="63">
        <v>150.75970000000001</v>
      </c>
      <c r="D1670" s="63">
        <v>151.3356</v>
      </c>
      <c r="E1670" s="63">
        <v>3839378</v>
      </c>
      <c r="F1670" s="63" t="s">
        <v>605</v>
      </c>
      <c r="G1670" s="25">
        <f t="shared" si="24"/>
        <v>-5.2466174515441999E-4</v>
      </c>
    </row>
    <row r="1671" spans="1:7">
      <c r="A1671" s="63">
        <v>151.9016</v>
      </c>
      <c r="B1671" s="63">
        <v>152.12</v>
      </c>
      <c r="C1671" s="63">
        <v>147.8407</v>
      </c>
      <c r="D1671" s="63">
        <v>150.9683</v>
      </c>
      <c r="E1671" s="63">
        <v>3459570</v>
      </c>
      <c r="F1671" s="63" t="s">
        <v>604</v>
      </c>
      <c r="G1671" s="25">
        <f t="shared" si="24"/>
        <v>6.1820925320084097E-3</v>
      </c>
    </row>
    <row r="1672" spans="1:7">
      <c r="A1672" s="63">
        <v>150.9683</v>
      </c>
      <c r="B1672" s="63">
        <v>155.15819999999999</v>
      </c>
      <c r="C1672" s="63">
        <v>150.01509999999999</v>
      </c>
      <c r="D1672" s="63">
        <v>153.1824</v>
      </c>
      <c r="E1672" s="63">
        <v>4158839</v>
      </c>
      <c r="F1672" s="63" t="s">
        <v>603</v>
      </c>
      <c r="G1672" s="25">
        <f t="shared" si="24"/>
        <v>-1.44540103823938E-2</v>
      </c>
    </row>
    <row r="1673" spans="1:7">
      <c r="A1673" s="63">
        <v>153.5498</v>
      </c>
      <c r="B1673" s="63">
        <v>154.09289999999999</v>
      </c>
      <c r="C1673" s="63">
        <v>151.87180000000001</v>
      </c>
      <c r="D1673" s="63">
        <v>153.05330000000001</v>
      </c>
      <c r="E1673" s="63">
        <v>3827133</v>
      </c>
      <c r="F1673" s="63" t="s">
        <v>602</v>
      </c>
      <c r="G1673" s="25">
        <f t="shared" si="24"/>
        <v>3.2439679510340991E-3</v>
      </c>
    </row>
    <row r="1674" spans="1:7">
      <c r="A1674" s="63">
        <v>154.0958</v>
      </c>
      <c r="B1674" s="63">
        <v>155.76390000000001</v>
      </c>
      <c r="C1674" s="63">
        <v>152.52709999999999</v>
      </c>
      <c r="D1674" s="63">
        <v>153.58949999999999</v>
      </c>
      <c r="E1674" s="63">
        <v>11762947</v>
      </c>
      <c r="F1674" s="63" t="s">
        <v>601</v>
      </c>
      <c r="G1674" s="25">
        <f t="shared" si="24"/>
        <v>3.2964493015472662E-3</v>
      </c>
    </row>
    <row r="1675" spans="1:7">
      <c r="A1675" s="63">
        <v>152.50720000000001</v>
      </c>
      <c r="B1675" s="63">
        <v>153.15260000000001</v>
      </c>
      <c r="C1675" s="63">
        <v>151.6831</v>
      </c>
      <c r="D1675" s="63">
        <v>152.42779999999999</v>
      </c>
      <c r="E1675" s="63">
        <v>2985482</v>
      </c>
      <c r="F1675" s="63" t="s">
        <v>600</v>
      </c>
      <c r="G1675" s="25">
        <f t="shared" si="24"/>
        <v>5.2090235508228666E-4</v>
      </c>
    </row>
    <row r="1676" spans="1:7">
      <c r="A1676" s="63">
        <v>151.6831</v>
      </c>
      <c r="B1676" s="63">
        <v>151.82210000000001</v>
      </c>
      <c r="C1676" s="63">
        <v>149.49879999999999</v>
      </c>
      <c r="D1676" s="63">
        <v>151.26609999999999</v>
      </c>
      <c r="E1676" s="63">
        <v>2973703</v>
      </c>
      <c r="F1676" s="63" t="s">
        <v>599</v>
      </c>
      <c r="G1676" s="25">
        <f t="shared" si="24"/>
        <v>2.7567313495886481E-3</v>
      </c>
    </row>
    <row r="1677" spans="1:7">
      <c r="A1677" s="63">
        <v>151.7328</v>
      </c>
      <c r="B1677" s="63">
        <v>152.35830000000001</v>
      </c>
      <c r="C1677" s="63">
        <v>150.65049999999999</v>
      </c>
      <c r="D1677" s="63">
        <v>151.91149999999999</v>
      </c>
      <c r="E1677" s="63">
        <v>3060345</v>
      </c>
      <c r="F1677" s="63" t="s">
        <v>598</v>
      </c>
      <c r="G1677" s="25">
        <f t="shared" si="24"/>
        <v>-1.1763428048566782E-3</v>
      </c>
    </row>
    <row r="1678" spans="1:7">
      <c r="A1678" s="63">
        <v>151.92140000000001</v>
      </c>
      <c r="B1678" s="63">
        <v>153.0086</v>
      </c>
      <c r="C1678" s="63">
        <v>150.28319999999999</v>
      </c>
      <c r="D1678" s="63">
        <v>150.5711</v>
      </c>
      <c r="E1678" s="63">
        <v>2592259</v>
      </c>
      <c r="F1678" s="63" t="s">
        <v>597</v>
      </c>
      <c r="G1678" s="25">
        <f t="shared" si="24"/>
        <v>8.9678563814703516E-3</v>
      </c>
    </row>
    <row r="1679" spans="1:7">
      <c r="A1679" s="63">
        <v>151.89160000000001</v>
      </c>
      <c r="B1679" s="63">
        <v>153.80789999999999</v>
      </c>
      <c r="C1679" s="63">
        <v>151.6533</v>
      </c>
      <c r="D1679" s="63">
        <v>153.22210000000001</v>
      </c>
      <c r="E1679" s="63">
        <v>3763493</v>
      </c>
      <c r="F1679" s="63" t="s">
        <v>596</v>
      </c>
      <c r="G1679" s="25">
        <f t="shared" si="24"/>
        <v>-8.6834732065413922E-3</v>
      </c>
    </row>
    <row r="1680" spans="1:7">
      <c r="A1680" s="63">
        <v>153.649</v>
      </c>
      <c r="B1680" s="63">
        <v>155.68450000000001</v>
      </c>
      <c r="C1680" s="63">
        <v>153.3115</v>
      </c>
      <c r="D1680" s="63">
        <v>153.93700000000001</v>
      </c>
      <c r="E1680" s="63">
        <v>4993526</v>
      </c>
      <c r="F1680" s="63" t="s">
        <v>595</v>
      </c>
      <c r="G1680" s="25">
        <f t="shared" si="24"/>
        <v>-1.8708952363629683E-3</v>
      </c>
    </row>
    <row r="1681" spans="1:7">
      <c r="A1681" s="63">
        <v>152.99369999999999</v>
      </c>
      <c r="B1681" s="63">
        <v>153.5498</v>
      </c>
      <c r="C1681" s="63">
        <v>147.97970000000001</v>
      </c>
      <c r="D1681" s="63">
        <v>149.0222</v>
      </c>
      <c r="E1681" s="63">
        <v>6242421</v>
      </c>
      <c r="F1681" s="63" t="s">
        <v>594</v>
      </c>
      <c r="G1681" s="25">
        <f t="shared" si="24"/>
        <v>2.6650391686607655E-2</v>
      </c>
    </row>
    <row r="1682" spans="1:7">
      <c r="A1682" s="63">
        <v>148.58529999999999</v>
      </c>
      <c r="B1682" s="63">
        <v>150.58099999999999</v>
      </c>
      <c r="C1682" s="63">
        <v>146.68889999999999</v>
      </c>
      <c r="D1682" s="63">
        <v>147.7116</v>
      </c>
      <c r="E1682" s="63">
        <v>6249683</v>
      </c>
      <c r="F1682" s="63" t="s">
        <v>593</v>
      </c>
      <c r="G1682" s="25">
        <f t="shared" si="24"/>
        <v>5.9149044489394953E-3</v>
      </c>
    </row>
    <row r="1683" spans="1:7">
      <c r="A1683" s="63">
        <v>148.4761</v>
      </c>
      <c r="B1683" s="63">
        <v>151.0675</v>
      </c>
      <c r="C1683" s="63">
        <v>147.03639999999999</v>
      </c>
      <c r="D1683" s="63">
        <v>150.58099999999999</v>
      </c>
      <c r="E1683" s="63">
        <v>6265476</v>
      </c>
      <c r="F1683" s="63" t="s">
        <v>592</v>
      </c>
      <c r="G1683" s="25">
        <f t="shared" si="24"/>
        <v>-1.3978523186856107E-2</v>
      </c>
    </row>
    <row r="1684" spans="1:7">
      <c r="A1684" s="63">
        <v>149.99520000000001</v>
      </c>
      <c r="B1684" s="63">
        <v>152.95400000000001</v>
      </c>
      <c r="C1684" s="63">
        <v>149.69739999999999</v>
      </c>
      <c r="D1684" s="63">
        <v>152.87459999999999</v>
      </c>
      <c r="E1684" s="63">
        <v>4722273</v>
      </c>
      <c r="F1684" s="63" t="s">
        <v>591</v>
      </c>
      <c r="G1684" s="25">
        <f t="shared" si="24"/>
        <v>-1.8835045193903888E-2</v>
      </c>
    </row>
    <row r="1685" spans="1:7">
      <c r="A1685" s="63">
        <v>152.67599999999999</v>
      </c>
      <c r="B1685" s="63">
        <v>153.63910000000001</v>
      </c>
      <c r="C1685" s="63">
        <v>150.869</v>
      </c>
      <c r="D1685" s="63">
        <v>153.53980000000001</v>
      </c>
      <c r="E1685" s="63">
        <v>5067024</v>
      </c>
      <c r="F1685" s="63" t="s">
        <v>590</v>
      </c>
      <c r="G1685" s="25">
        <f t="shared" si="24"/>
        <v>-5.6259028603660166E-3</v>
      </c>
    </row>
    <row r="1686" spans="1:7">
      <c r="A1686" s="63">
        <v>151.37530000000001</v>
      </c>
      <c r="B1686" s="63">
        <v>153.81780000000001</v>
      </c>
      <c r="C1686" s="63">
        <v>151.2363</v>
      </c>
      <c r="D1686" s="63">
        <v>152.99369999999999</v>
      </c>
      <c r="E1686" s="63">
        <v>3607077</v>
      </c>
      <c r="F1686" s="63" t="s">
        <v>589</v>
      </c>
      <c r="G1686" s="25">
        <f t="shared" si="24"/>
        <v>-1.0578213351268628E-2</v>
      </c>
    </row>
    <row r="1687" spans="1:7">
      <c r="A1687" s="63">
        <v>151.64340000000001</v>
      </c>
      <c r="B1687" s="63">
        <v>154.215</v>
      </c>
      <c r="C1687" s="63">
        <v>150.68029999999999</v>
      </c>
      <c r="D1687" s="63">
        <v>153.1129</v>
      </c>
      <c r="E1687" s="63">
        <v>4954246</v>
      </c>
      <c r="F1687" s="63" t="s">
        <v>588</v>
      </c>
      <c r="G1687" s="25">
        <f t="shared" si="24"/>
        <v>-9.5974930916988832E-3</v>
      </c>
    </row>
    <row r="1688" spans="1:7">
      <c r="A1688" s="63">
        <v>154.95959999999999</v>
      </c>
      <c r="B1688" s="63">
        <v>157.09440000000001</v>
      </c>
      <c r="C1688" s="63">
        <v>152.60650000000001</v>
      </c>
      <c r="D1688" s="63">
        <v>155.30719999999999</v>
      </c>
      <c r="E1688" s="63">
        <v>7593232</v>
      </c>
      <c r="F1688" s="63" t="s">
        <v>587</v>
      </c>
      <c r="G1688" s="25">
        <f t="shared" si="24"/>
        <v>-2.2381447865906789E-3</v>
      </c>
    </row>
    <row r="1689" spans="1:7">
      <c r="A1689" s="63">
        <v>154.82060000000001</v>
      </c>
      <c r="B1689" s="63">
        <v>154.89009999999999</v>
      </c>
      <c r="C1689" s="63">
        <v>151.57390000000001</v>
      </c>
      <c r="D1689" s="63">
        <v>152.30860000000001</v>
      </c>
      <c r="E1689" s="63">
        <v>5981501</v>
      </c>
      <c r="F1689" s="63" t="s">
        <v>586</v>
      </c>
      <c r="G1689" s="25">
        <f t="shared" si="24"/>
        <v>1.6492831002320241E-2</v>
      </c>
    </row>
    <row r="1690" spans="1:7">
      <c r="A1690" s="63">
        <v>150.74979999999999</v>
      </c>
      <c r="B1690" s="63">
        <v>151.69309999999999</v>
      </c>
      <c r="C1690" s="63">
        <v>149.79660000000001</v>
      </c>
      <c r="D1690" s="63">
        <v>151.41499999999999</v>
      </c>
      <c r="E1690" s="63">
        <v>5328744</v>
      </c>
      <c r="F1690" s="63" t="s">
        <v>585</v>
      </c>
      <c r="G1690" s="25">
        <f t="shared" si="24"/>
        <v>-4.393223921011824E-3</v>
      </c>
    </row>
    <row r="1691" spans="1:7">
      <c r="A1691" s="63">
        <v>152.47739999999999</v>
      </c>
      <c r="B1691" s="63">
        <v>154.79089999999999</v>
      </c>
      <c r="C1691" s="63">
        <v>151.44479999999999</v>
      </c>
      <c r="D1691" s="63">
        <v>153.16249999999999</v>
      </c>
      <c r="E1691" s="63">
        <v>6520653</v>
      </c>
      <c r="F1691" s="63" t="s">
        <v>584</v>
      </c>
      <c r="G1691" s="25">
        <f t="shared" si="24"/>
        <v>-4.4730270137925965E-3</v>
      </c>
    </row>
    <row r="1692" spans="1:7">
      <c r="A1692" s="63">
        <v>154.03630000000001</v>
      </c>
      <c r="B1692" s="63">
        <v>154.10579999999999</v>
      </c>
      <c r="C1692" s="63">
        <v>150.44200000000001</v>
      </c>
      <c r="D1692" s="63">
        <v>152.4179</v>
      </c>
      <c r="E1692" s="63">
        <v>8978657</v>
      </c>
      <c r="F1692" s="63" t="s">
        <v>583</v>
      </c>
      <c r="G1692" s="25">
        <f t="shared" si="24"/>
        <v>1.0618175424277565E-2</v>
      </c>
    </row>
    <row r="1693" spans="1:7">
      <c r="A1693" s="63">
        <v>150.49170000000001</v>
      </c>
      <c r="B1693" s="63">
        <v>157.2929</v>
      </c>
      <c r="C1693" s="63">
        <v>149.57820000000001</v>
      </c>
      <c r="D1693" s="63">
        <v>156.57810000000001</v>
      </c>
      <c r="E1693" s="63">
        <v>26540017</v>
      </c>
      <c r="F1693" s="63" t="s">
        <v>582</v>
      </c>
      <c r="G1693" s="25">
        <f t="shared" si="24"/>
        <v>-3.88713364129466E-2</v>
      </c>
    </row>
    <row r="1694" spans="1:7">
      <c r="A1694" s="63">
        <v>147.18539999999999</v>
      </c>
      <c r="B1694" s="63">
        <v>148.83349999999999</v>
      </c>
      <c r="C1694" s="63">
        <v>144.43510000000001</v>
      </c>
      <c r="D1694" s="63">
        <v>148.4265</v>
      </c>
      <c r="E1694" s="63">
        <v>11885312</v>
      </c>
      <c r="F1694" s="63" t="s">
        <v>581</v>
      </c>
      <c r="G1694" s="25">
        <f t="shared" si="24"/>
        <v>-8.3617143838871089E-3</v>
      </c>
    </row>
    <row r="1695" spans="1:7">
      <c r="A1695" s="63">
        <v>146.33150000000001</v>
      </c>
      <c r="B1695" s="63">
        <v>147.33430000000001</v>
      </c>
      <c r="C1695" s="63">
        <v>145.12020000000001</v>
      </c>
      <c r="D1695" s="63">
        <v>145.85489999999999</v>
      </c>
      <c r="E1695" s="63">
        <v>6153669</v>
      </c>
      <c r="F1695" s="63" t="s">
        <v>580</v>
      </c>
      <c r="G1695" s="25">
        <f t="shared" si="24"/>
        <v>3.267631049762576E-3</v>
      </c>
    </row>
    <row r="1696" spans="1:7">
      <c r="A1696" s="63">
        <v>144.50460000000001</v>
      </c>
      <c r="B1696" s="63">
        <v>145.45769999999999</v>
      </c>
      <c r="C1696" s="63">
        <v>142.04220000000001</v>
      </c>
      <c r="D1696" s="63">
        <v>143.1344</v>
      </c>
      <c r="E1696" s="63">
        <v>6262572</v>
      </c>
      <c r="F1696" s="63" t="s">
        <v>579</v>
      </c>
      <c r="G1696" s="25">
        <f t="shared" si="24"/>
        <v>9.5728210688696969E-3</v>
      </c>
    </row>
    <row r="1697" spans="1:7">
      <c r="A1697" s="63">
        <v>142.64789999999999</v>
      </c>
      <c r="B1697" s="63">
        <v>145.09979999999999</v>
      </c>
      <c r="C1697" s="63">
        <v>141.86349999999999</v>
      </c>
      <c r="D1697" s="63">
        <v>144.5641</v>
      </c>
      <c r="E1697" s="63">
        <v>4635177</v>
      </c>
      <c r="F1697" s="63" t="s">
        <v>578</v>
      </c>
      <c r="G1697" s="25">
        <f t="shared" si="24"/>
        <v>-1.3255019745566199E-2</v>
      </c>
    </row>
    <row r="1698" spans="1:7">
      <c r="A1698" s="63">
        <v>142.8663</v>
      </c>
      <c r="B1698" s="63">
        <v>144.30600000000001</v>
      </c>
      <c r="C1698" s="63">
        <v>141.5095</v>
      </c>
      <c r="D1698" s="63">
        <v>142.04220000000001</v>
      </c>
      <c r="E1698" s="63">
        <v>5341106</v>
      </c>
      <c r="F1698" s="63" t="s">
        <v>577</v>
      </c>
      <c r="G1698" s="25">
        <f t="shared" si="24"/>
        <v>5.801796930771097E-3</v>
      </c>
    </row>
    <row r="1699" spans="1:7">
      <c r="A1699" s="63">
        <v>141.11879999999999</v>
      </c>
      <c r="B1699" s="63">
        <v>142.28049999999999</v>
      </c>
      <c r="C1699" s="63">
        <v>138.75229999999999</v>
      </c>
      <c r="D1699" s="63">
        <v>140.09620000000001</v>
      </c>
      <c r="E1699" s="63">
        <v>6647733</v>
      </c>
      <c r="F1699" s="63" t="s">
        <v>576</v>
      </c>
      <c r="G1699" s="25">
        <f t="shared" si="24"/>
        <v>7.2992700729925808E-3</v>
      </c>
    </row>
    <row r="1700" spans="1:7">
      <c r="A1700" s="63">
        <v>138.726</v>
      </c>
      <c r="B1700" s="63">
        <v>141.34719999999999</v>
      </c>
      <c r="C1700" s="63">
        <v>136.88910000000001</v>
      </c>
      <c r="D1700" s="63">
        <v>140.28479999999999</v>
      </c>
      <c r="E1700" s="63">
        <v>8607780</v>
      </c>
      <c r="F1700" s="63" t="s">
        <v>575</v>
      </c>
      <c r="G1700" s="25">
        <f t="shared" si="24"/>
        <v>-1.1111681379593397E-2</v>
      </c>
    </row>
    <row r="1701" spans="1:7">
      <c r="A1701" s="63">
        <v>142.85640000000001</v>
      </c>
      <c r="B1701" s="63">
        <v>143.9684</v>
      </c>
      <c r="C1701" s="63">
        <v>139.4333</v>
      </c>
      <c r="D1701" s="63">
        <v>139.92740000000001</v>
      </c>
      <c r="E1701" s="63">
        <v>5242772</v>
      </c>
      <c r="F1701" s="63" t="s">
        <v>574</v>
      </c>
      <c r="G1701" s="25">
        <f t="shared" si="24"/>
        <v>2.0932283455563416E-2</v>
      </c>
    </row>
    <row r="1702" spans="1:7">
      <c r="A1702" s="63">
        <v>139.71889999999999</v>
      </c>
      <c r="B1702" s="63">
        <v>143.3826</v>
      </c>
      <c r="C1702" s="63">
        <v>139.4333</v>
      </c>
      <c r="D1702" s="63">
        <v>139.92740000000001</v>
      </c>
      <c r="E1702" s="63">
        <v>4389544</v>
      </c>
      <c r="F1702" s="63" t="s">
        <v>573</v>
      </c>
      <c r="G1702" s="25">
        <f t="shared" si="24"/>
        <v>-1.490058416007245E-3</v>
      </c>
    </row>
    <row r="1703" spans="1:7">
      <c r="A1703" s="63">
        <v>142.35</v>
      </c>
      <c r="B1703" s="63">
        <v>143.44220000000001</v>
      </c>
      <c r="C1703" s="63">
        <v>140.68199999999999</v>
      </c>
      <c r="D1703" s="63">
        <v>142.5883</v>
      </c>
      <c r="E1703" s="63">
        <v>5286734</v>
      </c>
      <c r="F1703" s="63" t="s">
        <v>572</v>
      </c>
      <c r="G1703" s="25">
        <f t="shared" si="24"/>
        <v>-1.6712451161842168E-3</v>
      </c>
    </row>
    <row r="1704" spans="1:7">
      <c r="A1704" s="63">
        <v>142.79679999999999</v>
      </c>
      <c r="B1704" s="63">
        <v>143.92869999999999</v>
      </c>
      <c r="C1704" s="63">
        <v>141.3075</v>
      </c>
      <c r="D1704" s="63">
        <v>142.49889999999999</v>
      </c>
      <c r="E1704" s="63">
        <v>8670253</v>
      </c>
      <c r="F1704" s="63" t="s">
        <v>571</v>
      </c>
      <c r="G1704" s="25">
        <f t="shared" si="24"/>
        <v>2.0905424533101957E-3</v>
      </c>
    </row>
    <row r="1705" spans="1:7">
      <c r="A1705" s="63">
        <v>140.63229999999999</v>
      </c>
      <c r="B1705" s="63">
        <v>142.08189999999999</v>
      </c>
      <c r="C1705" s="63">
        <v>138.07069999999999</v>
      </c>
      <c r="D1705" s="63">
        <v>139.92740000000001</v>
      </c>
      <c r="E1705" s="63">
        <v>7635513</v>
      </c>
      <c r="F1705" s="63" t="s">
        <v>570</v>
      </c>
      <c r="G1705" s="25">
        <f t="shared" si="24"/>
        <v>5.0376123618389723E-3</v>
      </c>
    </row>
    <row r="1706" spans="1:7">
      <c r="A1706" s="63">
        <v>141.7841</v>
      </c>
      <c r="B1706" s="63">
        <v>143.92869999999999</v>
      </c>
      <c r="C1706" s="63">
        <v>140.94999999999999</v>
      </c>
      <c r="D1706" s="63">
        <v>142.767</v>
      </c>
      <c r="E1706" s="63">
        <v>6693998</v>
      </c>
      <c r="F1706" s="63" t="s">
        <v>569</v>
      </c>
      <c r="G1706" s="25">
        <f t="shared" si="24"/>
        <v>-6.8846442104968375E-3</v>
      </c>
    </row>
    <row r="1707" spans="1:7">
      <c r="A1707" s="63">
        <v>141.8039</v>
      </c>
      <c r="B1707" s="63">
        <v>142.72730000000001</v>
      </c>
      <c r="C1707" s="63">
        <v>138.80539999999999</v>
      </c>
      <c r="D1707" s="63">
        <v>140.33439999999999</v>
      </c>
      <c r="E1707" s="63">
        <v>13070094</v>
      </c>
      <c r="F1707" s="63" t="s">
        <v>568</v>
      </c>
      <c r="G1707" s="25">
        <f t="shared" si="24"/>
        <v>1.0471416844337611E-2</v>
      </c>
    </row>
    <row r="1708" spans="1:7">
      <c r="A1708" s="63">
        <v>144.6634</v>
      </c>
      <c r="B1708" s="63">
        <v>148.83349999999999</v>
      </c>
      <c r="C1708" s="63">
        <v>144.27619999999999</v>
      </c>
      <c r="D1708" s="63">
        <v>148.73429999999999</v>
      </c>
      <c r="E1708" s="63">
        <v>13138900</v>
      </c>
      <c r="F1708" s="63" t="s">
        <v>567</v>
      </c>
      <c r="G1708" s="25">
        <f t="shared" si="24"/>
        <v>-2.7370283787935934E-2</v>
      </c>
    </row>
    <row r="1709" spans="1:7">
      <c r="A1709" s="63">
        <v>149.7371</v>
      </c>
      <c r="B1709" s="63">
        <v>156.6575</v>
      </c>
      <c r="C1709" s="63">
        <v>149.3399</v>
      </c>
      <c r="D1709" s="63">
        <v>153.6292</v>
      </c>
      <c r="E1709" s="63">
        <v>26124657</v>
      </c>
      <c r="F1709" s="63" t="s">
        <v>566</v>
      </c>
      <c r="G1709" s="25">
        <f t="shared" si="24"/>
        <v>-2.5334376537793579E-2</v>
      </c>
    </row>
    <row r="1710" spans="1:7">
      <c r="A1710" s="63">
        <v>153.4008</v>
      </c>
      <c r="B1710" s="63">
        <v>156.76669999999999</v>
      </c>
      <c r="C1710" s="63">
        <v>151.2165</v>
      </c>
      <c r="D1710" s="63">
        <v>156.27029999999999</v>
      </c>
      <c r="E1710" s="63">
        <v>7454174</v>
      </c>
      <c r="F1710" s="63" t="s">
        <v>565</v>
      </c>
      <c r="G1710" s="25">
        <f t="shared" si="24"/>
        <v>-1.8362414355126866E-2</v>
      </c>
    </row>
    <row r="1711" spans="1:7">
      <c r="A1711" s="63">
        <v>155.8433</v>
      </c>
      <c r="B1711" s="63">
        <v>157.09440000000001</v>
      </c>
      <c r="C1711" s="63">
        <v>153.52000000000001</v>
      </c>
      <c r="D1711" s="63">
        <v>154.23480000000001</v>
      </c>
      <c r="E1711" s="63">
        <v>4241587</v>
      </c>
      <c r="F1711" s="63" t="s">
        <v>564</v>
      </c>
      <c r="G1711" s="25">
        <f t="shared" si="24"/>
        <v>1.0428904501448288E-2</v>
      </c>
    </row>
    <row r="1712" spans="1:7">
      <c r="A1712" s="63">
        <v>155.09870000000001</v>
      </c>
      <c r="B1712" s="63">
        <v>160.0532</v>
      </c>
      <c r="C1712" s="63">
        <v>154.4136</v>
      </c>
      <c r="D1712" s="63">
        <v>159.25880000000001</v>
      </c>
      <c r="E1712" s="63">
        <v>8880457</v>
      </c>
      <c r="F1712" s="63" t="s">
        <v>563</v>
      </c>
      <c r="G1712" s="25">
        <f t="shared" si="24"/>
        <v>-2.6121633467035998E-2</v>
      </c>
    </row>
    <row r="1713" spans="1:7">
      <c r="A1713" s="63">
        <v>158.83189999999999</v>
      </c>
      <c r="B1713" s="63">
        <v>159.67590000000001</v>
      </c>
      <c r="C1713" s="63">
        <v>157.60069999999999</v>
      </c>
      <c r="D1713" s="63">
        <v>158.4248</v>
      </c>
      <c r="E1713" s="63">
        <v>4979078</v>
      </c>
      <c r="F1713" s="63" t="s">
        <v>562</v>
      </c>
      <c r="G1713" s="25">
        <f t="shared" si="24"/>
        <v>2.5696734349671679E-3</v>
      </c>
    </row>
    <row r="1714" spans="1:7">
      <c r="A1714" s="63">
        <v>158.21629999999999</v>
      </c>
      <c r="B1714" s="63">
        <v>159.9837</v>
      </c>
      <c r="C1714" s="63">
        <v>157.5412</v>
      </c>
      <c r="D1714" s="63">
        <v>158.98079999999999</v>
      </c>
      <c r="E1714" s="63">
        <v>6934549</v>
      </c>
      <c r="F1714" s="63" t="s">
        <v>561</v>
      </c>
      <c r="G1714" s="25">
        <f t="shared" si="24"/>
        <v>-4.8087567806930354E-3</v>
      </c>
    </row>
    <row r="1715" spans="1:7">
      <c r="A1715" s="63">
        <v>158.61349999999999</v>
      </c>
      <c r="B1715" s="63">
        <v>159.10990000000001</v>
      </c>
      <c r="C1715" s="63">
        <v>154.59229999999999</v>
      </c>
      <c r="D1715" s="63">
        <v>154.87029999999999</v>
      </c>
      <c r="E1715" s="63">
        <v>4110516</v>
      </c>
      <c r="F1715" s="63" t="s">
        <v>560</v>
      </c>
      <c r="G1715" s="25">
        <f t="shared" si="24"/>
        <v>2.4169902169751012E-2</v>
      </c>
    </row>
    <row r="1716" spans="1:7">
      <c r="A1716" s="63">
        <v>155.13839999999999</v>
      </c>
      <c r="B1716" s="63">
        <v>157.3227</v>
      </c>
      <c r="C1716" s="63">
        <v>154.17529999999999</v>
      </c>
      <c r="D1716" s="63">
        <v>156.8561</v>
      </c>
      <c r="E1716" s="63">
        <v>4865763</v>
      </c>
      <c r="F1716" s="63" t="s">
        <v>559</v>
      </c>
      <c r="G1716" s="25">
        <f t="shared" si="24"/>
        <v>-1.0950801403324495E-2</v>
      </c>
    </row>
    <row r="1717" spans="1:7">
      <c r="A1717" s="63">
        <v>156.57810000000001</v>
      </c>
      <c r="B1717" s="63">
        <v>157.91839999999999</v>
      </c>
      <c r="C1717" s="63">
        <v>156.02699999999999</v>
      </c>
      <c r="D1717" s="63">
        <v>156.5284</v>
      </c>
      <c r="E1717" s="63">
        <v>2910733</v>
      </c>
      <c r="F1717" s="63" t="s">
        <v>558</v>
      </c>
      <c r="G1717" s="25">
        <f t="shared" si="24"/>
        <v>3.1751426578185971E-4</v>
      </c>
    </row>
    <row r="1718" spans="1:7">
      <c r="A1718" s="63">
        <v>155.63480000000001</v>
      </c>
      <c r="B1718" s="63">
        <v>159.59639999999999</v>
      </c>
      <c r="C1718" s="63">
        <v>155.1781</v>
      </c>
      <c r="D1718" s="63">
        <v>158.59360000000001</v>
      </c>
      <c r="E1718" s="63">
        <v>5218844</v>
      </c>
      <c r="F1718" s="63" t="s">
        <v>557</v>
      </c>
      <c r="G1718" s="25">
        <f t="shared" si="24"/>
        <v>-1.8656490551951621E-2</v>
      </c>
    </row>
    <row r="1719" spans="1:7">
      <c r="A1719" s="63">
        <v>156.8561</v>
      </c>
      <c r="B1719" s="63">
        <v>157.45179999999999</v>
      </c>
      <c r="C1719" s="63">
        <v>155.09460000000001</v>
      </c>
      <c r="D1719" s="63">
        <v>155.88300000000001</v>
      </c>
      <c r="E1719" s="63">
        <v>3726542</v>
      </c>
      <c r="F1719" s="63" t="s">
        <v>556</v>
      </c>
      <c r="G1719" s="25">
        <f t="shared" si="24"/>
        <v>6.2425023896126586E-3</v>
      </c>
    </row>
    <row r="1720" spans="1:7">
      <c r="A1720" s="63">
        <v>157.11420000000001</v>
      </c>
      <c r="B1720" s="63">
        <v>158.78229999999999</v>
      </c>
      <c r="C1720" s="63">
        <v>156.53829999999999</v>
      </c>
      <c r="D1720" s="63">
        <v>156.5582</v>
      </c>
      <c r="E1720" s="63">
        <v>4160523</v>
      </c>
      <c r="F1720" s="63" t="s">
        <v>555</v>
      </c>
      <c r="G1720" s="25">
        <f t="shared" si="24"/>
        <v>3.5513949444998527E-3</v>
      </c>
    </row>
    <row r="1721" spans="1:7">
      <c r="A1721" s="63">
        <v>156.0121</v>
      </c>
      <c r="B1721" s="63">
        <v>160.46019999999999</v>
      </c>
      <c r="C1721" s="63">
        <v>155.68450000000001</v>
      </c>
      <c r="D1721" s="63">
        <v>158.822</v>
      </c>
      <c r="E1721" s="63">
        <v>6913066</v>
      </c>
      <c r="F1721" s="63" t="s">
        <v>554</v>
      </c>
      <c r="G1721" s="25">
        <f t="shared" ref="G1721:G1784" si="25">A1721/D1721-1</f>
        <v>-1.7692133331654314E-2</v>
      </c>
    </row>
    <row r="1722" spans="1:7">
      <c r="A1722" s="63">
        <v>158.51419999999999</v>
      </c>
      <c r="B1722" s="63">
        <v>158.7028</v>
      </c>
      <c r="C1722" s="63">
        <v>156.3596</v>
      </c>
      <c r="D1722" s="63">
        <v>157.63050000000001</v>
      </c>
      <c r="E1722" s="63">
        <v>3603693</v>
      </c>
      <c r="F1722" s="63" t="s">
        <v>553</v>
      </c>
      <c r="G1722" s="25">
        <f t="shared" si="25"/>
        <v>5.6061485562755031E-3</v>
      </c>
    </row>
    <row r="1723" spans="1:7">
      <c r="A1723" s="63">
        <v>156.95529999999999</v>
      </c>
      <c r="B1723" s="63">
        <v>158.48439999999999</v>
      </c>
      <c r="C1723" s="63">
        <v>156.28020000000001</v>
      </c>
      <c r="D1723" s="63">
        <v>158.26599999999999</v>
      </c>
      <c r="E1723" s="63">
        <v>4348123</v>
      </c>
      <c r="F1723" s="63" t="s">
        <v>552</v>
      </c>
      <c r="G1723" s="25">
        <f t="shared" si="25"/>
        <v>-8.281627134065439E-3</v>
      </c>
    </row>
    <row r="1724" spans="1:7">
      <c r="A1724" s="63">
        <v>157.76949999999999</v>
      </c>
      <c r="B1724" s="63">
        <v>158.16669999999999</v>
      </c>
      <c r="C1724" s="63">
        <v>155.50569999999999</v>
      </c>
      <c r="D1724" s="63">
        <v>155.70429999999999</v>
      </c>
      <c r="E1724" s="63">
        <v>7083235</v>
      </c>
      <c r="F1724" s="63" t="s">
        <v>551</v>
      </c>
      <c r="G1724" s="25">
        <f t="shared" si="25"/>
        <v>1.3263602867743529E-2</v>
      </c>
    </row>
    <row r="1725" spans="1:7">
      <c r="A1725" s="63">
        <v>155.15819999999999</v>
      </c>
      <c r="B1725" s="63">
        <v>155.28729999999999</v>
      </c>
      <c r="C1725" s="63">
        <v>153.47030000000001</v>
      </c>
      <c r="D1725" s="63">
        <v>153.47030000000001</v>
      </c>
      <c r="E1725" s="63">
        <v>4966261</v>
      </c>
      <c r="F1725" s="63" t="s">
        <v>550</v>
      </c>
      <c r="G1725" s="25">
        <f t="shared" si="25"/>
        <v>1.0998219199415127E-2</v>
      </c>
    </row>
    <row r="1726" spans="1:7">
      <c r="A1726" s="63">
        <v>152.85470000000001</v>
      </c>
      <c r="B1726" s="63">
        <v>153.09299999999999</v>
      </c>
      <c r="C1726" s="63">
        <v>150.6009</v>
      </c>
      <c r="D1726" s="63">
        <v>150.99799999999999</v>
      </c>
      <c r="E1726" s="63">
        <v>4979273</v>
      </c>
      <c r="F1726" s="63" t="s">
        <v>549</v>
      </c>
      <c r="G1726" s="25">
        <f t="shared" si="25"/>
        <v>1.2296189353501408E-2</v>
      </c>
    </row>
    <row r="1727" spans="1:7">
      <c r="A1727" s="63">
        <v>151.72280000000001</v>
      </c>
      <c r="B1727" s="63">
        <v>152.5966</v>
      </c>
      <c r="C1727" s="63">
        <v>150.9623</v>
      </c>
      <c r="D1727" s="63">
        <v>152.42779999999999</v>
      </c>
      <c r="E1727" s="63">
        <v>4717368</v>
      </c>
      <c r="F1727" s="63" t="s">
        <v>548</v>
      </c>
      <c r="G1727" s="25">
        <f t="shared" si="25"/>
        <v>-4.6251405583495053E-3</v>
      </c>
    </row>
    <row r="1728" spans="1:7">
      <c r="A1728" s="63">
        <v>153.4803</v>
      </c>
      <c r="B1728" s="63">
        <v>153.70359999999999</v>
      </c>
      <c r="C1728" s="63">
        <v>151.4846</v>
      </c>
      <c r="D1728" s="63">
        <v>152.85470000000001</v>
      </c>
      <c r="E1728" s="63">
        <v>3940940</v>
      </c>
      <c r="F1728" s="63" t="s">
        <v>547</v>
      </c>
      <c r="G1728" s="25">
        <f t="shared" si="25"/>
        <v>4.0927756882842559E-3</v>
      </c>
    </row>
    <row r="1729" spans="1:7">
      <c r="A1729" s="63">
        <v>154.48310000000001</v>
      </c>
      <c r="B1729" s="63">
        <v>154.64189999999999</v>
      </c>
      <c r="C1729" s="63">
        <v>153.06319999999999</v>
      </c>
      <c r="D1729" s="63">
        <v>153.44049999999999</v>
      </c>
      <c r="E1729" s="63">
        <v>3885430</v>
      </c>
      <c r="F1729" s="63" t="s">
        <v>546</v>
      </c>
      <c r="G1729" s="25">
        <f t="shared" si="25"/>
        <v>6.7948162316990857E-3</v>
      </c>
    </row>
    <row r="1730" spans="1:7">
      <c r="A1730" s="63">
        <v>153.02350000000001</v>
      </c>
      <c r="B1730" s="63">
        <v>153.26179999999999</v>
      </c>
      <c r="C1730" s="63">
        <v>151.49449999999999</v>
      </c>
      <c r="D1730" s="63">
        <v>153.19229999999999</v>
      </c>
      <c r="E1730" s="63">
        <v>4738611</v>
      </c>
      <c r="F1730" s="63" t="s">
        <v>545</v>
      </c>
      <c r="G1730" s="25">
        <f t="shared" si="25"/>
        <v>-1.1018830580908912E-3</v>
      </c>
    </row>
    <row r="1731" spans="1:7">
      <c r="A1731" s="63">
        <v>152.9639</v>
      </c>
      <c r="B1731" s="63">
        <v>153.63910000000001</v>
      </c>
      <c r="C1731" s="63">
        <v>150.77000000000001</v>
      </c>
      <c r="D1731" s="63">
        <v>153.47030000000001</v>
      </c>
      <c r="E1731" s="63">
        <v>6483352</v>
      </c>
      <c r="F1731" s="63" t="s">
        <v>544</v>
      </c>
      <c r="G1731" s="25">
        <f t="shared" si="25"/>
        <v>-3.29966123738612E-3</v>
      </c>
    </row>
    <row r="1732" spans="1:7">
      <c r="A1732" s="63">
        <v>150.65049999999999</v>
      </c>
      <c r="B1732" s="63">
        <v>150.6902</v>
      </c>
      <c r="C1732" s="63">
        <v>148.53569999999999</v>
      </c>
      <c r="D1732" s="63">
        <v>149.34979999999999</v>
      </c>
      <c r="E1732" s="63">
        <v>6936576</v>
      </c>
      <c r="F1732" s="63" t="s">
        <v>543</v>
      </c>
      <c r="G1732" s="25">
        <f t="shared" si="25"/>
        <v>8.7090843107926474E-3</v>
      </c>
    </row>
    <row r="1733" spans="1:7">
      <c r="A1733" s="63">
        <v>149.61789999999999</v>
      </c>
      <c r="B1733" s="63">
        <v>149.6874</v>
      </c>
      <c r="C1733" s="63">
        <v>147.41370000000001</v>
      </c>
      <c r="D1733" s="63">
        <v>148.8236</v>
      </c>
      <c r="E1733" s="63">
        <v>6832817</v>
      </c>
      <c r="F1733" s="63" t="s">
        <v>542</v>
      </c>
      <c r="G1733" s="25">
        <f t="shared" si="25"/>
        <v>5.3371911444151099E-3</v>
      </c>
    </row>
    <row r="1734" spans="1:7">
      <c r="A1734" s="63">
        <v>147.97970000000001</v>
      </c>
      <c r="B1734" s="63">
        <v>150.303</v>
      </c>
      <c r="C1734" s="63">
        <v>147.8605</v>
      </c>
      <c r="D1734" s="63">
        <v>150.2037</v>
      </c>
      <c r="E1734" s="63">
        <v>5844938</v>
      </c>
      <c r="F1734" s="63" t="s">
        <v>541</v>
      </c>
      <c r="G1734" s="25">
        <f t="shared" si="25"/>
        <v>-1.4806559359056948E-2</v>
      </c>
    </row>
    <row r="1735" spans="1:7">
      <c r="A1735" s="63">
        <v>148.2775</v>
      </c>
      <c r="B1735" s="63">
        <v>151.88159999999999</v>
      </c>
      <c r="C1735" s="63">
        <v>147.53290000000001</v>
      </c>
      <c r="D1735" s="63">
        <v>151.74270000000001</v>
      </c>
      <c r="E1735" s="63">
        <v>7362484</v>
      </c>
      <c r="F1735" s="63" t="s">
        <v>540</v>
      </c>
      <c r="G1735" s="25">
        <f t="shared" si="25"/>
        <v>-2.2836024401832855E-2</v>
      </c>
    </row>
    <row r="1736" spans="1:7">
      <c r="A1736" s="63">
        <v>151.47460000000001</v>
      </c>
      <c r="B1736" s="63">
        <v>156.6078</v>
      </c>
      <c r="C1736" s="63">
        <v>151.42500000000001</v>
      </c>
      <c r="D1736" s="63">
        <v>156.27029999999999</v>
      </c>
      <c r="E1736" s="63">
        <v>6378206</v>
      </c>
      <c r="F1736" s="63" t="s">
        <v>539</v>
      </c>
      <c r="G1736" s="25">
        <f t="shared" si="25"/>
        <v>-3.0688492950995738E-2</v>
      </c>
    </row>
    <row r="1737" spans="1:7">
      <c r="A1737" s="63">
        <v>155.7242</v>
      </c>
      <c r="B1737" s="63">
        <v>156.66739999999999</v>
      </c>
      <c r="C1737" s="63">
        <v>154.8306</v>
      </c>
      <c r="D1737" s="63">
        <v>155.55539999999999</v>
      </c>
      <c r="E1737" s="63">
        <v>9706930</v>
      </c>
      <c r="F1737" s="63" t="s">
        <v>538</v>
      </c>
      <c r="G1737" s="25">
        <f t="shared" si="25"/>
        <v>1.0851439422867593E-3</v>
      </c>
    </row>
    <row r="1738" spans="1:7">
      <c r="A1738" s="63">
        <v>156.08160000000001</v>
      </c>
      <c r="B1738" s="63">
        <v>157.16390000000001</v>
      </c>
      <c r="C1738" s="63">
        <v>154.3143</v>
      </c>
      <c r="D1738" s="63">
        <v>155.1781</v>
      </c>
      <c r="E1738" s="63">
        <v>10153607</v>
      </c>
      <c r="F1738" s="63" t="s">
        <v>537</v>
      </c>
      <c r="G1738" s="25">
        <f t="shared" si="25"/>
        <v>5.8223421990604152E-3</v>
      </c>
    </row>
    <row r="1739" spans="1:7">
      <c r="A1739" s="63">
        <v>153.04339999999999</v>
      </c>
      <c r="B1739" s="63">
        <v>153.37100000000001</v>
      </c>
      <c r="C1739" s="63">
        <v>149.4442</v>
      </c>
      <c r="D1739" s="63">
        <v>150.61080000000001</v>
      </c>
      <c r="E1739" s="63">
        <v>8095299</v>
      </c>
      <c r="F1739" s="63" t="s">
        <v>536</v>
      </c>
      <c r="G1739" s="25">
        <f t="shared" si="25"/>
        <v>1.6151564164057053E-2</v>
      </c>
    </row>
    <row r="1740" spans="1:7">
      <c r="A1740" s="63">
        <v>149.51859999999999</v>
      </c>
      <c r="B1740" s="63">
        <v>151.86179999999999</v>
      </c>
      <c r="C1740" s="63">
        <v>149.42930000000001</v>
      </c>
      <c r="D1740" s="63">
        <v>150.79949999999999</v>
      </c>
      <c r="E1740" s="63">
        <v>7317839</v>
      </c>
      <c r="F1740" s="63" t="s">
        <v>535</v>
      </c>
      <c r="G1740" s="25">
        <f t="shared" si="25"/>
        <v>-8.4940599935676708E-3</v>
      </c>
    </row>
    <row r="1741" spans="1:7">
      <c r="A1741" s="63">
        <v>149.2208</v>
      </c>
      <c r="B1741" s="63">
        <v>150.208</v>
      </c>
      <c r="C1741" s="63">
        <v>148.8038</v>
      </c>
      <c r="D1741" s="63">
        <v>149.13140000000001</v>
      </c>
      <c r="E1741" s="63">
        <v>4491845</v>
      </c>
      <c r="F1741" s="63" t="s">
        <v>534</v>
      </c>
      <c r="G1741" s="25">
        <f t="shared" si="25"/>
        <v>5.9947133869853175E-4</v>
      </c>
    </row>
    <row r="1742" spans="1:7">
      <c r="A1742" s="63">
        <v>148.94280000000001</v>
      </c>
      <c r="B1742" s="63">
        <v>150.89869999999999</v>
      </c>
      <c r="C1742" s="63">
        <v>148.41650000000001</v>
      </c>
      <c r="D1742" s="63">
        <v>149.96539999999999</v>
      </c>
      <c r="E1742" s="63">
        <v>6248150</v>
      </c>
      <c r="F1742" s="63" t="s">
        <v>533</v>
      </c>
      <c r="G1742" s="25">
        <f t="shared" si="25"/>
        <v>-6.8189062277030921E-3</v>
      </c>
    </row>
    <row r="1743" spans="1:7">
      <c r="A1743" s="63">
        <v>150.26329999999999</v>
      </c>
      <c r="B1743" s="63">
        <v>151.15690000000001</v>
      </c>
      <c r="C1743" s="63">
        <v>149.18109999999999</v>
      </c>
      <c r="D1743" s="63">
        <v>151.07749999999999</v>
      </c>
      <c r="E1743" s="63">
        <v>5173787</v>
      </c>
      <c r="F1743" s="63" t="s">
        <v>532</v>
      </c>
      <c r="G1743" s="25">
        <f t="shared" si="25"/>
        <v>-5.3892869553705536E-3</v>
      </c>
    </row>
    <row r="1744" spans="1:7">
      <c r="A1744" s="63">
        <v>150.2037</v>
      </c>
      <c r="B1744" s="63">
        <v>151.2363</v>
      </c>
      <c r="C1744" s="63">
        <v>149.08179999999999</v>
      </c>
      <c r="D1744" s="63">
        <v>150.03489999999999</v>
      </c>
      <c r="E1744" s="63">
        <v>7161291</v>
      </c>
      <c r="F1744" s="63" t="s">
        <v>531</v>
      </c>
      <c r="G1744" s="25">
        <f t="shared" si="25"/>
        <v>1.1250715666821787E-3</v>
      </c>
    </row>
    <row r="1745" spans="1:7">
      <c r="A1745" s="63">
        <v>149.08179999999999</v>
      </c>
      <c r="B1745" s="63">
        <v>154.60220000000001</v>
      </c>
      <c r="C1745" s="63">
        <v>147.73140000000001</v>
      </c>
      <c r="D1745" s="63">
        <v>154.20509999999999</v>
      </c>
      <c r="E1745" s="63">
        <v>15214322</v>
      </c>
      <c r="F1745" s="63" t="s">
        <v>530</v>
      </c>
      <c r="G1745" s="25">
        <f t="shared" si="25"/>
        <v>-3.3223933579369258E-2</v>
      </c>
    </row>
    <row r="1746" spans="1:7">
      <c r="A1746" s="63">
        <v>151.703</v>
      </c>
      <c r="B1746" s="63">
        <v>156.32980000000001</v>
      </c>
      <c r="C1746" s="63">
        <v>149.7569</v>
      </c>
      <c r="D1746" s="63">
        <v>152.38810000000001</v>
      </c>
      <c r="E1746" s="63">
        <v>29856328</v>
      </c>
      <c r="F1746" s="63" t="s">
        <v>529</v>
      </c>
      <c r="G1746" s="25">
        <f t="shared" si="25"/>
        <v>-4.4957578708574308E-3</v>
      </c>
    </row>
    <row r="1747" spans="1:7">
      <c r="A1747" s="63">
        <v>160.12270000000001</v>
      </c>
      <c r="B1747" s="63">
        <v>161.8304</v>
      </c>
      <c r="C1747" s="63">
        <v>158.36519999999999</v>
      </c>
      <c r="D1747" s="63">
        <v>158.7028</v>
      </c>
      <c r="E1747" s="63">
        <v>7175301</v>
      </c>
      <c r="F1747" s="63" t="s">
        <v>528</v>
      </c>
      <c r="G1747" s="25">
        <f t="shared" si="25"/>
        <v>8.9469120897678334E-3</v>
      </c>
    </row>
    <row r="1748" spans="1:7">
      <c r="A1748" s="63">
        <v>158.17660000000001</v>
      </c>
      <c r="B1748" s="63">
        <v>158.86170000000001</v>
      </c>
      <c r="C1748" s="63">
        <v>156.2107</v>
      </c>
      <c r="D1748" s="63">
        <v>157.3724</v>
      </c>
      <c r="E1748" s="63">
        <v>5601246</v>
      </c>
      <c r="F1748" s="63" t="s">
        <v>527</v>
      </c>
      <c r="G1748" s="25">
        <f t="shared" si="25"/>
        <v>5.1101717963251136E-3</v>
      </c>
    </row>
    <row r="1749" spans="1:7">
      <c r="A1749" s="63">
        <v>157.31280000000001</v>
      </c>
      <c r="B1749" s="63">
        <v>157.3724</v>
      </c>
      <c r="C1749" s="63">
        <v>153.45050000000001</v>
      </c>
      <c r="D1749" s="63">
        <v>156.03200000000001</v>
      </c>
      <c r="E1749" s="63">
        <v>12072390</v>
      </c>
      <c r="F1749" s="63" t="s">
        <v>526</v>
      </c>
      <c r="G1749" s="25">
        <f t="shared" si="25"/>
        <v>8.2085726004921256E-3</v>
      </c>
    </row>
    <row r="1750" spans="1:7">
      <c r="A1750" s="63">
        <v>149.7371</v>
      </c>
      <c r="B1750" s="63">
        <v>149.84630000000001</v>
      </c>
      <c r="C1750" s="63">
        <v>141.49610000000001</v>
      </c>
      <c r="D1750" s="63">
        <v>145.01089999999999</v>
      </c>
      <c r="E1750" s="63">
        <v>12375090</v>
      </c>
      <c r="F1750" s="63" t="s">
        <v>525</v>
      </c>
      <c r="G1750" s="25">
        <f t="shared" si="25"/>
        <v>3.2592032736849408E-2</v>
      </c>
    </row>
    <row r="1751" spans="1:7">
      <c r="A1751" s="63">
        <v>144.0677</v>
      </c>
      <c r="B1751" s="63">
        <v>149.62790000000001</v>
      </c>
      <c r="C1751" s="63">
        <v>142.3699</v>
      </c>
      <c r="D1751" s="63">
        <v>149.62790000000001</v>
      </c>
      <c r="E1751" s="63">
        <v>8835249</v>
      </c>
      <c r="F1751" s="63" t="s">
        <v>524</v>
      </c>
      <c r="G1751" s="25">
        <f t="shared" si="25"/>
        <v>-3.7160182024876476E-2</v>
      </c>
    </row>
    <row r="1752" spans="1:7">
      <c r="A1752" s="63">
        <v>150.33279999999999</v>
      </c>
      <c r="B1752" s="63">
        <v>153.381</v>
      </c>
      <c r="C1752" s="63">
        <v>150.18389999999999</v>
      </c>
      <c r="D1752" s="63">
        <v>151.57390000000001</v>
      </c>
      <c r="E1752" s="63">
        <v>5326907</v>
      </c>
      <c r="F1752" s="63" t="s">
        <v>523</v>
      </c>
      <c r="G1752" s="25">
        <f t="shared" si="25"/>
        <v>-8.1880851518633113E-3</v>
      </c>
    </row>
    <row r="1753" spans="1:7">
      <c r="A1753" s="63">
        <v>154.55260000000001</v>
      </c>
      <c r="B1753" s="63">
        <v>154.7611</v>
      </c>
      <c r="C1753" s="63">
        <v>152.80510000000001</v>
      </c>
      <c r="D1753" s="63">
        <v>153.22210000000001</v>
      </c>
      <c r="E1753" s="63">
        <v>4418092</v>
      </c>
      <c r="F1753" s="63" t="s">
        <v>522</v>
      </c>
      <c r="G1753" s="25">
        <f t="shared" si="25"/>
        <v>8.6834732065412812E-3</v>
      </c>
    </row>
    <row r="1754" spans="1:7">
      <c r="A1754" s="63">
        <v>151.8023</v>
      </c>
      <c r="B1754" s="63">
        <v>152.9639</v>
      </c>
      <c r="C1754" s="63">
        <v>150.12430000000001</v>
      </c>
      <c r="D1754" s="63">
        <v>152.6661</v>
      </c>
      <c r="E1754" s="63">
        <v>4359454</v>
      </c>
      <c r="F1754" s="63" t="s">
        <v>521</v>
      </c>
      <c r="G1754" s="25">
        <f t="shared" si="25"/>
        <v>-5.6580996042998599E-3</v>
      </c>
    </row>
    <row r="1755" spans="1:7">
      <c r="A1755" s="63">
        <v>154.08590000000001</v>
      </c>
      <c r="B1755" s="63">
        <v>156.68729999999999</v>
      </c>
      <c r="C1755" s="63">
        <v>153.29159999999999</v>
      </c>
      <c r="D1755" s="63">
        <v>154.2448</v>
      </c>
      <c r="E1755" s="63">
        <v>4934063</v>
      </c>
      <c r="F1755" s="63" t="s">
        <v>520</v>
      </c>
      <c r="G1755" s="25">
        <f t="shared" si="25"/>
        <v>-1.0301805960394317E-3</v>
      </c>
    </row>
    <row r="1756" spans="1:7">
      <c r="A1756" s="63">
        <v>153.41069999999999</v>
      </c>
      <c r="B1756" s="63">
        <v>155.8135</v>
      </c>
      <c r="C1756" s="63">
        <v>153.06319999999999</v>
      </c>
      <c r="D1756" s="63">
        <v>153.78800000000001</v>
      </c>
      <c r="E1756" s="63">
        <v>3151662</v>
      </c>
      <c r="F1756" s="63" t="s">
        <v>519</v>
      </c>
      <c r="G1756" s="25">
        <f t="shared" si="25"/>
        <v>-2.4533773766485245E-3</v>
      </c>
    </row>
    <row r="1757" spans="1:7">
      <c r="A1757" s="63">
        <v>152.6164</v>
      </c>
      <c r="B1757" s="63">
        <v>155.2277</v>
      </c>
      <c r="C1757" s="63">
        <v>151.0675</v>
      </c>
      <c r="D1757" s="63">
        <v>154.91990000000001</v>
      </c>
      <c r="E1757" s="63">
        <v>4508215</v>
      </c>
      <c r="F1757" s="63" t="s">
        <v>518</v>
      </c>
      <c r="G1757" s="25">
        <f t="shared" si="25"/>
        <v>-1.4868974224744647E-2</v>
      </c>
    </row>
    <row r="1758" spans="1:7">
      <c r="A1758" s="63">
        <v>156.51849999999999</v>
      </c>
      <c r="B1758" s="63">
        <v>157.06460000000001</v>
      </c>
      <c r="C1758" s="63">
        <v>154.7313</v>
      </c>
      <c r="D1758" s="63">
        <v>154.7611</v>
      </c>
      <c r="E1758" s="63">
        <v>3170058</v>
      </c>
      <c r="F1758" s="63" t="s">
        <v>517</v>
      </c>
      <c r="G1758" s="25">
        <f t="shared" si="25"/>
        <v>1.1355566741254597E-2</v>
      </c>
    </row>
    <row r="1759" spans="1:7">
      <c r="A1759" s="63">
        <v>154.67169999999999</v>
      </c>
      <c r="B1759" s="63">
        <v>156.71709999999999</v>
      </c>
      <c r="C1759" s="63">
        <v>154.07599999999999</v>
      </c>
      <c r="D1759" s="63">
        <v>156.2405</v>
      </c>
      <c r="E1759" s="63">
        <v>3803459</v>
      </c>
      <c r="F1759" s="63" t="s">
        <v>516</v>
      </c>
      <c r="G1759" s="25">
        <f t="shared" si="25"/>
        <v>-1.0040930488573796E-2</v>
      </c>
    </row>
    <row r="1760" spans="1:7">
      <c r="A1760" s="63">
        <v>154.87029999999999</v>
      </c>
      <c r="B1760" s="63">
        <v>154.9795</v>
      </c>
      <c r="C1760" s="63">
        <v>150.6251</v>
      </c>
      <c r="D1760" s="63">
        <v>151.3853</v>
      </c>
      <c r="E1760" s="63">
        <v>5437590</v>
      </c>
      <c r="F1760" s="63" t="s">
        <v>515</v>
      </c>
      <c r="G1760" s="25">
        <f t="shared" si="25"/>
        <v>2.3020729225360581E-2</v>
      </c>
    </row>
    <row r="1761" spans="1:7">
      <c r="A1761" s="63">
        <v>153.47030000000001</v>
      </c>
      <c r="B1761" s="63">
        <v>156.0369</v>
      </c>
      <c r="C1761" s="63">
        <v>152.08029999999999</v>
      </c>
      <c r="D1761" s="63">
        <v>155.06890000000001</v>
      </c>
      <c r="E1761" s="63">
        <v>5314319</v>
      </c>
      <c r="F1761" s="63" t="s">
        <v>514</v>
      </c>
      <c r="G1761" s="25">
        <f t="shared" si="25"/>
        <v>-1.030896588548702E-2</v>
      </c>
    </row>
    <row r="1762" spans="1:7">
      <c r="A1762" s="63">
        <v>157.35249999999999</v>
      </c>
      <c r="B1762" s="63">
        <v>158.31559999999999</v>
      </c>
      <c r="C1762" s="63">
        <v>154.79089999999999</v>
      </c>
      <c r="D1762" s="63">
        <v>155.6447</v>
      </c>
      <c r="E1762" s="63">
        <v>5048088</v>
      </c>
      <c r="F1762" s="63" t="s">
        <v>513</v>
      </c>
      <c r="G1762" s="25">
        <f t="shared" si="25"/>
        <v>1.097242630169859E-2</v>
      </c>
    </row>
    <row r="1763" spans="1:7">
      <c r="A1763" s="63">
        <v>153.95679999999999</v>
      </c>
      <c r="B1763" s="63">
        <v>155.26740000000001</v>
      </c>
      <c r="C1763" s="63">
        <v>150.6207</v>
      </c>
      <c r="D1763" s="63">
        <v>152.72569999999999</v>
      </c>
      <c r="E1763" s="63">
        <v>7783774</v>
      </c>
      <c r="F1763" s="63" t="s">
        <v>512</v>
      </c>
      <c r="G1763" s="25">
        <f t="shared" si="25"/>
        <v>8.0608568171565143E-3</v>
      </c>
    </row>
    <row r="1764" spans="1:7">
      <c r="A1764" s="63">
        <v>156.94540000000001</v>
      </c>
      <c r="B1764" s="63">
        <v>157.46170000000001</v>
      </c>
      <c r="C1764" s="63">
        <v>151.8321</v>
      </c>
      <c r="D1764" s="63">
        <v>153.9469</v>
      </c>
      <c r="E1764" s="63">
        <v>4954034</v>
      </c>
      <c r="F1764" s="63" t="s">
        <v>511</v>
      </c>
      <c r="G1764" s="25">
        <f t="shared" si="25"/>
        <v>1.9477495162292913E-2</v>
      </c>
    </row>
    <row r="1765" spans="1:7">
      <c r="A1765" s="63">
        <v>152.06039999999999</v>
      </c>
      <c r="B1765" s="63">
        <v>155.78370000000001</v>
      </c>
      <c r="C1765" s="63">
        <v>151.69309999999999</v>
      </c>
      <c r="D1765" s="63">
        <v>153.81780000000001</v>
      </c>
      <c r="E1765" s="63">
        <v>5694582</v>
      </c>
      <c r="F1765" s="63" t="s">
        <v>510</v>
      </c>
      <c r="G1765" s="25">
        <f t="shared" si="25"/>
        <v>-1.1425205665404281E-2</v>
      </c>
    </row>
    <row r="1766" spans="1:7">
      <c r="A1766" s="63">
        <v>158.8021</v>
      </c>
      <c r="B1766" s="63">
        <v>159.47130000000001</v>
      </c>
      <c r="C1766" s="63">
        <v>153.2817</v>
      </c>
      <c r="D1766" s="63">
        <v>155.16820000000001</v>
      </c>
      <c r="E1766" s="63">
        <v>4462213</v>
      </c>
      <c r="F1766" s="63" t="s">
        <v>509</v>
      </c>
      <c r="G1766" s="25">
        <f t="shared" si="25"/>
        <v>2.3419102625408916E-2</v>
      </c>
    </row>
    <row r="1767" spans="1:7">
      <c r="A1767" s="63">
        <v>155.1979</v>
      </c>
      <c r="B1767" s="63">
        <v>155.98230000000001</v>
      </c>
      <c r="C1767" s="63">
        <v>151.30459999999999</v>
      </c>
      <c r="D1767" s="63">
        <v>153.5498</v>
      </c>
      <c r="E1767" s="63">
        <v>5809346</v>
      </c>
      <c r="F1767" s="63" t="s">
        <v>508</v>
      </c>
      <c r="G1767" s="25">
        <f t="shared" si="25"/>
        <v>1.0733325605113198E-2</v>
      </c>
    </row>
    <row r="1768" spans="1:7">
      <c r="A1768" s="63">
        <v>155.744</v>
      </c>
      <c r="B1768" s="63">
        <v>156.8064</v>
      </c>
      <c r="C1768" s="63">
        <v>153.93700000000001</v>
      </c>
      <c r="D1768" s="63">
        <v>155.9923</v>
      </c>
      <c r="E1768" s="63">
        <v>4061339</v>
      </c>
      <c r="F1768" s="63" t="s">
        <v>507</v>
      </c>
      <c r="G1768" s="25">
        <f t="shared" si="25"/>
        <v>-1.5917452335788562E-3</v>
      </c>
    </row>
    <row r="1769" spans="1:7">
      <c r="A1769" s="63">
        <v>155.78370000000001</v>
      </c>
      <c r="B1769" s="63">
        <v>160.5198</v>
      </c>
      <c r="C1769" s="63">
        <v>153.649</v>
      </c>
      <c r="D1769" s="63">
        <v>160.18219999999999</v>
      </c>
      <c r="E1769" s="63">
        <v>6541888</v>
      </c>
      <c r="F1769" s="63" t="s">
        <v>506</v>
      </c>
      <c r="G1769" s="25">
        <f t="shared" si="25"/>
        <v>-2.7459355658743467E-2</v>
      </c>
    </row>
    <row r="1770" spans="1:7">
      <c r="A1770" s="63">
        <v>161.34389999999999</v>
      </c>
      <c r="B1770" s="63">
        <v>161.6815</v>
      </c>
      <c r="C1770" s="63">
        <v>156.73689999999999</v>
      </c>
      <c r="D1770" s="63">
        <v>157.4915</v>
      </c>
      <c r="E1770" s="63">
        <v>2520943</v>
      </c>
      <c r="F1770" s="63" t="s">
        <v>505</v>
      </c>
      <c r="G1770" s="25">
        <f t="shared" si="25"/>
        <v>2.4461002657286235E-2</v>
      </c>
    </row>
    <row r="1771" spans="1:7">
      <c r="A1771" s="63">
        <v>162.17789999999999</v>
      </c>
      <c r="B1771" s="63">
        <v>162.33680000000001</v>
      </c>
      <c r="C1771" s="63">
        <v>159.71559999999999</v>
      </c>
      <c r="D1771" s="63">
        <v>161.42330000000001</v>
      </c>
      <c r="E1771" s="63">
        <v>3131437</v>
      </c>
      <c r="F1771" s="63" t="s">
        <v>504</v>
      </c>
      <c r="G1771" s="25">
        <f t="shared" si="25"/>
        <v>4.674665924931487E-3</v>
      </c>
    </row>
    <row r="1772" spans="1:7">
      <c r="A1772" s="63">
        <v>160.67869999999999</v>
      </c>
      <c r="B1772" s="63">
        <v>161.54249999999999</v>
      </c>
      <c r="C1772" s="63">
        <v>158.49430000000001</v>
      </c>
      <c r="D1772" s="63">
        <v>160.53970000000001</v>
      </c>
      <c r="E1772" s="63">
        <v>3181073</v>
      </c>
      <c r="F1772" s="63" t="s">
        <v>503</v>
      </c>
      <c r="G1772" s="25">
        <f t="shared" si="25"/>
        <v>8.6582944903956793E-4</v>
      </c>
    </row>
    <row r="1773" spans="1:7">
      <c r="A1773" s="63">
        <v>160.99639999999999</v>
      </c>
      <c r="B1773" s="63">
        <v>165.03739999999999</v>
      </c>
      <c r="C1773" s="63">
        <v>160.98650000000001</v>
      </c>
      <c r="D1773" s="63">
        <v>164.8289</v>
      </c>
      <c r="E1773" s="63">
        <v>2707730</v>
      </c>
      <c r="F1773" s="63" t="s">
        <v>502</v>
      </c>
      <c r="G1773" s="25">
        <f t="shared" si="25"/>
        <v>-2.3251383707590167E-2</v>
      </c>
    </row>
    <row r="1774" spans="1:7">
      <c r="A1774" s="63">
        <v>164.17359999999999</v>
      </c>
      <c r="B1774" s="63">
        <v>165.2559</v>
      </c>
      <c r="C1774" s="63">
        <v>162.45590000000001</v>
      </c>
      <c r="D1774" s="63">
        <v>164.01480000000001</v>
      </c>
      <c r="E1774" s="63">
        <v>3581801</v>
      </c>
      <c r="F1774" s="63" t="s">
        <v>501</v>
      </c>
      <c r="G1774" s="25">
        <f t="shared" si="25"/>
        <v>9.6820530830132867E-4</v>
      </c>
    </row>
    <row r="1775" spans="1:7">
      <c r="A1775" s="63">
        <v>164.18360000000001</v>
      </c>
      <c r="B1775" s="63">
        <v>166.36789999999999</v>
      </c>
      <c r="C1775" s="63">
        <v>164.15379999999999</v>
      </c>
      <c r="D1775" s="63">
        <v>165.524</v>
      </c>
      <c r="E1775" s="63">
        <v>4509669</v>
      </c>
      <c r="F1775" s="63" t="s">
        <v>500</v>
      </c>
      <c r="G1775" s="25">
        <f t="shared" si="25"/>
        <v>-8.0979193349604017E-3</v>
      </c>
    </row>
    <row r="1776" spans="1:7">
      <c r="A1776" s="63">
        <v>164.77930000000001</v>
      </c>
      <c r="B1776" s="63">
        <v>164.87860000000001</v>
      </c>
      <c r="C1776" s="63">
        <v>160.1326</v>
      </c>
      <c r="D1776" s="63">
        <v>161.2645</v>
      </c>
      <c r="E1776" s="63">
        <v>3343064</v>
      </c>
      <c r="F1776" s="63" t="s">
        <v>499</v>
      </c>
      <c r="G1776" s="25">
        <f t="shared" si="25"/>
        <v>2.1795249419432006E-2</v>
      </c>
    </row>
    <row r="1777" spans="1:7">
      <c r="A1777" s="63">
        <v>161.9297</v>
      </c>
      <c r="B1777" s="63">
        <v>162.72399999999999</v>
      </c>
      <c r="C1777" s="63">
        <v>159.8546</v>
      </c>
      <c r="D1777" s="63">
        <v>160.8475</v>
      </c>
      <c r="E1777" s="63">
        <v>5498432</v>
      </c>
      <c r="F1777" s="63" t="s">
        <v>498</v>
      </c>
      <c r="G1777" s="25">
        <f t="shared" si="25"/>
        <v>6.7281120315827447E-3</v>
      </c>
    </row>
    <row r="1778" spans="1:7">
      <c r="A1778" s="63">
        <v>158.4248</v>
      </c>
      <c r="B1778" s="63">
        <v>161.334</v>
      </c>
      <c r="C1778" s="63">
        <v>158.26599999999999</v>
      </c>
      <c r="D1778" s="63">
        <v>160.72829999999999</v>
      </c>
      <c r="E1778" s="63">
        <v>3384945</v>
      </c>
      <c r="F1778" s="63" t="s">
        <v>497</v>
      </c>
      <c r="G1778" s="25">
        <f t="shared" si="25"/>
        <v>-1.433163916995317E-2</v>
      </c>
    </row>
    <row r="1779" spans="1:7">
      <c r="A1779" s="63">
        <v>160.0829</v>
      </c>
      <c r="B1779" s="63">
        <v>160.2517</v>
      </c>
      <c r="C1779" s="63">
        <v>157.28299999999999</v>
      </c>
      <c r="D1779" s="63">
        <v>158.6234</v>
      </c>
      <c r="E1779" s="63">
        <v>3418371</v>
      </c>
      <c r="F1779" s="63" t="s">
        <v>496</v>
      </c>
      <c r="G1779" s="25">
        <f t="shared" si="25"/>
        <v>9.2010384344300977E-3</v>
      </c>
    </row>
    <row r="1780" spans="1:7">
      <c r="A1780" s="63">
        <v>157.63050000000001</v>
      </c>
      <c r="B1780" s="63">
        <v>158.0078</v>
      </c>
      <c r="C1780" s="63">
        <v>154.17529999999999</v>
      </c>
      <c r="D1780" s="63">
        <v>154.3441</v>
      </c>
      <c r="E1780" s="63">
        <v>2943629</v>
      </c>
      <c r="F1780" s="63" t="s">
        <v>495</v>
      </c>
      <c r="G1780" s="25">
        <f t="shared" si="25"/>
        <v>2.1292683037446913E-2</v>
      </c>
    </row>
    <row r="1781" spans="1:7">
      <c r="A1781" s="63">
        <v>154.8802</v>
      </c>
      <c r="B1781" s="63">
        <v>155.09649999999999</v>
      </c>
      <c r="C1781" s="63">
        <v>152.08029999999999</v>
      </c>
      <c r="D1781" s="63">
        <v>153.798</v>
      </c>
      <c r="E1781" s="63">
        <v>4391704</v>
      </c>
      <c r="F1781" s="63" t="s">
        <v>494</v>
      </c>
      <c r="G1781" s="25">
        <f t="shared" si="25"/>
        <v>7.0365024252592168E-3</v>
      </c>
    </row>
    <row r="1782" spans="1:7">
      <c r="A1782" s="63">
        <v>154.23480000000001</v>
      </c>
      <c r="B1782" s="63">
        <v>157.91839999999999</v>
      </c>
      <c r="C1782" s="63">
        <v>153.96680000000001</v>
      </c>
      <c r="D1782" s="63">
        <v>157.91839999999999</v>
      </c>
      <c r="E1782" s="63">
        <v>4765519</v>
      </c>
      <c r="F1782" s="63" t="s">
        <v>493</v>
      </c>
      <c r="G1782" s="25">
        <f t="shared" si="25"/>
        <v>-2.3325970881163838E-2</v>
      </c>
    </row>
    <row r="1783" spans="1:7">
      <c r="A1783" s="63">
        <v>157.56100000000001</v>
      </c>
      <c r="B1783" s="63">
        <v>159.1198</v>
      </c>
      <c r="C1783" s="63">
        <v>156.62780000000001</v>
      </c>
      <c r="D1783" s="63">
        <v>158.9014</v>
      </c>
      <c r="E1783" s="63">
        <v>3004836</v>
      </c>
      <c r="F1783" s="63" t="s">
        <v>492</v>
      </c>
      <c r="G1783" s="25">
        <f t="shared" si="25"/>
        <v>-8.4354197005186426E-3</v>
      </c>
    </row>
    <row r="1784" spans="1:7">
      <c r="A1784" s="63">
        <v>158.95099999999999</v>
      </c>
      <c r="B1784" s="63">
        <v>160.87819999999999</v>
      </c>
      <c r="C1784" s="63">
        <v>158.3553</v>
      </c>
      <c r="D1784" s="63">
        <v>159.8546</v>
      </c>
      <c r="E1784" s="63">
        <v>2608365</v>
      </c>
      <c r="F1784" s="63" t="s">
        <v>491</v>
      </c>
      <c r="G1784" s="25">
        <f t="shared" si="25"/>
        <v>-5.6526368337227462E-3</v>
      </c>
    </row>
    <row r="1785" spans="1:7">
      <c r="A1785" s="63">
        <v>159.56659999999999</v>
      </c>
      <c r="B1785" s="63">
        <v>161.34389999999999</v>
      </c>
      <c r="C1785" s="63">
        <v>158.36519999999999</v>
      </c>
      <c r="D1785" s="63">
        <v>160.8475</v>
      </c>
      <c r="E1785" s="63">
        <v>2844167</v>
      </c>
      <c r="F1785" s="63" t="s">
        <v>490</v>
      </c>
      <c r="G1785" s="25">
        <f t="shared" ref="G1785:G1848" si="26">A1785/D1785-1</f>
        <v>-7.9634436344985238E-3</v>
      </c>
    </row>
    <row r="1786" spans="1:7">
      <c r="A1786" s="63">
        <v>159.5865</v>
      </c>
      <c r="B1786" s="63">
        <v>159.6858</v>
      </c>
      <c r="C1786" s="63">
        <v>157.8887</v>
      </c>
      <c r="D1786" s="63">
        <v>159.0206</v>
      </c>
      <c r="E1786" s="63">
        <v>2578390</v>
      </c>
      <c r="F1786" s="63" t="s">
        <v>489</v>
      </c>
      <c r="G1786" s="25">
        <f t="shared" si="26"/>
        <v>3.5586584379634356E-3</v>
      </c>
    </row>
    <row r="1787" spans="1:7">
      <c r="A1787" s="63">
        <v>159.1</v>
      </c>
      <c r="B1787" s="63">
        <v>159.239</v>
      </c>
      <c r="C1787" s="63">
        <v>156.5284</v>
      </c>
      <c r="D1787" s="63">
        <v>157.0745</v>
      </c>
      <c r="E1787" s="63">
        <v>3414745</v>
      </c>
      <c r="F1787" s="63" t="s">
        <v>488</v>
      </c>
      <c r="G1787" s="25">
        <f t="shared" si="26"/>
        <v>1.2895154846903845E-2</v>
      </c>
    </row>
    <row r="1788" spans="1:7">
      <c r="A1788" s="63">
        <v>155.85319999999999</v>
      </c>
      <c r="B1788" s="63">
        <v>157.2259</v>
      </c>
      <c r="C1788" s="63">
        <v>155.53550000000001</v>
      </c>
      <c r="D1788" s="63">
        <v>155.92269999999999</v>
      </c>
      <c r="E1788" s="63">
        <v>5642884</v>
      </c>
      <c r="F1788" s="63" t="s">
        <v>487</v>
      </c>
      <c r="G1788" s="25">
        <f t="shared" si="26"/>
        <v>-4.4573368726941176E-4</v>
      </c>
    </row>
    <row r="1789" spans="1:7">
      <c r="A1789" s="63">
        <v>157.3426</v>
      </c>
      <c r="B1789" s="63">
        <v>157.66030000000001</v>
      </c>
      <c r="C1789" s="63">
        <v>155.33690000000001</v>
      </c>
      <c r="D1789" s="63">
        <v>157.2731</v>
      </c>
      <c r="E1789" s="63">
        <v>2848571</v>
      </c>
      <c r="F1789" s="63" t="s">
        <v>486</v>
      </c>
      <c r="G1789" s="25">
        <f t="shared" si="26"/>
        <v>4.4190646715813742E-4</v>
      </c>
    </row>
    <row r="1790" spans="1:7">
      <c r="A1790" s="63">
        <v>157.43190000000001</v>
      </c>
      <c r="B1790" s="63">
        <v>159.1</v>
      </c>
      <c r="C1790" s="63">
        <v>156.89580000000001</v>
      </c>
      <c r="D1790" s="63">
        <v>158.49430000000001</v>
      </c>
      <c r="E1790" s="63">
        <v>4315403</v>
      </c>
      <c r="F1790" s="63" t="s">
        <v>485</v>
      </c>
      <c r="G1790" s="25">
        <f t="shared" si="26"/>
        <v>-6.7030801738611201E-3</v>
      </c>
    </row>
    <row r="1791" spans="1:7">
      <c r="A1791" s="63">
        <v>157.3922</v>
      </c>
      <c r="B1791" s="63">
        <v>161.64179999999999</v>
      </c>
      <c r="C1791" s="63">
        <v>154.72139999999999</v>
      </c>
      <c r="D1791" s="63">
        <v>161.55240000000001</v>
      </c>
      <c r="E1791" s="63">
        <v>6295218</v>
      </c>
      <c r="F1791" s="63" t="s">
        <v>484</v>
      </c>
      <c r="G1791" s="25">
        <f t="shared" si="26"/>
        <v>-2.5751397069929016E-2</v>
      </c>
    </row>
    <row r="1792" spans="1:7">
      <c r="A1792" s="63">
        <v>161.4631</v>
      </c>
      <c r="B1792" s="63">
        <v>161.9794</v>
      </c>
      <c r="C1792" s="63">
        <v>159.50710000000001</v>
      </c>
      <c r="D1792" s="63">
        <v>160.62899999999999</v>
      </c>
      <c r="E1792" s="63">
        <v>3819829</v>
      </c>
      <c r="F1792" s="63" t="s">
        <v>483</v>
      </c>
      <c r="G1792" s="25">
        <f t="shared" si="26"/>
        <v>5.1927111542748872E-3</v>
      </c>
    </row>
    <row r="1793" spans="1:7">
      <c r="A1793" s="63">
        <v>159.3681</v>
      </c>
      <c r="B1793" s="63">
        <v>159.84460000000001</v>
      </c>
      <c r="C1793" s="63">
        <v>157.77940000000001</v>
      </c>
      <c r="D1793" s="63">
        <v>159.71559999999999</v>
      </c>
      <c r="E1793" s="63">
        <v>3158591</v>
      </c>
      <c r="F1793" s="63" t="s">
        <v>482</v>
      </c>
      <c r="G1793" s="25">
        <f t="shared" si="26"/>
        <v>-2.1757423820841781E-3</v>
      </c>
    </row>
    <row r="1794" spans="1:7">
      <c r="A1794" s="63">
        <v>160.0333</v>
      </c>
      <c r="B1794" s="63">
        <v>160.52969999999999</v>
      </c>
      <c r="C1794" s="63">
        <v>157.38339999999999</v>
      </c>
      <c r="D1794" s="63">
        <v>158.96100000000001</v>
      </c>
      <c r="E1794" s="63">
        <v>4601126</v>
      </c>
      <c r="F1794" s="63" t="s">
        <v>481</v>
      </c>
      <c r="G1794" s="25">
        <f t="shared" si="26"/>
        <v>6.7456797579279471E-3</v>
      </c>
    </row>
    <row r="1795" spans="1:7">
      <c r="A1795" s="63">
        <v>157.2433</v>
      </c>
      <c r="B1795" s="63">
        <v>157.3724</v>
      </c>
      <c r="C1795" s="63">
        <v>154.3192</v>
      </c>
      <c r="D1795" s="63">
        <v>155.75399999999999</v>
      </c>
      <c r="E1795" s="63">
        <v>4913087</v>
      </c>
      <c r="F1795" s="63" t="s">
        <v>480</v>
      </c>
      <c r="G1795" s="25">
        <f t="shared" si="26"/>
        <v>9.5618732103188719E-3</v>
      </c>
    </row>
    <row r="1796" spans="1:7">
      <c r="A1796" s="63">
        <v>154.07599999999999</v>
      </c>
      <c r="B1796" s="63">
        <v>155.36670000000001</v>
      </c>
      <c r="C1796" s="63">
        <v>152.4179</v>
      </c>
      <c r="D1796" s="63">
        <v>154.58240000000001</v>
      </c>
      <c r="E1796" s="63">
        <v>4424829</v>
      </c>
      <c r="F1796" s="63" t="s">
        <v>479</v>
      </c>
      <c r="G1796" s="25">
        <f t="shared" si="26"/>
        <v>-3.2759227441158112E-3</v>
      </c>
    </row>
    <row r="1797" spans="1:7">
      <c r="A1797" s="63">
        <v>154.0164</v>
      </c>
      <c r="B1797" s="63">
        <v>158.16669999999999</v>
      </c>
      <c r="C1797" s="63">
        <v>151.286</v>
      </c>
      <c r="D1797" s="63">
        <v>157.86879999999999</v>
      </c>
      <c r="E1797" s="63">
        <v>8218682</v>
      </c>
      <c r="F1797" s="63" t="s">
        <v>478</v>
      </c>
      <c r="G1797" s="25">
        <f t="shared" si="26"/>
        <v>-2.4402541857542426E-2</v>
      </c>
    </row>
    <row r="1798" spans="1:7">
      <c r="A1798" s="63">
        <v>158.26599999999999</v>
      </c>
      <c r="B1798" s="63">
        <v>160.917</v>
      </c>
      <c r="C1798" s="63">
        <v>156.27029999999999</v>
      </c>
      <c r="D1798" s="63">
        <v>160.28149999999999</v>
      </c>
      <c r="E1798" s="63">
        <v>6910264</v>
      </c>
      <c r="F1798" s="63" t="s">
        <v>477</v>
      </c>
      <c r="G1798" s="25">
        <f t="shared" si="26"/>
        <v>-1.257475129693697E-2</v>
      </c>
    </row>
    <row r="1799" spans="1:7">
      <c r="A1799" s="63">
        <v>159.7354</v>
      </c>
      <c r="B1799" s="63">
        <v>160.44909999999999</v>
      </c>
      <c r="C1799" s="63">
        <v>158.09129999999999</v>
      </c>
      <c r="D1799" s="63">
        <v>159.09010000000001</v>
      </c>
      <c r="E1799" s="63">
        <v>3795625</v>
      </c>
      <c r="F1799" s="63" t="s">
        <v>476</v>
      </c>
      <c r="G1799" s="25">
        <f t="shared" si="26"/>
        <v>4.0561920572053101E-3</v>
      </c>
    </row>
    <row r="1800" spans="1:7">
      <c r="A1800" s="63">
        <v>160.351</v>
      </c>
      <c r="B1800" s="63">
        <v>165.30549999999999</v>
      </c>
      <c r="C1800" s="63">
        <v>160.2021</v>
      </c>
      <c r="D1800" s="63">
        <v>164.77930000000001</v>
      </c>
      <c r="E1800" s="63">
        <v>5614288</v>
      </c>
      <c r="F1800" s="63" t="s">
        <v>475</v>
      </c>
      <c r="G1800" s="25">
        <f t="shared" si="26"/>
        <v>-2.687412800030109E-2</v>
      </c>
    </row>
    <row r="1801" spans="1:7">
      <c r="A1801" s="63">
        <v>165.76220000000001</v>
      </c>
      <c r="B1801" s="63">
        <v>165.80199999999999</v>
      </c>
      <c r="C1801" s="63">
        <v>161.59209999999999</v>
      </c>
      <c r="D1801" s="63">
        <v>162.00909999999999</v>
      </c>
      <c r="E1801" s="63">
        <v>4277816</v>
      </c>
      <c r="F1801" s="63" t="s">
        <v>474</v>
      </c>
      <c r="G1801" s="25">
        <f t="shared" si="26"/>
        <v>2.3165982651591976E-2</v>
      </c>
    </row>
    <row r="1802" spans="1:7">
      <c r="A1802" s="63">
        <v>162.3467</v>
      </c>
      <c r="B1802" s="63">
        <v>163.7765</v>
      </c>
      <c r="C1802" s="63">
        <v>160.36089999999999</v>
      </c>
      <c r="D1802" s="63">
        <v>162.67439999999999</v>
      </c>
      <c r="E1802" s="63">
        <v>4391046</v>
      </c>
      <c r="F1802" s="63" t="s">
        <v>473</v>
      </c>
      <c r="G1802" s="25">
        <f t="shared" si="26"/>
        <v>-2.0144534112311874E-3</v>
      </c>
    </row>
    <row r="1803" spans="1:7">
      <c r="A1803" s="63">
        <v>162.7637</v>
      </c>
      <c r="B1803" s="63">
        <v>163.44880000000001</v>
      </c>
      <c r="C1803" s="63">
        <v>160.4503</v>
      </c>
      <c r="D1803" s="63">
        <v>161.3638</v>
      </c>
      <c r="E1803" s="63">
        <v>4378959</v>
      </c>
      <c r="F1803" s="63" t="s">
        <v>472</v>
      </c>
      <c r="G1803" s="25">
        <f t="shared" si="26"/>
        <v>8.6754278221012893E-3</v>
      </c>
    </row>
    <row r="1804" spans="1:7">
      <c r="A1804" s="63">
        <v>160.7978</v>
      </c>
      <c r="B1804" s="63">
        <v>162.16800000000001</v>
      </c>
      <c r="C1804" s="63">
        <v>159.7353</v>
      </c>
      <c r="D1804" s="63">
        <v>160.2517</v>
      </c>
      <c r="E1804" s="63">
        <v>3575800</v>
      </c>
      <c r="F1804" s="63" t="s">
        <v>471</v>
      </c>
      <c r="G1804" s="25">
        <f t="shared" si="26"/>
        <v>3.4077641610041898E-3</v>
      </c>
    </row>
    <row r="1805" spans="1:7">
      <c r="A1805" s="63">
        <v>160.36089999999999</v>
      </c>
      <c r="B1805" s="63">
        <v>161.02619999999999</v>
      </c>
      <c r="C1805" s="63">
        <v>158.0575</v>
      </c>
      <c r="D1805" s="63">
        <v>159.49709999999999</v>
      </c>
      <c r="E1805" s="63">
        <v>6743790</v>
      </c>
      <c r="F1805" s="63" t="s">
        <v>470</v>
      </c>
      <c r="G1805" s="25">
        <f t="shared" si="26"/>
        <v>5.4157724497811977E-3</v>
      </c>
    </row>
    <row r="1806" spans="1:7">
      <c r="A1806" s="63">
        <v>159.52690000000001</v>
      </c>
      <c r="B1806" s="63">
        <v>160.44040000000001</v>
      </c>
      <c r="C1806" s="63">
        <v>158.6035</v>
      </c>
      <c r="D1806" s="63">
        <v>159.8049</v>
      </c>
      <c r="E1806" s="63">
        <v>3247216</v>
      </c>
      <c r="F1806" s="63" t="s">
        <v>469</v>
      </c>
      <c r="G1806" s="25">
        <f t="shared" si="26"/>
        <v>-1.7396212506625153E-3</v>
      </c>
    </row>
    <row r="1807" spans="1:7">
      <c r="A1807" s="63">
        <v>158.673</v>
      </c>
      <c r="B1807" s="63">
        <v>160.8475</v>
      </c>
      <c r="C1807" s="63">
        <v>157.48159999999999</v>
      </c>
      <c r="D1807" s="63">
        <v>157.7199</v>
      </c>
      <c r="E1807" s="63">
        <v>5230611</v>
      </c>
      <c r="F1807" s="63" t="s">
        <v>468</v>
      </c>
      <c r="G1807" s="25">
        <f t="shared" si="26"/>
        <v>6.0429914043820254E-3</v>
      </c>
    </row>
    <row r="1808" spans="1:7">
      <c r="A1808" s="63">
        <v>157.15389999999999</v>
      </c>
      <c r="B1808" s="63">
        <v>158.2362</v>
      </c>
      <c r="C1808" s="63">
        <v>156.0419</v>
      </c>
      <c r="D1808" s="63">
        <v>156.8759</v>
      </c>
      <c r="E1808" s="63">
        <v>4082085</v>
      </c>
      <c r="F1808" s="63" t="s">
        <v>467</v>
      </c>
      <c r="G1808" s="25">
        <f t="shared" si="26"/>
        <v>1.7721013871474511E-3</v>
      </c>
    </row>
    <row r="1809" spans="1:7">
      <c r="A1809" s="63">
        <v>156.5284</v>
      </c>
      <c r="B1809" s="63">
        <v>156.64760000000001</v>
      </c>
      <c r="C1809" s="63">
        <v>152.33850000000001</v>
      </c>
      <c r="D1809" s="63">
        <v>154.79089999999999</v>
      </c>
      <c r="E1809" s="63">
        <v>5699541</v>
      </c>
      <c r="F1809" s="63" t="s">
        <v>466</v>
      </c>
      <c r="G1809" s="25">
        <f t="shared" si="26"/>
        <v>1.1224820063711727E-2</v>
      </c>
    </row>
    <row r="1810" spans="1:7">
      <c r="A1810" s="63">
        <v>153.95679999999999</v>
      </c>
      <c r="B1810" s="63">
        <v>154.30430000000001</v>
      </c>
      <c r="C1810" s="63">
        <v>149.18109999999999</v>
      </c>
      <c r="D1810" s="63">
        <v>150.9385</v>
      </c>
      <c r="E1810" s="63">
        <v>4800711</v>
      </c>
      <c r="F1810" s="63" t="s">
        <v>465</v>
      </c>
      <c r="G1810" s="25">
        <f t="shared" si="26"/>
        <v>1.9996886148994308E-2</v>
      </c>
    </row>
    <row r="1811" spans="1:7">
      <c r="A1811" s="63">
        <v>154.49299999999999</v>
      </c>
      <c r="B1811" s="63">
        <v>156.46879999999999</v>
      </c>
      <c r="C1811" s="63">
        <v>153.70859999999999</v>
      </c>
      <c r="D1811" s="63">
        <v>154.9795</v>
      </c>
      <c r="E1811" s="63">
        <v>6916457</v>
      </c>
      <c r="F1811" s="63" t="s">
        <v>464</v>
      </c>
      <c r="G1811" s="25">
        <f t="shared" si="26"/>
        <v>-3.139124851996633E-3</v>
      </c>
    </row>
    <row r="1812" spans="1:7">
      <c r="A1812" s="63">
        <v>155.67449999999999</v>
      </c>
      <c r="B1812" s="63">
        <v>159.10990000000001</v>
      </c>
      <c r="C1812" s="63">
        <v>155.1662</v>
      </c>
      <c r="D1812" s="63">
        <v>156.0121</v>
      </c>
      <c r="E1812" s="63">
        <v>7436333</v>
      </c>
      <c r="F1812" s="63" t="s">
        <v>463</v>
      </c>
      <c r="G1812" s="25">
        <f t="shared" si="26"/>
        <v>-2.1639347204480686E-3</v>
      </c>
    </row>
    <row r="1813" spans="1:7">
      <c r="A1813" s="63">
        <v>155.85319999999999</v>
      </c>
      <c r="B1813" s="63">
        <v>159.7354</v>
      </c>
      <c r="C1813" s="63">
        <v>153.6987</v>
      </c>
      <c r="D1813" s="63">
        <v>158.78229999999999</v>
      </c>
      <c r="E1813" s="63">
        <v>16042915</v>
      </c>
      <c r="F1813" s="63" t="s">
        <v>462</v>
      </c>
      <c r="G1813" s="25">
        <f t="shared" si="26"/>
        <v>-1.8447270256193526E-2</v>
      </c>
    </row>
    <row r="1814" spans="1:7">
      <c r="A1814" s="63">
        <v>157.3724</v>
      </c>
      <c r="B1814" s="63">
        <v>164.6105</v>
      </c>
      <c r="C1814" s="63">
        <v>154.3143</v>
      </c>
      <c r="D1814" s="63">
        <v>164.38210000000001</v>
      </c>
      <c r="E1814" s="63">
        <v>17886304</v>
      </c>
      <c r="F1814" s="63" t="s">
        <v>461</v>
      </c>
      <c r="G1814" s="25">
        <f t="shared" si="26"/>
        <v>-4.2642720831526093E-2</v>
      </c>
    </row>
    <row r="1815" spans="1:7">
      <c r="A1815" s="63">
        <v>163.3595</v>
      </c>
      <c r="B1815" s="63">
        <v>164.96789999999999</v>
      </c>
      <c r="C1815" s="63">
        <v>160.5992</v>
      </c>
      <c r="D1815" s="63">
        <v>163.9751</v>
      </c>
      <c r="E1815" s="63">
        <v>6919941</v>
      </c>
      <c r="F1815" s="63" t="s">
        <v>460</v>
      </c>
      <c r="G1815" s="25">
        <f t="shared" si="26"/>
        <v>-3.7542285383573848E-3</v>
      </c>
    </row>
    <row r="1816" spans="1:7">
      <c r="A1816" s="63">
        <v>162.48570000000001</v>
      </c>
      <c r="B1816" s="63">
        <v>163.429</v>
      </c>
      <c r="C1816" s="63">
        <v>161.0163</v>
      </c>
      <c r="D1816" s="63">
        <v>161.84030000000001</v>
      </c>
      <c r="E1816" s="63">
        <v>6908054</v>
      </c>
      <c r="F1816" s="63" t="s">
        <v>459</v>
      </c>
      <c r="G1816" s="25">
        <f t="shared" si="26"/>
        <v>3.987881881089006E-3</v>
      </c>
    </row>
    <row r="1817" spans="1:7">
      <c r="A1817" s="63">
        <v>161.95949999999999</v>
      </c>
      <c r="B1817" s="63">
        <v>162.36660000000001</v>
      </c>
      <c r="C1817" s="63">
        <v>159.35810000000001</v>
      </c>
      <c r="D1817" s="63">
        <v>161.1354</v>
      </c>
      <c r="E1817" s="63">
        <v>4278257</v>
      </c>
      <c r="F1817" s="63" t="s">
        <v>458</v>
      </c>
      <c r="G1817" s="25">
        <f t="shared" si="26"/>
        <v>5.1143324185745076E-3</v>
      </c>
    </row>
    <row r="1818" spans="1:7">
      <c r="A1818" s="63">
        <v>161.84030000000001</v>
      </c>
      <c r="B1818" s="63">
        <v>162.2176</v>
      </c>
      <c r="C1818" s="63">
        <v>158.73259999999999</v>
      </c>
      <c r="D1818" s="63">
        <v>159.66589999999999</v>
      </c>
      <c r="E1818" s="63">
        <v>4496279</v>
      </c>
      <c r="F1818" s="63" t="s">
        <v>457</v>
      </c>
      <c r="G1818" s="25">
        <f t="shared" si="26"/>
        <v>1.3618436998758199E-2</v>
      </c>
    </row>
    <row r="1819" spans="1:7">
      <c r="A1819" s="63">
        <v>160.21199999999999</v>
      </c>
      <c r="B1819" s="63">
        <v>161.8999</v>
      </c>
      <c r="C1819" s="63">
        <v>159.7851</v>
      </c>
      <c r="D1819" s="63">
        <v>161.35380000000001</v>
      </c>
      <c r="E1819" s="63">
        <v>5076691</v>
      </c>
      <c r="F1819" s="63" t="s">
        <v>456</v>
      </c>
      <c r="G1819" s="25">
        <f t="shared" si="26"/>
        <v>-7.0763750218465482E-3</v>
      </c>
    </row>
    <row r="1820" spans="1:7">
      <c r="A1820" s="63">
        <v>160.16239999999999</v>
      </c>
      <c r="B1820" s="63">
        <v>160.55950000000001</v>
      </c>
      <c r="C1820" s="63">
        <v>159.06030000000001</v>
      </c>
      <c r="D1820" s="63">
        <v>159.32830000000001</v>
      </c>
      <c r="E1820" s="63">
        <v>4175005</v>
      </c>
      <c r="F1820" s="63" t="s">
        <v>455</v>
      </c>
      <c r="G1820" s="25">
        <f t="shared" si="26"/>
        <v>5.2351026151662428E-3</v>
      </c>
    </row>
    <row r="1821" spans="1:7">
      <c r="A1821" s="63">
        <v>158.49430000000001</v>
      </c>
      <c r="B1821" s="63">
        <v>159.3383</v>
      </c>
      <c r="C1821" s="63">
        <v>156.18090000000001</v>
      </c>
      <c r="D1821" s="63">
        <v>156.57810000000001</v>
      </c>
      <c r="E1821" s="63">
        <v>4463028</v>
      </c>
      <c r="F1821" s="63" t="s">
        <v>454</v>
      </c>
      <c r="G1821" s="25">
        <f t="shared" si="26"/>
        <v>1.223798219546679E-2</v>
      </c>
    </row>
    <row r="1822" spans="1:7">
      <c r="A1822" s="63">
        <v>157.41210000000001</v>
      </c>
      <c r="B1822" s="63">
        <v>160.34110000000001</v>
      </c>
      <c r="C1822" s="63">
        <v>156.0915</v>
      </c>
      <c r="D1822" s="63">
        <v>159.1893</v>
      </c>
      <c r="E1822" s="63">
        <v>7047244</v>
      </c>
      <c r="F1822" s="63" t="s">
        <v>453</v>
      </c>
      <c r="G1822" s="25">
        <f t="shared" si="26"/>
        <v>-1.1164066931634187E-2</v>
      </c>
    </row>
    <row r="1823" spans="1:7">
      <c r="A1823" s="63">
        <v>159.4674</v>
      </c>
      <c r="B1823" s="63">
        <v>160.3312</v>
      </c>
      <c r="C1823" s="63">
        <v>158.0078</v>
      </c>
      <c r="D1823" s="63">
        <v>158.5241</v>
      </c>
      <c r="E1823" s="63">
        <v>3883224</v>
      </c>
      <c r="F1823" s="63" t="s">
        <v>452</v>
      </c>
      <c r="G1823" s="25">
        <f t="shared" si="26"/>
        <v>5.9505147797715985E-3</v>
      </c>
    </row>
    <row r="1824" spans="1:7">
      <c r="A1824" s="63">
        <v>157.91839999999999</v>
      </c>
      <c r="B1824" s="63">
        <v>160.07300000000001</v>
      </c>
      <c r="C1824" s="63">
        <v>156.96530000000001</v>
      </c>
      <c r="D1824" s="63">
        <v>159.84460000000001</v>
      </c>
      <c r="E1824" s="63">
        <v>5281967</v>
      </c>
      <c r="F1824" s="63" t="s">
        <v>451</v>
      </c>
      <c r="G1824" s="25">
        <f t="shared" si="26"/>
        <v>-1.205045400345095E-2</v>
      </c>
    </row>
    <row r="1825" spans="1:7">
      <c r="A1825" s="63">
        <v>158.3355</v>
      </c>
      <c r="B1825" s="63">
        <v>159.29859999999999</v>
      </c>
      <c r="C1825" s="63">
        <v>155.59110000000001</v>
      </c>
      <c r="D1825" s="63">
        <v>158.3355</v>
      </c>
      <c r="E1825" s="63">
        <v>5061105</v>
      </c>
      <c r="F1825" s="63" t="s">
        <v>450</v>
      </c>
      <c r="G1825" s="25">
        <f t="shared" si="26"/>
        <v>0</v>
      </c>
    </row>
    <row r="1826" spans="1:7">
      <c r="A1826" s="63">
        <v>159.25880000000001</v>
      </c>
      <c r="B1826" s="63">
        <v>162.40629999999999</v>
      </c>
      <c r="C1826" s="63">
        <v>159.12979999999999</v>
      </c>
      <c r="D1826" s="63">
        <v>162.27719999999999</v>
      </c>
      <c r="E1826" s="63">
        <v>5295969</v>
      </c>
      <c r="F1826" s="63" t="s">
        <v>449</v>
      </c>
      <c r="G1826" s="25">
        <f t="shared" si="26"/>
        <v>-1.860027163396949E-2</v>
      </c>
    </row>
    <row r="1827" spans="1:7">
      <c r="A1827" s="63">
        <v>161.6318</v>
      </c>
      <c r="B1827" s="63">
        <v>162.2276</v>
      </c>
      <c r="C1827" s="63">
        <v>158.89150000000001</v>
      </c>
      <c r="D1827" s="63">
        <v>160.1028</v>
      </c>
      <c r="E1827" s="63">
        <v>5631693</v>
      </c>
      <c r="F1827" s="63" t="s">
        <v>448</v>
      </c>
      <c r="G1827" s="25">
        <f t="shared" si="26"/>
        <v>9.550114051721792E-3</v>
      </c>
    </row>
    <row r="1828" spans="1:7">
      <c r="A1828" s="63">
        <v>158.7723</v>
      </c>
      <c r="B1828" s="63">
        <v>160.351</v>
      </c>
      <c r="C1828" s="63">
        <v>156.44900000000001</v>
      </c>
      <c r="D1828" s="63">
        <v>157.0745</v>
      </c>
      <c r="E1828" s="63">
        <v>7125450</v>
      </c>
      <c r="F1828" s="63" t="s">
        <v>447</v>
      </c>
      <c r="G1828" s="25">
        <f t="shared" si="26"/>
        <v>1.0808883682583703E-2</v>
      </c>
    </row>
    <row r="1829" spans="1:7">
      <c r="A1829" s="63">
        <v>155.55539999999999</v>
      </c>
      <c r="B1829" s="63">
        <v>155.58519999999999</v>
      </c>
      <c r="C1829" s="63">
        <v>151.62360000000001</v>
      </c>
      <c r="D1829" s="63">
        <v>151.82210000000001</v>
      </c>
      <c r="E1829" s="63">
        <v>3018703</v>
      </c>
      <c r="F1829" s="63" t="s">
        <v>446</v>
      </c>
      <c r="G1829" s="25">
        <f t="shared" si="26"/>
        <v>2.4589964175175894E-2</v>
      </c>
    </row>
    <row r="1830" spans="1:7">
      <c r="A1830" s="63">
        <v>153.8278</v>
      </c>
      <c r="B1830" s="63">
        <v>155.9426</v>
      </c>
      <c r="C1830" s="63">
        <v>152.2689</v>
      </c>
      <c r="D1830" s="63">
        <v>154.85040000000001</v>
      </c>
      <c r="E1830" s="63">
        <v>4545469</v>
      </c>
      <c r="F1830" s="63" t="s">
        <v>445</v>
      </c>
      <c r="G1830" s="25">
        <f t="shared" si="26"/>
        <v>-6.6037930802891331E-3</v>
      </c>
    </row>
    <row r="1831" spans="1:7">
      <c r="A1831" s="63">
        <v>157.005</v>
      </c>
      <c r="B1831" s="63">
        <v>157.96809999999999</v>
      </c>
      <c r="C1831" s="63">
        <v>153.97669999999999</v>
      </c>
      <c r="D1831" s="63">
        <v>157.86879999999999</v>
      </c>
      <c r="E1831" s="63">
        <v>4205093</v>
      </c>
      <c r="F1831" s="63" t="s">
        <v>444</v>
      </c>
      <c r="G1831" s="25">
        <f t="shared" si="26"/>
        <v>-5.471632140106153E-3</v>
      </c>
    </row>
    <row r="1832" spans="1:7">
      <c r="A1832" s="63">
        <v>157.85890000000001</v>
      </c>
      <c r="B1832" s="63">
        <v>158.74250000000001</v>
      </c>
      <c r="C1832" s="63">
        <v>156.69220000000001</v>
      </c>
      <c r="D1832" s="63">
        <v>157.21350000000001</v>
      </c>
      <c r="E1832" s="63">
        <v>4575588</v>
      </c>
      <c r="F1832" s="63" t="s">
        <v>443</v>
      </c>
      <c r="G1832" s="25">
        <f t="shared" si="26"/>
        <v>4.1052454146748296E-3</v>
      </c>
    </row>
    <row r="1833" spans="1:7">
      <c r="A1833" s="63">
        <v>156.59790000000001</v>
      </c>
      <c r="B1833" s="63">
        <v>157.76929999999999</v>
      </c>
      <c r="C1833" s="63">
        <v>154.30430000000001</v>
      </c>
      <c r="D1833" s="63">
        <v>154.91</v>
      </c>
      <c r="E1833" s="63">
        <v>5264678</v>
      </c>
      <c r="F1833" s="63" t="s">
        <v>442</v>
      </c>
      <c r="G1833" s="25">
        <f t="shared" si="26"/>
        <v>1.0896004131431214E-2</v>
      </c>
    </row>
    <row r="1834" spans="1:7">
      <c r="A1834" s="63">
        <v>154.7611</v>
      </c>
      <c r="B1834" s="63">
        <v>154.84049999999999</v>
      </c>
      <c r="C1834" s="63">
        <v>149.99520000000001</v>
      </c>
      <c r="D1834" s="63">
        <v>151.3158</v>
      </c>
      <c r="E1834" s="63">
        <v>5959186</v>
      </c>
      <c r="F1834" s="63" t="s">
        <v>441</v>
      </c>
      <c r="G1834" s="25">
        <f t="shared" si="26"/>
        <v>2.2768937546508772E-2</v>
      </c>
    </row>
    <row r="1835" spans="1:7">
      <c r="A1835" s="63">
        <v>150.8888</v>
      </c>
      <c r="B1835" s="63">
        <v>152.28880000000001</v>
      </c>
      <c r="C1835" s="63">
        <v>147.65199999999999</v>
      </c>
      <c r="D1835" s="63">
        <v>147.9598</v>
      </c>
      <c r="E1835" s="63">
        <v>8615902</v>
      </c>
      <c r="F1835" s="63" t="s">
        <v>440</v>
      </c>
      <c r="G1835" s="25">
        <f t="shared" si="26"/>
        <v>1.9795917539764174E-2</v>
      </c>
    </row>
    <row r="1836" spans="1:7">
      <c r="A1836" s="63">
        <v>148.09880000000001</v>
      </c>
      <c r="B1836" s="63">
        <v>148.625</v>
      </c>
      <c r="C1836" s="63">
        <v>145.04069999999999</v>
      </c>
      <c r="D1836" s="63">
        <v>146.14279999999999</v>
      </c>
      <c r="E1836" s="63">
        <v>4653365</v>
      </c>
      <c r="F1836" s="63" t="s">
        <v>439</v>
      </c>
      <c r="G1836" s="25">
        <f t="shared" si="26"/>
        <v>1.3384169456175821E-2</v>
      </c>
    </row>
    <row r="1837" spans="1:7">
      <c r="A1837" s="63">
        <v>144.14709999999999</v>
      </c>
      <c r="B1837" s="63">
        <v>146.94710000000001</v>
      </c>
      <c r="C1837" s="63">
        <v>143.61240000000001</v>
      </c>
      <c r="D1837" s="63">
        <v>146.02369999999999</v>
      </c>
      <c r="E1837" s="63">
        <v>3915058</v>
      </c>
      <c r="F1837" s="63" t="s">
        <v>438</v>
      </c>
      <c r="G1837" s="25">
        <f t="shared" si="26"/>
        <v>-1.2851338515597055E-2</v>
      </c>
    </row>
    <row r="1838" spans="1:7">
      <c r="A1838" s="63">
        <v>146.2818</v>
      </c>
      <c r="B1838" s="63">
        <v>147.1456</v>
      </c>
      <c r="C1838" s="63">
        <v>145.06059999999999</v>
      </c>
      <c r="D1838" s="63">
        <v>147.11590000000001</v>
      </c>
      <c r="E1838" s="63">
        <v>4054718</v>
      </c>
      <c r="F1838" s="63" t="s">
        <v>437</v>
      </c>
      <c r="G1838" s="25">
        <f t="shared" si="26"/>
        <v>-5.6696794839987685E-3</v>
      </c>
    </row>
    <row r="1839" spans="1:7">
      <c r="A1839" s="63">
        <v>148.6747</v>
      </c>
      <c r="B1839" s="63">
        <v>148.8236</v>
      </c>
      <c r="C1839" s="63">
        <v>146.50030000000001</v>
      </c>
      <c r="D1839" s="63">
        <v>147.47329999999999</v>
      </c>
      <c r="E1839" s="63">
        <v>4601702</v>
      </c>
      <c r="F1839" s="63" t="s">
        <v>436</v>
      </c>
      <c r="G1839" s="25">
        <f t="shared" si="26"/>
        <v>8.1465594110934347E-3</v>
      </c>
    </row>
    <row r="1840" spans="1:7">
      <c r="A1840" s="63">
        <v>145.82509999999999</v>
      </c>
      <c r="B1840" s="63">
        <v>149.42930000000001</v>
      </c>
      <c r="C1840" s="63">
        <v>145.4776</v>
      </c>
      <c r="D1840" s="63">
        <v>148.88319999999999</v>
      </c>
      <c r="E1840" s="63">
        <v>6734711</v>
      </c>
      <c r="F1840" s="63" t="s">
        <v>435</v>
      </c>
      <c r="G1840" s="25">
        <f t="shared" si="26"/>
        <v>-2.0540262433907941E-2</v>
      </c>
    </row>
    <row r="1841" spans="1:7">
      <c r="A1841" s="63">
        <v>148.68459999999999</v>
      </c>
      <c r="B1841" s="63">
        <v>149.72710000000001</v>
      </c>
      <c r="C1841" s="63">
        <v>146.59960000000001</v>
      </c>
      <c r="D1841" s="63">
        <v>148.66480000000001</v>
      </c>
      <c r="E1841" s="63">
        <v>3335360</v>
      </c>
      <c r="F1841" s="63" t="s">
        <v>434</v>
      </c>
      <c r="G1841" s="25">
        <f t="shared" si="26"/>
        <v>1.3318552878671674E-4</v>
      </c>
    </row>
    <row r="1842" spans="1:7">
      <c r="A1842" s="63">
        <v>147.8903</v>
      </c>
      <c r="B1842" s="63">
        <v>150.303</v>
      </c>
      <c r="C1842" s="63">
        <v>146.35130000000001</v>
      </c>
      <c r="D1842" s="63">
        <v>149.2704</v>
      </c>
      <c r="E1842" s="63">
        <v>5203299</v>
      </c>
      <c r="F1842" s="63" t="s">
        <v>433</v>
      </c>
      <c r="G1842" s="25">
        <f t="shared" si="26"/>
        <v>-9.2456374472098535E-3</v>
      </c>
    </row>
    <row r="1843" spans="1:7">
      <c r="A1843" s="63">
        <v>151.42500000000001</v>
      </c>
      <c r="B1843" s="63">
        <v>152.17959999999999</v>
      </c>
      <c r="C1843" s="63">
        <v>149.1711</v>
      </c>
      <c r="D1843" s="63">
        <v>150.74979999999999</v>
      </c>
      <c r="E1843" s="63">
        <v>6151237</v>
      </c>
      <c r="F1843" s="63" t="s">
        <v>432</v>
      </c>
      <c r="G1843" s="25">
        <f t="shared" si="26"/>
        <v>4.4789445823478768E-3</v>
      </c>
    </row>
    <row r="1844" spans="1:7">
      <c r="A1844" s="63">
        <v>148.75409999999999</v>
      </c>
      <c r="B1844" s="63">
        <v>149.64769999999999</v>
      </c>
      <c r="C1844" s="63">
        <v>146.6343</v>
      </c>
      <c r="D1844" s="63">
        <v>147.48320000000001</v>
      </c>
      <c r="E1844" s="63">
        <v>3743179</v>
      </c>
      <c r="F1844" s="63" t="s">
        <v>431</v>
      </c>
      <c r="G1844" s="25">
        <f t="shared" si="26"/>
        <v>8.6172526769150437E-3</v>
      </c>
    </row>
    <row r="1845" spans="1:7">
      <c r="A1845" s="63">
        <v>147.48320000000001</v>
      </c>
      <c r="B1845" s="63">
        <v>148.7243</v>
      </c>
      <c r="C1845" s="63">
        <v>146.74850000000001</v>
      </c>
      <c r="D1845" s="63">
        <v>148.0889</v>
      </c>
      <c r="E1845" s="63">
        <v>3936819</v>
      </c>
      <c r="F1845" s="63" t="s">
        <v>430</v>
      </c>
      <c r="G1845" s="25">
        <f t="shared" si="26"/>
        <v>-4.090110737536623E-3</v>
      </c>
    </row>
    <row r="1846" spans="1:7">
      <c r="A1846" s="63">
        <v>148.12860000000001</v>
      </c>
      <c r="B1846" s="63">
        <v>148.7938</v>
      </c>
      <c r="C1846" s="63">
        <v>144.7627</v>
      </c>
      <c r="D1846" s="63">
        <v>145.30879999999999</v>
      </c>
      <c r="E1846" s="63">
        <v>5350387</v>
      </c>
      <c r="F1846" s="63" t="s">
        <v>429</v>
      </c>
      <c r="G1846" s="25">
        <f t="shared" si="26"/>
        <v>1.9405569380519294E-2</v>
      </c>
    </row>
    <row r="1847" spans="1:7">
      <c r="A1847" s="63">
        <v>145.01089999999999</v>
      </c>
      <c r="B1847" s="63">
        <v>145.68610000000001</v>
      </c>
      <c r="C1847" s="63">
        <v>143.6705</v>
      </c>
      <c r="D1847" s="63">
        <v>144.7131</v>
      </c>
      <c r="E1847" s="63">
        <v>5815495</v>
      </c>
      <c r="F1847" s="63" t="s">
        <v>428</v>
      </c>
      <c r="G1847" s="25">
        <f t="shared" si="26"/>
        <v>2.0578648373921204E-3</v>
      </c>
    </row>
    <row r="1848" spans="1:7">
      <c r="A1848" s="63">
        <v>146.50030000000001</v>
      </c>
      <c r="B1848" s="63">
        <v>146.9813</v>
      </c>
      <c r="C1848" s="63">
        <v>144.57409999999999</v>
      </c>
      <c r="D1848" s="63">
        <v>145.51730000000001</v>
      </c>
      <c r="E1848" s="63">
        <v>5185239</v>
      </c>
      <c r="F1848" s="63" t="s">
        <v>427</v>
      </c>
      <c r="G1848" s="25">
        <f t="shared" si="26"/>
        <v>6.7552105488488667E-3</v>
      </c>
    </row>
    <row r="1849" spans="1:7">
      <c r="A1849" s="63">
        <v>145.9939</v>
      </c>
      <c r="B1849" s="63">
        <v>146.1627</v>
      </c>
      <c r="C1849" s="63">
        <v>142.7372</v>
      </c>
      <c r="D1849" s="63">
        <v>142.74719999999999</v>
      </c>
      <c r="E1849" s="63">
        <v>5116851</v>
      </c>
      <c r="F1849" s="63" t="s">
        <v>426</v>
      </c>
      <c r="G1849" s="25">
        <f t="shared" ref="G1849:G1912" si="27">A1849/D1849-1</f>
        <v>2.2744404093390402E-2</v>
      </c>
    </row>
    <row r="1850" spans="1:7">
      <c r="A1850" s="63">
        <v>144.95140000000001</v>
      </c>
      <c r="B1850" s="63">
        <v>146.45060000000001</v>
      </c>
      <c r="C1850" s="63">
        <v>143.5018</v>
      </c>
      <c r="D1850" s="63">
        <v>145.845</v>
      </c>
      <c r="E1850" s="63">
        <v>5445930</v>
      </c>
      <c r="F1850" s="63" t="s">
        <v>425</v>
      </c>
      <c r="G1850" s="25">
        <f t="shared" si="27"/>
        <v>-6.1270526929273483E-3</v>
      </c>
    </row>
    <row r="1851" spans="1:7">
      <c r="A1851" s="63">
        <v>144.6833</v>
      </c>
      <c r="B1851" s="63">
        <v>145.41800000000001</v>
      </c>
      <c r="C1851" s="63">
        <v>141.87430000000001</v>
      </c>
      <c r="D1851" s="63">
        <v>143.7003</v>
      </c>
      <c r="E1851" s="63">
        <v>9057281</v>
      </c>
      <c r="F1851" s="63" t="s">
        <v>424</v>
      </c>
      <c r="G1851" s="25">
        <f t="shared" si="27"/>
        <v>6.8406259416300408E-3</v>
      </c>
    </row>
    <row r="1852" spans="1:7">
      <c r="A1852" s="63">
        <v>141.20820000000001</v>
      </c>
      <c r="B1852" s="63">
        <v>142.3699</v>
      </c>
      <c r="C1852" s="63">
        <v>137.80260000000001</v>
      </c>
      <c r="D1852" s="63">
        <v>140.01669999999999</v>
      </c>
      <c r="E1852" s="63">
        <v>9064840</v>
      </c>
      <c r="F1852" s="63" t="s">
        <v>423</v>
      </c>
      <c r="G1852" s="25">
        <f t="shared" si="27"/>
        <v>8.5096992001669758E-3</v>
      </c>
    </row>
    <row r="1853" spans="1:7">
      <c r="A1853" s="63">
        <v>136.9785</v>
      </c>
      <c r="B1853" s="63">
        <v>138.3288</v>
      </c>
      <c r="C1853" s="63">
        <v>131.27930000000001</v>
      </c>
      <c r="D1853" s="63">
        <v>132.55019999999999</v>
      </c>
      <c r="E1853" s="63">
        <v>6650568</v>
      </c>
      <c r="F1853" s="63" t="s">
        <v>422</v>
      </c>
      <c r="G1853" s="25">
        <f t="shared" si="27"/>
        <v>3.3408474676009492E-2</v>
      </c>
    </row>
    <row r="1854" spans="1:7">
      <c r="A1854" s="63">
        <v>129.47229999999999</v>
      </c>
      <c r="B1854" s="63">
        <v>133.8211</v>
      </c>
      <c r="C1854" s="63">
        <v>129.17449999999999</v>
      </c>
      <c r="D1854" s="63">
        <v>132.53039999999999</v>
      </c>
      <c r="E1854" s="63">
        <v>6365650</v>
      </c>
      <c r="F1854" s="63" t="s">
        <v>421</v>
      </c>
      <c r="G1854" s="25">
        <f t="shared" si="27"/>
        <v>-2.3074705878802115E-2</v>
      </c>
    </row>
    <row r="1855" spans="1:7">
      <c r="A1855" s="63">
        <v>134.5856</v>
      </c>
      <c r="B1855" s="63">
        <v>135.85650000000001</v>
      </c>
      <c r="C1855" s="63">
        <v>132.10339999999999</v>
      </c>
      <c r="D1855" s="63">
        <v>132.45089999999999</v>
      </c>
      <c r="E1855" s="63">
        <v>4783943</v>
      </c>
      <c r="F1855" s="63" t="s">
        <v>420</v>
      </c>
      <c r="G1855" s="25">
        <f t="shared" si="27"/>
        <v>1.6116915777846907E-2</v>
      </c>
    </row>
    <row r="1856" spans="1:7">
      <c r="A1856" s="63">
        <v>135.99549999999999</v>
      </c>
      <c r="B1856" s="63">
        <v>136.98840000000001</v>
      </c>
      <c r="C1856" s="63">
        <v>133.53319999999999</v>
      </c>
      <c r="D1856" s="63">
        <v>135.0324</v>
      </c>
      <c r="E1856" s="63">
        <v>5467663</v>
      </c>
      <c r="F1856" s="63" t="s">
        <v>419</v>
      </c>
      <c r="G1856" s="25">
        <f t="shared" si="27"/>
        <v>7.1323623071204434E-3</v>
      </c>
    </row>
    <row r="1857" spans="1:7">
      <c r="A1857" s="63">
        <v>133.7218</v>
      </c>
      <c r="B1857" s="63">
        <v>135.90610000000001</v>
      </c>
      <c r="C1857" s="63">
        <v>131.66659999999999</v>
      </c>
      <c r="D1857" s="63">
        <v>135.0324</v>
      </c>
      <c r="E1857" s="63">
        <v>7276431</v>
      </c>
      <c r="F1857" s="63" t="s">
        <v>418</v>
      </c>
      <c r="G1857" s="25">
        <f t="shared" si="27"/>
        <v>-9.7058187516476657E-3</v>
      </c>
    </row>
    <row r="1858" spans="1:7">
      <c r="A1858" s="63">
        <v>134.2381</v>
      </c>
      <c r="B1858" s="63">
        <v>134.2381</v>
      </c>
      <c r="C1858" s="63">
        <v>126.93049999999999</v>
      </c>
      <c r="D1858" s="63">
        <v>127.8837</v>
      </c>
      <c r="E1858" s="63">
        <v>7967689</v>
      </c>
      <c r="F1858" s="63" t="s">
        <v>417</v>
      </c>
      <c r="G1858" s="25">
        <f t="shared" si="27"/>
        <v>4.9688897021277878E-2</v>
      </c>
    </row>
    <row r="1859" spans="1:7">
      <c r="A1859" s="63">
        <v>129.9091</v>
      </c>
      <c r="B1859" s="63">
        <v>129.96870000000001</v>
      </c>
      <c r="C1859" s="63">
        <v>121.2512</v>
      </c>
      <c r="D1859" s="63">
        <v>121.64830000000001</v>
      </c>
      <c r="E1859" s="63">
        <v>8110892</v>
      </c>
      <c r="F1859" s="63" t="s">
        <v>416</v>
      </c>
      <c r="G1859" s="25">
        <f t="shared" si="27"/>
        <v>6.7907237503524343E-2</v>
      </c>
    </row>
    <row r="1860" spans="1:7">
      <c r="A1860" s="63">
        <v>120.46680000000001</v>
      </c>
      <c r="B1860" s="63">
        <v>123.95180000000001</v>
      </c>
      <c r="C1860" s="63">
        <v>119.3051</v>
      </c>
      <c r="D1860" s="63">
        <v>120.2782</v>
      </c>
      <c r="E1860" s="63">
        <v>4721514</v>
      </c>
      <c r="F1860" s="63" t="s">
        <v>415</v>
      </c>
      <c r="G1860" s="25">
        <f t="shared" si="27"/>
        <v>1.568031447095164E-3</v>
      </c>
    </row>
    <row r="1861" spans="1:7">
      <c r="A1861" s="63">
        <v>122.0356</v>
      </c>
      <c r="B1861" s="63">
        <v>128.46950000000001</v>
      </c>
      <c r="C1861" s="63">
        <v>121.58880000000001</v>
      </c>
      <c r="D1861" s="63">
        <v>127.6553</v>
      </c>
      <c r="E1861" s="63">
        <v>12568644</v>
      </c>
      <c r="F1861" s="63" t="s">
        <v>414</v>
      </c>
      <c r="G1861" s="25">
        <f t="shared" si="27"/>
        <v>-4.4022457351946986E-2</v>
      </c>
    </row>
    <row r="1862" spans="1:7">
      <c r="A1862" s="63">
        <v>126.82129999999999</v>
      </c>
      <c r="B1862" s="63">
        <v>131.38849999999999</v>
      </c>
      <c r="C1862" s="63">
        <v>121.7675</v>
      </c>
      <c r="D1862" s="63">
        <v>128.3305</v>
      </c>
      <c r="E1862" s="63">
        <v>12265056</v>
      </c>
      <c r="F1862" s="63" t="s">
        <v>413</v>
      </c>
      <c r="G1862" s="25">
        <f t="shared" si="27"/>
        <v>-1.1760259642096038E-2</v>
      </c>
    </row>
    <row r="1863" spans="1:7">
      <c r="A1863" s="63">
        <v>130.2269</v>
      </c>
      <c r="B1863" s="63">
        <v>135.52889999999999</v>
      </c>
      <c r="C1863" s="63">
        <v>128.5787</v>
      </c>
      <c r="D1863" s="63">
        <v>131.041</v>
      </c>
      <c r="E1863" s="63">
        <v>7350676</v>
      </c>
      <c r="F1863" s="63" t="s">
        <v>412</v>
      </c>
      <c r="G1863" s="25">
        <f t="shared" si="27"/>
        <v>-6.2125594279652807E-3</v>
      </c>
    </row>
    <row r="1864" spans="1:7">
      <c r="A1864" s="63">
        <v>131.37860000000001</v>
      </c>
      <c r="B1864" s="63">
        <v>132.72890000000001</v>
      </c>
      <c r="C1864" s="63">
        <v>129.20419999999999</v>
      </c>
      <c r="D1864" s="63">
        <v>131.19990000000001</v>
      </c>
      <c r="E1864" s="63">
        <v>6668441</v>
      </c>
      <c r="F1864" s="63" t="s">
        <v>411</v>
      </c>
      <c r="G1864" s="25">
        <f t="shared" si="27"/>
        <v>1.3620437210697389E-3</v>
      </c>
    </row>
    <row r="1865" spans="1:7">
      <c r="A1865" s="63">
        <v>129.89920000000001</v>
      </c>
      <c r="B1865" s="63">
        <v>134.536</v>
      </c>
      <c r="C1865" s="63">
        <v>129.0453</v>
      </c>
      <c r="D1865" s="63">
        <v>133.3545</v>
      </c>
      <c r="E1865" s="63">
        <v>8392404</v>
      </c>
      <c r="F1865" s="63" t="s">
        <v>410</v>
      </c>
      <c r="G1865" s="25">
        <f t="shared" si="27"/>
        <v>-2.5910636686426014E-2</v>
      </c>
    </row>
    <row r="1866" spans="1:7">
      <c r="A1866" s="63">
        <v>136.065</v>
      </c>
      <c r="B1866" s="63">
        <v>139.7089</v>
      </c>
      <c r="C1866" s="63">
        <v>135.40969999999999</v>
      </c>
      <c r="D1866" s="63">
        <v>137.89189999999999</v>
      </c>
      <c r="E1866" s="63">
        <v>5354366</v>
      </c>
      <c r="F1866" s="63" t="s">
        <v>409</v>
      </c>
      <c r="G1866" s="25">
        <f t="shared" si="27"/>
        <v>-1.324878401124352E-2</v>
      </c>
    </row>
    <row r="1867" spans="1:7">
      <c r="A1867" s="63">
        <v>140.13589999999999</v>
      </c>
      <c r="B1867" s="63">
        <v>142.60820000000001</v>
      </c>
      <c r="C1867" s="63">
        <v>138.58600000000001</v>
      </c>
      <c r="D1867" s="63">
        <v>140.4933</v>
      </c>
      <c r="E1867" s="63">
        <v>5122765</v>
      </c>
      <c r="F1867" s="63" t="s">
        <v>408</v>
      </c>
      <c r="G1867" s="25">
        <f t="shared" si="27"/>
        <v>-2.5438935522192896E-3</v>
      </c>
    </row>
    <row r="1868" spans="1:7">
      <c r="A1868" s="63">
        <v>139.0933</v>
      </c>
      <c r="B1868" s="63">
        <v>143.00530000000001</v>
      </c>
      <c r="C1868" s="63">
        <v>138.55719999999999</v>
      </c>
      <c r="D1868" s="63">
        <v>140.78120000000001</v>
      </c>
      <c r="E1868" s="63">
        <v>6794296</v>
      </c>
      <c r="F1868" s="63" t="s">
        <v>407</v>
      </c>
      <c r="G1868" s="25">
        <f t="shared" si="27"/>
        <v>-1.1989527010708878E-2</v>
      </c>
    </row>
    <row r="1869" spans="1:7">
      <c r="A1869" s="63">
        <v>135.8168</v>
      </c>
      <c r="B1869" s="63">
        <v>139.69900000000001</v>
      </c>
      <c r="C1869" s="63">
        <v>134.62540000000001</v>
      </c>
      <c r="D1869" s="63">
        <v>139.5898</v>
      </c>
      <c r="E1869" s="63">
        <v>4548737</v>
      </c>
      <c r="F1869" s="63" t="s">
        <v>406</v>
      </c>
      <c r="G1869" s="25">
        <f t="shared" si="27"/>
        <v>-2.7029195542940809E-2</v>
      </c>
    </row>
    <row r="1870" spans="1:7">
      <c r="A1870" s="63">
        <v>136.29339999999999</v>
      </c>
      <c r="B1870" s="63">
        <v>138.49760000000001</v>
      </c>
      <c r="C1870" s="63">
        <v>132.23249999999999</v>
      </c>
      <c r="D1870" s="63">
        <v>134.19839999999999</v>
      </c>
      <c r="E1870" s="63">
        <v>5896950</v>
      </c>
      <c r="F1870" s="63" t="s">
        <v>405</v>
      </c>
      <c r="G1870" s="25">
        <f t="shared" si="27"/>
        <v>1.5611214440708565E-2</v>
      </c>
    </row>
    <row r="1871" spans="1:7">
      <c r="A1871" s="63">
        <v>134.9828</v>
      </c>
      <c r="B1871" s="63">
        <v>141.3571</v>
      </c>
      <c r="C1871" s="63">
        <v>133.7764</v>
      </c>
      <c r="D1871" s="63">
        <v>140.8905</v>
      </c>
      <c r="E1871" s="63">
        <v>6225324</v>
      </c>
      <c r="F1871" s="63" t="s">
        <v>404</v>
      </c>
      <c r="G1871" s="25">
        <f t="shared" si="27"/>
        <v>-4.1931145109145085E-2</v>
      </c>
    </row>
    <row r="1872" spans="1:7">
      <c r="A1872" s="63">
        <v>141.04929999999999</v>
      </c>
      <c r="B1872" s="63">
        <v>141.04929999999999</v>
      </c>
      <c r="C1872" s="63">
        <v>131.8056</v>
      </c>
      <c r="D1872" s="63">
        <v>133.84100000000001</v>
      </c>
      <c r="E1872" s="63">
        <v>9186581</v>
      </c>
      <c r="F1872" s="63" t="s">
        <v>403</v>
      </c>
      <c r="G1872" s="25">
        <f t="shared" si="27"/>
        <v>5.3857188753819729E-2</v>
      </c>
    </row>
    <row r="1873" spans="1:7">
      <c r="A1873" s="63">
        <v>138.24940000000001</v>
      </c>
      <c r="B1873" s="63">
        <v>144.167</v>
      </c>
      <c r="C1873" s="63">
        <v>137.8125</v>
      </c>
      <c r="D1873" s="63">
        <v>141.71459999999999</v>
      </c>
      <c r="E1873" s="63">
        <v>6978357</v>
      </c>
      <c r="F1873" s="63" t="s">
        <v>402</v>
      </c>
      <c r="G1873" s="25">
        <f t="shared" si="27"/>
        <v>-2.4451961900890828E-2</v>
      </c>
    </row>
    <row r="1874" spans="1:7">
      <c r="A1874" s="63">
        <v>143.12450000000001</v>
      </c>
      <c r="B1874" s="63">
        <v>146.02369999999999</v>
      </c>
      <c r="C1874" s="63">
        <v>141.54580000000001</v>
      </c>
      <c r="D1874" s="63">
        <v>145.25919999999999</v>
      </c>
      <c r="E1874" s="63">
        <v>7358308</v>
      </c>
      <c r="F1874" s="63" t="s">
        <v>401</v>
      </c>
      <c r="G1874" s="25">
        <f t="shared" si="27"/>
        <v>-1.4695798958000439E-2</v>
      </c>
    </row>
    <row r="1875" spans="1:7">
      <c r="A1875" s="63">
        <v>141.74430000000001</v>
      </c>
      <c r="B1875" s="63">
        <v>142.2011</v>
      </c>
      <c r="C1875" s="63">
        <v>137.2962</v>
      </c>
      <c r="D1875" s="63">
        <v>137.90190000000001</v>
      </c>
      <c r="E1875" s="63">
        <v>9401355</v>
      </c>
      <c r="F1875" s="63" t="s">
        <v>400</v>
      </c>
      <c r="G1875" s="25">
        <f t="shared" si="27"/>
        <v>2.7863285422463413E-2</v>
      </c>
    </row>
    <row r="1876" spans="1:7">
      <c r="A1876" s="63">
        <v>138.726</v>
      </c>
      <c r="B1876" s="63">
        <v>141.86349999999999</v>
      </c>
      <c r="C1876" s="63">
        <v>138.2792</v>
      </c>
      <c r="D1876" s="63">
        <v>138.85499999999999</v>
      </c>
      <c r="E1876" s="63">
        <v>7762951</v>
      </c>
      <c r="F1876" s="63" t="s">
        <v>399</v>
      </c>
      <c r="G1876" s="25">
        <f t="shared" si="27"/>
        <v>-9.2902668251049203E-4</v>
      </c>
    </row>
    <row r="1877" spans="1:7">
      <c r="A1877" s="63">
        <v>139.63939999999999</v>
      </c>
      <c r="B1877" s="63">
        <v>139.88759999999999</v>
      </c>
      <c r="C1877" s="63">
        <v>131.03110000000001</v>
      </c>
      <c r="D1877" s="63">
        <v>137.4948</v>
      </c>
      <c r="E1877" s="63">
        <v>25705402</v>
      </c>
      <c r="F1877" s="63" t="s">
        <v>398</v>
      </c>
      <c r="G1877" s="25">
        <f t="shared" si="27"/>
        <v>1.5597680785018664E-2</v>
      </c>
    </row>
    <row r="1878" spans="1:7">
      <c r="A1878" s="63">
        <v>126.6326</v>
      </c>
      <c r="B1878" s="63">
        <v>126.7021</v>
      </c>
      <c r="C1878" s="63">
        <v>122.8398</v>
      </c>
      <c r="D1878" s="63">
        <v>124.25960000000001</v>
      </c>
      <c r="E1878" s="63">
        <v>10558761</v>
      </c>
      <c r="F1878" s="63" t="s">
        <v>397</v>
      </c>
      <c r="G1878" s="25">
        <f t="shared" si="27"/>
        <v>1.9097116037714468E-2</v>
      </c>
    </row>
    <row r="1879" spans="1:7">
      <c r="A1879" s="63">
        <v>125.5107</v>
      </c>
      <c r="B1879" s="63">
        <v>126.0468</v>
      </c>
      <c r="C1879" s="63">
        <v>122.78019999999999</v>
      </c>
      <c r="D1879" s="63">
        <v>123.59439999999999</v>
      </c>
      <c r="E1879" s="63">
        <v>9321154</v>
      </c>
      <c r="F1879" s="63" t="s">
        <v>396</v>
      </c>
      <c r="G1879" s="25">
        <f t="shared" si="27"/>
        <v>1.5504747787925766E-2</v>
      </c>
    </row>
    <row r="1880" spans="1:7">
      <c r="A1880" s="63">
        <v>121.1618</v>
      </c>
      <c r="B1880" s="63">
        <v>122.82989999999999</v>
      </c>
      <c r="C1880" s="63">
        <v>119.85120000000001</v>
      </c>
      <c r="D1880" s="63">
        <v>120.46680000000001</v>
      </c>
      <c r="E1880" s="63">
        <v>3009553</v>
      </c>
      <c r="F1880" s="63" t="s">
        <v>395</v>
      </c>
      <c r="G1880" s="25">
        <f t="shared" si="27"/>
        <v>5.7692243838136648E-3</v>
      </c>
    </row>
    <row r="1881" spans="1:7">
      <c r="A1881" s="63">
        <v>122.7107</v>
      </c>
      <c r="B1881" s="63">
        <v>124.8554</v>
      </c>
      <c r="C1881" s="63">
        <v>120.7448</v>
      </c>
      <c r="D1881" s="63">
        <v>123.3164</v>
      </c>
      <c r="E1881" s="63">
        <v>7311254</v>
      </c>
      <c r="F1881" s="63" t="s">
        <v>394</v>
      </c>
      <c r="G1881" s="25">
        <f t="shared" si="27"/>
        <v>-4.9117554518296469E-3</v>
      </c>
    </row>
    <row r="1882" spans="1:7">
      <c r="A1882" s="63">
        <v>119.8115</v>
      </c>
      <c r="B1882" s="63">
        <v>124.05110000000001</v>
      </c>
      <c r="C1882" s="63">
        <v>112.79179999999999</v>
      </c>
      <c r="D1882" s="63">
        <v>113.5166</v>
      </c>
      <c r="E1882" s="63">
        <v>13829467</v>
      </c>
      <c r="F1882" s="63" t="s">
        <v>393</v>
      </c>
      <c r="G1882" s="25">
        <f t="shared" si="27"/>
        <v>5.5453563619770163E-2</v>
      </c>
    </row>
    <row r="1883" spans="1:7">
      <c r="A1883" s="63">
        <v>120.1491</v>
      </c>
      <c r="B1883" s="63">
        <v>131.31899999999999</v>
      </c>
      <c r="C1883" s="63">
        <v>119.5633</v>
      </c>
      <c r="D1883" s="63">
        <v>130.66370000000001</v>
      </c>
      <c r="E1883" s="63">
        <v>14284689</v>
      </c>
      <c r="F1883" s="63" t="s">
        <v>392</v>
      </c>
      <c r="G1883" s="25">
        <f t="shared" si="27"/>
        <v>-8.0470704564465922E-2</v>
      </c>
    </row>
    <row r="1884" spans="1:7">
      <c r="A1884" s="63">
        <v>131.607</v>
      </c>
      <c r="B1884" s="63">
        <v>132.5204</v>
      </c>
      <c r="C1884" s="63">
        <v>129.15459999999999</v>
      </c>
      <c r="D1884" s="63">
        <v>130.91200000000001</v>
      </c>
      <c r="E1884" s="63">
        <v>5126893</v>
      </c>
      <c r="F1884" s="63" t="s">
        <v>391</v>
      </c>
      <c r="G1884" s="25">
        <f t="shared" si="27"/>
        <v>5.3089098020042691E-3</v>
      </c>
    </row>
    <row r="1885" spans="1:7">
      <c r="A1885" s="63">
        <v>131.54740000000001</v>
      </c>
      <c r="B1885" s="63">
        <v>132.00409999999999</v>
      </c>
      <c r="C1885" s="63">
        <v>125.4014</v>
      </c>
      <c r="D1885" s="63">
        <v>128.2808</v>
      </c>
      <c r="E1885" s="63">
        <v>6468655</v>
      </c>
      <c r="F1885" s="63" t="s">
        <v>390</v>
      </c>
      <c r="G1885" s="25">
        <f t="shared" si="27"/>
        <v>2.5464449863112915E-2</v>
      </c>
    </row>
    <row r="1886" spans="1:7">
      <c r="A1886" s="63">
        <v>128.4297</v>
      </c>
      <c r="B1886" s="63">
        <v>133.97999999999999</v>
      </c>
      <c r="C1886" s="63">
        <v>127.6652</v>
      </c>
      <c r="D1886" s="63">
        <v>133.2552</v>
      </c>
      <c r="E1886" s="63">
        <v>5729582</v>
      </c>
      <c r="F1886" s="63" t="s">
        <v>389</v>
      </c>
      <c r="G1886" s="25">
        <f t="shared" si="27"/>
        <v>-3.6212470507717587E-2</v>
      </c>
    </row>
    <row r="1887" spans="1:7">
      <c r="A1887" s="63">
        <v>131.21979999999999</v>
      </c>
      <c r="B1887" s="63">
        <v>132.81950000000001</v>
      </c>
      <c r="C1887" s="63">
        <v>128.0326</v>
      </c>
      <c r="D1887" s="63">
        <v>130.5446</v>
      </c>
      <c r="E1887" s="63">
        <v>6176340</v>
      </c>
      <c r="F1887" s="63" t="s">
        <v>388</v>
      </c>
      <c r="G1887" s="25">
        <f t="shared" si="27"/>
        <v>5.1721787036766997E-3</v>
      </c>
    </row>
    <row r="1888" spans="1:7">
      <c r="A1888" s="63">
        <v>129.57159999999999</v>
      </c>
      <c r="B1888" s="63">
        <v>135.68770000000001</v>
      </c>
      <c r="C1888" s="63">
        <v>129.15440000000001</v>
      </c>
      <c r="D1888" s="63">
        <v>134.77430000000001</v>
      </c>
      <c r="E1888" s="63">
        <v>7571238</v>
      </c>
      <c r="F1888" s="63" t="s">
        <v>387</v>
      </c>
      <c r="G1888" s="25">
        <f t="shared" si="27"/>
        <v>-3.8603057111036954E-2</v>
      </c>
    </row>
    <row r="1889" spans="1:7">
      <c r="A1889" s="63">
        <v>135.94589999999999</v>
      </c>
      <c r="B1889" s="63">
        <v>140.0564</v>
      </c>
      <c r="C1889" s="63">
        <v>134.08920000000001</v>
      </c>
      <c r="D1889" s="63">
        <v>140.0564</v>
      </c>
      <c r="E1889" s="63">
        <v>5252479</v>
      </c>
      <c r="F1889" s="63" t="s">
        <v>386</v>
      </c>
      <c r="G1889" s="25">
        <f t="shared" si="27"/>
        <v>-2.9348890875390166E-2</v>
      </c>
    </row>
    <row r="1890" spans="1:7">
      <c r="A1890" s="63">
        <v>140.86070000000001</v>
      </c>
      <c r="B1890" s="63">
        <v>142.60820000000001</v>
      </c>
      <c r="C1890" s="63">
        <v>139.68119999999999</v>
      </c>
      <c r="D1890" s="63">
        <v>142.2011</v>
      </c>
      <c r="E1890" s="63">
        <v>3986674</v>
      </c>
      <c r="F1890" s="63" t="s">
        <v>385</v>
      </c>
      <c r="G1890" s="25">
        <f t="shared" si="27"/>
        <v>-9.4260874212646062E-3</v>
      </c>
    </row>
    <row r="1891" spans="1:7">
      <c r="A1891" s="63">
        <v>140.78120000000001</v>
      </c>
      <c r="B1891" s="63">
        <v>141.29750000000001</v>
      </c>
      <c r="C1891" s="63">
        <v>135.46129999999999</v>
      </c>
      <c r="D1891" s="63">
        <v>135.87639999999999</v>
      </c>
      <c r="E1891" s="63">
        <v>5803989</v>
      </c>
      <c r="F1891" s="63" t="s">
        <v>384</v>
      </c>
      <c r="G1891" s="25">
        <f t="shared" si="27"/>
        <v>3.6097512150748967E-2</v>
      </c>
    </row>
    <row r="1892" spans="1:7">
      <c r="A1892" s="63">
        <v>132.99700000000001</v>
      </c>
      <c r="B1892" s="63">
        <v>137.01820000000001</v>
      </c>
      <c r="C1892" s="63">
        <v>132.03389999999999</v>
      </c>
      <c r="D1892" s="63">
        <v>134.4367</v>
      </c>
      <c r="E1892" s="63">
        <v>4667107</v>
      </c>
      <c r="F1892" s="63" t="s">
        <v>383</v>
      </c>
      <c r="G1892" s="25">
        <f t="shared" si="27"/>
        <v>-1.0709129277942653E-2</v>
      </c>
    </row>
    <row r="1893" spans="1:7">
      <c r="A1893" s="63">
        <v>134.47640000000001</v>
      </c>
      <c r="B1893" s="63">
        <v>136.3629</v>
      </c>
      <c r="C1893" s="63">
        <v>132.51050000000001</v>
      </c>
      <c r="D1893" s="63">
        <v>136.3629</v>
      </c>
      <c r="E1893" s="63">
        <v>4629865</v>
      </c>
      <c r="F1893" s="63" t="s">
        <v>382</v>
      </c>
      <c r="G1893" s="25">
        <f t="shared" si="27"/>
        <v>-1.3834408039136603E-2</v>
      </c>
    </row>
    <row r="1894" spans="1:7">
      <c r="A1894" s="63">
        <v>135.8168</v>
      </c>
      <c r="B1894" s="63">
        <v>139.55009999999999</v>
      </c>
      <c r="C1894" s="63">
        <v>135.1317</v>
      </c>
      <c r="D1894" s="63">
        <v>139.143</v>
      </c>
      <c r="E1894" s="63">
        <v>4481562</v>
      </c>
      <c r="F1894" s="63" t="s">
        <v>381</v>
      </c>
      <c r="G1894" s="25">
        <f t="shared" si="27"/>
        <v>-2.3904903588394699E-2</v>
      </c>
    </row>
    <row r="1895" spans="1:7">
      <c r="A1895" s="63">
        <v>138.59690000000001</v>
      </c>
      <c r="B1895" s="63">
        <v>138.80539999999999</v>
      </c>
      <c r="C1895" s="63">
        <v>135.43950000000001</v>
      </c>
      <c r="D1895" s="63">
        <v>137.41540000000001</v>
      </c>
      <c r="E1895" s="63">
        <v>4668793</v>
      </c>
      <c r="F1895" s="63" t="s">
        <v>380</v>
      </c>
      <c r="G1895" s="25">
        <f t="shared" si="27"/>
        <v>8.5980173983410957E-3</v>
      </c>
    </row>
    <row r="1896" spans="1:7">
      <c r="A1896" s="63">
        <v>136.2636</v>
      </c>
      <c r="B1896" s="63">
        <v>137.72319999999999</v>
      </c>
      <c r="C1896" s="63">
        <v>133.81120000000001</v>
      </c>
      <c r="D1896" s="63">
        <v>133.96010000000001</v>
      </c>
      <c r="E1896" s="63">
        <v>6666385</v>
      </c>
      <c r="F1896" s="63" t="s">
        <v>379</v>
      </c>
      <c r="G1896" s="25">
        <f t="shared" si="27"/>
        <v>1.7195418635847393E-2</v>
      </c>
    </row>
    <row r="1897" spans="1:7">
      <c r="A1897" s="63">
        <v>131.22970000000001</v>
      </c>
      <c r="B1897" s="63">
        <v>132.04390000000001</v>
      </c>
      <c r="C1897" s="63">
        <v>127.1191</v>
      </c>
      <c r="D1897" s="63">
        <v>129.512</v>
      </c>
      <c r="E1897" s="63">
        <v>10037948</v>
      </c>
      <c r="F1897" s="63" t="s">
        <v>378</v>
      </c>
      <c r="G1897" s="25">
        <f t="shared" si="27"/>
        <v>1.3262863672864444E-2</v>
      </c>
    </row>
    <row r="1898" spans="1:7">
      <c r="A1898" s="63">
        <v>130.0581</v>
      </c>
      <c r="B1898" s="63">
        <v>138.55719999999999</v>
      </c>
      <c r="C1898" s="63">
        <v>127.6156</v>
      </c>
      <c r="D1898" s="63">
        <v>137.11750000000001</v>
      </c>
      <c r="E1898" s="63">
        <v>9212497</v>
      </c>
      <c r="F1898" s="63" t="s">
        <v>377</v>
      </c>
      <c r="G1898" s="25">
        <f t="shared" si="27"/>
        <v>-5.1484310901234398E-2</v>
      </c>
    </row>
    <row r="1899" spans="1:7">
      <c r="A1899" s="63">
        <v>134.55590000000001</v>
      </c>
      <c r="B1899" s="63">
        <v>138.21960000000001</v>
      </c>
      <c r="C1899" s="63">
        <v>131.66720000000001</v>
      </c>
      <c r="D1899" s="63">
        <v>134.7842</v>
      </c>
      <c r="E1899" s="63">
        <v>7457049</v>
      </c>
      <c r="F1899" s="63" t="s">
        <v>376</v>
      </c>
      <c r="G1899" s="25">
        <f t="shared" si="27"/>
        <v>-1.6938187116887216E-3</v>
      </c>
    </row>
    <row r="1900" spans="1:7">
      <c r="A1900" s="63">
        <v>139.79830000000001</v>
      </c>
      <c r="B1900" s="63">
        <v>140.68199999999999</v>
      </c>
      <c r="C1900" s="63">
        <v>132.71899999999999</v>
      </c>
      <c r="D1900" s="63">
        <v>132.7389</v>
      </c>
      <c r="E1900" s="63">
        <v>7792908</v>
      </c>
      <c r="F1900" s="63" t="s">
        <v>375</v>
      </c>
      <c r="G1900" s="25">
        <f t="shared" si="27"/>
        <v>5.3182601332390167E-2</v>
      </c>
    </row>
    <row r="1901" spans="1:7">
      <c r="A1901" s="63">
        <v>132.31190000000001</v>
      </c>
      <c r="B1901" s="63">
        <v>140.4933</v>
      </c>
      <c r="C1901" s="63">
        <v>132.0538</v>
      </c>
      <c r="D1901" s="63">
        <v>140.2252</v>
      </c>
      <c r="E1901" s="63">
        <v>7251491</v>
      </c>
      <c r="F1901" s="63" t="s">
        <v>374</v>
      </c>
      <c r="G1901" s="25">
        <f t="shared" si="27"/>
        <v>-5.6432795246503464E-2</v>
      </c>
    </row>
    <row r="1902" spans="1:7">
      <c r="A1902" s="63">
        <v>139.6593</v>
      </c>
      <c r="B1902" s="63">
        <v>140.96</v>
      </c>
      <c r="C1902" s="63">
        <v>136.7998</v>
      </c>
      <c r="D1902" s="63">
        <v>138.3288</v>
      </c>
      <c r="E1902" s="63">
        <v>6461980</v>
      </c>
      <c r="F1902" s="63" t="s">
        <v>373</v>
      </c>
      <c r="G1902" s="25">
        <f t="shared" si="27"/>
        <v>9.6183874941444536E-3</v>
      </c>
    </row>
    <row r="1903" spans="1:7">
      <c r="A1903" s="63">
        <v>141.93299999999999</v>
      </c>
      <c r="B1903" s="63">
        <v>142.77690000000001</v>
      </c>
      <c r="C1903" s="63">
        <v>138.2097</v>
      </c>
      <c r="D1903" s="63">
        <v>140.6919</v>
      </c>
      <c r="E1903" s="63">
        <v>4234925</v>
      </c>
      <c r="F1903" s="63" t="s">
        <v>372</v>
      </c>
      <c r="G1903" s="25">
        <f t="shared" si="27"/>
        <v>8.8214033643727596E-3</v>
      </c>
    </row>
    <row r="1904" spans="1:7">
      <c r="A1904" s="63">
        <v>139.4905</v>
      </c>
      <c r="B1904" s="63">
        <v>144.33580000000001</v>
      </c>
      <c r="C1904" s="63">
        <v>139.38130000000001</v>
      </c>
      <c r="D1904" s="63">
        <v>142.5883</v>
      </c>
      <c r="E1904" s="63">
        <v>5141616</v>
      </c>
      <c r="F1904" s="63" t="s">
        <v>371</v>
      </c>
      <c r="G1904" s="25">
        <f t="shared" si="27"/>
        <v>-2.1725485190580152E-2</v>
      </c>
    </row>
    <row r="1905" spans="1:7">
      <c r="A1905" s="63">
        <v>141.82380000000001</v>
      </c>
      <c r="B1905" s="63">
        <v>146.54349999999999</v>
      </c>
      <c r="C1905" s="63">
        <v>140.4238</v>
      </c>
      <c r="D1905" s="63">
        <v>145.05070000000001</v>
      </c>
      <c r="E1905" s="63">
        <v>5338244</v>
      </c>
      <c r="F1905" s="63" t="s">
        <v>370</v>
      </c>
      <c r="G1905" s="25">
        <f t="shared" si="27"/>
        <v>-2.2246704083468738E-2</v>
      </c>
    </row>
    <row r="1906" spans="1:7">
      <c r="A1906" s="63">
        <v>145.9641</v>
      </c>
      <c r="B1906" s="63">
        <v>147.2946</v>
      </c>
      <c r="C1906" s="63">
        <v>144.3854</v>
      </c>
      <c r="D1906" s="63">
        <v>147.2946</v>
      </c>
      <c r="E1906" s="63">
        <v>3377854</v>
      </c>
      <c r="F1906" s="63" t="s">
        <v>369</v>
      </c>
      <c r="G1906" s="25">
        <f t="shared" si="27"/>
        <v>-9.0329177037039576E-3</v>
      </c>
    </row>
    <row r="1907" spans="1:7">
      <c r="A1907" s="63">
        <v>146.39099999999999</v>
      </c>
      <c r="B1907" s="63">
        <v>146.85769999999999</v>
      </c>
      <c r="C1907" s="63">
        <v>142.9855</v>
      </c>
      <c r="D1907" s="63">
        <v>144.43510000000001</v>
      </c>
      <c r="E1907" s="63">
        <v>5383148</v>
      </c>
      <c r="F1907" s="63" t="s">
        <v>368</v>
      </c>
      <c r="G1907" s="25">
        <f t="shared" si="27"/>
        <v>1.3541722199105211E-2</v>
      </c>
    </row>
    <row r="1908" spans="1:7">
      <c r="A1908" s="63">
        <v>140.9401</v>
      </c>
      <c r="B1908" s="63">
        <v>145.65629999999999</v>
      </c>
      <c r="C1908" s="63">
        <v>140.31460000000001</v>
      </c>
      <c r="D1908" s="63">
        <v>145.65629999999999</v>
      </c>
      <c r="E1908" s="63">
        <v>6040808</v>
      </c>
      <c r="F1908" s="63" t="s">
        <v>367</v>
      </c>
      <c r="G1908" s="25">
        <f t="shared" si="27"/>
        <v>-3.2378963354142476E-2</v>
      </c>
    </row>
    <row r="1909" spans="1:7">
      <c r="A1909" s="63">
        <v>145.696</v>
      </c>
      <c r="B1909" s="63">
        <v>147.6917</v>
      </c>
      <c r="C1909" s="63">
        <v>142.2011</v>
      </c>
      <c r="D1909" s="63">
        <v>144.7329</v>
      </c>
      <c r="E1909" s="63">
        <v>9371711</v>
      </c>
      <c r="F1909" s="63" t="s">
        <v>366</v>
      </c>
      <c r="G1909" s="25">
        <f t="shared" si="27"/>
        <v>6.6543266942069579E-3</v>
      </c>
    </row>
    <row r="1910" spans="1:7">
      <c r="A1910" s="63">
        <v>138.24940000000001</v>
      </c>
      <c r="B1910" s="63">
        <v>141.14859999999999</v>
      </c>
      <c r="C1910" s="63">
        <v>135.47919999999999</v>
      </c>
      <c r="D1910" s="63">
        <v>136.4622</v>
      </c>
      <c r="E1910" s="63">
        <v>10499303</v>
      </c>
      <c r="F1910" s="63" t="s">
        <v>365</v>
      </c>
      <c r="G1910" s="25">
        <f t="shared" si="27"/>
        <v>1.3096667062380662E-2</v>
      </c>
    </row>
    <row r="1911" spans="1:7">
      <c r="A1911" s="63">
        <v>136.8296</v>
      </c>
      <c r="B1911" s="63">
        <v>146.535</v>
      </c>
      <c r="C1911" s="63">
        <v>136.5615</v>
      </c>
      <c r="D1911" s="63">
        <v>146.47049999999999</v>
      </c>
      <c r="E1911" s="63">
        <v>13660587</v>
      </c>
      <c r="F1911" s="63" t="s">
        <v>364</v>
      </c>
      <c r="G1911" s="25">
        <f t="shared" si="27"/>
        <v>-6.5821445273962942E-2</v>
      </c>
    </row>
    <row r="1912" spans="1:7">
      <c r="A1912" s="63">
        <v>147.4435</v>
      </c>
      <c r="B1912" s="63">
        <v>149.79660000000001</v>
      </c>
      <c r="C1912" s="63">
        <v>146.1627</v>
      </c>
      <c r="D1912" s="63">
        <v>147.26480000000001</v>
      </c>
      <c r="E1912" s="63">
        <v>5593337</v>
      </c>
      <c r="F1912" s="63" t="s">
        <v>363</v>
      </c>
      <c r="G1912" s="25">
        <f t="shared" si="27"/>
        <v>1.213460378854947E-3</v>
      </c>
    </row>
    <row r="1913" spans="1:7">
      <c r="A1913" s="63">
        <v>147.5924</v>
      </c>
      <c r="B1913" s="63">
        <v>153.52000000000001</v>
      </c>
      <c r="C1913" s="63">
        <v>144.5641</v>
      </c>
      <c r="D1913" s="63">
        <v>153.14269999999999</v>
      </c>
      <c r="E1913" s="63">
        <v>10238725</v>
      </c>
      <c r="F1913" s="63" t="s">
        <v>362</v>
      </c>
      <c r="G1913" s="25">
        <f t="shared" ref="G1913:G1976" si="28">A1913/D1913-1</f>
        <v>-3.624266778631946E-2</v>
      </c>
    </row>
    <row r="1914" spans="1:7">
      <c r="A1914" s="63">
        <v>153.96680000000001</v>
      </c>
      <c r="B1914" s="63">
        <v>155.48589999999999</v>
      </c>
      <c r="C1914" s="63">
        <v>151.3853</v>
      </c>
      <c r="D1914" s="63">
        <v>153.75829999999999</v>
      </c>
      <c r="E1914" s="63">
        <v>4963564</v>
      </c>
      <c r="F1914" s="63" t="s">
        <v>361</v>
      </c>
      <c r="G1914" s="25">
        <f t="shared" si="28"/>
        <v>1.3560243577095399E-3</v>
      </c>
    </row>
    <row r="1915" spans="1:7">
      <c r="A1915" s="63">
        <v>153.798</v>
      </c>
      <c r="B1915" s="63">
        <v>157.7099</v>
      </c>
      <c r="C1915" s="63">
        <v>152.6859</v>
      </c>
      <c r="D1915" s="63">
        <v>157.0745</v>
      </c>
      <c r="E1915" s="63">
        <v>6206372</v>
      </c>
      <c r="F1915" s="63" t="s">
        <v>360</v>
      </c>
      <c r="G1915" s="25">
        <f t="shared" si="28"/>
        <v>-2.0859528440326125E-2</v>
      </c>
    </row>
    <row r="1916" spans="1:7">
      <c r="A1916" s="63">
        <v>157.96809999999999</v>
      </c>
      <c r="B1916" s="63">
        <v>158.6234</v>
      </c>
      <c r="C1916" s="63">
        <v>155.90289999999999</v>
      </c>
      <c r="D1916" s="63">
        <v>157.43190000000001</v>
      </c>
      <c r="E1916" s="63">
        <v>3561623</v>
      </c>
      <c r="F1916" s="63" t="s">
        <v>359</v>
      </c>
      <c r="G1916" s="25">
        <f t="shared" si="28"/>
        <v>3.4059170981228792E-3</v>
      </c>
    </row>
    <row r="1917" spans="1:7">
      <c r="A1917" s="63">
        <v>156.1412</v>
      </c>
      <c r="B1917" s="63">
        <v>158.44470000000001</v>
      </c>
      <c r="C1917" s="63">
        <v>155.58519999999999</v>
      </c>
      <c r="D1917" s="63">
        <v>158.1369</v>
      </c>
      <c r="E1917" s="63">
        <v>4137003</v>
      </c>
      <c r="F1917" s="63" t="s">
        <v>358</v>
      </c>
      <c r="G1917" s="25">
        <f t="shared" si="28"/>
        <v>-1.2620077919827666E-2</v>
      </c>
    </row>
    <row r="1918" spans="1:7">
      <c r="A1918" s="63">
        <v>158.7227</v>
      </c>
      <c r="B1918" s="63">
        <v>160.04320000000001</v>
      </c>
      <c r="C1918" s="63">
        <v>157.8887</v>
      </c>
      <c r="D1918" s="63">
        <v>158.9709</v>
      </c>
      <c r="E1918" s="63">
        <v>4297554</v>
      </c>
      <c r="F1918" s="63" t="s">
        <v>357</v>
      </c>
      <c r="G1918" s="25">
        <f t="shared" si="28"/>
        <v>-1.5612920352089388E-3</v>
      </c>
    </row>
    <row r="1919" spans="1:7">
      <c r="A1919" s="63">
        <v>157.89859999999999</v>
      </c>
      <c r="B1919" s="63">
        <v>159.71559999999999</v>
      </c>
      <c r="C1919" s="63">
        <v>157.80529999999999</v>
      </c>
      <c r="D1919" s="63">
        <v>158.86170000000001</v>
      </c>
      <c r="E1919" s="63">
        <v>4607671</v>
      </c>
      <c r="F1919" s="63" t="s">
        <v>356</v>
      </c>
      <c r="G1919" s="25">
        <f t="shared" si="28"/>
        <v>-6.0625059407020121E-3</v>
      </c>
    </row>
    <row r="1920" spans="1:7">
      <c r="A1920" s="63">
        <v>159.2886</v>
      </c>
      <c r="B1920" s="63">
        <v>159.934</v>
      </c>
      <c r="C1920" s="63">
        <v>157.79929999999999</v>
      </c>
      <c r="D1920" s="63">
        <v>157.91839999999999</v>
      </c>
      <c r="E1920" s="63">
        <v>3930274</v>
      </c>
      <c r="F1920" s="63" t="s">
        <v>355</v>
      </c>
      <c r="G1920" s="25">
        <f t="shared" si="28"/>
        <v>8.6766329952685517E-3</v>
      </c>
    </row>
    <row r="1921" spans="1:7">
      <c r="A1921" s="63">
        <v>157.20359999999999</v>
      </c>
      <c r="B1921" s="63">
        <v>158.79220000000001</v>
      </c>
      <c r="C1921" s="63">
        <v>156.23050000000001</v>
      </c>
      <c r="D1921" s="63">
        <v>157.92840000000001</v>
      </c>
      <c r="E1921" s="63">
        <v>4079727</v>
      </c>
      <c r="F1921" s="63" t="s">
        <v>354</v>
      </c>
      <c r="G1921" s="25">
        <f t="shared" si="28"/>
        <v>-4.5894215353288192E-3</v>
      </c>
    </row>
    <row r="1922" spans="1:7">
      <c r="A1922" s="63">
        <v>157.7397</v>
      </c>
      <c r="B1922" s="63">
        <v>158.0078</v>
      </c>
      <c r="C1922" s="63">
        <v>156.05179999999999</v>
      </c>
      <c r="D1922" s="63">
        <v>157.86879999999999</v>
      </c>
      <c r="E1922" s="63">
        <v>5699599</v>
      </c>
      <c r="F1922" s="63" t="s">
        <v>353</v>
      </c>
      <c r="G1922" s="25">
        <f t="shared" si="28"/>
        <v>-8.177676653017274E-4</v>
      </c>
    </row>
    <row r="1923" spans="1:7">
      <c r="A1923" s="63">
        <v>157.65039999999999</v>
      </c>
      <c r="B1923" s="63">
        <v>157.77940000000001</v>
      </c>
      <c r="C1923" s="63">
        <v>152.23910000000001</v>
      </c>
      <c r="D1923" s="63">
        <v>154.27459999999999</v>
      </c>
      <c r="E1923" s="63">
        <v>5082094</v>
      </c>
      <c r="F1923" s="63" t="s">
        <v>352</v>
      </c>
      <c r="G1923" s="25">
        <f t="shared" si="28"/>
        <v>2.1881761482447581E-2</v>
      </c>
    </row>
    <row r="1924" spans="1:7">
      <c r="A1924" s="63">
        <v>154.4136</v>
      </c>
      <c r="B1924" s="63">
        <v>156.8312</v>
      </c>
      <c r="C1924" s="63">
        <v>153.85749999999999</v>
      </c>
      <c r="D1924" s="63">
        <v>155.95249999999999</v>
      </c>
      <c r="E1924" s="63">
        <v>17991594</v>
      </c>
      <c r="F1924" s="63" t="s">
        <v>351</v>
      </c>
      <c r="G1924" s="25">
        <f t="shared" si="28"/>
        <v>-9.8677481925585342E-3</v>
      </c>
    </row>
    <row r="1925" spans="1:7">
      <c r="A1925" s="63">
        <v>154.3937</v>
      </c>
      <c r="B1925" s="63">
        <v>154.9547</v>
      </c>
      <c r="C1925" s="63">
        <v>150.5711</v>
      </c>
      <c r="D1925" s="63">
        <v>152.1994</v>
      </c>
      <c r="E1925" s="63">
        <v>4655730</v>
      </c>
      <c r="F1925" s="63" t="s">
        <v>350</v>
      </c>
      <c r="G1925" s="25">
        <f t="shared" si="28"/>
        <v>1.4417271027349576E-2</v>
      </c>
    </row>
    <row r="1926" spans="1:7">
      <c r="A1926" s="63">
        <v>151.81219999999999</v>
      </c>
      <c r="B1926" s="63">
        <v>156.2107</v>
      </c>
      <c r="C1926" s="63">
        <v>151.30719999999999</v>
      </c>
      <c r="D1926" s="63">
        <v>155.25749999999999</v>
      </c>
      <c r="E1926" s="63">
        <v>5546201</v>
      </c>
      <c r="F1926" s="63" t="s">
        <v>349</v>
      </c>
      <c r="G1926" s="25">
        <f t="shared" si="28"/>
        <v>-2.2190876447192642E-2</v>
      </c>
    </row>
    <row r="1927" spans="1:7">
      <c r="A1927" s="63">
        <v>154.89009999999999</v>
      </c>
      <c r="B1927" s="63">
        <v>156.9057</v>
      </c>
      <c r="C1927" s="63">
        <v>153.649</v>
      </c>
      <c r="D1927" s="63">
        <v>153.65899999999999</v>
      </c>
      <c r="E1927" s="63">
        <v>3749879</v>
      </c>
      <c r="F1927" s="63" t="s">
        <v>348</v>
      </c>
      <c r="G1927" s="25">
        <f t="shared" si="28"/>
        <v>8.0118964720583552E-3</v>
      </c>
    </row>
    <row r="1928" spans="1:7">
      <c r="A1928" s="63">
        <v>153.81780000000001</v>
      </c>
      <c r="B1928" s="63">
        <v>157.30289999999999</v>
      </c>
      <c r="C1928" s="63">
        <v>153.52000000000001</v>
      </c>
      <c r="D1928" s="63">
        <v>155.88300000000001</v>
      </c>
      <c r="E1928" s="63">
        <v>3899581</v>
      </c>
      <c r="F1928" s="63" t="s">
        <v>347</v>
      </c>
      <c r="G1928" s="25">
        <f t="shared" si="28"/>
        <v>-1.3248397836839176E-2</v>
      </c>
    </row>
    <row r="1929" spans="1:7">
      <c r="A1929" s="63">
        <v>156.36949999999999</v>
      </c>
      <c r="B1929" s="63">
        <v>157.66030000000001</v>
      </c>
      <c r="C1929" s="63">
        <v>155.2079</v>
      </c>
      <c r="D1929" s="63">
        <v>156.8263</v>
      </c>
      <c r="E1929" s="63">
        <v>4615261</v>
      </c>
      <c r="F1929" s="63" t="s">
        <v>346</v>
      </c>
      <c r="G1929" s="25">
        <f t="shared" si="28"/>
        <v>-2.9127767472676425E-3</v>
      </c>
    </row>
    <row r="1930" spans="1:7">
      <c r="A1930" s="63">
        <v>157.05459999999999</v>
      </c>
      <c r="B1930" s="63">
        <v>157.65039999999999</v>
      </c>
      <c r="C1930" s="63">
        <v>154.7114</v>
      </c>
      <c r="D1930" s="63">
        <v>154.7611</v>
      </c>
      <c r="E1930" s="63">
        <v>6213541</v>
      </c>
      <c r="F1930" s="63" t="s">
        <v>345</v>
      </c>
      <c r="G1930" s="25">
        <f t="shared" si="28"/>
        <v>1.4819615523539165E-2</v>
      </c>
    </row>
    <row r="1931" spans="1:7">
      <c r="A1931" s="63">
        <v>154.2646</v>
      </c>
      <c r="B1931" s="63">
        <v>154.6618</v>
      </c>
      <c r="C1931" s="63">
        <v>150.72800000000001</v>
      </c>
      <c r="D1931" s="63">
        <v>151.7526</v>
      </c>
      <c r="E1931" s="63">
        <v>5180848</v>
      </c>
      <c r="F1931" s="63" t="s">
        <v>344</v>
      </c>
      <c r="G1931" s="25">
        <f t="shared" si="28"/>
        <v>1.6553258395572756E-2</v>
      </c>
    </row>
    <row r="1932" spans="1:7">
      <c r="A1932" s="63">
        <v>151.7526</v>
      </c>
      <c r="B1932" s="63">
        <v>152.65620000000001</v>
      </c>
      <c r="C1932" s="63">
        <v>149.54349999999999</v>
      </c>
      <c r="D1932" s="63">
        <v>150.0052</v>
      </c>
      <c r="E1932" s="63">
        <v>4151022</v>
      </c>
      <c r="F1932" s="63" t="s">
        <v>343</v>
      </c>
      <c r="G1932" s="25">
        <f t="shared" si="28"/>
        <v>1.1648929503777161E-2</v>
      </c>
    </row>
    <row r="1933" spans="1:7">
      <c r="A1933" s="63">
        <v>150.24340000000001</v>
      </c>
      <c r="B1933" s="63">
        <v>150.50059999999999</v>
      </c>
      <c r="C1933" s="63">
        <v>146.94710000000001</v>
      </c>
      <c r="D1933" s="63">
        <v>148.93279999999999</v>
      </c>
      <c r="E1933" s="63">
        <v>3872325</v>
      </c>
      <c r="F1933" s="63" t="s">
        <v>342</v>
      </c>
      <c r="G1933" s="25">
        <f t="shared" si="28"/>
        <v>8.7999419872588636E-3</v>
      </c>
    </row>
    <row r="1934" spans="1:7">
      <c r="A1934" s="63">
        <v>149.35980000000001</v>
      </c>
      <c r="B1934" s="63">
        <v>150.33279999999999</v>
      </c>
      <c r="C1934" s="63">
        <v>146.45060000000001</v>
      </c>
      <c r="D1934" s="63">
        <v>146.78819999999999</v>
      </c>
      <c r="E1934" s="63">
        <v>3866773</v>
      </c>
      <c r="F1934" s="63" t="s">
        <v>341</v>
      </c>
      <c r="G1934" s="25">
        <f t="shared" si="28"/>
        <v>1.7519119384255877E-2</v>
      </c>
    </row>
    <row r="1935" spans="1:7">
      <c r="A1935" s="63">
        <v>147.77119999999999</v>
      </c>
      <c r="B1935" s="63">
        <v>148.09880000000001</v>
      </c>
      <c r="C1935" s="63">
        <v>146.03360000000001</v>
      </c>
      <c r="D1935" s="63">
        <v>147.6917</v>
      </c>
      <c r="E1935" s="63">
        <v>4190347</v>
      </c>
      <c r="F1935" s="63" t="s">
        <v>340</v>
      </c>
      <c r="G1935" s="25">
        <f t="shared" si="28"/>
        <v>5.3828346481221701E-4</v>
      </c>
    </row>
    <row r="1936" spans="1:7">
      <c r="A1936" s="63">
        <v>147.5924</v>
      </c>
      <c r="B1936" s="63">
        <v>151.69309999999999</v>
      </c>
      <c r="C1936" s="63">
        <v>146.03360000000001</v>
      </c>
      <c r="D1936" s="63">
        <v>151.3058</v>
      </c>
      <c r="E1936" s="63">
        <v>7287417</v>
      </c>
      <c r="F1936" s="63" t="s">
        <v>339</v>
      </c>
      <c r="G1936" s="25">
        <f t="shared" si="28"/>
        <v>-2.4542350656749479E-2</v>
      </c>
    </row>
    <row r="1937" spans="1:7">
      <c r="A1937" s="63">
        <v>152.12</v>
      </c>
      <c r="B1937" s="63">
        <v>152.2491</v>
      </c>
      <c r="C1937" s="63">
        <v>150.43209999999999</v>
      </c>
      <c r="D1937" s="63">
        <v>151.02780000000001</v>
      </c>
      <c r="E1937" s="63">
        <v>5310894</v>
      </c>
      <c r="F1937" s="63" t="s">
        <v>338</v>
      </c>
      <c r="G1937" s="25">
        <f t="shared" si="28"/>
        <v>7.2317811687649947E-3</v>
      </c>
    </row>
    <row r="1938" spans="1:7">
      <c r="A1938" s="63">
        <v>151.59379999999999</v>
      </c>
      <c r="B1938" s="63">
        <v>152.77529999999999</v>
      </c>
      <c r="C1938" s="63">
        <v>150.8193</v>
      </c>
      <c r="D1938" s="63">
        <v>151.05760000000001</v>
      </c>
      <c r="E1938" s="63">
        <v>6210529</v>
      </c>
      <c r="F1938" s="63" t="s">
        <v>337</v>
      </c>
      <c r="G1938" s="25">
        <f t="shared" si="28"/>
        <v>3.5496393428731121E-3</v>
      </c>
    </row>
    <row r="1939" spans="1:7">
      <c r="A1939" s="63">
        <v>151.05760000000001</v>
      </c>
      <c r="B1939" s="63">
        <v>152.6413</v>
      </c>
      <c r="C1939" s="63">
        <v>148.43639999999999</v>
      </c>
      <c r="D1939" s="63">
        <v>150.04490000000001</v>
      </c>
      <c r="E1939" s="63">
        <v>14440957</v>
      </c>
      <c r="F1939" s="63" t="s">
        <v>336</v>
      </c>
      <c r="G1939" s="25">
        <f t="shared" si="28"/>
        <v>6.7493130389635336E-3</v>
      </c>
    </row>
    <row r="1940" spans="1:7">
      <c r="A1940" s="63">
        <v>153.6987</v>
      </c>
      <c r="B1940" s="63">
        <v>153.86750000000001</v>
      </c>
      <c r="C1940" s="63">
        <v>151.96109999999999</v>
      </c>
      <c r="D1940" s="63">
        <v>152.23910000000001</v>
      </c>
      <c r="E1940" s="63">
        <v>9018599</v>
      </c>
      <c r="F1940" s="63" t="s">
        <v>335</v>
      </c>
      <c r="G1940" s="25">
        <f t="shared" si="28"/>
        <v>9.5875501103197536E-3</v>
      </c>
    </row>
    <row r="1941" spans="1:7">
      <c r="A1941" s="63">
        <v>151.9016</v>
      </c>
      <c r="B1941" s="63">
        <v>152.30860000000001</v>
      </c>
      <c r="C1941" s="63">
        <v>150.48169999999999</v>
      </c>
      <c r="D1941" s="63">
        <v>150.94839999999999</v>
      </c>
      <c r="E1941" s="63">
        <v>5266932</v>
      </c>
      <c r="F1941" s="63" t="s">
        <v>334</v>
      </c>
      <c r="G1941" s="25">
        <f t="shared" si="28"/>
        <v>6.314740666347074E-3</v>
      </c>
    </row>
    <row r="1942" spans="1:7">
      <c r="A1942" s="63">
        <v>150.6009</v>
      </c>
      <c r="B1942" s="63">
        <v>153.77809999999999</v>
      </c>
      <c r="C1942" s="63">
        <v>149.13140000000001</v>
      </c>
      <c r="D1942" s="63">
        <v>153.60929999999999</v>
      </c>
      <c r="E1942" s="63">
        <v>5814765</v>
      </c>
      <c r="F1942" s="63" t="s">
        <v>333</v>
      </c>
      <c r="G1942" s="25">
        <f t="shared" si="28"/>
        <v>-1.9584751704486592E-2</v>
      </c>
    </row>
    <row r="1943" spans="1:7">
      <c r="A1943" s="63">
        <v>151.2165</v>
      </c>
      <c r="B1943" s="63">
        <v>151.29589999999999</v>
      </c>
      <c r="C1943" s="63">
        <v>147.4435</v>
      </c>
      <c r="D1943" s="63">
        <v>147.4435</v>
      </c>
      <c r="E1943" s="63">
        <v>4881956</v>
      </c>
      <c r="F1943" s="63" t="s">
        <v>332</v>
      </c>
      <c r="G1943" s="25">
        <f t="shared" si="28"/>
        <v>2.55894630824689E-2</v>
      </c>
    </row>
    <row r="1944" spans="1:7">
      <c r="A1944" s="63">
        <v>146.7783</v>
      </c>
      <c r="B1944" s="63">
        <v>147.28460000000001</v>
      </c>
      <c r="C1944" s="63">
        <v>145.0308</v>
      </c>
      <c r="D1944" s="63">
        <v>145.78540000000001</v>
      </c>
      <c r="E1944" s="63">
        <v>6196336</v>
      </c>
      <c r="F1944" s="63" t="s">
        <v>331</v>
      </c>
      <c r="G1944" s="25">
        <f t="shared" si="28"/>
        <v>6.8106957212450414E-3</v>
      </c>
    </row>
    <row r="1945" spans="1:7">
      <c r="A1945" s="63">
        <v>145.41800000000001</v>
      </c>
      <c r="B1945" s="63">
        <v>146.15180000000001</v>
      </c>
      <c r="C1945" s="63">
        <v>144.0181</v>
      </c>
      <c r="D1945" s="63">
        <v>144.55420000000001</v>
      </c>
      <c r="E1945" s="63">
        <v>4245303</v>
      </c>
      <c r="F1945" s="63" t="s">
        <v>330</v>
      </c>
      <c r="G1945" s="25">
        <f t="shared" si="28"/>
        <v>5.9756132993713518E-3</v>
      </c>
    </row>
    <row r="1946" spans="1:7">
      <c r="A1946" s="63">
        <v>144.49459999999999</v>
      </c>
      <c r="B1946" s="63">
        <v>147.73140000000001</v>
      </c>
      <c r="C1946" s="63">
        <v>144.32579999999999</v>
      </c>
      <c r="D1946" s="63">
        <v>145.36840000000001</v>
      </c>
      <c r="E1946" s="63">
        <v>4063688</v>
      </c>
      <c r="F1946" s="63" t="s">
        <v>329</v>
      </c>
      <c r="G1946" s="25">
        <f t="shared" si="28"/>
        <v>-6.0109349762398345E-3</v>
      </c>
    </row>
    <row r="1947" spans="1:7">
      <c r="A1947" s="63">
        <v>144.67339999999999</v>
      </c>
      <c r="B1947" s="63">
        <v>145.02090000000001</v>
      </c>
      <c r="C1947" s="63">
        <v>143.29320000000001</v>
      </c>
      <c r="D1947" s="63">
        <v>144.17689999999999</v>
      </c>
      <c r="E1947" s="63">
        <v>2882181</v>
      </c>
      <c r="F1947" s="63" t="s">
        <v>328</v>
      </c>
      <c r="G1947" s="25">
        <f t="shared" si="28"/>
        <v>3.4436861938353935E-3</v>
      </c>
    </row>
    <row r="1948" spans="1:7">
      <c r="A1948" s="63">
        <v>143.98830000000001</v>
      </c>
      <c r="B1948" s="63">
        <v>144.97120000000001</v>
      </c>
      <c r="C1948" s="63">
        <v>142.92590000000001</v>
      </c>
      <c r="D1948" s="63">
        <v>144.4648</v>
      </c>
      <c r="E1948" s="63">
        <v>2865587</v>
      </c>
      <c r="F1948" s="63" t="s">
        <v>327</v>
      </c>
      <c r="G1948" s="25">
        <f t="shared" si="28"/>
        <v>-3.2983813357994052E-3</v>
      </c>
    </row>
    <row r="1949" spans="1:7">
      <c r="A1949" s="63">
        <v>144.69319999999999</v>
      </c>
      <c r="B1949" s="63">
        <v>145.8648</v>
      </c>
      <c r="C1949" s="63">
        <v>144.18680000000001</v>
      </c>
      <c r="D1949" s="63">
        <v>145.46770000000001</v>
      </c>
      <c r="E1949" s="63">
        <v>3703974</v>
      </c>
      <c r="F1949" s="63" t="s">
        <v>326</v>
      </c>
      <c r="G1949" s="25">
        <f t="shared" si="28"/>
        <v>-5.3242059921206897E-3</v>
      </c>
    </row>
    <row r="1950" spans="1:7">
      <c r="A1950" s="63">
        <v>144.00810000000001</v>
      </c>
      <c r="B1950" s="63">
        <v>146.8279</v>
      </c>
      <c r="C1950" s="63">
        <v>142.57839999999999</v>
      </c>
      <c r="D1950" s="63">
        <v>145.04069999999999</v>
      </c>
      <c r="E1950" s="63">
        <v>4476924</v>
      </c>
      <c r="F1950" s="63" t="s">
        <v>325</v>
      </c>
      <c r="G1950" s="25">
        <f t="shared" si="28"/>
        <v>-7.1193809737540859E-3</v>
      </c>
    </row>
    <row r="1951" spans="1:7">
      <c r="A1951" s="63">
        <v>145.52719999999999</v>
      </c>
      <c r="B1951" s="63">
        <v>145.72579999999999</v>
      </c>
      <c r="C1951" s="63">
        <v>143.54150000000001</v>
      </c>
      <c r="D1951" s="63">
        <v>145.13999999999999</v>
      </c>
      <c r="E1951" s="63">
        <v>3474743</v>
      </c>
      <c r="F1951" s="63" t="s">
        <v>324</v>
      </c>
      <c r="G1951" s="25">
        <f t="shared" si="28"/>
        <v>2.6677690505718665E-3</v>
      </c>
    </row>
    <row r="1952" spans="1:7">
      <c r="A1952" s="63">
        <v>143.42230000000001</v>
      </c>
      <c r="B1952" s="63">
        <v>146.13290000000001</v>
      </c>
      <c r="C1952" s="63">
        <v>143.19399999999999</v>
      </c>
      <c r="D1952" s="63">
        <v>144.59389999999999</v>
      </c>
      <c r="E1952" s="63">
        <v>2880424</v>
      </c>
      <c r="F1952" s="63" t="s">
        <v>323</v>
      </c>
      <c r="G1952" s="25">
        <f t="shared" si="28"/>
        <v>-8.1026931288248338E-3</v>
      </c>
    </row>
    <row r="1953" spans="1:7">
      <c r="A1953" s="63">
        <v>144.47479999999999</v>
      </c>
      <c r="B1953" s="63">
        <v>145.95419999999999</v>
      </c>
      <c r="C1953" s="63">
        <v>143.32650000000001</v>
      </c>
      <c r="D1953" s="63">
        <v>143.8989</v>
      </c>
      <c r="E1953" s="63">
        <v>2748786</v>
      </c>
      <c r="F1953" s="63" t="s">
        <v>322</v>
      </c>
      <c r="G1953" s="25">
        <f t="shared" si="28"/>
        <v>4.002115374057702E-3</v>
      </c>
    </row>
    <row r="1954" spans="1:7">
      <c r="A1954" s="63">
        <v>144.7826</v>
      </c>
      <c r="B1954" s="63">
        <v>145.80520000000001</v>
      </c>
      <c r="C1954" s="63">
        <v>144.05779999999999</v>
      </c>
      <c r="D1954" s="63">
        <v>144.2663</v>
      </c>
      <c r="E1954" s="63">
        <v>3572588</v>
      </c>
      <c r="F1954" s="63" t="s">
        <v>321</v>
      </c>
      <c r="G1954" s="25">
        <f t="shared" si="28"/>
        <v>3.5787983749495655E-3</v>
      </c>
    </row>
    <row r="1955" spans="1:7">
      <c r="A1955" s="63">
        <v>144.13720000000001</v>
      </c>
      <c r="B1955" s="63">
        <v>144.59889999999999</v>
      </c>
      <c r="C1955" s="63">
        <v>142.14150000000001</v>
      </c>
      <c r="D1955" s="63">
        <v>143.43219999999999</v>
      </c>
      <c r="E1955" s="63">
        <v>3027248</v>
      </c>
      <c r="F1955" s="63" t="s">
        <v>320</v>
      </c>
      <c r="G1955" s="25">
        <f t="shared" si="28"/>
        <v>4.9152142963715395E-3</v>
      </c>
    </row>
    <row r="1956" spans="1:7">
      <c r="A1956" s="63">
        <v>143.41239999999999</v>
      </c>
      <c r="B1956" s="63">
        <v>143.58500000000001</v>
      </c>
      <c r="C1956" s="63">
        <v>141.71459999999999</v>
      </c>
      <c r="D1956" s="63">
        <v>142.50890000000001</v>
      </c>
      <c r="E1956" s="63">
        <v>3928255</v>
      </c>
      <c r="F1956" s="63" t="s">
        <v>319</v>
      </c>
      <c r="G1956" s="25">
        <f t="shared" si="28"/>
        <v>6.3399549080793705E-3</v>
      </c>
    </row>
    <row r="1957" spans="1:7">
      <c r="A1957" s="63">
        <v>141.69470000000001</v>
      </c>
      <c r="B1957" s="63">
        <v>141.83369999999999</v>
      </c>
      <c r="C1957" s="63">
        <v>139.64940000000001</v>
      </c>
      <c r="D1957" s="63">
        <v>139.88759999999999</v>
      </c>
      <c r="E1957" s="63">
        <v>3247342</v>
      </c>
      <c r="F1957" s="63" t="s">
        <v>318</v>
      </c>
      <c r="G1957" s="25">
        <f t="shared" si="28"/>
        <v>1.2918228634990037E-2</v>
      </c>
    </row>
    <row r="1958" spans="1:7">
      <c r="A1958" s="63">
        <v>140.03659999999999</v>
      </c>
      <c r="B1958" s="63">
        <v>140.73159999999999</v>
      </c>
      <c r="C1958" s="63">
        <v>137.43520000000001</v>
      </c>
      <c r="D1958" s="63">
        <v>140.5231</v>
      </c>
      <c r="E1958" s="63">
        <v>3463527</v>
      </c>
      <c r="F1958" s="63" t="s">
        <v>317</v>
      </c>
      <c r="G1958" s="25">
        <f t="shared" si="28"/>
        <v>-3.4620642442417804E-3</v>
      </c>
    </row>
    <row r="1959" spans="1:7">
      <c r="A1959" s="63">
        <v>140.13589999999999</v>
      </c>
      <c r="B1959" s="63">
        <v>140.29470000000001</v>
      </c>
      <c r="C1959" s="63">
        <v>135.77709999999999</v>
      </c>
      <c r="D1959" s="63">
        <v>136.07499999999999</v>
      </c>
      <c r="E1959" s="63">
        <v>3779192</v>
      </c>
      <c r="F1959" s="63" t="s">
        <v>316</v>
      </c>
      <c r="G1959" s="25">
        <f t="shared" si="28"/>
        <v>2.9843101230938807E-2</v>
      </c>
    </row>
    <row r="1960" spans="1:7">
      <c r="A1960" s="63">
        <v>136.70050000000001</v>
      </c>
      <c r="B1960" s="63">
        <v>139.89760000000001</v>
      </c>
      <c r="C1960" s="63">
        <v>136.5317</v>
      </c>
      <c r="D1960" s="63">
        <v>137.01820000000001</v>
      </c>
      <c r="E1960" s="63">
        <v>5098091</v>
      </c>
      <c r="F1960" s="63" t="s">
        <v>315</v>
      </c>
      <c r="G1960" s="25">
        <f t="shared" si="28"/>
        <v>-2.3186700744864952E-3</v>
      </c>
    </row>
    <row r="1961" spans="1:7">
      <c r="A1961" s="63">
        <v>136.17429999999999</v>
      </c>
      <c r="B1961" s="63">
        <v>138.7955</v>
      </c>
      <c r="C1961" s="63">
        <v>134.42679999999999</v>
      </c>
      <c r="D1961" s="63">
        <v>137.6934</v>
      </c>
      <c r="E1961" s="63">
        <v>7442857</v>
      </c>
      <c r="F1961" s="63" t="s">
        <v>314</v>
      </c>
      <c r="G1961" s="25">
        <f t="shared" si="28"/>
        <v>-1.1032482312151592E-2</v>
      </c>
    </row>
    <row r="1962" spans="1:7">
      <c r="A1962" s="63">
        <v>137.048</v>
      </c>
      <c r="B1962" s="63">
        <v>142.70740000000001</v>
      </c>
      <c r="C1962" s="63">
        <v>134.55590000000001</v>
      </c>
      <c r="D1962" s="63">
        <v>142.5188</v>
      </c>
      <c r="E1962" s="63">
        <v>9521968</v>
      </c>
      <c r="F1962" s="63" t="s">
        <v>313</v>
      </c>
      <c r="G1962" s="25">
        <f t="shared" si="28"/>
        <v>-3.8386514621228884E-2</v>
      </c>
    </row>
    <row r="1963" spans="1:7">
      <c r="A1963" s="63">
        <v>142.8862</v>
      </c>
      <c r="B1963" s="63">
        <v>147.2251</v>
      </c>
      <c r="C1963" s="63">
        <v>141.36699999999999</v>
      </c>
      <c r="D1963" s="63">
        <v>147.1953</v>
      </c>
      <c r="E1963" s="63">
        <v>5925461</v>
      </c>
      <c r="F1963" s="63" t="s">
        <v>312</v>
      </c>
      <c r="G1963" s="25">
        <f t="shared" si="28"/>
        <v>-2.9274711896371652E-2</v>
      </c>
    </row>
    <row r="1964" spans="1:7">
      <c r="A1964" s="63">
        <v>146.52010000000001</v>
      </c>
      <c r="B1964" s="63">
        <v>147.6917</v>
      </c>
      <c r="C1964" s="63">
        <v>144.64359999999999</v>
      </c>
      <c r="D1964" s="63">
        <v>146.9272</v>
      </c>
      <c r="E1964" s="63">
        <v>3414306</v>
      </c>
      <c r="F1964" s="63" t="s">
        <v>311</v>
      </c>
      <c r="G1964" s="25">
        <f t="shared" si="28"/>
        <v>-2.7707599409775296E-3</v>
      </c>
    </row>
    <row r="1965" spans="1:7">
      <c r="A1965" s="63">
        <v>147.8109</v>
      </c>
      <c r="B1965" s="63">
        <v>148.28749999999999</v>
      </c>
      <c r="C1965" s="63">
        <v>144.96129999999999</v>
      </c>
      <c r="D1965" s="63">
        <v>145.09039999999999</v>
      </c>
      <c r="E1965" s="63">
        <v>4267918</v>
      </c>
      <c r="F1965" s="63" t="s">
        <v>310</v>
      </c>
      <c r="G1965" s="25">
        <f t="shared" si="28"/>
        <v>1.8750379074012002E-2</v>
      </c>
    </row>
    <row r="1966" spans="1:7">
      <c r="A1966" s="63">
        <v>144.96129999999999</v>
      </c>
      <c r="B1966" s="63">
        <v>147.791</v>
      </c>
      <c r="C1966" s="63">
        <v>144.14709999999999</v>
      </c>
      <c r="D1966" s="63">
        <v>147.4932</v>
      </c>
      <c r="E1966" s="63">
        <v>4052312</v>
      </c>
      <c r="F1966" s="63" t="s">
        <v>309</v>
      </c>
      <c r="G1966" s="25">
        <f t="shared" si="28"/>
        <v>-1.7166215120425932E-2</v>
      </c>
    </row>
    <row r="1967" spans="1:7">
      <c r="A1967" s="63">
        <v>146.5102</v>
      </c>
      <c r="B1967" s="63">
        <v>146.58959999999999</v>
      </c>
      <c r="C1967" s="63">
        <v>143.7698</v>
      </c>
      <c r="D1967" s="63">
        <v>145.82509999999999</v>
      </c>
      <c r="E1967" s="63">
        <v>2538119</v>
      </c>
      <c r="F1967" s="63" t="s">
        <v>308</v>
      </c>
      <c r="G1967" s="25">
        <f t="shared" si="28"/>
        <v>4.6980938123821758E-3</v>
      </c>
    </row>
    <row r="1968" spans="1:7">
      <c r="A1968" s="63">
        <v>145.82509999999999</v>
      </c>
      <c r="B1968" s="63">
        <v>146.86760000000001</v>
      </c>
      <c r="C1968" s="63">
        <v>145.6464</v>
      </c>
      <c r="D1968" s="63">
        <v>146.39099999999999</v>
      </c>
      <c r="E1968" s="63">
        <v>2533781</v>
      </c>
      <c r="F1968" s="63" t="s">
        <v>307</v>
      </c>
      <c r="G1968" s="25">
        <f t="shared" si="28"/>
        <v>-3.865674802412733E-3</v>
      </c>
    </row>
    <row r="1969" spans="1:7">
      <c r="A1969" s="63">
        <v>146.113</v>
      </c>
      <c r="B1969" s="63">
        <v>146.94710000000001</v>
      </c>
      <c r="C1969" s="63">
        <v>145.56700000000001</v>
      </c>
      <c r="D1969" s="63">
        <v>145.95419999999999</v>
      </c>
      <c r="E1969" s="63">
        <v>3590614</v>
      </c>
      <c r="F1969" s="63" t="s">
        <v>306</v>
      </c>
      <c r="G1969" s="25">
        <f t="shared" si="28"/>
        <v>1.0880125409205021E-3</v>
      </c>
    </row>
    <row r="1970" spans="1:7">
      <c r="A1970" s="63">
        <v>146.78819999999999</v>
      </c>
      <c r="B1970" s="63">
        <v>147.13570000000001</v>
      </c>
      <c r="C1970" s="63">
        <v>144.72309999999999</v>
      </c>
      <c r="D1970" s="63">
        <v>145.97399999999999</v>
      </c>
      <c r="E1970" s="63">
        <v>2908141</v>
      </c>
      <c r="F1970" s="63" t="s">
        <v>305</v>
      </c>
      <c r="G1970" s="25">
        <f t="shared" si="28"/>
        <v>5.5777056188088814E-3</v>
      </c>
    </row>
    <row r="1971" spans="1:7">
      <c r="A1971" s="63">
        <v>145.97399999999999</v>
      </c>
      <c r="B1971" s="63">
        <v>146.39089999999999</v>
      </c>
      <c r="C1971" s="63">
        <v>142.06209999999999</v>
      </c>
      <c r="D1971" s="63">
        <v>144.37549999999999</v>
      </c>
      <c r="E1971" s="63">
        <v>5133919</v>
      </c>
      <c r="F1971" s="63" t="s">
        <v>304</v>
      </c>
      <c r="G1971" s="25">
        <f t="shared" si="28"/>
        <v>1.1071823127885239E-2</v>
      </c>
    </row>
    <row r="1972" spans="1:7">
      <c r="A1972" s="63">
        <v>145.9145</v>
      </c>
      <c r="B1972" s="63">
        <v>147.63220000000001</v>
      </c>
      <c r="C1972" s="63">
        <v>145.77549999999999</v>
      </c>
      <c r="D1972" s="63">
        <v>146.78819999999999</v>
      </c>
      <c r="E1972" s="63">
        <v>3592057</v>
      </c>
      <c r="F1972" s="63" t="s">
        <v>303</v>
      </c>
      <c r="G1972" s="25">
        <f t="shared" si="28"/>
        <v>-5.952113317010399E-3</v>
      </c>
    </row>
    <row r="1973" spans="1:7">
      <c r="A1973" s="63">
        <v>146.5598</v>
      </c>
      <c r="B1973" s="63">
        <v>146.94710000000001</v>
      </c>
      <c r="C1973" s="63">
        <v>144.37549999999999</v>
      </c>
      <c r="D1973" s="63">
        <v>146.69880000000001</v>
      </c>
      <c r="E1973" s="63">
        <v>3944776</v>
      </c>
      <c r="F1973" s="63" t="s">
        <v>302</v>
      </c>
      <c r="G1973" s="25">
        <f t="shared" si="28"/>
        <v>-9.475196797793517E-4</v>
      </c>
    </row>
    <row r="1974" spans="1:7">
      <c r="A1974" s="63">
        <v>147.10589999999999</v>
      </c>
      <c r="B1974" s="63">
        <v>147.6421</v>
      </c>
      <c r="C1974" s="63">
        <v>144.7627</v>
      </c>
      <c r="D1974" s="63">
        <v>144.7627</v>
      </c>
      <c r="E1974" s="63">
        <v>4680977</v>
      </c>
      <c r="F1974" s="63" t="s">
        <v>301</v>
      </c>
      <c r="G1974" s="25">
        <f t="shared" si="28"/>
        <v>1.6186490028163414E-2</v>
      </c>
    </row>
    <row r="1975" spans="1:7">
      <c r="A1975" s="63">
        <v>144.2166</v>
      </c>
      <c r="B1975" s="63">
        <v>144.60390000000001</v>
      </c>
      <c r="C1975" s="63">
        <v>140.0129</v>
      </c>
      <c r="D1975" s="63">
        <v>140.2054</v>
      </c>
      <c r="E1975" s="63">
        <v>6168002</v>
      </c>
      <c r="F1975" s="63" t="s">
        <v>300</v>
      </c>
      <c r="G1975" s="25">
        <f t="shared" si="28"/>
        <v>2.8609454414737279E-2</v>
      </c>
    </row>
    <row r="1976" spans="1:7">
      <c r="A1976" s="63">
        <v>141.4365</v>
      </c>
      <c r="B1976" s="63">
        <v>142.489</v>
      </c>
      <c r="C1976" s="63">
        <v>140.50319999999999</v>
      </c>
      <c r="D1976" s="63">
        <v>141.2876</v>
      </c>
      <c r="E1976" s="63">
        <v>3643685</v>
      </c>
      <c r="F1976" s="63" t="s">
        <v>299</v>
      </c>
      <c r="G1976" s="25">
        <f t="shared" si="28"/>
        <v>1.053878755106652E-3</v>
      </c>
    </row>
    <row r="1977" spans="1:7">
      <c r="A1977" s="63">
        <v>140.75149999999999</v>
      </c>
      <c r="B1977" s="63">
        <v>141.8536</v>
      </c>
      <c r="C1977" s="63">
        <v>138.88480000000001</v>
      </c>
      <c r="D1977" s="63">
        <v>141.63509999999999</v>
      </c>
      <c r="E1977" s="63">
        <v>5183128</v>
      </c>
      <c r="F1977" s="63" t="s">
        <v>298</v>
      </c>
      <c r="G1977" s="25">
        <f t="shared" ref="G1977:G2005" si="29">A1977/D1977-1</f>
        <v>-6.2385665700098736E-3</v>
      </c>
    </row>
    <row r="1978" spans="1:7">
      <c r="A1978" s="63">
        <v>140.39400000000001</v>
      </c>
      <c r="B1978" s="63">
        <v>140.7217</v>
      </c>
      <c r="C1978" s="63">
        <v>138.02099999999999</v>
      </c>
      <c r="D1978" s="63">
        <v>139.1926</v>
      </c>
      <c r="E1978" s="63">
        <v>5045794</v>
      </c>
      <c r="F1978" s="63" t="s">
        <v>297</v>
      </c>
      <c r="G1978" s="25">
        <f t="shared" si="29"/>
        <v>8.6312059692827958E-3</v>
      </c>
    </row>
    <row r="1979" spans="1:7">
      <c r="A1979" s="63">
        <v>138.7756</v>
      </c>
      <c r="B1979" s="63">
        <v>138.8948</v>
      </c>
      <c r="C1979" s="63">
        <v>137.23660000000001</v>
      </c>
      <c r="D1979" s="63">
        <v>138.26920000000001</v>
      </c>
      <c r="E1979" s="63">
        <v>5576669</v>
      </c>
      <c r="F1979" s="63" t="s">
        <v>296</v>
      </c>
      <c r="G1979" s="25">
        <f t="shared" si="29"/>
        <v>3.6624208428195359E-3</v>
      </c>
    </row>
    <row r="1980" spans="1:7">
      <c r="A1980" s="63">
        <v>136.85929999999999</v>
      </c>
      <c r="B1980" s="63">
        <v>139.74860000000001</v>
      </c>
      <c r="C1980" s="63">
        <v>136.7303</v>
      </c>
      <c r="D1980" s="63">
        <v>139.59970000000001</v>
      </c>
      <c r="E1980" s="63">
        <v>3164659</v>
      </c>
      <c r="F1980" s="63" t="s">
        <v>295</v>
      </c>
      <c r="G1980" s="25">
        <f t="shared" si="29"/>
        <v>-1.9630414678541763E-2</v>
      </c>
    </row>
    <row r="1981" spans="1:7">
      <c r="A1981" s="63">
        <v>139.43090000000001</v>
      </c>
      <c r="B1981" s="63">
        <v>139.47059999999999</v>
      </c>
      <c r="C1981" s="63">
        <v>134.3374</v>
      </c>
      <c r="D1981" s="63">
        <v>135.1814</v>
      </c>
      <c r="E1981" s="63">
        <v>6399247</v>
      </c>
      <c r="F1981" s="63" t="s">
        <v>294</v>
      </c>
      <c r="G1981" s="25">
        <f t="shared" si="29"/>
        <v>3.1435537729303187E-2</v>
      </c>
    </row>
    <row r="1982" spans="1:7">
      <c r="A1982" s="63">
        <v>135.42959999999999</v>
      </c>
      <c r="B1982" s="63">
        <v>136.7303</v>
      </c>
      <c r="C1982" s="63">
        <v>134.9331</v>
      </c>
      <c r="D1982" s="63">
        <v>135.31039999999999</v>
      </c>
      <c r="E1982" s="63">
        <v>5229453</v>
      </c>
      <c r="F1982" s="63" t="s">
        <v>293</v>
      </c>
      <c r="G1982" s="25">
        <f t="shared" si="29"/>
        <v>8.809374593528041E-4</v>
      </c>
    </row>
    <row r="1983" spans="1:7">
      <c r="A1983" s="63">
        <v>134.15870000000001</v>
      </c>
      <c r="B1983" s="63">
        <v>134.92320000000001</v>
      </c>
      <c r="C1983" s="63">
        <v>132.2424</v>
      </c>
      <c r="D1983" s="63">
        <v>133.0367</v>
      </c>
      <c r="E1983" s="63">
        <v>6333655</v>
      </c>
      <c r="F1983" s="63" t="s">
        <v>292</v>
      </c>
      <c r="G1983" s="25">
        <f t="shared" si="29"/>
        <v>8.4337630142661268E-3</v>
      </c>
    </row>
    <row r="1984" spans="1:7">
      <c r="A1984" s="63">
        <v>132.2722</v>
      </c>
      <c r="B1984" s="63">
        <v>136.44229999999999</v>
      </c>
      <c r="C1984" s="63">
        <v>132.15309999999999</v>
      </c>
      <c r="D1984" s="63">
        <v>135.70259999999999</v>
      </c>
      <c r="E1984" s="63">
        <v>6851562</v>
      </c>
      <c r="F1984" s="63" t="s">
        <v>291</v>
      </c>
      <c r="G1984" s="25">
        <f t="shared" si="29"/>
        <v>-2.5278808217381155E-2</v>
      </c>
    </row>
    <row r="1985" spans="1:7">
      <c r="A1985" s="63">
        <v>134.51609999999999</v>
      </c>
      <c r="B1985" s="63">
        <v>136.19409999999999</v>
      </c>
      <c r="C1985" s="63">
        <v>132.86789999999999</v>
      </c>
      <c r="D1985" s="63">
        <v>133.8013</v>
      </c>
      <c r="E1985" s="63">
        <v>7043097</v>
      </c>
      <c r="F1985" s="63" t="s">
        <v>290</v>
      </c>
      <c r="G1985" s="25">
        <f t="shared" si="29"/>
        <v>5.3422500379294302E-3</v>
      </c>
    </row>
    <row r="1986" spans="1:7">
      <c r="A1986" s="63">
        <v>132.2424</v>
      </c>
      <c r="B1986" s="63">
        <v>133.93029999999999</v>
      </c>
      <c r="C1986" s="63">
        <v>130.73320000000001</v>
      </c>
      <c r="D1986" s="63">
        <v>133.285</v>
      </c>
      <c r="E1986" s="63">
        <v>6969788</v>
      </c>
      <c r="F1986" s="63" t="s">
        <v>289</v>
      </c>
      <c r="G1986" s="25">
        <f t="shared" si="29"/>
        <v>-7.8223355966536845E-3</v>
      </c>
    </row>
    <row r="1987" spans="1:7">
      <c r="A1987" s="63">
        <v>134.04949999999999</v>
      </c>
      <c r="B1987" s="63">
        <v>136.32320000000001</v>
      </c>
      <c r="C1987" s="63">
        <v>132.99700000000001</v>
      </c>
      <c r="D1987" s="63">
        <v>136.2835</v>
      </c>
      <c r="E1987" s="63">
        <v>7567258</v>
      </c>
      <c r="F1987" s="63" t="s">
        <v>288</v>
      </c>
      <c r="G1987" s="25">
        <f t="shared" si="29"/>
        <v>-1.6392299874893212E-2</v>
      </c>
    </row>
    <row r="1988" spans="1:7">
      <c r="A1988" s="63">
        <v>136.8991</v>
      </c>
      <c r="B1988" s="63">
        <v>139.06360000000001</v>
      </c>
      <c r="C1988" s="63">
        <v>136.14449999999999</v>
      </c>
      <c r="D1988" s="63">
        <v>138.0806</v>
      </c>
      <c r="E1988" s="63">
        <v>3912774</v>
      </c>
      <c r="F1988" s="63" t="s">
        <v>287</v>
      </c>
      <c r="G1988" s="25">
        <f t="shared" si="29"/>
        <v>-8.5565966544177696E-3</v>
      </c>
    </row>
    <row r="1989" spans="1:7">
      <c r="A1989" s="63">
        <v>137.95150000000001</v>
      </c>
      <c r="B1989" s="63">
        <v>141.10890000000001</v>
      </c>
      <c r="C1989" s="63">
        <v>137.83240000000001</v>
      </c>
      <c r="D1989" s="63">
        <v>139.00399999999999</v>
      </c>
      <c r="E1989" s="63">
        <v>5341369</v>
      </c>
      <c r="F1989" s="63" t="s">
        <v>286</v>
      </c>
      <c r="G1989" s="25">
        <f t="shared" si="29"/>
        <v>-7.5717245546889078E-3</v>
      </c>
    </row>
    <row r="1990" spans="1:7">
      <c r="A1990" s="63">
        <v>138.5274</v>
      </c>
      <c r="B1990" s="63">
        <v>138.71600000000001</v>
      </c>
      <c r="C1990" s="63">
        <v>136.25370000000001</v>
      </c>
      <c r="D1990" s="63">
        <v>137.0976</v>
      </c>
      <c r="E1990" s="63">
        <v>4833685</v>
      </c>
      <c r="F1990" s="63" t="s">
        <v>285</v>
      </c>
      <c r="G1990" s="25">
        <f t="shared" si="29"/>
        <v>1.0429066591975289E-2</v>
      </c>
    </row>
    <row r="1991" spans="1:7">
      <c r="A1991" s="63">
        <v>138.80539999999999</v>
      </c>
      <c r="B1991" s="63">
        <v>139.19159999999999</v>
      </c>
      <c r="C1991" s="63">
        <v>135.93600000000001</v>
      </c>
      <c r="D1991" s="63">
        <v>136.03530000000001</v>
      </c>
      <c r="E1991" s="63">
        <v>4202447</v>
      </c>
      <c r="F1991" s="63" t="s">
        <v>284</v>
      </c>
      <c r="G1991" s="25">
        <f t="shared" si="29"/>
        <v>2.0363096931458102E-2</v>
      </c>
    </row>
    <row r="1992" spans="1:7">
      <c r="A1992" s="63">
        <v>137.42529999999999</v>
      </c>
      <c r="B1992" s="63">
        <v>137.9614</v>
      </c>
      <c r="C1992" s="63">
        <v>135.82429999999999</v>
      </c>
      <c r="D1992" s="63">
        <v>137.08770000000001</v>
      </c>
      <c r="E1992" s="63">
        <v>7711133</v>
      </c>
      <c r="F1992" s="63" t="s">
        <v>283</v>
      </c>
      <c r="G1992" s="25">
        <f t="shared" si="29"/>
        <v>2.4626571165755617E-3</v>
      </c>
    </row>
    <row r="1993" spans="1:7">
      <c r="A1993" s="63">
        <v>137.42529999999999</v>
      </c>
      <c r="B1993" s="63">
        <v>138.75579999999999</v>
      </c>
      <c r="C1993" s="63">
        <v>135.9161</v>
      </c>
      <c r="D1993" s="63">
        <v>136.02529999999999</v>
      </c>
      <c r="E1993" s="63">
        <v>6494863</v>
      </c>
      <c r="F1993" s="63" t="s">
        <v>282</v>
      </c>
      <c r="G1993" s="25">
        <f t="shared" si="29"/>
        <v>1.0292202994589994E-2</v>
      </c>
    </row>
    <row r="1994" spans="1:7">
      <c r="A1994" s="63">
        <v>135.52889999999999</v>
      </c>
      <c r="B1994" s="63">
        <v>136.51179999999999</v>
      </c>
      <c r="C1994" s="63">
        <v>134.63030000000001</v>
      </c>
      <c r="D1994" s="63">
        <v>135.3998</v>
      </c>
      <c r="E1994" s="63">
        <v>5809264</v>
      </c>
      <c r="F1994" s="63" t="s">
        <v>281</v>
      </c>
      <c r="G1994" s="25">
        <f t="shared" si="29"/>
        <v>9.5347260483391594E-4</v>
      </c>
    </row>
    <row r="1995" spans="1:7">
      <c r="A1995" s="63">
        <v>135.29060000000001</v>
      </c>
      <c r="B1995" s="63">
        <v>136.52180000000001</v>
      </c>
      <c r="C1995" s="63">
        <v>133.69200000000001</v>
      </c>
      <c r="D1995" s="63">
        <v>133.99979999999999</v>
      </c>
      <c r="E1995" s="63">
        <v>5319864</v>
      </c>
      <c r="F1995" s="63" t="s">
        <v>280</v>
      </c>
      <c r="G1995" s="25">
        <f t="shared" si="29"/>
        <v>9.632850198284082E-3</v>
      </c>
    </row>
    <row r="1996" spans="1:7">
      <c r="A1996" s="63">
        <v>133.02680000000001</v>
      </c>
      <c r="B1996" s="63">
        <v>133.71190000000001</v>
      </c>
      <c r="C1996" s="63">
        <v>132.31190000000001</v>
      </c>
      <c r="D1996" s="63">
        <v>132.92750000000001</v>
      </c>
      <c r="E1996" s="63">
        <v>3443145</v>
      </c>
      <c r="F1996" s="63" t="s">
        <v>279</v>
      </c>
      <c r="G1996" s="25">
        <f t="shared" si="29"/>
        <v>7.4702375354984696E-4</v>
      </c>
    </row>
    <row r="1997" spans="1:7">
      <c r="A1997" s="63">
        <v>132.58000000000001</v>
      </c>
      <c r="B1997" s="63">
        <v>132.72890000000001</v>
      </c>
      <c r="C1997" s="63">
        <v>129.88929999999999</v>
      </c>
      <c r="D1997" s="63">
        <v>130.76300000000001</v>
      </c>
      <c r="E1997" s="63">
        <v>3486585</v>
      </c>
      <c r="F1997" s="63" t="s">
        <v>278</v>
      </c>
      <c r="G1997" s="25">
        <f t="shared" si="29"/>
        <v>1.3895367955767401E-2</v>
      </c>
    </row>
    <row r="1998" spans="1:7">
      <c r="A1998" s="63">
        <v>131.96440000000001</v>
      </c>
      <c r="B1998" s="63">
        <v>134.7842</v>
      </c>
      <c r="C1998" s="63">
        <v>129.79990000000001</v>
      </c>
      <c r="D1998" s="63">
        <v>134.5856</v>
      </c>
      <c r="E1998" s="63">
        <v>6564097</v>
      </c>
      <c r="F1998" s="63" t="s">
        <v>277</v>
      </c>
      <c r="G1998" s="25">
        <f t="shared" si="29"/>
        <v>-1.9476080650530081E-2</v>
      </c>
    </row>
    <row r="1999" spans="1:7">
      <c r="A1999" s="63">
        <v>134.5856</v>
      </c>
      <c r="B1999" s="63">
        <v>134.74449999999999</v>
      </c>
      <c r="C1999" s="63">
        <v>133.16579999999999</v>
      </c>
      <c r="D1999" s="63">
        <v>133.37430000000001</v>
      </c>
      <c r="E1999" s="63">
        <v>4766855</v>
      </c>
      <c r="F1999" s="63" t="s">
        <v>276</v>
      </c>
      <c r="G1999" s="25">
        <f t="shared" si="29"/>
        <v>9.0819595679227927E-3</v>
      </c>
    </row>
    <row r="2000" spans="1:7">
      <c r="A2000" s="63">
        <v>133.16579999999999</v>
      </c>
      <c r="B2000" s="63">
        <v>133.6722</v>
      </c>
      <c r="C2000" s="63">
        <v>132.024</v>
      </c>
      <c r="D2000" s="63">
        <v>132.19280000000001</v>
      </c>
      <c r="E2000" s="63">
        <v>5123240</v>
      </c>
      <c r="F2000" s="63" t="s">
        <v>275</v>
      </c>
      <c r="G2000" s="25">
        <f t="shared" si="29"/>
        <v>7.3604613867017665E-3</v>
      </c>
    </row>
    <row r="2001" spans="1:7">
      <c r="A2001" s="63">
        <v>131.7063</v>
      </c>
      <c r="B2001" s="63">
        <v>131.8552</v>
      </c>
      <c r="C2001" s="63">
        <v>128.678</v>
      </c>
      <c r="D2001" s="63">
        <v>129.4623</v>
      </c>
      <c r="E2001" s="63">
        <v>4860675</v>
      </c>
      <c r="F2001" s="63" t="s">
        <v>274</v>
      </c>
      <c r="G2001" s="25">
        <f t="shared" si="29"/>
        <v>1.7333231373148683E-2</v>
      </c>
    </row>
    <row r="2002" spans="1:7">
      <c r="A2002" s="63">
        <v>129.59139999999999</v>
      </c>
      <c r="B2002" s="63">
        <v>129.94280000000001</v>
      </c>
      <c r="C2002" s="63">
        <v>127.4393</v>
      </c>
      <c r="D2002" s="63">
        <v>128.95599999999999</v>
      </c>
      <c r="E2002" s="63">
        <v>6132794</v>
      </c>
      <c r="F2002" s="63" t="s">
        <v>273</v>
      </c>
      <c r="G2002" s="25">
        <f t="shared" si="29"/>
        <v>4.9272620118490096E-3</v>
      </c>
    </row>
    <row r="2003" spans="1:7">
      <c r="A2003" s="63">
        <v>128.40989999999999</v>
      </c>
      <c r="B2003" s="63">
        <v>130.0581</v>
      </c>
      <c r="C2003" s="63">
        <v>127.49639999999999</v>
      </c>
      <c r="D2003" s="63">
        <v>128.4496</v>
      </c>
      <c r="E2003" s="63">
        <v>6408344</v>
      </c>
      <c r="F2003" s="63" t="s">
        <v>272</v>
      </c>
      <c r="G2003" s="25">
        <f t="shared" si="29"/>
        <v>-3.0907063937923862E-4</v>
      </c>
    </row>
    <row r="2004" spans="1:7">
      <c r="A2004" s="63">
        <v>128.3801</v>
      </c>
      <c r="B2004" s="63">
        <v>131.607</v>
      </c>
      <c r="C2004" s="63">
        <v>126.93049999999999</v>
      </c>
      <c r="D2004" s="63">
        <v>131.3588</v>
      </c>
      <c r="E2004" s="63">
        <v>14170948</v>
      </c>
      <c r="F2004" s="63" t="s">
        <v>271</v>
      </c>
      <c r="G2004" s="25">
        <f t="shared" si="29"/>
        <v>-2.2676059769120904E-2</v>
      </c>
    </row>
    <row r="2005" spans="1:7">
      <c r="A2005" s="63">
        <v>125.9773</v>
      </c>
      <c r="B2005" s="63">
        <v>126.6326</v>
      </c>
      <c r="C2005" s="63">
        <v>125.2227</v>
      </c>
      <c r="D2005" s="63">
        <v>125.84820000000001</v>
      </c>
      <c r="E2005" s="63">
        <v>8141934</v>
      </c>
      <c r="F2005" s="63" t="s">
        <v>270</v>
      </c>
      <c r="G2005" s="25">
        <f t="shared" si="29"/>
        <v>1.0258390664308337E-3</v>
      </c>
    </row>
  </sheetData>
  <sortState xmlns:xlrd2="http://schemas.microsoft.com/office/spreadsheetml/2017/richdata2" ref="I285:I331">
    <sortCondition ref="I285"/>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63948-7FD9-4D33-AAA7-BDE5D55568DA}">
  <dimension ref="A1"/>
  <sheetViews>
    <sheetView workbookViewId="0">
      <selection sqref="A1:XFD1048576"/>
    </sheetView>
  </sheetViews>
  <sheetFormatPr defaultRowHeight="14.25"/>
  <cols>
    <col min="1" max="1" width="3" style="1" customWidth="1"/>
    <col min="2" max="16384" width="9.140625" style="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36E60-677E-467E-9C59-7853ADE8E695}">
  <dimension ref="A1"/>
  <sheetViews>
    <sheetView topLeftCell="A19" workbookViewId="0">
      <selection activeCell="R19" sqref="R19"/>
    </sheetView>
  </sheetViews>
  <sheetFormatPr defaultRowHeight="14.25"/>
  <cols>
    <col min="1" max="1" width="3" style="1" customWidth="1"/>
    <col min="2" max="16384" width="9.140625" style="1"/>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C31F-8910-447E-89B3-28B6120F3B0A}">
  <dimension ref="B2:Z8"/>
  <sheetViews>
    <sheetView workbookViewId="0">
      <selection activeCell="D15" sqref="D15"/>
    </sheetView>
  </sheetViews>
  <sheetFormatPr defaultRowHeight="14.25"/>
  <cols>
    <col min="1" max="1" width="3.140625" style="1" customWidth="1"/>
    <col min="2" max="16384" width="9.140625" style="1"/>
  </cols>
  <sheetData>
    <row r="2" spans="2:26" ht="15">
      <c r="B2" s="3" t="s">
        <v>9</v>
      </c>
      <c r="C2" s="4"/>
      <c r="D2" s="4"/>
      <c r="E2" s="4"/>
      <c r="F2" s="4"/>
      <c r="G2" s="3" t="s">
        <v>9</v>
      </c>
      <c r="H2" s="5"/>
      <c r="I2" s="5"/>
      <c r="J2" s="5"/>
      <c r="K2" s="5"/>
      <c r="L2" s="5"/>
      <c r="M2" s="5"/>
      <c r="N2" s="5"/>
      <c r="O2" s="5"/>
      <c r="P2" s="5"/>
      <c r="Q2" s="5"/>
      <c r="R2" s="5"/>
      <c r="S2" s="5"/>
      <c r="T2" s="5"/>
      <c r="U2" s="5"/>
      <c r="V2" s="5"/>
      <c r="W2" s="5"/>
      <c r="X2" s="5"/>
      <c r="Y2" s="5"/>
      <c r="Z2" s="6"/>
    </row>
    <row r="3" spans="2:26" ht="15">
      <c r="B3" s="7" t="s">
        <v>10</v>
      </c>
      <c r="C3" s="8"/>
      <c r="D3" s="8"/>
      <c r="E3" s="8"/>
      <c r="F3" s="9"/>
      <c r="G3" s="10" t="s">
        <v>11</v>
      </c>
      <c r="H3" s="10"/>
      <c r="I3" s="10"/>
      <c r="J3" s="10"/>
      <c r="K3" s="10"/>
      <c r="L3" s="10"/>
      <c r="M3" s="10"/>
      <c r="N3" s="10"/>
      <c r="O3" s="10"/>
      <c r="P3" s="10"/>
      <c r="Q3" s="10"/>
      <c r="R3" s="10"/>
      <c r="S3" s="10"/>
      <c r="T3" s="10"/>
      <c r="U3" s="10"/>
      <c r="V3" s="10"/>
      <c r="W3" s="10"/>
      <c r="X3" s="10"/>
      <c r="Y3" s="10"/>
      <c r="Z3" s="11"/>
    </row>
    <row r="4" spans="2:26" ht="15">
      <c r="B4" s="12" t="s">
        <v>10</v>
      </c>
      <c r="C4" s="13"/>
      <c r="D4" s="13"/>
      <c r="E4" s="13"/>
      <c r="F4" s="14"/>
      <c r="G4" s="15" t="s">
        <v>12</v>
      </c>
      <c r="H4" s="15"/>
      <c r="I4" s="15"/>
      <c r="J4" s="15"/>
      <c r="K4" s="15"/>
      <c r="L4" s="15"/>
      <c r="M4" s="15"/>
      <c r="N4" s="15"/>
      <c r="O4" s="15"/>
      <c r="P4" s="15"/>
      <c r="Q4" s="15"/>
      <c r="R4" s="15"/>
      <c r="S4" s="15"/>
      <c r="T4" s="15"/>
      <c r="U4" s="15"/>
      <c r="V4" s="15"/>
      <c r="W4" s="15"/>
      <c r="X4" s="15"/>
      <c r="Y4" s="15"/>
      <c r="Z4" s="16"/>
    </row>
    <row r="5" spans="2:26" ht="15">
      <c r="B5" s="12" t="s">
        <v>10</v>
      </c>
      <c r="C5" s="13"/>
      <c r="D5" s="13"/>
      <c r="E5" s="13"/>
      <c r="F5" s="14"/>
      <c r="G5" s="17" t="s">
        <v>11</v>
      </c>
      <c r="H5" s="17"/>
      <c r="I5" s="17"/>
      <c r="J5" s="17"/>
      <c r="K5" s="17"/>
      <c r="L5" s="17"/>
      <c r="M5" s="17"/>
      <c r="N5" s="17"/>
      <c r="O5" s="17"/>
      <c r="P5" s="17"/>
      <c r="Q5" s="17"/>
      <c r="R5" s="17"/>
      <c r="S5" s="17"/>
      <c r="T5" s="17"/>
      <c r="U5" s="17"/>
      <c r="V5" s="17"/>
      <c r="W5" s="17"/>
      <c r="X5" s="17"/>
      <c r="Y5" s="17"/>
      <c r="Z5" s="18"/>
    </row>
    <row r="6" spans="2:26" ht="15">
      <c r="B6" s="12" t="s">
        <v>10</v>
      </c>
      <c r="C6" s="13"/>
      <c r="D6" s="13"/>
      <c r="E6" s="13"/>
      <c r="F6" s="14"/>
      <c r="G6" s="15" t="s">
        <v>12</v>
      </c>
      <c r="H6" s="15"/>
      <c r="I6" s="15"/>
      <c r="J6" s="15"/>
      <c r="K6" s="15"/>
      <c r="L6" s="15"/>
      <c r="M6" s="15"/>
      <c r="N6" s="15"/>
      <c r="O6" s="15"/>
      <c r="P6" s="15"/>
      <c r="Q6" s="15"/>
      <c r="R6" s="15"/>
      <c r="S6" s="15"/>
      <c r="T6" s="15"/>
      <c r="U6" s="15"/>
      <c r="V6" s="15"/>
      <c r="W6" s="15"/>
      <c r="X6" s="15"/>
      <c r="Y6" s="15"/>
      <c r="Z6" s="16"/>
    </row>
    <row r="7" spans="2:26" ht="15">
      <c r="B7" s="12" t="s">
        <v>10</v>
      </c>
      <c r="C7" s="13"/>
      <c r="D7" s="13"/>
      <c r="E7" s="13"/>
      <c r="F7" s="14"/>
      <c r="G7" s="17" t="s">
        <v>11</v>
      </c>
      <c r="H7" s="17"/>
      <c r="I7" s="17"/>
      <c r="J7" s="17"/>
      <c r="K7" s="17"/>
      <c r="L7" s="17"/>
      <c r="M7" s="17"/>
      <c r="N7" s="17"/>
      <c r="O7" s="17"/>
      <c r="P7" s="17"/>
      <c r="Q7" s="17"/>
      <c r="R7" s="17"/>
      <c r="S7" s="17"/>
      <c r="T7" s="17"/>
      <c r="U7" s="17"/>
      <c r="V7" s="17"/>
      <c r="W7" s="17"/>
      <c r="X7" s="17"/>
      <c r="Y7" s="17"/>
      <c r="Z7" s="18"/>
    </row>
    <row r="8" spans="2:26" ht="15">
      <c r="B8" s="19" t="s">
        <v>10</v>
      </c>
      <c r="C8" s="20"/>
      <c r="D8" s="20"/>
      <c r="E8" s="20"/>
      <c r="F8" s="21"/>
      <c r="G8" s="22" t="s">
        <v>12</v>
      </c>
      <c r="H8" s="22"/>
      <c r="I8" s="22"/>
      <c r="J8" s="22"/>
      <c r="K8" s="22"/>
      <c r="L8" s="22"/>
      <c r="M8" s="22"/>
      <c r="N8" s="22"/>
      <c r="O8" s="22"/>
      <c r="P8" s="22"/>
      <c r="Q8" s="22"/>
      <c r="R8" s="22"/>
      <c r="S8" s="22"/>
      <c r="T8" s="22"/>
      <c r="U8" s="22"/>
      <c r="V8" s="22"/>
      <c r="W8" s="22"/>
      <c r="X8" s="22"/>
      <c r="Y8" s="22"/>
      <c r="Z8"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vt:lpstr>
      <vt:lpstr>Model</vt:lpstr>
      <vt:lpstr>Notes | Quant Analysis</vt:lpstr>
      <vt:lpstr>Product Lines</vt:lpstr>
      <vt:lpstr>Management</vt:lpstr>
      <vt:lpstr>Table 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Jacob H</cp:lastModifiedBy>
  <dcterms:created xsi:type="dcterms:W3CDTF">2015-06-05T18:17:20Z</dcterms:created>
  <dcterms:modified xsi:type="dcterms:W3CDTF">2025-12-30T00:34:04Z</dcterms:modified>
</cp:coreProperties>
</file>