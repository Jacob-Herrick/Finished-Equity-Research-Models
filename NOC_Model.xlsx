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Industrials\"/>
    </mc:Choice>
  </mc:AlternateContent>
  <xr:revisionPtr revIDLastSave="0" documentId="13_ncr:1_{EE431E02-8D6A-408F-80B6-DA5DC3B1E6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0" i="2" l="1"/>
  <c r="CS64" i="2"/>
  <c r="BE42" i="2"/>
  <c r="BE91" i="2" s="1"/>
  <c r="BE99" i="2"/>
  <c r="BE98" i="2"/>
  <c r="BE88" i="2"/>
  <c r="BE87" i="2"/>
  <c r="BE86" i="2"/>
  <c r="BE82" i="2"/>
  <c r="BE84" i="2" s="1"/>
  <c r="BE72" i="2"/>
  <c r="BE33" i="2"/>
  <c r="BE32" i="2"/>
  <c r="BE31" i="2"/>
  <c r="BE28" i="2"/>
  <c r="BE14" i="2"/>
  <c r="BE13" i="2"/>
  <c r="BE12" i="2"/>
  <c r="BE11" i="2"/>
  <c r="BE9" i="2"/>
  <c r="BE100" i="2" l="1"/>
  <c r="BE38" i="2"/>
  <c r="BE36" i="2"/>
  <c r="BE37" i="2"/>
  <c r="BE39" i="2"/>
  <c r="BE34" i="2"/>
  <c r="BE21" i="2"/>
  <c r="BE41" i="2"/>
  <c r="BE103" i="2" s="1"/>
  <c r="BE20" i="2"/>
  <c r="BE19" i="2"/>
  <c r="BE16" i="2"/>
  <c r="BE18" i="2"/>
  <c r="BE15" i="2"/>
  <c r="BE22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X34" i="2"/>
  <c r="BW34" i="2"/>
  <c r="BV34" i="2"/>
  <c r="BX33" i="2"/>
  <c r="BW33" i="2"/>
  <c r="BV33" i="2"/>
  <c r="BX32" i="2"/>
  <c r="BW32" i="2"/>
  <c r="BV32" i="2"/>
  <c r="BX31" i="2"/>
  <c r="BW31" i="2"/>
  <c r="BV31" i="2"/>
  <c r="BX30" i="2"/>
  <c r="BW30" i="2"/>
  <c r="BV30" i="2"/>
  <c r="BY28" i="2"/>
  <c r="BY36" i="2" s="1"/>
  <c r="BX28" i="2"/>
  <c r="BW28" i="2"/>
  <c r="BV28" i="2"/>
  <c r="BU28" i="2"/>
  <c r="BY33" i="2"/>
  <c r="BY32" i="2"/>
  <c r="BY31" i="2"/>
  <c r="BY30" i="2"/>
  <c r="BX39" i="2"/>
  <c r="BW39" i="2"/>
  <c r="BU39" i="2"/>
  <c r="BY38" i="2"/>
  <c r="BX38" i="2"/>
  <c r="BW38" i="2"/>
  <c r="BU38" i="2"/>
  <c r="BX37" i="2"/>
  <c r="BW37" i="2"/>
  <c r="BV37" i="2"/>
  <c r="BU37" i="2"/>
  <c r="BX36" i="2"/>
  <c r="BW36" i="2"/>
  <c r="BU36" i="2"/>
  <c r="BE90" i="2" l="1"/>
  <c r="BE104" i="2"/>
  <c r="BE43" i="2"/>
  <c r="BE89" i="2"/>
  <c r="BE102" i="2"/>
  <c r="BE56" i="2"/>
  <c r="BV39" i="2"/>
  <c r="BY34" i="2"/>
  <c r="BV36" i="2"/>
  <c r="BY37" i="2"/>
  <c r="BV38" i="2"/>
  <c r="BY39" i="2"/>
  <c r="BE55" i="2" l="1"/>
  <c r="BE45" i="2"/>
  <c r="BE49" i="2" l="1"/>
  <c r="BE57" i="2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BZ48" i="2"/>
  <c r="BZ46" i="2"/>
  <c r="BZ78" i="2" s="1"/>
  <c r="CA46" i="2" s="1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Y15" i="2"/>
  <c r="BX15" i="2"/>
  <c r="BW15" i="2"/>
  <c r="BV15" i="2"/>
  <c r="BY22" i="2"/>
  <c r="BX22" i="2"/>
  <c r="BW22" i="2"/>
  <c r="BV22" i="2"/>
  <c r="BU22" i="2"/>
  <c r="BY21" i="2"/>
  <c r="BX21" i="2"/>
  <c r="BW21" i="2"/>
  <c r="BV21" i="2"/>
  <c r="BU21" i="2"/>
  <c r="BY20" i="2"/>
  <c r="BX20" i="2"/>
  <c r="BW20" i="2"/>
  <c r="BV20" i="2"/>
  <c r="BU20" i="2"/>
  <c r="BY19" i="2"/>
  <c r="BX19" i="2"/>
  <c r="BW19" i="2"/>
  <c r="BV19" i="2"/>
  <c r="BU19" i="2"/>
  <c r="BY18" i="2"/>
  <c r="BX18" i="2"/>
  <c r="BW18" i="2"/>
  <c r="BV18" i="2"/>
  <c r="BU18" i="2"/>
  <c r="AI8" i="2"/>
  <c r="AM8" i="2"/>
  <c r="AJ8" i="2"/>
  <c r="AN8" i="2"/>
  <c r="AK8" i="2"/>
  <c r="AO8" i="2"/>
  <c r="AL27" i="2"/>
  <c r="AL26" i="2"/>
  <c r="AL25" i="2"/>
  <c r="AL24" i="2"/>
  <c r="AL8" i="2"/>
  <c r="AL7" i="2"/>
  <c r="AL6" i="2"/>
  <c r="AL5" i="2"/>
  <c r="AL4" i="2"/>
  <c r="AP27" i="2"/>
  <c r="AP26" i="2"/>
  <c r="AP25" i="2"/>
  <c r="AP24" i="2"/>
  <c r="AP8" i="2"/>
  <c r="AP7" i="2"/>
  <c r="AP5" i="2"/>
  <c r="AP4" i="2"/>
  <c r="AP6" i="2"/>
  <c r="BY83" i="2"/>
  <c r="BX83" i="2"/>
  <c r="BW83" i="2"/>
  <c r="BY81" i="2"/>
  <c r="BX81" i="2"/>
  <c r="BW81" i="2"/>
  <c r="BY80" i="2"/>
  <c r="BX80" i="2"/>
  <c r="BW80" i="2"/>
  <c r="BY79" i="2"/>
  <c r="BX79" i="2"/>
  <c r="BW79" i="2"/>
  <c r="BY78" i="2"/>
  <c r="BX78" i="2"/>
  <c r="BW78" i="2"/>
  <c r="BY77" i="2"/>
  <c r="BX77" i="2"/>
  <c r="BW77" i="2"/>
  <c r="BY76" i="2"/>
  <c r="BX76" i="2"/>
  <c r="BW76" i="2"/>
  <c r="BY75" i="2"/>
  <c r="BX75" i="2"/>
  <c r="BW75" i="2"/>
  <c r="BY74" i="2"/>
  <c r="BX74" i="2"/>
  <c r="BW74" i="2"/>
  <c r="BY70" i="2"/>
  <c r="BX70" i="2"/>
  <c r="BW70" i="2"/>
  <c r="BY69" i="2"/>
  <c r="BX69" i="2"/>
  <c r="BW69" i="2"/>
  <c r="BY68" i="2"/>
  <c r="BX68" i="2"/>
  <c r="BW68" i="2"/>
  <c r="BY67" i="2"/>
  <c r="BX67" i="2"/>
  <c r="BW67" i="2"/>
  <c r="BY66" i="2"/>
  <c r="BX66" i="2"/>
  <c r="BW66" i="2"/>
  <c r="BY65" i="2"/>
  <c r="BX65" i="2"/>
  <c r="BW65" i="2"/>
  <c r="BY64" i="2"/>
  <c r="BX64" i="2"/>
  <c r="BW64" i="2"/>
  <c r="BY63" i="2"/>
  <c r="BX63" i="2"/>
  <c r="BW63" i="2"/>
  <c r="BY62" i="2"/>
  <c r="BX62" i="2"/>
  <c r="BW62" i="2"/>
  <c r="BC88" i="2"/>
  <c r="BB88" i="2"/>
  <c r="BA88" i="2"/>
  <c r="AZ88" i="2"/>
  <c r="AY88" i="2"/>
  <c r="AX88" i="2"/>
  <c r="AW88" i="2"/>
  <c r="AV88" i="2"/>
  <c r="AU88" i="2"/>
  <c r="AT88" i="2"/>
  <c r="BC87" i="2"/>
  <c r="BB87" i="2"/>
  <c r="BA87" i="2"/>
  <c r="AZ87" i="2"/>
  <c r="AY87" i="2"/>
  <c r="AX87" i="2"/>
  <c r="AW87" i="2"/>
  <c r="AV87" i="2"/>
  <c r="AU87" i="2"/>
  <c r="AT87" i="2"/>
  <c r="BC86" i="2"/>
  <c r="BB86" i="2"/>
  <c r="BA86" i="2"/>
  <c r="AZ86" i="2"/>
  <c r="AY86" i="2"/>
  <c r="AX86" i="2"/>
  <c r="AW86" i="2"/>
  <c r="AV86" i="2"/>
  <c r="AU86" i="2"/>
  <c r="AT86" i="2"/>
  <c r="BE58" i="2" l="1"/>
  <c r="BE51" i="2"/>
  <c r="CA78" i="2"/>
  <c r="CB46" i="2" s="1"/>
  <c r="BE53" i="2" l="1"/>
  <c r="BE92" i="2"/>
  <c r="BE59" i="2"/>
  <c r="BE93" i="2"/>
  <c r="BE95" i="2"/>
  <c r="CB78" i="2"/>
  <c r="CC46" i="2" s="1"/>
  <c r="CC78" i="2" l="1"/>
  <c r="CD46" i="2" l="1"/>
  <c r="CD78" i="2"/>
  <c r="CE46" i="2" l="1"/>
  <c r="CE78" i="2"/>
  <c r="CF46" i="2" s="1"/>
  <c r="CF78" i="2" l="1"/>
  <c r="CG46" i="2" s="1"/>
  <c r="CG78" i="2" l="1"/>
  <c r="CH46" i="2" s="1"/>
  <c r="CH78" i="2" l="1"/>
  <c r="CI46" i="2" s="1"/>
  <c r="CI78" i="2" l="1"/>
  <c r="BD88" i="2" l="1"/>
  <c r="BD87" i="2"/>
  <c r="BD86" i="2"/>
  <c r="AU71" i="2"/>
  <c r="AQ42" i="2"/>
  <c r="AQ8" i="2"/>
  <c r="AT71" i="2"/>
  <c r="AV71" i="2"/>
  <c r="AV72" i="2" s="1"/>
  <c r="AR42" i="2"/>
  <c r="AR8" i="2"/>
  <c r="AR15" i="2" s="1"/>
  <c r="AW71" i="2"/>
  <c r="AW72" i="2" s="1"/>
  <c r="AS42" i="2"/>
  <c r="AS8" i="2"/>
  <c r="AS15" i="2" s="1"/>
  <c r="AU42" i="2"/>
  <c r="AU91" i="2" s="1"/>
  <c r="AU8" i="2"/>
  <c r="AY71" i="2"/>
  <c r="BY71" i="2" s="1"/>
  <c r="AZ71" i="2"/>
  <c r="AV42" i="2"/>
  <c r="AV8" i="2"/>
  <c r="AV9" i="2" s="1"/>
  <c r="AV21" i="2" s="1"/>
  <c r="AX71" i="2"/>
  <c r="BX71" i="2" s="1"/>
  <c r="BA71" i="2"/>
  <c r="AW42" i="2"/>
  <c r="AW91" i="2" s="1"/>
  <c r="BA42" i="2"/>
  <c r="BA91" i="2" s="1"/>
  <c r="AW8" i="2"/>
  <c r="BA8" i="2"/>
  <c r="BA9" i="2" s="1"/>
  <c r="AT50" i="2"/>
  <c r="BW50" i="2" s="1"/>
  <c r="AT48" i="2"/>
  <c r="BW48" i="2" s="1"/>
  <c r="AT47" i="2"/>
  <c r="BW47" i="2" s="1"/>
  <c r="AT46" i="2"/>
  <c r="AT44" i="2"/>
  <c r="BW44" i="2" s="1"/>
  <c r="AX48" i="2"/>
  <c r="BX48" i="2" s="1"/>
  <c r="AB49" i="2"/>
  <c r="AA49" i="2"/>
  <c r="T49" i="2"/>
  <c r="S49" i="2"/>
  <c r="L49" i="2"/>
  <c r="K49" i="2"/>
  <c r="D49" i="2"/>
  <c r="C49" i="2"/>
  <c r="AX50" i="2"/>
  <c r="BX50" i="2" s="1"/>
  <c r="AX47" i="2"/>
  <c r="BX47" i="2" s="1"/>
  <c r="AX46" i="2"/>
  <c r="AX44" i="2"/>
  <c r="BX44" i="2" s="1"/>
  <c r="BB50" i="2"/>
  <c r="BY50" i="2" s="1"/>
  <c r="AX27" i="2"/>
  <c r="AX26" i="2"/>
  <c r="AX25" i="2"/>
  <c r="BB31" i="2" s="1"/>
  <c r="AX24" i="2"/>
  <c r="BX24" i="2" s="1"/>
  <c r="AT27" i="2"/>
  <c r="AT26" i="2"/>
  <c r="AT25" i="2"/>
  <c r="AT24" i="2"/>
  <c r="AT7" i="2"/>
  <c r="BW7" i="2" s="1"/>
  <c r="AT6" i="2"/>
  <c r="AT13" i="2" s="1"/>
  <c r="AT5" i="2"/>
  <c r="BW5" i="2" s="1"/>
  <c r="AT4" i="2"/>
  <c r="AX7" i="2"/>
  <c r="AX6" i="2"/>
  <c r="AX5" i="2"/>
  <c r="BX5" i="2" s="1"/>
  <c r="AX4" i="2"/>
  <c r="BX4" i="2" s="1"/>
  <c r="BB48" i="2"/>
  <c r="BB47" i="2"/>
  <c r="BY47" i="2" s="1"/>
  <c r="BB46" i="2"/>
  <c r="BY46" i="2" s="1"/>
  <c r="BB44" i="2"/>
  <c r="BB27" i="2"/>
  <c r="BB26" i="2"/>
  <c r="BB25" i="2"/>
  <c r="BB24" i="2"/>
  <c r="BB8" i="2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BB7" i="2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CI7" i="2" s="1"/>
  <c r="BB6" i="2"/>
  <c r="BY6" i="2" s="1"/>
  <c r="BB5" i="2"/>
  <c r="BB4" i="2"/>
  <c r="BC82" i="2"/>
  <c r="BC84" i="2" s="1"/>
  <c r="BC72" i="2"/>
  <c r="AY39" i="2"/>
  <c r="BC36" i="2"/>
  <c r="AZ36" i="2"/>
  <c r="BU26" i="2"/>
  <c r="AP30" i="2"/>
  <c r="BU8" i="2"/>
  <c r="BU4" i="2"/>
  <c r="AP33" i="2"/>
  <c r="AP31" i="2"/>
  <c r="BV7" i="2"/>
  <c r="AZ42" i="2"/>
  <c r="AZ91" i="2" s="1"/>
  <c r="AY42" i="2"/>
  <c r="BD42" i="2"/>
  <c r="BD91" i="2" s="1"/>
  <c r="BC33" i="2"/>
  <c r="BA33" i="2"/>
  <c r="AZ33" i="2"/>
  <c r="AY33" i="2"/>
  <c r="AW33" i="2"/>
  <c r="AV33" i="2"/>
  <c r="AU33" i="2"/>
  <c r="AS33" i="2"/>
  <c r="AR33" i="2"/>
  <c r="AQ33" i="2"/>
  <c r="AO33" i="2"/>
  <c r="AN33" i="2"/>
  <c r="AM33" i="2"/>
  <c r="BC32" i="2"/>
  <c r="BA32" i="2"/>
  <c r="AZ32" i="2"/>
  <c r="AY32" i="2"/>
  <c r="AW32" i="2"/>
  <c r="AV32" i="2"/>
  <c r="AU32" i="2"/>
  <c r="AS32" i="2"/>
  <c r="AR32" i="2"/>
  <c r="AQ32" i="2"/>
  <c r="AP32" i="2"/>
  <c r="AO32" i="2"/>
  <c r="AN32" i="2"/>
  <c r="AM32" i="2"/>
  <c r="BC31" i="2"/>
  <c r="BA31" i="2"/>
  <c r="AZ31" i="2"/>
  <c r="AY31" i="2"/>
  <c r="AW31" i="2"/>
  <c r="AV31" i="2"/>
  <c r="AU31" i="2"/>
  <c r="AS31" i="2"/>
  <c r="AR31" i="2"/>
  <c r="AQ31" i="2"/>
  <c r="AO31" i="2"/>
  <c r="AN31" i="2"/>
  <c r="AM31" i="2"/>
  <c r="BC30" i="2"/>
  <c r="BA30" i="2"/>
  <c r="AZ30" i="2"/>
  <c r="AY30" i="2"/>
  <c r="AW30" i="2"/>
  <c r="AV30" i="2"/>
  <c r="AU30" i="2"/>
  <c r="AS30" i="2"/>
  <c r="AR30" i="2"/>
  <c r="AQ30" i="2"/>
  <c r="AO30" i="2"/>
  <c r="AN30" i="2"/>
  <c r="AM30" i="2"/>
  <c r="BD34" i="2"/>
  <c r="BD33" i="2"/>
  <c r="BD32" i="2"/>
  <c r="BD31" i="2"/>
  <c r="BD30" i="2"/>
  <c r="AZ8" i="2"/>
  <c r="BD8" i="2"/>
  <c r="BC42" i="2"/>
  <c r="AY8" i="2"/>
  <c r="BC8" i="2"/>
  <c r="BC9" i="2" s="1"/>
  <c r="AZ9" i="2"/>
  <c r="BD72" i="2"/>
  <c r="BN3" i="2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BV4" i="2"/>
  <c r="BY4" i="2"/>
  <c r="BZ4" i="2" s="1"/>
  <c r="BU5" i="2"/>
  <c r="BV5" i="2"/>
  <c r="BU6" i="2"/>
  <c r="BV6" i="2"/>
  <c r="BU7" i="2"/>
  <c r="BX7" i="2"/>
  <c r="BV8" i="2"/>
  <c r="AR9" i="2"/>
  <c r="AR18" i="2" s="1"/>
  <c r="AS9" i="2"/>
  <c r="AS21" i="2" s="1"/>
  <c r="AU9" i="2"/>
  <c r="AU19" i="2" s="1"/>
  <c r="AW9" i="2"/>
  <c r="AY9" i="2"/>
  <c r="AY41" i="2" s="1"/>
  <c r="AR11" i="2"/>
  <c r="AS11" i="2"/>
  <c r="AU11" i="2"/>
  <c r="AV11" i="2"/>
  <c r="AW11" i="2"/>
  <c r="AY11" i="2"/>
  <c r="AZ11" i="2"/>
  <c r="BA11" i="2"/>
  <c r="BC11" i="2"/>
  <c r="BD11" i="2"/>
  <c r="AR12" i="2"/>
  <c r="AS12" i="2"/>
  <c r="AU12" i="2"/>
  <c r="AV12" i="2"/>
  <c r="AW12" i="2"/>
  <c r="AY12" i="2"/>
  <c r="AZ12" i="2"/>
  <c r="BA12" i="2"/>
  <c r="BC12" i="2"/>
  <c r="BD12" i="2"/>
  <c r="AR13" i="2"/>
  <c r="AS13" i="2"/>
  <c r="AU13" i="2"/>
  <c r="AV13" i="2"/>
  <c r="AW13" i="2"/>
  <c r="AY13" i="2"/>
  <c r="AZ13" i="2"/>
  <c r="BA13" i="2"/>
  <c r="BC13" i="2"/>
  <c r="BD13" i="2"/>
  <c r="AR14" i="2"/>
  <c r="AS14" i="2"/>
  <c r="AU14" i="2"/>
  <c r="AV14" i="2"/>
  <c r="AW14" i="2"/>
  <c r="AY14" i="2"/>
  <c r="AZ14" i="2"/>
  <c r="BA14" i="2"/>
  <c r="BC14" i="2"/>
  <c r="BD14" i="2"/>
  <c r="AY15" i="2"/>
  <c r="AZ15" i="2"/>
  <c r="BU24" i="2"/>
  <c r="BV24" i="2"/>
  <c r="BY24" i="2"/>
  <c r="BU25" i="2"/>
  <c r="BV25" i="2"/>
  <c r="BY25" i="2"/>
  <c r="BW26" i="2"/>
  <c r="BY26" i="2"/>
  <c r="BU27" i="2"/>
  <c r="BV27" i="2"/>
  <c r="AR28" i="2"/>
  <c r="AS28" i="2"/>
  <c r="AS39" i="2" s="1"/>
  <c r="AU28" i="2"/>
  <c r="AU39" i="2" s="1"/>
  <c r="AV28" i="2"/>
  <c r="AW28" i="2"/>
  <c r="AW39" i="2" s="1"/>
  <c r="AY28" i="2"/>
  <c r="AY38" i="2" s="1"/>
  <c r="AZ28" i="2"/>
  <c r="AZ38" i="2" s="1"/>
  <c r="BA28" i="2"/>
  <c r="BA39" i="2" s="1"/>
  <c r="BC28" i="2"/>
  <c r="BC37" i="2" s="1"/>
  <c r="BD28" i="2"/>
  <c r="BD39" i="2" s="1"/>
  <c r="BM41" i="2"/>
  <c r="BN41" i="2"/>
  <c r="BO41" i="2"/>
  <c r="BP41" i="2"/>
  <c r="BQ41" i="2"/>
  <c r="BR41" i="2"/>
  <c r="BR56" i="2" s="1"/>
  <c r="BS41" i="2"/>
  <c r="BT41" i="2"/>
  <c r="BU41" i="2"/>
  <c r="BV41" i="2"/>
  <c r="BM42" i="2"/>
  <c r="BN42" i="2"/>
  <c r="BO42" i="2"/>
  <c r="BP42" i="2"/>
  <c r="BQ42" i="2"/>
  <c r="BR42" i="2"/>
  <c r="BS42" i="2"/>
  <c r="BT42" i="2"/>
  <c r="BU42" i="2"/>
  <c r="BV42" i="2"/>
  <c r="BM44" i="2"/>
  <c r="BM56" i="2" s="1"/>
  <c r="BN44" i="2"/>
  <c r="BO44" i="2"/>
  <c r="BP44" i="2"/>
  <c r="BQ44" i="2"/>
  <c r="BR44" i="2"/>
  <c r="BS44" i="2"/>
  <c r="BT44" i="2"/>
  <c r="BT56" i="2" s="1"/>
  <c r="BU44" i="2"/>
  <c r="BU56" i="2" s="1"/>
  <c r="BV44" i="2"/>
  <c r="BY44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M47" i="2"/>
  <c r="BN47" i="2"/>
  <c r="BO47" i="2"/>
  <c r="BP47" i="2"/>
  <c r="BQ47" i="2"/>
  <c r="BR47" i="2"/>
  <c r="BS47" i="2"/>
  <c r="BT47" i="2"/>
  <c r="BU47" i="2"/>
  <c r="BV47" i="2"/>
  <c r="BM48" i="2"/>
  <c r="BN48" i="2"/>
  <c r="BO48" i="2"/>
  <c r="BP48" i="2"/>
  <c r="BQ48" i="2"/>
  <c r="BR48" i="2"/>
  <c r="BS48" i="2"/>
  <c r="BT48" i="2"/>
  <c r="BU48" i="2"/>
  <c r="BV48" i="2"/>
  <c r="BY48" i="2"/>
  <c r="BM50" i="2"/>
  <c r="BN50" i="2"/>
  <c r="BO50" i="2"/>
  <c r="BP50" i="2"/>
  <c r="BQ50" i="2"/>
  <c r="BR50" i="2"/>
  <c r="BS50" i="2"/>
  <c r="BT50" i="2"/>
  <c r="BU50" i="2"/>
  <c r="BV50" i="2"/>
  <c r="BM99" i="2"/>
  <c r="BN99" i="2"/>
  <c r="BP99" i="2"/>
  <c r="BQ99" i="2"/>
  <c r="BS99" i="2"/>
  <c r="BV99" i="2"/>
  <c r="BN56" i="2"/>
  <c r="BS56" i="2"/>
  <c r="BV56" i="2"/>
  <c r="BW61" i="2"/>
  <c r="BX61" i="2"/>
  <c r="BY61" i="2"/>
  <c r="CS63" i="2"/>
  <c r="CS69" i="2"/>
  <c r="AU72" i="2"/>
  <c r="AX72" i="2"/>
  <c r="BX72" i="2" s="1"/>
  <c r="AY72" i="2"/>
  <c r="BY72" i="2" s="1"/>
  <c r="AZ72" i="2"/>
  <c r="BA72" i="2"/>
  <c r="BB72" i="2"/>
  <c r="CS71" i="2"/>
  <c r="CN80" i="2"/>
  <c r="AT82" i="2"/>
  <c r="AU82" i="2"/>
  <c r="AU84" i="2" s="1"/>
  <c r="AV82" i="2"/>
  <c r="AV84" i="2" s="1"/>
  <c r="AW82" i="2"/>
  <c r="AW84" i="2" s="1"/>
  <c r="AX82" i="2"/>
  <c r="AY82" i="2"/>
  <c r="AZ82" i="2"/>
  <c r="AZ84" i="2" s="1"/>
  <c r="BA82" i="2"/>
  <c r="BA84" i="2" s="1"/>
  <c r="BB82" i="2"/>
  <c r="BB84" i="2" s="1"/>
  <c r="BD82" i="2"/>
  <c r="BD84" i="2" s="1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AR98" i="2"/>
  <c r="AR100" i="2" s="1"/>
  <c r="AS98" i="2"/>
  <c r="AT98" i="2"/>
  <c r="AU98" i="2"/>
  <c r="AU100" i="2" s="1"/>
  <c r="AV98" i="2"/>
  <c r="AW98" i="2"/>
  <c r="AW100" i="2" s="1"/>
  <c r="AX98" i="2"/>
  <c r="AY98" i="2"/>
  <c r="AZ98" i="2"/>
  <c r="BA98" i="2"/>
  <c r="BB98" i="2"/>
  <c r="BC98" i="2"/>
  <c r="BD98" i="2"/>
  <c r="AR99" i="2"/>
  <c r="AS99" i="2"/>
  <c r="AS100" i="2" s="1"/>
  <c r="AT99" i="2"/>
  <c r="AU99" i="2"/>
  <c r="AV99" i="2"/>
  <c r="AW99" i="2"/>
  <c r="AX99" i="2"/>
  <c r="AX100" i="2" s="1"/>
  <c r="AY99" i="2"/>
  <c r="AZ99" i="2"/>
  <c r="BA99" i="2"/>
  <c r="BA100" i="2" s="1"/>
  <c r="BB99" i="2"/>
  <c r="BC99" i="2"/>
  <c r="BC100" i="2" s="1"/>
  <c r="BD99" i="2"/>
  <c r="BO99" i="2"/>
  <c r="BR99" i="2"/>
  <c r="BT99" i="2"/>
  <c r="BU99" i="2"/>
  <c r="BW99" i="2"/>
  <c r="BX99" i="2"/>
  <c r="C3" i="2" a="1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D43" i="2"/>
  <c r="AD45" i="2" s="1"/>
  <c r="AD49" i="2" s="1"/>
  <c r="AC43" i="2"/>
  <c r="AC45" i="2" s="1"/>
  <c r="AC49" i="2" s="1"/>
  <c r="AB43" i="2"/>
  <c r="AB45" i="2" s="1"/>
  <c r="AA43" i="2"/>
  <c r="AA45" i="2" s="1"/>
  <c r="Z43" i="2"/>
  <c r="Z45" i="2" s="1"/>
  <c r="Z49" i="2" s="1"/>
  <c r="Y43" i="2"/>
  <c r="Y45" i="2" s="1"/>
  <c r="Y49" i="2" s="1"/>
  <c r="X43" i="2"/>
  <c r="X45" i="2" s="1"/>
  <c r="X49" i="2" s="1"/>
  <c r="W43" i="2"/>
  <c r="W45" i="2" s="1"/>
  <c r="W49" i="2" s="1"/>
  <c r="V43" i="2"/>
  <c r="V45" i="2" s="1"/>
  <c r="V49" i="2" s="1"/>
  <c r="U43" i="2"/>
  <c r="U45" i="2" s="1"/>
  <c r="U49" i="2" s="1"/>
  <c r="T43" i="2"/>
  <c r="T45" i="2" s="1"/>
  <c r="S43" i="2"/>
  <c r="S45" i="2" s="1"/>
  <c r="R43" i="2"/>
  <c r="R45" i="2" s="1"/>
  <c r="R49" i="2" s="1"/>
  <c r="Q43" i="2"/>
  <c r="Q45" i="2" s="1"/>
  <c r="Q49" i="2" s="1"/>
  <c r="P43" i="2"/>
  <c r="P45" i="2" s="1"/>
  <c r="P49" i="2" s="1"/>
  <c r="O43" i="2"/>
  <c r="O45" i="2" s="1"/>
  <c r="O49" i="2" s="1"/>
  <c r="N43" i="2"/>
  <c r="N45" i="2" s="1"/>
  <c r="N49" i="2" s="1"/>
  <c r="M43" i="2"/>
  <c r="M45" i="2" s="1"/>
  <c r="M49" i="2" s="1"/>
  <c r="L43" i="2"/>
  <c r="L45" i="2" s="1"/>
  <c r="K43" i="2"/>
  <c r="K45" i="2" s="1"/>
  <c r="J43" i="2"/>
  <c r="J45" i="2" s="1"/>
  <c r="J49" i="2" s="1"/>
  <c r="I43" i="2"/>
  <c r="I45" i="2" s="1"/>
  <c r="I49" i="2" s="1"/>
  <c r="H43" i="2"/>
  <c r="H45" i="2" s="1"/>
  <c r="H49" i="2" s="1"/>
  <c r="G43" i="2"/>
  <c r="G45" i="2" s="1"/>
  <c r="G49" i="2" s="1"/>
  <c r="F43" i="2"/>
  <c r="F45" i="2" s="1"/>
  <c r="F49" i="2" s="1"/>
  <c r="E43" i="2"/>
  <c r="E45" i="2" s="1"/>
  <c r="E49" i="2" s="1"/>
  <c r="D43" i="2"/>
  <c r="D45" i="2" s="1"/>
  <c r="C43" i="2"/>
  <c r="C45" i="2" s="1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A4" i="2" l="1"/>
  <c r="CB4" i="2" s="1"/>
  <c r="BV12" i="2"/>
  <c r="BN49" i="2"/>
  <c r="BC91" i="2"/>
  <c r="AZ39" i="2"/>
  <c r="AA51" i="2"/>
  <c r="AA59" i="2" s="1"/>
  <c r="T51" i="2"/>
  <c r="T59" i="2" s="1"/>
  <c r="AY84" i="2"/>
  <c r="BY84" i="2" s="1"/>
  <c r="BY82" i="2"/>
  <c r="CN69" i="2" s="1"/>
  <c r="AY36" i="2"/>
  <c r="BC38" i="2"/>
  <c r="AT11" i="2"/>
  <c r="AV15" i="2"/>
  <c r="AY37" i="2"/>
  <c r="BC39" i="2"/>
  <c r="AT42" i="2"/>
  <c r="S51" i="2"/>
  <c r="S59" i="2" s="1"/>
  <c r="L51" i="2"/>
  <c r="L59" i="2" s="1"/>
  <c r="BD36" i="2"/>
  <c r="AZ37" i="2"/>
  <c r="BR43" i="2"/>
  <c r="BR55" i="2" s="1"/>
  <c r="K51" i="2"/>
  <c r="K59" i="2" s="1"/>
  <c r="AY90" i="2"/>
  <c r="AY89" i="2"/>
  <c r="E51" i="2"/>
  <c r="E59" i="2" s="1"/>
  <c r="M51" i="2"/>
  <c r="M59" i="2" s="1"/>
  <c r="U51" i="2"/>
  <c r="U59" i="2" s="1"/>
  <c r="AC51" i="2"/>
  <c r="AC59" i="2" s="1"/>
  <c r="AT84" i="2"/>
  <c r="BW84" i="2" s="1"/>
  <c r="BW82" i="2"/>
  <c r="CL63" i="2"/>
  <c r="BY88" i="2"/>
  <c r="BY86" i="2"/>
  <c r="BY87" i="2"/>
  <c r="BQ56" i="2"/>
  <c r="BV26" i="2"/>
  <c r="AY22" i="2"/>
  <c r="BC34" i="2"/>
  <c r="BD37" i="2"/>
  <c r="AT31" i="2"/>
  <c r="AT72" i="2"/>
  <c r="BW72" i="2" s="1"/>
  <c r="BW71" i="2"/>
  <c r="C51" i="2"/>
  <c r="C59" i="2" s="1"/>
  <c r="D51" i="2"/>
  <c r="D59" i="2" s="1"/>
  <c r="F51" i="2"/>
  <c r="F59" i="2" s="1"/>
  <c r="N51" i="2"/>
  <c r="N59" i="2" s="1"/>
  <c r="V51" i="2"/>
  <c r="V59" i="2" s="1"/>
  <c r="AD51" i="2"/>
  <c r="AD59" i="2" s="1"/>
  <c r="CK63" i="2"/>
  <c r="BX88" i="2"/>
  <c r="BX87" i="2"/>
  <c r="BX86" i="2"/>
  <c r="AY20" i="2"/>
  <c r="BD38" i="2"/>
  <c r="AT32" i="2"/>
  <c r="AT8" i="2"/>
  <c r="AT15" i="2" s="1"/>
  <c r="AX84" i="2"/>
  <c r="BX84" i="2" s="1"/>
  <c r="BX82" i="2"/>
  <c r="AX42" i="2"/>
  <c r="AV91" i="2"/>
  <c r="AB51" i="2"/>
  <c r="AB59" i="2" s="1"/>
  <c r="AZ100" i="2"/>
  <c r="G51" i="2"/>
  <c r="G59" i="2" s="1"/>
  <c r="O51" i="2"/>
  <c r="O59" i="2" s="1"/>
  <c r="W51" i="2"/>
  <c r="W59" i="2" s="1"/>
  <c r="BW88" i="2"/>
  <c r="BW87" i="2"/>
  <c r="BW86" i="2"/>
  <c r="AY43" i="2"/>
  <c r="AY45" i="2" s="1"/>
  <c r="AY49" i="2" s="1"/>
  <c r="AY91" i="2"/>
  <c r="BB42" i="2"/>
  <c r="AT33" i="2"/>
  <c r="BW27" i="2"/>
  <c r="AU15" i="2"/>
  <c r="AT12" i="2"/>
  <c r="AX13" i="2"/>
  <c r="AX33" i="2"/>
  <c r="AT28" i="2"/>
  <c r="AT38" i="2" s="1"/>
  <c r="BW25" i="2"/>
  <c r="AR37" i="2"/>
  <c r="AR36" i="2"/>
  <c r="AV34" i="2"/>
  <c r="AR39" i="2"/>
  <c r="AR38" i="2"/>
  <c r="AR21" i="2"/>
  <c r="BW6" i="2"/>
  <c r="AR22" i="2"/>
  <c r="BW4" i="2"/>
  <c r="AX32" i="2"/>
  <c r="AS37" i="2"/>
  <c r="AS38" i="2"/>
  <c r="AS36" i="2"/>
  <c r="AW15" i="2"/>
  <c r="BW8" i="2"/>
  <c r="AS18" i="2"/>
  <c r="AX14" i="2"/>
  <c r="AS41" i="2"/>
  <c r="AS56" i="2" s="1"/>
  <c r="BX14" i="2"/>
  <c r="BW12" i="2"/>
  <c r="BX26" i="2"/>
  <c r="AY34" i="2"/>
  <c r="AU36" i="2"/>
  <c r="AU37" i="2"/>
  <c r="AU38" i="2"/>
  <c r="AU18" i="2"/>
  <c r="AU41" i="2"/>
  <c r="AX12" i="2"/>
  <c r="AU22" i="2"/>
  <c r="AZ34" i="2"/>
  <c r="BX25" i="2"/>
  <c r="AX31" i="2"/>
  <c r="AV36" i="2"/>
  <c r="AV37" i="2"/>
  <c r="AV38" i="2"/>
  <c r="AV39" i="2"/>
  <c r="AV18" i="2"/>
  <c r="AV41" i="2"/>
  <c r="BB11" i="2"/>
  <c r="AV19" i="2"/>
  <c r="BX27" i="2"/>
  <c r="AX28" i="2"/>
  <c r="AX38" i="2" s="1"/>
  <c r="AW36" i="2"/>
  <c r="AW37" i="2"/>
  <c r="AW38" i="2"/>
  <c r="AW34" i="2"/>
  <c r="AX8" i="2"/>
  <c r="AX15" i="2" s="1"/>
  <c r="BX6" i="2"/>
  <c r="BY13" i="2" s="1"/>
  <c r="BB12" i="2"/>
  <c r="BA16" i="2"/>
  <c r="BB32" i="2"/>
  <c r="BA36" i="2"/>
  <c r="BA34" i="2"/>
  <c r="BA37" i="2"/>
  <c r="BB28" i="2"/>
  <c r="BB39" i="2" s="1"/>
  <c r="BA38" i="2"/>
  <c r="BA15" i="2"/>
  <c r="BB14" i="2"/>
  <c r="BA21" i="2"/>
  <c r="BA20" i="2"/>
  <c r="BB30" i="2"/>
  <c r="AT30" i="2"/>
  <c r="BW24" i="2"/>
  <c r="BY27" i="2"/>
  <c r="BB33" i="2"/>
  <c r="BB13" i="2"/>
  <c r="BY5" i="2"/>
  <c r="BZ5" i="2" s="1"/>
  <c r="CA5" i="2" s="1"/>
  <c r="CB5" i="2" s="1"/>
  <c r="CC5" i="2" s="1"/>
  <c r="CD5" i="2" s="1"/>
  <c r="CE5" i="2" s="1"/>
  <c r="CF5" i="2" s="1"/>
  <c r="CG5" i="2" s="1"/>
  <c r="CH5" i="2" s="1"/>
  <c r="CI5" i="2" s="1"/>
  <c r="BV14" i="2"/>
  <c r="BV13" i="2"/>
  <c r="BV11" i="2"/>
  <c r="AT14" i="2"/>
  <c r="AX30" i="2"/>
  <c r="AX11" i="2"/>
  <c r="AT9" i="2"/>
  <c r="BB9" i="2"/>
  <c r="BY9" i="2" s="1"/>
  <c r="BY11" i="2"/>
  <c r="AY56" i="2"/>
  <c r="AY102" i="2"/>
  <c r="AY104" i="2"/>
  <c r="AY21" i="2"/>
  <c r="BC19" i="2"/>
  <c r="BC41" i="2"/>
  <c r="BC16" i="2"/>
  <c r="BC18" i="2"/>
  <c r="BC15" i="2"/>
  <c r="BC22" i="2"/>
  <c r="H51" i="2"/>
  <c r="H59" i="2" s="1"/>
  <c r="P51" i="2"/>
  <c r="P59" i="2" s="1"/>
  <c r="X51" i="2"/>
  <c r="X59" i="2" s="1"/>
  <c r="I51" i="2"/>
  <c r="I59" i="2" s="1"/>
  <c r="Q51" i="2"/>
  <c r="Q59" i="2" s="1"/>
  <c r="Y51" i="2"/>
  <c r="Y59" i="2" s="1"/>
  <c r="J51" i="2"/>
  <c r="J59" i="2" s="1"/>
  <c r="R51" i="2"/>
  <c r="R59" i="2" s="1"/>
  <c r="Z51" i="2"/>
  <c r="Z59" i="2" s="1"/>
  <c r="BN58" i="2"/>
  <c r="AZ20" i="2"/>
  <c r="AZ18" i="2"/>
  <c r="AZ21" i="2"/>
  <c r="AZ22" i="2"/>
  <c r="BO49" i="2"/>
  <c r="BO58" i="2" s="1"/>
  <c r="BR45" i="2"/>
  <c r="BS43" i="2"/>
  <c r="BS55" i="2" s="1"/>
  <c r="BA22" i="2"/>
  <c r="AY19" i="2"/>
  <c r="AY18" i="2"/>
  <c r="AZ16" i="2"/>
  <c r="BX12" i="2"/>
  <c r="BQ45" i="2"/>
  <c r="BQ57" i="2" s="1"/>
  <c r="BM49" i="2"/>
  <c r="BM58" i="2" s="1"/>
  <c r="BP45" i="2"/>
  <c r="BP57" i="2" s="1"/>
  <c r="BQ43" i="2"/>
  <c r="BQ55" i="2" s="1"/>
  <c r="BY14" i="2"/>
  <c r="BX98" i="2"/>
  <c r="BO45" i="2"/>
  <c r="BO57" i="2" s="1"/>
  <c r="BP43" i="2"/>
  <c r="BP55" i="2" s="1"/>
  <c r="BR57" i="2"/>
  <c r="AV22" i="2"/>
  <c r="AV20" i="2"/>
  <c r="AS19" i="2"/>
  <c r="BS49" i="2"/>
  <c r="BS58" i="2" s="1"/>
  <c r="BN45" i="2"/>
  <c r="BN57" i="2" s="1"/>
  <c r="BO43" i="2"/>
  <c r="BO55" i="2" s="1"/>
  <c r="BR49" i="2"/>
  <c r="BR58" i="2" s="1"/>
  <c r="BM45" i="2"/>
  <c r="BM57" i="2" s="1"/>
  <c r="BN43" i="2"/>
  <c r="BN55" i="2" s="1"/>
  <c r="BP56" i="2"/>
  <c r="AS20" i="2"/>
  <c r="AV16" i="2"/>
  <c r="BW13" i="2"/>
  <c r="BQ49" i="2"/>
  <c r="BQ58" i="2" s="1"/>
  <c r="BM43" i="2"/>
  <c r="BM55" i="2" s="1"/>
  <c r="AS22" i="2"/>
  <c r="BA18" i="2"/>
  <c r="BY99" i="2"/>
  <c r="BQ51" i="2"/>
  <c r="BQ59" i="2" s="1"/>
  <c r="BP49" i="2"/>
  <c r="BP58" i="2" s="1"/>
  <c r="BS45" i="2"/>
  <c r="BS57" i="2" s="1"/>
  <c r="BA41" i="2"/>
  <c r="BA19" i="2"/>
  <c r="AU103" i="2"/>
  <c r="AU102" i="2"/>
  <c r="AU43" i="2"/>
  <c r="AV43" i="2"/>
  <c r="AV102" i="2"/>
  <c r="AV104" i="2"/>
  <c r="AV56" i="2"/>
  <c r="BZ6" i="2"/>
  <c r="CA6" i="2" s="1"/>
  <c r="CB6" i="2" s="1"/>
  <c r="CC6" i="2" s="1"/>
  <c r="CD6" i="2" s="1"/>
  <c r="CE6" i="2" s="1"/>
  <c r="CF6" i="2" s="1"/>
  <c r="CG6" i="2" s="1"/>
  <c r="CH6" i="2" s="1"/>
  <c r="CI6" i="2" s="1"/>
  <c r="BD9" i="2"/>
  <c r="BD15" i="2"/>
  <c r="BW11" i="2"/>
  <c r="BX11" i="2"/>
  <c r="AY103" i="2"/>
  <c r="AY100" i="2"/>
  <c r="AW41" i="2"/>
  <c r="AW22" i="2"/>
  <c r="AW19" i="2"/>
  <c r="AW16" i="2"/>
  <c r="AW18" i="2"/>
  <c r="AW21" i="2"/>
  <c r="BY98" i="2"/>
  <c r="BD100" i="2"/>
  <c r="AV100" i="2"/>
  <c r="BX100" i="2" s="1"/>
  <c r="AV103" i="2"/>
  <c r="AW20" i="2"/>
  <c r="BO56" i="2"/>
  <c r="AU104" i="2"/>
  <c r="BB100" i="2"/>
  <c r="AT100" i="2"/>
  <c r="BW14" i="2"/>
  <c r="AS102" i="2"/>
  <c r="BC20" i="2"/>
  <c r="AU20" i="2"/>
  <c r="AZ19" i="2"/>
  <c r="AR19" i="2"/>
  <c r="AY16" i="2"/>
  <c r="AZ41" i="2"/>
  <c r="AR41" i="2"/>
  <c r="BC21" i="2"/>
  <c r="AU21" i="2"/>
  <c r="AR20" i="2"/>
  <c r="S55" i="2"/>
  <c r="L58" i="2"/>
  <c r="X57" i="2"/>
  <c r="Y57" i="2"/>
  <c r="R55" i="2"/>
  <c r="K58" i="2"/>
  <c r="Z55" i="2"/>
  <c r="S58" i="2"/>
  <c r="AA55" i="2"/>
  <c r="T58" i="2"/>
  <c r="H57" i="2"/>
  <c r="AA58" i="2"/>
  <c r="C55" i="2"/>
  <c r="I57" i="2"/>
  <c r="AB58" i="2"/>
  <c r="J55" i="2"/>
  <c r="P57" i="2"/>
  <c r="C58" i="2"/>
  <c r="K55" i="2"/>
  <c r="Q57" i="2"/>
  <c r="D58" i="2"/>
  <c r="I55" i="2"/>
  <c r="Q55" i="2"/>
  <c r="Y55" i="2"/>
  <c r="G57" i="2"/>
  <c r="O57" i="2"/>
  <c r="W57" i="2"/>
  <c r="J58" i="2"/>
  <c r="R58" i="2"/>
  <c r="Z58" i="2"/>
  <c r="D55" i="2"/>
  <c r="L55" i="2"/>
  <c r="T55" i="2"/>
  <c r="AB55" i="2"/>
  <c r="J57" i="2"/>
  <c r="R57" i="2"/>
  <c r="Z57" i="2"/>
  <c r="E58" i="2"/>
  <c r="M58" i="2"/>
  <c r="U58" i="2"/>
  <c r="AC58" i="2"/>
  <c r="E55" i="2"/>
  <c r="M55" i="2"/>
  <c r="U55" i="2"/>
  <c r="AC55" i="2"/>
  <c r="C57" i="2"/>
  <c r="K57" i="2"/>
  <c r="S57" i="2"/>
  <c r="AA57" i="2"/>
  <c r="F58" i="2"/>
  <c r="N58" i="2"/>
  <c r="V58" i="2"/>
  <c r="AD58" i="2"/>
  <c r="F55" i="2"/>
  <c r="N55" i="2"/>
  <c r="V55" i="2"/>
  <c r="AD55" i="2"/>
  <c r="D57" i="2"/>
  <c r="L57" i="2"/>
  <c r="T57" i="2"/>
  <c r="AB57" i="2"/>
  <c r="G58" i="2"/>
  <c r="O58" i="2"/>
  <c r="W58" i="2"/>
  <c r="G55" i="2"/>
  <c r="O55" i="2"/>
  <c r="W55" i="2"/>
  <c r="E57" i="2"/>
  <c r="M57" i="2"/>
  <c r="U57" i="2"/>
  <c r="AC57" i="2"/>
  <c r="H58" i="2"/>
  <c r="P58" i="2"/>
  <c r="X58" i="2"/>
  <c r="H55" i="2"/>
  <c r="P55" i="2"/>
  <c r="X55" i="2"/>
  <c r="F57" i="2"/>
  <c r="N57" i="2"/>
  <c r="V57" i="2"/>
  <c r="AD57" i="2"/>
  <c r="I58" i="2"/>
  <c r="Q58" i="2"/>
  <c r="Y58" i="2"/>
  <c r="X53" i="2"/>
  <c r="S95" i="2"/>
  <c r="S53" i="2"/>
  <c r="AA95" i="2"/>
  <c r="AA53" i="2"/>
  <c r="J95" i="2"/>
  <c r="L53" i="2"/>
  <c r="L95" i="2"/>
  <c r="T53" i="2"/>
  <c r="T95" i="2"/>
  <c r="AB53" i="2"/>
  <c r="AB95" i="2"/>
  <c r="Z95" i="2"/>
  <c r="Z53" i="2"/>
  <c r="M53" i="2"/>
  <c r="M95" i="2"/>
  <c r="AC53" i="2"/>
  <c r="F53" i="2"/>
  <c r="F95" i="2"/>
  <c r="N53" i="2"/>
  <c r="N95" i="2"/>
  <c r="V53" i="2"/>
  <c r="V95" i="2"/>
  <c r="AD53" i="2"/>
  <c r="AD95" i="2"/>
  <c r="H95" i="2"/>
  <c r="H53" i="2"/>
  <c r="I95" i="2"/>
  <c r="I53" i="2"/>
  <c r="E53" i="2"/>
  <c r="E95" i="2"/>
  <c r="U53" i="2"/>
  <c r="U95" i="2"/>
  <c r="G53" i="2"/>
  <c r="G95" i="2"/>
  <c r="O53" i="2"/>
  <c r="O95" i="2"/>
  <c r="W95" i="2"/>
  <c r="AQ28" i="2"/>
  <c r="AP28" i="2"/>
  <c r="AP37" i="2" s="1"/>
  <c r="AO28" i="2"/>
  <c r="AN28" i="2"/>
  <c r="AR34" i="2" s="1"/>
  <c r="AM28" i="2"/>
  <c r="AL28" i="2"/>
  <c r="AL38" i="2" s="1"/>
  <c r="AK28" i="2"/>
  <c r="AJ28" i="2"/>
  <c r="AI28" i="2"/>
  <c r="AQ15" i="2"/>
  <c r="AP15" i="2"/>
  <c r="AO15" i="2"/>
  <c r="AN15" i="2"/>
  <c r="AM15" i="2"/>
  <c r="AQ14" i="2"/>
  <c r="AP14" i="2"/>
  <c r="AO14" i="2"/>
  <c r="AN14" i="2"/>
  <c r="AM14" i="2"/>
  <c r="AQ13" i="2"/>
  <c r="AP13" i="2"/>
  <c r="AO13" i="2"/>
  <c r="AN13" i="2"/>
  <c r="AM13" i="2"/>
  <c r="AQ12" i="2"/>
  <c r="AP12" i="2"/>
  <c r="AO12" i="2"/>
  <c r="AN12" i="2"/>
  <c r="AM12" i="2"/>
  <c r="AQ11" i="2"/>
  <c r="AP11" i="2"/>
  <c r="AO11" i="2"/>
  <c r="AN11" i="2"/>
  <c r="AM11" i="2"/>
  <c r="AQ9" i="2"/>
  <c r="AP9" i="2"/>
  <c r="AP22" i="2" s="1"/>
  <c r="AO9" i="2"/>
  <c r="AO19" i="2" s="1"/>
  <c r="AN9" i="2"/>
  <c r="AM9" i="2"/>
  <c r="AL9" i="2"/>
  <c r="AL18" i="2" s="1"/>
  <c r="AK9" i="2"/>
  <c r="AK19" i="2" s="1"/>
  <c r="AJ9" i="2"/>
  <c r="AJ20" i="2" s="1"/>
  <c r="AI9" i="2"/>
  <c r="CB9" i="2" l="1"/>
  <c r="CB41" i="2" s="1"/>
  <c r="CB42" i="2" s="1"/>
  <c r="CB43" i="2" s="1"/>
  <c r="BZ9" i="2"/>
  <c r="BZ41" i="2" s="1"/>
  <c r="BZ44" i="2" s="1"/>
  <c r="CA9" i="2"/>
  <c r="CA41" i="2" s="1"/>
  <c r="CA44" i="2" s="1"/>
  <c r="CN63" i="2"/>
  <c r="AK37" i="2"/>
  <c r="AK39" i="2"/>
  <c r="AK38" i="2"/>
  <c r="AK36" i="2"/>
  <c r="W53" i="2"/>
  <c r="BR53" i="2" s="1"/>
  <c r="BC90" i="2"/>
  <c r="BC89" i="2"/>
  <c r="BC56" i="2"/>
  <c r="AV90" i="2"/>
  <c r="AV89" i="2"/>
  <c r="AL36" i="2"/>
  <c r="BC43" i="2"/>
  <c r="BA102" i="2"/>
  <c r="BA89" i="2"/>
  <c r="BA90" i="2"/>
  <c r="BA43" i="2"/>
  <c r="BA45" i="2" s="1"/>
  <c r="AJ38" i="2"/>
  <c r="AJ36" i="2"/>
  <c r="AJ37" i="2"/>
  <c r="AJ39" i="2"/>
  <c r="AZ89" i="2"/>
  <c r="AZ90" i="2"/>
  <c r="Y95" i="2"/>
  <c r="BY42" i="2"/>
  <c r="BY91" i="2" s="1"/>
  <c r="BB91" i="2"/>
  <c r="AL39" i="2"/>
  <c r="K53" i="2"/>
  <c r="AM37" i="2"/>
  <c r="AM39" i="2"/>
  <c r="AM36" i="2"/>
  <c r="AM34" i="2"/>
  <c r="AM38" i="2"/>
  <c r="D53" i="2"/>
  <c r="K95" i="2"/>
  <c r="BO51" i="2"/>
  <c r="BO59" i="2" s="1"/>
  <c r="AN39" i="2"/>
  <c r="AN36" i="2"/>
  <c r="AN38" i="2"/>
  <c r="AN34" i="2"/>
  <c r="AN37" i="2"/>
  <c r="D95" i="2"/>
  <c r="C53" i="2"/>
  <c r="AS104" i="2"/>
  <c r="AL37" i="2"/>
  <c r="BM51" i="2"/>
  <c r="BM59" i="2" s="1"/>
  <c r="AO39" i="2"/>
  <c r="AO36" i="2"/>
  <c r="AO38" i="2"/>
  <c r="AO34" i="2"/>
  <c r="AO37" i="2"/>
  <c r="C95" i="2"/>
  <c r="BS51" i="2"/>
  <c r="BS59" i="2" s="1"/>
  <c r="BB37" i="2"/>
  <c r="AU56" i="2"/>
  <c r="AU90" i="2"/>
  <c r="AU89" i="2"/>
  <c r="AP39" i="2"/>
  <c r="AP38" i="2"/>
  <c r="AI39" i="2"/>
  <c r="AI38" i="2"/>
  <c r="AI37" i="2"/>
  <c r="AI36" i="2"/>
  <c r="AW90" i="2"/>
  <c r="AW89" i="2"/>
  <c r="AC95" i="2"/>
  <c r="AS43" i="2"/>
  <c r="AS34" i="2"/>
  <c r="BX42" i="2"/>
  <c r="BX91" i="2" s="1"/>
  <c r="AX91" i="2"/>
  <c r="BW42" i="2"/>
  <c r="BW91" i="2" s="1"/>
  <c r="AT91" i="2"/>
  <c r="AP36" i="2"/>
  <c r="AT37" i="2"/>
  <c r="AT36" i="2"/>
  <c r="AQ37" i="2"/>
  <c r="AQ34" i="2"/>
  <c r="AQ38" i="2"/>
  <c r="AQ36" i="2"/>
  <c r="AQ39" i="2"/>
  <c r="AU34" i="2"/>
  <c r="AT39" i="2"/>
  <c r="AS103" i="2"/>
  <c r="AX36" i="2"/>
  <c r="BB15" i="2"/>
  <c r="BX13" i="2"/>
  <c r="AX34" i="2"/>
  <c r="AX39" i="2"/>
  <c r="AX9" i="2"/>
  <c r="AX22" i="2" s="1"/>
  <c r="AX37" i="2"/>
  <c r="BX8" i="2"/>
  <c r="BB34" i="2"/>
  <c r="BB38" i="2"/>
  <c r="BB36" i="2"/>
  <c r="BY12" i="2"/>
  <c r="Y53" i="2"/>
  <c r="BN51" i="2"/>
  <c r="BN59" i="2" s="1"/>
  <c r="Q53" i="2"/>
  <c r="BR51" i="2"/>
  <c r="BR59" i="2" s="1"/>
  <c r="Q95" i="2"/>
  <c r="AT22" i="2"/>
  <c r="BB20" i="2"/>
  <c r="BB21" i="2"/>
  <c r="AP34" i="2"/>
  <c r="AT34" i="2"/>
  <c r="AT21" i="2"/>
  <c r="AT20" i="2"/>
  <c r="AT41" i="2"/>
  <c r="AT19" i="2"/>
  <c r="AT18" i="2"/>
  <c r="AT16" i="2"/>
  <c r="BB18" i="2"/>
  <c r="BB22" i="2"/>
  <c r="BB19" i="2"/>
  <c r="BB41" i="2"/>
  <c r="AY55" i="2"/>
  <c r="BC104" i="2"/>
  <c r="BC102" i="2"/>
  <c r="BC103" i="2"/>
  <c r="BY100" i="2"/>
  <c r="BM53" i="2"/>
  <c r="R95" i="2"/>
  <c r="BN95" i="2"/>
  <c r="P53" i="2"/>
  <c r="R53" i="2"/>
  <c r="BP51" i="2"/>
  <c r="BP59" i="2" s="1"/>
  <c r="P95" i="2"/>
  <c r="X95" i="2"/>
  <c r="J53" i="2"/>
  <c r="BN53" i="2" s="1"/>
  <c r="BO53" i="2"/>
  <c r="BQ95" i="2"/>
  <c r="AM21" i="2"/>
  <c r="BV9" i="2"/>
  <c r="BO95" i="2"/>
  <c r="BM95" i="2"/>
  <c r="BS53" i="2"/>
  <c r="AS16" i="2"/>
  <c r="AN22" i="2"/>
  <c r="AR16" i="2"/>
  <c r="AI20" i="2"/>
  <c r="BU9" i="2"/>
  <c r="AQ20" i="2"/>
  <c r="AU16" i="2"/>
  <c r="BW9" i="2"/>
  <c r="BS95" i="2"/>
  <c r="BQ53" i="2"/>
  <c r="BA56" i="2"/>
  <c r="BA103" i="2"/>
  <c r="BA104" i="2"/>
  <c r="AR56" i="2"/>
  <c r="AR43" i="2"/>
  <c r="AR102" i="2"/>
  <c r="AR103" i="2"/>
  <c r="AR104" i="2"/>
  <c r="AS55" i="2"/>
  <c r="AS45" i="2"/>
  <c r="AS49" i="2" s="1"/>
  <c r="AW43" i="2"/>
  <c r="AW104" i="2"/>
  <c r="AW56" i="2"/>
  <c r="AW102" i="2"/>
  <c r="AW103" i="2"/>
  <c r="BD19" i="2"/>
  <c r="BD16" i="2"/>
  <c r="BD18" i="2"/>
  <c r="BD21" i="2"/>
  <c r="BD41" i="2"/>
  <c r="BD20" i="2"/>
  <c r="CC4" i="2"/>
  <c r="CC9" i="2" s="1"/>
  <c r="CC41" i="2" s="1"/>
  <c r="AV45" i="2"/>
  <c r="AV49" i="2" s="1"/>
  <c r="AV55" i="2"/>
  <c r="AZ56" i="2"/>
  <c r="AZ43" i="2"/>
  <c r="AZ45" i="2" s="1"/>
  <c r="AZ49" i="2" s="1"/>
  <c r="AZ102" i="2"/>
  <c r="AZ103" i="2"/>
  <c r="AZ104" i="2"/>
  <c r="BD22" i="2"/>
  <c r="AU45" i="2"/>
  <c r="AU49" i="2" s="1"/>
  <c r="AU55" i="2"/>
  <c r="AM19" i="2"/>
  <c r="AM22" i="2"/>
  <c r="AJ21" i="2"/>
  <c r="AI18" i="2"/>
  <c r="AM18" i="2"/>
  <c r="AJ22" i="2"/>
  <c r="AP18" i="2"/>
  <c r="AJ18" i="2"/>
  <c r="AL22" i="2"/>
  <c r="AI19" i="2"/>
  <c r="AI21" i="2"/>
  <c r="AQ18" i="2"/>
  <c r="AP19" i="2"/>
  <c r="AQ21" i="2"/>
  <c r="AQ22" i="2"/>
  <c r="AQ19" i="2"/>
  <c r="AM16" i="2"/>
  <c r="AI22" i="2"/>
  <c r="AK20" i="2"/>
  <c r="AN21" i="2"/>
  <c r="AN18" i="2"/>
  <c r="AL20" i="2"/>
  <c r="AO21" i="2"/>
  <c r="AO18" i="2"/>
  <c r="AJ19" i="2"/>
  <c r="AM20" i="2"/>
  <c r="AP21" i="2"/>
  <c r="AK22" i="2"/>
  <c r="AN16" i="2"/>
  <c r="AP16" i="2"/>
  <c r="AQ16" i="2"/>
  <c r="AO16" i="2"/>
  <c r="AL19" i="2"/>
  <c r="AO20" i="2"/>
  <c r="AK21" i="2"/>
  <c r="AK18" i="2"/>
  <c r="AN19" i="2"/>
  <c r="AL21" i="2"/>
  <c r="AO22" i="2"/>
  <c r="AN20" i="2"/>
  <c r="AP20" i="2"/>
  <c r="BZ16" i="2" l="1"/>
  <c r="BZ42" i="2"/>
  <c r="BZ43" i="2" s="1"/>
  <c r="BZ45" i="2" s="1"/>
  <c r="BZ49" i="2" s="1"/>
  <c r="BZ50" i="2" s="1"/>
  <c r="CB44" i="2"/>
  <c r="CB45" i="2" s="1"/>
  <c r="CA42" i="2"/>
  <c r="CA43" i="2" s="1"/>
  <c r="CA45" i="2" s="1"/>
  <c r="CC44" i="2"/>
  <c r="CC42" i="2"/>
  <c r="CC43" i="2" s="1"/>
  <c r="BA55" i="2"/>
  <c r="BD90" i="2"/>
  <c r="BD89" i="2"/>
  <c r="BY41" i="2"/>
  <c r="BB89" i="2"/>
  <c r="BB90" i="2"/>
  <c r="BC45" i="2"/>
  <c r="BC55" i="2"/>
  <c r="BR95" i="2"/>
  <c r="AT89" i="2"/>
  <c r="AT90" i="2"/>
  <c r="AX21" i="2"/>
  <c r="BX9" i="2"/>
  <c r="BY16" i="2" s="1"/>
  <c r="BB16" i="2"/>
  <c r="AX16" i="2"/>
  <c r="AX18" i="2"/>
  <c r="AX20" i="2"/>
  <c r="AX41" i="2"/>
  <c r="AX19" i="2"/>
  <c r="BA49" i="2"/>
  <c r="BP53" i="2"/>
  <c r="BP95" i="2"/>
  <c r="BW16" i="2"/>
  <c r="AT102" i="2"/>
  <c r="AT43" i="2"/>
  <c r="AT104" i="2"/>
  <c r="AT56" i="2"/>
  <c r="AT103" i="2"/>
  <c r="BB102" i="2"/>
  <c r="BB56" i="2"/>
  <c r="BB104" i="2"/>
  <c r="BB43" i="2"/>
  <c r="BB45" i="2" s="1"/>
  <c r="BB49" i="2" s="1"/>
  <c r="BB103" i="2"/>
  <c r="CA16" i="2"/>
  <c r="AY57" i="2"/>
  <c r="CB16" i="2"/>
  <c r="BV16" i="2"/>
  <c r="CC16" i="2"/>
  <c r="CD4" i="2"/>
  <c r="CD9" i="2" s="1"/>
  <c r="CD41" i="2" s="1"/>
  <c r="AS57" i="2"/>
  <c r="AZ55" i="2"/>
  <c r="BD43" i="2"/>
  <c r="BD102" i="2"/>
  <c r="BD104" i="2"/>
  <c r="BD56" i="2"/>
  <c r="BD103" i="2"/>
  <c r="AW55" i="2"/>
  <c r="AW45" i="2"/>
  <c r="AW49" i="2" s="1"/>
  <c r="AU57" i="2"/>
  <c r="BA57" i="2"/>
  <c r="AR55" i="2"/>
  <c r="AR45" i="2"/>
  <c r="AR49" i="2" s="1"/>
  <c r="AV57" i="2"/>
  <c r="CP63" i="2" l="1"/>
  <c r="CP64" i="2" s="1"/>
  <c r="BZ51" i="2"/>
  <c r="BZ61" i="2" s="1"/>
  <c r="CA48" i="2" s="1"/>
  <c r="CA49" i="2" s="1"/>
  <c r="CA50" i="2" s="1"/>
  <c r="CA51" i="2" s="1"/>
  <c r="CA61" i="2" s="1"/>
  <c r="CB48" i="2" s="1"/>
  <c r="CB49" i="2" s="1"/>
  <c r="CB50" i="2" s="1"/>
  <c r="CB51" i="2" s="1"/>
  <c r="CB61" i="2" s="1"/>
  <c r="CC48" i="2" s="1"/>
  <c r="CC45" i="2"/>
  <c r="CD42" i="2"/>
  <c r="CD43" i="2" s="1"/>
  <c r="CD44" i="2"/>
  <c r="BC49" i="2"/>
  <c r="BC57" i="2"/>
  <c r="AX90" i="2"/>
  <c r="AX89" i="2"/>
  <c r="BY89" i="2"/>
  <c r="BY90" i="2"/>
  <c r="BX16" i="2"/>
  <c r="AX103" i="2"/>
  <c r="BX41" i="2"/>
  <c r="AX104" i="2"/>
  <c r="AX43" i="2"/>
  <c r="AX102" i="2"/>
  <c r="AX56" i="2"/>
  <c r="AT55" i="2"/>
  <c r="AT45" i="2"/>
  <c r="AT49" i="2" s="1"/>
  <c r="BB55" i="2"/>
  <c r="BY45" i="2"/>
  <c r="BY43" i="2"/>
  <c r="AY51" i="2"/>
  <c r="AY58" i="2"/>
  <c r="AW57" i="2"/>
  <c r="AV51" i="2"/>
  <c r="AV58" i="2"/>
  <c r="AS51" i="2"/>
  <c r="AS58" i="2"/>
  <c r="BA51" i="2"/>
  <c r="BA58" i="2"/>
  <c r="AR57" i="2"/>
  <c r="CD16" i="2"/>
  <c r="CE4" i="2"/>
  <c r="CE9" i="2" s="1"/>
  <c r="CE41" i="2" s="1"/>
  <c r="AU58" i="2"/>
  <c r="AU51" i="2"/>
  <c r="BD45" i="2"/>
  <c r="BD49" i="2" s="1"/>
  <c r="BD55" i="2"/>
  <c r="AZ57" i="2"/>
  <c r="CD45" i="2" l="1"/>
  <c r="CC49" i="2"/>
  <c r="CC50" i="2" s="1"/>
  <c r="CC51" i="2" s="1"/>
  <c r="CC61" i="2" s="1"/>
  <c r="CD48" i="2" s="1"/>
  <c r="CE42" i="2"/>
  <c r="CE43" i="2" s="1"/>
  <c r="CE44" i="2"/>
  <c r="AV92" i="2"/>
  <c r="AV93" i="2"/>
  <c r="AY93" i="2"/>
  <c r="AY92" i="2"/>
  <c r="BA93" i="2"/>
  <c r="BA92" i="2"/>
  <c r="AU92" i="2"/>
  <c r="AU93" i="2"/>
  <c r="BX56" i="2"/>
  <c r="BX89" i="2"/>
  <c r="BX90" i="2"/>
  <c r="BC58" i="2"/>
  <c r="BC51" i="2"/>
  <c r="AX55" i="2"/>
  <c r="BX43" i="2"/>
  <c r="BX55" i="2" s="1"/>
  <c r="AX45" i="2"/>
  <c r="AT57" i="2"/>
  <c r="BB57" i="2"/>
  <c r="AY53" i="2"/>
  <c r="AY95" i="2"/>
  <c r="AY59" i="2"/>
  <c r="BD57" i="2"/>
  <c r="CF4" i="2"/>
  <c r="CF9" i="2" s="1"/>
  <c r="CF41" i="2" s="1"/>
  <c r="CE16" i="2"/>
  <c r="AS95" i="2"/>
  <c r="AS53" i="2"/>
  <c r="AS59" i="2"/>
  <c r="AV53" i="2"/>
  <c r="AV59" i="2"/>
  <c r="AV95" i="2"/>
  <c r="AZ51" i="2"/>
  <c r="AZ58" i="2"/>
  <c r="BY49" i="2"/>
  <c r="AR51" i="2"/>
  <c r="AR58" i="2"/>
  <c r="AW51" i="2"/>
  <c r="AW58" i="2"/>
  <c r="AU95" i="2"/>
  <c r="AU59" i="2"/>
  <c r="AU53" i="2"/>
  <c r="BA95" i="2"/>
  <c r="BA53" i="2"/>
  <c r="BA59" i="2"/>
  <c r="CD49" i="2" l="1"/>
  <c r="CD50" i="2" s="1"/>
  <c r="CD51" i="2" s="1"/>
  <c r="CD61" i="2" s="1"/>
  <c r="CE48" i="2" s="1"/>
  <c r="CE45" i="2"/>
  <c r="CF42" i="2"/>
  <c r="CF43" i="2" s="1"/>
  <c r="CF44" i="2"/>
  <c r="AZ93" i="2"/>
  <c r="AZ92" i="2"/>
  <c r="BC92" i="2"/>
  <c r="BC93" i="2"/>
  <c r="BC59" i="2"/>
  <c r="BC53" i="2"/>
  <c r="AW93" i="2"/>
  <c r="AW92" i="2"/>
  <c r="AX49" i="2"/>
  <c r="BX45" i="2"/>
  <c r="BX57" i="2" s="1"/>
  <c r="AX57" i="2"/>
  <c r="AT58" i="2"/>
  <c r="AT51" i="2"/>
  <c r="BB51" i="2"/>
  <c r="BB58" i="2"/>
  <c r="BC95" i="2"/>
  <c r="AW59" i="2"/>
  <c r="AW53" i="2"/>
  <c r="AW95" i="2"/>
  <c r="CG4" i="2"/>
  <c r="CG9" i="2" s="1"/>
  <c r="CG41" i="2" s="1"/>
  <c r="CF16" i="2"/>
  <c r="AZ95" i="2"/>
  <c r="AZ59" i="2"/>
  <c r="AZ53" i="2"/>
  <c r="AR95" i="2"/>
  <c r="AR59" i="2"/>
  <c r="AR53" i="2"/>
  <c r="BD51" i="2"/>
  <c r="BD58" i="2"/>
  <c r="CE49" i="2" l="1"/>
  <c r="CE50" i="2" s="1"/>
  <c r="CE51" i="2" s="1"/>
  <c r="CE61" i="2" s="1"/>
  <c r="CF48" i="2" s="1"/>
  <c r="CG44" i="2"/>
  <c r="CG42" i="2"/>
  <c r="CG43" i="2" s="1"/>
  <c r="CF45" i="2"/>
  <c r="BB92" i="2"/>
  <c r="BB93" i="2"/>
  <c r="BD92" i="2"/>
  <c r="BD93" i="2"/>
  <c r="AT92" i="2"/>
  <c r="AT93" i="2"/>
  <c r="BY51" i="2"/>
  <c r="AX58" i="2"/>
  <c r="BX49" i="2"/>
  <c r="BX58" i="2" s="1"/>
  <c r="AX51" i="2"/>
  <c r="AT59" i="2"/>
  <c r="AT95" i="2"/>
  <c r="AT53" i="2"/>
  <c r="BB95" i="2"/>
  <c r="BY95" i="2" s="1"/>
  <c r="BB53" i="2"/>
  <c r="BY53" i="2" s="1"/>
  <c r="BB59" i="2"/>
  <c r="BD53" i="2"/>
  <c r="BD95" i="2"/>
  <c r="BD59" i="2"/>
  <c r="CH4" i="2"/>
  <c r="CH9" i="2" s="1"/>
  <c r="CH41" i="2" s="1"/>
  <c r="CG16" i="2"/>
  <c r="CF49" i="2" l="1"/>
  <c r="CF50" i="2" s="1"/>
  <c r="CF51" i="2" s="1"/>
  <c r="CF61" i="2" s="1"/>
  <c r="CG48" i="2" s="1"/>
  <c r="CG45" i="2"/>
  <c r="CH44" i="2"/>
  <c r="CH42" i="2"/>
  <c r="CH43" i="2" s="1"/>
  <c r="BY93" i="2"/>
  <c r="BY92" i="2"/>
  <c r="AX93" i="2"/>
  <c r="AX92" i="2"/>
  <c r="AX95" i="2"/>
  <c r="BX95" i="2" s="1"/>
  <c r="BX51" i="2"/>
  <c r="AX53" i="2"/>
  <c r="BX53" i="2" s="1"/>
  <c r="AX59" i="2"/>
  <c r="CI4" i="2"/>
  <c r="CI9" i="2" s="1"/>
  <c r="CI41" i="2" s="1"/>
  <c r="CH16" i="2"/>
  <c r="CG49" i="2" l="1"/>
  <c r="CG50" i="2" s="1"/>
  <c r="CG51" i="2" s="1"/>
  <c r="CG61" i="2" s="1"/>
  <c r="CH48" i="2" s="1"/>
  <c r="CH45" i="2"/>
  <c r="CI44" i="2"/>
  <c r="CI42" i="2"/>
  <c r="CI43" i="2" s="1"/>
  <c r="BX59" i="2"/>
  <c r="BX93" i="2"/>
  <c r="BX92" i="2"/>
  <c r="CI16" i="2"/>
  <c r="CH49" i="2" l="1"/>
  <c r="CH50" i="2" s="1"/>
  <c r="CH51" i="2" s="1"/>
  <c r="CH61" i="2" s="1"/>
  <c r="CI48" i="2" s="1"/>
  <c r="CI45" i="2"/>
  <c r="CI49" i="2" l="1"/>
  <c r="CI50" i="2" s="1"/>
  <c r="CI51" i="2" s="1"/>
  <c r="CJ51" i="2" s="1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CU51" i="2" s="1"/>
  <c r="CV51" i="2" s="1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DG51" i="2" s="1"/>
  <c r="DH51" i="2" s="1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S51" i="2" s="1"/>
  <c r="DT51" i="2" s="1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EE51" i="2" s="1"/>
  <c r="EF51" i="2" s="1"/>
  <c r="EG51" i="2" s="1"/>
  <c r="CI61" i="2" l="1"/>
  <c r="AQ98" i="2"/>
  <c r="BW98" i="2" s="1"/>
  <c r="AP98" i="2"/>
  <c r="AP103" i="2" s="1"/>
  <c r="AO98" i="2"/>
  <c r="AO103" i="2" s="1"/>
  <c r="AN98" i="2"/>
  <c r="AN103" i="2" s="1"/>
  <c r="AM98" i="2"/>
  <c r="AL98" i="2"/>
  <c r="AL103" i="2" s="1"/>
  <c r="AK98" i="2"/>
  <c r="AK103" i="2" s="1"/>
  <c r="AJ98" i="2"/>
  <c r="AJ103" i="2" s="1"/>
  <c r="AI98" i="2"/>
  <c r="AH98" i="2"/>
  <c r="AH103" i="2" s="1"/>
  <c r="AG98" i="2"/>
  <c r="AG103" i="2" s="1"/>
  <c r="AF98" i="2"/>
  <c r="AF103" i="2" s="1"/>
  <c r="AE98" i="2"/>
  <c r="AD98" i="2"/>
  <c r="AD103" i="2" s="1"/>
  <c r="AC98" i="2"/>
  <c r="AC103" i="2" s="1"/>
  <c r="AB98" i="2"/>
  <c r="AB103" i="2" s="1"/>
  <c r="AA98" i="2"/>
  <c r="Z98" i="2"/>
  <c r="Z103" i="2" s="1"/>
  <c r="Y98" i="2"/>
  <c r="Y103" i="2" s="1"/>
  <c r="X98" i="2"/>
  <c r="X103" i="2" s="1"/>
  <c r="W98" i="2"/>
  <c r="V98" i="2"/>
  <c r="V103" i="2" s="1"/>
  <c r="U98" i="2"/>
  <c r="U103" i="2" s="1"/>
  <c r="T98" i="2"/>
  <c r="T103" i="2" s="1"/>
  <c r="S98" i="2"/>
  <c r="R98" i="2"/>
  <c r="R103" i="2" s="1"/>
  <c r="Q98" i="2"/>
  <c r="Q103" i="2" s="1"/>
  <c r="P98" i="2"/>
  <c r="P103" i="2" s="1"/>
  <c r="O98" i="2"/>
  <c r="N98" i="2"/>
  <c r="N103" i="2" s="1"/>
  <c r="M98" i="2"/>
  <c r="M103" i="2" s="1"/>
  <c r="L98" i="2"/>
  <c r="L103" i="2" s="1"/>
  <c r="K98" i="2"/>
  <c r="J98" i="2"/>
  <c r="J103" i="2" s="1"/>
  <c r="I98" i="2"/>
  <c r="I103" i="2" s="1"/>
  <c r="H98" i="2"/>
  <c r="H103" i="2" s="1"/>
  <c r="G98" i="2"/>
  <c r="F98" i="2"/>
  <c r="F103" i="2" s="1"/>
  <c r="E98" i="2"/>
  <c r="E103" i="2" s="1"/>
  <c r="D98" i="2"/>
  <c r="D103" i="2" s="1"/>
  <c r="C98" i="2"/>
  <c r="BO98" i="2" l="1"/>
  <c r="BS98" i="2"/>
  <c r="BM98" i="2"/>
  <c r="BQ98" i="2"/>
  <c r="G103" i="2"/>
  <c r="BN98" i="2"/>
  <c r="O103" i="2"/>
  <c r="BP98" i="2"/>
  <c r="W103" i="2"/>
  <c r="BR98" i="2"/>
  <c r="AE103" i="2"/>
  <c r="BT98" i="2"/>
  <c r="AM103" i="2"/>
  <c r="BV98" i="2"/>
  <c r="BU98" i="2"/>
  <c r="C103" i="2"/>
  <c r="K103" i="2"/>
  <c r="S103" i="2"/>
  <c r="AA103" i="2"/>
  <c r="AI103" i="2"/>
  <c r="AQ100" i="2" l="1"/>
  <c r="BW100" i="2" s="1"/>
  <c r="AP100" i="2"/>
  <c r="AO100" i="2"/>
  <c r="AN100" i="2"/>
  <c r="AM100" i="2"/>
  <c r="BV100" i="2" s="1"/>
  <c r="AL100" i="2"/>
  <c r="AK100" i="2"/>
  <c r="AJ100" i="2"/>
  <c r="AI100" i="2"/>
  <c r="AH100" i="2"/>
  <c r="AG100" i="2"/>
  <c r="AF100" i="2"/>
  <c r="AE100" i="2"/>
  <c r="BT100" i="2" s="1"/>
  <c r="AD100" i="2"/>
  <c r="AC100" i="2"/>
  <c r="AB100" i="2"/>
  <c r="AA100" i="2"/>
  <c r="Z100" i="2"/>
  <c r="Y100" i="2"/>
  <c r="X100" i="2"/>
  <c r="W100" i="2"/>
  <c r="BR100" i="2" s="1"/>
  <c r="V100" i="2"/>
  <c r="U100" i="2"/>
  <c r="T100" i="2"/>
  <c r="S100" i="2"/>
  <c r="R100" i="2"/>
  <c r="Q100" i="2"/>
  <c r="P100" i="2"/>
  <c r="O100" i="2"/>
  <c r="BP100" i="2" s="1"/>
  <c r="N100" i="2"/>
  <c r="M100" i="2"/>
  <c r="L100" i="2"/>
  <c r="K100" i="2"/>
  <c r="J100" i="2"/>
  <c r="I100" i="2"/>
  <c r="H100" i="2"/>
  <c r="G100" i="2"/>
  <c r="BN100" i="2" s="1"/>
  <c r="F100" i="2"/>
  <c r="E100" i="2"/>
  <c r="D100" i="2"/>
  <c r="C100" i="2"/>
  <c r="G223" i="3"/>
  <c r="S242" i="3" s="1"/>
  <c r="T290" i="3"/>
  <c r="T288" i="3"/>
  <c r="O223" i="3"/>
  <c r="C5" i="1"/>
  <c r="CN66" i="2" s="1"/>
  <c r="S240" i="3" l="1"/>
  <c r="S238" i="3"/>
  <c r="S237" i="3"/>
  <c r="S236" i="3"/>
  <c r="S239" i="3"/>
  <c r="CN67" i="2"/>
  <c r="CN68" i="2"/>
  <c r="T291" i="3"/>
  <c r="T287" i="3"/>
  <c r="CS65" i="2"/>
  <c r="CS66" i="2" s="1"/>
  <c r="CS68" i="2" s="1"/>
  <c r="CS70" i="2" s="1"/>
  <c r="CN73" i="2"/>
  <c r="CN75" i="2" s="1"/>
  <c r="BM100" i="2"/>
  <c r="BO100" i="2"/>
  <c r="BQ100" i="2"/>
  <c r="BS100" i="2"/>
  <c r="BU100" i="2"/>
  <c r="AE43" i="2"/>
  <c r="AE56" i="2"/>
  <c r="AP43" i="2"/>
  <c r="AP56" i="2"/>
  <c r="AG43" i="2"/>
  <c r="AG56" i="2"/>
  <c r="AF43" i="2"/>
  <c r="AF56" i="2"/>
  <c r="AH43" i="2"/>
  <c r="AH56" i="2"/>
  <c r="AK43" i="2"/>
  <c r="AK56" i="2"/>
  <c r="C8" i="1"/>
  <c r="EE3" i="2"/>
  <c r="EF3" i="2" s="1"/>
  <c r="EG3" i="2" s="1"/>
  <c r="AQ41" i="2"/>
  <c r="BW41" i="2" s="1"/>
  <c r="S241" i="3" l="1"/>
  <c r="X258" i="3"/>
  <c r="U289" i="3"/>
  <c r="U290" i="3"/>
  <c r="U288" i="3"/>
  <c r="CN82" i="2"/>
  <c r="CS72" i="2"/>
  <c r="CR73" i="2" s="1" a="1"/>
  <c r="T286" i="3"/>
  <c r="U287" i="3"/>
  <c r="T292" i="3"/>
  <c r="U291" i="3"/>
  <c r="BW56" i="2"/>
  <c r="BW89" i="2"/>
  <c r="BW90" i="2"/>
  <c r="BT43" i="2"/>
  <c r="BT55" i="2" s="1"/>
  <c r="AQ104" i="2"/>
  <c r="AQ102" i="2"/>
  <c r="AQ103" i="2"/>
  <c r="AP45" i="2"/>
  <c r="AP49" i="2" s="1"/>
  <c r="AP55" i="2"/>
  <c r="AO43" i="2"/>
  <c r="AO56" i="2"/>
  <c r="AJ43" i="2"/>
  <c r="AJ56" i="2"/>
  <c r="AH45" i="2"/>
  <c r="AH49" i="2" s="1"/>
  <c r="AH55" i="2"/>
  <c r="AK45" i="2"/>
  <c r="AK49" i="2" s="1"/>
  <c r="AK55" i="2"/>
  <c r="AI43" i="2"/>
  <c r="AI56" i="2"/>
  <c r="AM43" i="2"/>
  <c r="BV43" i="2" s="1"/>
  <c r="BV55" i="2" s="1"/>
  <c r="AM56" i="2"/>
  <c r="AG45" i="2"/>
  <c r="AG49" i="2" s="1"/>
  <c r="AG55" i="2"/>
  <c r="AQ43" i="2"/>
  <c r="BW43" i="2" s="1"/>
  <c r="BW55" i="2" s="1"/>
  <c r="AQ56" i="2"/>
  <c r="AN43" i="2"/>
  <c r="AN56" i="2"/>
  <c r="AL43" i="2"/>
  <c r="AL56" i="2"/>
  <c r="AF45" i="2"/>
  <c r="AF49" i="2" s="1"/>
  <c r="AF55" i="2"/>
  <c r="AE45" i="2"/>
  <c r="AE55" i="2"/>
  <c r="X248" i="3"/>
  <c r="X247" i="3"/>
  <c r="X250" i="3"/>
  <c r="X257" i="3"/>
  <c r="X249" i="3"/>
  <c r="X260" i="3"/>
  <c r="X256" i="3"/>
  <c r="X252" i="3"/>
  <c r="X255" i="3"/>
  <c r="X259" i="3"/>
  <c r="X254" i="3"/>
  <c r="X251" i="3"/>
  <c r="X253" i="3"/>
  <c r="CT72" i="2" l="1"/>
  <c r="T293" i="3"/>
  <c r="U292" i="3"/>
  <c r="T285" i="3"/>
  <c r="U286" i="3"/>
  <c r="BT45" i="2"/>
  <c r="BT57" i="2" s="1"/>
  <c r="AE49" i="2"/>
  <c r="BU43" i="2"/>
  <c r="BU55" i="2" s="1"/>
  <c r="AQ45" i="2"/>
  <c r="AQ55" i="2"/>
  <c r="AG57" i="2"/>
  <c r="AH57" i="2"/>
  <c r="BT49" i="2"/>
  <c r="BT58" i="2" s="1"/>
  <c r="AE57" i="2"/>
  <c r="AP57" i="2"/>
  <c r="AF57" i="2"/>
  <c r="AL45" i="2"/>
  <c r="AL49" i="2" s="1"/>
  <c r="AL55" i="2"/>
  <c r="AI45" i="2"/>
  <c r="AI55" i="2"/>
  <c r="AJ45" i="2"/>
  <c r="AJ49" i="2" s="1"/>
  <c r="AJ55" i="2"/>
  <c r="AN45" i="2"/>
  <c r="AN49" i="2" s="1"/>
  <c r="AN55" i="2"/>
  <c r="AM45" i="2"/>
  <c r="AM55" i="2"/>
  <c r="AK57" i="2"/>
  <c r="AO45" i="2"/>
  <c r="AO49" i="2" s="1"/>
  <c r="AO55" i="2"/>
  <c r="T284" i="3" l="1"/>
  <c r="U285" i="3"/>
  <c r="T294" i="3"/>
  <c r="U293" i="3"/>
  <c r="BU45" i="2"/>
  <c r="BU57" i="2" s="1"/>
  <c r="AI49" i="2"/>
  <c r="BV45" i="2"/>
  <c r="BV57" i="2" s="1"/>
  <c r="AM49" i="2"/>
  <c r="BW45" i="2"/>
  <c r="BW57" i="2" s="1"/>
  <c r="AQ49" i="2"/>
  <c r="BW49" i="2" s="1"/>
  <c r="BW58" i="2" s="1"/>
  <c r="AE51" i="2"/>
  <c r="AE58" i="2"/>
  <c r="AM57" i="2"/>
  <c r="AJ57" i="2"/>
  <c r="AQ57" i="2"/>
  <c r="AO57" i="2"/>
  <c r="AF51" i="2"/>
  <c r="AF58" i="2"/>
  <c r="AK51" i="2"/>
  <c r="AK58" i="2"/>
  <c r="AG51" i="2"/>
  <c r="AG58" i="2"/>
  <c r="AL57" i="2"/>
  <c r="AN57" i="2"/>
  <c r="BU49" i="2"/>
  <c r="BU58" i="2" s="1"/>
  <c r="AI57" i="2"/>
  <c r="AP51" i="2"/>
  <c r="AP58" i="2"/>
  <c r="AH51" i="2"/>
  <c r="AH58" i="2"/>
  <c r="T295" i="3" l="1"/>
  <c r="U294" i="3"/>
  <c r="T283" i="3"/>
  <c r="U284" i="3"/>
  <c r="BV49" i="2"/>
  <c r="BV58" i="2" s="1"/>
  <c r="BT51" i="2"/>
  <c r="BT59" i="2" s="1"/>
  <c r="AJ51" i="2"/>
  <c r="AJ58" i="2"/>
  <c r="AL51" i="2"/>
  <c r="AL58" i="2"/>
  <c r="AH59" i="2"/>
  <c r="AH95" i="2"/>
  <c r="AH53" i="2"/>
  <c r="AM51" i="2"/>
  <c r="AM58" i="2"/>
  <c r="AG59" i="2"/>
  <c r="AG95" i="2"/>
  <c r="AG53" i="2"/>
  <c r="AO51" i="2"/>
  <c r="AO58" i="2"/>
  <c r="AP59" i="2"/>
  <c r="AP95" i="2"/>
  <c r="AP53" i="2"/>
  <c r="AQ51" i="2"/>
  <c r="BW51" i="2" s="1"/>
  <c r="AQ58" i="2"/>
  <c r="AK59" i="2"/>
  <c r="AK53" i="2"/>
  <c r="AK95" i="2"/>
  <c r="AI51" i="2"/>
  <c r="AI58" i="2"/>
  <c r="AN51" i="2"/>
  <c r="AN58" i="2"/>
  <c r="AF59" i="2"/>
  <c r="AF53" i="2"/>
  <c r="AF95" i="2"/>
  <c r="AE59" i="2"/>
  <c r="AE53" i="2"/>
  <c r="AE95" i="2"/>
  <c r="T282" i="3" l="1"/>
  <c r="U283" i="3"/>
  <c r="T296" i="3"/>
  <c r="U295" i="3"/>
  <c r="BW59" i="2"/>
  <c r="BW93" i="2"/>
  <c r="BW92" i="2"/>
  <c r="BT95" i="2"/>
  <c r="BV51" i="2"/>
  <c r="BV59" i="2" s="1"/>
  <c r="BT53" i="2"/>
  <c r="BU51" i="2"/>
  <c r="BU59" i="2" s="1"/>
  <c r="AJ59" i="2"/>
  <c r="AJ95" i="2"/>
  <c r="AJ53" i="2"/>
  <c r="AN59" i="2"/>
  <c r="AN95" i="2"/>
  <c r="AN53" i="2"/>
  <c r="AO59" i="2"/>
  <c r="AO95" i="2"/>
  <c r="AO53" i="2"/>
  <c r="AI59" i="2"/>
  <c r="AI53" i="2"/>
  <c r="AI95" i="2"/>
  <c r="BU95" i="2" s="1"/>
  <c r="AM59" i="2"/>
  <c r="AM53" i="2"/>
  <c r="AM95" i="2"/>
  <c r="AL59" i="2"/>
  <c r="AL53" i="2"/>
  <c r="AL95" i="2"/>
  <c r="AQ59" i="2"/>
  <c r="AQ53" i="2"/>
  <c r="BW53" i="2" s="1"/>
  <c r="AQ95" i="2"/>
  <c r="BW95" i="2" s="1"/>
  <c r="T297" i="3" l="1"/>
  <c r="U296" i="3"/>
  <c r="T281" i="3"/>
  <c r="U282" i="3"/>
  <c r="BU53" i="2"/>
  <c r="BV95" i="2"/>
  <c r="BV53" i="2"/>
  <c r="T280" i="3" l="1"/>
  <c r="U281" i="3"/>
  <c r="T298" i="3"/>
  <c r="U297" i="3"/>
  <c r="T299" i="3" l="1"/>
  <c r="U298" i="3"/>
  <c r="T279" i="3"/>
  <c r="U280" i="3"/>
  <c r="T278" i="3" l="1"/>
  <c r="U279" i="3"/>
  <c r="T300" i="3"/>
  <c r="U299" i="3"/>
  <c r="T301" i="3" l="1"/>
  <c r="U300" i="3"/>
  <c r="T277" i="3"/>
  <c r="U278" i="3"/>
  <c r="T276" i="3" l="1"/>
  <c r="U277" i="3"/>
  <c r="T302" i="3"/>
  <c r="U301" i="3"/>
  <c r="T303" i="3" l="1"/>
  <c r="U302" i="3"/>
  <c r="T275" i="3"/>
  <c r="U276" i="3"/>
  <c r="T274" i="3" l="1"/>
  <c r="U275" i="3"/>
  <c r="T304" i="3"/>
  <c r="U303" i="3"/>
  <c r="T305" i="3" l="1"/>
  <c r="U304" i="3"/>
  <c r="T273" i="3"/>
  <c r="U274" i="3"/>
  <c r="T272" i="3" l="1"/>
  <c r="U273" i="3"/>
  <c r="T306" i="3"/>
  <c r="U305" i="3"/>
  <c r="T307" i="3" l="1"/>
  <c r="U306" i="3"/>
  <c r="T271" i="3"/>
  <c r="U272" i="3"/>
  <c r="T270" i="3" l="1"/>
  <c r="U271" i="3"/>
  <c r="T308" i="3"/>
  <c r="U307" i="3"/>
  <c r="T309" i="3" l="1"/>
  <c r="U308" i="3"/>
  <c r="T269" i="3"/>
  <c r="U270" i="3"/>
  <c r="T268" i="3" l="1"/>
  <c r="U269" i="3"/>
  <c r="T310" i="3"/>
  <c r="U309" i="3"/>
  <c r="T311" i="3" l="1"/>
  <c r="U310" i="3"/>
  <c r="T267" i="3"/>
  <c r="U268" i="3"/>
  <c r="T266" i="3" l="1"/>
  <c r="U267" i="3"/>
  <c r="T312" i="3"/>
  <c r="U311" i="3"/>
  <c r="T313" i="3" l="1"/>
  <c r="U312" i="3"/>
  <c r="T265" i="3"/>
  <c r="U266" i="3"/>
  <c r="T264" i="3" l="1"/>
  <c r="U265" i="3"/>
  <c r="T314" i="3"/>
  <c r="U313" i="3"/>
  <c r="T315" i="3" l="1"/>
  <c r="U314" i="3"/>
  <c r="T263" i="3"/>
  <c r="U264" i="3"/>
  <c r="T262" i="3" l="1"/>
  <c r="U263" i="3"/>
  <c r="T316" i="3"/>
  <c r="U315" i="3"/>
  <c r="T317" i="3" l="1"/>
  <c r="U316" i="3"/>
  <c r="T261" i="3"/>
  <c r="U262" i="3"/>
  <c r="T260" i="3" l="1"/>
  <c r="U261" i="3"/>
  <c r="T318" i="3"/>
  <c r="U317" i="3"/>
  <c r="T319" i="3" l="1"/>
  <c r="U318" i="3"/>
  <c r="T259" i="3"/>
  <c r="U260" i="3"/>
  <c r="T258" i="3" l="1"/>
  <c r="U259" i="3"/>
  <c r="T320" i="3"/>
  <c r="U319" i="3"/>
  <c r="T321" i="3" l="1"/>
  <c r="U320" i="3"/>
  <c r="T257" i="3"/>
  <c r="U258" i="3"/>
  <c r="T256" i="3" l="1"/>
  <c r="U257" i="3"/>
  <c r="T322" i="3"/>
  <c r="U321" i="3"/>
  <c r="T323" i="3" l="1"/>
  <c r="U322" i="3"/>
  <c r="T255" i="3"/>
  <c r="U256" i="3"/>
  <c r="T254" i="3" l="1"/>
  <c r="U255" i="3"/>
  <c r="T324" i="3"/>
  <c r="U323" i="3"/>
  <c r="T325" i="3" l="1"/>
  <c r="U324" i="3"/>
  <c r="T253" i="3"/>
  <c r="U254" i="3"/>
  <c r="T252" i="3" l="1"/>
  <c r="U253" i="3"/>
  <c r="T326" i="3"/>
  <c r="U325" i="3"/>
  <c r="T327" i="3" l="1"/>
  <c r="U326" i="3"/>
  <c r="T251" i="3"/>
  <c r="U252" i="3"/>
  <c r="T250" i="3" l="1"/>
  <c r="U251" i="3"/>
  <c r="T328" i="3"/>
  <c r="U327" i="3"/>
  <c r="T329" i="3" l="1"/>
  <c r="U328" i="3"/>
  <c r="T249" i="3"/>
  <c r="U250" i="3"/>
  <c r="U249" i="3" l="1"/>
  <c r="T248" i="3"/>
  <c r="T330" i="3"/>
  <c r="U329" i="3"/>
  <c r="T331" i="3" l="1"/>
  <c r="U331" i="3" s="1"/>
  <c r="U330" i="3"/>
  <c r="T247" i="3"/>
  <c r="U247" i="3" s="1"/>
  <c r="U2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<sst xmlns="http://schemas.openxmlformats.org/spreadsheetml/2006/main" count="2794" uniqueCount="1496">
  <si>
    <t xml:space="preserve">Price </t>
  </si>
  <si>
    <t>SO</t>
  </si>
  <si>
    <t>MC</t>
  </si>
  <si>
    <t>Cash</t>
  </si>
  <si>
    <t>Debt</t>
  </si>
  <si>
    <t>EV</t>
  </si>
  <si>
    <t>Registered Exchange: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</si>
  <si>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</si>
  <si>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</si>
  <si>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</si>
  <si>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</si>
  <si>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</si>
  <si>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</si>
  <si>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</si>
  <si>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</si>
  <si>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</si>
  <si>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</si>
  <si>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</si>
  <si>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</si>
  <si>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</si>
  <si>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</si>
  <si>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</si>
  <si>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</si>
  <si>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</si>
  <si>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</si>
  <si>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</si>
  <si>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</si>
  <si>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</si>
  <si>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</si>
  <si>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</si>
  <si>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</si>
  <si>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</si>
  <si>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</si>
  <si>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</si>
  <si>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</si>
  <si>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</si>
  <si>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</si>
  <si>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</si>
  <si>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</si>
  <si>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</si>
  <si>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</si>
  <si>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</si>
  <si>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</si>
  <si>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</si>
  <si>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</si>
  <si>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</si>
  <si>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</si>
  <si>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</si>
  <si>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</si>
  <si>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</si>
  <si>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</si>
  <si>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</si>
  <si>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</si>
  <si>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</si>
  <si>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% of Revenues</t>
  </si>
  <si>
    <t>COGS</t>
  </si>
  <si>
    <t>GP</t>
  </si>
  <si>
    <t>Gross Profit Margin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</si>
  <si>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</si>
  <si>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</si>
  <si>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</si>
  <si>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</si>
  <si>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</si>
  <si>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</si>
  <si>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</si>
  <si>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</si>
  <si>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</si>
  <si>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</si>
  <si>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</si>
  <si>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</si>
  <si>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</si>
  <si>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</si>
  <si>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</si>
  <si>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</si>
  <si>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</si>
  <si>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</si>
  <si>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</si>
  <si>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</si>
  <si>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</si>
  <si>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</si>
  <si>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</si>
  <si>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</si>
  <si>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</si>
  <si>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</si>
  <si>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</si>
  <si>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</si>
  <si>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</si>
  <si>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</si>
  <si>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</si>
  <si>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</si>
  <si>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</si>
  <si>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</si>
  <si>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Address: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</si>
  <si>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</si>
  <si>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</si>
  <si>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</si>
  <si>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</si>
  <si>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</si>
  <si>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</si>
  <si>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</si>
  <si>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</si>
  <si>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</si>
  <si>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</si>
  <si>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</si>
  <si>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</si>
  <si>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</si>
  <si>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</si>
  <si>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</si>
  <si>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</si>
  <si>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</si>
  <si>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</si>
  <si>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</si>
  <si>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</si>
  <si>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</si>
  <si>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</si>
  <si>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</si>
  <si>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</si>
  <si>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</si>
  <si>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</si>
  <si>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</si>
  <si>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</si>
  <si>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</si>
  <si>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</si>
  <si>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</si>
  <si>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</si>
  <si>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</si>
  <si>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</si>
  <si>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</si>
  <si>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</si>
  <si>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</si>
  <si>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</si>
  <si>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</si>
  <si>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</si>
  <si>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</si>
  <si>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</si>
  <si>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</si>
  <si>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</si>
  <si>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</si>
  <si>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</si>
  <si>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CFFO Margin</t>
  </si>
  <si>
    <t>FCF Margin</t>
  </si>
  <si>
    <t>CapEx as % of Revenue</t>
  </si>
  <si>
    <t>Q1 2026</t>
  </si>
  <si>
    <t>NOC</t>
  </si>
  <si>
    <t>Northrop Grumman Corporation (NOC)</t>
  </si>
  <si>
    <t>Founder(s): Merger between Northrop Corp. &amp; Grumman Aircraft Engineering Corp.</t>
  </si>
  <si>
    <t>Founded: Merged April 1994</t>
  </si>
  <si>
    <t>Current CEO: Kathy Warden</t>
  </si>
  <si>
    <t>Headquarters: Falls Church, VA</t>
  </si>
  <si>
    <t>Employees: 95,000</t>
  </si>
  <si>
    <t>Industry: Industrials</t>
  </si>
  <si>
    <t>Sector: Aerospace &amp; Defense</t>
  </si>
  <si>
    <t>IPO: Merged April 1994</t>
  </si>
  <si>
    <t>(703) 280 - 2900</t>
  </si>
  <si>
    <t>Fiscal Year: [January - December]</t>
  </si>
  <si>
    <t>https://www.sec.gov/edgar/browse/?CIK=1133421&amp;owner=exclude</t>
  </si>
  <si>
    <t>https://www.northropgrumman.com/</t>
  </si>
  <si>
    <t>https://investor.northropgrumman.com/</t>
  </si>
  <si>
    <t>https://seekingalpha.com/symbol/NOC/earnings/transcripts</t>
  </si>
  <si>
    <t>https://stockanalysis.com/stocks/noc/company/</t>
  </si>
  <si>
    <t>https://www.macrotrends.net/stocks/charts/NOC/northrop-grumman/financial-statements</t>
  </si>
  <si>
    <t>https://www.gurufocus.com/term/wacc/NOC</t>
  </si>
  <si>
    <t>Northrop Grumman Corporation operates as an aerospace and defense technology company in the United States, Asia/Pacific, Europe, and internationally</t>
  </si>
  <si>
    <t xml:space="preserve">It operates through four segments: Aeronautics Systems, Defense Systems, Mission Systems and Space Systems … </t>
  </si>
  <si>
    <t xml:space="preserve">The Aeronautics Systems segment designs, develops, produces, integrates, sustains, and modernizes aircraft systems.
</t>
  </si>
  <si>
    <t>This segment also offers unmanned autonomous aircraft systems, including high-altitude long-endurance strategic, surveillance and reconnaissance systems; and strategic long-range strike aircraft, tactical fighter and air dominance aircraft, and airborne battle management and command and control systems</t>
  </si>
  <si>
    <t>The Defense Systems segment designs, develops, integrates, and produces strategic deterrent systems, tactical weapons, and missile defense solutions; and provides sustainment, modernization, and training services for manned and unmanned aircraft and electronics systems</t>
  </si>
  <si>
    <t>This segment also offers strategic missiles; integrated all-domain command and control systems; precision strike weapons; tactical solid rocket motors, and high-speed air-breathing and hypersonic systems; high-performance gun systems, ammunition, precision munitions, and advanced fuzes; and sustainment, operation, and modernization</t>
  </si>
  <si>
    <t>The Mission Systems segment provides command, control, communication and computer, intelligence, surveillance, and reconnaissance systems; radar, electro-optical/infrared, and acoustic sensors; electronic warfare systems; advanced communications and network systems; microelectronics; navigation and positioning sensors; maritime power, propulsion, and payload launch systems; cyber solutions; and intelligence processing systems</t>
  </si>
  <si>
    <t>Its Space Systems segment offers satellites, spacecraft systems, subsystems, sensors, and payloads; ground systems; missile defense systems and interceptors; and launch vehicles and related propulsion systems</t>
  </si>
  <si>
    <t>The Company was founded in 1939 and is based in Falls Church, Virginia</t>
  </si>
  <si>
    <t>Aeronautics</t>
  </si>
  <si>
    <t>Defense</t>
  </si>
  <si>
    <t>Mission Systems</t>
  </si>
  <si>
    <t>Space Systems</t>
  </si>
  <si>
    <t>Aeronautics Growth Y/y</t>
  </si>
  <si>
    <t>Defense Growth Y/y</t>
  </si>
  <si>
    <t>Mission Systems Growth Y/y</t>
  </si>
  <si>
    <t xml:space="preserve">Space Systems Growth Y/y </t>
  </si>
  <si>
    <t>Aeronautics % of Ttl Revenues</t>
  </si>
  <si>
    <t>Defense % of Ttl Revenues</t>
  </si>
  <si>
    <t>Mission Systems % of Ttl Revenues</t>
  </si>
  <si>
    <t>Space Systems % of Ttl Revenues</t>
  </si>
  <si>
    <t xml:space="preserve">U.S. </t>
  </si>
  <si>
    <t>APAC</t>
  </si>
  <si>
    <t>Euro</t>
  </si>
  <si>
    <t>Other regions</t>
  </si>
  <si>
    <t>U.S. Growth Y/y</t>
  </si>
  <si>
    <t>APAC Growth Y/y</t>
  </si>
  <si>
    <t>Euro Growth Y/y</t>
  </si>
  <si>
    <t>Other Revenue Growth Y/y</t>
  </si>
  <si>
    <t>Intersegment Eliminations</t>
  </si>
  <si>
    <t>Intersegment Eliminations % of Revenue</t>
  </si>
  <si>
    <t xml:space="preserve">Intersegment Eliminations Growth Y/y </t>
  </si>
  <si>
    <t>G&amp;A</t>
  </si>
  <si>
    <t>OI</t>
  </si>
  <si>
    <t>Interest Expenses</t>
  </si>
  <si>
    <t>FAS Pension Benefit</t>
  </si>
  <si>
    <t>Other Income</t>
  </si>
  <si>
    <t>Pretax Income</t>
  </si>
  <si>
    <t>Taxes</t>
  </si>
  <si>
    <t>A/R</t>
  </si>
  <si>
    <t>Unbilled Receivables</t>
  </si>
  <si>
    <t>Inventories</t>
  </si>
  <si>
    <t>PP&amp;E</t>
  </si>
  <si>
    <t>Goodwill</t>
  </si>
  <si>
    <t>Pension &amp; Other Benefit Assets</t>
  </si>
  <si>
    <t>Other LT Assets</t>
  </si>
  <si>
    <t>LT Deferred Tax Assets</t>
  </si>
  <si>
    <t xml:space="preserve">LT Operating Lease </t>
  </si>
  <si>
    <t>A/P</t>
  </si>
  <si>
    <t>ST Employee Comp</t>
  </si>
  <si>
    <t>Other ST Liabilities</t>
  </si>
  <si>
    <t>ST Unbilled Contract Liabilities</t>
  </si>
  <si>
    <t>LT Debt</t>
  </si>
  <si>
    <t>LT Pension &amp; Other Benefit Liabilities</t>
  </si>
  <si>
    <t>LT Operating Lease Liabilities</t>
  </si>
  <si>
    <t>Other LT Liabilities</t>
  </si>
  <si>
    <t>E-130J Phoenix II nuclear command, control and communications (NC3) aircraft</t>
  </si>
  <si>
    <t>B-2 Spirit strategic stealth bomber</t>
  </si>
  <si>
    <t>B-21 Raider long-range strategic stealth bomber that define sixth-generation technologies</t>
  </si>
  <si>
    <t xml:space="preserve">F-35 Lighting II Joint Strike Fighter </t>
  </si>
  <si>
    <t>F/A-18 Super Hornet</t>
  </si>
  <si>
    <t>E-2D Advanced Hawkeye AWACS</t>
  </si>
  <si>
    <t>MQ-4C Triton &amp; RQ-4 Global Hawk (Navy and AF variants) strategic long-range ISR drones</t>
  </si>
  <si>
    <t>A-10 Warthog</t>
  </si>
  <si>
    <t>RQ-170 &amp; RQ-180 Stealth ISR UAVs</t>
  </si>
  <si>
    <t>ST Liabilities</t>
  </si>
  <si>
    <t>APAC % of Revenues</t>
  </si>
  <si>
    <t>Euro % of Revenues</t>
  </si>
  <si>
    <t>Other regions % of Revenues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</si>
  <si>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</si>
  <si>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</si>
  <si>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</si>
  <si>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</si>
  <si>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</si>
  <si>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</si>
  <si>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</si>
  <si>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</si>
  <si>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</si>
  <si>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</si>
  <si>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</si>
  <si>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</si>
  <si>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</si>
  <si>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</si>
  <si>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</si>
  <si>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</si>
  <si>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</si>
  <si>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</si>
  <si>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</si>
  <si>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</si>
  <si>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</si>
  <si>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</si>
  <si>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</si>
  <si>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</si>
  <si>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</si>
  <si>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</si>
  <si>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</si>
  <si>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</si>
  <si>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</si>
  <si>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</si>
  <si>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</si>
  <si>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</si>
  <si>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</si>
  <si>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</si>
  <si>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</si>
  <si>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</si>
  <si>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</si>
  <si>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</si>
  <si>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</si>
  <si>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</si>
  <si>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</si>
  <si>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</si>
  <si>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</si>
  <si>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</si>
  <si>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</si>
  <si>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</si>
  <si>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</si>
  <si>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</si>
  <si>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</si>
  <si>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</si>
  <si>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</si>
  <si>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</si>
  <si>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</si>
  <si>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</si>
  <si>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</si>
  <si>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</si>
  <si>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</si>
  <si>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</si>
  <si>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</si>
  <si>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</si>
  <si>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</si>
  <si>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</si>
  <si>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</si>
  <si>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</si>
  <si>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</si>
  <si>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</si>
  <si>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</si>
  <si>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</si>
  <si>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</si>
  <si>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</si>
  <si>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</si>
  <si>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</si>
  <si>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</si>
  <si>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</si>
  <si>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</si>
  <si>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</si>
  <si>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</si>
  <si>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</si>
  <si>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</si>
  <si>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</si>
  <si>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</si>
  <si>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</si>
  <si>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</si>
  <si>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</si>
  <si>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</si>
  <si>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</si>
  <si>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</si>
  <si>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</si>
  <si>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</si>
  <si>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</si>
  <si>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</si>
  <si>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</si>
  <si>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</si>
  <si>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</si>
  <si>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</si>
  <si>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</si>
  <si>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</si>
  <si>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</si>
  <si>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</si>
  <si>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</si>
  <si>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</si>
  <si>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</si>
  <si>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</si>
  <si>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</si>
  <si>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</si>
  <si>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</si>
  <si>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</si>
  <si>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</si>
  <si>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</si>
  <si>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</si>
  <si>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</si>
  <si>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</si>
  <si>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</si>
  <si>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</si>
  <si>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</si>
  <si>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</si>
  <si>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</si>
  <si>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</si>
  <si>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</si>
  <si>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</si>
  <si>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</si>
  <si>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</si>
  <si>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</si>
  <si>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</si>
  <si>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</si>
  <si>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</si>
  <si>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</si>
  <si>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</si>
  <si>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</si>
  <si>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</si>
  <si>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</si>
  <si>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</si>
  <si>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</si>
  <si>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</si>
  <si>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</si>
  <si>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</si>
  <si>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</si>
  <si>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</si>
  <si>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</si>
  <si>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</si>
  <si>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</si>
  <si>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</si>
  <si>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</si>
  <si>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</si>
  <si>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</si>
  <si>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</si>
  <si>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</si>
  <si>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</si>
  <si>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</si>
  <si>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</si>
  <si>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</si>
  <si>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</si>
  <si>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</si>
  <si>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</si>
  <si>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</si>
  <si>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</si>
  <si>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</si>
  <si>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</si>
  <si>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</si>
  <si>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</si>
  <si>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</si>
  <si>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</si>
  <si>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</si>
  <si>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</si>
  <si>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</si>
  <si>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</si>
  <si>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</si>
  <si>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</si>
  <si>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</si>
  <si>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</si>
  <si>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</si>
  <si>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</si>
  <si>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</si>
  <si>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</si>
  <si>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</si>
  <si>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</si>
  <si>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</si>
  <si>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</si>
  <si>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</si>
  <si>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</si>
  <si>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</si>
  <si>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</si>
  <si>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</si>
  <si>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</si>
  <si>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</si>
  <si>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</si>
  <si>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</si>
  <si>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</si>
  <si>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</si>
  <si>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</si>
  <si>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</si>
  <si>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</si>
  <si>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</si>
  <si>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</si>
  <si>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</si>
  <si>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</si>
  <si>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</si>
  <si>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</si>
  <si>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</si>
  <si>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</si>
  <si>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</si>
  <si>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</si>
  <si>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</si>
  <si>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</si>
  <si>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</si>
  <si>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</si>
  <si>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</si>
  <si>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</si>
  <si>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</si>
  <si>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</si>
  <si>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</si>
  <si>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</si>
  <si>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</si>
  <si>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</si>
  <si>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</si>
  <si>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</si>
  <si>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</si>
  <si>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</si>
  <si>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</si>
  <si>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</si>
  <si>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</si>
  <si>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</si>
  <si>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</si>
  <si>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</si>
  <si>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</si>
  <si>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</si>
  <si>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</si>
  <si>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</si>
  <si>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</si>
  <si>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</si>
  <si>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</si>
  <si>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</si>
  <si>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</si>
  <si>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</si>
  <si>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</si>
  <si>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</si>
  <si>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</si>
  <si>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</si>
  <si>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</si>
  <si>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</si>
  <si>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</si>
  <si>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</si>
  <si>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</si>
  <si>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</si>
  <si>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</si>
  <si>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</si>
  <si>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</si>
  <si>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</si>
  <si>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</si>
  <si>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</si>
  <si>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</si>
  <si>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</si>
  <si>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</si>
  <si>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</si>
  <si>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</si>
  <si>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</si>
  <si>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</si>
  <si>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</si>
  <si>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</si>
  <si>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</si>
  <si>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</si>
  <si>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</si>
  <si>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</si>
  <si>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</si>
  <si>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</si>
  <si>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</si>
  <si>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</si>
  <si>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</si>
  <si>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</si>
  <si>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</si>
  <si>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</si>
  <si>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</si>
  <si>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</si>
  <si>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</si>
  <si>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</si>
  <si>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</si>
  <si>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</si>
  <si>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</si>
  <si>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</si>
  <si>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</si>
  <si>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</si>
  <si>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</si>
  <si>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</si>
  <si>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</si>
  <si>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</si>
  <si>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</si>
  <si>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</si>
  <si>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</si>
  <si>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</si>
  <si>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</si>
  <si>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</si>
  <si>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</si>
  <si>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</si>
  <si>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</si>
  <si>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</si>
  <si>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</si>
  <si>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</si>
  <si>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</si>
  <si>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</si>
  <si>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</si>
  <si>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</si>
  <si>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</si>
  <si>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</si>
  <si>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</si>
  <si>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</si>
  <si>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</si>
  <si>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</si>
  <si>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</si>
  <si>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</si>
  <si>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</si>
  <si>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</si>
  <si>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</si>
  <si>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</si>
  <si>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</si>
  <si>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</si>
  <si>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</si>
  <si>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</si>
  <si>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</si>
  <si>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</si>
  <si>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</si>
  <si>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</si>
  <si>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</si>
  <si>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</si>
  <si>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</si>
  <si>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</si>
  <si>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</si>
  <si>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</si>
  <si>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</si>
  <si>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</si>
  <si>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</si>
  <si>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</si>
  <si>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</si>
  <si>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</si>
  <si>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</si>
  <si>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</si>
  <si>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</si>
  <si>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</si>
  <si>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</si>
  <si>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</si>
  <si>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</si>
  <si>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</si>
  <si>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</si>
  <si>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</si>
  <si>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</si>
  <si>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</si>
  <si>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</si>
  <si>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</si>
  <si>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</si>
  <si>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</si>
  <si>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</si>
  <si>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</si>
  <si>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</si>
  <si>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</si>
  <si>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</si>
  <si>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</si>
  <si>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</si>
  <si>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</si>
  <si>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</si>
  <si>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</si>
  <si>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</si>
  <si>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</si>
  <si>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</si>
  <si>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</si>
  <si>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</si>
  <si>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</si>
  <si>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</si>
  <si>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</si>
  <si>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</si>
  <si>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</si>
  <si>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</si>
  <si>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</si>
  <si>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</si>
  <si>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</si>
  <si>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</si>
  <si>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</si>
  <si>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</si>
  <si>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</si>
  <si>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</si>
  <si>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</si>
  <si>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</si>
  <si>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</si>
  <si>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</si>
  <si>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</si>
  <si>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</si>
  <si>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</si>
  <si>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</si>
  <si>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</si>
  <si>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</si>
  <si>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</si>
  <si>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</si>
  <si>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</si>
  <si>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</si>
  <si>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</si>
  <si>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</si>
  <si>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</si>
  <si>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</si>
  <si>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</si>
  <si>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</si>
  <si>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</si>
  <si>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</si>
  <si>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</si>
  <si>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</si>
  <si>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</si>
  <si>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</si>
  <si>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</si>
  <si>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</si>
  <si>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</si>
  <si>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</si>
  <si>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</si>
  <si>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</si>
  <si>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</si>
  <si>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</si>
  <si>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</si>
  <si>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</si>
  <si>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</si>
  <si>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</si>
  <si>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</si>
  <si>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</si>
  <si>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</si>
  <si>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</si>
  <si>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</si>
  <si>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</si>
  <si>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</si>
  <si>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</si>
  <si>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</si>
  <si>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</si>
  <si>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</si>
  <si>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</si>
  <si>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</si>
  <si>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</si>
  <si>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</si>
  <si>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</si>
  <si>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</si>
  <si>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</si>
  <si>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</si>
  <si>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</si>
  <si>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</si>
  <si>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</si>
  <si>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</si>
  <si>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</si>
  <si>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</si>
  <si>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</si>
  <si>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</si>
  <si>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</si>
  <si>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</si>
  <si>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</si>
  <si>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</si>
  <si>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</si>
  <si>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</si>
  <si>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</si>
  <si>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</si>
  <si>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</si>
  <si>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</si>
  <si>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</si>
  <si>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</si>
  <si>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</si>
  <si>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</si>
  <si>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</si>
  <si>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</si>
  <si>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</si>
  <si>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</si>
  <si>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</si>
  <si>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</si>
  <si>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</si>
  <si>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</si>
  <si>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</si>
  <si>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</si>
  <si>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</si>
  <si>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</si>
  <si>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</si>
  <si>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</si>
  <si>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</si>
  <si>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</si>
  <si>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</si>
  <si>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</si>
  <si>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</si>
  <si>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</si>
  <si>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</si>
  <si>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</si>
  <si>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</si>
  <si>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</si>
  <si>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</si>
  <si>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</si>
  <si>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</si>
  <si>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</si>
  <si>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</si>
  <si>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</si>
  <si>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</si>
  <si>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</si>
  <si>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</si>
  <si>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</si>
  <si>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</si>
  <si>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</si>
  <si>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</si>
  <si>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</si>
  <si>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</si>
  <si>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</si>
  <si>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</si>
  <si>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</si>
  <si>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</si>
  <si>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</si>
  <si>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</si>
  <si>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</si>
  <si>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</si>
  <si>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</si>
  <si>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</si>
  <si>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</si>
  <si>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</si>
  <si>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</si>
  <si>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</si>
  <si>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</si>
  <si>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</si>
  <si>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</si>
  <si>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</si>
  <si>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</si>
  <si>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</si>
  <si>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</si>
  <si>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</si>
  <si>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</si>
  <si>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</si>
  <si>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</si>
  <si>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</si>
  <si>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</si>
  <si>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</si>
  <si>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</si>
  <si>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</si>
  <si>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</si>
  <si>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</si>
  <si>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</si>
  <si>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</si>
  <si>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</si>
  <si>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</si>
  <si>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</si>
  <si>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</si>
  <si>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</si>
  <si>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</si>
  <si>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</si>
  <si>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</si>
  <si>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</si>
  <si>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</si>
  <si>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</si>
  <si>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</si>
  <si>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</si>
  <si>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</si>
  <si>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</si>
  <si>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</si>
  <si>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</si>
  <si>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</si>
  <si>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</si>
  <si>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</si>
  <si>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</si>
  <si>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</si>
  <si>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</si>
  <si>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</si>
  <si>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</si>
  <si>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</si>
  <si>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</si>
  <si>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</si>
  <si>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</si>
  <si>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</si>
  <si>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</si>
  <si>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</si>
  <si>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</si>
  <si>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</si>
  <si>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</si>
  <si>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</si>
  <si>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</si>
  <si>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</si>
  <si>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</si>
  <si>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</si>
  <si>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</si>
  <si>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</si>
  <si>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</si>
  <si>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</si>
  <si>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</si>
  <si>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</si>
  <si>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</si>
  <si>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</si>
  <si>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</si>
  <si>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</si>
  <si>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</si>
  <si>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</si>
  <si>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</si>
  <si>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</si>
  <si>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</si>
  <si>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</si>
  <si>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</si>
  <si>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</si>
  <si>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</si>
  <si>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</si>
  <si>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</si>
  <si>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</si>
  <si>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</si>
  <si>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</si>
  <si>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</si>
  <si>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</si>
  <si>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</si>
  <si>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</si>
  <si>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</si>
  <si>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</si>
  <si>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</si>
  <si>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</si>
  <si>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</si>
  <si>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</si>
  <si>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</si>
  <si>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</si>
  <si>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</si>
  <si>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</si>
  <si>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</si>
  <si>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</si>
  <si>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</si>
  <si>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</si>
  <si>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</si>
  <si>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</si>
  <si>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</si>
  <si>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</si>
  <si>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</si>
  <si>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</si>
  <si>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</si>
  <si>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</si>
  <si>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</si>
  <si>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</si>
  <si>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</si>
  <si>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</si>
  <si>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</si>
  <si>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</si>
  <si>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</si>
  <si>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</si>
  <si>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</si>
  <si>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</si>
  <si>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</si>
  <si>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</si>
  <si>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</si>
  <si>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</si>
  <si>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</si>
  <si>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</si>
  <si>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</si>
  <si>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</si>
  <si>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</si>
  <si>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</si>
  <si>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</si>
  <si>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</si>
  <si>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</si>
  <si>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</si>
  <si>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</si>
  <si>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</si>
  <si>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</si>
  <si>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</si>
  <si>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</si>
  <si>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</si>
  <si>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</si>
  <si>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</si>
  <si>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</si>
  <si>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</si>
  <si>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</si>
  <si>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</si>
  <si>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</si>
  <si>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</si>
  <si>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</si>
  <si>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</si>
  <si>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</si>
  <si>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</si>
  <si>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</si>
  <si>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</si>
  <si>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</si>
  <si>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</si>
  <si>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</si>
  <si>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</si>
  <si>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</si>
  <si>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</si>
  <si>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</si>
  <si>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</si>
  <si>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</si>
  <si>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</si>
  <si>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</si>
  <si>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</si>
  <si>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</si>
  <si>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</si>
  <si>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</si>
  <si>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</si>
  <si>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</si>
  <si>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</si>
  <si>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</si>
  <si>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</si>
  <si>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</si>
  <si>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</si>
  <si>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</si>
  <si>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</si>
  <si>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</si>
  <si>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</si>
  <si>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</si>
  <si>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</si>
  <si>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</si>
  <si>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</si>
  <si>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</si>
  <si>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</si>
  <si>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</si>
  <si>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</si>
  <si>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</si>
  <si>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</si>
  <si>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</si>
  <si>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</si>
  <si>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</si>
  <si>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</si>
  <si>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</si>
  <si>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</si>
  <si>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</si>
  <si>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</si>
  <si>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</si>
  <si>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</si>
  <si>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</si>
  <si>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</si>
  <si>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</si>
  <si>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</si>
  <si>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</si>
  <si>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</si>
  <si>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</si>
  <si>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</si>
  <si>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</si>
  <si>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</si>
  <si>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</si>
  <si>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</si>
  <si>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</si>
  <si>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</si>
  <si>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</si>
  <si>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</si>
  <si>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</si>
  <si>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</si>
  <si>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</si>
  <si>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</si>
  <si>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</si>
  <si>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</si>
  <si>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</si>
  <si>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</si>
  <si>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</si>
  <si>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</si>
  <si>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</si>
  <si>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</si>
  <si>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</si>
  <si>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</si>
  <si>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</si>
  <si>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</si>
  <si>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</si>
  <si>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</si>
  <si>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</si>
  <si>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</si>
  <si>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</si>
  <si>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</si>
  <si>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</si>
  <si>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</si>
  <si>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</si>
  <si>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</si>
  <si>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</si>
  <si>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</si>
  <si>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</si>
  <si>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</si>
  <si>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</si>
  <si>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</si>
  <si>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</si>
  <si>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</si>
  <si>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</si>
  <si>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</si>
  <si>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</si>
  <si>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</si>
  <si>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</si>
  <si>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</si>
  <si>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</si>
  <si>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</si>
  <si>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</si>
  <si>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</si>
  <si>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</si>
  <si>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</si>
  <si>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</si>
  <si>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</si>
  <si>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</si>
  <si>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</si>
  <si>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</si>
  <si>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</si>
  <si>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</si>
  <si>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</si>
  <si>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</si>
  <si>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</si>
  <si>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</si>
  <si>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</si>
  <si>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</si>
  <si>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</si>
  <si>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</si>
  <si>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</si>
  <si>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</si>
  <si>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</si>
  <si>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</si>
  <si>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</si>
  <si>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</si>
  <si>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</si>
  <si>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</si>
  <si>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</si>
  <si>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</si>
  <si>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</si>
  <si>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</si>
  <si>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</si>
  <si>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</si>
  <si>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</si>
  <si>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</si>
  <si>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</si>
  <si>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</si>
  <si>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</si>
  <si>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</si>
  <si>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</si>
  <si>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</si>
  <si>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</si>
  <si>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</si>
  <si>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</si>
  <si>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</si>
  <si>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</si>
  <si>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</si>
  <si>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</si>
  <si>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</si>
  <si>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</si>
  <si>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</si>
  <si>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</si>
  <si>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</si>
  <si>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</si>
  <si>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</si>
  <si>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</si>
  <si>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</si>
  <si>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</si>
  <si>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</si>
  <si>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</si>
  <si>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</si>
  <si>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</si>
  <si>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</si>
  <si>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</si>
  <si>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</si>
  <si>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</si>
  <si>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</si>
  <si>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</si>
  <si>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</si>
  <si>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</si>
  <si>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</si>
  <si>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</si>
  <si>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</si>
  <si>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</si>
  <si>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</si>
  <si>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</si>
  <si>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</si>
  <si>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</si>
  <si>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</si>
  <si>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</si>
  <si>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</si>
  <si>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</si>
  <si>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</si>
  <si>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</si>
  <si>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</si>
  <si>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</si>
  <si>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</si>
  <si>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</si>
  <si>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</si>
  <si>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</si>
  <si>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</si>
  <si>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</si>
  <si>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</si>
  <si>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</si>
  <si>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</si>
  <si>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</si>
  <si>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</si>
  <si>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</si>
  <si>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</si>
  <si>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</si>
  <si>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</si>
  <si>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</si>
  <si>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</si>
  <si>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</si>
  <si>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</si>
  <si>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</si>
  <si>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</si>
  <si>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</si>
  <si>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</si>
  <si>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</si>
  <si>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</si>
  <si>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</si>
  <si>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</si>
  <si>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</si>
  <si>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</si>
  <si>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</si>
  <si>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</si>
  <si>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</si>
  <si>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</si>
  <si>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</si>
  <si>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</si>
  <si>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</si>
  <si>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</si>
  <si>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</si>
  <si>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</si>
  <si>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</si>
  <si>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</si>
  <si>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</si>
  <si>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</si>
  <si>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</si>
  <si>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</si>
  <si>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</si>
  <si>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</si>
  <si>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</si>
  <si>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</si>
  <si>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</si>
  <si>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</si>
  <si>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</si>
  <si>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</si>
  <si>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</si>
  <si>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</si>
  <si>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</si>
  <si>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</si>
  <si>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</si>
  <si>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</si>
  <si>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</si>
  <si>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</si>
  <si>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</si>
  <si>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</si>
  <si>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</si>
  <si>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</si>
  <si>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</si>
  <si>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</si>
  <si>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</si>
  <si>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</si>
  <si>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</si>
  <si>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</si>
  <si>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</si>
  <si>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</si>
  <si>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</si>
  <si>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</si>
  <si>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</si>
  <si>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</si>
  <si>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</si>
  <si>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</si>
  <si>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</si>
  <si>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</si>
  <si>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</si>
  <si>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</si>
  <si>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</si>
  <si>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</si>
  <si>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</si>
  <si>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</si>
  <si>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</si>
  <si>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</si>
  <si>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</si>
  <si>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</si>
  <si>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</si>
  <si>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</si>
  <si>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</si>
  <si>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</si>
  <si>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</si>
  <si>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</si>
  <si>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</si>
  <si>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</si>
  <si>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</si>
  <si>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</si>
  <si>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</si>
  <si>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</si>
  <si>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</si>
  <si>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</si>
  <si>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</si>
  <si>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</si>
  <si>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</si>
  <si>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</si>
  <si>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</si>
  <si>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</si>
  <si>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</si>
  <si>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</si>
  <si>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</si>
  <si>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</si>
  <si>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</si>
  <si>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</si>
  <si>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</si>
  <si>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</si>
  <si>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</si>
  <si>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</si>
  <si>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</si>
  <si>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</si>
  <si>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</si>
  <si>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</si>
  <si>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</si>
  <si>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</si>
  <si>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</si>
  <si>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</si>
  <si>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</si>
  <si>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</si>
  <si>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</si>
  <si>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</si>
  <si>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</si>
  <si>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</si>
  <si>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</si>
  <si>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</si>
  <si>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</si>
  <si>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</si>
  <si>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</si>
  <si>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</si>
  <si>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</si>
  <si>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</si>
  <si>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</si>
  <si>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</si>
  <si>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</si>
  <si>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</si>
  <si>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</si>
  <si>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</si>
  <si>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</si>
  <si>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</si>
  <si>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</si>
  <si>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</si>
  <si>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</si>
  <si>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</si>
  <si>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</si>
  <si>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</si>
  <si>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</si>
  <si>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</si>
  <si>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</si>
  <si>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</si>
  <si>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</si>
  <si>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</si>
  <si>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</si>
  <si>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</si>
  <si>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</si>
  <si>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</si>
  <si>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</si>
  <si>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</si>
  <si>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</si>
  <si>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</si>
  <si>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</si>
  <si>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</si>
  <si>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</si>
  <si>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</si>
  <si>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</si>
  <si>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</si>
  <si>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</si>
  <si>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</si>
  <si>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</si>
  <si>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</si>
  <si>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</si>
  <si>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</si>
  <si>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</si>
  <si>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</si>
  <si>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</si>
  <si>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</si>
  <si>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</si>
  <si>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</si>
  <si>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</si>
  <si>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</si>
  <si>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</si>
  <si>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</si>
  <si>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</si>
  <si>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</si>
  <si>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</si>
  <si>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</si>
  <si>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</si>
  <si>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</si>
  <si>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</si>
  <si>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</si>
  <si>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</si>
  <si>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</si>
  <si>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</si>
  <si>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</si>
  <si>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</si>
  <si>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</si>
  <si>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</si>
  <si>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</si>
  <si>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</si>
  <si>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</si>
  <si>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</si>
  <si>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</si>
  <si>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</si>
  <si>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</si>
  <si>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</si>
  <si>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</si>
  <si>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</si>
  <si>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</si>
  <si>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</si>
  <si>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</si>
  <si>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</si>
  <si>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</si>
  <si>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</si>
  <si>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</si>
  <si>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</si>
  <si>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</si>
  <si>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</si>
  <si>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</si>
  <si>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</si>
  <si>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</si>
  <si>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</si>
  <si>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</si>
  <si>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</si>
  <si>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</si>
  <si>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</si>
  <si>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</si>
  <si>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</si>
  <si>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</si>
  <si>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</si>
  <si>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</si>
  <si>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</si>
  <si>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</si>
  <si>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</si>
  <si>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</si>
  <si>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</si>
  <si>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</si>
  <si>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</si>
  <si>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</si>
  <si>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</si>
  <si>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</si>
  <si>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</si>
  <si>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</si>
  <si>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</si>
  <si>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</si>
  <si>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</si>
  <si>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</si>
  <si>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</si>
  <si>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</si>
  <si>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</si>
  <si>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</si>
  <si>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</si>
  <si>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</si>
  <si>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</si>
  <si>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</si>
  <si>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</si>
  <si>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</si>
  <si>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</si>
  <si>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</si>
  <si>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</si>
  <si>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</si>
  <si>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</si>
  <si>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</si>
  <si>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</si>
  <si>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</si>
  <si>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</si>
  <si>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</si>
  <si>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</si>
  <si>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</si>
  <si>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</si>
  <si>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</si>
  <si>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</si>
  <si>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</si>
  <si>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</si>
  <si>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</si>
  <si>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</si>
  <si>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</si>
  <si>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</si>
  <si>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</si>
  <si>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</si>
  <si>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</si>
  <si>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</si>
  <si>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</si>
  <si>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</si>
  <si>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</si>
  <si>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</si>
  <si>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</si>
  <si>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</si>
  <si>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</si>
  <si>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</si>
  <si>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</si>
  <si>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</si>
  <si>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</si>
  <si>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</si>
  <si>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</si>
  <si>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</si>
  <si>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</si>
  <si>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</si>
  <si>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</si>
  <si>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</si>
  <si>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</si>
  <si>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</si>
  <si>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</si>
  <si>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</si>
  <si>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</si>
  <si>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</si>
  <si>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</si>
  <si>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</si>
  <si>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</si>
  <si>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</si>
  <si>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</si>
  <si>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</si>
  <si>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</si>
  <si>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</si>
  <si>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</si>
  <si>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</si>
  <si>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</si>
  <si>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</si>
  <si>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</si>
  <si>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</si>
  <si>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</si>
  <si>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</si>
  <si>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</si>
  <si>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</si>
  <si>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</si>
  <si>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</si>
  <si>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</si>
  <si>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</si>
  <si>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</si>
  <si>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</si>
  <si>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</si>
  <si>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</si>
  <si>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</si>
  <si>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</si>
  <si>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</si>
  <si>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</si>
  <si>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</si>
  <si>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</si>
  <si>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</si>
  <si>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</si>
  <si>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</si>
  <si>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</si>
  <si>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</si>
  <si>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</si>
  <si>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</si>
  <si>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</si>
  <si>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</si>
  <si>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</si>
  <si>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</si>
  <si>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</si>
  <si>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</si>
  <si>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</si>
  <si>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</si>
  <si>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</si>
  <si>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</si>
  <si>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</si>
  <si>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</si>
  <si>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</si>
  <si>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</si>
  <si>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</si>
  <si>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</si>
  <si>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</si>
  <si>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</si>
  <si>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</si>
  <si>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</si>
  <si>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</si>
  <si>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</si>
  <si>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</si>
  <si>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</si>
  <si>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</si>
  <si>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</si>
  <si>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</si>
  <si>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</si>
  <si>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</si>
  <si>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</si>
  <si>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</si>
  <si>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</si>
  <si>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</si>
  <si>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</si>
  <si>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</si>
  <si>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</si>
  <si>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</si>
  <si>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</si>
  <si>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</si>
  <si>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</si>
  <si>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</si>
  <si>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</si>
  <si>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</si>
  <si>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</si>
  <si>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</si>
  <si>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</si>
  <si>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</si>
  <si>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r>
      <t xml:space="preserve">1256 Trading Days? (From: </t>
    </r>
    <r>
      <rPr>
        <i/>
        <sz val="11"/>
        <color theme="1"/>
        <rFont val="Calibre"/>
      </rPr>
      <t>9/30/2020 - 9/30/2026</t>
    </r>
    <r>
      <rPr>
        <sz val="11"/>
        <color theme="1"/>
        <rFont val="Calibre"/>
      </rPr>
      <t>)</t>
    </r>
  </si>
  <si>
    <t>NOC Historical Returns</t>
  </si>
  <si>
    <t>More</t>
  </si>
  <si>
    <t>Institutional Ownership Snapshot</t>
  </si>
  <si>
    <t xml:space="preserve">Financial Stmts. Notes/Observations </t>
  </si>
  <si>
    <t xml:space="preserve">General Notes/Observations </t>
  </si>
  <si>
    <t xml:space="preserve">Revenue Breakdown by Segment </t>
  </si>
  <si>
    <t>10/21/2026</t>
  </si>
  <si>
    <t>Q3'26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</si>
</sst>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color theme="1"/>
      <name val="Arial"/>
      <family val="2"/>
    </font>
    <font>
      <sz val="11"/>
      <color rgb="FF00B0F0"/>
      <name val="Calibre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165" fontId="2" fillId="0" borderId="0" xfId="1" applyNumberFormat="1" applyFont="1"/>
    <xf numFmtId="0" fontId="2" fillId="0" borderId="0" xfId="0" applyFont="1" applyAlignment="1">
      <alignment horizontal="left" indent="1"/>
    </xf>
    <xf numFmtId="0" fontId="18" fillId="0" borderId="0" xfId="0" applyFont="1"/>
    <xf numFmtId="43" fontId="2" fillId="0" borderId="0" xfId="3" applyFont="1"/>
    <xf numFmtId="164" fontId="2" fillId="0" borderId="0" xfId="0" applyNumberFormat="1" applyFont="1"/>
    <xf numFmtId="49" fontId="12" fillId="0" borderId="0" xfId="0" applyNumberFormat="1" applyFont="1" applyAlignment="1">
      <alignment horizontal="right" vertical="top"/>
    </xf>
    <xf numFmtId="165" fontId="13" fillId="0" borderId="0" xfId="1" applyNumberFormat="1" applyFont="1"/>
    <xf numFmtId="165" fontId="3" fillId="0" borderId="0" xfId="1" applyNumberFormat="1" applyFont="1"/>
    <xf numFmtId="165" fontId="12" fillId="0" borderId="0" xfId="1" applyNumberFormat="1" applyFont="1"/>
    <xf numFmtId="1" fontId="12" fillId="0" borderId="0" xfId="0" applyNumberFormat="1" applyFont="1"/>
    <xf numFmtId="43" fontId="13" fillId="0" borderId="0" xfId="3" applyFont="1"/>
    <xf numFmtId="0" fontId="17" fillId="0" borderId="0" xfId="4"/>
    <xf numFmtId="4" fontId="17" fillId="0" borderId="0" xfId="4" applyNumberFormat="1"/>
    <xf numFmtId="3" fontId="17" fillId="0" borderId="0" xfId="4" applyNumberForma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5">
    <cellStyle name="Comma" xfId="3" builtinId="3"/>
    <cellStyle name="Hyperlink" xfId="2" builtinId="8"/>
    <cellStyle name="Normal" xfId="0" builtinId="0"/>
    <cellStyle name="Normal 2" xfId="4" xr:uid="{5C089590-6816-49B8-8777-EA918F7C5E3D}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(NOC)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Model!$B$4</c:f>
              <c:strCache>
                <c:ptCount val="1"/>
                <c:pt idx="0">
                  <c:v>Aeronautics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Model!$AI$4:$BE$4</c:f>
              <c:numCache>
                <c:formatCode>General</c:formatCode>
                <c:ptCount val="23"/>
                <c:pt idx="0">
                  <c:v>2990</c:v>
                </c:pt>
                <c:pt idx="1">
                  <c:v>2913</c:v>
                </c:pt>
                <c:pt idx="2">
                  <c:v>2725</c:v>
                </c:pt>
                <c:pt idx="3">
                  <c:v>2631</c:v>
                </c:pt>
                <c:pt idx="4">
                  <c:v>2703</c:v>
                </c:pt>
                <c:pt idx="5">
                  <c:v>2534</c:v>
                </c:pt>
                <c:pt idx="6">
                  <c:v>2537</c:v>
                </c:pt>
                <c:pt idx="7">
                  <c:v>2757</c:v>
                </c:pt>
                <c:pt idx="8">
                  <c:v>2515</c:v>
                </c:pt>
                <c:pt idx="9">
                  <c:v>2595</c:v>
                </c:pt>
                <c:pt idx="10">
                  <c:v>2766</c:v>
                </c:pt>
                <c:pt idx="11">
                  <c:v>3288</c:v>
                </c:pt>
                <c:pt idx="12">
                  <c:v>3044</c:v>
                </c:pt>
                <c:pt idx="13">
                  <c:v>3060</c:v>
                </c:pt>
                <c:pt idx="14">
                  <c:v>2961</c:v>
                </c:pt>
                <c:pt idx="15">
                  <c:v>3331</c:v>
                </c:pt>
                <c:pt idx="16">
                  <c:v>2814</c:v>
                </c:pt>
                <c:pt idx="17">
                  <c:v>3114</c:v>
                </c:pt>
                <c:pt idx="18">
                  <c:v>3142</c:v>
                </c:pt>
                <c:pt idx="19">
                  <c:v>3922</c:v>
                </c:pt>
                <c:pt idx="20">
                  <c:v>3283</c:v>
                </c:pt>
                <c:pt idx="21">
                  <c:v>3519</c:v>
                </c:pt>
                <c:pt idx="22">
                  <c:v>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Model!$B$5</c:f>
              <c:strCache>
                <c:ptCount val="1"/>
                <c:pt idx="0">
                  <c:v>Defense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Model!$AI$5:$BE$5</c:f>
              <c:numCache>
                <c:formatCode>General</c:formatCode>
                <c:ptCount val="23"/>
                <c:pt idx="0">
                  <c:v>1562</c:v>
                </c:pt>
                <c:pt idx="1">
                  <c:v>1427</c:v>
                </c:pt>
                <c:pt idx="2">
                  <c:v>1409</c:v>
                </c:pt>
                <c:pt idx="3">
                  <c:v>1378</c:v>
                </c:pt>
                <c:pt idx="4">
                  <c:v>1283</c:v>
                </c:pt>
                <c:pt idx="5">
                  <c:v>1294</c:v>
                </c:pt>
                <c:pt idx="6">
                  <c:v>1345</c:v>
                </c:pt>
                <c:pt idx="7">
                  <c:v>1657</c:v>
                </c:pt>
                <c:pt idx="8">
                  <c:v>1376</c:v>
                </c:pt>
                <c:pt idx="9">
                  <c:v>1420</c:v>
                </c:pt>
                <c:pt idx="10">
                  <c:v>2050</c:v>
                </c:pt>
                <c:pt idx="11">
                  <c:v>2339</c:v>
                </c:pt>
                <c:pt idx="12">
                  <c:v>1737</c:v>
                </c:pt>
                <c:pt idx="13">
                  <c:v>1859</c:v>
                </c:pt>
                <c:pt idx="14">
                  <c:v>1800</c:v>
                </c:pt>
                <c:pt idx="15">
                  <c:v>2003</c:v>
                </c:pt>
                <c:pt idx="16">
                  <c:v>1805</c:v>
                </c:pt>
                <c:pt idx="17">
                  <c:v>1991</c:v>
                </c:pt>
                <c:pt idx="18">
                  <c:v>2059</c:v>
                </c:pt>
                <c:pt idx="19">
                  <c:v>2147</c:v>
                </c:pt>
                <c:pt idx="20">
                  <c:v>1899</c:v>
                </c:pt>
                <c:pt idx="21">
                  <c:v>2093</c:v>
                </c:pt>
                <c:pt idx="22">
                  <c:v>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Model!$B$6</c:f>
              <c:strCache>
                <c:ptCount val="1"/>
                <c:pt idx="0">
                  <c:v>Mission Systems</c:v>
                </c:pt>
              </c:strCache>
            </c:strRef>
          </c:tx>
          <c:spPr>
            <a:solidFill>
              <a:srgbClr val="A5A5A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Model!$AI$6:$BE$6</c:f>
              <c:numCache>
                <c:formatCode>General</c:formatCode>
                <c:ptCount val="23"/>
                <c:pt idx="0">
                  <c:v>2589</c:v>
                </c:pt>
                <c:pt idx="1">
                  <c:v>2588</c:v>
                </c:pt>
                <c:pt idx="2">
                  <c:v>2436</c:v>
                </c:pt>
                <c:pt idx="3">
                  <c:v>2521</c:v>
                </c:pt>
                <c:pt idx="4">
                  <c:v>2497</c:v>
                </c:pt>
                <c:pt idx="5">
                  <c:v>2516</c:v>
                </c:pt>
                <c:pt idx="6">
                  <c:v>2456</c:v>
                </c:pt>
                <c:pt idx="7">
                  <c:v>2927</c:v>
                </c:pt>
                <c:pt idx="8">
                  <c:v>2563</c:v>
                </c:pt>
                <c:pt idx="9">
                  <c:v>2641</c:v>
                </c:pt>
                <c:pt idx="10">
                  <c:v>2628</c:v>
                </c:pt>
                <c:pt idx="11">
                  <c:v>3063</c:v>
                </c:pt>
                <c:pt idx="12">
                  <c:v>2659</c:v>
                </c:pt>
                <c:pt idx="13">
                  <c:v>2773</c:v>
                </c:pt>
                <c:pt idx="14">
                  <c:v>2823</c:v>
                </c:pt>
                <c:pt idx="15">
                  <c:v>3144</c:v>
                </c:pt>
                <c:pt idx="16">
                  <c:v>2807</c:v>
                </c:pt>
                <c:pt idx="17">
                  <c:v>3157</c:v>
                </c:pt>
                <c:pt idx="18">
                  <c:v>3093</c:v>
                </c:pt>
                <c:pt idx="19">
                  <c:v>3449</c:v>
                </c:pt>
                <c:pt idx="20">
                  <c:v>2861</c:v>
                </c:pt>
                <c:pt idx="21">
                  <c:v>3250</c:v>
                </c:pt>
                <c:pt idx="22">
                  <c:v>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Model!$B$7</c:f>
              <c:strCache>
                <c:ptCount val="1"/>
                <c:pt idx="0">
                  <c:v>Space Systems</c:v>
                </c:pt>
              </c:strCache>
            </c:strRef>
          </c:tx>
          <c:spPr>
            <a:solidFill>
              <a:srgbClr val="E7E6E6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Model!$AI$7:$BE$7</c:f>
              <c:numCache>
                <c:formatCode>General</c:formatCode>
                <c:ptCount val="23"/>
                <c:pt idx="0">
                  <c:v>2521</c:v>
                </c:pt>
                <c:pt idx="1">
                  <c:v>2748</c:v>
                </c:pt>
                <c:pt idx="2">
                  <c:v>2681</c:v>
                </c:pt>
                <c:pt idx="3">
                  <c:v>2658</c:v>
                </c:pt>
                <c:pt idx="4">
                  <c:v>2855</c:v>
                </c:pt>
                <c:pt idx="5">
                  <c:v>2979</c:v>
                </c:pt>
                <c:pt idx="6">
                  <c:v>3163</c:v>
                </c:pt>
                <c:pt idx="7">
                  <c:v>3278</c:v>
                </c:pt>
                <c:pt idx="8">
                  <c:v>3350</c:v>
                </c:pt>
                <c:pt idx="9">
                  <c:v>3488</c:v>
                </c:pt>
                <c:pt idx="10">
                  <c:v>2953</c:v>
                </c:pt>
                <c:pt idx="11">
                  <c:v>2082</c:v>
                </c:pt>
                <c:pt idx="12">
                  <c:v>3149</c:v>
                </c:pt>
                <c:pt idx="13">
                  <c:v>3002</c:v>
                </c:pt>
                <c:pt idx="14">
                  <c:v>2870</c:v>
                </c:pt>
                <c:pt idx="15">
                  <c:v>2710</c:v>
                </c:pt>
                <c:pt idx="16">
                  <c:v>2568</c:v>
                </c:pt>
                <c:pt idx="17">
                  <c:v>2646</c:v>
                </c:pt>
                <c:pt idx="18">
                  <c:v>2698</c:v>
                </c:pt>
                <c:pt idx="19">
                  <c:v>2859</c:v>
                </c:pt>
                <c:pt idx="20">
                  <c:v>2480</c:v>
                </c:pt>
                <c:pt idx="21">
                  <c:v>2753</c:v>
                </c:pt>
                <c:pt idx="22">
                  <c:v>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Model!$B$8</c:f>
              <c:strCache>
                <c:ptCount val="1"/>
                <c:pt idx="0">
                  <c:v>Intersegment Eliminations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Model!$AI$8:$BE$8</c:f>
              <c:numCache>
                <c:formatCode>General</c:formatCode>
                <c:ptCount val="23"/>
                <c:pt idx="0">
                  <c:v>-505</c:v>
                </c:pt>
                <c:pt idx="1">
                  <c:v>-525</c:v>
                </c:pt>
                <c:pt idx="2">
                  <c:v>-531</c:v>
                </c:pt>
                <c:pt idx="3">
                  <c:v>-549</c:v>
                </c:pt>
                <c:pt idx="4">
                  <c:v>-541</c:v>
                </c:pt>
                <c:pt idx="5">
                  <c:v>-522</c:v>
                </c:pt>
                <c:pt idx="6">
                  <c:v>-530</c:v>
                </c:pt>
                <c:pt idx="7">
                  <c:v>-586</c:v>
                </c:pt>
                <c:pt idx="8">
                  <c:v>-503</c:v>
                </c:pt>
                <c:pt idx="9">
                  <c:v>-568</c:v>
                </c:pt>
                <c:pt idx="10">
                  <c:v>-622</c:v>
                </c:pt>
                <c:pt idx="11">
                  <c:v>-134</c:v>
                </c:pt>
                <c:pt idx="12">
                  <c:v>-456</c:v>
                </c:pt>
                <c:pt idx="13">
                  <c:v>-476</c:v>
                </c:pt>
                <c:pt idx="14">
                  <c:v>-458</c:v>
                </c:pt>
                <c:pt idx="15">
                  <c:v>-502</c:v>
                </c:pt>
                <c:pt idx="16">
                  <c:v>-526</c:v>
                </c:pt>
                <c:pt idx="17">
                  <c:v>-557</c:v>
                </c:pt>
                <c:pt idx="18">
                  <c:v>-569</c:v>
                </c:pt>
                <c:pt idx="19">
                  <c:v>-665</c:v>
                </c:pt>
                <c:pt idx="20">
                  <c:v>-642</c:v>
                </c:pt>
                <c:pt idx="21">
                  <c:v>-739</c:v>
                </c:pt>
                <c:pt idx="22">
                  <c:v>-664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(NOC)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Model!$AI$51:$BE$51</c:f>
              <c:numCache>
                <c:formatCode>General</c:formatCode>
                <c:ptCount val="23"/>
                <c:pt idx="0">
                  <c:v>233</c:v>
                </c:pt>
                <c:pt idx="1">
                  <c:v>1037</c:v>
                </c:pt>
                <c:pt idx="2">
                  <c:v>1063</c:v>
                </c:pt>
                <c:pt idx="3">
                  <c:v>2673</c:v>
                </c:pt>
                <c:pt idx="4">
                  <c:v>955</c:v>
                </c:pt>
                <c:pt idx="5">
                  <c:v>946</c:v>
                </c:pt>
                <c:pt idx="6">
                  <c:v>915</c:v>
                </c:pt>
                <c:pt idx="7">
                  <c:v>2080</c:v>
                </c:pt>
                <c:pt idx="8">
                  <c:v>842</c:v>
                </c:pt>
                <c:pt idx="9">
                  <c:v>812</c:v>
                </c:pt>
                <c:pt idx="10">
                  <c:v>937</c:v>
                </c:pt>
                <c:pt idx="11">
                  <c:v>-535</c:v>
                </c:pt>
                <c:pt idx="12">
                  <c:v>944</c:v>
                </c:pt>
                <c:pt idx="13">
                  <c:v>940</c:v>
                </c:pt>
                <c:pt idx="14">
                  <c:v>1026</c:v>
                </c:pt>
                <c:pt idx="15">
                  <c:v>1264</c:v>
                </c:pt>
                <c:pt idx="16">
                  <c:v>481</c:v>
                </c:pt>
                <c:pt idx="17">
                  <c:v>1330</c:v>
                </c:pt>
                <c:pt idx="18">
                  <c:v>1100</c:v>
                </c:pt>
                <c:pt idx="19">
                  <c:v>1271</c:v>
                </c:pt>
                <c:pt idx="20">
                  <c:v>875</c:v>
                </c:pt>
                <c:pt idx="21">
                  <c:v>1094</c:v>
                </c:pt>
                <c:pt idx="22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Model!$AI$98:$BE$98</c:f>
              <c:numCache>
                <c:formatCode>General</c:formatCode>
                <c:ptCount val="23"/>
                <c:pt idx="0">
                  <c:v>-195</c:v>
                </c:pt>
                <c:pt idx="1">
                  <c:v>870</c:v>
                </c:pt>
                <c:pt idx="2">
                  <c:v>768</c:v>
                </c:pt>
                <c:pt idx="3">
                  <c:v>709</c:v>
                </c:pt>
                <c:pt idx="4">
                  <c:v>-732</c:v>
                </c:pt>
                <c:pt idx="5">
                  <c:v>-460</c:v>
                </c:pt>
                <c:pt idx="6">
                  <c:v>1039</c:v>
                </c:pt>
                <c:pt idx="7">
                  <c:v>1619</c:v>
                </c:pt>
                <c:pt idx="8">
                  <c:v>-1011</c:v>
                </c:pt>
                <c:pt idx="9">
                  <c:v>615</c:v>
                </c:pt>
                <c:pt idx="10">
                  <c:v>869</c:v>
                </c:pt>
                <c:pt idx="11">
                  <c:v>1627</c:v>
                </c:pt>
                <c:pt idx="12">
                  <c:v>-976</c:v>
                </c:pt>
                <c:pt idx="13">
                  <c:v>1105</c:v>
                </c:pt>
                <c:pt idx="14">
                  <c:v>730</c:v>
                </c:pt>
                <c:pt idx="15">
                  <c:v>1762</c:v>
                </c:pt>
                <c:pt idx="16">
                  <c:v>-1821</c:v>
                </c:pt>
                <c:pt idx="17">
                  <c:v>637</c:v>
                </c:pt>
                <c:pt idx="18">
                  <c:v>1256</c:v>
                </c:pt>
                <c:pt idx="19">
                  <c:v>3235</c:v>
                </c:pt>
                <c:pt idx="20">
                  <c:v>-1823</c:v>
                </c:pt>
                <c:pt idx="21">
                  <c:v>978</c:v>
                </c:pt>
                <c:pt idx="22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Model!$AI$41:$BE$41</c:f>
              <c:numCache>
                <c:formatCode>General</c:formatCode>
                <c:ptCount val="23"/>
                <c:pt idx="0">
                  <c:v>9157</c:v>
                </c:pt>
                <c:pt idx="1">
                  <c:v>9151</c:v>
                </c:pt>
                <c:pt idx="2">
                  <c:v>8720</c:v>
                </c:pt>
                <c:pt idx="3">
                  <c:v>8639</c:v>
                </c:pt>
                <c:pt idx="4">
                  <c:v>8797</c:v>
                </c:pt>
                <c:pt idx="5">
                  <c:v>8801</c:v>
                </c:pt>
                <c:pt idx="6">
                  <c:v>8971</c:v>
                </c:pt>
                <c:pt idx="7">
                  <c:v>10033</c:v>
                </c:pt>
                <c:pt idx="8">
                  <c:v>9301</c:v>
                </c:pt>
                <c:pt idx="9">
                  <c:v>9576</c:v>
                </c:pt>
                <c:pt idx="10">
                  <c:v>9775</c:v>
                </c:pt>
                <c:pt idx="11">
                  <c:v>10638</c:v>
                </c:pt>
                <c:pt idx="12">
                  <c:v>10133</c:v>
                </c:pt>
                <c:pt idx="13">
                  <c:v>10218</c:v>
                </c:pt>
                <c:pt idx="14">
                  <c:v>9996</c:v>
                </c:pt>
                <c:pt idx="15">
                  <c:v>10686</c:v>
                </c:pt>
                <c:pt idx="16">
                  <c:v>9468</c:v>
                </c:pt>
                <c:pt idx="17">
                  <c:v>10351</c:v>
                </c:pt>
                <c:pt idx="18">
                  <c:v>10423</c:v>
                </c:pt>
                <c:pt idx="19">
                  <c:v>11712</c:v>
                </c:pt>
                <c:pt idx="20">
                  <c:v>9881</c:v>
                </c:pt>
                <c:pt idx="21">
                  <c:v>10876</c:v>
                </c:pt>
                <c:pt idx="22">
                  <c:v>11122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(NOC)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Analysis'!$Q$245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Analysis'!$Q$247:$Q$327</c:f>
              <c:numCache>
                <c:formatCode>0.00%</c:formatCode>
                <c:ptCount val="81"/>
                <c:pt idx="0">
                  <c:v>-4.0000000000000029E-2</c:v>
                </c:pt>
                <c:pt idx="1">
                  <c:v>-3.9000000000000028E-2</c:v>
                </c:pt>
                <c:pt idx="2">
                  <c:v>-3.8000000000000027E-2</c:v>
                </c:pt>
                <c:pt idx="3">
                  <c:v>-3.7000000000000026E-2</c:v>
                </c:pt>
                <c:pt idx="4">
                  <c:v>-3.6000000000000025E-2</c:v>
                </c:pt>
                <c:pt idx="5">
                  <c:v>-3.5000000000000024E-2</c:v>
                </c:pt>
                <c:pt idx="6">
                  <c:v>-3.4000000000000023E-2</c:v>
                </c:pt>
                <c:pt idx="7">
                  <c:v>-3.3000000000000022E-2</c:v>
                </c:pt>
                <c:pt idx="8">
                  <c:v>-3.2000000000000021E-2</c:v>
                </c:pt>
                <c:pt idx="9">
                  <c:v>-3.1000000000000021E-2</c:v>
                </c:pt>
                <c:pt idx="10">
                  <c:v>-3.000000000000002E-2</c:v>
                </c:pt>
                <c:pt idx="11">
                  <c:v>-2.9000000000000019E-2</c:v>
                </c:pt>
                <c:pt idx="12">
                  <c:v>-2.8000000000000018E-2</c:v>
                </c:pt>
                <c:pt idx="13">
                  <c:v>-2.7000000000000017E-2</c:v>
                </c:pt>
                <c:pt idx="14">
                  <c:v>-2.6000000000000016E-2</c:v>
                </c:pt>
                <c:pt idx="15">
                  <c:v>-2.5000000000000015E-2</c:v>
                </c:pt>
                <c:pt idx="16">
                  <c:v>-2.4000000000000014E-2</c:v>
                </c:pt>
                <c:pt idx="17">
                  <c:v>-2.3000000000000013E-2</c:v>
                </c:pt>
                <c:pt idx="18">
                  <c:v>-2.2000000000000013E-2</c:v>
                </c:pt>
                <c:pt idx="19">
                  <c:v>-2.1000000000000012E-2</c:v>
                </c:pt>
                <c:pt idx="20">
                  <c:v>-2.0000000000000011E-2</c:v>
                </c:pt>
                <c:pt idx="21">
                  <c:v>-1.900000000000001E-2</c:v>
                </c:pt>
                <c:pt idx="22">
                  <c:v>-1.8000000000000009E-2</c:v>
                </c:pt>
                <c:pt idx="23">
                  <c:v>-1.7000000000000008E-2</c:v>
                </c:pt>
                <c:pt idx="24">
                  <c:v>-1.6000000000000007E-2</c:v>
                </c:pt>
                <c:pt idx="25">
                  <c:v>-1.5000000000000006E-2</c:v>
                </c:pt>
                <c:pt idx="26">
                  <c:v>-1.4000000000000005E-2</c:v>
                </c:pt>
                <c:pt idx="27">
                  <c:v>-1.3000000000000005E-2</c:v>
                </c:pt>
                <c:pt idx="28">
                  <c:v>-1.2000000000000004E-2</c:v>
                </c:pt>
                <c:pt idx="29">
                  <c:v>-1.1000000000000003E-2</c:v>
                </c:pt>
                <c:pt idx="30">
                  <c:v>-1.0000000000000002E-2</c:v>
                </c:pt>
                <c:pt idx="31">
                  <c:v>-9.0000000000000011E-3</c:v>
                </c:pt>
                <c:pt idx="32">
                  <c:v>-8.0000000000000002E-3</c:v>
                </c:pt>
                <c:pt idx="33">
                  <c:v>-7.0000000000000001E-3</c:v>
                </c:pt>
                <c:pt idx="34">
                  <c:v>-6.0000000000000001E-3</c:v>
                </c:pt>
                <c:pt idx="35">
                  <c:v>-5.0000000000000001E-3</c:v>
                </c:pt>
                <c:pt idx="36">
                  <c:v>-4.0000000000000001E-3</c:v>
                </c:pt>
                <c:pt idx="37">
                  <c:v>-3.0000000000000001E-3</c:v>
                </c:pt>
                <c:pt idx="38">
                  <c:v>-2E-3</c:v>
                </c:pt>
                <c:pt idx="39">
                  <c:v>-1E-3</c:v>
                </c:pt>
                <c:pt idx="40">
                  <c:v>0</c:v>
                </c:pt>
                <c:pt idx="41">
                  <c:v>1E-3</c:v>
                </c:pt>
                <c:pt idx="42">
                  <c:v>2E-3</c:v>
                </c:pt>
                <c:pt idx="43">
                  <c:v>3.0000000000000001E-3</c:v>
                </c:pt>
                <c:pt idx="44">
                  <c:v>4.0000000000000001E-3</c:v>
                </c:pt>
                <c:pt idx="45">
                  <c:v>5.0000000000000001E-3</c:v>
                </c:pt>
                <c:pt idx="46">
                  <c:v>6.0000000000000001E-3</c:v>
                </c:pt>
                <c:pt idx="47">
                  <c:v>7.0000000000000001E-3</c:v>
                </c:pt>
                <c:pt idx="48">
                  <c:v>8.0000000000000002E-3</c:v>
                </c:pt>
                <c:pt idx="49">
                  <c:v>9.0000000000000011E-3</c:v>
                </c:pt>
                <c:pt idx="50">
                  <c:v>1.0000000000000002E-2</c:v>
                </c:pt>
                <c:pt idx="51">
                  <c:v>1.1000000000000003E-2</c:v>
                </c:pt>
                <c:pt idx="52">
                  <c:v>1.2000000000000004E-2</c:v>
                </c:pt>
                <c:pt idx="53">
                  <c:v>1.3000000000000005E-2</c:v>
                </c:pt>
                <c:pt idx="54">
                  <c:v>1.4000000000000005E-2</c:v>
                </c:pt>
                <c:pt idx="55">
                  <c:v>1.5000000000000006E-2</c:v>
                </c:pt>
                <c:pt idx="56">
                  <c:v>1.6000000000000007E-2</c:v>
                </c:pt>
                <c:pt idx="57">
                  <c:v>1.7000000000000008E-2</c:v>
                </c:pt>
                <c:pt idx="58">
                  <c:v>1.8000000000000009E-2</c:v>
                </c:pt>
                <c:pt idx="59">
                  <c:v>1.900000000000001E-2</c:v>
                </c:pt>
                <c:pt idx="60">
                  <c:v>2.0000000000000011E-2</c:v>
                </c:pt>
                <c:pt idx="61">
                  <c:v>2.1000000000000012E-2</c:v>
                </c:pt>
                <c:pt idx="62">
                  <c:v>2.2000000000000013E-2</c:v>
                </c:pt>
                <c:pt idx="63">
                  <c:v>2.3000000000000013E-2</c:v>
                </c:pt>
                <c:pt idx="64">
                  <c:v>2.4000000000000014E-2</c:v>
                </c:pt>
                <c:pt idx="65">
                  <c:v>2.5000000000000015E-2</c:v>
                </c:pt>
                <c:pt idx="66">
                  <c:v>2.6000000000000016E-2</c:v>
                </c:pt>
                <c:pt idx="67">
                  <c:v>2.7000000000000017E-2</c:v>
                </c:pt>
                <c:pt idx="68">
                  <c:v>2.8000000000000018E-2</c:v>
                </c:pt>
                <c:pt idx="69">
                  <c:v>2.9000000000000019E-2</c:v>
                </c:pt>
                <c:pt idx="70">
                  <c:v>3.000000000000002E-2</c:v>
                </c:pt>
                <c:pt idx="71">
                  <c:v>3.1000000000000021E-2</c:v>
                </c:pt>
                <c:pt idx="72">
                  <c:v>3.2000000000000021E-2</c:v>
                </c:pt>
                <c:pt idx="73">
                  <c:v>3.3000000000000022E-2</c:v>
                </c:pt>
                <c:pt idx="74">
                  <c:v>3.4000000000000023E-2</c:v>
                </c:pt>
                <c:pt idx="75">
                  <c:v>3.5000000000000024E-2</c:v>
                </c:pt>
                <c:pt idx="76">
                  <c:v>3.6000000000000025E-2</c:v>
                </c:pt>
                <c:pt idx="77">
                  <c:v>3.7000000000000026E-2</c:v>
                </c:pt>
                <c:pt idx="78">
                  <c:v>3.8000000000000027E-2</c:v>
                </c:pt>
                <c:pt idx="79">
                  <c:v>3.9000000000000028E-2</c:v>
                </c:pt>
                <c:pt idx="80">
                  <c:v>4.0000000000000029E-2</c:v>
                </c:pt>
              </c:numCache>
            </c:numRef>
          </c:xVal>
          <c:yVal>
            <c:numRef>
              <c:f>'Notes | Quant Analysis'!$R$247:$R$327</c:f>
              <c:numCache>
                <c:formatCode>General</c:formatCode>
                <c:ptCount val="81"/>
                <c:pt idx="0">
                  <c:v>10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6</c:v>
                </c:pt>
                <c:pt idx="22">
                  <c:v>12</c:v>
                </c:pt>
                <c:pt idx="23">
                  <c:v>10</c:v>
                </c:pt>
                <c:pt idx="24">
                  <c:v>17</c:v>
                </c:pt>
                <c:pt idx="25">
                  <c:v>14</c:v>
                </c:pt>
                <c:pt idx="26">
                  <c:v>17</c:v>
                </c:pt>
                <c:pt idx="27">
                  <c:v>20</c:v>
                </c:pt>
                <c:pt idx="28">
                  <c:v>19</c:v>
                </c:pt>
                <c:pt idx="29">
                  <c:v>14</c:v>
                </c:pt>
                <c:pt idx="30">
                  <c:v>33</c:v>
                </c:pt>
                <c:pt idx="31">
                  <c:v>32</c:v>
                </c:pt>
                <c:pt idx="32">
                  <c:v>25</c:v>
                </c:pt>
                <c:pt idx="33">
                  <c:v>38</c:v>
                </c:pt>
                <c:pt idx="34">
                  <c:v>41</c:v>
                </c:pt>
                <c:pt idx="35">
                  <c:v>36</c:v>
                </c:pt>
                <c:pt idx="36">
                  <c:v>43</c:v>
                </c:pt>
                <c:pt idx="37">
                  <c:v>34</c:v>
                </c:pt>
                <c:pt idx="38">
                  <c:v>43</c:v>
                </c:pt>
                <c:pt idx="39">
                  <c:v>41</c:v>
                </c:pt>
                <c:pt idx="40">
                  <c:v>49</c:v>
                </c:pt>
                <c:pt idx="41">
                  <c:v>47</c:v>
                </c:pt>
                <c:pt idx="42">
                  <c:v>52</c:v>
                </c:pt>
                <c:pt idx="43">
                  <c:v>44</c:v>
                </c:pt>
                <c:pt idx="44">
                  <c:v>55</c:v>
                </c:pt>
                <c:pt idx="45">
                  <c:v>44</c:v>
                </c:pt>
                <c:pt idx="46">
                  <c:v>37</c:v>
                </c:pt>
                <c:pt idx="47">
                  <c:v>34</c:v>
                </c:pt>
                <c:pt idx="48">
                  <c:v>49</c:v>
                </c:pt>
                <c:pt idx="49">
                  <c:v>25</c:v>
                </c:pt>
                <c:pt idx="50">
                  <c:v>34</c:v>
                </c:pt>
                <c:pt idx="51">
                  <c:v>27</c:v>
                </c:pt>
                <c:pt idx="52">
                  <c:v>30</c:v>
                </c:pt>
                <c:pt idx="53">
                  <c:v>25</c:v>
                </c:pt>
                <c:pt idx="54">
                  <c:v>11</c:v>
                </c:pt>
                <c:pt idx="55">
                  <c:v>13</c:v>
                </c:pt>
                <c:pt idx="56">
                  <c:v>19</c:v>
                </c:pt>
                <c:pt idx="57">
                  <c:v>13</c:v>
                </c:pt>
                <c:pt idx="58">
                  <c:v>10</c:v>
                </c:pt>
                <c:pt idx="59">
                  <c:v>8</c:v>
                </c:pt>
                <c:pt idx="60">
                  <c:v>10</c:v>
                </c:pt>
                <c:pt idx="61">
                  <c:v>7</c:v>
                </c:pt>
                <c:pt idx="62">
                  <c:v>2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1</c:v>
                </c:pt>
                <c:pt idx="70">
                  <c:v>5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Analysis'!$T$245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Analysis'!$T$247:$T$331</c:f>
              <c:numCache>
                <c:formatCode>0.00%</c:formatCode>
                <c:ptCount val="85"/>
                <c:pt idx="0">
                  <c:v>-4.200000000000003E-2</c:v>
                </c:pt>
                <c:pt idx="1">
                  <c:v>-4.1000000000000029E-2</c:v>
                </c:pt>
                <c:pt idx="2">
                  <c:v>-4.0000000000000029E-2</c:v>
                </c:pt>
                <c:pt idx="3">
                  <c:v>-3.9000000000000028E-2</c:v>
                </c:pt>
                <c:pt idx="4">
                  <c:v>-3.8000000000000027E-2</c:v>
                </c:pt>
                <c:pt idx="5">
                  <c:v>-3.7000000000000026E-2</c:v>
                </c:pt>
                <c:pt idx="6">
                  <c:v>-3.6000000000000025E-2</c:v>
                </c:pt>
                <c:pt idx="7">
                  <c:v>-3.5000000000000024E-2</c:v>
                </c:pt>
                <c:pt idx="8">
                  <c:v>-3.4000000000000023E-2</c:v>
                </c:pt>
                <c:pt idx="9">
                  <c:v>-3.3000000000000022E-2</c:v>
                </c:pt>
                <c:pt idx="10">
                  <c:v>-3.2000000000000021E-2</c:v>
                </c:pt>
                <c:pt idx="11">
                  <c:v>-3.1000000000000021E-2</c:v>
                </c:pt>
                <c:pt idx="12">
                  <c:v>-3.000000000000002E-2</c:v>
                </c:pt>
                <c:pt idx="13">
                  <c:v>-2.9000000000000019E-2</c:v>
                </c:pt>
                <c:pt idx="14">
                  <c:v>-2.8000000000000018E-2</c:v>
                </c:pt>
                <c:pt idx="15">
                  <c:v>-2.7000000000000017E-2</c:v>
                </c:pt>
                <c:pt idx="16">
                  <c:v>-2.6000000000000016E-2</c:v>
                </c:pt>
                <c:pt idx="17">
                  <c:v>-2.5000000000000015E-2</c:v>
                </c:pt>
                <c:pt idx="18">
                  <c:v>-2.4000000000000014E-2</c:v>
                </c:pt>
                <c:pt idx="19">
                  <c:v>-2.3000000000000013E-2</c:v>
                </c:pt>
                <c:pt idx="20">
                  <c:v>-2.2000000000000013E-2</c:v>
                </c:pt>
                <c:pt idx="21">
                  <c:v>-2.1000000000000012E-2</c:v>
                </c:pt>
                <c:pt idx="22">
                  <c:v>-2.0000000000000011E-2</c:v>
                </c:pt>
                <c:pt idx="23">
                  <c:v>-1.900000000000001E-2</c:v>
                </c:pt>
                <c:pt idx="24">
                  <c:v>-1.8000000000000009E-2</c:v>
                </c:pt>
                <c:pt idx="25">
                  <c:v>-1.7000000000000008E-2</c:v>
                </c:pt>
                <c:pt idx="26">
                  <c:v>-1.6000000000000007E-2</c:v>
                </c:pt>
                <c:pt idx="27">
                  <c:v>-1.5000000000000006E-2</c:v>
                </c:pt>
                <c:pt idx="28">
                  <c:v>-1.4000000000000005E-2</c:v>
                </c:pt>
                <c:pt idx="29">
                  <c:v>-1.3000000000000005E-2</c:v>
                </c:pt>
                <c:pt idx="30">
                  <c:v>-1.2000000000000004E-2</c:v>
                </c:pt>
                <c:pt idx="31">
                  <c:v>-1.1000000000000003E-2</c:v>
                </c:pt>
                <c:pt idx="32">
                  <c:v>-1.0000000000000002E-2</c:v>
                </c:pt>
                <c:pt idx="33">
                  <c:v>-9.0000000000000011E-3</c:v>
                </c:pt>
                <c:pt idx="34">
                  <c:v>-8.0000000000000002E-3</c:v>
                </c:pt>
                <c:pt idx="35">
                  <c:v>-7.0000000000000001E-3</c:v>
                </c:pt>
                <c:pt idx="36">
                  <c:v>-6.0000000000000001E-3</c:v>
                </c:pt>
                <c:pt idx="37">
                  <c:v>-5.0000000000000001E-3</c:v>
                </c:pt>
                <c:pt idx="38">
                  <c:v>-4.0000000000000001E-3</c:v>
                </c:pt>
                <c:pt idx="39">
                  <c:v>-3.0000000000000001E-3</c:v>
                </c:pt>
                <c:pt idx="40">
                  <c:v>-2E-3</c:v>
                </c:pt>
                <c:pt idx="41">
                  <c:v>-1E-3</c:v>
                </c:pt>
                <c:pt idx="42">
                  <c:v>0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8.0000000000000002E-3</c:v>
                </c:pt>
                <c:pt idx="51">
                  <c:v>9.0000000000000011E-3</c:v>
                </c:pt>
                <c:pt idx="52">
                  <c:v>1.0000000000000002E-2</c:v>
                </c:pt>
                <c:pt idx="53">
                  <c:v>1.1000000000000003E-2</c:v>
                </c:pt>
                <c:pt idx="54">
                  <c:v>1.2000000000000004E-2</c:v>
                </c:pt>
                <c:pt idx="55">
                  <c:v>1.3000000000000005E-2</c:v>
                </c:pt>
                <c:pt idx="56">
                  <c:v>1.4000000000000005E-2</c:v>
                </c:pt>
                <c:pt idx="57">
                  <c:v>1.5000000000000006E-2</c:v>
                </c:pt>
                <c:pt idx="58">
                  <c:v>1.6000000000000007E-2</c:v>
                </c:pt>
                <c:pt idx="59">
                  <c:v>1.7000000000000008E-2</c:v>
                </c:pt>
                <c:pt idx="60">
                  <c:v>1.8000000000000009E-2</c:v>
                </c:pt>
                <c:pt idx="61">
                  <c:v>1.900000000000001E-2</c:v>
                </c:pt>
                <c:pt idx="62">
                  <c:v>2.0000000000000011E-2</c:v>
                </c:pt>
                <c:pt idx="63">
                  <c:v>2.1000000000000012E-2</c:v>
                </c:pt>
                <c:pt idx="64">
                  <c:v>2.2000000000000013E-2</c:v>
                </c:pt>
                <c:pt idx="65">
                  <c:v>2.3000000000000013E-2</c:v>
                </c:pt>
                <c:pt idx="66">
                  <c:v>2.4000000000000014E-2</c:v>
                </c:pt>
                <c:pt idx="67">
                  <c:v>2.5000000000000015E-2</c:v>
                </c:pt>
                <c:pt idx="68">
                  <c:v>2.6000000000000016E-2</c:v>
                </c:pt>
                <c:pt idx="69">
                  <c:v>2.7000000000000017E-2</c:v>
                </c:pt>
                <c:pt idx="70">
                  <c:v>2.8000000000000018E-2</c:v>
                </c:pt>
                <c:pt idx="71">
                  <c:v>2.9000000000000019E-2</c:v>
                </c:pt>
                <c:pt idx="72">
                  <c:v>3.000000000000002E-2</c:v>
                </c:pt>
                <c:pt idx="73">
                  <c:v>3.1000000000000021E-2</c:v>
                </c:pt>
                <c:pt idx="74">
                  <c:v>3.2000000000000021E-2</c:v>
                </c:pt>
                <c:pt idx="75">
                  <c:v>3.3000000000000022E-2</c:v>
                </c:pt>
                <c:pt idx="76">
                  <c:v>3.4000000000000023E-2</c:v>
                </c:pt>
                <c:pt idx="77">
                  <c:v>3.5000000000000024E-2</c:v>
                </c:pt>
                <c:pt idx="78">
                  <c:v>3.6000000000000025E-2</c:v>
                </c:pt>
                <c:pt idx="79">
                  <c:v>3.7000000000000026E-2</c:v>
                </c:pt>
                <c:pt idx="80">
                  <c:v>3.8000000000000027E-2</c:v>
                </c:pt>
                <c:pt idx="81">
                  <c:v>3.9000000000000028E-2</c:v>
                </c:pt>
                <c:pt idx="82">
                  <c:v>4.0000000000000029E-2</c:v>
                </c:pt>
                <c:pt idx="83">
                  <c:v>4.1000000000000029E-2</c:v>
                </c:pt>
                <c:pt idx="84">
                  <c:v>4.200000000000003E-2</c:v>
                </c:pt>
              </c:numCache>
            </c:numRef>
          </c:xVal>
          <c:yVal>
            <c:numRef>
              <c:f>'Notes | Quant Analysis'!$U$247:$U$331</c:f>
              <c:numCache>
                <c:formatCode>General</c:formatCode>
                <c:ptCount val="85"/>
                <c:pt idx="0">
                  <c:v>0.17723399030519588</c:v>
                </c:pt>
                <c:pt idx="1">
                  <c:v>0.22532088572693768</c:v>
                </c:pt>
                <c:pt idx="2">
                  <c:v>0.28481467052380988</c:v>
                </c:pt>
                <c:pt idx="3">
                  <c:v>0.35795607141351748</c:v>
                </c:pt>
                <c:pt idx="4">
                  <c:v>0.44730482410138178</c:v>
                </c:pt>
                <c:pt idx="5">
                  <c:v>0.55575567035472706</c:v>
                </c:pt>
                <c:pt idx="6">
                  <c:v>0.68654766517621102</c:v>
                </c:pt>
                <c:pt idx="7">
                  <c:v>0.84326477274009637</c:v>
                </c:pt>
                <c:pt idx="8">
                  <c:v>1.0298256229673945</c:v>
                </c:pt>
                <c:pt idx="9">
                  <c:v>1.2504602762897923</c:v>
                </c:pt>
                <c:pt idx="10">
                  <c:v>1.5096719232824478</c:v>
                </c:pt>
                <c:pt idx="11">
                  <c:v>1.8121816477958179</c:v>
                </c:pt>
                <c:pt idx="12">
                  <c:v>2.1628547230000761</c:v>
                </c:pt>
                <c:pt idx="13">
                  <c:v>2.5666074001785111</c:v>
                </c:pt>
                <c:pt idx="14">
                  <c:v>3.0282937938943779</c:v>
                </c:pt>
                <c:pt idx="15">
                  <c:v>3.5525732592146784</c:v>
                </c:pt>
                <c:pt idx="16">
                  <c:v>4.1437595816512918</c:v>
                </c:pt>
                <c:pt idx="17">
                  <c:v>4.8056543318054254</c:v>
                </c:pt>
                <c:pt idx="18">
                  <c:v>5.5413678362807106</c:v>
                </c:pt>
                <c:pt idx="19">
                  <c:v>6.3531323351350011</c:v>
                </c:pt>
                <c:pt idx="20">
                  <c:v>7.2421129752017848</c:v>
                </c:pt>
                <c:pt idx="21">
                  <c:v>8.2082232619665234</c:v>
                </c:pt>
                <c:pt idx="22">
                  <c:v>9.2499523902440259</c:v>
                </c:pt>
                <c:pt idx="23">
                  <c:v>10.36421242564434</c:v>
                </c:pt>
                <c:pt idx="24">
                  <c:v>11.546213549473011</c:v>
                </c:pt>
                <c:pt idx="25">
                  <c:v>12.789375453824826</c:v>
                </c:pt>
                <c:pt idx="26">
                  <c:v>14.085282440564503</c:v>
                </c:pt>
                <c:pt idx="27">
                  <c:v>15.423688816457037</c:v>
                </c:pt>
                <c:pt idx="28">
                  <c:v>16.792579788969103</c:v>
                </c:pt>
                <c:pt idx="29">
                  <c:v>18.17829128108345</c:v>
                </c:pt>
                <c:pt idx="30">
                  <c:v>19.565689953548866</c:v>
                </c:pt>
                <c:pt idx="31">
                  <c:v>20.938412330051285</c:v>
                </c:pt>
                <c:pt idx="32">
                  <c:v>22.279159368837014</c:v>
                </c:pt>
                <c:pt idx="33">
                  <c:v>23.570040235966001</c:v>
                </c:pt>
                <c:pt idx="34">
                  <c:v>24.792956545458743</c:v>
                </c:pt>
                <c:pt idx="35">
                  <c:v>25.930016079399589</c:v>
                </c:pt>
                <c:pt idx="36">
                  <c:v>26.9639631215889</c:v>
                </c:pt>
                <c:pt idx="37">
                  <c:v>27.878611153362854</c:v>
                </c:pt>
                <c:pt idx="38">
                  <c:v>28.659262869596912</c:v>
                </c:pt>
                <c:pt idx="39">
                  <c:v>29.293102347058127</c:v>
                </c:pt>
                <c:pt idx="40">
                  <c:v>29.769544771121947</c:v>
                </c:pt>
                <c:pt idx="41">
                  <c:v>30.080530396200828</c:v>
                </c:pt>
                <c:pt idx="42">
                  <c:v>30.220751335485435</c:v>
                </c:pt>
                <c:pt idx="43">
                  <c:v>30.187802263458202</c:v>
                </c:pt>
                <c:pt idx="44">
                  <c:v>29.982249052337512</c:v>
                </c:pt>
                <c:pt idx="45">
                  <c:v>29.607612605697906</c:v>
                </c:pt>
                <c:pt idx="46">
                  <c:v>29.070268534633172</c:v>
                </c:pt>
                <c:pt idx="47">
                  <c:v>28.379266670889383</c:v>
                </c:pt>
                <c:pt idx="48">
                  <c:v>27.546077556365105</c:v>
                </c:pt>
                <c:pt idx="49">
                  <c:v>26.584275830946858</c:v>
                </c:pt>
                <c:pt idx="50">
                  <c:v>25.509172724951739</c:v>
                </c:pt>
                <c:pt idx="51">
                  <c:v>24.337411543138355</c:v>
                </c:pt>
                <c:pt idx="52">
                  <c:v>23.086541035370352</c:v>
                </c:pt>
                <c:pt idx="53">
                  <c:v>21.774581855306995</c:v>
                </c:pt>
                <c:pt idx="54">
                  <c:v>20.419600923899822</c:v>
                </c:pt>
                <c:pt idx="55">
                  <c:v>19.039307487975744</c:v>
                </c:pt>
                <c:pt idx="56">
                  <c:v>17.650683078176574</c:v>
                </c:pt>
                <c:pt idx="57">
                  <c:v>16.26965553416127</c:v>
                </c:pt>
                <c:pt idx="58">
                  <c:v>14.910824906114467</c:v>
                </c:pt>
                <c:pt idx="59">
                  <c:v>13.587246497934769</c:v>
                </c:pt>
                <c:pt idx="60">
                  <c:v>12.310273727574375</c:v>
                </c:pt>
                <c:pt idx="61">
                  <c:v>11.089460974913568</c:v>
                </c:pt>
                <c:pt idx="62">
                  <c:v>9.9325242834887391</c:v>
                </c:pt>
                <c:pt idx="63">
                  <c:v>8.8453557749532159</c:v>
                </c:pt>
                <c:pt idx="64">
                  <c:v>7.8320859953864508</c:v>
                </c:pt>
                <c:pt idx="65">
                  <c:v>6.8951871849762947</c:v>
                </c:pt>
                <c:pt idx="66">
                  <c:v>6.035609665031787</c:v>
                </c:pt>
                <c:pt idx="67">
                  <c:v>5.2529431615865798</c:v>
                </c:pt>
                <c:pt idx="68">
                  <c:v>4.5455949039482633</c:v>
                </c:pt>
                <c:pt idx="69">
                  <c:v>3.9109767025930462</c:v>
                </c:pt>
                <c:pt idx="70">
                  <c:v>3.345693864010638</c:v>
                </c:pt>
                <c:pt idx="71">
                  <c:v>2.8457296728153931</c:v>
                </c:pt>
                <c:pt idx="72">
                  <c:v>2.406620193081682</c:v>
                </c:pt>
                <c:pt idx="73">
                  <c:v>2.0236152424361253</c:v>
                </c:pt>
                <c:pt idx="74">
                  <c:v>1.6918225103184781</c:v>
                </c:pt>
                <c:pt idx="75">
                  <c:v>1.4063328706766867</c:v>
                </c:pt>
                <c:pt idx="76">
                  <c:v>1.1623259341403263</c:v>
                </c:pt>
                <c:pt idx="77">
                  <c:v>0.95515576169354066</c:v>
                </c:pt>
                <c:pt idx="78">
                  <c:v>0.78041739881164296</c:v>
                </c:pt>
                <c:pt idx="79">
                  <c:v>0.63399547462264894</c:v>
                </c:pt>
                <c:pt idx="80">
                  <c:v>0.51209654335314514</c:v>
                </c:pt>
                <c:pt idx="81">
                  <c:v>0.41126713174902124</c:v>
                </c:pt>
                <c:pt idx="82">
                  <c:v>0.32839960933334789</c:v>
                </c:pt>
                <c:pt idx="83">
                  <c:v>0.26072803577620352</c:v>
                </c:pt>
                <c:pt idx="84">
                  <c:v>0.20581608147978586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Analysis'!$W$247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067092059602585E-2"/>
                  <c:y val="-2.95923021304811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88429724019589"/>
                      <c:h val="8.24266618738567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Analysis'!$X$247:$X$248</c:f>
              <c:numCache>
                <c:formatCode>0.00%</c:formatCode>
                <c:ptCount val="2"/>
                <c:pt idx="0">
                  <c:v>3.100038625540186E-4</c:v>
                </c:pt>
                <c:pt idx="1">
                  <c:v>3.100038625540186E-4</c:v>
                </c:pt>
              </c:numCache>
            </c:numRef>
          </c:xVal>
          <c:yVal>
            <c:numRef>
              <c:f>'Notes | Quant Analysis'!$Y$247:$Y$248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Analysis'!$W$249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Analysis'!$X$249:$X$250</c:f>
              <c:numCache>
                <c:formatCode>0.00%</c:formatCode>
                <c:ptCount val="2"/>
                <c:pt idx="0">
                  <c:v>-3.9281887226516064E-2</c:v>
                </c:pt>
                <c:pt idx="1">
                  <c:v>-3.9281887226516064E-2</c:v>
                </c:pt>
              </c:numCache>
            </c:numRef>
          </c:xVal>
          <c:yVal>
            <c:numRef>
              <c:f>'Notes | Quant Analysis'!$Y$249:$Y$250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Analysis'!$W$251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Analysis'!$X$251:$X$252</c:f>
              <c:numCache>
                <c:formatCode>0.00%</c:formatCode>
                <c:ptCount val="2"/>
                <c:pt idx="0">
                  <c:v>-2.6084590196826036E-2</c:v>
                </c:pt>
                <c:pt idx="1">
                  <c:v>-2.6084590196826036E-2</c:v>
                </c:pt>
              </c:numCache>
            </c:numRef>
          </c:xVal>
          <c:yVal>
            <c:numRef>
              <c:f>'Notes | Quant Analysis'!$Y$251:$Y$252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Analysis'!$W$253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Analysis'!$X$253:$X$254</c:f>
              <c:numCache>
                <c:formatCode>0.00%</c:formatCode>
                <c:ptCount val="2"/>
                <c:pt idx="0">
                  <c:v>-1.2887293167136007E-2</c:v>
                </c:pt>
                <c:pt idx="1">
                  <c:v>-1.2887293167136007E-2</c:v>
                </c:pt>
              </c:numCache>
            </c:numRef>
          </c:xVal>
          <c:yVal>
            <c:numRef>
              <c:f>'Notes | Quant Analysis'!$Y$253:$Y$254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Analysis'!$W$255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Analysis'!$X$255:$X$256</c:f>
              <c:numCache>
                <c:formatCode>0.00%</c:formatCode>
                <c:ptCount val="2"/>
                <c:pt idx="0">
                  <c:v>1.3507300892244046E-2</c:v>
                </c:pt>
                <c:pt idx="1">
                  <c:v>1.3507300892244046E-2</c:v>
                </c:pt>
              </c:numCache>
            </c:numRef>
          </c:xVal>
          <c:yVal>
            <c:numRef>
              <c:f>'Notes | Quant Analysis'!$Y$255:$Y$256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Analysis'!$W$257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Analysis'!$X$257:$X$258</c:f>
              <c:numCache>
                <c:formatCode>0.00%</c:formatCode>
                <c:ptCount val="2"/>
                <c:pt idx="0">
                  <c:v>2.6704597921934071E-2</c:v>
                </c:pt>
                <c:pt idx="1">
                  <c:v>2.6704597921934071E-2</c:v>
                </c:pt>
              </c:numCache>
            </c:numRef>
          </c:xVal>
          <c:yVal>
            <c:numRef>
              <c:f>'Notes | Quant Analysis'!$Y$257:$Y$258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Analysis'!$W$259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Analysis'!$X$259:$X$260</c:f>
              <c:numCache>
                <c:formatCode>0.00%</c:formatCode>
                <c:ptCount val="2"/>
                <c:pt idx="0">
                  <c:v>3.9901894951624099E-2</c:v>
                </c:pt>
                <c:pt idx="1">
                  <c:v>3.9901894951624099E-2</c:v>
                </c:pt>
              </c:numCache>
            </c:numRef>
          </c:xVal>
          <c:yVal>
            <c:numRef>
              <c:f>'Notes | Quant Analysis'!$Y$259:$Y$260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(NOC)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Model!$BM$51:$BY$51</c:f>
              <c:numCache>
                <c:formatCode>General</c:formatCode>
                <c:ptCount val="13"/>
                <c:pt idx="0">
                  <c:v>1952</c:v>
                </c:pt>
                <c:pt idx="1">
                  <c:v>2069</c:v>
                </c:pt>
                <c:pt idx="2">
                  <c:v>1990</c:v>
                </c:pt>
                <c:pt idx="3">
                  <c:v>2043</c:v>
                </c:pt>
                <c:pt idx="4">
                  <c:v>2869</c:v>
                </c:pt>
                <c:pt idx="5">
                  <c:v>3229</c:v>
                </c:pt>
                <c:pt idx="6">
                  <c:v>2248</c:v>
                </c:pt>
                <c:pt idx="7">
                  <c:v>3189</c:v>
                </c:pt>
                <c:pt idx="8">
                  <c:v>5006</c:v>
                </c:pt>
                <c:pt idx="9">
                  <c:v>4896</c:v>
                </c:pt>
                <c:pt idx="10">
                  <c:v>2056</c:v>
                </c:pt>
                <c:pt idx="11">
                  <c:v>4174</c:v>
                </c:pt>
                <c:pt idx="12">
                  <c:v>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Model!$BM$98:$BY$98</c:f>
              <c:numCache>
                <c:formatCode>General</c:formatCode>
                <c:ptCount val="13"/>
                <c:pt idx="0">
                  <c:v>2119</c:v>
                </c:pt>
                <c:pt idx="1">
                  <c:v>2032</c:v>
                </c:pt>
                <c:pt idx="2">
                  <c:v>1691</c:v>
                </c:pt>
                <c:pt idx="3">
                  <c:v>1893</c:v>
                </c:pt>
                <c:pt idx="4">
                  <c:v>1685</c:v>
                </c:pt>
                <c:pt idx="5">
                  <c:v>2578</c:v>
                </c:pt>
                <c:pt idx="6">
                  <c:v>3559</c:v>
                </c:pt>
                <c:pt idx="7">
                  <c:v>2885</c:v>
                </c:pt>
                <c:pt idx="8">
                  <c:v>2152</c:v>
                </c:pt>
                <c:pt idx="9">
                  <c:v>1466</c:v>
                </c:pt>
                <c:pt idx="10">
                  <c:v>2100</c:v>
                </c:pt>
                <c:pt idx="11">
                  <c:v>2621</c:v>
                </c:pt>
                <c:pt idx="12">
                  <c:v>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Model!$BM$3:$BY$3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Model!$BM$41:$BY$41</c:f>
              <c:numCache>
                <c:formatCode>General</c:formatCode>
                <c:ptCount val="13"/>
                <c:pt idx="0">
                  <c:v>24661</c:v>
                </c:pt>
                <c:pt idx="1">
                  <c:v>23979</c:v>
                </c:pt>
                <c:pt idx="2">
                  <c:v>23526</c:v>
                </c:pt>
                <c:pt idx="3">
                  <c:v>24706</c:v>
                </c:pt>
                <c:pt idx="4">
                  <c:v>26004</c:v>
                </c:pt>
                <c:pt idx="5">
                  <c:v>30095</c:v>
                </c:pt>
                <c:pt idx="6">
                  <c:v>33841</c:v>
                </c:pt>
                <c:pt idx="7">
                  <c:v>36799</c:v>
                </c:pt>
                <c:pt idx="8">
                  <c:v>35667</c:v>
                </c:pt>
                <c:pt idx="9">
                  <c:v>36602</c:v>
                </c:pt>
                <c:pt idx="10">
                  <c:v>39290</c:v>
                </c:pt>
                <c:pt idx="11">
                  <c:v>41033</c:v>
                </c:pt>
                <c:pt idx="12">
                  <c:v>41954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(NOC)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Model!$B$25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Model!$AI$25:$BE$25</c:f>
              <c:numCache>
                <c:formatCode>General</c:formatCode>
                <c:ptCount val="23"/>
                <c:pt idx="0">
                  <c:v>558</c:v>
                </c:pt>
                <c:pt idx="1">
                  <c:v>441</c:v>
                </c:pt>
                <c:pt idx="2">
                  <c:v>470</c:v>
                </c:pt>
                <c:pt idx="3">
                  <c:v>470</c:v>
                </c:pt>
                <c:pt idx="4">
                  <c:v>463</c:v>
                </c:pt>
                <c:pt idx="5">
                  <c:v>489</c:v>
                </c:pt>
                <c:pt idx="6">
                  <c:v>469</c:v>
                </c:pt>
                <c:pt idx="7">
                  <c:v>381</c:v>
                </c:pt>
                <c:pt idx="8">
                  <c:v>376</c:v>
                </c:pt>
                <c:pt idx="9">
                  <c:v>397</c:v>
                </c:pt>
                <c:pt idx="10">
                  <c:v>376</c:v>
                </c:pt>
                <c:pt idx="11">
                  <c:v>419</c:v>
                </c:pt>
                <c:pt idx="12">
                  <c:v>359</c:v>
                </c:pt>
                <c:pt idx="13">
                  <c:v>377</c:v>
                </c:pt>
                <c:pt idx="14">
                  <c:v>378</c:v>
                </c:pt>
                <c:pt idx="15">
                  <c:v>438</c:v>
                </c:pt>
                <c:pt idx="16">
                  <c:v>417</c:v>
                </c:pt>
                <c:pt idx="17">
                  <c:v>452</c:v>
                </c:pt>
                <c:pt idx="18">
                  <c:v>504</c:v>
                </c:pt>
                <c:pt idx="19">
                  <c:v>546</c:v>
                </c:pt>
                <c:pt idx="20">
                  <c:v>442</c:v>
                </c:pt>
                <c:pt idx="21">
                  <c:v>536</c:v>
                </c:pt>
                <c:pt idx="22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8-4378-810A-CFD9E5413938}"/>
            </c:ext>
          </c:extLst>
        </c:ser>
        <c:ser>
          <c:idx val="2"/>
          <c:order val="1"/>
          <c:tx>
            <c:strRef>
              <c:f>Model!$B$26</c:f>
              <c:strCache>
                <c:ptCount val="1"/>
                <c:pt idx="0">
                  <c:v>Euro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Model!$AI$26:$BE$26</c:f>
              <c:numCache>
                <c:formatCode>General</c:formatCode>
                <c:ptCount val="23"/>
                <c:pt idx="0">
                  <c:v>533</c:v>
                </c:pt>
                <c:pt idx="1">
                  <c:v>537</c:v>
                </c:pt>
                <c:pt idx="2">
                  <c:v>498</c:v>
                </c:pt>
                <c:pt idx="3">
                  <c:v>539</c:v>
                </c:pt>
                <c:pt idx="4">
                  <c:v>503</c:v>
                </c:pt>
                <c:pt idx="5">
                  <c:v>483</c:v>
                </c:pt>
                <c:pt idx="6">
                  <c:v>543</c:v>
                </c:pt>
                <c:pt idx="7">
                  <c:v>723</c:v>
                </c:pt>
                <c:pt idx="8">
                  <c:v>547</c:v>
                </c:pt>
                <c:pt idx="9">
                  <c:v>601</c:v>
                </c:pt>
                <c:pt idx="10">
                  <c:v>640</c:v>
                </c:pt>
                <c:pt idx="11">
                  <c:v>667</c:v>
                </c:pt>
                <c:pt idx="12">
                  <c:v>676</c:v>
                </c:pt>
                <c:pt idx="13">
                  <c:v>667</c:v>
                </c:pt>
                <c:pt idx="14">
                  <c:v>685</c:v>
                </c:pt>
                <c:pt idx="15">
                  <c:v>809</c:v>
                </c:pt>
                <c:pt idx="16">
                  <c:v>704</c:v>
                </c:pt>
                <c:pt idx="17">
                  <c:v>752</c:v>
                </c:pt>
                <c:pt idx="18">
                  <c:v>918</c:v>
                </c:pt>
                <c:pt idx="19">
                  <c:v>912</c:v>
                </c:pt>
                <c:pt idx="20">
                  <c:v>686</c:v>
                </c:pt>
                <c:pt idx="21">
                  <c:v>828</c:v>
                </c:pt>
                <c:pt idx="22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8-4378-810A-CFD9E5413938}"/>
            </c:ext>
          </c:extLst>
        </c:ser>
        <c:ser>
          <c:idx val="3"/>
          <c:order val="2"/>
          <c:tx>
            <c:strRef>
              <c:f>Model!$B$27</c:f>
              <c:strCache>
                <c:ptCount val="1"/>
                <c:pt idx="0">
                  <c:v>Other regions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Model!$AI$27:$BE$27</c:f>
              <c:numCache>
                <c:formatCode>General</c:formatCode>
                <c:ptCount val="23"/>
                <c:pt idx="0">
                  <c:v>267</c:v>
                </c:pt>
                <c:pt idx="1">
                  <c:v>230</c:v>
                </c:pt>
                <c:pt idx="2">
                  <c:v>217</c:v>
                </c:pt>
                <c:pt idx="3">
                  <c:v>222</c:v>
                </c:pt>
                <c:pt idx="4">
                  <c:v>175</c:v>
                </c:pt>
                <c:pt idx="5">
                  <c:v>183</c:v>
                </c:pt>
                <c:pt idx="6">
                  <c:v>198</c:v>
                </c:pt>
                <c:pt idx="7">
                  <c:v>238</c:v>
                </c:pt>
                <c:pt idx="8">
                  <c:v>243</c:v>
                </c:pt>
                <c:pt idx="9">
                  <c:v>204</c:v>
                </c:pt>
                <c:pt idx="10">
                  <c:v>223</c:v>
                </c:pt>
                <c:pt idx="11">
                  <c:v>212</c:v>
                </c:pt>
                <c:pt idx="12">
                  <c:v>127</c:v>
                </c:pt>
                <c:pt idx="13">
                  <c:v>141</c:v>
                </c:pt>
                <c:pt idx="14">
                  <c:v>155</c:v>
                </c:pt>
                <c:pt idx="15">
                  <c:v>188</c:v>
                </c:pt>
                <c:pt idx="16">
                  <c:v>165</c:v>
                </c:pt>
                <c:pt idx="17">
                  <c:v>197</c:v>
                </c:pt>
                <c:pt idx="18">
                  <c:v>181</c:v>
                </c:pt>
                <c:pt idx="19">
                  <c:v>242</c:v>
                </c:pt>
                <c:pt idx="20">
                  <c:v>153</c:v>
                </c:pt>
                <c:pt idx="21">
                  <c:v>179</c:v>
                </c:pt>
                <c:pt idx="22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18-4378-810A-CFD9E5413938}"/>
            </c:ext>
          </c:extLst>
        </c:ser>
        <c:ser>
          <c:idx val="0"/>
          <c:order val="3"/>
          <c:tx>
            <c:strRef>
              <c:f>Model!$B$24</c:f>
              <c:strCache>
                <c:ptCount val="1"/>
                <c:pt idx="0">
                  <c:v>U.S.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Model!$AI$1:$BD$1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Model!$AI$24:$BE$24</c:f>
              <c:numCache>
                <c:formatCode>General</c:formatCode>
                <c:ptCount val="23"/>
                <c:pt idx="0">
                  <c:v>7799</c:v>
                </c:pt>
                <c:pt idx="1">
                  <c:v>7943</c:v>
                </c:pt>
                <c:pt idx="2">
                  <c:v>7535</c:v>
                </c:pt>
                <c:pt idx="3">
                  <c:v>7408</c:v>
                </c:pt>
                <c:pt idx="4">
                  <c:v>7656</c:v>
                </c:pt>
                <c:pt idx="5">
                  <c:v>7646</c:v>
                </c:pt>
                <c:pt idx="6">
                  <c:v>7761</c:v>
                </c:pt>
                <c:pt idx="7">
                  <c:v>8691</c:v>
                </c:pt>
                <c:pt idx="8">
                  <c:v>8135</c:v>
                </c:pt>
                <c:pt idx="9">
                  <c:v>8374</c:v>
                </c:pt>
                <c:pt idx="10">
                  <c:v>8536</c:v>
                </c:pt>
                <c:pt idx="11">
                  <c:v>9340</c:v>
                </c:pt>
                <c:pt idx="12">
                  <c:v>8971</c:v>
                </c:pt>
                <c:pt idx="13">
                  <c:v>9033</c:v>
                </c:pt>
                <c:pt idx="14">
                  <c:v>8778</c:v>
                </c:pt>
                <c:pt idx="15">
                  <c:v>9251</c:v>
                </c:pt>
                <c:pt idx="16">
                  <c:v>8182</c:v>
                </c:pt>
                <c:pt idx="17">
                  <c:v>8950</c:v>
                </c:pt>
                <c:pt idx="18">
                  <c:v>8820</c:v>
                </c:pt>
                <c:pt idx="19">
                  <c:v>10012</c:v>
                </c:pt>
                <c:pt idx="20">
                  <c:v>8600</c:v>
                </c:pt>
                <c:pt idx="21">
                  <c:v>9333</c:v>
                </c:pt>
                <c:pt idx="22">
                  <c:v>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378-810A-CFD9E541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114300</xdr:rowOff>
    </xdr:to>
    <xdr:sp macro="" textlink="">
      <xdr:nvSpPr>
        <xdr:cNvPr id="3073" name="AutoShape 1" descr="Northrop Grumman logo">
          <a:extLst>
            <a:ext uri="{FF2B5EF4-FFF2-40B4-BE49-F238E27FC236}">
              <a16:creationId xmlns:a16="http://schemas.microsoft.com/office/drawing/2014/main" id="{4D734CF0-A0E5-9406-582E-D9F6BC8936FF}"/>
            </a:ext>
          </a:extLst>
        </xdr:cNvPr>
        <xdr:cNvSpPr>
          <a:spLocks noChangeAspect="1" noChangeArrowheads="1"/>
        </xdr:cNvSpPr>
      </xdr:nvSpPr>
      <xdr:spPr bwMode="auto">
        <a:xfrm>
          <a:off x="2828925" y="3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7327</xdr:colOff>
      <xdr:row>2</xdr:row>
      <xdr:rowOff>9525</xdr:rowOff>
    </xdr:from>
    <xdr:to>
      <xdr:col>8</xdr:col>
      <xdr:colOff>1</xdr:colOff>
      <xdr:row>8</xdr:row>
      <xdr:rowOff>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0D5E0-77F9-8EE2-D63C-40BA0E30E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45" b="7964"/>
        <a:stretch>
          <a:fillRect/>
        </a:stretch>
      </xdr:blipFill>
      <xdr:spPr>
        <a:xfrm>
          <a:off x="2828192" y="383198"/>
          <a:ext cx="1817078" cy="1096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</xdr:colOff>
      <xdr:row>0</xdr:row>
      <xdr:rowOff>0</xdr:rowOff>
    </xdr:from>
    <xdr:to>
      <xdr:col>57</xdr:col>
      <xdr:colOff>1</xdr:colOff>
      <xdr:row>108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36542383" y="0"/>
          <a:ext cx="0" cy="194601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0</xdr:row>
      <xdr:rowOff>0</xdr:rowOff>
    </xdr:from>
    <xdr:to>
      <xdr:col>77</xdr:col>
      <xdr:colOff>0</xdr:colOff>
      <xdr:row>107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1341000" y="0"/>
          <a:ext cx="0" cy="190477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141</xdr:row>
      <xdr:rowOff>0</xdr:rowOff>
    </xdr:from>
    <xdr:to>
      <xdr:col>31</xdr:col>
      <xdr:colOff>0</xdr:colOff>
      <xdr:row>169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206</xdr:row>
      <xdr:rowOff>0</xdr:rowOff>
    </xdr:from>
    <xdr:to>
      <xdr:col>31</xdr:col>
      <xdr:colOff>0</xdr:colOff>
      <xdr:row>234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174</xdr:row>
      <xdr:rowOff>0</xdr:rowOff>
    </xdr:from>
    <xdr:to>
      <xdr:col>31</xdr:col>
      <xdr:colOff>0</xdr:colOff>
      <xdr:row>202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104</xdr:row>
      <xdr:rowOff>190499</xdr:rowOff>
    </xdr:from>
    <xdr:to>
      <xdr:col>31</xdr:col>
      <xdr:colOff>0</xdr:colOff>
      <xdr:row>135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0F15FF-0EFB-4DEC-A0ED-7111BED9C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edgar/browse/?CIK=1133421&amp;owner=exclude" TargetMode="External"/><Relationship Id="rId2" Type="http://schemas.openxmlformats.org/officeDocument/2006/relationships/hyperlink" Target="https://www.northropgrumman.com/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3"/>
  <sheetViews>
    <sheetView zoomScale="85" zoomScaleNormal="85" workbookViewId="0">
      <selection activeCell="C8" sqref="C8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143</v>
      </c>
    </row>
    <row r="3" spans="2:18" ht="15">
      <c r="B3" s="1" t="s">
        <v>0</v>
      </c>
      <c r="C3" s="75">
        <v>530.4</v>
      </c>
      <c r="D3" s="42" t="s">
        <v>1494</v>
      </c>
      <c r="F3"/>
    </row>
    <row r="4" spans="2:18">
      <c r="B4" s="1" t="s">
        <v>1</v>
      </c>
      <c r="C4" s="76">
        <v>142.1</v>
      </c>
      <c r="D4" s="1" t="s">
        <v>1495</v>
      </c>
    </row>
    <row r="5" spans="2:18">
      <c r="B5" s="1" t="s">
        <v>2</v>
      </c>
      <c r="C5" s="77">
        <f>C3*C4</f>
        <v>75369.84</v>
      </c>
    </row>
    <row r="6" spans="2:18">
      <c r="B6" s="1" t="s">
        <v>3</v>
      </c>
      <c r="C6" s="77">
        <v>3744</v>
      </c>
      <c r="D6" s="1" t="s">
        <v>1495</v>
      </c>
    </row>
    <row r="7" spans="2:18">
      <c r="B7" s="1" t="s">
        <v>4</v>
      </c>
      <c r="C7" s="77">
        <v>14433</v>
      </c>
      <c r="D7" s="1" t="s">
        <v>1495</v>
      </c>
    </row>
    <row r="8" spans="2:18">
      <c r="B8" s="1" t="s">
        <v>5</v>
      </c>
      <c r="C8" s="77">
        <f>C5-C6+C7</f>
        <v>86058.84</v>
      </c>
    </row>
    <row r="10" spans="2:18" ht="15">
      <c r="B10" s="2" t="s">
        <v>144</v>
      </c>
    </row>
    <row r="12" spans="2:18" ht="15">
      <c r="B12" s="1" t="s">
        <v>145</v>
      </c>
      <c r="F12" s="1" t="s">
        <v>6</v>
      </c>
      <c r="N12" s="1" t="s">
        <v>97</v>
      </c>
      <c r="Q12" s="2"/>
    </row>
    <row r="13" spans="2:18">
      <c r="B13" s="1" t="s">
        <v>146</v>
      </c>
      <c r="F13" s="1" t="s">
        <v>92</v>
      </c>
      <c r="N13" s="1" t="s">
        <v>8</v>
      </c>
      <c r="Q13" s="43" t="s">
        <v>155</v>
      </c>
    </row>
    <row r="14" spans="2:18">
      <c r="B14" s="1" t="s">
        <v>148</v>
      </c>
      <c r="F14" s="1" t="s">
        <v>7</v>
      </c>
      <c r="N14" s="1" t="s">
        <v>101</v>
      </c>
      <c r="Q14" s="43" t="s">
        <v>156</v>
      </c>
    </row>
    <row r="15" spans="2:18">
      <c r="B15" s="1" t="s">
        <v>147</v>
      </c>
      <c r="F15" s="1" t="s">
        <v>93</v>
      </c>
      <c r="O15" s="1" t="s">
        <v>100</v>
      </c>
      <c r="R15" s="43" t="s">
        <v>157</v>
      </c>
    </row>
    <row r="16" spans="2:18">
      <c r="B16" s="1" t="s">
        <v>149</v>
      </c>
      <c r="F16" s="1" t="s">
        <v>86</v>
      </c>
      <c r="G16" s="1" t="s">
        <v>153</v>
      </c>
      <c r="I16" s="1" t="s">
        <v>87</v>
      </c>
      <c r="N16" s="1" t="s">
        <v>89</v>
      </c>
      <c r="Q16" s="43" t="s">
        <v>158</v>
      </c>
    </row>
    <row r="17" spans="1:17">
      <c r="B17" s="1" t="s">
        <v>150</v>
      </c>
      <c r="N17" s="1" t="s">
        <v>90</v>
      </c>
      <c r="Q17" s="43" t="s">
        <v>159</v>
      </c>
    </row>
    <row r="18" spans="1:17">
      <c r="B18" s="1" t="s">
        <v>151</v>
      </c>
      <c r="N18" s="1" t="s">
        <v>102</v>
      </c>
      <c r="Q18" s="43" t="s">
        <v>160</v>
      </c>
    </row>
    <row r="19" spans="1:17">
      <c r="B19" s="1" t="s">
        <v>152</v>
      </c>
      <c r="N19" s="1" t="s">
        <v>103</v>
      </c>
      <c r="Q19" s="43" t="s">
        <v>161</v>
      </c>
    </row>
    <row r="20" spans="1:17">
      <c r="B20" s="1" t="s">
        <v>154</v>
      </c>
      <c r="N20" s="1" t="s">
        <v>9</v>
      </c>
      <c r="Q20" s="43" t="s">
        <v>91</v>
      </c>
    </row>
    <row r="21" spans="1:17">
      <c r="Q21" s="43"/>
    </row>
    <row r="22" spans="1:17" ht="15">
      <c r="A22" s="2" t="s">
        <v>10</v>
      </c>
      <c r="N22" s="2"/>
    </row>
    <row r="23" spans="1:17">
      <c r="B23" s="1" t="s">
        <v>162</v>
      </c>
    </row>
    <row r="24" spans="1:17">
      <c r="B24" s="1" t="s">
        <v>163</v>
      </c>
    </row>
    <row r="25" spans="1:17">
      <c r="C25" s="1" t="s">
        <v>164</v>
      </c>
    </row>
    <row r="26" spans="1:17">
      <c r="D26" s="1" t="s">
        <v>165</v>
      </c>
    </row>
    <row r="27" spans="1:17">
      <c r="E27" s="1" t="s">
        <v>220</v>
      </c>
    </row>
    <row r="28" spans="1:17">
      <c r="E28" s="1" t="s">
        <v>219</v>
      </c>
    </row>
    <row r="29" spans="1:17">
      <c r="E29" s="1" t="s">
        <v>218</v>
      </c>
    </row>
    <row r="30" spans="1:17">
      <c r="E30" s="1" t="s">
        <v>221</v>
      </c>
    </row>
    <row r="31" spans="1:17">
      <c r="E31" s="1" t="s">
        <v>222</v>
      </c>
    </row>
    <row r="32" spans="1:17">
      <c r="E32" s="1" t="s">
        <v>223</v>
      </c>
    </row>
    <row r="33" spans="1:5">
      <c r="E33" s="1" t="s">
        <v>224</v>
      </c>
    </row>
    <row r="34" spans="1:5">
      <c r="E34" s="1" t="s">
        <v>225</v>
      </c>
    </row>
    <row r="35" spans="1:5">
      <c r="E35" s="1" t="s">
        <v>226</v>
      </c>
    </row>
    <row r="36" spans="1:5">
      <c r="C36" s="1" t="s">
        <v>166</v>
      </c>
    </row>
    <row r="37" spans="1:5">
      <c r="D37" s="1" t="s">
        <v>167</v>
      </c>
    </row>
    <row r="38" spans="1:5">
      <c r="C38" s="1" t="s">
        <v>168</v>
      </c>
    </row>
    <row r="39" spans="1:5">
      <c r="C39" s="1" t="s">
        <v>169</v>
      </c>
    </row>
    <row r="40" spans="1:5">
      <c r="B40" s="1" t="s">
        <v>170</v>
      </c>
    </row>
    <row r="42" spans="1:5" ht="15">
      <c r="A42" s="2" t="s">
        <v>94</v>
      </c>
    </row>
    <row r="43" spans="1:5">
      <c r="B43" s="1" t="s">
        <v>95</v>
      </c>
    </row>
  </sheetData>
  <hyperlinks>
    <hyperlink ref="Q20" r:id="rId1" xr:uid="{14375537-5C3D-4253-9650-337AB6789785}"/>
    <hyperlink ref="Q14" r:id="rId2" xr:uid="{23A12D98-3A20-4A59-ACDC-4E315FED8631}"/>
    <hyperlink ref="Q13" r:id="rId3" xr:uid="{B9FA41E9-1E63-4CF9-9773-F7D3F134B6F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J104"/>
  <sheetViews>
    <sheetView zoomScale="85" zoomScaleNormal="85" workbookViewId="0">
      <pane xSplit="2" ySplit="3" topLeftCell="AG4" activePane="bottomRight" state="frozen"/>
      <selection pane="topRight" activeCell="C1" sqref="C1"/>
      <selection pane="bottomLeft" activeCell="A4" sqref="A4"/>
      <selection pane="bottomRight" activeCell="BE28" sqref="BE28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56" width="9.28515625" style="1" customWidth="1"/>
    <col min="57" max="57" width="9.28515625" style="35" customWidth="1"/>
    <col min="58" max="58" width="9.28515625" style="81" customWidth="1"/>
    <col min="59" max="77" width="9.28515625" style="1" customWidth="1"/>
    <col min="78" max="78" width="9.28515625" style="81" customWidth="1"/>
    <col min="79" max="102" width="9.28515625" style="35" customWidth="1"/>
    <col min="103" max="103" width="9.140625" style="35" customWidth="1"/>
    <col min="104" max="139" width="9.140625" style="35"/>
    <col min="140" max="16384" width="9.140625" style="1"/>
  </cols>
  <sheetData>
    <row r="1" spans="2:140" ht="15">
      <c r="B1" s="1" t="s">
        <v>50</v>
      </c>
      <c r="AE1" s="33" t="s">
        <v>44</v>
      </c>
      <c r="AI1" s="33" t="s">
        <v>45</v>
      </c>
      <c r="AM1" s="33" t="s">
        <v>46</v>
      </c>
      <c r="AQ1" s="33" t="s">
        <v>47</v>
      </c>
      <c r="AU1" s="33" t="s">
        <v>48</v>
      </c>
      <c r="AY1" s="33" t="s">
        <v>49</v>
      </c>
      <c r="BC1" s="33" t="s">
        <v>142</v>
      </c>
    </row>
    <row r="2" spans="2:140">
      <c r="B2" s="1" t="s">
        <v>51</v>
      </c>
    </row>
    <row r="3" spans="2:140" ht="15">
      <c r="B3" s="2" t="s">
        <v>52</v>
      </c>
      <c r="C3" s="2" t="str" cm="1">
        <f t="array" ref="C3:BF3">"Q"&amp;MOD(_xlfn.SEQUENCE(1,56)-1,4)+1&amp;" "&amp;(2013+INT((_xlfn.SEQUENCE(1,56)-1)/4))</f>
        <v>Q1 2013</v>
      </c>
      <c r="D3" s="33" t="str">
        <v>Q2 2013</v>
      </c>
      <c r="E3" s="33" t="str">
        <v>Q3 2013</v>
      </c>
      <c r="F3" s="33" t="str">
        <v>Q4 2013</v>
      </c>
      <c r="G3" s="33" t="str">
        <v>Q1 2014</v>
      </c>
      <c r="H3" s="33" t="str">
        <v>Q2 2014</v>
      </c>
      <c r="I3" s="33" t="str">
        <v>Q3 2014</v>
      </c>
      <c r="J3" s="33" t="str">
        <v>Q4 2014</v>
      </c>
      <c r="K3" s="33" t="str">
        <v>Q1 2015</v>
      </c>
      <c r="L3" s="33" t="str">
        <v>Q2 2015</v>
      </c>
      <c r="M3" s="33" t="str">
        <v>Q3 2015</v>
      </c>
      <c r="N3" s="33" t="str">
        <v>Q4 2015</v>
      </c>
      <c r="O3" s="33" t="str">
        <v>Q1 2016</v>
      </c>
      <c r="P3" s="33" t="str">
        <v>Q2 2016</v>
      </c>
      <c r="Q3" s="33" t="str">
        <v>Q3 2016</v>
      </c>
      <c r="R3" s="33" t="str">
        <v>Q4 2016</v>
      </c>
      <c r="S3" s="33" t="str">
        <v>Q1 2017</v>
      </c>
      <c r="T3" s="33" t="str">
        <v>Q2 2017</v>
      </c>
      <c r="U3" s="33" t="str">
        <v>Q3 2017</v>
      </c>
      <c r="V3" s="33" t="str">
        <v>Q4 2017</v>
      </c>
      <c r="W3" s="33" t="str">
        <v>Q1 2018</v>
      </c>
      <c r="X3" s="33" t="str">
        <v>Q2 2018</v>
      </c>
      <c r="Y3" s="33" t="str">
        <v>Q3 2018</v>
      </c>
      <c r="Z3" s="33" t="str">
        <v>Q4 2018</v>
      </c>
      <c r="AA3" s="33" t="str">
        <v>Q1 2019</v>
      </c>
      <c r="AB3" s="33" t="str">
        <v>Q2 2019</v>
      </c>
      <c r="AC3" s="33" t="str">
        <v>Q3 2019</v>
      </c>
      <c r="AD3" s="33" t="str">
        <v>Q4 2019</v>
      </c>
      <c r="AE3" s="33" t="str">
        <v>Q1 2020</v>
      </c>
      <c r="AF3" s="33" t="str">
        <v>Q2 2020</v>
      </c>
      <c r="AG3" s="33" t="str">
        <v>Q3 2020</v>
      </c>
      <c r="AH3" s="33" t="str">
        <v>Q4 2020</v>
      </c>
      <c r="AI3" s="33" t="str">
        <v>Q1 2021</v>
      </c>
      <c r="AJ3" s="33" t="str">
        <v>Q2 2021</v>
      </c>
      <c r="AK3" s="33" t="str">
        <v>Q3 2021</v>
      </c>
      <c r="AL3" s="33" t="str">
        <v>Q4 2021</v>
      </c>
      <c r="AM3" s="33" t="str">
        <v>Q1 2022</v>
      </c>
      <c r="AN3" s="33" t="str">
        <v>Q2 2022</v>
      </c>
      <c r="AO3" s="33" t="str">
        <v>Q3 2022</v>
      </c>
      <c r="AP3" s="33" t="str">
        <v>Q4 2022</v>
      </c>
      <c r="AQ3" s="33" t="str">
        <v>Q1 2023</v>
      </c>
      <c r="AR3" s="33" t="str">
        <v>Q2 2023</v>
      </c>
      <c r="AS3" s="33" t="str">
        <v>Q3 2023</v>
      </c>
      <c r="AT3" s="33" t="str">
        <v>Q4 2023</v>
      </c>
      <c r="AU3" s="33" t="str">
        <v>Q1 2024</v>
      </c>
      <c r="AV3" s="33" t="str">
        <v>Q2 2024</v>
      </c>
      <c r="AW3" s="33" t="str">
        <v>Q3 2024</v>
      </c>
      <c r="AX3" s="33" t="str">
        <v>Q4 2024</v>
      </c>
      <c r="AY3" s="33" t="str">
        <v>Q1 2025</v>
      </c>
      <c r="AZ3" s="33" t="str">
        <v>Q2 2025</v>
      </c>
      <c r="BA3" s="33" t="str">
        <v>Q3 2025</v>
      </c>
      <c r="BB3" s="33" t="str">
        <v>Q4 2025</v>
      </c>
      <c r="BC3" s="33" t="str">
        <v>Q1 2026</v>
      </c>
      <c r="BD3" s="33" t="str">
        <v>Q2 2026</v>
      </c>
      <c r="BE3" s="33" t="str">
        <v>Q3 2026</v>
      </c>
      <c r="BF3" s="34" t="str">
        <v>Q4 2026</v>
      </c>
      <c r="BM3" s="2">
        <v>2013</v>
      </c>
      <c r="BN3" s="2">
        <f t="shared" ref="BN3:DV3" si="0">BM3+1</f>
        <v>2014</v>
      </c>
      <c r="BO3" s="2">
        <f t="shared" si="0"/>
        <v>2015</v>
      </c>
      <c r="BP3" s="2">
        <f t="shared" si="0"/>
        <v>2016</v>
      </c>
      <c r="BQ3" s="2">
        <f t="shared" si="0"/>
        <v>2017</v>
      </c>
      <c r="BR3" s="2">
        <f t="shared" si="0"/>
        <v>2018</v>
      </c>
      <c r="BS3" s="2">
        <f t="shared" si="0"/>
        <v>2019</v>
      </c>
      <c r="BT3" s="2">
        <f t="shared" si="0"/>
        <v>2020</v>
      </c>
      <c r="BU3" s="2">
        <f t="shared" si="0"/>
        <v>2021</v>
      </c>
      <c r="BV3" s="2">
        <f t="shared" si="0"/>
        <v>2022</v>
      </c>
      <c r="BW3" s="2">
        <f t="shared" si="0"/>
        <v>2023</v>
      </c>
      <c r="BX3" s="2">
        <f t="shared" si="0"/>
        <v>2024</v>
      </c>
      <c r="BY3" s="2">
        <f t="shared" si="0"/>
        <v>2025</v>
      </c>
      <c r="BZ3" s="34">
        <f>BY3+1</f>
        <v>2026</v>
      </c>
      <c r="CA3" s="34">
        <f t="shared" si="0"/>
        <v>2027</v>
      </c>
      <c r="CB3" s="34">
        <f t="shared" si="0"/>
        <v>2028</v>
      </c>
      <c r="CC3" s="34">
        <f t="shared" si="0"/>
        <v>2029</v>
      </c>
      <c r="CD3" s="34">
        <f t="shared" si="0"/>
        <v>2030</v>
      </c>
      <c r="CE3" s="34">
        <f t="shared" si="0"/>
        <v>2031</v>
      </c>
      <c r="CF3" s="34">
        <f t="shared" si="0"/>
        <v>2032</v>
      </c>
      <c r="CG3" s="34">
        <f t="shared" si="0"/>
        <v>2033</v>
      </c>
      <c r="CH3" s="34">
        <f t="shared" si="0"/>
        <v>2034</v>
      </c>
      <c r="CI3" s="34">
        <f t="shared" si="0"/>
        <v>2035</v>
      </c>
      <c r="CJ3" s="34">
        <f t="shared" si="0"/>
        <v>2036</v>
      </c>
      <c r="CK3" s="34">
        <f t="shared" si="0"/>
        <v>2037</v>
      </c>
      <c r="CL3" s="34">
        <f t="shared" si="0"/>
        <v>2038</v>
      </c>
      <c r="CM3" s="34">
        <f t="shared" si="0"/>
        <v>2039</v>
      </c>
      <c r="CN3" s="34">
        <f t="shared" si="0"/>
        <v>2040</v>
      </c>
      <c r="CO3" s="34">
        <f t="shared" si="0"/>
        <v>2041</v>
      </c>
      <c r="CP3" s="34">
        <f t="shared" si="0"/>
        <v>2042</v>
      </c>
      <c r="CQ3" s="34">
        <f t="shared" si="0"/>
        <v>2043</v>
      </c>
      <c r="CR3" s="34">
        <f t="shared" si="0"/>
        <v>2044</v>
      </c>
      <c r="CS3" s="34">
        <f t="shared" si="0"/>
        <v>2045</v>
      </c>
      <c r="CT3" s="34">
        <f t="shared" si="0"/>
        <v>2046</v>
      </c>
      <c r="CU3" s="34">
        <f t="shared" si="0"/>
        <v>2047</v>
      </c>
      <c r="CV3" s="34">
        <f t="shared" si="0"/>
        <v>2048</v>
      </c>
      <c r="CW3" s="34">
        <f t="shared" si="0"/>
        <v>2049</v>
      </c>
      <c r="CX3" s="34">
        <f t="shared" si="0"/>
        <v>2050</v>
      </c>
      <c r="CY3" s="34">
        <f t="shared" si="0"/>
        <v>2051</v>
      </c>
      <c r="CZ3" s="34">
        <f t="shared" si="0"/>
        <v>2052</v>
      </c>
      <c r="DA3" s="34">
        <f t="shared" si="0"/>
        <v>2053</v>
      </c>
      <c r="DB3" s="34">
        <f t="shared" si="0"/>
        <v>2054</v>
      </c>
      <c r="DC3" s="34">
        <f t="shared" si="0"/>
        <v>2055</v>
      </c>
      <c r="DD3" s="34">
        <f t="shared" si="0"/>
        <v>2056</v>
      </c>
      <c r="DE3" s="34">
        <f t="shared" si="0"/>
        <v>2057</v>
      </c>
      <c r="DF3" s="34">
        <f t="shared" si="0"/>
        <v>2058</v>
      </c>
      <c r="DG3" s="34">
        <f t="shared" si="0"/>
        <v>2059</v>
      </c>
      <c r="DH3" s="34">
        <f t="shared" si="0"/>
        <v>2060</v>
      </c>
      <c r="DI3" s="34">
        <f t="shared" si="0"/>
        <v>2061</v>
      </c>
      <c r="DJ3" s="34">
        <f t="shared" si="0"/>
        <v>2062</v>
      </c>
      <c r="DK3" s="34">
        <f t="shared" si="0"/>
        <v>2063</v>
      </c>
      <c r="DL3" s="34">
        <f t="shared" si="0"/>
        <v>2064</v>
      </c>
      <c r="DM3" s="34">
        <f t="shared" si="0"/>
        <v>2065</v>
      </c>
      <c r="DN3" s="34">
        <f t="shared" si="0"/>
        <v>2066</v>
      </c>
      <c r="DO3" s="34">
        <f t="shared" si="0"/>
        <v>2067</v>
      </c>
      <c r="DP3" s="34">
        <f t="shared" si="0"/>
        <v>2068</v>
      </c>
      <c r="DQ3" s="34">
        <f t="shared" si="0"/>
        <v>2069</v>
      </c>
      <c r="DR3" s="34">
        <f t="shared" si="0"/>
        <v>2070</v>
      </c>
      <c r="DS3" s="34">
        <f t="shared" si="0"/>
        <v>2071</v>
      </c>
      <c r="DT3" s="34">
        <f t="shared" si="0"/>
        <v>2072</v>
      </c>
      <c r="DU3" s="34">
        <f t="shared" si="0"/>
        <v>2073</v>
      </c>
      <c r="DV3" s="34">
        <f t="shared" si="0"/>
        <v>2074</v>
      </c>
      <c r="DW3" s="34">
        <f t="shared" ref="DW3:EG3" si="1">DV3+1</f>
        <v>2075</v>
      </c>
      <c r="DX3" s="34">
        <f t="shared" si="1"/>
        <v>2076</v>
      </c>
      <c r="DY3" s="34">
        <f t="shared" si="1"/>
        <v>2077</v>
      </c>
      <c r="DZ3" s="34">
        <f t="shared" si="1"/>
        <v>2078</v>
      </c>
      <c r="EA3" s="34">
        <f t="shared" si="1"/>
        <v>2079</v>
      </c>
      <c r="EB3" s="34">
        <f t="shared" si="1"/>
        <v>2080</v>
      </c>
      <c r="EC3" s="34">
        <f t="shared" si="1"/>
        <v>2081</v>
      </c>
      <c r="ED3" s="34">
        <f t="shared" si="1"/>
        <v>2082</v>
      </c>
      <c r="EE3" s="34">
        <f t="shared" si="1"/>
        <v>2083</v>
      </c>
      <c r="EF3" s="34">
        <f t="shared" si="1"/>
        <v>2084</v>
      </c>
      <c r="EG3" s="34">
        <f t="shared" si="1"/>
        <v>2085</v>
      </c>
      <c r="EH3" s="34"/>
      <c r="EI3" s="34"/>
      <c r="EJ3" s="2"/>
    </row>
    <row r="4" spans="2:140">
      <c r="B4" s="36" t="s">
        <v>171</v>
      </c>
      <c r="AI4" s="1">
        <v>2990</v>
      </c>
      <c r="AJ4" s="1">
        <v>2913</v>
      </c>
      <c r="AK4" s="1">
        <v>2725</v>
      </c>
      <c r="AL4" s="1">
        <f>11259-SUM(AI4:AK4)</f>
        <v>2631</v>
      </c>
      <c r="AM4" s="1">
        <v>2703</v>
      </c>
      <c r="AN4" s="1">
        <v>2534</v>
      </c>
      <c r="AO4" s="1">
        <v>2537</v>
      </c>
      <c r="AP4" s="1">
        <f>10531-SUM(AM4:AO4)</f>
        <v>2757</v>
      </c>
      <c r="AQ4" s="1">
        <v>2515</v>
      </c>
      <c r="AR4" s="1">
        <v>2595</v>
      </c>
      <c r="AS4" s="1">
        <v>2766</v>
      </c>
      <c r="AT4" s="1">
        <f>11164-SUM(AQ4:AS4)</f>
        <v>3288</v>
      </c>
      <c r="AU4" s="1">
        <v>3044</v>
      </c>
      <c r="AV4" s="1">
        <v>3060</v>
      </c>
      <c r="AW4" s="1">
        <v>2961</v>
      </c>
      <c r="AX4" s="1">
        <f>12396-SUM(AU4:AW4)</f>
        <v>3331</v>
      </c>
      <c r="AY4" s="1">
        <v>2814</v>
      </c>
      <c r="AZ4" s="1">
        <v>3114</v>
      </c>
      <c r="BA4" s="1">
        <v>3142</v>
      </c>
      <c r="BB4" s="1">
        <f>12992-SUM(AY4:BA4)</f>
        <v>3922</v>
      </c>
      <c r="BC4" s="1">
        <v>3283</v>
      </c>
      <c r="BD4" s="1">
        <v>3519</v>
      </c>
      <c r="BE4" s="1">
        <v>3575</v>
      </c>
      <c r="BF4" s="63"/>
      <c r="BU4" s="1">
        <f t="shared" ref="BU4:BU9" si="2">SUM(AI4:AL4)</f>
        <v>11259</v>
      </c>
      <c r="BV4" s="1">
        <f t="shared" ref="BV4:BV9" si="3">SUM(AM4:AP4)</f>
        <v>10531</v>
      </c>
      <c r="BW4" s="1">
        <f t="shared" ref="BW4:BW9" si="4">SUM(AQ4:AT4)</f>
        <v>11164</v>
      </c>
      <c r="BX4" s="1">
        <f t="shared" ref="BX4:BX9" si="5">SUM(AU4:AX4)</f>
        <v>12396</v>
      </c>
      <c r="BY4" s="1">
        <f t="shared" ref="BY4:BY9" si="6">SUM(AY4:BB4)</f>
        <v>12992</v>
      </c>
      <c r="BZ4" s="63">
        <f t="shared" ref="BZ4:CI4" si="7">BY4*(1+BZ11)</f>
        <v>14810.880000000001</v>
      </c>
      <c r="CA4" s="63">
        <f t="shared" si="7"/>
        <v>16440.076800000003</v>
      </c>
      <c r="CB4" s="63">
        <f t="shared" si="7"/>
        <v>17426.481408000003</v>
      </c>
      <c r="CC4" s="63">
        <f t="shared" si="7"/>
        <v>17949.275850240003</v>
      </c>
      <c r="CD4" s="63">
        <f t="shared" si="7"/>
        <v>18398.007746496001</v>
      </c>
      <c r="CE4" s="63">
        <f t="shared" si="7"/>
        <v>18811.962920792161</v>
      </c>
      <c r="CF4" s="63">
        <f t="shared" si="7"/>
        <v>19188.202179208005</v>
      </c>
      <c r="CG4" s="63">
        <f t="shared" si="7"/>
        <v>19523.995717344147</v>
      </c>
      <c r="CH4" s="63">
        <f t="shared" si="7"/>
        <v>19855.903644538997</v>
      </c>
      <c r="CI4" s="63">
        <f t="shared" si="7"/>
        <v>20183.52605467389</v>
      </c>
    </row>
    <row r="5" spans="2:140">
      <c r="B5" s="36" t="s">
        <v>172</v>
      </c>
      <c r="AI5" s="1">
        <v>1562</v>
      </c>
      <c r="AJ5" s="1">
        <v>1427</v>
      </c>
      <c r="AK5" s="1">
        <v>1409</v>
      </c>
      <c r="AL5" s="1">
        <f>5776-SUM(AI5:AK5)</f>
        <v>1378</v>
      </c>
      <c r="AM5" s="1">
        <v>1283</v>
      </c>
      <c r="AN5" s="1">
        <v>1294</v>
      </c>
      <c r="AO5" s="1">
        <v>1345</v>
      </c>
      <c r="AP5" s="1">
        <f>5579-SUM(AM5:AO5)</f>
        <v>1657</v>
      </c>
      <c r="AQ5" s="1">
        <v>1376</v>
      </c>
      <c r="AR5" s="1">
        <v>1420</v>
      </c>
      <c r="AS5" s="1">
        <v>2050</v>
      </c>
      <c r="AT5" s="1">
        <f>7185-SUM(AQ5:AS5)</f>
        <v>2339</v>
      </c>
      <c r="AU5" s="1">
        <v>1737</v>
      </c>
      <c r="AV5" s="1">
        <v>1859</v>
      </c>
      <c r="AW5" s="1">
        <v>1800</v>
      </c>
      <c r="AX5" s="1">
        <f>7399-SUM(AU5:AW5)</f>
        <v>2003</v>
      </c>
      <c r="AY5" s="1">
        <v>1805</v>
      </c>
      <c r="AZ5" s="1">
        <v>1991</v>
      </c>
      <c r="BA5" s="1">
        <v>2059</v>
      </c>
      <c r="BB5" s="1">
        <f>8002-SUM(AY5:BA5)</f>
        <v>2147</v>
      </c>
      <c r="BC5" s="1">
        <v>1899</v>
      </c>
      <c r="BD5" s="1">
        <v>2093</v>
      </c>
      <c r="BE5" s="1">
        <v>2307</v>
      </c>
      <c r="BF5" s="63"/>
      <c r="BU5" s="1">
        <f t="shared" si="2"/>
        <v>5776</v>
      </c>
      <c r="BV5" s="1">
        <f t="shared" si="3"/>
        <v>5579</v>
      </c>
      <c r="BW5" s="1">
        <f t="shared" si="4"/>
        <v>7185</v>
      </c>
      <c r="BX5" s="1">
        <f t="shared" si="5"/>
        <v>7399</v>
      </c>
      <c r="BY5" s="1">
        <f t="shared" si="6"/>
        <v>8002</v>
      </c>
      <c r="BZ5" s="63">
        <f t="shared" ref="BZ5:CI5" si="8">BY5*(1+BZ12)</f>
        <v>8602.15</v>
      </c>
      <c r="CA5" s="63">
        <f t="shared" si="8"/>
        <v>9032.2574999999997</v>
      </c>
      <c r="CB5" s="63">
        <f t="shared" si="8"/>
        <v>9393.5478000000003</v>
      </c>
      <c r="CC5" s="63">
        <f t="shared" si="8"/>
        <v>9722.3219730000001</v>
      </c>
      <c r="CD5" s="63">
        <f t="shared" si="8"/>
        <v>10013.99163219</v>
      </c>
      <c r="CE5" s="63">
        <f t="shared" si="8"/>
        <v>10289.376402075226</v>
      </c>
      <c r="CF5" s="63">
        <f t="shared" si="8"/>
        <v>10546.610812127106</v>
      </c>
      <c r="CG5" s="63">
        <f t="shared" si="8"/>
        <v>10783.909555399965</v>
      </c>
      <c r="CH5" s="63">
        <f t="shared" si="8"/>
        <v>10999.587746507965</v>
      </c>
      <c r="CI5" s="63">
        <f t="shared" si="8"/>
        <v>11219.579501438124</v>
      </c>
    </row>
    <row r="6" spans="2:140">
      <c r="B6" s="36" t="s">
        <v>173</v>
      </c>
      <c r="AI6" s="1">
        <v>2589</v>
      </c>
      <c r="AJ6" s="1">
        <v>2588</v>
      </c>
      <c r="AK6" s="1">
        <v>2436</v>
      </c>
      <c r="AL6" s="1">
        <f>10134-SUM(AI6:AK6)</f>
        <v>2521</v>
      </c>
      <c r="AM6" s="1">
        <v>2497</v>
      </c>
      <c r="AN6" s="1">
        <v>2516</v>
      </c>
      <c r="AO6" s="1">
        <v>2456</v>
      </c>
      <c r="AP6" s="1">
        <f>10396-SUM(AM6:AO6)</f>
        <v>2927</v>
      </c>
      <c r="AQ6" s="1">
        <v>2563</v>
      </c>
      <c r="AR6" s="1">
        <v>2641</v>
      </c>
      <c r="AS6" s="1">
        <v>2628</v>
      </c>
      <c r="AT6" s="1">
        <f>10895-SUM(AQ6:AS6)</f>
        <v>3063</v>
      </c>
      <c r="AU6" s="1">
        <v>2659</v>
      </c>
      <c r="AV6" s="1">
        <v>2773</v>
      </c>
      <c r="AW6" s="1">
        <v>2823</v>
      </c>
      <c r="AX6" s="1">
        <f>11399-SUM(AU6:AW6)</f>
        <v>3144</v>
      </c>
      <c r="AY6" s="1">
        <v>2807</v>
      </c>
      <c r="AZ6" s="1">
        <v>3157</v>
      </c>
      <c r="BA6" s="1">
        <v>3093</v>
      </c>
      <c r="BB6" s="1">
        <f>12506-SUM(AY6:BA6)</f>
        <v>3449</v>
      </c>
      <c r="BC6" s="1">
        <v>2861</v>
      </c>
      <c r="BD6" s="1">
        <v>3250</v>
      </c>
      <c r="BE6" s="1">
        <v>3155</v>
      </c>
      <c r="BF6" s="63"/>
      <c r="BU6" s="1">
        <f t="shared" si="2"/>
        <v>10134</v>
      </c>
      <c r="BV6" s="1">
        <f t="shared" si="3"/>
        <v>10396</v>
      </c>
      <c r="BW6" s="1">
        <f t="shared" si="4"/>
        <v>10895</v>
      </c>
      <c r="BX6" s="1">
        <f t="shared" si="5"/>
        <v>11399</v>
      </c>
      <c r="BY6" s="1">
        <f t="shared" si="6"/>
        <v>12506</v>
      </c>
      <c r="BZ6" s="63">
        <f t="shared" ref="BZ6:CI6" si="9">BY6*(1+BZ13)</f>
        <v>12881.18</v>
      </c>
      <c r="CA6" s="63">
        <f t="shared" si="9"/>
        <v>13254.734219999998</v>
      </c>
      <c r="CB6" s="63">
        <f t="shared" si="9"/>
        <v>13625.866778159998</v>
      </c>
      <c r="CC6" s="63">
        <f t="shared" si="9"/>
        <v>13993.765181170316</v>
      </c>
      <c r="CD6" s="63">
        <f t="shared" si="9"/>
        <v>14357.603075880745</v>
      </c>
      <c r="CE6" s="63">
        <f t="shared" si="9"/>
        <v>14716.543152777762</v>
      </c>
      <c r="CF6" s="63">
        <f t="shared" si="9"/>
        <v>15069.740188444428</v>
      </c>
      <c r="CG6" s="63">
        <f t="shared" si="9"/>
        <v>15416.344212778649</v>
      </c>
      <c r="CH6" s="63">
        <f t="shared" si="9"/>
        <v>15755.503785459779</v>
      </c>
      <c r="CI6" s="63">
        <f t="shared" si="9"/>
        <v>16086.369364954433</v>
      </c>
    </row>
    <row r="7" spans="2:140">
      <c r="B7" s="36" t="s">
        <v>174</v>
      </c>
      <c r="AI7" s="1">
        <v>2521</v>
      </c>
      <c r="AJ7" s="1">
        <v>2748</v>
      </c>
      <c r="AK7" s="1">
        <v>2681</v>
      </c>
      <c r="AL7" s="1">
        <f>10608-SUM(AI7:AK7)</f>
        <v>2658</v>
      </c>
      <c r="AM7" s="1">
        <v>2855</v>
      </c>
      <c r="AN7" s="1">
        <v>2979</v>
      </c>
      <c r="AO7" s="1">
        <v>3163</v>
      </c>
      <c r="AP7" s="1">
        <f>12275-SUM(AM7:AO7)</f>
        <v>3278</v>
      </c>
      <c r="AQ7" s="1">
        <v>3350</v>
      </c>
      <c r="AR7" s="1">
        <v>3488</v>
      </c>
      <c r="AS7" s="1">
        <v>2953</v>
      </c>
      <c r="AT7" s="1">
        <f>11873-SUM(AQ7:AS7)</f>
        <v>2082</v>
      </c>
      <c r="AU7" s="1">
        <v>3149</v>
      </c>
      <c r="AV7" s="1">
        <v>3002</v>
      </c>
      <c r="AW7" s="1">
        <v>2870</v>
      </c>
      <c r="AX7" s="1">
        <f>11731-SUM(AU7:AW7)</f>
        <v>2710</v>
      </c>
      <c r="AY7" s="1">
        <v>2568</v>
      </c>
      <c r="AZ7" s="1">
        <v>2646</v>
      </c>
      <c r="BA7" s="1">
        <v>2698</v>
      </c>
      <c r="BB7" s="1">
        <f>10771-SUM(AY7:BA7)</f>
        <v>2859</v>
      </c>
      <c r="BC7" s="1">
        <v>2480</v>
      </c>
      <c r="BD7" s="1">
        <v>2753</v>
      </c>
      <c r="BE7" s="1">
        <v>2749</v>
      </c>
      <c r="BF7" s="63"/>
      <c r="BU7" s="1">
        <f t="shared" si="2"/>
        <v>10608</v>
      </c>
      <c r="BV7" s="1">
        <f t="shared" si="3"/>
        <v>12275</v>
      </c>
      <c r="BW7" s="1">
        <f t="shared" si="4"/>
        <v>11873</v>
      </c>
      <c r="BX7" s="1">
        <f t="shared" si="5"/>
        <v>11731</v>
      </c>
      <c r="BY7" s="1">
        <f t="shared" si="6"/>
        <v>10771</v>
      </c>
      <c r="BZ7" s="63">
        <f t="shared" ref="BZ7:CI7" si="10">BY7*(1+BZ14)</f>
        <v>10878.710000000001</v>
      </c>
      <c r="CA7" s="63">
        <f t="shared" si="10"/>
        <v>11205.071300000001</v>
      </c>
      <c r="CB7" s="63">
        <f t="shared" si="10"/>
        <v>11765.324865000002</v>
      </c>
      <c r="CC7" s="63">
        <f t="shared" si="10"/>
        <v>12294.764483925002</v>
      </c>
      <c r="CD7" s="63">
        <f t="shared" si="10"/>
        <v>12786.555063282003</v>
      </c>
      <c r="CE7" s="63">
        <f t="shared" si="10"/>
        <v>13234.084490496873</v>
      </c>
      <c r="CF7" s="63">
        <f t="shared" si="10"/>
        <v>13631.107025211779</v>
      </c>
      <c r="CG7" s="63">
        <f t="shared" si="10"/>
        <v>13971.884700842073</v>
      </c>
      <c r="CH7" s="63">
        <f t="shared" si="10"/>
        <v>14251.322394858915</v>
      </c>
      <c r="CI7" s="63">
        <f t="shared" si="10"/>
        <v>14465.092230781796</v>
      </c>
    </row>
    <row r="8" spans="2:140">
      <c r="B8" s="36" t="s">
        <v>191</v>
      </c>
      <c r="AI8" s="1">
        <f>-44-185-237-39</f>
        <v>-505</v>
      </c>
      <c r="AJ8" s="1">
        <f>-45-195-254-31</f>
        <v>-525</v>
      </c>
      <c r="AK8" s="1">
        <f>-48-206-244-33</f>
        <v>-531</v>
      </c>
      <c r="AL8" s="1">
        <f>-189-789-993-139-SUM(AI8:AK8)</f>
        <v>-549</v>
      </c>
      <c r="AM8" s="1">
        <f>-65-199-246-31</f>
        <v>-541</v>
      </c>
      <c r="AN8" s="1">
        <f>-58-174-259-31</f>
        <v>-522</v>
      </c>
      <c r="AO8" s="1">
        <f>-58-194-250-28</f>
        <v>-530</v>
      </c>
      <c r="AP8" s="1">
        <f>-239-806-1015-119-SUM(AM8:AO8)</f>
        <v>-586</v>
      </c>
      <c r="AQ8" s="1">
        <f>-65-169-237-32</f>
        <v>-503</v>
      </c>
      <c r="AR8" s="1">
        <f>-64-195-283-26</f>
        <v>-568</v>
      </c>
      <c r="AS8" s="1">
        <f>-54-197-263-108</f>
        <v>-622</v>
      </c>
      <c r="AT8" s="1">
        <f>-139-151-1054-483-SUM(AQ8:AS8)</f>
        <v>-134</v>
      </c>
      <c r="AU8" s="1">
        <f>-32-42-277-105</f>
        <v>-456</v>
      </c>
      <c r="AV8" s="1">
        <f>-34-45-297-100</f>
        <v>-476</v>
      </c>
      <c r="AW8" s="1">
        <f>-33-43-275-107</f>
        <v>-458</v>
      </c>
      <c r="AX8" s="1">
        <f>-132-171-1177-412-SUM(AU8:AW8)</f>
        <v>-502</v>
      </c>
      <c r="AY8" s="1">
        <f>-41-45-335-105</f>
        <v>-526</v>
      </c>
      <c r="AZ8" s="1">
        <f>-38-53-341-125</f>
        <v>-557</v>
      </c>
      <c r="BA8" s="1">
        <f>-42-51-339-137</f>
        <v>-569</v>
      </c>
      <c r="BB8" s="1">
        <f>-167-210-1434-506-SUM(AY8:BA8)</f>
        <v>-665</v>
      </c>
      <c r="BC8" s="1">
        <f>-34-52-385-171</f>
        <v>-642</v>
      </c>
      <c r="BD8" s="1">
        <f>-41-55-464-179</f>
        <v>-739</v>
      </c>
      <c r="BE8" s="1">
        <v>-664</v>
      </c>
      <c r="BF8" s="63"/>
      <c r="BU8" s="1">
        <f t="shared" si="2"/>
        <v>-2110</v>
      </c>
      <c r="BV8" s="1">
        <f t="shared" si="3"/>
        <v>-2179</v>
      </c>
      <c r="BW8" s="1">
        <f t="shared" si="4"/>
        <v>-1827</v>
      </c>
      <c r="BX8" s="1">
        <f t="shared" si="5"/>
        <v>-1892</v>
      </c>
      <c r="BY8" s="1">
        <f t="shared" si="6"/>
        <v>-2317</v>
      </c>
      <c r="BZ8" s="63">
        <f>BY8*(1+BZ15)</f>
        <v>-2896.25</v>
      </c>
      <c r="CA8" s="63">
        <f t="shared" ref="CA8:CI8" si="11">BZ8*(1+CA15)</f>
        <v>-2954.1750000000002</v>
      </c>
      <c r="CB8" s="63">
        <f t="shared" si="11"/>
        <v>-3013.2585000000004</v>
      </c>
      <c r="CC8" s="63">
        <f t="shared" si="11"/>
        <v>-3073.5236700000005</v>
      </c>
      <c r="CD8" s="63">
        <f t="shared" si="11"/>
        <v>-3134.9941434000007</v>
      </c>
      <c r="CE8" s="63">
        <f t="shared" si="11"/>
        <v>-3197.6940262680009</v>
      </c>
      <c r="CF8" s="63">
        <f t="shared" si="11"/>
        <v>-3261.647906793361</v>
      </c>
      <c r="CG8" s="63">
        <f t="shared" si="11"/>
        <v>-3326.8808649292282</v>
      </c>
      <c r="CH8" s="63">
        <f t="shared" si="11"/>
        <v>-3393.418482227813</v>
      </c>
      <c r="CI8" s="63">
        <f t="shared" si="11"/>
        <v>-3461.2868518723694</v>
      </c>
    </row>
    <row r="9" spans="2:140" s="2" customFormat="1" ht="15">
      <c r="B9" s="33" t="s">
        <v>53</v>
      </c>
      <c r="AI9" s="2">
        <f t="shared" ref="AI9:BC9" si="12">SUM(AI4:AI7)+AI8</f>
        <v>9157</v>
      </c>
      <c r="AJ9" s="2">
        <f t="shared" si="12"/>
        <v>9151</v>
      </c>
      <c r="AK9" s="2">
        <f t="shared" si="12"/>
        <v>8720</v>
      </c>
      <c r="AL9" s="2">
        <f t="shared" si="12"/>
        <v>8639</v>
      </c>
      <c r="AM9" s="2">
        <f t="shared" si="12"/>
        <v>8797</v>
      </c>
      <c r="AN9" s="2">
        <f t="shared" si="12"/>
        <v>8801</v>
      </c>
      <c r="AO9" s="2">
        <f t="shared" si="12"/>
        <v>8971</v>
      </c>
      <c r="AP9" s="2">
        <f t="shared" si="12"/>
        <v>10033</v>
      </c>
      <c r="AQ9" s="2">
        <f t="shared" si="12"/>
        <v>9301</v>
      </c>
      <c r="AR9" s="2">
        <f t="shared" si="12"/>
        <v>9576</v>
      </c>
      <c r="AS9" s="2">
        <f t="shared" si="12"/>
        <v>9775</v>
      </c>
      <c r="AT9" s="2">
        <f t="shared" si="12"/>
        <v>10638</v>
      </c>
      <c r="AU9" s="2">
        <f t="shared" si="12"/>
        <v>10133</v>
      </c>
      <c r="AV9" s="2">
        <f t="shared" si="12"/>
        <v>10218</v>
      </c>
      <c r="AW9" s="2">
        <f t="shared" si="12"/>
        <v>9996</v>
      </c>
      <c r="AX9" s="2">
        <f t="shared" si="12"/>
        <v>10686</v>
      </c>
      <c r="AY9" s="2">
        <f t="shared" si="12"/>
        <v>9468</v>
      </c>
      <c r="AZ9" s="2">
        <f t="shared" si="12"/>
        <v>10351</v>
      </c>
      <c r="BA9" s="2">
        <f t="shared" si="12"/>
        <v>10423</v>
      </c>
      <c r="BB9" s="2">
        <f t="shared" si="12"/>
        <v>11712</v>
      </c>
      <c r="BC9" s="2">
        <f t="shared" si="12"/>
        <v>9881</v>
      </c>
      <c r="BD9" s="2">
        <f>SUM(BD4:BD7)+BD8</f>
        <v>10876</v>
      </c>
      <c r="BE9" s="2">
        <f>SUM(BE4:BE7)+BE8</f>
        <v>11122</v>
      </c>
      <c r="BF9" s="88"/>
      <c r="BU9" s="2">
        <f t="shared" si="2"/>
        <v>35667</v>
      </c>
      <c r="BV9" s="2">
        <f t="shared" si="3"/>
        <v>36602</v>
      </c>
      <c r="BW9" s="2">
        <f t="shared" si="4"/>
        <v>39290</v>
      </c>
      <c r="BX9" s="2">
        <f t="shared" si="5"/>
        <v>41033</v>
      </c>
      <c r="BY9" s="2">
        <f t="shared" si="6"/>
        <v>41954</v>
      </c>
      <c r="BZ9" s="88">
        <f>SUM(BZ4:BZ8)</f>
        <v>44276.67</v>
      </c>
      <c r="CA9" s="88">
        <f t="shared" ref="CA9:CI9" si="13">SUM(CA4:CA8)</f>
        <v>46977.964820000001</v>
      </c>
      <c r="CB9" s="88">
        <f t="shared" si="13"/>
        <v>49197.96235116</v>
      </c>
      <c r="CC9" s="88">
        <f t="shared" si="13"/>
        <v>50886.603818335316</v>
      </c>
      <c r="CD9" s="88">
        <f t="shared" si="13"/>
        <v>52421.163374448748</v>
      </c>
      <c r="CE9" s="88">
        <f t="shared" si="13"/>
        <v>53854.272939874019</v>
      </c>
      <c r="CF9" s="88">
        <f t="shared" si="13"/>
        <v>55174.012298197958</v>
      </c>
      <c r="CG9" s="88">
        <f t="shared" si="13"/>
        <v>56369.253321435608</v>
      </c>
      <c r="CH9" s="88">
        <f t="shared" si="13"/>
        <v>57468.899089137842</v>
      </c>
      <c r="CI9" s="88">
        <f t="shared" si="13"/>
        <v>58493.280299975871</v>
      </c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</row>
    <row r="10" spans="2:140">
      <c r="B10" s="36"/>
      <c r="BE10" s="1"/>
      <c r="BF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</row>
    <row r="11" spans="2:140">
      <c r="B11" s="36" t="s">
        <v>175</v>
      </c>
      <c r="AM11" s="79">
        <f t="shared" ref="AM11:BC11" si="14">AM4/AI4-1</f>
        <v>-9.5986622073578554E-2</v>
      </c>
      <c r="AN11" s="79">
        <f t="shared" si="14"/>
        <v>-0.13010641949879853</v>
      </c>
      <c r="AO11" s="79">
        <f t="shared" si="14"/>
        <v>-6.8990825688073354E-2</v>
      </c>
      <c r="AP11" s="79">
        <f t="shared" si="14"/>
        <v>4.7890535917902044E-2</v>
      </c>
      <c r="AQ11" s="79">
        <f t="shared" si="14"/>
        <v>-6.9552349241583378E-2</v>
      </c>
      <c r="AR11" s="79">
        <f t="shared" si="14"/>
        <v>2.4072612470402488E-2</v>
      </c>
      <c r="AS11" s="79">
        <f t="shared" si="14"/>
        <v>9.0264091446590422E-2</v>
      </c>
      <c r="AT11" s="79">
        <f t="shared" si="14"/>
        <v>0.19260065288356909</v>
      </c>
      <c r="AU11" s="79">
        <f t="shared" si="14"/>
        <v>0.21033797216699801</v>
      </c>
      <c r="AV11" s="79">
        <f t="shared" si="14"/>
        <v>0.17919075144508678</v>
      </c>
      <c r="AW11" s="79">
        <f t="shared" si="14"/>
        <v>7.0498915401301598E-2</v>
      </c>
      <c r="AX11" s="79">
        <f t="shared" si="14"/>
        <v>1.3077858880778503E-2</v>
      </c>
      <c r="AY11" s="79">
        <f t="shared" si="14"/>
        <v>-7.5558475689881721E-2</v>
      </c>
      <c r="AZ11" s="79">
        <f t="shared" si="14"/>
        <v>1.7647058823529349E-2</v>
      </c>
      <c r="BA11" s="79">
        <f t="shared" si="14"/>
        <v>6.1127997298210168E-2</v>
      </c>
      <c r="BB11" s="79">
        <f t="shared" si="14"/>
        <v>0.17742419693785649</v>
      </c>
      <c r="BC11" s="79">
        <f t="shared" si="14"/>
        <v>0.16666666666666674</v>
      </c>
      <c r="BD11" s="79">
        <f t="shared" ref="BD11:BE16" si="15">BD4/AZ4-1</f>
        <v>0.13005780346820806</v>
      </c>
      <c r="BE11" s="79">
        <f t="shared" si="15"/>
        <v>0.13781031190324633</v>
      </c>
      <c r="BF11" s="85"/>
      <c r="BV11" s="79">
        <f t="shared" ref="BV11:BY16" si="16">BV4/BU4-1</f>
        <v>-6.4659383604227738E-2</v>
      </c>
      <c r="BW11" s="79">
        <f t="shared" si="16"/>
        <v>6.0108251827936554E-2</v>
      </c>
      <c r="BX11" s="79">
        <f t="shared" si="16"/>
        <v>0.11035471157291288</v>
      </c>
      <c r="BY11" s="79">
        <f t="shared" si="16"/>
        <v>4.8080025814778882E-2</v>
      </c>
      <c r="BZ11" s="85">
        <v>0.14000000000000001</v>
      </c>
      <c r="CA11" s="85">
        <v>0.11</v>
      </c>
      <c r="CB11" s="85">
        <v>0.06</v>
      </c>
      <c r="CC11" s="85">
        <v>0.03</v>
      </c>
      <c r="CD11" s="85">
        <v>2.5000000000000001E-2</v>
      </c>
      <c r="CE11" s="85">
        <v>2.2499999999999999E-2</v>
      </c>
      <c r="CF11" s="85">
        <v>0.02</v>
      </c>
      <c r="CG11" s="85">
        <v>1.7500000000000002E-2</v>
      </c>
      <c r="CH11" s="85">
        <v>1.7000000000000001E-2</v>
      </c>
      <c r="CI11" s="85">
        <v>1.6500000000000001E-2</v>
      </c>
    </row>
    <row r="12" spans="2:140">
      <c r="B12" s="36" t="s">
        <v>176</v>
      </c>
      <c r="AM12" s="79">
        <f t="shared" ref="AM12:BC12" si="17">AM5/AI5-1</f>
        <v>-0.17861715749039697</v>
      </c>
      <c r="AN12" s="79">
        <f t="shared" si="17"/>
        <v>-9.3202522775052588E-2</v>
      </c>
      <c r="AO12" s="79">
        <f t="shared" si="17"/>
        <v>-4.5422285308729604E-2</v>
      </c>
      <c r="AP12" s="79">
        <f t="shared" si="17"/>
        <v>0.2024673439767779</v>
      </c>
      <c r="AQ12" s="79">
        <f t="shared" si="17"/>
        <v>7.2486360093530822E-2</v>
      </c>
      <c r="AR12" s="79">
        <f t="shared" si="17"/>
        <v>9.7372488408037139E-2</v>
      </c>
      <c r="AS12" s="79">
        <f t="shared" si="17"/>
        <v>0.52416356877323422</v>
      </c>
      <c r="AT12" s="79">
        <f t="shared" si="17"/>
        <v>0.41158720579360297</v>
      </c>
      <c r="AU12" s="79">
        <f t="shared" si="17"/>
        <v>0.26235465116279078</v>
      </c>
      <c r="AV12" s="79">
        <f t="shared" si="17"/>
        <v>0.30915492957746471</v>
      </c>
      <c r="AW12" s="79">
        <f t="shared" si="17"/>
        <v>-0.12195121951219512</v>
      </c>
      <c r="AX12" s="79">
        <f t="shared" si="17"/>
        <v>-0.14365113296280463</v>
      </c>
      <c r="AY12" s="79">
        <f t="shared" si="17"/>
        <v>3.9147956246401883E-2</v>
      </c>
      <c r="AZ12" s="79">
        <f t="shared" si="17"/>
        <v>7.1005917159763232E-2</v>
      </c>
      <c r="BA12" s="79">
        <f t="shared" si="17"/>
        <v>0.14388888888888896</v>
      </c>
      <c r="BB12" s="79">
        <f t="shared" si="17"/>
        <v>7.1892161757364015E-2</v>
      </c>
      <c r="BC12" s="79">
        <f t="shared" si="17"/>
        <v>5.2077562326869886E-2</v>
      </c>
      <c r="BD12" s="79">
        <f t="shared" si="15"/>
        <v>5.1230537418382793E-2</v>
      </c>
      <c r="BE12" s="79">
        <f t="shared" si="15"/>
        <v>0.12044681884409902</v>
      </c>
      <c r="BF12" s="85"/>
      <c r="BV12" s="79">
        <f t="shared" si="16"/>
        <v>-3.4106648199445977E-2</v>
      </c>
      <c r="BW12" s="79">
        <f t="shared" si="16"/>
        <v>0.28786520881878475</v>
      </c>
      <c r="BX12" s="79">
        <f t="shared" si="16"/>
        <v>2.9784272790535748E-2</v>
      </c>
      <c r="BY12" s="79">
        <f t="shared" si="16"/>
        <v>8.1497499662116502E-2</v>
      </c>
      <c r="BZ12" s="85">
        <v>7.4999999999999997E-2</v>
      </c>
      <c r="CA12" s="85">
        <v>0.05</v>
      </c>
      <c r="CB12" s="85">
        <v>0.04</v>
      </c>
      <c r="CC12" s="85">
        <v>3.5000000000000003E-2</v>
      </c>
      <c r="CD12" s="85">
        <v>0.03</v>
      </c>
      <c r="CE12" s="85">
        <v>2.75E-2</v>
      </c>
      <c r="CF12" s="85">
        <v>2.5000000000000001E-2</v>
      </c>
      <c r="CG12" s="85">
        <v>2.2499999999999999E-2</v>
      </c>
      <c r="CH12" s="85">
        <v>0.02</v>
      </c>
      <c r="CI12" s="85">
        <v>0.02</v>
      </c>
    </row>
    <row r="13" spans="2:140">
      <c r="B13" s="36" t="s">
        <v>177</v>
      </c>
      <c r="AM13" s="79">
        <f t="shared" ref="AM13:BC13" si="18">AM6/AI6-1</f>
        <v>-3.5534955581305483E-2</v>
      </c>
      <c r="AN13" s="79">
        <f t="shared" si="18"/>
        <v>-2.7820710973724849E-2</v>
      </c>
      <c r="AO13" s="79">
        <f t="shared" si="18"/>
        <v>8.2101806239738284E-3</v>
      </c>
      <c r="AP13" s="79">
        <f t="shared" si="18"/>
        <v>0.16104720349067825</v>
      </c>
      <c r="AQ13" s="79">
        <f t="shared" si="18"/>
        <v>2.6431718061673992E-2</v>
      </c>
      <c r="AR13" s="79">
        <f t="shared" si="18"/>
        <v>4.9682034976152645E-2</v>
      </c>
      <c r="AS13" s="79">
        <f t="shared" si="18"/>
        <v>7.0032573289902311E-2</v>
      </c>
      <c r="AT13" s="79">
        <f t="shared" si="18"/>
        <v>4.6463956269217732E-2</v>
      </c>
      <c r="AU13" s="79">
        <f t="shared" si="18"/>
        <v>3.7456106125633992E-2</v>
      </c>
      <c r="AV13" s="79">
        <f t="shared" si="18"/>
        <v>4.9981067777357113E-2</v>
      </c>
      <c r="AW13" s="79">
        <f t="shared" si="18"/>
        <v>7.420091324200917E-2</v>
      </c>
      <c r="AX13" s="79">
        <f t="shared" si="18"/>
        <v>2.6444662095984395E-2</v>
      </c>
      <c r="AY13" s="79">
        <f t="shared" si="18"/>
        <v>5.5660022564874012E-2</v>
      </c>
      <c r="AZ13" s="79">
        <f t="shared" si="18"/>
        <v>0.13847818247385502</v>
      </c>
      <c r="BA13" s="79">
        <f t="shared" si="18"/>
        <v>9.5642933049946866E-2</v>
      </c>
      <c r="BB13" s="79">
        <f t="shared" si="18"/>
        <v>9.7010178117048262E-2</v>
      </c>
      <c r="BC13" s="79">
        <f t="shared" si="18"/>
        <v>1.923762023512654E-2</v>
      </c>
      <c r="BD13" s="79">
        <f t="shared" si="15"/>
        <v>2.9458346531517243E-2</v>
      </c>
      <c r="BE13" s="79">
        <f t="shared" si="15"/>
        <v>2.0045263498221777E-2</v>
      </c>
      <c r="BF13" s="85"/>
      <c r="BV13" s="79">
        <f t="shared" si="16"/>
        <v>2.5853562265640395E-2</v>
      </c>
      <c r="BW13" s="79">
        <f t="shared" si="16"/>
        <v>4.7999230473259047E-2</v>
      </c>
      <c r="BX13" s="79">
        <f t="shared" si="16"/>
        <v>4.6259752179899083E-2</v>
      </c>
      <c r="BY13" s="79">
        <f t="shared" si="16"/>
        <v>9.7113781910693975E-2</v>
      </c>
      <c r="BZ13" s="85">
        <v>0.03</v>
      </c>
      <c r="CA13" s="85">
        <v>2.9000000000000001E-2</v>
      </c>
      <c r="CB13" s="85">
        <v>2.8000000000000001E-2</v>
      </c>
      <c r="CC13" s="85">
        <v>2.7E-2</v>
      </c>
      <c r="CD13" s="85">
        <v>2.5999999999999999E-2</v>
      </c>
      <c r="CE13" s="85">
        <v>2.5000000000000001E-2</v>
      </c>
      <c r="CF13" s="85">
        <v>2.4E-2</v>
      </c>
      <c r="CG13" s="85">
        <v>2.3E-2</v>
      </c>
      <c r="CH13" s="85">
        <v>2.1999999999999999E-2</v>
      </c>
      <c r="CI13" s="85">
        <v>2.1000000000000001E-2</v>
      </c>
    </row>
    <row r="14" spans="2:140">
      <c r="B14" s="36" t="s">
        <v>178</v>
      </c>
      <c r="AM14" s="79">
        <f t="shared" ref="AM14:BC14" si="19">AM7/AI7-1</f>
        <v>0.13248710829036092</v>
      </c>
      <c r="AN14" s="79">
        <f t="shared" si="19"/>
        <v>8.4061135371179097E-2</v>
      </c>
      <c r="AO14" s="79">
        <f t="shared" si="19"/>
        <v>0.17978366281238345</v>
      </c>
      <c r="AP14" s="79">
        <f t="shared" si="19"/>
        <v>0.23325808878856291</v>
      </c>
      <c r="AQ14" s="79">
        <f t="shared" si="19"/>
        <v>0.17338003502626975</v>
      </c>
      <c r="AR14" s="79">
        <f t="shared" si="19"/>
        <v>0.17086270560590799</v>
      </c>
      <c r="AS14" s="79">
        <f t="shared" si="19"/>
        <v>-6.639266519127407E-2</v>
      </c>
      <c r="AT14" s="79">
        <f t="shared" si="19"/>
        <v>-0.36485661989017693</v>
      </c>
      <c r="AU14" s="79">
        <f t="shared" si="19"/>
        <v>-6.0000000000000053E-2</v>
      </c>
      <c r="AV14" s="79">
        <f t="shared" si="19"/>
        <v>-0.13933486238532111</v>
      </c>
      <c r="AW14" s="79">
        <f t="shared" si="19"/>
        <v>-2.81070098205215E-2</v>
      </c>
      <c r="AX14" s="79">
        <f t="shared" si="19"/>
        <v>0.30163304514889533</v>
      </c>
      <c r="AY14" s="79">
        <f t="shared" si="19"/>
        <v>-0.18450301683073989</v>
      </c>
      <c r="AZ14" s="79">
        <f t="shared" si="19"/>
        <v>-0.11858760826115922</v>
      </c>
      <c r="BA14" s="79">
        <f t="shared" si="19"/>
        <v>-5.9930313588850148E-2</v>
      </c>
      <c r="BB14" s="79">
        <f t="shared" si="19"/>
        <v>5.4981549815498187E-2</v>
      </c>
      <c r="BC14" s="79">
        <f t="shared" si="19"/>
        <v>-3.4267912772585674E-2</v>
      </c>
      <c r="BD14" s="79">
        <f t="shared" si="15"/>
        <v>4.0438397581254781E-2</v>
      </c>
      <c r="BE14" s="79">
        <f t="shared" si="15"/>
        <v>1.8902891030392777E-2</v>
      </c>
      <c r="BF14" s="85"/>
      <c r="BV14" s="79">
        <f t="shared" si="16"/>
        <v>0.15714555052790358</v>
      </c>
      <c r="BW14" s="79">
        <f t="shared" si="16"/>
        <v>-3.2749490835030537E-2</v>
      </c>
      <c r="BX14" s="79">
        <f t="shared" si="16"/>
        <v>-1.1959909037311589E-2</v>
      </c>
      <c r="BY14" s="79">
        <f t="shared" si="16"/>
        <v>-8.1834455715625309E-2</v>
      </c>
      <c r="BZ14" s="85">
        <v>0.01</v>
      </c>
      <c r="CA14" s="85">
        <v>0.03</v>
      </c>
      <c r="CB14" s="85">
        <v>0.05</v>
      </c>
      <c r="CC14" s="85">
        <v>4.4999999999999998E-2</v>
      </c>
      <c r="CD14" s="85">
        <v>0.04</v>
      </c>
      <c r="CE14" s="85">
        <v>3.5000000000000003E-2</v>
      </c>
      <c r="CF14" s="85">
        <v>0.03</v>
      </c>
      <c r="CG14" s="85">
        <v>2.5000000000000001E-2</v>
      </c>
      <c r="CH14" s="85">
        <v>0.02</v>
      </c>
      <c r="CI14" s="85">
        <v>1.4999999999999999E-2</v>
      </c>
    </row>
    <row r="15" spans="2:140">
      <c r="B15" s="36" t="s">
        <v>193</v>
      </c>
      <c r="AM15" s="79">
        <f t="shared" ref="AM15" si="20">AM8/AI8-1</f>
        <v>7.128712871287135E-2</v>
      </c>
      <c r="AN15" s="79">
        <f t="shared" ref="AN15" si="21">AN8/AJ8-1</f>
        <v>-5.7142857142856718E-3</v>
      </c>
      <c r="AO15" s="79">
        <f t="shared" ref="AO15" si="22">AO8/AK8-1</f>
        <v>-1.8832391713747842E-3</v>
      </c>
      <c r="AP15" s="79">
        <f t="shared" ref="AP15" si="23">AP8/AL8-1</f>
        <v>6.7395264116575593E-2</v>
      </c>
      <c r="AQ15" s="79">
        <f t="shared" ref="AQ15" si="24">AQ8/AM8-1</f>
        <v>-7.0240295748613679E-2</v>
      </c>
      <c r="AR15" s="79">
        <f t="shared" ref="AR15" si="25">AR8/AN8-1</f>
        <v>8.8122605363984752E-2</v>
      </c>
      <c r="AS15" s="79">
        <f t="shared" ref="AS15" si="26">AS8/AO8-1</f>
        <v>0.17358490566037732</v>
      </c>
      <c r="AT15" s="79">
        <f t="shared" ref="AT15" si="27">AT8/AP8-1</f>
        <v>-0.77133105802047786</v>
      </c>
      <c r="AU15" s="79">
        <f t="shared" ref="AU15" si="28">AU8/AQ8-1</f>
        <v>-9.3439363817097387E-2</v>
      </c>
      <c r="AV15" s="79">
        <f t="shared" ref="AV15" si="29">AV8/AR8-1</f>
        <v>-0.1619718309859155</v>
      </c>
      <c r="AW15" s="79">
        <f t="shared" ref="AW15" si="30">AW8/AS8-1</f>
        <v>-0.2636655948553055</v>
      </c>
      <c r="AX15" s="79">
        <f t="shared" ref="AX15" si="31">AX8/AT8-1</f>
        <v>2.7462686567164178</v>
      </c>
      <c r="AY15" s="79">
        <f t="shared" ref="AY15" si="32">AY8/AU8-1</f>
        <v>0.15350877192982448</v>
      </c>
      <c r="AZ15" s="79">
        <f t="shared" ref="AZ15" si="33">AZ8/AV8-1</f>
        <v>0.17016806722689082</v>
      </c>
      <c r="BA15" s="79">
        <f t="shared" ref="BA15" si="34">BA8/AW8-1</f>
        <v>0.24235807860262004</v>
      </c>
      <c r="BB15" s="79">
        <f t="shared" ref="BB15" si="35">BB8/AX8-1</f>
        <v>0.32470119521912344</v>
      </c>
      <c r="BC15" s="79">
        <f t="shared" ref="BC15" si="36">BC8/AY8-1</f>
        <v>0.22053231939163509</v>
      </c>
      <c r="BD15" s="79">
        <f t="shared" si="15"/>
        <v>0.32675044883303417</v>
      </c>
      <c r="BE15" s="79">
        <f t="shared" si="15"/>
        <v>0.16695957820738139</v>
      </c>
      <c r="BF15" s="85"/>
      <c r="BV15" s="79">
        <f t="shared" si="16"/>
        <v>3.2701421800947816E-2</v>
      </c>
      <c r="BW15" s="79">
        <f t="shared" si="16"/>
        <v>-0.16154199173932993</v>
      </c>
      <c r="BX15" s="79">
        <f t="shared" si="16"/>
        <v>3.5577449370552738E-2</v>
      </c>
      <c r="BY15" s="79">
        <f t="shared" si="16"/>
        <v>0.22463002114164898</v>
      </c>
      <c r="BZ15" s="85">
        <v>0.25</v>
      </c>
      <c r="CA15" s="85">
        <v>0.02</v>
      </c>
      <c r="CB15" s="85">
        <v>0.02</v>
      </c>
      <c r="CC15" s="85">
        <v>0.02</v>
      </c>
      <c r="CD15" s="85">
        <v>0.02</v>
      </c>
      <c r="CE15" s="85">
        <v>0.02</v>
      </c>
      <c r="CF15" s="85">
        <v>0.02</v>
      </c>
      <c r="CG15" s="85">
        <v>0.02</v>
      </c>
      <c r="CH15" s="85">
        <v>0.02</v>
      </c>
      <c r="CI15" s="85">
        <v>0.02</v>
      </c>
    </row>
    <row r="16" spans="2:140" s="2" customFormat="1" ht="15">
      <c r="B16" s="33" t="s">
        <v>104</v>
      </c>
      <c r="AI16" s="1"/>
      <c r="AJ16" s="1"/>
      <c r="AK16" s="1"/>
      <c r="AL16" s="1"/>
      <c r="AM16" s="79">
        <f t="shared" ref="AM16:BC16" si="37">AM9/AI9-1</f>
        <v>-3.9314185868734253E-2</v>
      </c>
      <c r="AN16" s="79">
        <f t="shared" si="37"/>
        <v>-3.824718609987976E-2</v>
      </c>
      <c r="AO16" s="79">
        <f t="shared" si="37"/>
        <v>2.8784403669724679E-2</v>
      </c>
      <c r="AP16" s="79">
        <f t="shared" si="37"/>
        <v>0.16136126866535472</v>
      </c>
      <c r="AQ16" s="79">
        <f t="shared" si="37"/>
        <v>5.7292258724565226E-2</v>
      </c>
      <c r="AR16" s="79">
        <f t="shared" si="37"/>
        <v>8.805817520736281E-2</v>
      </c>
      <c r="AS16" s="79">
        <f t="shared" si="37"/>
        <v>8.9622115706164296E-2</v>
      </c>
      <c r="AT16" s="79">
        <f t="shared" si="37"/>
        <v>6.0301006677962787E-2</v>
      </c>
      <c r="AU16" s="79">
        <f t="shared" si="37"/>
        <v>8.9452747016449896E-2</v>
      </c>
      <c r="AV16" s="79">
        <f t="shared" si="37"/>
        <v>6.7042606516290792E-2</v>
      </c>
      <c r="AW16" s="79">
        <f t="shared" si="37"/>
        <v>2.2608695652173827E-2</v>
      </c>
      <c r="AX16" s="79">
        <f t="shared" si="37"/>
        <v>4.5121263395375699E-3</v>
      </c>
      <c r="AY16" s="79">
        <f t="shared" si="37"/>
        <v>-6.5627158788117979E-2</v>
      </c>
      <c r="AZ16" s="79">
        <f t="shared" si="37"/>
        <v>1.3016245840673291E-2</v>
      </c>
      <c r="BA16" s="79">
        <f t="shared" si="37"/>
        <v>4.2717086834733964E-2</v>
      </c>
      <c r="BB16" s="79">
        <f t="shared" si="37"/>
        <v>9.6013475575519314E-2</v>
      </c>
      <c r="BC16" s="79">
        <f t="shared" si="37"/>
        <v>4.362061681453322E-2</v>
      </c>
      <c r="BD16" s="79">
        <f t="shared" si="15"/>
        <v>5.0719737223456685E-2</v>
      </c>
      <c r="BE16" s="79">
        <f t="shared" si="15"/>
        <v>6.7063225558860129E-2</v>
      </c>
      <c r="BF16" s="87"/>
      <c r="BV16" s="86">
        <f t="shared" si="16"/>
        <v>2.6214708273754495E-2</v>
      </c>
      <c r="BW16" s="86">
        <f t="shared" si="16"/>
        <v>7.3438609912026775E-2</v>
      </c>
      <c r="BX16" s="86">
        <f t="shared" si="16"/>
        <v>4.4362433189106598E-2</v>
      </c>
      <c r="BY16" s="86">
        <f t="shared" si="16"/>
        <v>2.2445348865547166E-2</v>
      </c>
      <c r="BZ16" s="87">
        <f t="shared" ref="BZ16:CI16" si="38">BZ9/BY9-1</f>
        <v>5.5362301568384398E-2</v>
      </c>
      <c r="CA16" s="87">
        <f t="shared" si="38"/>
        <v>6.1009439508436403E-2</v>
      </c>
      <c r="CB16" s="87">
        <f t="shared" si="38"/>
        <v>4.725614529420552E-2</v>
      </c>
      <c r="CC16" s="87">
        <f t="shared" si="38"/>
        <v>3.4323402565380912E-2</v>
      </c>
      <c r="CD16" s="87">
        <f t="shared" si="38"/>
        <v>3.0156454566938606E-2</v>
      </c>
      <c r="CE16" s="87">
        <f t="shared" si="38"/>
        <v>2.7338377730926178E-2</v>
      </c>
      <c r="CF16" s="87">
        <f t="shared" si="38"/>
        <v>2.4505750171344376E-2</v>
      </c>
      <c r="CG16" s="87">
        <f t="shared" si="38"/>
        <v>2.1663115902786911E-2</v>
      </c>
      <c r="CH16" s="87">
        <f t="shared" si="38"/>
        <v>1.9507900192179184E-2</v>
      </c>
      <c r="CI16" s="87">
        <f t="shared" si="38"/>
        <v>1.7824966670218378E-2</v>
      </c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</row>
    <row r="17" spans="2:78">
      <c r="BE17" s="1"/>
      <c r="BF17" s="35"/>
      <c r="BZ17" s="35"/>
    </row>
    <row r="18" spans="2:78">
      <c r="B18" s="36" t="s">
        <v>179</v>
      </c>
      <c r="AI18" s="79">
        <f t="shared" ref="AI18:BC18" si="39">AI4/AI9</f>
        <v>0.32652615485420988</v>
      </c>
      <c r="AJ18" s="79">
        <f t="shared" si="39"/>
        <v>0.318325866025571</v>
      </c>
      <c r="AK18" s="79">
        <f t="shared" si="39"/>
        <v>0.3125</v>
      </c>
      <c r="AL18" s="79">
        <f t="shared" si="39"/>
        <v>0.30454913763167035</v>
      </c>
      <c r="AM18" s="79">
        <f t="shared" si="39"/>
        <v>0.30726383994543593</v>
      </c>
      <c r="AN18" s="79">
        <f t="shared" si="39"/>
        <v>0.28792182706510622</v>
      </c>
      <c r="AO18" s="79">
        <f t="shared" si="39"/>
        <v>0.28280013376435181</v>
      </c>
      <c r="AP18" s="79">
        <f t="shared" si="39"/>
        <v>0.27479318249775742</v>
      </c>
      <c r="AQ18" s="79">
        <f t="shared" si="39"/>
        <v>0.27040103214708094</v>
      </c>
      <c r="AR18" s="79">
        <f t="shared" si="39"/>
        <v>0.27098997493734334</v>
      </c>
      <c r="AS18" s="79">
        <f t="shared" si="39"/>
        <v>0.28296675191815857</v>
      </c>
      <c r="AT18" s="79">
        <f t="shared" si="39"/>
        <v>0.30908065425831921</v>
      </c>
      <c r="AU18" s="79">
        <f t="shared" si="39"/>
        <v>0.3004046185729794</v>
      </c>
      <c r="AV18" s="79">
        <f t="shared" si="39"/>
        <v>0.29947152084556666</v>
      </c>
      <c r="AW18" s="79">
        <f t="shared" si="39"/>
        <v>0.29621848739495799</v>
      </c>
      <c r="AX18" s="79">
        <f t="shared" si="39"/>
        <v>0.31171626427100879</v>
      </c>
      <c r="AY18" s="79">
        <f t="shared" si="39"/>
        <v>0.29721166032953106</v>
      </c>
      <c r="AZ18" s="79">
        <f t="shared" si="39"/>
        <v>0.30084049850256012</v>
      </c>
      <c r="BA18" s="79">
        <f t="shared" si="39"/>
        <v>0.30144871917873933</v>
      </c>
      <c r="BB18" s="79">
        <f t="shared" si="39"/>
        <v>0.33487021857923499</v>
      </c>
      <c r="BC18" s="79">
        <f t="shared" si="39"/>
        <v>0.33225382046351581</v>
      </c>
      <c r="BD18" s="79">
        <f>BD4/BD9</f>
        <v>0.32355645457888932</v>
      </c>
      <c r="BE18" s="79">
        <f>BE4/BE9</f>
        <v>0.32143499370616796</v>
      </c>
      <c r="BF18" s="35"/>
      <c r="BU18" s="79">
        <f t="shared" ref="BU18:BY18" si="40">BU4/BU9</f>
        <v>0.31566994700984102</v>
      </c>
      <c r="BV18" s="79">
        <f t="shared" si="40"/>
        <v>0.28771651822304795</v>
      </c>
      <c r="BW18" s="79">
        <f t="shared" si="40"/>
        <v>0.28414354797658437</v>
      </c>
      <c r="BX18" s="79">
        <f t="shared" si="40"/>
        <v>0.30209831111544366</v>
      </c>
      <c r="BY18" s="79">
        <f t="shared" si="40"/>
        <v>0.30967249845068406</v>
      </c>
      <c r="BZ18" s="35"/>
    </row>
    <row r="19" spans="2:78">
      <c r="B19" s="36" t="s">
        <v>180</v>
      </c>
      <c r="AI19" s="79">
        <f t="shared" ref="AI19:BC19" si="41">AI5/AI9</f>
        <v>0.17057988424156384</v>
      </c>
      <c r="AJ19" s="79">
        <f t="shared" si="41"/>
        <v>0.15593924161293848</v>
      </c>
      <c r="AK19" s="79">
        <f t="shared" si="41"/>
        <v>0.16158256880733946</v>
      </c>
      <c r="AL19" s="79">
        <f t="shared" si="41"/>
        <v>0.15950920245398773</v>
      </c>
      <c r="AM19" s="79">
        <f t="shared" si="41"/>
        <v>0.14584517449130385</v>
      </c>
      <c r="AN19" s="79">
        <f t="shared" si="41"/>
        <v>0.14702874673332575</v>
      </c>
      <c r="AO19" s="79">
        <f t="shared" si="41"/>
        <v>0.14992754430944152</v>
      </c>
      <c r="AP19" s="79">
        <f t="shared" si="41"/>
        <v>0.16515498853782518</v>
      </c>
      <c r="AQ19" s="79">
        <f t="shared" si="41"/>
        <v>0.14794108160412858</v>
      </c>
      <c r="AR19" s="79">
        <f t="shared" si="41"/>
        <v>0.14828738512949038</v>
      </c>
      <c r="AS19" s="79">
        <f t="shared" si="41"/>
        <v>0.20971867007672634</v>
      </c>
      <c r="AT19" s="79">
        <f t="shared" si="41"/>
        <v>0.21987215642037977</v>
      </c>
      <c r="AU19" s="79">
        <f t="shared" si="41"/>
        <v>0.17142011250370079</v>
      </c>
      <c r="AV19" s="79">
        <f t="shared" si="41"/>
        <v>0.18193384223918574</v>
      </c>
      <c r="AW19" s="79">
        <f t="shared" si="41"/>
        <v>0.18007202881152462</v>
      </c>
      <c r="AX19" s="79">
        <f t="shared" si="41"/>
        <v>0.1874415122590305</v>
      </c>
      <c r="AY19" s="79">
        <f t="shared" si="41"/>
        <v>0.19064216307562315</v>
      </c>
      <c r="AZ19" s="79">
        <f t="shared" si="41"/>
        <v>0.19234856535600425</v>
      </c>
      <c r="BA19" s="79">
        <f t="shared" si="41"/>
        <v>0.19754389331286579</v>
      </c>
      <c r="BB19" s="79">
        <f t="shared" si="41"/>
        <v>0.1833162568306011</v>
      </c>
      <c r="BC19" s="79">
        <f t="shared" si="41"/>
        <v>0.19218702560469589</v>
      </c>
      <c r="BD19" s="79">
        <f>BD5/BD9</f>
        <v>0.19244207429201912</v>
      </c>
      <c r="BE19" s="79">
        <f>BE5/BE9</f>
        <v>0.20742672181262362</v>
      </c>
      <c r="BF19" s="35"/>
      <c r="BU19" s="79">
        <f t="shared" ref="BU19:BY19" si="42">BU5/BU9</f>
        <v>0.16194241175316118</v>
      </c>
      <c r="BV19" s="79">
        <f t="shared" si="42"/>
        <v>0.15242336484345118</v>
      </c>
      <c r="BW19" s="79">
        <f t="shared" si="42"/>
        <v>0.18287095953168744</v>
      </c>
      <c r="BX19" s="79">
        <f t="shared" si="42"/>
        <v>0.18031828040845174</v>
      </c>
      <c r="BY19" s="79">
        <f t="shared" si="42"/>
        <v>0.19073270725079849</v>
      </c>
      <c r="BZ19" s="35"/>
    </row>
    <row r="20" spans="2:78">
      <c r="B20" s="36" t="s">
        <v>181</v>
      </c>
      <c r="AI20" s="79">
        <f t="shared" ref="AI20:BC20" si="43">AI6/AI9</f>
        <v>0.28273452003931421</v>
      </c>
      <c r="AJ20" s="79">
        <f t="shared" si="43"/>
        <v>0.2828106217899683</v>
      </c>
      <c r="AK20" s="79">
        <f t="shared" si="43"/>
        <v>0.27935779816513762</v>
      </c>
      <c r="AL20" s="79">
        <f t="shared" si="43"/>
        <v>0.29181618242852181</v>
      </c>
      <c r="AM20" s="79">
        <f t="shared" si="43"/>
        <v>0.28384676594293506</v>
      </c>
      <c r="AN20" s="79">
        <f t="shared" si="43"/>
        <v>0.28587660493125783</v>
      </c>
      <c r="AO20" s="79">
        <f t="shared" si="43"/>
        <v>0.27377104001783525</v>
      </c>
      <c r="AP20" s="79">
        <f t="shared" si="43"/>
        <v>0.29173726701883784</v>
      </c>
      <c r="AQ20" s="79">
        <f t="shared" si="43"/>
        <v>0.27556176755187617</v>
      </c>
      <c r="AR20" s="79">
        <f t="shared" si="43"/>
        <v>0.27579365079365081</v>
      </c>
      <c r="AS20" s="79">
        <f t="shared" si="43"/>
        <v>0.26884910485933505</v>
      </c>
      <c r="AT20" s="79">
        <f t="shared" si="43"/>
        <v>0.28793006204173716</v>
      </c>
      <c r="AU20" s="79">
        <f t="shared" si="43"/>
        <v>0.2624099476956479</v>
      </c>
      <c r="AV20" s="79">
        <f t="shared" si="43"/>
        <v>0.27138383245253472</v>
      </c>
      <c r="AW20" s="79">
        <f t="shared" si="43"/>
        <v>0.28241296518607445</v>
      </c>
      <c r="AX20" s="79">
        <f t="shared" si="43"/>
        <v>0.29421673217293653</v>
      </c>
      <c r="AY20" s="79">
        <f t="shared" si="43"/>
        <v>0.29647232784114913</v>
      </c>
      <c r="AZ20" s="79">
        <f t="shared" si="43"/>
        <v>0.30499468650371947</v>
      </c>
      <c r="BA20" s="79">
        <f t="shared" si="43"/>
        <v>0.29674757747289648</v>
      </c>
      <c r="BB20" s="79">
        <f t="shared" si="43"/>
        <v>0.29448428961748635</v>
      </c>
      <c r="BC20" s="79">
        <f t="shared" si="43"/>
        <v>0.2895455925513612</v>
      </c>
      <c r="BD20" s="79">
        <f>BD6/BD9</f>
        <v>0.29882309672673779</v>
      </c>
      <c r="BE20" s="79">
        <f>BE6/BE9</f>
        <v>0.28367200143859017</v>
      </c>
      <c r="BF20" s="35"/>
      <c r="BU20" s="79">
        <f t="shared" ref="BU20:BY20" si="44">BU6/BU9</f>
        <v>0.2841281857178905</v>
      </c>
      <c r="BV20" s="79">
        <f t="shared" si="44"/>
        <v>0.28402819518059125</v>
      </c>
      <c r="BW20" s="79">
        <f t="shared" si="44"/>
        <v>0.27729702214303892</v>
      </c>
      <c r="BX20" s="79">
        <f t="shared" si="44"/>
        <v>0.27780079448248968</v>
      </c>
      <c r="BY20" s="79">
        <f t="shared" si="44"/>
        <v>0.29808838251418218</v>
      </c>
      <c r="BZ20" s="35"/>
    </row>
    <row r="21" spans="2:78">
      <c r="B21" s="36" t="s">
        <v>182</v>
      </c>
      <c r="AI21" s="79">
        <f t="shared" ref="AI21:BC21" si="45">AI7/AI9</f>
        <v>0.27530850715299771</v>
      </c>
      <c r="AJ21" s="79">
        <f t="shared" si="45"/>
        <v>0.30029504972134191</v>
      </c>
      <c r="AK21" s="79">
        <f t="shared" si="45"/>
        <v>0.30745412844036696</v>
      </c>
      <c r="AL21" s="79">
        <f t="shared" si="45"/>
        <v>0.30767449936335223</v>
      </c>
      <c r="AM21" s="79">
        <f t="shared" si="45"/>
        <v>0.32454245765601908</v>
      </c>
      <c r="AN21" s="79">
        <f t="shared" si="45"/>
        <v>0.33848426315191454</v>
      </c>
      <c r="AO21" s="79">
        <f t="shared" si="45"/>
        <v>0.35258053728681304</v>
      </c>
      <c r="AP21" s="79">
        <f t="shared" si="45"/>
        <v>0.32672181800059802</v>
      </c>
      <c r="AQ21" s="79">
        <f t="shared" si="45"/>
        <v>0.36017632512633052</v>
      </c>
      <c r="AR21" s="79">
        <f t="shared" si="45"/>
        <v>0.36424394319131159</v>
      </c>
      <c r="AS21" s="79">
        <f t="shared" si="45"/>
        <v>0.30209718670076724</v>
      </c>
      <c r="AT21" s="79">
        <f t="shared" si="45"/>
        <v>0.19571347997743938</v>
      </c>
      <c r="AU21" s="79">
        <f t="shared" si="45"/>
        <v>0.31076680153952435</v>
      </c>
      <c r="AV21" s="79">
        <f t="shared" si="45"/>
        <v>0.2937952632609121</v>
      </c>
      <c r="AW21" s="79">
        <f t="shared" si="45"/>
        <v>0.28711484593837533</v>
      </c>
      <c r="AX21" s="79">
        <f t="shared" si="45"/>
        <v>0.25360284484372075</v>
      </c>
      <c r="AY21" s="79">
        <f t="shared" si="45"/>
        <v>0.27122940430925224</v>
      </c>
      <c r="AZ21" s="79">
        <f t="shared" si="45"/>
        <v>0.25562747560622162</v>
      </c>
      <c r="BA21" s="79">
        <f t="shared" si="45"/>
        <v>0.25885061882375515</v>
      </c>
      <c r="BB21" s="79">
        <f t="shared" si="45"/>
        <v>0.24410860655737704</v>
      </c>
      <c r="BC21" s="79">
        <f t="shared" si="45"/>
        <v>0.25098674223256756</v>
      </c>
      <c r="BD21" s="79">
        <f>BD7/BD9</f>
        <v>0.25312614931960281</v>
      </c>
      <c r="BE21" s="79">
        <f>BE7/BE9</f>
        <v>0.24716777557993166</v>
      </c>
      <c r="BF21" s="35"/>
      <c r="BU21" s="79">
        <f t="shared" ref="BU21:BY21" si="46">BU7/BU9</f>
        <v>0.29741778114223233</v>
      </c>
      <c r="BV21" s="79">
        <f t="shared" si="46"/>
        <v>0.33536418774930332</v>
      </c>
      <c r="BW21" s="79">
        <f t="shared" si="46"/>
        <v>0.30218885212522273</v>
      </c>
      <c r="BX21" s="79">
        <f t="shared" si="46"/>
        <v>0.28589184315063487</v>
      </c>
      <c r="BY21" s="79">
        <f t="shared" si="46"/>
        <v>0.25673356533346048</v>
      </c>
      <c r="BZ21" s="35"/>
    </row>
    <row r="22" spans="2:78">
      <c r="B22" s="80" t="s">
        <v>192</v>
      </c>
      <c r="AI22" s="79">
        <f t="shared" ref="AI22:BC22" si="47">AI8/AI9</f>
        <v>-5.5149066288085614E-2</v>
      </c>
      <c r="AJ22" s="79">
        <f t="shared" si="47"/>
        <v>-5.7370779149819695E-2</v>
      </c>
      <c r="AK22" s="79">
        <f t="shared" si="47"/>
        <v>-6.0894495412844037E-2</v>
      </c>
      <c r="AL22" s="79">
        <f t="shared" si="47"/>
        <v>-6.3549021877532128E-2</v>
      </c>
      <c r="AM22" s="79">
        <f t="shared" si="47"/>
        <v>-6.1498238035693986E-2</v>
      </c>
      <c r="AN22" s="79">
        <f t="shared" si="47"/>
        <v>-5.9311441881604365E-2</v>
      </c>
      <c r="AO22" s="79">
        <f t="shared" si="47"/>
        <v>-5.9079255378441643E-2</v>
      </c>
      <c r="AP22" s="79">
        <f t="shared" si="47"/>
        <v>-5.8407256055018439E-2</v>
      </c>
      <c r="AQ22" s="79">
        <f t="shared" si="47"/>
        <v>-5.4080206429416189E-2</v>
      </c>
      <c r="AR22" s="79">
        <f t="shared" si="47"/>
        <v>-5.9314954051796154E-2</v>
      </c>
      <c r="AS22" s="79">
        <f t="shared" si="47"/>
        <v>-6.3631713554987215E-2</v>
      </c>
      <c r="AT22" s="79">
        <f t="shared" si="47"/>
        <v>-1.259635269787554E-2</v>
      </c>
      <c r="AU22" s="79">
        <f t="shared" si="47"/>
        <v>-4.5001480311852367E-2</v>
      </c>
      <c r="AV22" s="79">
        <f t="shared" si="47"/>
        <v>-4.6584458798199259E-2</v>
      </c>
      <c r="AW22" s="79">
        <f t="shared" si="47"/>
        <v>-4.5818327330932371E-2</v>
      </c>
      <c r="AX22" s="79">
        <f t="shared" si="47"/>
        <v>-4.6977353546696611E-2</v>
      </c>
      <c r="AY22" s="79">
        <f t="shared" si="47"/>
        <v>-5.5555555555555552E-2</v>
      </c>
      <c r="AZ22" s="79">
        <f t="shared" si="47"/>
        <v>-5.3811225968505461E-2</v>
      </c>
      <c r="BA22" s="79">
        <f t="shared" si="47"/>
        <v>-5.4590808788256742E-2</v>
      </c>
      <c r="BB22" s="79">
        <f t="shared" si="47"/>
        <v>-5.6779371584699451E-2</v>
      </c>
      <c r="BC22" s="79">
        <f t="shared" si="47"/>
        <v>-6.4973180852140475E-2</v>
      </c>
      <c r="BD22" s="79">
        <f>BD8/BD9</f>
        <v>-6.7947774917248988E-2</v>
      </c>
      <c r="BE22" s="79">
        <f>BE8/BE9</f>
        <v>-5.9701492537313432E-2</v>
      </c>
      <c r="BF22" s="35"/>
      <c r="BU22" s="79">
        <f t="shared" ref="BU22:BY22" si="48">BU8/BU9</f>
        <v>-5.9158325623125015E-2</v>
      </c>
      <c r="BV22" s="79">
        <f t="shared" si="48"/>
        <v>-5.9532265996393642E-2</v>
      </c>
      <c r="BW22" s="79">
        <f t="shared" si="48"/>
        <v>-4.650038177653347E-2</v>
      </c>
      <c r="BX22" s="79">
        <f t="shared" si="48"/>
        <v>-4.6109229157019961E-2</v>
      </c>
      <c r="BY22" s="79">
        <f t="shared" si="48"/>
        <v>-5.5227153549125232E-2</v>
      </c>
      <c r="BZ22" s="35"/>
    </row>
    <row r="23" spans="2:78"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35"/>
      <c r="BZ23" s="35"/>
    </row>
    <row r="24" spans="2:78">
      <c r="B24" s="1" t="s">
        <v>183</v>
      </c>
      <c r="AI24" s="1">
        <v>7799</v>
      </c>
      <c r="AJ24" s="1">
        <v>7943</v>
      </c>
      <c r="AK24" s="1">
        <v>7535</v>
      </c>
      <c r="AL24" s="1">
        <f>30685-SUM(AI24:AK24)</f>
        <v>7408</v>
      </c>
      <c r="AM24" s="1">
        <v>7656</v>
      </c>
      <c r="AN24" s="1">
        <v>7646</v>
      </c>
      <c r="AO24" s="1">
        <v>7761</v>
      </c>
      <c r="AP24" s="1">
        <f>31754-SUM(AM24:AO24)</f>
        <v>8691</v>
      </c>
      <c r="AQ24" s="1">
        <v>8135</v>
      </c>
      <c r="AR24" s="1">
        <v>8374</v>
      </c>
      <c r="AS24" s="1">
        <v>8536</v>
      </c>
      <c r="AT24" s="1">
        <f>34385-SUM(AQ24:AS24)</f>
        <v>9340</v>
      </c>
      <c r="AU24" s="1">
        <v>8971</v>
      </c>
      <c r="AV24" s="1">
        <v>9033</v>
      </c>
      <c r="AW24" s="1">
        <v>8778</v>
      </c>
      <c r="AX24" s="1">
        <f>36033-SUM(AU24:AW24)</f>
        <v>9251</v>
      </c>
      <c r="AY24" s="1">
        <v>8182</v>
      </c>
      <c r="AZ24" s="1">
        <v>8950</v>
      </c>
      <c r="BA24" s="1">
        <v>8820</v>
      </c>
      <c r="BB24" s="1">
        <f>35964-SUM(AY24:BA24)</f>
        <v>10012</v>
      </c>
      <c r="BC24" s="1">
        <v>8600</v>
      </c>
      <c r="BD24" s="1">
        <v>9333</v>
      </c>
      <c r="BE24" s="1">
        <v>9639</v>
      </c>
      <c r="BF24" s="35"/>
      <c r="BU24" s="1">
        <f>SUM(AI24:AL24)</f>
        <v>30685</v>
      </c>
      <c r="BV24" s="1">
        <f>SUM(AM24:AP24)</f>
        <v>31754</v>
      </c>
      <c r="BW24" s="1">
        <f>SUM(AQ24:AT24)</f>
        <v>34385</v>
      </c>
      <c r="BX24" s="1">
        <f>SUM(AU24:AX24)</f>
        <v>36033</v>
      </c>
      <c r="BY24" s="1">
        <f>SUM(AY24:BB24)</f>
        <v>35964</v>
      </c>
      <c r="BZ24" s="35"/>
    </row>
    <row r="25" spans="2:78">
      <c r="B25" s="1" t="s">
        <v>184</v>
      </c>
      <c r="AI25" s="1">
        <v>558</v>
      </c>
      <c r="AJ25" s="1">
        <v>441</v>
      </c>
      <c r="AK25" s="1">
        <v>470</v>
      </c>
      <c r="AL25" s="1">
        <f>1939-SUM(AI25:AK25)</f>
        <v>470</v>
      </c>
      <c r="AM25" s="1">
        <v>463</v>
      </c>
      <c r="AN25" s="1">
        <v>489</v>
      </c>
      <c r="AO25" s="1">
        <v>469</v>
      </c>
      <c r="AP25" s="1">
        <f>1802-SUM(AM25:AO25)</f>
        <v>381</v>
      </c>
      <c r="AQ25" s="1">
        <v>376</v>
      </c>
      <c r="AR25" s="1">
        <v>397</v>
      </c>
      <c r="AS25" s="1">
        <v>376</v>
      </c>
      <c r="AT25" s="1">
        <f>1568-SUM(AQ25:AS25)</f>
        <v>419</v>
      </c>
      <c r="AU25" s="1">
        <v>359</v>
      </c>
      <c r="AV25" s="1">
        <v>377</v>
      </c>
      <c r="AW25" s="1">
        <v>378</v>
      </c>
      <c r="AX25" s="1">
        <f>1552-SUM(AU25:AW25)</f>
        <v>438</v>
      </c>
      <c r="AY25" s="1">
        <v>417</v>
      </c>
      <c r="AZ25" s="1">
        <v>452</v>
      </c>
      <c r="BA25" s="1">
        <v>504</v>
      </c>
      <c r="BB25" s="1">
        <f>1919-SUM(AY25:BA25)</f>
        <v>546</v>
      </c>
      <c r="BC25" s="1">
        <v>442</v>
      </c>
      <c r="BD25" s="1">
        <v>536</v>
      </c>
      <c r="BE25" s="1">
        <v>483</v>
      </c>
      <c r="BF25" s="35"/>
      <c r="BU25" s="1">
        <f>SUM(AI25:AL25)</f>
        <v>1939</v>
      </c>
      <c r="BV25" s="1">
        <f>SUM(AM25:AP25)</f>
        <v>1802</v>
      </c>
      <c r="BW25" s="1">
        <f>SUM(AQ25:AT25)</f>
        <v>1568</v>
      </c>
      <c r="BX25" s="1">
        <f>SUM(AU25:AX25)</f>
        <v>1552</v>
      </c>
      <c r="BY25" s="1">
        <f>SUM(AY25:BB25)</f>
        <v>1919</v>
      </c>
      <c r="BZ25" s="35"/>
    </row>
    <row r="26" spans="2:78">
      <c r="B26" s="1" t="s">
        <v>185</v>
      </c>
      <c r="AI26" s="1">
        <v>533</v>
      </c>
      <c r="AJ26" s="1">
        <v>537</v>
      </c>
      <c r="AK26" s="1">
        <v>498</v>
      </c>
      <c r="AL26" s="1">
        <f>2107-SUM(AI26:AK26)</f>
        <v>539</v>
      </c>
      <c r="AM26" s="1">
        <v>503</v>
      </c>
      <c r="AN26" s="1">
        <v>483</v>
      </c>
      <c r="AO26" s="1">
        <v>543</v>
      </c>
      <c r="AP26" s="1">
        <f>2252-SUM(AM26:AO26)</f>
        <v>723</v>
      </c>
      <c r="AQ26" s="1">
        <v>547</v>
      </c>
      <c r="AR26" s="1">
        <v>601</v>
      </c>
      <c r="AS26" s="1">
        <v>640</v>
      </c>
      <c r="AT26" s="1">
        <f>2455-SUM(AQ26:AS26)</f>
        <v>667</v>
      </c>
      <c r="AU26" s="1">
        <v>676</v>
      </c>
      <c r="AV26" s="1">
        <v>667</v>
      </c>
      <c r="AW26" s="1">
        <v>685</v>
      </c>
      <c r="AX26" s="1">
        <f>2837-SUM(AU26:AW26)</f>
        <v>809</v>
      </c>
      <c r="AY26" s="1">
        <v>704</v>
      </c>
      <c r="AZ26" s="1">
        <v>752</v>
      </c>
      <c r="BA26" s="1">
        <v>918</v>
      </c>
      <c r="BB26" s="1">
        <f>3286-SUM(AY26:BA26)</f>
        <v>912</v>
      </c>
      <c r="BC26" s="1">
        <v>686</v>
      </c>
      <c r="BD26" s="1">
        <v>828</v>
      </c>
      <c r="BE26" s="1">
        <v>810</v>
      </c>
      <c r="BF26" s="35"/>
      <c r="BU26" s="1">
        <f>SUM(AI26:AL26)</f>
        <v>2107</v>
      </c>
      <c r="BV26" s="1">
        <f>SUM(AM26:AP26)</f>
        <v>2252</v>
      </c>
      <c r="BW26" s="1">
        <f>SUM(AQ26:AT26)</f>
        <v>2455</v>
      </c>
      <c r="BX26" s="1">
        <f>SUM(AU26:AX26)</f>
        <v>2837</v>
      </c>
      <c r="BY26" s="1">
        <f>SUM(AY26:BB26)</f>
        <v>3286</v>
      </c>
      <c r="BZ26" s="35"/>
    </row>
    <row r="27" spans="2:78">
      <c r="B27" s="1" t="s">
        <v>186</v>
      </c>
      <c r="AI27" s="1">
        <v>267</v>
      </c>
      <c r="AJ27" s="1">
        <v>230</v>
      </c>
      <c r="AK27" s="1">
        <v>217</v>
      </c>
      <c r="AL27" s="1">
        <f>936-SUM(AI27:AK27)</f>
        <v>222</v>
      </c>
      <c r="AM27" s="1">
        <v>175</v>
      </c>
      <c r="AN27" s="1">
        <v>183</v>
      </c>
      <c r="AO27" s="1">
        <v>198</v>
      </c>
      <c r="AP27" s="1">
        <f>794-SUM(AM27:AO27)</f>
        <v>238</v>
      </c>
      <c r="AQ27" s="1">
        <v>243</v>
      </c>
      <c r="AR27" s="1">
        <v>204</v>
      </c>
      <c r="AS27" s="1">
        <v>223</v>
      </c>
      <c r="AT27" s="1">
        <f>882-SUM(AQ27:AS27)</f>
        <v>212</v>
      </c>
      <c r="AU27" s="1">
        <v>127</v>
      </c>
      <c r="AV27" s="1">
        <v>141</v>
      </c>
      <c r="AW27" s="1">
        <v>155</v>
      </c>
      <c r="AX27" s="1">
        <f>611-SUM(AU27:AW27)</f>
        <v>188</v>
      </c>
      <c r="AY27" s="1">
        <v>165</v>
      </c>
      <c r="AZ27" s="1">
        <v>197</v>
      </c>
      <c r="BA27" s="1">
        <v>181</v>
      </c>
      <c r="BB27" s="1">
        <f>785-SUM(AY27:BA27)</f>
        <v>242</v>
      </c>
      <c r="BC27" s="1">
        <v>153</v>
      </c>
      <c r="BD27" s="1">
        <v>179</v>
      </c>
      <c r="BE27" s="1">
        <v>190</v>
      </c>
      <c r="BF27" s="35"/>
      <c r="BU27" s="1">
        <f>SUM(AI27:AL27)</f>
        <v>936</v>
      </c>
      <c r="BV27" s="1">
        <f>SUM(AM27:AP27)</f>
        <v>794</v>
      </c>
      <c r="BW27" s="1">
        <f>SUM(AQ27:AT27)</f>
        <v>882</v>
      </c>
      <c r="BX27" s="1">
        <f>SUM(AU27:AX27)</f>
        <v>611</v>
      </c>
      <c r="BY27" s="1">
        <f>SUM(AY27:BB27)</f>
        <v>785</v>
      </c>
      <c r="BZ27" s="35"/>
    </row>
    <row r="28" spans="2:78" ht="15">
      <c r="B28" s="33" t="s">
        <v>53</v>
      </c>
      <c r="AI28" s="2">
        <f t="shared" ref="AI28:BC28" si="49">SUM(AI24:AI27)</f>
        <v>9157</v>
      </c>
      <c r="AJ28" s="2">
        <f t="shared" si="49"/>
        <v>9151</v>
      </c>
      <c r="AK28" s="2">
        <f t="shared" si="49"/>
        <v>8720</v>
      </c>
      <c r="AL28" s="2">
        <f t="shared" si="49"/>
        <v>8639</v>
      </c>
      <c r="AM28" s="2">
        <f t="shared" si="49"/>
        <v>8797</v>
      </c>
      <c r="AN28" s="2">
        <f t="shared" si="49"/>
        <v>8801</v>
      </c>
      <c r="AO28" s="2">
        <f t="shared" si="49"/>
        <v>8971</v>
      </c>
      <c r="AP28" s="2">
        <f t="shared" si="49"/>
        <v>10033</v>
      </c>
      <c r="AQ28" s="2">
        <f t="shared" si="49"/>
        <v>9301</v>
      </c>
      <c r="AR28" s="2">
        <f t="shared" si="49"/>
        <v>9576</v>
      </c>
      <c r="AS28" s="2">
        <f t="shared" si="49"/>
        <v>9775</v>
      </c>
      <c r="AT28" s="2">
        <f t="shared" si="49"/>
        <v>10638</v>
      </c>
      <c r="AU28" s="2">
        <f t="shared" si="49"/>
        <v>10133</v>
      </c>
      <c r="AV28" s="2">
        <f t="shared" si="49"/>
        <v>10218</v>
      </c>
      <c r="AW28" s="2">
        <f t="shared" si="49"/>
        <v>9996</v>
      </c>
      <c r="AX28" s="2">
        <f t="shared" si="49"/>
        <v>10686</v>
      </c>
      <c r="AY28" s="2">
        <f t="shared" si="49"/>
        <v>9468</v>
      </c>
      <c r="AZ28" s="2">
        <f t="shared" si="49"/>
        <v>10351</v>
      </c>
      <c r="BA28" s="2">
        <f t="shared" si="49"/>
        <v>10423</v>
      </c>
      <c r="BB28" s="2">
        <f t="shared" si="49"/>
        <v>11712</v>
      </c>
      <c r="BC28" s="2">
        <f t="shared" si="49"/>
        <v>9881</v>
      </c>
      <c r="BD28" s="2">
        <f>SUM(BD24:BD27)</f>
        <v>10876</v>
      </c>
      <c r="BE28" s="2">
        <f>SUM(BE24:BE27)</f>
        <v>11122</v>
      </c>
      <c r="BF28" s="35"/>
      <c r="BU28" s="2">
        <f>SUM(AI28:AL28)</f>
        <v>35667</v>
      </c>
      <c r="BV28" s="2">
        <f>SUM(AM28:AP28)</f>
        <v>36602</v>
      </c>
      <c r="BW28" s="2">
        <f>SUM(AQ28:AT28)</f>
        <v>39290</v>
      </c>
      <c r="BX28" s="2">
        <f>SUM(AU28:AX28)</f>
        <v>41033</v>
      </c>
      <c r="BY28" s="2">
        <f>SUM(AY28:BB28)</f>
        <v>41954</v>
      </c>
      <c r="BZ28" s="35"/>
    </row>
    <row r="29" spans="2:78">
      <c r="BE29" s="1"/>
      <c r="BF29" s="35"/>
      <c r="BZ29" s="35"/>
    </row>
    <row r="30" spans="2:78">
      <c r="B30" s="1" t="s">
        <v>187</v>
      </c>
      <c r="AI30" s="79"/>
      <c r="AJ30" s="79"/>
      <c r="AK30" s="79"/>
      <c r="AL30" s="79"/>
      <c r="AM30" s="79">
        <f t="shared" ref="AM30:BC34" si="50">AM24/AI24-1</f>
        <v>-1.833568406205921E-2</v>
      </c>
      <c r="AN30" s="79">
        <f t="shared" si="50"/>
        <v>-3.7391413823492425E-2</v>
      </c>
      <c r="AO30" s="79">
        <f t="shared" si="50"/>
        <v>2.9993364299933711E-2</v>
      </c>
      <c r="AP30" s="79">
        <f t="shared" si="50"/>
        <v>0.17319114470842334</v>
      </c>
      <c r="AQ30" s="79">
        <f t="shared" si="50"/>
        <v>6.2565308254963536E-2</v>
      </c>
      <c r="AR30" s="79">
        <f t="shared" si="50"/>
        <v>9.5213183363850318E-2</v>
      </c>
      <c r="AS30" s="79">
        <f t="shared" si="50"/>
        <v>9.9858265687411407E-2</v>
      </c>
      <c r="AT30" s="79">
        <f t="shared" si="50"/>
        <v>7.4674951098837816E-2</v>
      </c>
      <c r="AU30" s="79">
        <f t="shared" si="50"/>
        <v>0.10276582667486167</v>
      </c>
      <c r="AV30" s="79">
        <f t="shared" si="50"/>
        <v>7.8695963697157811E-2</v>
      </c>
      <c r="AW30" s="79">
        <f t="shared" si="50"/>
        <v>2.8350515463917425E-2</v>
      </c>
      <c r="AX30" s="79">
        <f t="shared" si="50"/>
        <v>-9.5289079229121665E-3</v>
      </c>
      <c r="AY30" s="79">
        <f t="shared" si="50"/>
        <v>-8.7950061308661232E-2</v>
      </c>
      <c r="AZ30" s="79">
        <f t="shared" si="50"/>
        <v>-9.1885309421011474E-3</v>
      </c>
      <c r="BA30" s="79">
        <f t="shared" si="50"/>
        <v>4.7846889952152249E-3</v>
      </c>
      <c r="BB30" s="79">
        <f t="shared" si="50"/>
        <v>8.2261377148416415E-2</v>
      </c>
      <c r="BC30" s="79">
        <f t="shared" si="50"/>
        <v>5.1087753605475461E-2</v>
      </c>
      <c r="BD30" s="79">
        <f>BD24/AZ24-1</f>
        <v>4.2793296089385535E-2</v>
      </c>
      <c r="BE30" s="79">
        <f>BE24/BA24-1</f>
        <v>9.2857142857142749E-2</v>
      </c>
      <c r="BF30" s="35"/>
      <c r="BU30" s="79"/>
      <c r="BV30" s="79">
        <f t="shared" ref="BV30:BX34" si="51">BV24/BU24-1</f>
        <v>3.4837868665471783E-2</v>
      </c>
      <c r="BW30" s="79">
        <f t="shared" si="51"/>
        <v>8.2855703218492227E-2</v>
      </c>
      <c r="BX30" s="79">
        <f t="shared" si="51"/>
        <v>4.7927875527119301E-2</v>
      </c>
      <c r="BY30" s="79">
        <f>BY24/BX24-1</f>
        <v>-1.914911331279634E-3</v>
      </c>
      <c r="BZ30" s="35"/>
    </row>
    <row r="31" spans="2:78">
      <c r="B31" s="1" t="s">
        <v>188</v>
      </c>
      <c r="AI31" s="79"/>
      <c r="AJ31" s="79"/>
      <c r="AK31" s="79"/>
      <c r="AL31" s="79"/>
      <c r="AM31" s="79">
        <f t="shared" si="50"/>
        <v>-0.17025089605734767</v>
      </c>
      <c r="AN31" s="79">
        <f t="shared" si="50"/>
        <v>0.10884353741496589</v>
      </c>
      <c r="AO31" s="79">
        <f t="shared" si="50"/>
        <v>-2.1276595744680327E-3</v>
      </c>
      <c r="AP31" s="79">
        <f t="shared" si="50"/>
        <v>-0.18936170212765957</v>
      </c>
      <c r="AQ31" s="79">
        <f t="shared" si="50"/>
        <v>-0.18790496760259179</v>
      </c>
      <c r="AR31" s="79">
        <f t="shared" si="50"/>
        <v>-0.18813905930470343</v>
      </c>
      <c r="AS31" s="79">
        <f t="shared" si="50"/>
        <v>-0.19829424307036247</v>
      </c>
      <c r="AT31" s="79">
        <f t="shared" si="50"/>
        <v>9.9737532808398921E-2</v>
      </c>
      <c r="AU31" s="79">
        <f t="shared" si="50"/>
        <v>-4.5212765957446832E-2</v>
      </c>
      <c r="AV31" s="79">
        <f t="shared" si="50"/>
        <v>-5.0377833753148638E-2</v>
      </c>
      <c r="AW31" s="79">
        <f t="shared" si="50"/>
        <v>5.3191489361701372E-3</v>
      </c>
      <c r="AX31" s="79">
        <f t="shared" si="50"/>
        <v>4.5346062052505909E-2</v>
      </c>
      <c r="AY31" s="79">
        <f t="shared" si="50"/>
        <v>0.16155988857938719</v>
      </c>
      <c r="AZ31" s="79">
        <f t="shared" si="50"/>
        <v>0.19893899204244025</v>
      </c>
      <c r="BA31" s="79">
        <f t="shared" si="50"/>
        <v>0.33333333333333326</v>
      </c>
      <c r="BB31" s="79">
        <f t="shared" si="50"/>
        <v>0.24657534246575352</v>
      </c>
      <c r="BC31" s="79">
        <f t="shared" si="50"/>
        <v>5.9952038369304628E-2</v>
      </c>
      <c r="BD31" s="79">
        <f t="shared" ref="BD31:BE34" si="52">BD25/AZ25-1</f>
        <v>0.18584070796460184</v>
      </c>
      <c r="BE31" s="79">
        <f t="shared" si="52"/>
        <v>-4.166666666666663E-2</v>
      </c>
      <c r="BF31" s="35"/>
      <c r="BU31" s="79"/>
      <c r="BV31" s="79">
        <f t="shared" si="51"/>
        <v>-7.0654976792160928E-2</v>
      </c>
      <c r="BW31" s="79">
        <f t="shared" si="51"/>
        <v>-0.12985571587125411</v>
      </c>
      <c r="BX31" s="79">
        <f t="shared" si="51"/>
        <v>-1.0204081632653073E-2</v>
      </c>
      <c r="BY31" s="79">
        <f t="shared" ref="BY31:BY34" si="53">BY25/BX25-1</f>
        <v>0.2364690721649485</v>
      </c>
      <c r="BZ31" s="35"/>
    </row>
    <row r="32" spans="2:78">
      <c r="B32" s="1" t="s">
        <v>189</v>
      </c>
      <c r="AI32" s="79"/>
      <c r="AJ32" s="79"/>
      <c r="AK32" s="79"/>
      <c r="AL32" s="79"/>
      <c r="AM32" s="79">
        <f t="shared" si="50"/>
        <v>-5.6285178236397782E-2</v>
      </c>
      <c r="AN32" s="79">
        <f t="shared" si="50"/>
        <v>-0.1005586592178771</v>
      </c>
      <c r="AO32" s="79">
        <f t="shared" si="50"/>
        <v>9.0361445783132543E-2</v>
      </c>
      <c r="AP32" s="79">
        <f t="shared" si="50"/>
        <v>0.34137291280148419</v>
      </c>
      <c r="AQ32" s="79">
        <f t="shared" si="50"/>
        <v>8.74751491053678E-2</v>
      </c>
      <c r="AR32" s="79">
        <f t="shared" si="50"/>
        <v>0.24430641821946164</v>
      </c>
      <c r="AS32" s="79">
        <f t="shared" si="50"/>
        <v>0.17863720073664835</v>
      </c>
      <c r="AT32" s="79">
        <f t="shared" si="50"/>
        <v>-7.7455048409405203E-2</v>
      </c>
      <c r="AU32" s="79">
        <f t="shared" si="50"/>
        <v>0.23583180987202934</v>
      </c>
      <c r="AV32" s="79">
        <f t="shared" si="50"/>
        <v>0.10981697171381022</v>
      </c>
      <c r="AW32" s="79">
        <f t="shared" si="50"/>
        <v>7.03125E-2</v>
      </c>
      <c r="AX32" s="79">
        <f t="shared" si="50"/>
        <v>0.21289355322338821</v>
      </c>
      <c r="AY32" s="79">
        <f t="shared" si="50"/>
        <v>4.1420118343195256E-2</v>
      </c>
      <c r="AZ32" s="79">
        <f t="shared" si="50"/>
        <v>0.12743628185907041</v>
      </c>
      <c r="BA32" s="79">
        <f t="shared" si="50"/>
        <v>0.3401459854014599</v>
      </c>
      <c r="BB32" s="79">
        <f t="shared" si="50"/>
        <v>0.12731767614338696</v>
      </c>
      <c r="BC32" s="79">
        <f t="shared" si="50"/>
        <v>-2.5568181818181768E-2</v>
      </c>
      <c r="BD32" s="79">
        <f t="shared" si="52"/>
        <v>0.10106382978723394</v>
      </c>
      <c r="BE32" s="79">
        <f t="shared" si="52"/>
        <v>-0.11764705882352944</v>
      </c>
      <c r="BF32" s="35"/>
      <c r="BU32" s="79"/>
      <c r="BV32" s="79">
        <f t="shared" si="51"/>
        <v>6.8818224964404262E-2</v>
      </c>
      <c r="BW32" s="79">
        <f t="shared" si="51"/>
        <v>9.0142095914742537E-2</v>
      </c>
      <c r="BX32" s="79">
        <f t="shared" si="51"/>
        <v>0.15560081466395115</v>
      </c>
      <c r="BY32" s="79">
        <f t="shared" si="53"/>
        <v>0.15826577370461758</v>
      </c>
      <c r="BZ32" s="35"/>
    </row>
    <row r="33" spans="2:139">
      <c r="B33" s="1" t="s">
        <v>190</v>
      </c>
      <c r="AI33" s="79"/>
      <c r="AJ33" s="79"/>
      <c r="AK33" s="79"/>
      <c r="AL33" s="79"/>
      <c r="AM33" s="79">
        <f t="shared" si="50"/>
        <v>-0.34456928838951306</v>
      </c>
      <c r="AN33" s="79">
        <f t="shared" si="50"/>
        <v>-0.20434782608695656</v>
      </c>
      <c r="AO33" s="79">
        <f t="shared" si="50"/>
        <v>-8.7557603686635899E-2</v>
      </c>
      <c r="AP33" s="79">
        <f t="shared" si="50"/>
        <v>7.2072072072072002E-2</v>
      </c>
      <c r="AQ33" s="79">
        <f t="shared" si="50"/>
        <v>0.38857142857142857</v>
      </c>
      <c r="AR33" s="79">
        <f t="shared" si="50"/>
        <v>0.11475409836065564</v>
      </c>
      <c r="AS33" s="79">
        <f t="shared" si="50"/>
        <v>0.1262626262626263</v>
      </c>
      <c r="AT33" s="79">
        <f t="shared" si="50"/>
        <v>-0.10924369747899154</v>
      </c>
      <c r="AU33" s="79">
        <f t="shared" si="50"/>
        <v>-0.47736625514403297</v>
      </c>
      <c r="AV33" s="79">
        <f t="shared" si="50"/>
        <v>-0.30882352941176472</v>
      </c>
      <c r="AW33" s="79">
        <f t="shared" si="50"/>
        <v>-0.30493273542600896</v>
      </c>
      <c r="AX33" s="79">
        <f t="shared" si="50"/>
        <v>-0.1132075471698113</v>
      </c>
      <c r="AY33" s="79">
        <f t="shared" si="50"/>
        <v>0.29921259842519676</v>
      </c>
      <c r="AZ33" s="79">
        <f t="shared" si="50"/>
        <v>0.39716312056737579</v>
      </c>
      <c r="BA33" s="79">
        <f t="shared" si="50"/>
        <v>0.16774193548387095</v>
      </c>
      <c r="BB33" s="79">
        <f t="shared" si="50"/>
        <v>0.2872340425531914</v>
      </c>
      <c r="BC33" s="79">
        <f t="shared" si="50"/>
        <v>-7.2727272727272751E-2</v>
      </c>
      <c r="BD33" s="79">
        <f t="shared" si="52"/>
        <v>-9.137055837563457E-2</v>
      </c>
      <c r="BE33" s="79">
        <f t="shared" si="52"/>
        <v>4.9723756906077332E-2</v>
      </c>
      <c r="BF33" s="35"/>
      <c r="BU33" s="79"/>
      <c r="BV33" s="79">
        <f t="shared" si="51"/>
        <v>-0.15170940170940173</v>
      </c>
      <c r="BW33" s="79">
        <f t="shared" si="51"/>
        <v>0.11083123425692687</v>
      </c>
      <c r="BX33" s="79">
        <f t="shared" si="51"/>
        <v>-0.30725623582766437</v>
      </c>
      <c r="BY33" s="79">
        <f t="shared" si="53"/>
        <v>0.28477905073649756</v>
      </c>
      <c r="BZ33" s="35"/>
    </row>
    <row r="34" spans="2:139" ht="15">
      <c r="B34" s="33" t="s">
        <v>104</v>
      </c>
      <c r="AI34" s="79"/>
      <c r="AJ34" s="79"/>
      <c r="AK34" s="79"/>
      <c r="AL34" s="79"/>
      <c r="AM34" s="79">
        <f t="shared" si="50"/>
        <v>-3.9314185868734253E-2</v>
      </c>
      <c r="AN34" s="79">
        <f t="shared" si="50"/>
        <v>-3.824718609987976E-2</v>
      </c>
      <c r="AO34" s="79">
        <f t="shared" si="50"/>
        <v>2.8784403669724679E-2</v>
      </c>
      <c r="AP34" s="79">
        <f t="shared" si="50"/>
        <v>0.16136126866535472</v>
      </c>
      <c r="AQ34" s="79">
        <f t="shared" si="50"/>
        <v>5.7292258724565226E-2</v>
      </c>
      <c r="AR34" s="79">
        <f t="shared" si="50"/>
        <v>8.805817520736281E-2</v>
      </c>
      <c r="AS34" s="79">
        <f t="shared" si="50"/>
        <v>8.9622115706164296E-2</v>
      </c>
      <c r="AT34" s="79">
        <f t="shared" si="50"/>
        <v>6.0301006677962787E-2</v>
      </c>
      <c r="AU34" s="79">
        <f t="shared" si="50"/>
        <v>8.9452747016449896E-2</v>
      </c>
      <c r="AV34" s="79">
        <f t="shared" si="50"/>
        <v>6.7042606516290792E-2</v>
      </c>
      <c r="AW34" s="79">
        <f t="shared" si="50"/>
        <v>2.2608695652173827E-2</v>
      </c>
      <c r="AX34" s="79">
        <f t="shared" si="50"/>
        <v>4.5121263395375699E-3</v>
      </c>
      <c r="AY34" s="79">
        <f t="shared" si="50"/>
        <v>-6.5627158788117979E-2</v>
      </c>
      <c r="AZ34" s="79">
        <f t="shared" si="50"/>
        <v>1.3016245840673291E-2</v>
      </c>
      <c r="BA34" s="79">
        <f t="shared" si="50"/>
        <v>4.2717086834733964E-2</v>
      </c>
      <c r="BB34" s="79">
        <f t="shared" si="50"/>
        <v>9.6013475575519314E-2</v>
      </c>
      <c r="BC34" s="79">
        <f t="shared" si="50"/>
        <v>4.362061681453322E-2</v>
      </c>
      <c r="BD34" s="79">
        <f t="shared" si="52"/>
        <v>5.0719737223456685E-2</v>
      </c>
      <c r="BE34" s="79">
        <f t="shared" si="52"/>
        <v>6.7063225558860129E-2</v>
      </c>
      <c r="BF34" s="35"/>
      <c r="BU34" s="79"/>
      <c r="BV34" s="79">
        <f t="shared" si="51"/>
        <v>2.6214708273754495E-2</v>
      </c>
      <c r="BW34" s="79">
        <f t="shared" si="51"/>
        <v>7.3438609912026775E-2</v>
      </c>
      <c r="BX34" s="79">
        <f t="shared" si="51"/>
        <v>4.4362433189106598E-2</v>
      </c>
      <c r="BY34" s="79">
        <f t="shared" si="53"/>
        <v>2.2445348865547166E-2</v>
      </c>
      <c r="BZ34" s="35"/>
    </row>
    <row r="35" spans="2:139">
      <c r="BE35" s="1"/>
      <c r="BF35" s="35"/>
      <c r="BZ35" s="35"/>
    </row>
    <row r="36" spans="2:139">
      <c r="B36" s="1" t="s">
        <v>54</v>
      </c>
      <c r="AI36" s="79">
        <f t="shared" ref="AI36:BC36" si="54">AI24/AI28</f>
        <v>0.85169815441738561</v>
      </c>
      <c r="AJ36" s="79">
        <f t="shared" si="54"/>
        <v>0.86799256911812916</v>
      </c>
      <c r="AK36" s="79">
        <f t="shared" si="54"/>
        <v>0.86410550458715596</v>
      </c>
      <c r="AL36" s="79">
        <f t="shared" si="54"/>
        <v>0.85750665586294705</v>
      </c>
      <c r="AM36" s="79">
        <f t="shared" si="54"/>
        <v>0.87029669205410931</v>
      </c>
      <c r="AN36" s="79">
        <f t="shared" si="54"/>
        <v>0.86876491307805936</v>
      </c>
      <c r="AO36" s="79">
        <f t="shared" si="54"/>
        <v>0.86512094526808603</v>
      </c>
      <c r="AP36" s="79">
        <f t="shared" si="54"/>
        <v>0.86624140336888267</v>
      </c>
      <c r="AQ36" s="79">
        <f t="shared" si="54"/>
        <v>0.87463713579185032</v>
      </c>
      <c r="AR36" s="79">
        <f t="shared" si="54"/>
        <v>0.87447786131996663</v>
      </c>
      <c r="AS36" s="79">
        <f t="shared" si="54"/>
        <v>0.87324808184143221</v>
      </c>
      <c r="AT36" s="79">
        <f t="shared" si="54"/>
        <v>0.87798458356833986</v>
      </c>
      <c r="AU36" s="79">
        <f t="shared" si="54"/>
        <v>0.8853251751702359</v>
      </c>
      <c r="AV36" s="79">
        <f t="shared" si="54"/>
        <v>0.88402818555490315</v>
      </c>
      <c r="AW36" s="79">
        <f t="shared" si="54"/>
        <v>0.87815126050420167</v>
      </c>
      <c r="AX36" s="79">
        <f t="shared" si="54"/>
        <v>0.86571214673404451</v>
      </c>
      <c r="AY36" s="79">
        <f t="shared" si="54"/>
        <v>0.8641740599915505</v>
      </c>
      <c r="AZ36" s="79">
        <f t="shared" si="54"/>
        <v>0.86465075838083272</v>
      </c>
      <c r="BA36" s="79">
        <f t="shared" si="54"/>
        <v>0.8462055070517126</v>
      </c>
      <c r="BB36" s="79">
        <f t="shared" si="54"/>
        <v>0.85484972677595628</v>
      </c>
      <c r="BC36" s="79">
        <f t="shared" si="54"/>
        <v>0.87035725129035524</v>
      </c>
      <c r="BD36" s="79">
        <f>BD24/BD28</f>
        <v>0.85812798823096725</v>
      </c>
      <c r="BE36" s="79">
        <f>BE24/BE28</f>
        <v>0.86666067254090995</v>
      </c>
      <c r="BF36" s="35"/>
      <c r="BU36" s="79">
        <f t="shared" ref="BU36:BY36" si="55">BU24/BU28</f>
        <v>0.86031906243866885</v>
      </c>
      <c r="BV36" s="79">
        <f t="shared" si="55"/>
        <v>0.86754822140866616</v>
      </c>
      <c r="BW36" s="79">
        <f t="shared" si="55"/>
        <v>0.87515907355561207</v>
      </c>
      <c r="BX36" s="79">
        <f t="shared" si="55"/>
        <v>0.87814685740745257</v>
      </c>
      <c r="BY36" s="79">
        <f t="shared" si="55"/>
        <v>0.85722457930113938</v>
      </c>
      <c r="BZ36" s="35"/>
    </row>
    <row r="37" spans="2:139">
      <c r="B37" s="1" t="s">
        <v>228</v>
      </c>
      <c r="AI37" s="79">
        <f t="shared" ref="AI37:BC37" si="56">AI25/AI28</f>
        <v>6.0936988096538171E-2</v>
      </c>
      <c r="AJ37" s="79">
        <f t="shared" si="56"/>
        <v>4.8191454485848544E-2</v>
      </c>
      <c r="AK37" s="79">
        <f t="shared" si="56"/>
        <v>5.3899082568807342E-2</v>
      </c>
      <c r="AL37" s="79">
        <f t="shared" si="56"/>
        <v>5.4404444958907283E-2</v>
      </c>
      <c r="AM37" s="79">
        <f t="shared" si="56"/>
        <v>5.2631578947368418E-2</v>
      </c>
      <c r="AN37" s="79">
        <f t="shared" si="56"/>
        <v>5.5561867969548914E-2</v>
      </c>
      <c r="AO37" s="79">
        <f t="shared" si="56"/>
        <v>5.2279567495262511E-2</v>
      </c>
      <c r="AP37" s="79">
        <f t="shared" si="56"/>
        <v>3.7974683544303799E-2</v>
      </c>
      <c r="AQ37" s="79">
        <f t="shared" si="56"/>
        <v>4.0425760670895601E-2</v>
      </c>
      <c r="AR37" s="79">
        <f t="shared" si="56"/>
        <v>4.1457811194653298E-2</v>
      </c>
      <c r="AS37" s="79">
        <f t="shared" si="56"/>
        <v>3.8465473145780048E-2</v>
      </c>
      <c r="AT37" s="79">
        <f t="shared" si="56"/>
        <v>3.9387102838879487E-2</v>
      </c>
      <c r="AU37" s="79">
        <f t="shared" si="56"/>
        <v>3.5428796999901313E-2</v>
      </c>
      <c r="AV37" s="79">
        <f t="shared" si="56"/>
        <v>3.689567430025445E-2</v>
      </c>
      <c r="AW37" s="79">
        <f t="shared" si="56"/>
        <v>3.7815126050420166E-2</v>
      </c>
      <c r="AX37" s="79">
        <f t="shared" si="56"/>
        <v>4.0988208871420552E-2</v>
      </c>
      <c r="AY37" s="79">
        <f t="shared" si="56"/>
        <v>4.4043092522179972E-2</v>
      </c>
      <c r="AZ37" s="79">
        <f t="shared" si="56"/>
        <v>4.3667278523814121E-2</v>
      </c>
      <c r="BA37" s="79">
        <f t="shared" si="56"/>
        <v>4.8354600402955E-2</v>
      </c>
      <c r="BB37" s="79">
        <f t="shared" si="56"/>
        <v>4.6618852459016397E-2</v>
      </c>
      <c r="BC37" s="79">
        <f t="shared" si="56"/>
        <v>4.4732314543062444E-2</v>
      </c>
      <c r="BD37" s="79">
        <f>BD25/BD28</f>
        <v>4.9282824567855828E-2</v>
      </c>
      <c r="BE37" s="79">
        <f>BE25/BE28</f>
        <v>4.3427441107714439E-2</v>
      </c>
      <c r="BF37" s="35"/>
      <c r="BU37" s="79">
        <f t="shared" ref="BU37:BY37" si="57">BU25/BU28</f>
        <v>5.4363977906748538E-2</v>
      </c>
      <c r="BV37" s="79">
        <f t="shared" si="57"/>
        <v>4.9232282388940493E-2</v>
      </c>
      <c r="BW37" s="79">
        <f t="shared" si="57"/>
        <v>3.990837363196742E-2</v>
      </c>
      <c r="BX37" s="79">
        <f t="shared" si="57"/>
        <v>3.7823215460726735E-2</v>
      </c>
      <c r="BY37" s="79">
        <f t="shared" si="57"/>
        <v>4.5740573008533153E-2</v>
      </c>
      <c r="BZ37" s="35"/>
    </row>
    <row r="38" spans="2:139">
      <c r="B38" s="1" t="s">
        <v>229</v>
      </c>
      <c r="AI38" s="79">
        <f t="shared" ref="AI38:BC38" si="58">AI26/AI28</f>
        <v>5.8206836300098284E-2</v>
      </c>
      <c r="AJ38" s="79">
        <f t="shared" si="58"/>
        <v>5.8682111244672715E-2</v>
      </c>
      <c r="AK38" s="79">
        <f t="shared" si="58"/>
        <v>5.7110091743119269E-2</v>
      </c>
      <c r="AL38" s="79">
        <f t="shared" si="58"/>
        <v>6.2391480495427712E-2</v>
      </c>
      <c r="AM38" s="79">
        <f t="shared" si="58"/>
        <v>5.71785836080482E-2</v>
      </c>
      <c r="AN38" s="79">
        <f t="shared" si="58"/>
        <v>5.4880127258266104E-2</v>
      </c>
      <c r="AO38" s="79">
        <f t="shared" si="58"/>
        <v>6.0528369189610971E-2</v>
      </c>
      <c r="AP38" s="79">
        <f t="shared" si="58"/>
        <v>7.2062194757300913E-2</v>
      </c>
      <c r="AQ38" s="79">
        <f t="shared" si="58"/>
        <v>5.8810880550478443E-2</v>
      </c>
      <c r="AR38" s="79">
        <f t="shared" si="58"/>
        <v>6.2761069340016712E-2</v>
      </c>
      <c r="AS38" s="79">
        <f t="shared" si="58"/>
        <v>6.5473145780051145E-2</v>
      </c>
      <c r="AT38" s="79">
        <f t="shared" si="58"/>
        <v>6.2699755593156603E-2</v>
      </c>
      <c r="AU38" s="79">
        <f t="shared" si="58"/>
        <v>6.6712720813184648E-2</v>
      </c>
      <c r="AV38" s="79">
        <f t="shared" si="58"/>
        <v>6.5276962223527107E-2</v>
      </c>
      <c r="AW38" s="79">
        <f t="shared" si="58"/>
        <v>6.8527410964385749E-2</v>
      </c>
      <c r="AX38" s="79">
        <f t="shared" si="58"/>
        <v>7.5706531910911479E-2</v>
      </c>
      <c r="AY38" s="79">
        <f t="shared" si="58"/>
        <v>7.4355724545838608E-2</v>
      </c>
      <c r="AZ38" s="79">
        <f t="shared" si="58"/>
        <v>7.2649985508646514E-2</v>
      </c>
      <c r="BA38" s="79">
        <f t="shared" si="58"/>
        <v>8.8074450733953757E-2</v>
      </c>
      <c r="BB38" s="79">
        <f t="shared" si="58"/>
        <v>7.7868852459016397E-2</v>
      </c>
      <c r="BC38" s="79">
        <f t="shared" si="58"/>
        <v>6.9426171440137643E-2</v>
      </c>
      <c r="BD38" s="79">
        <f>BD26/BD28</f>
        <v>7.6130930489150428E-2</v>
      </c>
      <c r="BE38" s="79">
        <f>BE26/BE28</f>
        <v>7.2828627944614283E-2</v>
      </c>
      <c r="BF38" s="35"/>
      <c r="BU38" s="79">
        <f t="shared" ref="BU38:BY38" si="59">BU26/BU28</f>
        <v>5.9074214259679819E-2</v>
      </c>
      <c r="BV38" s="79">
        <f t="shared" si="59"/>
        <v>6.1526692530462813E-2</v>
      </c>
      <c r="BW38" s="79">
        <f t="shared" si="59"/>
        <v>6.2484092644438785E-2</v>
      </c>
      <c r="BX38" s="79">
        <f t="shared" si="59"/>
        <v>6.9139473107011434E-2</v>
      </c>
      <c r="BY38" s="79">
        <f t="shared" si="59"/>
        <v>7.8323878533632069E-2</v>
      </c>
      <c r="BZ38" s="35"/>
    </row>
    <row r="39" spans="2:139">
      <c r="B39" s="1" t="s">
        <v>230</v>
      </c>
      <c r="AI39" s="79">
        <f t="shared" ref="AI39:BC39" si="60">AI27/AI28</f>
        <v>2.9158021185977941E-2</v>
      </c>
      <c r="AJ39" s="79">
        <f t="shared" si="60"/>
        <v>2.513386515134958E-2</v>
      </c>
      <c r="AK39" s="79">
        <f t="shared" si="60"/>
        <v>2.4885321100917433E-2</v>
      </c>
      <c r="AL39" s="79">
        <f t="shared" si="60"/>
        <v>2.5697418682717906E-2</v>
      </c>
      <c r="AM39" s="79">
        <f t="shared" si="60"/>
        <v>1.9893145390474026E-2</v>
      </c>
      <c r="AN39" s="79">
        <f t="shared" si="60"/>
        <v>2.0793091694125666E-2</v>
      </c>
      <c r="AO39" s="79">
        <f t="shared" si="60"/>
        <v>2.2071118047040462E-2</v>
      </c>
      <c r="AP39" s="79">
        <f t="shared" si="60"/>
        <v>2.3721718329512607E-2</v>
      </c>
      <c r="AQ39" s="79">
        <f t="shared" si="60"/>
        <v>2.6126222986775617E-2</v>
      </c>
      <c r="AR39" s="79">
        <f t="shared" si="60"/>
        <v>2.1303258145363407E-2</v>
      </c>
      <c r="AS39" s="79">
        <f t="shared" si="60"/>
        <v>2.2813299232736572E-2</v>
      </c>
      <c r="AT39" s="79">
        <f t="shared" si="60"/>
        <v>1.9928557999623991E-2</v>
      </c>
      <c r="AU39" s="79">
        <f t="shared" si="60"/>
        <v>1.253330701667818E-2</v>
      </c>
      <c r="AV39" s="79">
        <f t="shared" si="60"/>
        <v>1.3799177921315325E-2</v>
      </c>
      <c r="AW39" s="79">
        <f t="shared" si="60"/>
        <v>1.5506202480992397E-2</v>
      </c>
      <c r="AX39" s="79">
        <f t="shared" si="60"/>
        <v>1.7593112483623434E-2</v>
      </c>
      <c r="AY39" s="79">
        <f t="shared" si="60"/>
        <v>1.7427122940430924E-2</v>
      </c>
      <c r="AZ39" s="79">
        <f t="shared" si="60"/>
        <v>1.9031977586706599E-2</v>
      </c>
      <c r="BA39" s="79">
        <f t="shared" si="60"/>
        <v>1.7365441811378682E-2</v>
      </c>
      <c r="BB39" s="79">
        <f t="shared" si="60"/>
        <v>2.0662568306010928E-2</v>
      </c>
      <c r="BC39" s="79">
        <f t="shared" si="60"/>
        <v>1.5484262726444691E-2</v>
      </c>
      <c r="BD39" s="79">
        <f>BD27/BD28</f>
        <v>1.645825671202648E-2</v>
      </c>
      <c r="BE39" s="79">
        <f>BE27/BE28</f>
        <v>1.7083258406761375E-2</v>
      </c>
      <c r="BF39" s="35"/>
      <c r="BU39" s="79">
        <f t="shared" ref="BU39:BY39" si="61">BU27/BU28</f>
        <v>2.6242745394902851E-2</v>
      </c>
      <c r="BV39" s="79">
        <f t="shared" si="61"/>
        <v>2.1692803671930494E-2</v>
      </c>
      <c r="BW39" s="79">
        <f t="shared" si="61"/>
        <v>2.2448460167981674E-2</v>
      </c>
      <c r="BX39" s="79">
        <f t="shared" si="61"/>
        <v>1.48904540248093E-2</v>
      </c>
      <c r="BY39" s="79">
        <f t="shared" si="61"/>
        <v>1.8710969156695428E-2</v>
      </c>
      <c r="BZ39" s="35"/>
    </row>
    <row r="40" spans="2:139">
      <c r="BE40" s="1"/>
      <c r="BF40" s="35"/>
      <c r="BZ40" s="35"/>
    </row>
    <row r="41" spans="2:139" s="2" customFormat="1" ht="15">
      <c r="B41" s="2" t="s">
        <v>52</v>
      </c>
      <c r="C41" s="2">
        <v>6104</v>
      </c>
      <c r="D41" s="2">
        <v>6294</v>
      </c>
      <c r="E41" s="2">
        <v>6106</v>
      </c>
      <c r="F41" s="2">
        <v>6157</v>
      </c>
      <c r="G41" s="2">
        <v>5848</v>
      </c>
      <c r="H41" s="2">
        <v>6039</v>
      </c>
      <c r="I41" s="2">
        <v>5984</v>
      </c>
      <c r="J41" s="2">
        <v>6108</v>
      </c>
      <c r="K41" s="2">
        <v>5957</v>
      </c>
      <c r="L41" s="2">
        <v>5896</v>
      </c>
      <c r="M41" s="2">
        <v>5979</v>
      </c>
      <c r="N41" s="2">
        <v>5694</v>
      </c>
      <c r="O41" s="2">
        <v>5956</v>
      </c>
      <c r="P41" s="2">
        <v>6000</v>
      </c>
      <c r="Q41" s="2">
        <v>6155</v>
      </c>
      <c r="R41" s="2">
        <v>6595</v>
      </c>
      <c r="S41" s="2">
        <v>6410</v>
      </c>
      <c r="T41" s="2">
        <v>6473</v>
      </c>
      <c r="U41" s="2">
        <v>6569</v>
      </c>
      <c r="V41" s="2">
        <v>6552</v>
      </c>
      <c r="W41" s="2">
        <v>6735</v>
      </c>
      <c r="X41" s="2">
        <v>7119</v>
      </c>
      <c r="Y41" s="2">
        <v>8085</v>
      </c>
      <c r="Z41" s="2">
        <v>8156</v>
      </c>
      <c r="AA41" s="2">
        <v>8189</v>
      </c>
      <c r="AB41" s="2">
        <v>8456</v>
      </c>
      <c r="AC41" s="2">
        <v>8475</v>
      </c>
      <c r="AD41" s="2">
        <v>8721</v>
      </c>
      <c r="AE41" s="2">
        <v>8620</v>
      </c>
      <c r="AF41" s="2">
        <v>8884</v>
      </c>
      <c r="AG41" s="2">
        <v>9083</v>
      </c>
      <c r="AH41" s="2">
        <v>10212</v>
      </c>
      <c r="AI41" s="2">
        <v>9157</v>
      </c>
      <c r="AJ41" s="2">
        <v>9151</v>
      </c>
      <c r="AK41" s="2">
        <v>8720</v>
      </c>
      <c r="AL41" s="2">
        <v>8639</v>
      </c>
      <c r="AM41" s="2">
        <v>8797</v>
      </c>
      <c r="AN41" s="2">
        <v>8801</v>
      </c>
      <c r="AO41" s="2">
        <v>8971</v>
      </c>
      <c r="AP41" s="2">
        <v>10033</v>
      </c>
      <c r="AQ41" s="2">
        <f t="shared" ref="AQ41:BD41" si="62">AQ9</f>
        <v>9301</v>
      </c>
      <c r="AR41" s="2">
        <f t="shared" si="62"/>
        <v>9576</v>
      </c>
      <c r="AS41" s="2">
        <f t="shared" si="62"/>
        <v>9775</v>
      </c>
      <c r="AT41" s="2">
        <f t="shared" si="62"/>
        <v>10638</v>
      </c>
      <c r="AU41" s="2">
        <f t="shared" si="62"/>
        <v>10133</v>
      </c>
      <c r="AV41" s="2">
        <f t="shared" si="62"/>
        <v>10218</v>
      </c>
      <c r="AW41" s="2">
        <f t="shared" si="62"/>
        <v>9996</v>
      </c>
      <c r="AX41" s="2">
        <f t="shared" si="62"/>
        <v>10686</v>
      </c>
      <c r="AY41" s="2">
        <f t="shared" si="62"/>
        <v>9468</v>
      </c>
      <c r="AZ41" s="2">
        <f t="shared" si="62"/>
        <v>10351</v>
      </c>
      <c r="BA41" s="2">
        <f t="shared" si="62"/>
        <v>10423</v>
      </c>
      <c r="BB41" s="2">
        <f t="shared" si="62"/>
        <v>11712</v>
      </c>
      <c r="BC41" s="2">
        <f t="shared" si="62"/>
        <v>9881</v>
      </c>
      <c r="BD41" s="2">
        <f t="shared" si="62"/>
        <v>10876</v>
      </c>
      <c r="BE41" s="2">
        <f t="shared" ref="BE41" si="63">BE9</f>
        <v>11122</v>
      </c>
      <c r="BF41" s="88"/>
      <c r="BM41" s="2">
        <f t="shared" ref="BM41:BM51" si="64">SUM(C41:F41)</f>
        <v>24661</v>
      </c>
      <c r="BN41" s="2">
        <f t="shared" ref="BN41:BN51" si="65">SUM(G41:J41)</f>
        <v>23979</v>
      </c>
      <c r="BO41" s="2">
        <f t="shared" ref="BO41:BO51" si="66">SUM(K41:N41)</f>
        <v>23526</v>
      </c>
      <c r="BP41" s="2">
        <f t="shared" ref="BP41:BP51" si="67">SUM(O41:R41)</f>
        <v>24706</v>
      </c>
      <c r="BQ41" s="2">
        <f t="shared" ref="BQ41:BQ51" si="68">SUM(S41:V41)</f>
        <v>26004</v>
      </c>
      <c r="BR41" s="2">
        <f t="shared" ref="BR41:BR51" si="69">SUM(W41:Z41)</f>
        <v>30095</v>
      </c>
      <c r="BS41" s="2">
        <f t="shared" ref="BS41:BS51" si="70">SUM(AA41:AD41)</f>
        <v>33841</v>
      </c>
      <c r="BT41" s="2">
        <f t="shared" ref="BT41:BT51" si="71">SUM(AE41:AH41)</f>
        <v>36799</v>
      </c>
      <c r="BU41" s="2">
        <f t="shared" ref="BU41:BU51" si="72">SUM(AI41:AL41)</f>
        <v>35667</v>
      </c>
      <c r="BV41" s="2">
        <f t="shared" ref="BV41:BV51" si="73">SUM(AM41:AP41)</f>
        <v>36602</v>
      </c>
      <c r="BW41" s="2">
        <f t="shared" ref="BW41:BW51" si="74">SUM(AQ41:AT41)</f>
        <v>39290</v>
      </c>
      <c r="BX41" s="2">
        <f t="shared" ref="BX41:BX51" si="75">SUM(AU41:AX41)</f>
        <v>41033</v>
      </c>
      <c r="BY41" s="2">
        <f t="shared" ref="BY41:BY51" si="76">SUM(AY41:BB41)</f>
        <v>41954</v>
      </c>
      <c r="BZ41" s="88">
        <f>BZ9</f>
        <v>44276.67</v>
      </c>
      <c r="CA41" s="88">
        <f t="shared" ref="CA41:CI41" si="77">CA9</f>
        <v>46977.964820000001</v>
      </c>
      <c r="CB41" s="88">
        <f t="shared" si="77"/>
        <v>49197.96235116</v>
      </c>
      <c r="CC41" s="88">
        <f t="shared" si="77"/>
        <v>50886.603818335316</v>
      </c>
      <c r="CD41" s="88">
        <f t="shared" si="77"/>
        <v>52421.163374448748</v>
      </c>
      <c r="CE41" s="88">
        <f t="shared" si="77"/>
        <v>53854.272939874019</v>
      </c>
      <c r="CF41" s="88">
        <f t="shared" si="77"/>
        <v>55174.012298197958</v>
      </c>
      <c r="CG41" s="88">
        <f t="shared" si="77"/>
        <v>56369.253321435608</v>
      </c>
      <c r="CH41" s="88">
        <f t="shared" si="77"/>
        <v>57468.899089137842</v>
      </c>
      <c r="CI41" s="88">
        <f t="shared" si="77"/>
        <v>58493.280299975871</v>
      </c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</row>
    <row r="42" spans="2:139">
      <c r="B42" s="1" t="s">
        <v>55</v>
      </c>
      <c r="C42" s="1">
        <v>4787</v>
      </c>
      <c r="D42" s="1">
        <v>4906</v>
      </c>
      <c r="E42" s="1">
        <v>4761</v>
      </c>
      <c r="F42" s="1">
        <v>4828</v>
      </c>
      <c r="G42" s="1">
        <v>4461</v>
      </c>
      <c r="H42" s="1">
        <v>4629</v>
      </c>
      <c r="I42" s="1">
        <v>4635</v>
      </c>
      <c r="J42" s="1">
        <v>4653</v>
      </c>
      <c r="K42" s="1">
        <v>4542</v>
      </c>
      <c r="L42" s="1">
        <v>4442</v>
      </c>
      <c r="M42" s="1">
        <v>4522</v>
      </c>
      <c r="N42" s="1">
        <v>4378</v>
      </c>
      <c r="O42" s="1">
        <v>4561</v>
      </c>
      <c r="P42" s="1">
        <v>4583</v>
      </c>
      <c r="Q42" s="1">
        <v>4667</v>
      </c>
      <c r="R42" s="1">
        <v>4986</v>
      </c>
      <c r="S42" s="1">
        <v>4850</v>
      </c>
      <c r="T42" s="1">
        <v>4914</v>
      </c>
      <c r="U42" s="1">
        <v>5053</v>
      </c>
      <c r="V42" s="1">
        <v>5257</v>
      </c>
      <c r="W42" s="1">
        <v>5176</v>
      </c>
      <c r="X42" s="1">
        <v>5563</v>
      </c>
      <c r="Y42" s="1">
        <v>6096</v>
      </c>
      <c r="Z42" s="1">
        <v>6469</v>
      </c>
      <c r="AA42" s="1">
        <v>6493</v>
      </c>
      <c r="AB42" s="1">
        <v>6726</v>
      </c>
      <c r="AC42" s="1">
        <v>6748</v>
      </c>
      <c r="AD42" s="1">
        <v>6615</v>
      </c>
      <c r="AE42" s="1">
        <v>6898</v>
      </c>
      <c r="AF42" s="1">
        <v>7058</v>
      </c>
      <c r="AG42" s="1">
        <v>7243</v>
      </c>
      <c r="AH42" s="1">
        <v>8122</v>
      </c>
      <c r="AI42" s="1">
        <v>7417</v>
      </c>
      <c r="AJ42" s="1">
        <v>7108</v>
      </c>
      <c r="AK42" s="1">
        <v>6786</v>
      </c>
      <c r="AL42" s="1">
        <v>7088</v>
      </c>
      <c r="AM42" s="1">
        <v>6924</v>
      </c>
      <c r="AN42" s="1">
        <v>6842</v>
      </c>
      <c r="AO42" s="1">
        <v>7153</v>
      </c>
      <c r="AP42" s="1">
        <v>8209</v>
      </c>
      <c r="AQ42" s="1">
        <f>5727+1589</f>
        <v>7316</v>
      </c>
      <c r="AR42" s="1">
        <f>5876+1660</f>
        <v>7536</v>
      </c>
      <c r="AS42" s="1">
        <f>6135+1599</f>
        <v>7734</v>
      </c>
      <c r="AT42" s="1">
        <f>26226+6513-SUM(AQ42:AS42)</f>
        <v>10153</v>
      </c>
      <c r="AU42" s="1">
        <f>6411+1589</f>
        <v>8000</v>
      </c>
      <c r="AV42" s="1">
        <f>6388+1639</f>
        <v>8027</v>
      </c>
      <c r="AW42" s="1">
        <f>6280+1610</f>
        <v>7890</v>
      </c>
      <c r="AX42" s="1">
        <f>26188+6483-SUM(AU42:AW42)</f>
        <v>8754</v>
      </c>
      <c r="AY42" s="1">
        <f>6366+1522</f>
        <v>7888</v>
      </c>
      <c r="AZ42" s="1">
        <f>6526+1615</f>
        <v>8141</v>
      </c>
      <c r="BA42" s="1">
        <f>6631+1565</f>
        <v>8196</v>
      </c>
      <c r="BB42" s="1">
        <f>27280+6361-SUM(AY42:BA42)</f>
        <v>9416</v>
      </c>
      <c r="BC42" s="1">
        <f>6433+1488</f>
        <v>7921</v>
      </c>
      <c r="BD42" s="1">
        <f>7155+1600</f>
        <v>8755</v>
      </c>
      <c r="BE42" s="1">
        <f>7198+1572</f>
        <v>8770</v>
      </c>
      <c r="BF42" s="63"/>
      <c r="BM42" s="1">
        <f t="shared" si="64"/>
        <v>19282</v>
      </c>
      <c r="BN42" s="1">
        <f t="shared" si="65"/>
        <v>18378</v>
      </c>
      <c r="BO42" s="1">
        <f t="shared" si="66"/>
        <v>17884</v>
      </c>
      <c r="BP42" s="1">
        <f t="shared" si="67"/>
        <v>18797</v>
      </c>
      <c r="BQ42" s="1">
        <f t="shared" si="68"/>
        <v>20074</v>
      </c>
      <c r="BR42" s="1">
        <f t="shared" si="69"/>
        <v>23304</v>
      </c>
      <c r="BS42" s="1">
        <f t="shared" si="70"/>
        <v>26582</v>
      </c>
      <c r="BT42" s="1">
        <f t="shared" si="71"/>
        <v>29321</v>
      </c>
      <c r="BU42" s="1">
        <f t="shared" si="72"/>
        <v>28399</v>
      </c>
      <c r="BV42" s="1">
        <f t="shared" si="73"/>
        <v>29128</v>
      </c>
      <c r="BW42" s="1">
        <f t="shared" si="74"/>
        <v>32739</v>
      </c>
      <c r="BX42" s="1">
        <f t="shared" si="75"/>
        <v>32671</v>
      </c>
      <c r="BY42" s="1">
        <f t="shared" si="76"/>
        <v>33641</v>
      </c>
      <c r="BZ42" s="63">
        <f>BZ41*(1-BZ55)</f>
        <v>35503.443187062017</v>
      </c>
      <c r="CA42" s="63">
        <f t="shared" ref="CA42:CI42" si="78">CA41*(1-CA55)</f>
        <v>37347.482031899999</v>
      </c>
      <c r="CB42" s="63">
        <f t="shared" si="78"/>
        <v>38866.390257416402</v>
      </c>
      <c r="CC42" s="63">
        <f t="shared" si="78"/>
        <v>39945.983997393225</v>
      </c>
      <c r="CD42" s="63">
        <f t="shared" si="78"/>
        <v>40888.507432070022</v>
      </c>
      <c r="CE42" s="63">
        <f t="shared" si="78"/>
        <v>41952.478620161863</v>
      </c>
      <c r="CF42" s="63">
        <f t="shared" si="78"/>
        <v>42925.381567998011</v>
      </c>
      <c r="CG42" s="63">
        <f t="shared" si="78"/>
        <v>43798.909830755467</v>
      </c>
      <c r="CH42" s="63">
        <f t="shared" si="78"/>
        <v>44595.865693170963</v>
      </c>
      <c r="CI42" s="63">
        <f t="shared" si="78"/>
        <v>45332.292232481304</v>
      </c>
    </row>
    <row r="43" spans="2:139">
      <c r="B43" s="1" t="s">
        <v>56</v>
      </c>
      <c r="C43" s="1">
        <f t="shared" ref="C43:AY43" si="79">C41-C42</f>
        <v>1317</v>
      </c>
      <c r="D43" s="1">
        <f t="shared" si="79"/>
        <v>1388</v>
      </c>
      <c r="E43" s="1">
        <f t="shared" si="79"/>
        <v>1345</v>
      </c>
      <c r="F43" s="1">
        <f t="shared" si="79"/>
        <v>1329</v>
      </c>
      <c r="G43" s="1">
        <f t="shared" si="79"/>
        <v>1387</v>
      </c>
      <c r="H43" s="1">
        <f t="shared" si="79"/>
        <v>1410</v>
      </c>
      <c r="I43" s="1">
        <f t="shared" si="79"/>
        <v>1349</v>
      </c>
      <c r="J43" s="1">
        <f t="shared" si="79"/>
        <v>1455</v>
      </c>
      <c r="K43" s="1">
        <f t="shared" si="79"/>
        <v>1415</v>
      </c>
      <c r="L43" s="1">
        <f t="shared" si="79"/>
        <v>1454</v>
      </c>
      <c r="M43" s="1">
        <f t="shared" si="79"/>
        <v>1457</v>
      </c>
      <c r="N43" s="1">
        <f t="shared" si="79"/>
        <v>1316</v>
      </c>
      <c r="O43" s="1">
        <f t="shared" si="79"/>
        <v>1395</v>
      </c>
      <c r="P43" s="1">
        <f t="shared" si="79"/>
        <v>1417</v>
      </c>
      <c r="Q43" s="1">
        <f t="shared" si="79"/>
        <v>1488</v>
      </c>
      <c r="R43" s="1">
        <f t="shared" si="79"/>
        <v>1609</v>
      </c>
      <c r="S43" s="1">
        <f t="shared" si="79"/>
        <v>1560</v>
      </c>
      <c r="T43" s="1">
        <f t="shared" si="79"/>
        <v>1559</v>
      </c>
      <c r="U43" s="1">
        <f t="shared" si="79"/>
        <v>1516</v>
      </c>
      <c r="V43" s="1">
        <f t="shared" si="79"/>
        <v>1295</v>
      </c>
      <c r="W43" s="1">
        <f t="shared" si="79"/>
        <v>1559</v>
      </c>
      <c r="X43" s="1">
        <f t="shared" si="79"/>
        <v>1556</v>
      </c>
      <c r="Y43" s="1">
        <f t="shared" si="79"/>
        <v>1989</v>
      </c>
      <c r="Z43" s="1">
        <f t="shared" si="79"/>
        <v>1687</v>
      </c>
      <c r="AA43" s="1">
        <f t="shared" si="79"/>
        <v>1696</v>
      </c>
      <c r="AB43" s="1">
        <f t="shared" si="79"/>
        <v>1730</v>
      </c>
      <c r="AC43" s="1">
        <f t="shared" si="79"/>
        <v>1727</v>
      </c>
      <c r="AD43" s="1">
        <f t="shared" si="79"/>
        <v>2106</v>
      </c>
      <c r="AE43" s="1">
        <f t="shared" si="79"/>
        <v>1722</v>
      </c>
      <c r="AF43" s="1">
        <f t="shared" si="79"/>
        <v>1826</v>
      </c>
      <c r="AG43" s="1">
        <f t="shared" si="79"/>
        <v>1840</v>
      </c>
      <c r="AH43" s="1">
        <f t="shared" si="79"/>
        <v>2090</v>
      </c>
      <c r="AI43" s="1">
        <f t="shared" si="79"/>
        <v>1740</v>
      </c>
      <c r="AJ43" s="1">
        <f t="shared" si="79"/>
        <v>2043</v>
      </c>
      <c r="AK43" s="1">
        <f t="shared" si="79"/>
        <v>1934</v>
      </c>
      <c r="AL43" s="1">
        <f t="shared" si="79"/>
        <v>1551</v>
      </c>
      <c r="AM43" s="1">
        <f t="shared" si="79"/>
        <v>1873</v>
      </c>
      <c r="AN43" s="1">
        <f t="shared" si="79"/>
        <v>1959</v>
      </c>
      <c r="AO43" s="1">
        <f t="shared" si="79"/>
        <v>1818</v>
      </c>
      <c r="AP43" s="1">
        <f t="shared" si="79"/>
        <v>1824</v>
      </c>
      <c r="AQ43" s="1">
        <f t="shared" si="79"/>
        <v>1985</v>
      </c>
      <c r="AR43" s="1">
        <f t="shared" si="79"/>
        <v>2040</v>
      </c>
      <c r="AS43" s="1">
        <f t="shared" si="79"/>
        <v>2041</v>
      </c>
      <c r="AT43" s="1">
        <f t="shared" si="79"/>
        <v>485</v>
      </c>
      <c r="AU43" s="1">
        <f t="shared" si="79"/>
        <v>2133</v>
      </c>
      <c r="AV43" s="1">
        <f t="shared" si="79"/>
        <v>2191</v>
      </c>
      <c r="AW43" s="1">
        <f t="shared" si="79"/>
        <v>2106</v>
      </c>
      <c r="AX43" s="1">
        <f t="shared" si="79"/>
        <v>1932</v>
      </c>
      <c r="AY43" s="1">
        <f t="shared" si="79"/>
        <v>1580</v>
      </c>
      <c r="AZ43" s="1">
        <f t="shared" ref="AZ43:BB43" si="80">AZ41-AZ42</f>
        <v>2210</v>
      </c>
      <c r="BA43" s="1">
        <f t="shared" si="80"/>
        <v>2227</v>
      </c>
      <c r="BB43" s="1">
        <f t="shared" si="80"/>
        <v>2296</v>
      </c>
      <c r="BC43" s="1">
        <f t="shared" ref="BC43:BD43" si="81">BC41-BC42</f>
        <v>1960</v>
      </c>
      <c r="BD43" s="1">
        <f t="shared" si="81"/>
        <v>2121</v>
      </c>
      <c r="BE43" s="1">
        <f t="shared" ref="BE43" si="82">BE41-BE42</f>
        <v>2352</v>
      </c>
      <c r="BF43" s="63"/>
      <c r="BM43" s="1">
        <f t="shared" si="64"/>
        <v>5379</v>
      </c>
      <c r="BN43" s="1">
        <f t="shared" si="65"/>
        <v>5601</v>
      </c>
      <c r="BO43" s="1">
        <f t="shared" si="66"/>
        <v>5642</v>
      </c>
      <c r="BP43" s="1">
        <f t="shared" si="67"/>
        <v>5909</v>
      </c>
      <c r="BQ43" s="1">
        <f t="shared" si="68"/>
        <v>5930</v>
      </c>
      <c r="BR43" s="1">
        <f t="shared" si="69"/>
        <v>6791</v>
      </c>
      <c r="BS43" s="1">
        <f t="shared" si="70"/>
        <v>7259</v>
      </c>
      <c r="BT43" s="1">
        <f t="shared" si="71"/>
        <v>7478</v>
      </c>
      <c r="BU43" s="1">
        <f t="shared" si="72"/>
        <v>7268</v>
      </c>
      <c r="BV43" s="1">
        <f t="shared" si="73"/>
        <v>7474</v>
      </c>
      <c r="BW43" s="1">
        <f t="shared" si="74"/>
        <v>6551</v>
      </c>
      <c r="BX43" s="1">
        <f t="shared" si="75"/>
        <v>8362</v>
      </c>
      <c r="BY43" s="1">
        <f t="shared" si="76"/>
        <v>8313</v>
      </c>
      <c r="BZ43" s="63">
        <f>BZ41-BZ42</f>
        <v>8773.2268129379809</v>
      </c>
      <c r="CA43" s="63">
        <f t="shared" ref="CA43:CI43" si="83">CA41-CA42</f>
        <v>9630.4827881000019</v>
      </c>
      <c r="CB43" s="63">
        <f t="shared" si="83"/>
        <v>10331.572093743598</v>
      </c>
      <c r="CC43" s="63">
        <f t="shared" si="83"/>
        <v>10940.619820942091</v>
      </c>
      <c r="CD43" s="63">
        <f t="shared" si="83"/>
        <v>11532.655942378726</v>
      </c>
      <c r="CE43" s="63">
        <f t="shared" si="83"/>
        <v>11901.794319712157</v>
      </c>
      <c r="CF43" s="63">
        <f t="shared" si="83"/>
        <v>12248.630730199948</v>
      </c>
      <c r="CG43" s="63">
        <f t="shared" si="83"/>
        <v>12570.343490680141</v>
      </c>
      <c r="CH43" s="63">
        <f t="shared" si="83"/>
        <v>12873.033395966879</v>
      </c>
      <c r="CI43" s="63">
        <f t="shared" si="83"/>
        <v>13160.988067494567</v>
      </c>
    </row>
    <row r="44" spans="2:139">
      <c r="B44" s="1" t="s">
        <v>194</v>
      </c>
      <c r="C44" s="1">
        <v>558</v>
      </c>
      <c r="D44" s="1">
        <v>582</v>
      </c>
      <c r="E44" s="1">
        <v>555</v>
      </c>
      <c r="F44" s="1">
        <v>561</v>
      </c>
      <c r="G44" s="1">
        <v>542</v>
      </c>
      <c r="H44" s="1">
        <v>590</v>
      </c>
      <c r="I44" s="1">
        <v>580</v>
      </c>
      <c r="J44" s="1">
        <v>693</v>
      </c>
      <c r="K44" s="1">
        <v>635</v>
      </c>
      <c r="L44" s="1">
        <v>641</v>
      </c>
      <c r="M44" s="1">
        <v>663</v>
      </c>
      <c r="N44" s="1">
        <v>627</v>
      </c>
      <c r="O44" s="1">
        <v>656</v>
      </c>
      <c r="P44" s="1">
        <v>620</v>
      </c>
      <c r="Q44" s="1">
        <v>662</v>
      </c>
      <c r="R44" s="1">
        <v>694</v>
      </c>
      <c r="S44" s="1">
        <v>698</v>
      </c>
      <c r="T44" s="1">
        <v>686</v>
      </c>
      <c r="U44" s="1">
        <v>679</v>
      </c>
      <c r="V44" s="1">
        <v>649</v>
      </c>
      <c r="W44" s="1">
        <v>711</v>
      </c>
      <c r="X44" s="1">
        <v>739</v>
      </c>
      <c r="Y44" s="1">
        <v>817</v>
      </c>
      <c r="Z44" s="1">
        <v>744</v>
      </c>
      <c r="AA44" s="1">
        <v>760</v>
      </c>
      <c r="AB44" s="1">
        <v>784</v>
      </c>
      <c r="AC44" s="1">
        <v>776</v>
      </c>
      <c r="AD44" s="1">
        <v>970</v>
      </c>
      <c r="AE44" s="1">
        <v>788</v>
      </c>
      <c r="AF44" s="1">
        <v>832</v>
      </c>
      <c r="AG44" s="1">
        <v>855</v>
      </c>
      <c r="AH44" s="1">
        <v>938</v>
      </c>
      <c r="AI44" s="1">
        <v>898</v>
      </c>
      <c r="AJ44" s="1">
        <v>999</v>
      </c>
      <c r="AK44" s="1">
        <v>891</v>
      </c>
      <c r="AL44" s="1">
        <v>809</v>
      </c>
      <c r="AM44" s="1">
        <v>976</v>
      </c>
      <c r="AN44" s="1">
        <v>1005</v>
      </c>
      <c r="AO44" s="1">
        <v>974</v>
      </c>
      <c r="AP44" s="1">
        <v>918</v>
      </c>
      <c r="AQ44" s="1">
        <v>1038</v>
      </c>
      <c r="AR44" s="1">
        <v>1073</v>
      </c>
      <c r="AS44" s="1">
        <v>1025</v>
      </c>
      <c r="AT44" s="1">
        <f>4014-SUM(AQ44:AS44)</f>
        <v>878</v>
      </c>
      <c r="AU44" s="1">
        <v>1062</v>
      </c>
      <c r="AV44" s="1">
        <v>1101</v>
      </c>
      <c r="AW44" s="1">
        <v>986</v>
      </c>
      <c r="AX44" s="1">
        <f>3992-SUM(AU44:AW44)</f>
        <v>843</v>
      </c>
      <c r="AY44" s="1">
        <v>1007</v>
      </c>
      <c r="AZ44" s="1">
        <v>1016</v>
      </c>
      <c r="BA44" s="1">
        <v>985</v>
      </c>
      <c r="BB44" s="1">
        <f>4033-SUM(AY44:BA44)</f>
        <v>1025</v>
      </c>
      <c r="BC44" s="1">
        <v>971</v>
      </c>
      <c r="BD44" s="1">
        <v>1025</v>
      </c>
      <c r="BE44" s="1">
        <v>1083</v>
      </c>
      <c r="BF44" s="63"/>
      <c r="BM44" s="1">
        <f t="shared" si="64"/>
        <v>2256</v>
      </c>
      <c r="BN44" s="1">
        <f t="shared" si="65"/>
        <v>2405</v>
      </c>
      <c r="BO44" s="1">
        <f t="shared" si="66"/>
        <v>2566</v>
      </c>
      <c r="BP44" s="1">
        <f t="shared" si="67"/>
        <v>2632</v>
      </c>
      <c r="BQ44" s="1">
        <f t="shared" si="68"/>
        <v>2712</v>
      </c>
      <c r="BR44" s="1">
        <f t="shared" si="69"/>
        <v>3011</v>
      </c>
      <c r="BS44" s="1">
        <f t="shared" si="70"/>
        <v>3290</v>
      </c>
      <c r="BT44" s="1">
        <f t="shared" si="71"/>
        <v>3413</v>
      </c>
      <c r="BU44" s="1">
        <f t="shared" si="72"/>
        <v>3597</v>
      </c>
      <c r="BV44" s="1">
        <f t="shared" si="73"/>
        <v>3873</v>
      </c>
      <c r="BW44" s="1">
        <f t="shared" si="74"/>
        <v>4014</v>
      </c>
      <c r="BX44" s="1">
        <f t="shared" si="75"/>
        <v>3992</v>
      </c>
      <c r="BY44" s="1">
        <f t="shared" si="76"/>
        <v>4033</v>
      </c>
      <c r="BZ44" s="63">
        <f>BZ41*BZ56</f>
        <v>4256.2761622252938</v>
      </c>
      <c r="CA44" s="63">
        <f t="shared" ref="CA44:CI44" si="84">CA41*CA56</f>
        <v>4515.9491852757783</v>
      </c>
      <c r="CB44" s="63">
        <f t="shared" si="84"/>
        <v>4729.3555361164199</v>
      </c>
      <c r="CC44" s="63">
        <f t="shared" si="84"/>
        <v>4891.6831100573563</v>
      </c>
      <c r="CD44" s="63">
        <f t="shared" si="84"/>
        <v>5039.1989295216617</v>
      </c>
      <c r="CE44" s="63">
        <f t="shared" si="84"/>
        <v>5176.9624533182032</v>
      </c>
      <c r="CF44" s="63">
        <f t="shared" si="84"/>
        <v>5303.8278018456485</v>
      </c>
      <c r="CG44" s="63">
        <f t="shared" si="84"/>
        <v>5418.7252382454544</v>
      </c>
      <c r="CH44" s="63">
        <f t="shared" si="84"/>
        <v>5524.4331893619892</v>
      </c>
      <c r="CI44" s="63">
        <f t="shared" si="84"/>
        <v>5622.9060268342155</v>
      </c>
    </row>
    <row r="45" spans="2:139">
      <c r="B45" s="1" t="s">
        <v>195</v>
      </c>
      <c r="C45" s="1">
        <f t="shared" ref="C45:AX45" si="85">C43-C44</f>
        <v>759</v>
      </c>
      <c r="D45" s="1">
        <f t="shared" si="85"/>
        <v>806</v>
      </c>
      <c r="E45" s="1">
        <f t="shared" si="85"/>
        <v>790</v>
      </c>
      <c r="F45" s="1">
        <f t="shared" si="85"/>
        <v>768</v>
      </c>
      <c r="G45" s="1">
        <f t="shared" si="85"/>
        <v>845</v>
      </c>
      <c r="H45" s="1">
        <f t="shared" si="85"/>
        <v>820</v>
      </c>
      <c r="I45" s="1">
        <f t="shared" si="85"/>
        <v>769</v>
      </c>
      <c r="J45" s="1">
        <f t="shared" si="85"/>
        <v>762</v>
      </c>
      <c r="K45" s="1">
        <f t="shared" si="85"/>
        <v>780</v>
      </c>
      <c r="L45" s="1">
        <f t="shared" si="85"/>
        <v>813</v>
      </c>
      <c r="M45" s="1">
        <f t="shared" si="85"/>
        <v>794</v>
      </c>
      <c r="N45" s="1">
        <f t="shared" si="85"/>
        <v>689</v>
      </c>
      <c r="O45" s="1">
        <f t="shared" si="85"/>
        <v>739</v>
      </c>
      <c r="P45" s="1">
        <f t="shared" si="85"/>
        <v>797</v>
      </c>
      <c r="Q45" s="1">
        <f t="shared" si="85"/>
        <v>826</v>
      </c>
      <c r="R45" s="1">
        <f t="shared" si="85"/>
        <v>915</v>
      </c>
      <c r="S45" s="1">
        <f t="shared" si="85"/>
        <v>862</v>
      </c>
      <c r="T45" s="1">
        <f t="shared" si="85"/>
        <v>873</v>
      </c>
      <c r="U45" s="1">
        <f t="shared" si="85"/>
        <v>837</v>
      </c>
      <c r="V45" s="1">
        <f t="shared" si="85"/>
        <v>646</v>
      </c>
      <c r="W45" s="1">
        <f t="shared" si="85"/>
        <v>848</v>
      </c>
      <c r="X45" s="1">
        <f t="shared" si="85"/>
        <v>817</v>
      </c>
      <c r="Y45" s="1">
        <f t="shared" si="85"/>
        <v>1172</v>
      </c>
      <c r="Z45" s="1">
        <f t="shared" si="85"/>
        <v>943</v>
      </c>
      <c r="AA45" s="1">
        <f t="shared" si="85"/>
        <v>936</v>
      </c>
      <c r="AB45" s="1">
        <f t="shared" si="85"/>
        <v>946</v>
      </c>
      <c r="AC45" s="1">
        <f t="shared" si="85"/>
        <v>951</v>
      </c>
      <c r="AD45" s="1">
        <f t="shared" si="85"/>
        <v>1136</v>
      </c>
      <c r="AE45" s="1">
        <f t="shared" si="85"/>
        <v>934</v>
      </c>
      <c r="AF45" s="1">
        <f t="shared" si="85"/>
        <v>994</v>
      </c>
      <c r="AG45" s="1">
        <f t="shared" si="85"/>
        <v>985</v>
      </c>
      <c r="AH45" s="1">
        <f t="shared" si="85"/>
        <v>1152</v>
      </c>
      <c r="AI45" s="1">
        <f t="shared" si="85"/>
        <v>842</v>
      </c>
      <c r="AJ45" s="1">
        <f t="shared" si="85"/>
        <v>1044</v>
      </c>
      <c r="AK45" s="1">
        <f t="shared" si="85"/>
        <v>1043</v>
      </c>
      <c r="AL45" s="1">
        <f t="shared" si="85"/>
        <v>742</v>
      </c>
      <c r="AM45" s="1">
        <f t="shared" si="85"/>
        <v>897</v>
      </c>
      <c r="AN45" s="1">
        <f t="shared" si="85"/>
        <v>954</v>
      </c>
      <c r="AO45" s="1">
        <f t="shared" si="85"/>
        <v>844</v>
      </c>
      <c r="AP45" s="1">
        <f t="shared" si="85"/>
        <v>906</v>
      </c>
      <c r="AQ45" s="1">
        <f t="shared" si="85"/>
        <v>947</v>
      </c>
      <c r="AR45" s="1">
        <f t="shared" si="85"/>
        <v>967</v>
      </c>
      <c r="AS45" s="1">
        <f t="shared" si="85"/>
        <v>1016</v>
      </c>
      <c r="AT45" s="1">
        <f t="shared" si="85"/>
        <v>-393</v>
      </c>
      <c r="AU45" s="1">
        <f t="shared" si="85"/>
        <v>1071</v>
      </c>
      <c r="AV45" s="1">
        <f t="shared" si="85"/>
        <v>1090</v>
      </c>
      <c r="AW45" s="1">
        <f t="shared" si="85"/>
        <v>1120</v>
      </c>
      <c r="AX45" s="1">
        <f t="shared" si="85"/>
        <v>1089</v>
      </c>
      <c r="AY45" s="1">
        <f t="shared" ref="AY45" si="86">AY43-AY44</f>
        <v>573</v>
      </c>
      <c r="AZ45" s="1">
        <f>AZ43-AZ44+231</f>
        <v>1425</v>
      </c>
      <c r="BA45" s="1">
        <f t="shared" ref="BA45" si="87">BA43-BA44</f>
        <v>1242</v>
      </c>
      <c r="BB45" s="1">
        <f>BB43-BB44</f>
        <v>1271</v>
      </c>
      <c r="BC45" s="1">
        <f>BC43-BC44</f>
        <v>989</v>
      </c>
      <c r="BD45" s="1">
        <f>BD43-BD44</f>
        <v>1096</v>
      </c>
      <c r="BE45" s="1">
        <f>BE43-BE44</f>
        <v>1269</v>
      </c>
      <c r="BF45" s="63"/>
      <c r="BM45" s="1">
        <f t="shared" si="64"/>
        <v>3123</v>
      </c>
      <c r="BN45" s="1">
        <f t="shared" si="65"/>
        <v>3196</v>
      </c>
      <c r="BO45" s="1">
        <f t="shared" si="66"/>
        <v>3076</v>
      </c>
      <c r="BP45" s="1">
        <f t="shared" si="67"/>
        <v>3277</v>
      </c>
      <c r="BQ45" s="1">
        <f t="shared" si="68"/>
        <v>3218</v>
      </c>
      <c r="BR45" s="1">
        <f t="shared" si="69"/>
        <v>3780</v>
      </c>
      <c r="BS45" s="1">
        <f t="shared" si="70"/>
        <v>3969</v>
      </c>
      <c r="BT45" s="1">
        <f t="shared" si="71"/>
        <v>4065</v>
      </c>
      <c r="BU45" s="1">
        <f t="shared" si="72"/>
        <v>3671</v>
      </c>
      <c r="BV45" s="1">
        <f t="shared" si="73"/>
        <v>3601</v>
      </c>
      <c r="BW45" s="1">
        <f t="shared" si="74"/>
        <v>2537</v>
      </c>
      <c r="BX45" s="1">
        <f t="shared" si="75"/>
        <v>4370</v>
      </c>
      <c r="BY45" s="1">
        <f t="shared" si="76"/>
        <v>4511</v>
      </c>
      <c r="BZ45" s="63">
        <f>BZ43-BZ44</f>
        <v>4516.9506507126871</v>
      </c>
      <c r="CA45" s="63">
        <f t="shared" ref="CA45:CI45" si="88">CA43-CA44</f>
        <v>5114.5336028242236</v>
      </c>
      <c r="CB45" s="63">
        <f t="shared" si="88"/>
        <v>5602.2165576271782</v>
      </c>
      <c r="CC45" s="63">
        <f t="shared" si="88"/>
        <v>6048.9367108847346</v>
      </c>
      <c r="CD45" s="63">
        <f t="shared" si="88"/>
        <v>6493.457012857064</v>
      </c>
      <c r="CE45" s="63">
        <f t="shared" si="88"/>
        <v>6724.8318663939535</v>
      </c>
      <c r="CF45" s="63">
        <f t="shared" si="88"/>
        <v>6944.8029283542992</v>
      </c>
      <c r="CG45" s="63">
        <f t="shared" si="88"/>
        <v>7151.6182524346868</v>
      </c>
      <c r="CH45" s="63">
        <f t="shared" si="88"/>
        <v>7348.6002066048895</v>
      </c>
      <c r="CI45" s="63">
        <f t="shared" si="88"/>
        <v>7538.0820406603516</v>
      </c>
    </row>
    <row r="46" spans="2:139">
      <c r="B46" s="1" t="s">
        <v>196</v>
      </c>
      <c r="C46" s="82">
        <v>0</v>
      </c>
      <c r="D46" s="82">
        <v>0</v>
      </c>
      <c r="E46" s="82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82">
        <v>0</v>
      </c>
      <c r="AC46" s="82">
        <v>0</v>
      </c>
      <c r="AD46" s="82">
        <v>0</v>
      </c>
      <c r="AE46" s="82">
        <v>0</v>
      </c>
      <c r="AF46" s="82">
        <v>0</v>
      </c>
      <c r="AG46" s="82">
        <v>0</v>
      </c>
      <c r="AH46" s="82">
        <v>0</v>
      </c>
      <c r="AI46" s="82">
        <v>0</v>
      </c>
      <c r="AJ46" s="82">
        <v>0</v>
      </c>
      <c r="AK46" s="82">
        <v>0</v>
      </c>
      <c r="AL46" s="82">
        <v>0</v>
      </c>
      <c r="AM46" s="82">
        <v>0</v>
      </c>
      <c r="AN46" s="82">
        <v>0</v>
      </c>
      <c r="AO46" s="82">
        <v>0</v>
      </c>
      <c r="AP46" s="82">
        <v>0</v>
      </c>
      <c r="AQ46" s="1">
        <v>-129</v>
      </c>
      <c r="AR46" s="1">
        <v>-147</v>
      </c>
      <c r="AS46" s="1">
        <v>-141</v>
      </c>
      <c r="AT46" s="1">
        <f>-545-SUM(AQ46:AS46)</f>
        <v>-128</v>
      </c>
      <c r="AU46" s="1">
        <v>-146</v>
      </c>
      <c r="AV46" s="1">
        <v>-154</v>
      </c>
      <c r="AW46" s="1">
        <v>-161</v>
      </c>
      <c r="AX46" s="1">
        <f>-621-SUM(AU46:AW46)</f>
        <v>-160</v>
      </c>
      <c r="AY46" s="1">
        <v>-156</v>
      </c>
      <c r="AZ46" s="1">
        <v>-173</v>
      </c>
      <c r="BA46" s="1">
        <v>-161</v>
      </c>
      <c r="BB46" s="1">
        <f>-665-SUM(AY46:BA46)</f>
        <v>-175</v>
      </c>
      <c r="BC46" s="1">
        <v>-162</v>
      </c>
      <c r="BD46" s="1">
        <v>-161</v>
      </c>
      <c r="BE46" s="1">
        <v>-158</v>
      </c>
      <c r="BF46" s="63"/>
      <c r="BM46" s="82">
        <f t="shared" si="64"/>
        <v>0</v>
      </c>
      <c r="BN46" s="82">
        <f t="shared" si="65"/>
        <v>0</v>
      </c>
      <c r="BO46" s="82">
        <f t="shared" si="66"/>
        <v>0</v>
      </c>
      <c r="BP46" s="82">
        <f t="shared" si="67"/>
        <v>0</v>
      </c>
      <c r="BQ46" s="82">
        <f t="shared" si="68"/>
        <v>0</v>
      </c>
      <c r="BR46" s="82">
        <f t="shared" si="69"/>
        <v>0</v>
      </c>
      <c r="BS46" s="82">
        <f t="shared" si="70"/>
        <v>0</v>
      </c>
      <c r="BT46" s="82">
        <f t="shared" si="71"/>
        <v>0</v>
      </c>
      <c r="BU46" s="82">
        <f t="shared" si="72"/>
        <v>0</v>
      </c>
      <c r="BV46" s="82">
        <f t="shared" si="73"/>
        <v>0</v>
      </c>
      <c r="BW46" s="1">
        <f t="shared" si="74"/>
        <v>-545</v>
      </c>
      <c r="BX46" s="1">
        <f t="shared" si="75"/>
        <v>-621</v>
      </c>
      <c r="BY46" s="1">
        <f t="shared" si="76"/>
        <v>-665</v>
      </c>
      <c r="BZ46" s="63">
        <f t="shared" ref="BZ46:CI46" si="89">(-BY78)*$CN$78</f>
        <v>-637.51499999999999</v>
      </c>
      <c r="CA46" s="63">
        <f t="shared" si="89"/>
        <v>-608.82682499999999</v>
      </c>
      <c r="CB46" s="63">
        <f t="shared" si="89"/>
        <v>-581.42961787499996</v>
      </c>
      <c r="CC46" s="63">
        <f t="shared" si="89"/>
        <v>-555.26528507062505</v>
      </c>
      <c r="CD46" s="63">
        <f t="shared" si="89"/>
        <v>-530.2783472424469</v>
      </c>
      <c r="CE46" s="63">
        <f t="shared" si="89"/>
        <v>-506.41582161653679</v>
      </c>
      <c r="CF46" s="63">
        <f t="shared" si="89"/>
        <v>-483.62710964379266</v>
      </c>
      <c r="CG46" s="63">
        <f t="shared" si="89"/>
        <v>-461.86388970982199</v>
      </c>
      <c r="CH46" s="63">
        <f t="shared" si="89"/>
        <v>-441.08001467288</v>
      </c>
      <c r="CI46" s="63">
        <f t="shared" si="89"/>
        <v>-421.2314140126004</v>
      </c>
    </row>
    <row r="47" spans="2:139">
      <c r="B47" s="1" t="s">
        <v>197</v>
      </c>
      <c r="C47" s="82">
        <v>0</v>
      </c>
      <c r="D47" s="82">
        <v>0</v>
      </c>
      <c r="E47" s="82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82">
        <v>0</v>
      </c>
      <c r="AC47" s="82">
        <v>0</v>
      </c>
      <c r="AD47" s="82">
        <v>0</v>
      </c>
      <c r="AE47" s="82">
        <v>0</v>
      </c>
      <c r="AF47" s="82">
        <v>0</v>
      </c>
      <c r="AG47" s="82">
        <v>0</v>
      </c>
      <c r="AH47" s="82">
        <v>0</v>
      </c>
      <c r="AI47" s="82">
        <v>0</v>
      </c>
      <c r="AJ47" s="82">
        <v>0</v>
      </c>
      <c r="AK47" s="82">
        <v>0</v>
      </c>
      <c r="AL47" s="82">
        <v>0</v>
      </c>
      <c r="AM47" s="82">
        <v>0</v>
      </c>
      <c r="AN47" s="82">
        <v>0</v>
      </c>
      <c r="AO47" s="82">
        <v>0</v>
      </c>
      <c r="AP47" s="82">
        <v>0</v>
      </c>
      <c r="AQ47" s="1">
        <v>132</v>
      </c>
      <c r="AR47" s="1">
        <v>133</v>
      </c>
      <c r="AS47" s="1">
        <v>132</v>
      </c>
      <c r="AT47" s="1">
        <f>530-SUM(AQ47:AS47)</f>
        <v>133</v>
      </c>
      <c r="AU47" s="1">
        <v>168</v>
      </c>
      <c r="AV47" s="1">
        <v>167</v>
      </c>
      <c r="AW47" s="1">
        <v>168</v>
      </c>
      <c r="AX47" s="1">
        <f>656-SUM(AU47:AW47)</f>
        <v>153</v>
      </c>
      <c r="AY47" s="1">
        <v>130</v>
      </c>
      <c r="AZ47" s="1">
        <v>137</v>
      </c>
      <c r="BA47" s="1">
        <v>136</v>
      </c>
      <c r="BB47" s="1">
        <f>541-SUM(AY47:BA47)</f>
        <v>138</v>
      </c>
      <c r="BC47" s="1">
        <v>166</v>
      </c>
      <c r="BD47" s="1">
        <v>166</v>
      </c>
      <c r="BE47" s="1">
        <v>167</v>
      </c>
      <c r="BF47" s="89"/>
      <c r="BM47" s="82">
        <f t="shared" si="64"/>
        <v>0</v>
      </c>
      <c r="BN47" s="82">
        <f t="shared" si="65"/>
        <v>0</v>
      </c>
      <c r="BO47" s="82">
        <f t="shared" si="66"/>
        <v>0</v>
      </c>
      <c r="BP47" s="82">
        <f t="shared" si="67"/>
        <v>0</v>
      </c>
      <c r="BQ47" s="82">
        <f t="shared" si="68"/>
        <v>0</v>
      </c>
      <c r="BR47" s="82">
        <f t="shared" si="69"/>
        <v>0</v>
      </c>
      <c r="BS47" s="82">
        <f t="shared" si="70"/>
        <v>0</v>
      </c>
      <c r="BT47" s="82">
        <f t="shared" si="71"/>
        <v>0</v>
      </c>
      <c r="BU47" s="82">
        <f t="shared" si="72"/>
        <v>0</v>
      </c>
      <c r="BV47" s="82">
        <f t="shared" si="73"/>
        <v>0</v>
      </c>
      <c r="BW47" s="1">
        <f t="shared" si="74"/>
        <v>530</v>
      </c>
      <c r="BX47" s="1">
        <f t="shared" si="75"/>
        <v>656</v>
      </c>
      <c r="BY47" s="1">
        <f t="shared" si="76"/>
        <v>541</v>
      </c>
      <c r="BZ47" s="89">
        <v>0</v>
      </c>
      <c r="CA47" s="89">
        <v>0</v>
      </c>
      <c r="CB47" s="89">
        <v>0</v>
      </c>
      <c r="CC47" s="89">
        <v>0</v>
      </c>
      <c r="CD47" s="89">
        <v>0</v>
      </c>
      <c r="CE47" s="89">
        <v>0</v>
      </c>
      <c r="CF47" s="89">
        <v>0</v>
      </c>
      <c r="CG47" s="89">
        <v>0</v>
      </c>
      <c r="CH47" s="89">
        <v>0</v>
      </c>
      <c r="CI47" s="89">
        <v>0</v>
      </c>
    </row>
    <row r="48" spans="2:139">
      <c r="B48" s="1" t="s">
        <v>198</v>
      </c>
      <c r="C48" s="1">
        <v>-47</v>
      </c>
      <c r="D48" s="1">
        <v>-82</v>
      </c>
      <c r="E48" s="1">
        <v>-70</v>
      </c>
      <c r="F48" s="1">
        <v>-61</v>
      </c>
      <c r="G48" s="1">
        <v>-59</v>
      </c>
      <c r="H48" s="1">
        <v>-64</v>
      </c>
      <c r="I48" s="1">
        <v>-75</v>
      </c>
      <c r="J48" s="1">
        <v>-61</v>
      </c>
      <c r="K48" s="1">
        <v>-76</v>
      </c>
      <c r="L48" s="1">
        <v>-77</v>
      </c>
      <c r="M48" s="1">
        <v>-65</v>
      </c>
      <c r="N48" s="1">
        <v>-68</v>
      </c>
      <c r="O48" s="1">
        <v>-63</v>
      </c>
      <c r="P48" s="1">
        <v>-67</v>
      </c>
      <c r="Q48" s="1">
        <v>-57</v>
      </c>
      <c r="R48" s="1">
        <v>-409</v>
      </c>
      <c r="S48" s="1">
        <v>-74</v>
      </c>
      <c r="T48" s="1">
        <v>-61</v>
      </c>
      <c r="U48" s="1">
        <v>-55</v>
      </c>
      <c r="V48" s="1">
        <v>1201</v>
      </c>
      <c r="W48" s="1">
        <v>151</v>
      </c>
      <c r="X48" s="1">
        <v>159</v>
      </c>
      <c r="Y48" s="1">
        <v>192</v>
      </c>
      <c r="Z48" s="1">
        <v>-540</v>
      </c>
      <c r="AA48" s="1">
        <v>98</v>
      </c>
      <c r="AB48" s="1">
        <v>82</v>
      </c>
      <c r="AC48" s="1">
        <v>104</v>
      </c>
      <c r="AD48" s="1">
        <v>-1705</v>
      </c>
      <c r="AE48" s="1">
        <v>119</v>
      </c>
      <c r="AF48" s="1">
        <v>209</v>
      </c>
      <c r="AG48" s="1">
        <v>182</v>
      </c>
      <c r="AH48" s="1">
        <v>-847</v>
      </c>
      <c r="AI48" s="1">
        <v>212</v>
      </c>
      <c r="AJ48" s="1">
        <v>258</v>
      </c>
      <c r="AK48" s="1">
        <v>232</v>
      </c>
      <c r="AL48" s="1">
        <v>2566</v>
      </c>
      <c r="AM48" s="1">
        <v>247</v>
      </c>
      <c r="AN48" s="1">
        <v>196</v>
      </c>
      <c r="AO48" s="1">
        <v>246</v>
      </c>
      <c r="AP48" s="1">
        <v>1546</v>
      </c>
      <c r="AQ48" s="1">
        <v>48</v>
      </c>
      <c r="AR48" s="1">
        <v>34</v>
      </c>
      <c r="AS48" s="1">
        <v>111</v>
      </c>
      <c r="AT48" s="1">
        <f>-422+246-SUM(AQ48:AS48)</f>
        <v>-369</v>
      </c>
      <c r="AU48" s="1">
        <v>38</v>
      </c>
      <c r="AV48" s="1">
        <v>43</v>
      </c>
      <c r="AW48" s="1">
        <v>61</v>
      </c>
      <c r="AX48" s="1">
        <f>443+168-SUM(AU48:AW48)</f>
        <v>469</v>
      </c>
      <c r="AY48" s="1">
        <v>31</v>
      </c>
      <c r="AZ48" s="1">
        <v>38</v>
      </c>
      <c r="BA48" s="1">
        <v>106</v>
      </c>
      <c r="BB48" s="1">
        <f>527+154-SUM(AY48:BA48)</f>
        <v>506</v>
      </c>
      <c r="BC48" s="1">
        <v>37</v>
      </c>
      <c r="BD48" s="1">
        <v>67</v>
      </c>
      <c r="BE48" s="1">
        <v>20</v>
      </c>
      <c r="BF48" s="63"/>
      <c r="BM48" s="1">
        <f t="shared" si="64"/>
        <v>-260</v>
      </c>
      <c r="BN48" s="1">
        <f t="shared" si="65"/>
        <v>-259</v>
      </c>
      <c r="BO48" s="1">
        <f t="shared" si="66"/>
        <v>-286</v>
      </c>
      <c r="BP48" s="1">
        <f t="shared" si="67"/>
        <v>-596</v>
      </c>
      <c r="BQ48" s="1">
        <f t="shared" si="68"/>
        <v>1011</v>
      </c>
      <c r="BR48" s="1">
        <f t="shared" si="69"/>
        <v>-38</v>
      </c>
      <c r="BS48" s="1">
        <f t="shared" si="70"/>
        <v>-1421</v>
      </c>
      <c r="BT48" s="1">
        <f t="shared" si="71"/>
        <v>-337</v>
      </c>
      <c r="BU48" s="1">
        <f t="shared" si="72"/>
        <v>3268</v>
      </c>
      <c r="BV48" s="1">
        <f t="shared" si="73"/>
        <v>2235</v>
      </c>
      <c r="BW48" s="1">
        <f t="shared" si="74"/>
        <v>-176</v>
      </c>
      <c r="BX48" s="1">
        <f t="shared" si="75"/>
        <v>611</v>
      </c>
      <c r="BY48" s="1">
        <f t="shared" si="76"/>
        <v>681</v>
      </c>
      <c r="BZ48" s="63">
        <f>BY61*$CS$61</f>
        <v>35.385000000000005</v>
      </c>
      <c r="CA48" s="63">
        <f t="shared" ref="CA48:CI48" si="90">BZ61*$CS$61</f>
        <v>106.90877328852079</v>
      </c>
      <c r="CB48" s="63">
        <f t="shared" si="90"/>
        <v>188.27531161014963</v>
      </c>
      <c r="CC48" s="63">
        <f t="shared" si="90"/>
        <v>277.97536357860895</v>
      </c>
      <c r="CD48" s="63">
        <f t="shared" si="90"/>
        <v>376.15107546617912</v>
      </c>
      <c r="CE48" s="63">
        <f t="shared" si="90"/>
        <v>482.65181511633648</v>
      </c>
      <c r="CF48" s="63">
        <f t="shared" si="90"/>
        <v>593.8225309119739</v>
      </c>
      <c r="CG48" s="63">
        <f t="shared" si="90"/>
        <v>709.3834038787902</v>
      </c>
      <c r="CH48" s="63">
        <f t="shared" si="90"/>
        <v>830.58128049575805</v>
      </c>
      <c r="CI48" s="63">
        <f t="shared" si="90"/>
        <v>957.33138261412489</v>
      </c>
    </row>
    <row r="49" spans="2:139">
      <c r="B49" s="1" t="s">
        <v>199</v>
      </c>
      <c r="C49" s="1">
        <f t="shared" ref="C49:BC49" si="91">C45+SUM(C46:C48)</f>
        <v>712</v>
      </c>
      <c r="D49" s="1">
        <f t="shared" si="91"/>
        <v>724</v>
      </c>
      <c r="E49" s="1">
        <f t="shared" si="91"/>
        <v>720</v>
      </c>
      <c r="F49" s="1">
        <f t="shared" si="91"/>
        <v>707</v>
      </c>
      <c r="G49" s="1">
        <f t="shared" si="91"/>
        <v>786</v>
      </c>
      <c r="H49" s="1">
        <f t="shared" si="91"/>
        <v>756</v>
      </c>
      <c r="I49" s="1">
        <f t="shared" si="91"/>
        <v>694</v>
      </c>
      <c r="J49" s="1">
        <f t="shared" si="91"/>
        <v>701</v>
      </c>
      <c r="K49" s="1">
        <f t="shared" si="91"/>
        <v>704</v>
      </c>
      <c r="L49" s="1">
        <f t="shared" si="91"/>
        <v>736</v>
      </c>
      <c r="M49" s="1">
        <f t="shared" si="91"/>
        <v>729</v>
      </c>
      <c r="N49" s="1">
        <f t="shared" si="91"/>
        <v>621</v>
      </c>
      <c r="O49" s="1">
        <f t="shared" si="91"/>
        <v>676</v>
      </c>
      <c r="P49" s="1">
        <f t="shared" si="91"/>
        <v>730</v>
      </c>
      <c r="Q49" s="1">
        <f t="shared" si="91"/>
        <v>769</v>
      </c>
      <c r="R49" s="1">
        <f t="shared" si="91"/>
        <v>506</v>
      </c>
      <c r="S49" s="1">
        <f t="shared" si="91"/>
        <v>788</v>
      </c>
      <c r="T49" s="1">
        <f t="shared" si="91"/>
        <v>812</v>
      </c>
      <c r="U49" s="1">
        <f t="shared" si="91"/>
        <v>782</v>
      </c>
      <c r="V49" s="1">
        <f t="shared" si="91"/>
        <v>1847</v>
      </c>
      <c r="W49" s="1">
        <f t="shared" si="91"/>
        <v>999</v>
      </c>
      <c r="X49" s="1">
        <f t="shared" si="91"/>
        <v>976</v>
      </c>
      <c r="Y49" s="1">
        <f t="shared" si="91"/>
        <v>1364</v>
      </c>
      <c r="Z49" s="1">
        <f t="shared" si="91"/>
        <v>403</v>
      </c>
      <c r="AA49" s="1">
        <f t="shared" si="91"/>
        <v>1034</v>
      </c>
      <c r="AB49" s="1">
        <f t="shared" si="91"/>
        <v>1028</v>
      </c>
      <c r="AC49" s="1">
        <f t="shared" si="91"/>
        <v>1055</v>
      </c>
      <c r="AD49" s="1">
        <f t="shared" si="91"/>
        <v>-569</v>
      </c>
      <c r="AE49" s="1">
        <f t="shared" si="91"/>
        <v>1053</v>
      </c>
      <c r="AF49" s="1">
        <f t="shared" si="91"/>
        <v>1203</v>
      </c>
      <c r="AG49" s="1">
        <f t="shared" si="91"/>
        <v>1167</v>
      </c>
      <c r="AH49" s="1">
        <f t="shared" si="91"/>
        <v>305</v>
      </c>
      <c r="AI49" s="1">
        <f t="shared" si="91"/>
        <v>1054</v>
      </c>
      <c r="AJ49" s="1">
        <f t="shared" si="91"/>
        <v>1302</v>
      </c>
      <c r="AK49" s="1">
        <f t="shared" si="91"/>
        <v>1275</v>
      </c>
      <c r="AL49" s="1">
        <f t="shared" si="91"/>
        <v>3308</v>
      </c>
      <c r="AM49" s="1">
        <f t="shared" si="91"/>
        <v>1144</v>
      </c>
      <c r="AN49" s="1">
        <f t="shared" si="91"/>
        <v>1150</v>
      </c>
      <c r="AO49" s="1">
        <f t="shared" si="91"/>
        <v>1090</v>
      </c>
      <c r="AP49" s="1">
        <f t="shared" si="91"/>
        <v>2452</v>
      </c>
      <c r="AQ49" s="1">
        <f t="shared" si="91"/>
        <v>998</v>
      </c>
      <c r="AR49" s="1">
        <f t="shared" si="91"/>
        <v>987</v>
      </c>
      <c r="AS49" s="1">
        <f t="shared" si="91"/>
        <v>1118</v>
      </c>
      <c r="AT49" s="1">
        <f t="shared" si="91"/>
        <v>-757</v>
      </c>
      <c r="AU49" s="1">
        <f t="shared" si="91"/>
        <v>1131</v>
      </c>
      <c r="AV49" s="1">
        <f t="shared" si="91"/>
        <v>1146</v>
      </c>
      <c r="AW49" s="1">
        <f t="shared" si="91"/>
        <v>1188</v>
      </c>
      <c r="AX49" s="1">
        <f t="shared" si="91"/>
        <v>1551</v>
      </c>
      <c r="AY49" s="1">
        <f t="shared" si="91"/>
        <v>578</v>
      </c>
      <c r="AZ49" s="1">
        <f t="shared" si="91"/>
        <v>1427</v>
      </c>
      <c r="BA49" s="1">
        <f t="shared" si="91"/>
        <v>1323</v>
      </c>
      <c r="BB49" s="1">
        <f t="shared" si="91"/>
        <v>1740</v>
      </c>
      <c r="BC49" s="1">
        <f t="shared" si="91"/>
        <v>1030</v>
      </c>
      <c r="BD49" s="1">
        <f>BD45+SUM(BD46:BD48)</f>
        <v>1168</v>
      </c>
      <c r="BE49" s="1">
        <f>BE45+SUM(BE46:BE48)</f>
        <v>1298</v>
      </c>
      <c r="BF49" s="63"/>
      <c r="BM49" s="1">
        <f t="shared" si="64"/>
        <v>2863</v>
      </c>
      <c r="BN49" s="1">
        <f t="shared" si="65"/>
        <v>2937</v>
      </c>
      <c r="BO49" s="1">
        <f t="shared" si="66"/>
        <v>2790</v>
      </c>
      <c r="BP49" s="1">
        <f t="shared" si="67"/>
        <v>2681</v>
      </c>
      <c r="BQ49" s="1">
        <f t="shared" si="68"/>
        <v>4229</v>
      </c>
      <c r="BR49" s="1">
        <f t="shared" si="69"/>
        <v>3742</v>
      </c>
      <c r="BS49" s="1">
        <f t="shared" si="70"/>
        <v>2548</v>
      </c>
      <c r="BT49" s="1">
        <f t="shared" si="71"/>
        <v>3728</v>
      </c>
      <c r="BU49" s="1">
        <f t="shared" si="72"/>
        <v>6939</v>
      </c>
      <c r="BV49" s="1">
        <f t="shared" si="73"/>
        <v>5836</v>
      </c>
      <c r="BW49" s="1">
        <f t="shared" si="74"/>
        <v>2346</v>
      </c>
      <c r="BX49" s="1">
        <f t="shared" si="75"/>
        <v>5016</v>
      </c>
      <c r="BY49" s="1">
        <f t="shared" si="76"/>
        <v>5068</v>
      </c>
      <c r="BZ49" s="63">
        <f>BZ45+SUM(BZ46:BZ48)</f>
        <v>3914.820650712687</v>
      </c>
      <c r="CA49" s="63">
        <f t="shared" ref="CA49:CI49" si="92">CA45+SUM(CA46:CA48)</f>
        <v>4612.6155511127445</v>
      </c>
      <c r="CB49" s="63">
        <f t="shared" si="92"/>
        <v>5209.0622513623275</v>
      </c>
      <c r="CC49" s="63">
        <f t="shared" si="92"/>
        <v>5771.6467893927183</v>
      </c>
      <c r="CD49" s="63">
        <f t="shared" si="92"/>
        <v>6339.3297410807963</v>
      </c>
      <c r="CE49" s="63">
        <f t="shared" si="92"/>
        <v>6701.0678598937529</v>
      </c>
      <c r="CF49" s="63">
        <f t="shared" si="92"/>
        <v>7054.9983496224804</v>
      </c>
      <c r="CG49" s="63">
        <f t="shared" si="92"/>
        <v>7399.1377666036551</v>
      </c>
      <c r="CH49" s="63">
        <f t="shared" si="92"/>
        <v>7738.1014724277675</v>
      </c>
      <c r="CI49" s="63">
        <f t="shared" si="92"/>
        <v>8074.1820092618764</v>
      </c>
    </row>
    <row r="50" spans="2:139">
      <c r="B50" s="1" t="s">
        <v>200</v>
      </c>
      <c r="C50" s="1">
        <v>223</v>
      </c>
      <c r="D50" s="1">
        <v>236</v>
      </c>
      <c r="E50" s="1">
        <v>223</v>
      </c>
      <c r="F50" s="1">
        <v>229</v>
      </c>
      <c r="G50" s="1">
        <v>207</v>
      </c>
      <c r="H50" s="1">
        <v>245</v>
      </c>
      <c r="I50" s="1">
        <v>221</v>
      </c>
      <c r="J50" s="1">
        <v>195</v>
      </c>
      <c r="K50" s="1">
        <v>220</v>
      </c>
      <c r="L50" s="1">
        <v>205</v>
      </c>
      <c r="M50" s="1">
        <v>213</v>
      </c>
      <c r="N50" s="1">
        <v>162</v>
      </c>
      <c r="O50" s="1">
        <v>120</v>
      </c>
      <c r="P50" s="1">
        <v>213</v>
      </c>
      <c r="Q50" s="1">
        <v>167</v>
      </c>
      <c r="R50" s="1">
        <v>138</v>
      </c>
      <c r="S50" s="1">
        <v>138</v>
      </c>
      <c r="T50" s="1">
        <v>257</v>
      </c>
      <c r="U50" s="1">
        <v>139</v>
      </c>
      <c r="V50" s="1">
        <v>826</v>
      </c>
      <c r="W50" s="1">
        <v>159</v>
      </c>
      <c r="X50" s="1">
        <v>187</v>
      </c>
      <c r="Y50" s="1">
        <v>120</v>
      </c>
      <c r="Z50" s="1">
        <v>47</v>
      </c>
      <c r="AA50" s="1">
        <v>171</v>
      </c>
      <c r="AB50" s="1">
        <v>167</v>
      </c>
      <c r="AC50" s="1">
        <v>122</v>
      </c>
      <c r="AD50" s="1">
        <v>-160</v>
      </c>
      <c r="AE50" s="1">
        <v>185</v>
      </c>
      <c r="AF50" s="1">
        <v>198</v>
      </c>
      <c r="AG50" s="1">
        <v>181</v>
      </c>
      <c r="AH50" s="1">
        <v>-25</v>
      </c>
      <c r="AI50" s="1">
        <v>821</v>
      </c>
      <c r="AJ50" s="1">
        <v>265</v>
      </c>
      <c r="AK50" s="1">
        <v>212</v>
      </c>
      <c r="AL50" s="1">
        <v>635</v>
      </c>
      <c r="AM50" s="1">
        <v>189</v>
      </c>
      <c r="AN50" s="1">
        <v>204</v>
      </c>
      <c r="AO50" s="1">
        <v>175</v>
      </c>
      <c r="AP50" s="1">
        <v>372</v>
      </c>
      <c r="AQ50" s="1">
        <v>156</v>
      </c>
      <c r="AR50" s="1">
        <v>175</v>
      </c>
      <c r="AS50" s="1">
        <v>181</v>
      </c>
      <c r="AT50" s="1">
        <f>290-SUM(AQ50:AS50)</f>
        <v>-222</v>
      </c>
      <c r="AU50" s="1">
        <v>187</v>
      </c>
      <c r="AV50" s="1">
        <v>206</v>
      </c>
      <c r="AW50" s="1">
        <v>162</v>
      </c>
      <c r="AX50" s="1">
        <f>842-SUM(AU50:AW50)</f>
        <v>287</v>
      </c>
      <c r="AY50" s="1">
        <v>97</v>
      </c>
      <c r="AZ50" s="1">
        <v>97</v>
      </c>
      <c r="BA50" s="1">
        <v>223</v>
      </c>
      <c r="BB50" s="1">
        <f>886-SUM(AY50:BA50)</f>
        <v>469</v>
      </c>
      <c r="BC50" s="1">
        <v>155</v>
      </c>
      <c r="BD50" s="1">
        <v>74</v>
      </c>
      <c r="BE50" s="1">
        <v>174</v>
      </c>
      <c r="BF50" s="63"/>
      <c r="BM50" s="1">
        <f t="shared" si="64"/>
        <v>911</v>
      </c>
      <c r="BN50" s="1">
        <f t="shared" si="65"/>
        <v>868</v>
      </c>
      <c r="BO50" s="1">
        <f t="shared" si="66"/>
        <v>800</v>
      </c>
      <c r="BP50" s="1">
        <f t="shared" si="67"/>
        <v>638</v>
      </c>
      <c r="BQ50" s="1">
        <f t="shared" si="68"/>
        <v>1360</v>
      </c>
      <c r="BR50" s="1">
        <f t="shared" si="69"/>
        <v>513</v>
      </c>
      <c r="BS50" s="1">
        <f t="shared" si="70"/>
        <v>300</v>
      </c>
      <c r="BT50" s="1">
        <f t="shared" si="71"/>
        <v>539</v>
      </c>
      <c r="BU50" s="1">
        <f t="shared" si="72"/>
        <v>1933</v>
      </c>
      <c r="BV50" s="1">
        <f t="shared" si="73"/>
        <v>940</v>
      </c>
      <c r="BW50" s="1">
        <f t="shared" si="74"/>
        <v>290</v>
      </c>
      <c r="BX50" s="1">
        <f t="shared" si="75"/>
        <v>842</v>
      </c>
      <c r="BY50" s="1">
        <f t="shared" si="76"/>
        <v>886</v>
      </c>
      <c r="BZ50" s="63">
        <f>BZ49*BZ58</f>
        <v>508.92668459264934</v>
      </c>
      <c r="CA50" s="63">
        <f t="shared" ref="CA50:CI50" si="93">CA49*CA58</f>
        <v>738.01848817803909</v>
      </c>
      <c r="CB50" s="63">
        <f t="shared" si="93"/>
        <v>937.63120524521889</v>
      </c>
      <c r="CC50" s="63">
        <f t="shared" si="93"/>
        <v>1096.6128899846165</v>
      </c>
      <c r="CD50" s="63">
        <f t="shared" si="93"/>
        <v>1267.8659482161593</v>
      </c>
      <c r="CE50" s="63">
        <f t="shared" si="93"/>
        <v>1407.2242505776881</v>
      </c>
      <c r="CF50" s="63">
        <f t="shared" si="93"/>
        <v>1552.0996369169457</v>
      </c>
      <c r="CG50" s="63">
        <f t="shared" si="93"/>
        <v>1627.8103086528042</v>
      </c>
      <c r="CH50" s="63">
        <f t="shared" si="93"/>
        <v>1702.3823239341089</v>
      </c>
      <c r="CI50" s="63">
        <f t="shared" si="93"/>
        <v>1776.3200420376129</v>
      </c>
    </row>
    <row r="51" spans="2:139" s="2" customFormat="1" ht="15">
      <c r="B51" s="2" t="s">
        <v>69</v>
      </c>
      <c r="C51" s="2">
        <f t="shared" ref="C51:AX51" si="94">C49-C50</f>
        <v>489</v>
      </c>
      <c r="D51" s="2">
        <f t="shared" si="94"/>
        <v>488</v>
      </c>
      <c r="E51" s="2">
        <f t="shared" si="94"/>
        <v>497</v>
      </c>
      <c r="F51" s="2">
        <f t="shared" si="94"/>
        <v>478</v>
      </c>
      <c r="G51" s="2">
        <f t="shared" si="94"/>
        <v>579</v>
      </c>
      <c r="H51" s="2">
        <f t="shared" si="94"/>
        <v>511</v>
      </c>
      <c r="I51" s="2">
        <f t="shared" si="94"/>
        <v>473</v>
      </c>
      <c r="J51" s="2">
        <f t="shared" si="94"/>
        <v>506</v>
      </c>
      <c r="K51" s="2">
        <f t="shared" si="94"/>
        <v>484</v>
      </c>
      <c r="L51" s="2">
        <f t="shared" si="94"/>
        <v>531</v>
      </c>
      <c r="M51" s="2">
        <f t="shared" si="94"/>
        <v>516</v>
      </c>
      <c r="N51" s="2">
        <f t="shared" si="94"/>
        <v>459</v>
      </c>
      <c r="O51" s="2">
        <f t="shared" si="94"/>
        <v>556</v>
      </c>
      <c r="P51" s="2">
        <f t="shared" si="94"/>
        <v>517</v>
      </c>
      <c r="Q51" s="2">
        <f t="shared" si="94"/>
        <v>602</v>
      </c>
      <c r="R51" s="2">
        <f t="shared" si="94"/>
        <v>368</v>
      </c>
      <c r="S51" s="2">
        <f t="shared" si="94"/>
        <v>650</v>
      </c>
      <c r="T51" s="2">
        <f t="shared" si="94"/>
        <v>555</v>
      </c>
      <c r="U51" s="2">
        <f t="shared" si="94"/>
        <v>643</v>
      </c>
      <c r="V51" s="2">
        <f t="shared" si="94"/>
        <v>1021</v>
      </c>
      <c r="W51" s="2">
        <f t="shared" si="94"/>
        <v>840</v>
      </c>
      <c r="X51" s="2">
        <f t="shared" si="94"/>
        <v>789</v>
      </c>
      <c r="Y51" s="2">
        <f t="shared" si="94"/>
        <v>1244</v>
      </c>
      <c r="Z51" s="2">
        <f t="shared" si="94"/>
        <v>356</v>
      </c>
      <c r="AA51" s="2">
        <f t="shared" si="94"/>
        <v>863</v>
      </c>
      <c r="AB51" s="2">
        <f t="shared" si="94"/>
        <v>861</v>
      </c>
      <c r="AC51" s="2">
        <f t="shared" si="94"/>
        <v>933</v>
      </c>
      <c r="AD51" s="2">
        <f t="shared" si="94"/>
        <v>-409</v>
      </c>
      <c r="AE51" s="2">
        <f t="shared" si="94"/>
        <v>868</v>
      </c>
      <c r="AF51" s="2">
        <f t="shared" si="94"/>
        <v>1005</v>
      </c>
      <c r="AG51" s="2">
        <f t="shared" si="94"/>
        <v>986</v>
      </c>
      <c r="AH51" s="2">
        <f t="shared" si="94"/>
        <v>330</v>
      </c>
      <c r="AI51" s="2">
        <f t="shared" si="94"/>
        <v>233</v>
      </c>
      <c r="AJ51" s="2">
        <f t="shared" si="94"/>
        <v>1037</v>
      </c>
      <c r="AK51" s="2">
        <f t="shared" si="94"/>
        <v>1063</v>
      </c>
      <c r="AL51" s="2">
        <f t="shared" si="94"/>
        <v>2673</v>
      </c>
      <c r="AM51" s="2">
        <f t="shared" si="94"/>
        <v>955</v>
      </c>
      <c r="AN51" s="2">
        <f t="shared" si="94"/>
        <v>946</v>
      </c>
      <c r="AO51" s="2">
        <f t="shared" si="94"/>
        <v>915</v>
      </c>
      <c r="AP51" s="2">
        <f t="shared" si="94"/>
        <v>2080</v>
      </c>
      <c r="AQ51" s="2">
        <f t="shared" si="94"/>
        <v>842</v>
      </c>
      <c r="AR51" s="2">
        <f t="shared" si="94"/>
        <v>812</v>
      </c>
      <c r="AS51" s="2">
        <f t="shared" si="94"/>
        <v>937</v>
      </c>
      <c r="AT51" s="2">
        <f t="shared" si="94"/>
        <v>-535</v>
      </c>
      <c r="AU51" s="2">
        <f t="shared" si="94"/>
        <v>944</v>
      </c>
      <c r="AV51" s="2">
        <f t="shared" si="94"/>
        <v>940</v>
      </c>
      <c r="AW51" s="2">
        <f t="shared" si="94"/>
        <v>1026</v>
      </c>
      <c r="AX51" s="2">
        <f t="shared" si="94"/>
        <v>1264</v>
      </c>
      <c r="AY51" s="2">
        <f t="shared" ref="AY51:BB51" si="95">AY49-AY50</f>
        <v>481</v>
      </c>
      <c r="AZ51" s="2">
        <f t="shared" si="95"/>
        <v>1330</v>
      </c>
      <c r="BA51" s="2">
        <f t="shared" si="95"/>
        <v>1100</v>
      </c>
      <c r="BB51" s="2">
        <f t="shared" si="95"/>
        <v>1271</v>
      </c>
      <c r="BC51" s="2">
        <f>BC49-BC50</f>
        <v>875</v>
      </c>
      <c r="BD51" s="2">
        <f>BD49-BD50</f>
        <v>1094</v>
      </c>
      <c r="BE51" s="2">
        <f>BE49-BE50</f>
        <v>1124</v>
      </c>
      <c r="BF51" s="88"/>
      <c r="BM51" s="2">
        <f t="shared" si="64"/>
        <v>1952</v>
      </c>
      <c r="BN51" s="2">
        <f t="shared" si="65"/>
        <v>2069</v>
      </c>
      <c r="BO51" s="2">
        <f t="shared" si="66"/>
        <v>1990</v>
      </c>
      <c r="BP51" s="2">
        <f t="shared" si="67"/>
        <v>2043</v>
      </c>
      <c r="BQ51" s="2">
        <f t="shared" si="68"/>
        <v>2869</v>
      </c>
      <c r="BR51" s="2">
        <f t="shared" si="69"/>
        <v>3229</v>
      </c>
      <c r="BS51" s="2">
        <f t="shared" si="70"/>
        <v>2248</v>
      </c>
      <c r="BT51" s="2">
        <f t="shared" si="71"/>
        <v>3189</v>
      </c>
      <c r="BU51" s="2">
        <f t="shared" si="72"/>
        <v>5006</v>
      </c>
      <c r="BV51" s="2">
        <f t="shared" si="73"/>
        <v>4896</v>
      </c>
      <c r="BW51" s="2">
        <f t="shared" si="74"/>
        <v>2056</v>
      </c>
      <c r="BX51" s="2">
        <f t="shared" si="75"/>
        <v>4174</v>
      </c>
      <c r="BY51" s="2">
        <f t="shared" si="76"/>
        <v>4182</v>
      </c>
      <c r="BZ51" s="88">
        <f>BZ49-BZ50</f>
        <v>3405.8939661200375</v>
      </c>
      <c r="CA51" s="88">
        <f t="shared" ref="CA51:CI51" si="96">CA49-CA50</f>
        <v>3874.5970629347053</v>
      </c>
      <c r="CB51" s="88">
        <f t="shared" si="96"/>
        <v>4271.431046117109</v>
      </c>
      <c r="CC51" s="88">
        <f t="shared" si="96"/>
        <v>4675.0338994081021</v>
      </c>
      <c r="CD51" s="88">
        <f t="shared" si="96"/>
        <v>5071.4637928646371</v>
      </c>
      <c r="CE51" s="88">
        <f t="shared" si="96"/>
        <v>5293.8436093160653</v>
      </c>
      <c r="CF51" s="88">
        <f t="shared" si="96"/>
        <v>5502.8987127055352</v>
      </c>
      <c r="CG51" s="88">
        <f t="shared" si="96"/>
        <v>5771.3274579508507</v>
      </c>
      <c r="CH51" s="88">
        <f t="shared" si="96"/>
        <v>6035.7191484936584</v>
      </c>
      <c r="CI51" s="88">
        <f t="shared" si="96"/>
        <v>6297.8619672242639</v>
      </c>
      <c r="CJ51" s="88">
        <f>CI51*(1+$CS$62)</f>
        <v>6329.3512770603847</v>
      </c>
      <c r="CK51" s="88">
        <f t="shared" ref="CK51:EG51" si="97">CJ51*(1+$CS$62)</f>
        <v>6360.9980334456859</v>
      </c>
      <c r="CL51" s="88">
        <f t="shared" si="97"/>
        <v>6392.8030236129134</v>
      </c>
      <c r="CM51" s="88">
        <f t="shared" si="97"/>
        <v>6424.7670387309772</v>
      </c>
      <c r="CN51" s="88">
        <f t="shared" si="97"/>
        <v>6456.8908739246317</v>
      </c>
      <c r="CO51" s="88">
        <f t="shared" si="97"/>
        <v>6489.1753282942545</v>
      </c>
      <c r="CP51" s="88">
        <f t="shared" si="97"/>
        <v>6521.6212049357255</v>
      </c>
      <c r="CQ51" s="88">
        <f t="shared" si="97"/>
        <v>6554.2293109604034</v>
      </c>
      <c r="CR51" s="88">
        <f t="shared" si="97"/>
        <v>6587.0004575152043</v>
      </c>
      <c r="CS51" s="88">
        <f t="shared" si="97"/>
        <v>6619.9354598027794</v>
      </c>
      <c r="CT51" s="88">
        <f t="shared" si="97"/>
        <v>6653.0351371017923</v>
      </c>
      <c r="CU51" s="88">
        <f t="shared" si="97"/>
        <v>6686.3003127873008</v>
      </c>
      <c r="CV51" s="88">
        <f t="shared" si="97"/>
        <v>6719.7318143512366</v>
      </c>
      <c r="CW51" s="88">
        <f t="shared" si="97"/>
        <v>6753.3304734229923</v>
      </c>
      <c r="CX51" s="88">
        <f t="shared" si="97"/>
        <v>6787.0971257901065</v>
      </c>
      <c r="CY51" s="88">
        <f t="shared" si="97"/>
        <v>6821.0326114190566</v>
      </c>
      <c r="CZ51" s="88">
        <f t="shared" si="97"/>
        <v>6855.1377744761512</v>
      </c>
      <c r="DA51" s="88">
        <f t="shared" si="97"/>
        <v>6889.413463348531</v>
      </c>
      <c r="DB51" s="88">
        <f t="shared" si="97"/>
        <v>6923.8605306652726</v>
      </c>
      <c r="DC51" s="88">
        <f t="shared" si="97"/>
        <v>6958.4798333185981</v>
      </c>
      <c r="DD51" s="88">
        <f t="shared" si="97"/>
        <v>6993.2722324851902</v>
      </c>
      <c r="DE51" s="88">
        <f t="shared" si="97"/>
        <v>7028.2385936476157</v>
      </c>
      <c r="DF51" s="88">
        <f t="shared" si="97"/>
        <v>7063.3797866158529</v>
      </c>
      <c r="DG51" s="88">
        <f t="shared" si="97"/>
        <v>7098.6966855489318</v>
      </c>
      <c r="DH51" s="88">
        <f t="shared" si="97"/>
        <v>7134.1901689766755</v>
      </c>
      <c r="DI51" s="88">
        <f t="shared" si="97"/>
        <v>7169.8611198215585</v>
      </c>
      <c r="DJ51" s="88">
        <f t="shared" si="97"/>
        <v>7205.7104254206652</v>
      </c>
      <c r="DK51" s="88">
        <f t="shared" si="97"/>
        <v>7241.7389775477677</v>
      </c>
      <c r="DL51" s="88">
        <f t="shared" si="97"/>
        <v>7277.9476724355054</v>
      </c>
      <c r="DM51" s="88">
        <f t="shared" si="97"/>
        <v>7314.3374107976824</v>
      </c>
      <c r="DN51" s="88">
        <f t="shared" si="97"/>
        <v>7350.9090978516697</v>
      </c>
      <c r="DO51" s="88">
        <f t="shared" si="97"/>
        <v>7387.6636433409276</v>
      </c>
      <c r="DP51" s="88">
        <f t="shared" si="97"/>
        <v>7424.6019615576315</v>
      </c>
      <c r="DQ51" s="88">
        <f t="shared" si="97"/>
        <v>7461.7249713654192</v>
      </c>
      <c r="DR51" s="88">
        <f t="shared" si="97"/>
        <v>7499.0335962222453</v>
      </c>
      <c r="DS51" s="88">
        <f t="shared" si="97"/>
        <v>7536.5287642033554</v>
      </c>
      <c r="DT51" s="88">
        <f t="shared" si="97"/>
        <v>7574.2114080243718</v>
      </c>
      <c r="DU51" s="88">
        <f t="shared" si="97"/>
        <v>7612.0824650644927</v>
      </c>
      <c r="DV51" s="88">
        <f t="shared" si="97"/>
        <v>7650.1428773898142</v>
      </c>
      <c r="DW51" s="88">
        <f t="shared" si="97"/>
        <v>7688.3935917767622</v>
      </c>
      <c r="DX51" s="88">
        <f t="shared" si="97"/>
        <v>7726.8355597356449</v>
      </c>
      <c r="DY51" s="88">
        <f t="shared" si="97"/>
        <v>7765.4697375343221</v>
      </c>
      <c r="DZ51" s="88">
        <f t="shared" si="97"/>
        <v>7804.2970862219927</v>
      </c>
      <c r="EA51" s="88">
        <f t="shared" si="97"/>
        <v>7843.3185716531016</v>
      </c>
      <c r="EB51" s="88">
        <f t="shared" si="97"/>
        <v>7882.535164511366</v>
      </c>
      <c r="EC51" s="88">
        <f t="shared" si="97"/>
        <v>7921.9478403339217</v>
      </c>
      <c r="ED51" s="88">
        <f t="shared" si="97"/>
        <v>7961.5575795355908</v>
      </c>
      <c r="EE51" s="88">
        <f t="shared" si="97"/>
        <v>8001.3653674332681</v>
      </c>
      <c r="EF51" s="88">
        <f t="shared" si="97"/>
        <v>8041.3721942704333</v>
      </c>
      <c r="EG51" s="88">
        <f t="shared" si="97"/>
        <v>8081.5790552417848</v>
      </c>
      <c r="EH51" s="34"/>
      <c r="EI51" s="34"/>
    </row>
    <row r="52" spans="2:139">
      <c r="B52" s="1" t="s">
        <v>73</v>
      </c>
      <c r="C52" s="83">
        <v>232.4</v>
      </c>
      <c r="D52" s="83">
        <v>226.1</v>
      </c>
      <c r="E52" s="83">
        <v>219.9</v>
      </c>
      <c r="F52" s="83">
        <v>216.2</v>
      </c>
      <c r="G52" s="83">
        <v>213.3</v>
      </c>
      <c r="H52" s="83">
        <v>207.8</v>
      </c>
      <c r="I52" s="83">
        <v>206.5</v>
      </c>
      <c r="J52" s="83">
        <v>204.1</v>
      </c>
      <c r="K52" s="83">
        <v>195.6</v>
      </c>
      <c r="L52" s="83">
        <v>192.3</v>
      </c>
      <c r="M52" s="83">
        <v>187.2</v>
      </c>
      <c r="N52" s="83">
        <v>182.7</v>
      </c>
      <c r="O52" s="83">
        <v>178.4</v>
      </c>
      <c r="P52" s="83">
        <v>177.3</v>
      </c>
      <c r="Q52" s="83">
        <v>176.1</v>
      </c>
      <c r="R52" s="83">
        <v>175.6</v>
      </c>
      <c r="S52" s="83">
        <v>174.43</v>
      </c>
      <c r="T52" s="83">
        <v>174.41</v>
      </c>
      <c r="U52" s="83">
        <v>174.39</v>
      </c>
      <c r="V52" s="83">
        <v>174.36</v>
      </c>
      <c r="W52" s="83">
        <v>174.34</v>
      </c>
      <c r="X52" s="83">
        <v>174.3</v>
      </c>
      <c r="Y52" s="83">
        <v>174.2</v>
      </c>
      <c r="Z52" s="83">
        <v>173.9</v>
      </c>
      <c r="AA52" s="83">
        <v>173.4</v>
      </c>
      <c r="AB52" s="83">
        <v>173.1</v>
      </c>
      <c r="AC52" s="83">
        <v>172.6</v>
      </c>
      <c r="AD52" s="83">
        <v>171.3</v>
      </c>
      <c r="AE52" s="83">
        <v>169.2</v>
      </c>
      <c r="AF52" s="83">
        <v>167.5</v>
      </c>
      <c r="AG52" s="83">
        <v>166.4</v>
      </c>
      <c r="AH52" s="83">
        <v>165.9</v>
      </c>
      <c r="AI52" s="83">
        <v>164.1</v>
      </c>
      <c r="AJ52" s="83">
        <v>162.19999999999999</v>
      </c>
      <c r="AK52" s="83">
        <v>160.69999999999999</v>
      </c>
      <c r="AL52" s="83">
        <v>159.1</v>
      </c>
      <c r="AM52" s="83">
        <v>158.6</v>
      </c>
      <c r="AN52" s="83">
        <v>155.9</v>
      </c>
      <c r="AO52" s="83">
        <v>155.6</v>
      </c>
      <c r="AP52" s="83">
        <v>154.80000000000001</v>
      </c>
      <c r="AQ52" s="83">
        <v>154.30000000000001</v>
      </c>
      <c r="AR52" s="83">
        <v>153.6</v>
      </c>
      <c r="AS52" s="83">
        <v>152.1</v>
      </c>
      <c r="AT52" s="83">
        <v>150.6</v>
      </c>
      <c r="AU52" s="83">
        <v>149.80000000000001</v>
      </c>
      <c r="AV52" s="83">
        <v>148.30000000000001</v>
      </c>
      <c r="AW52" s="83">
        <v>145.69</v>
      </c>
      <c r="AX52" s="83">
        <v>144.75</v>
      </c>
      <c r="AY52" s="83">
        <v>144.1</v>
      </c>
      <c r="AZ52" s="83">
        <v>143.69999999999999</v>
      </c>
      <c r="BA52" s="83">
        <v>142.80000000000001</v>
      </c>
      <c r="BB52" s="83">
        <v>142.6</v>
      </c>
      <c r="BC52" s="83">
        <v>142.19999999999999</v>
      </c>
      <c r="BD52" s="83">
        <v>142.19999999999999</v>
      </c>
      <c r="BE52" s="83">
        <v>142.1</v>
      </c>
      <c r="BF52" s="35"/>
      <c r="BM52" s="83">
        <f>AVERAGE(C52:F52)</f>
        <v>223.64999999999998</v>
      </c>
      <c r="BN52" s="83">
        <f>AVERAGE(G52:J52)</f>
        <v>207.92500000000001</v>
      </c>
      <c r="BO52" s="83">
        <f>AVERAGE(K52:N52)</f>
        <v>189.45</v>
      </c>
      <c r="BP52" s="83">
        <f>AVERAGE(O52:R52)</f>
        <v>176.85000000000002</v>
      </c>
      <c r="BQ52" s="83">
        <f>AVERAGE(S52:V52)</f>
        <v>174.39750000000001</v>
      </c>
      <c r="BR52" s="83">
        <f>AVERAGE(W52:Z52)</f>
        <v>174.18499999999997</v>
      </c>
      <c r="BS52" s="83">
        <f>AVERAGE(AA52:AD52)</f>
        <v>172.60000000000002</v>
      </c>
      <c r="BT52" s="83">
        <f>AVERAGE(AE52:AH52)</f>
        <v>167.25</v>
      </c>
      <c r="BU52" s="83">
        <f>AVERAGE(AI52:AL52)</f>
        <v>161.52499999999998</v>
      </c>
      <c r="BV52" s="83">
        <f>AVERAGE(AM52:AP52)</f>
        <v>156.22500000000002</v>
      </c>
      <c r="BW52" s="83">
        <f>AVERAGE(AQ52:AT52)</f>
        <v>152.65</v>
      </c>
      <c r="BX52" s="83">
        <f>AVERAGE(AU52:AX52)</f>
        <v>147.13499999999999</v>
      </c>
      <c r="BY52" s="83">
        <f>AVERAGE(AY52:BB52)</f>
        <v>143.29999999999998</v>
      </c>
      <c r="BZ52" s="35"/>
    </row>
    <row r="53" spans="2:139">
      <c r="B53" s="1" t="s">
        <v>135</v>
      </c>
      <c r="C53" s="39">
        <f t="shared" ref="C53:AX53" si="98">C51/C52</f>
        <v>2.1041308089500861</v>
      </c>
      <c r="D53" s="39">
        <f t="shared" si="98"/>
        <v>2.1583370190181337</v>
      </c>
      <c r="E53" s="39">
        <f t="shared" si="98"/>
        <v>2.2601182355616189</v>
      </c>
      <c r="F53" s="39">
        <f t="shared" si="98"/>
        <v>2.2109158186864017</v>
      </c>
      <c r="G53" s="39">
        <f>G51/G52</f>
        <v>2.7144866385372715</v>
      </c>
      <c r="H53" s="39">
        <f t="shared" si="98"/>
        <v>2.4590952839268527</v>
      </c>
      <c r="I53" s="39">
        <f>I51/I52</f>
        <v>2.2905569007263922</v>
      </c>
      <c r="J53" s="39">
        <f t="shared" si="98"/>
        <v>2.4791768740813329</v>
      </c>
      <c r="K53" s="39">
        <f t="shared" si="98"/>
        <v>2.4744376278118612</v>
      </c>
      <c r="L53" s="39">
        <f t="shared" si="98"/>
        <v>2.7613104524180967</v>
      </c>
      <c r="M53" s="39">
        <f t="shared" si="98"/>
        <v>2.7564102564102564</v>
      </c>
      <c r="N53" s="39">
        <f t="shared" si="98"/>
        <v>2.5123152709359609</v>
      </c>
      <c r="O53" s="39">
        <f t="shared" si="98"/>
        <v>3.116591928251121</v>
      </c>
      <c r="P53" s="39">
        <f t="shared" si="98"/>
        <v>2.9159616469261138</v>
      </c>
      <c r="Q53" s="39">
        <f t="shared" si="98"/>
        <v>3.4185122089721749</v>
      </c>
      <c r="R53" s="39">
        <f t="shared" si="98"/>
        <v>2.0956719817767655</v>
      </c>
      <c r="S53" s="39">
        <f t="shared" si="98"/>
        <v>3.7264232070171412</v>
      </c>
      <c r="T53" s="39">
        <f t="shared" si="98"/>
        <v>3.1821569864113295</v>
      </c>
      <c r="U53" s="39">
        <f t="shared" si="98"/>
        <v>3.6871380239692644</v>
      </c>
      <c r="V53" s="39">
        <f t="shared" si="98"/>
        <v>5.855700848818536</v>
      </c>
      <c r="W53" s="39">
        <f t="shared" si="98"/>
        <v>4.8181713892394171</v>
      </c>
      <c r="X53" s="39">
        <f t="shared" si="98"/>
        <v>4.5266781411359718</v>
      </c>
      <c r="Y53" s="39">
        <f t="shared" si="98"/>
        <v>7.1412169919632609</v>
      </c>
      <c r="Z53" s="39">
        <f t="shared" si="98"/>
        <v>2.0471535365152387</v>
      </c>
      <c r="AA53" s="39">
        <f t="shared" si="98"/>
        <v>4.9769319492502886</v>
      </c>
      <c r="AB53" s="39">
        <f t="shared" si="98"/>
        <v>4.9740034662045058</v>
      </c>
      <c r="AC53" s="39">
        <f t="shared" si="98"/>
        <v>5.4055619930475087</v>
      </c>
      <c r="AD53" s="39">
        <f t="shared" si="98"/>
        <v>-2.3876240513718621</v>
      </c>
      <c r="AE53" s="39">
        <f t="shared" si="98"/>
        <v>5.1300236406619391</v>
      </c>
      <c r="AF53" s="39">
        <f t="shared" si="98"/>
        <v>6</v>
      </c>
      <c r="AG53" s="39">
        <f t="shared" si="98"/>
        <v>5.9254807692307692</v>
      </c>
      <c r="AH53" s="39">
        <f t="shared" si="98"/>
        <v>1.9891500904159132</v>
      </c>
      <c r="AI53" s="39">
        <f t="shared" si="98"/>
        <v>1.4198659354052408</v>
      </c>
      <c r="AJ53" s="39">
        <f t="shared" si="98"/>
        <v>6.3933415536374847</v>
      </c>
      <c r="AK53" s="39">
        <f t="shared" si="98"/>
        <v>6.6148102053515876</v>
      </c>
      <c r="AL53" s="39">
        <f t="shared" si="98"/>
        <v>16.800754242614708</v>
      </c>
      <c r="AM53" s="39">
        <f t="shared" si="98"/>
        <v>6.0214375788146279</v>
      </c>
      <c r="AN53" s="39">
        <f t="shared" si="98"/>
        <v>6.0679923027581779</v>
      </c>
      <c r="AO53" s="39">
        <f t="shared" si="98"/>
        <v>5.8804627249357333</v>
      </c>
      <c r="AP53" s="39">
        <f t="shared" si="98"/>
        <v>13.436692506459947</v>
      </c>
      <c r="AQ53" s="39">
        <f t="shared" si="98"/>
        <v>5.4569021386908618</v>
      </c>
      <c r="AR53" s="39">
        <f t="shared" si="98"/>
        <v>5.2864583333333339</v>
      </c>
      <c r="AS53" s="39">
        <f t="shared" si="98"/>
        <v>6.1604207758053917</v>
      </c>
      <c r="AT53" s="39">
        <f t="shared" si="98"/>
        <v>-3.5524568393094289</v>
      </c>
      <c r="AU53" s="39">
        <f t="shared" si="98"/>
        <v>6.3017356475300392</v>
      </c>
      <c r="AV53" s="39">
        <f t="shared" si="98"/>
        <v>6.3385030343897499</v>
      </c>
      <c r="AW53" s="39">
        <f t="shared" si="98"/>
        <v>7.0423501956208385</v>
      </c>
      <c r="AX53" s="39">
        <f t="shared" si="98"/>
        <v>8.7322970639032818</v>
      </c>
      <c r="AY53" s="39">
        <f t="shared" ref="AY53:BB53" si="99">AY51/AY52</f>
        <v>3.3379597501734906</v>
      </c>
      <c r="AZ53" s="39">
        <f t="shared" si="99"/>
        <v>9.2553931802366041</v>
      </c>
      <c r="BA53" s="39">
        <f t="shared" si="99"/>
        <v>7.7030812324929965</v>
      </c>
      <c r="BB53" s="39">
        <f t="shared" si="99"/>
        <v>8.9130434782608692</v>
      </c>
      <c r="BC53" s="39">
        <f>BC51/BC52</f>
        <v>6.1533052039381158</v>
      </c>
      <c r="BD53" s="39">
        <f>BD51/BD52</f>
        <v>7.6933895921237703</v>
      </c>
      <c r="BE53" s="39">
        <f>BE51/BE52</f>
        <v>7.9099225897255456</v>
      </c>
      <c r="BF53" s="35"/>
      <c r="BM53" s="39">
        <f>SUM(C53:F53)</f>
        <v>8.73350188221624</v>
      </c>
      <c r="BN53" s="39">
        <f>SUM(G53:J53)</f>
        <v>9.9433156972718493</v>
      </c>
      <c r="BO53" s="39">
        <f>SUM(K53:N53)</f>
        <v>10.504473607576175</v>
      </c>
      <c r="BP53" s="39">
        <f>SUM(O53:R53)</f>
        <v>11.546737765926176</v>
      </c>
      <c r="BQ53" s="39">
        <f>SUM(S53:V53)</f>
        <v>16.451419066216271</v>
      </c>
      <c r="BR53" s="39">
        <f>SUM(W53:Z53)</f>
        <v>18.533220058853889</v>
      </c>
      <c r="BS53" s="39">
        <f>SUM(AA53:AD53)</f>
        <v>12.968873357130441</v>
      </c>
      <c r="BT53" s="39">
        <f>SUM(AE53:AH53)</f>
        <v>19.044654500308621</v>
      </c>
      <c r="BU53" s="39">
        <f>SUM(AI53:AL53)</f>
        <v>31.228771937009022</v>
      </c>
      <c r="BV53" s="39">
        <f>SUM(AM53:AP53)</f>
        <v>31.406585112968486</v>
      </c>
      <c r="BW53" s="39">
        <f>SUM(AQ53:AT53)</f>
        <v>13.35132440852016</v>
      </c>
      <c r="BX53" s="39">
        <f>SUM(AU53:AX53)</f>
        <v>28.414885941443909</v>
      </c>
      <c r="BY53" s="39">
        <f>SUM(AY53:BB53)</f>
        <v>29.209477641163957</v>
      </c>
      <c r="BZ53" s="35"/>
    </row>
    <row r="54" spans="2:139">
      <c r="BE54" s="1"/>
      <c r="BF54" s="35"/>
      <c r="BZ54" s="35"/>
    </row>
    <row r="55" spans="2:139">
      <c r="B55" s="37" t="s">
        <v>57</v>
      </c>
      <c r="C55" s="79">
        <f t="shared" ref="C55:AX55" si="100">C43/C41</f>
        <v>0.21576015727391873</v>
      </c>
      <c r="D55" s="79">
        <f t="shared" si="100"/>
        <v>0.22052748649507467</v>
      </c>
      <c r="E55" s="79">
        <f t="shared" si="100"/>
        <v>0.22027513920733705</v>
      </c>
      <c r="F55" s="79">
        <f t="shared" si="100"/>
        <v>0.21585187591359428</v>
      </c>
      <c r="G55" s="79">
        <f t="shared" si="100"/>
        <v>0.23717510259917921</v>
      </c>
      <c r="H55" s="79">
        <f t="shared" si="100"/>
        <v>0.23348236462990563</v>
      </c>
      <c r="I55" s="79">
        <f t="shared" si="100"/>
        <v>0.22543449197860962</v>
      </c>
      <c r="J55" s="79">
        <f t="shared" si="100"/>
        <v>0.23821218074656189</v>
      </c>
      <c r="K55" s="79">
        <f t="shared" si="100"/>
        <v>0.23753567231828102</v>
      </c>
      <c r="L55" s="79">
        <f t="shared" si="100"/>
        <v>0.24660786974219809</v>
      </c>
      <c r="M55" s="79">
        <f t="shared" si="100"/>
        <v>0.24368623515638066</v>
      </c>
      <c r="N55" s="79">
        <f t="shared" si="100"/>
        <v>0.23112047769582017</v>
      </c>
      <c r="O55" s="79">
        <f t="shared" si="100"/>
        <v>0.2342175957018133</v>
      </c>
      <c r="P55" s="79">
        <f t="shared" si="100"/>
        <v>0.23616666666666666</v>
      </c>
      <c r="Q55" s="79">
        <f t="shared" si="100"/>
        <v>0.24175467099918765</v>
      </c>
      <c r="R55" s="79">
        <f t="shared" si="100"/>
        <v>0.243972706595906</v>
      </c>
      <c r="S55" s="79">
        <f t="shared" si="100"/>
        <v>0.24336973478939158</v>
      </c>
      <c r="T55" s="79">
        <f t="shared" si="100"/>
        <v>0.24084659354240692</v>
      </c>
      <c r="U55" s="79">
        <f t="shared" si="100"/>
        <v>0.23078094078246308</v>
      </c>
      <c r="V55" s="79">
        <f t="shared" si="100"/>
        <v>0.19764957264957264</v>
      </c>
      <c r="W55" s="79">
        <f t="shared" si="100"/>
        <v>0.23147735708982925</v>
      </c>
      <c r="X55" s="79">
        <f t="shared" si="100"/>
        <v>0.21857002387975838</v>
      </c>
      <c r="Y55" s="79">
        <f t="shared" si="100"/>
        <v>0.24601113172541744</v>
      </c>
      <c r="Z55" s="79">
        <f t="shared" si="100"/>
        <v>0.20684158901422267</v>
      </c>
      <c r="AA55" s="79">
        <f t="shared" si="100"/>
        <v>0.20710709488338014</v>
      </c>
      <c r="AB55" s="79">
        <f t="shared" si="100"/>
        <v>0.20458845789971616</v>
      </c>
      <c r="AC55" s="79">
        <f t="shared" si="100"/>
        <v>0.20377581120943952</v>
      </c>
      <c r="AD55" s="79">
        <f t="shared" si="100"/>
        <v>0.24148606811145512</v>
      </c>
      <c r="AE55" s="79">
        <f t="shared" si="100"/>
        <v>0.19976798143851507</v>
      </c>
      <c r="AF55" s="79">
        <f t="shared" si="100"/>
        <v>0.2055380459252589</v>
      </c>
      <c r="AG55" s="79">
        <f t="shared" si="100"/>
        <v>0.20257624132995705</v>
      </c>
      <c r="AH55" s="79">
        <f t="shared" si="100"/>
        <v>0.20466118292205249</v>
      </c>
      <c r="AI55" s="79">
        <f t="shared" si="100"/>
        <v>0.19001856503221579</v>
      </c>
      <c r="AJ55" s="79">
        <f t="shared" si="100"/>
        <v>0.22325428914872691</v>
      </c>
      <c r="AK55" s="79">
        <f t="shared" si="100"/>
        <v>0.22178899082568806</v>
      </c>
      <c r="AL55" s="79">
        <f t="shared" si="100"/>
        <v>0.17953466836439402</v>
      </c>
      <c r="AM55" s="79">
        <f t="shared" si="100"/>
        <v>0.21291349323633058</v>
      </c>
      <c r="AN55" s="79">
        <f t="shared" si="100"/>
        <v>0.22258834223383706</v>
      </c>
      <c r="AO55" s="79">
        <f t="shared" si="100"/>
        <v>0.20265299297737152</v>
      </c>
      <c r="AP55" s="79">
        <f t="shared" si="100"/>
        <v>0.18180005980265124</v>
      </c>
      <c r="AQ55" s="79">
        <f t="shared" si="100"/>
        <v>0.21341791205246749</v>
      </c>
      <c r="AR55" s="79">
        <f t="shared" si="100"/>
        <v>0.21303258145363407</v>
      </c>
      <c r="AS55" s="79">
        <f t="shared" si="100"/>
        <v>0.20879795396419437</v>
      </c>
      <c r="AT55" s="79">
        <f t="shared" si="100"/>
        <v>4.5591276555743562E-2</v>
      </c>
      <c r="AU55" s="79">
        <f t="shared" si="100"/>
        <v>0.21050034540609888</v>
      </c>
      <c r="AV55" s="79">
        <f t="shared" si="100"/>
        <v>0.21442552358582892</v>
      </c>
      <c r="AW55" s="79">
        <f t="shared" si="100"/>
        <v>0.21068427370948378</v>
      </c>
      <c r="AX55" s="79">
        <f t="shared" si="100"/>
        <v>0.18079730488489612</v>
      </c>
      <c r="AY55" s="79">
        <f t="shared" ref="AY55:BB55" si="101">AY43/AY41</f>
        <v>0.16687790452049006</v>
      </c>
      <c r="AZ55" s="79">
        <f t="shared" si="101"/>
        <v>0.2135059414549319</v>
      </c>
      <c r="BA55" s="79">
        <f t="shared" si="101"/>
        <v>0.21366209344718412</v>
      </c>
      <c r="BB55" s="79">
        <f t="shared" si="101"/>
        <v>0.19603825136612021</v>
      </c>
      <c r="BC55" s="79">
        <f>BC43/BC41</f>
        <v>0.19836048982896468</v>
      </c>
      <c r="BD55" s="79">
        <f>BD43/BD41</f>
        <v>0.19501655020228026</v>
      </c>
      <c r="BE55" s="79">
        <f>BE43/BE41</f>
        <v>0.21147275669843554</v>
      </c>
      <c r="BF55" s="85"/>
      <c r="BM55" s="79">
        <f t="shared" ref="BM55:BX55" si="102">BM43/BM41</f>
        <v>0.21811767568225132</v>
      </c>
      <c r="BN55" s="79">
        <f t="shared" si="102"/>
        <v>0.23357938195921432</v>
      </c>
      <c r="BO55" s="79">
        <f t="shared" si="102"/>
        <v>0.23981977386721073</v>
      </c>
      <c r="BP55" s="79">
        <f t="shared" si="102"/>
        <v>0.23917267060633043</v>
      </c>
      <c r="BQ55" s="79">
        <f t="shared" si="102"/>
        <v>0.22804183971696662</v>
      </c>
      <c r="BR55" s="79">
        <f t="shared" si="102"/>
        <v>0.22565210167801961</v>
      </c>
      <c r="BS55" s="79">
        <f t="shared" si="102"/>
        <v>0.21450311752016785</v>
      </c>
      <c r="BT55" s="79">
        <f t="shared" si="102"/>
        <v>0.2032120438055382</v>
      </c>
      <c r="BU55" s="79">
        <f t="shared" si="102"/>
        <v>0.20377379650657471</v>
      </c>
      <c r="BV55" s="79">
        <f t="shared" si="102"/>
        <v>0.20419649199497295</v>
      </c>
      <c r="BW55" s="79">
        <f t="shared" si="102"/>
        <v>0.16673453805039451</v>
      </c>
      <c r="BX55" s="79">
        <f t="shared" si="102"/>
        <v>0.20378719567177639</v>
      </c>
      <c r="BY55" s="79">
        <v>0.19814558802497975</v>
      </c>
      <c r="BZ55" s="85">
        <v>0.19814558802497975</v>
      </c>
      <c r="CA55" s="85">
        <v>0.20499999999999999</v>
      </c>
      <c r="CB55" s="85">
        <v>0.21</v>
      </c>
      <c r="CC55" s="85">
        <v>0.215</v>
      </c>
      <c r="CD55" s="85">
        <v>0.22</v>
      </c>
      <c r="CE55" s="85">
        <v>0.221</v>
      </c>
      <c r="CF55" s="85">
        <v>0.222</v>
      </c>
      <c r="CG55" s="85">
        <v>0.223</v>
      </c>
      <c r="CH55" s="85">
        <v>0.224</v>
      </c>
      <c r="CI55" s="85">
        <v>0.22500000000000001</v>
      </c>
    </row>
    <row r="56" spans="2:139">
      <c r="B56" s="37" t="s">
        <v>58</v>
      </c>
      <c r="C56" s="79">
        <f t="shared" ref="C56:AX56" si="103">C44/C41</f>
        <v>9.1415465268676277E-2</v>
      </c>
      <c r="D56" s="79">
        <f t="shared" si="103"/>
        <v>9.2469018112488088E-2</v>
      </c>
      <c r="E56" s="79">
        <f t="shared" si="103"/>
        <v>9.0894202423845397E-2</v>
      </c>
      <c r="F56" s="79">
        <f t="shared" si="103"/>
        <v>9.1115803150885175E-2</v>
      </c>
      <c r="G56" s="79">
        <f t="shared" si="103"/>
        <v>9.2681258549931603E-2</v>
      </c>
      <c r="H56" s="79">
        <f t="shared" si="103"/>
        <v>9.7698294419605897E-2</v>
      </c>
      <c r="I56" s="79">
        <f t="shared" si="103"/>
        <v>9.6925133689839571E-2</v>
      </c>
      <c r="J56" s="79">
        <f t="shared" si="103"/>
        <v>0.11345776031434185</v>
      </c>
      <c r="K56" s="79">
        <f t="shared" si="103"/>
        <v>0.10659728051032399</v>
      </c>
      <c r="L56" s="79">
        <f t="shared" si="103"/>
        <v>0.10871777476255089</v>
      </c>
      <c r="M56" s="79">
        <f t="shared" si="103"/>
        <v>0.11088810837932765</v>
      </c>
      <c r="N56" s="79">
        <f t="shared" si="103"/>
        <v>0.1101159114857745</v>
      </c>
      <c r="O56" s="79">
        <f t="shared" si="103"/>
        <v>0.11014103425117529</v>
      </c>
      <c r="P56" s="79">
        <f t="shared" si="103"/>
        <v>0.10333333333333333</v>
      </c>
      <c r="Q56" s="79">
        <f t="shared" si="103"/>
        <v>0.10755483346872462</v>
      </c>
      <c r="R56" s="79">
        <f t="shared" si="103"/>
        <v>0.10523123578468536</v>
      </c>
      <c r="S56" s="79">
        <f t="shared" si="103"/>
        <v>0.10889235569422777</v>
      </c>
      <c r="T56" s="79">
        <f t="shared" si="103"/>
        <v>0.10597868067356712</v>
      </c>
      <c r="U56" s="79">
        <f t="shared" si="103"/>
        <v>0.10336428680164408</v>
      </c>
      <c r="V56" s="79">
        <f t="shared" si="103"/>
        <v>9.9053724053724049E-2</v>
      </c>
      <c r="W56" s="79">
        <f t="shared" si="103"/>
        <v>0.10556792873051225</v>
      </c>
      <c r="X56" s="79">
        <f t="shared" si="103"/>
        <v>0.10380671442618346</v>
      </c>
      <c r="Y56" s="79">
        <f t="shared" si="103"/>
        <v>0.10105132962275819</v>
      </c>
      <c r="Z56" s="79">
        <f t="shared" si="103"/>
        <v>9.1221186856302108E-2</v>
      </c>
      <c r="AA56" s="79">
        <f t="shared" si="103"/>
        <v>9.2807424593967514E-2</v>
      </c>
      <c r="AB56" s="79">
        <f t="shared" si="103"/>
        <v>9.2715231788079472E-2</v>
      </c>
      <c r="AC56" s="79">
        <f t="shared" si="103"/>
        <v>9.1563421828908559E-2</v>
      </c>
      <c r="AD56" s="79">
        <f t="shared" si="103"/>
        <v>0.11122577686045178</v>
      </c>
      <c r="AE56" s="79">
        <f t="shared" si="103"/>
        <v>9.1415313225057998E-2</v>
      </c>
      <c r="AF56" s="79">
        <f t="shared" si="103"/>
        <v>9.3651508329581273E-2</v>
      </c>
      <c r="AG56" s="79">
        <f t="shared" si="103"/>
        <v>9.413189474843113E-2</v>
      </c>
      <c r="AH56" s="79">
        <f t="shared" si="103"/>
        <v>9.1852722287504893E-2</v>
      </c>
      <c r="AI56" s="79">
        <f t="shared" si="103"/>
        <v>9.8067052528120563E-2</v>
      </c>
      <c r="AJ56" s="79">
        <f t="shared" si="103"/>
        <v>0.10916839689651404</v>
      </c>
      <c r="AK56" s="79">
        <f t="shared" si="103"/>
        <v>0.1021788990825688</v>
      </c>
      <c r="AL56" s="79">
        <f t="shared" si="103"/>
        <v>9.3645097812246794E-2</v>
      </c>
      <c r="AM56" s="79">
        <f t="shared" si="103"/>
        <v>0.11094691372058656</v>
      </c>
      <c r="AN56" s="79">
        <f t="shared" si="103"/>
        <v>0.11419156913987047</v>
      </c>
      <c r="AO56" s="79">
        <f t="shared" si="103"/>
        <v>0.10857206554453239</v>
      </c>
      <c r="AP56" s="79">
        <f t="shared" si="103"/>
        <v>9.149805641383435E-2</v>
      </c>
      <c r="AQ56" s="79">
        <f t="shared" si="103"/>
        <v>0.11160090312869583</v>
      </c>
      <c r="AR56" s="79">
        <f t="shared" si="103"/>
        <v>0.11205096073517126</v>
      </c>
      <c r="AS56" s="79">
        <f t="shared" si="103"/>
        <v>0.10485933503836317</v>
      </c>
      <c r="AT56" s="79">
        <f t="shared" si="103"/>
        <v>8.2534310960706903E-2</v>
      </c>
      <c r="AU56" s="79">
        <f t="shared" si="103"/>
        <v>0.10480607914734037</v>
      </c>
      <c r="AV56" s="79">
        <f t="shared" si="103"/>
        <v>0.10775102759835584</v>
      </c>
      <c r="AW56" s="79">
        <f t="shared" si="103"/>
        <v>9.8639455782312924E-2</v>
      </c>
      <c r="AX56" s="79">
        <f t="shared" si="103"/>
        <v>7.8888265019651876E-2</v>
      </c>
      <c r="AY56" s="79">
        <f t="shared" ref="AY56:BB56" si="104">AY44/AY41</f>
        <v>0.10635825940008449</v>
      </c>
      <c r="AZ56" s="79">
        <f t="shared" si="104"/>
        <v>9.8154767655298999E-2</v>
      </c>
      <c r="BA56" s="79">
        <f t="shared" si="104"/>
        <v>9.4502542454187849E-2</v>
      </c>
      <c r="BB56" s="79">
        <f t="shared" si="104"/>
        <v>8.7517076502732244E-2</v>
      </c>
      <c r="BC56" s="79">
        <f>BC44/BC41</f>
        <v>9.826940593057383E-2</v>
      </c>
      <c r="BD56" s="79">
        <f>BD44/BD41</f>
        <v>9.4244207429201907E-2</v>
      </c>
      <c r="BE56" s="79">
        <f>BE44/BE41</f>
        <v>9.7374572918539834E-2</v>
      </c>
      <c r="BF56" s="85"/>
      <c r="BM56" s="79">
        <f t="shared" ref="BM56:BX56" si="105">BM44/BM41</f>
        <v>9.1480475244312881E-2</v>
      </c>
      <c r="BN56" s="79">
        <f t="shared" si="105"/>
        <v>0.10029609241419575</v>
      </c>
      <c r="BO56" s="79">
        <f t="shared" si="105"/>
        <v>0.1090708152682139</v>
      </c>
      <c r="BP56" s="79">
        <f t="shared" si="105"/>
        <v>0.10653282603416174</v>
      </c>
      <c r="BQ56" s="79">
        <f t="shared" si="105"/>
        <v>0.10429164743885556</v>
      </c>
      <c r="BR56" s="79">
        <f t="shared" si="105"/>
        <v>0.10004984216647284</v>
      </c>
      <c r="BS56" s="79">
        <f t="shared" si="105"/>
        <v>9.7219349310008571E-2</v>
      </c>
      <c r="BT56" s="79">
        <f t="shared" si="105"/>
        <v>9.2747085518628217E-2</v>
      </c>
      <c r="BU56" s="79">
        <f t="shared" si="105"/>
        <v>0.10084952477079653</v>
      </c>
      <c r="BV56" s="79">
        <f t="shared" si="105"/>
        <v>0.10581388995136878</v>
      </c>
      <c r="BW56" s="79">
        <f t="shared" si="105"/>
        <v>0.10216340035632476</v>
      </c>
      <c r="BX56" s="79">
        <f t="shared" si="105"/>
        <v>9.728754904588989E-2</v>
      </c>
      <c r="BY56" s="79">
        <v>9.6129093769366444E-2</v>
      </c>
      <c r="BZ56" s="85">
        <v>9.6129093769366444E-2</v>
      </c>
      <c r="CA56" s="85">
        <v>9.6129093769366444E-2</v>
      </c>
      <c r="CB56" s="85">
        <v>9.6129093769366444E-2</v>
      </c>
      <c r="CC56" s="85">
        <v>9.6129093769366444E-2</v>
      </c>
      <c r="CD56" s="85">
        <v>9.6129093769366444E-2</v>
      </c>
      <c r="CE56" s="85">
        <v>9.6129093769366444E-2</v>
      </c>
      <c r="CF56" s="85">
        <v>9.6129093769366444E-2</v>
      </c>
      <c r="CG56" s="85">
        <v>9.6129093769366444E-2</v>
      </c>
      <c r="CH56" s="85">
        <v>9.6129093769366444E-2</v>
      </c>
      <c r="CI56" s="85">
        <v>9.6129093769366444E-2</v>
      </c>
    </row>
    <row r="57" spans="2:139">
      <c r="B57" s="37" t="s">
        <v>59</v>
      </c>
      <c r="C57" s="79">
        <f t="shared" ref="C57:AX57" si="106">C45/C41</f>
        <v>0.12434469200524247</v>
      </c>
      <c r="D57" s="79">
        <f t="shared" si="106"/>
        <v>0.12805846838258658</v>
      </c>
      <c r="E57" s="79">
        <f t="shared" si="106"/>
        <v>0.12938093678349163</v>
      </c>
      <c r="F57" s="79">
        <f t="shared" si="106"/>
        <v>0.12473607276270911</v>
      </c>
      <c r="G57" s="79">
        <f t="shared" si="106"/>
        <v>0.14449384404924762</v>
      </c>
      <c r="H57" s="79">
        <f t="shared" si="106"/>
        <v>0.13578407021029973</v>
      </c>
      <c r="I57" s="79">
        <f t="shared" si="106"/>
        <v>0.12850935828877005</v>
      </c>
      <c r="J57" s="79">
        <f t="shared" si="106"/>
        <v>0.12475442043222004</v>
      </c>
      <c r="K57" s="79">
        <f t="shared" si="106"/>
        <v>0.13093839180795702</v>
      </c>
      <c r="L57" s="79">
        <f t="shared" si="106"/>
        <v>0.13789009497964722</v>
      </c>
      <c r="M57" s="79">
        <f t="shared" si="106"/>
        <v>0.13279812677705302</v>
      </c>
      <c r="N57" s="79">
        <f t="shared" si="106"/>
        <v>0.12100456621004566</v>
      </c>
      <c r="O57" s="79">
        <f t="shared" si="106"/>
        <v>0.12407656145063801</v>
      </c>
      <c r="P57" s="79">
        <f t="shared" si="106"/>
        <v>0.13283333333333333</v>
      </c>
      <c r="Q57" s="79">
        <f t="shared" si="106"/>
        <v>0.13419983753046305</v>
      </c>
      <c r="R57" s="79">
        <f t="shared" si="106"/>
        <v>0.13874147081122062</v>
      </c>
      <c r="S57" s="79">
        <f t="shared" si="106"/>
        <v>0.1344773790951638</v>
      </c>
      <c r="T57" s="79">
        <f t="shared" si="106"/>
        <v>0.13486791286883978</v>
      </c>
      <c r="U57" s="79">
        <f t="shared" si="106"/>
        <v>0.127416653980819</v>
      </c>
      <c r="V57" s="79">
        <f t="shared" si="106"/>
        <v>9.8595848595848593E-2</v>
      </c>
      <c r="W57" s="79">
        <f t="shared" si="106"/>
        <v>0.12590942835931701</v>
      </c>
      <c r="X57" s="79">
        <f t="shared" si="106"/>
        <v>0.11476330945357494</v>
      </c>
      <c r="Y57" s="79">
        <f t="shared" si="106"/>
        <v>0.14495980210265924</v>
      </c>
      <c r="Z57" s="79">
        <f t="shared" si="106"/>
        <v>0.11562040215792055</v>
      </c>
      <c r="AA57" s="79">
        <f t="shared" si="106"/>
        <v>0.11429967028941262</v>
      </c>
      <c r="AB57" s="79">
        <f t="shared" si="106"/>
        <v>0.11187322611163671</v>
      </c>
      <c r="AC57" s="79">
        <f t="shared" si="106"/>
        <v>0.11221238938053098</v>
      </c>
      <c r="AD57" s="79">
        <f t="shared" si="106"/>
        <v>0.13026029125100333</v>
      </c>
      <c r="AE57" s="79">
        <f t="shared" si="106"/>
        <v>0.10835266821345707</v>
      </c>
      <c r="AF57" s="79">
        <f t="shared" si="106"/>
        <v>0.11188653759567763</v>
      </c>
      <c r="AG57" s="79">
        <f t="shared" si="106"/>
        <v>0.10844434658152592</v>
      </c>
      <c r="AH57" s="79">
        <f t="shared" si="106"/>
        <v>0.11280846063454759</v>
      </c>
      <c r="AI57" s="79">
        <f t="shared" si="106"/>
        <v>9.1951512504095223E-2</v>
      </c>
      <c r="AJ57" s="79">
        <f t="shared" si="106"/>
        <v>0.11408589225221287</v>
      </c>
      <c r="AK57" s="79">
        <f t="shared" si="106"/>
        <v>0.11961009174311926</v>
      </c>
      <c r="AL57" s="79">
        <f t="shared" si="106"/>
        <v>8.5889570552147243E-2</v>
      </c>
      <c r="AM57" s="79">
        <f t="shared" si="106"/>
        <v>0.101966579515744</v>
      </c>
      <c r="AN57" s="79">
        <f t="shared" si="106"/>
        <v>0.1083967730939666</v>
      </c>
      <c r="AO57" s="79">
        <f t="shared" si="106"/>
        <v>9.4080927432839148E-2</v>
      </c>
      <c r="AP57" s="79">
        <f t="shared" si="106"/>
        <v>9.0302003388816901E-2</v>
      </c>
      <c r="AQ57" s="79">
        <f t="shared" si="106"/>
        <v>0.10181700892377164</v>
      </c>
      <c r="AR57" s="79">
        <f t="shared" si="106"/>
        <v>0.10098162071846283</v>
      </c>
      <c r="AS57" s="79">
        <f t="shared" si="106"/>
        <v>0.1039386189258312</v>
      </c>
      <c r="AT57" s="79">
        <f t="shared" si="106"/>
        <v>-3.694303440496334E-2</v>
      </c>
      <c r="AU57" s="79">
        <f t="shared" si="106"/>
        <v>0.10569426625875851</v>
      </c>
      <c r="AV57" s="79">
        <f t="shared" si="106"/>
        <v>0.10667449598747308</v>
      </c>
      <c r="AW57" s="79">
        <f t="shared" si="106"/>
        <v>0.11204481792717087</v>
      </c>
      <c r="AX57" s="79">
        <f t="shared" si="106"/>
        <v>0.10190903986524424</v>
      </c>
      <c r="AY57" s="79">
        <f t="shared" ref="AY57:BB57" si="107">AY45/AY41</f>
        <v>6.0519645120405578E-2</v>
      </c>
      <c r="AZ57" s="79">
        <f t="shared" si="107"/>
        <v>0.13766785817795382</v>
      </c>
      <c r="BA57" s="79">
        <f t="shared" si="107"/>
        <v>0.11915955099299626</v>
      </c>
      <c r="BB57" s="79">
        <f t="shared" si="107"/>
        <v>0.10852117486338798</v>
      </c>
      <c r="BC57" s="79">
        <f>BC45/BC41</f>
        <v>0.10009108389839085</v>
      </c>
      <c r="BD57" s="79">
        <f>BD45/BD41</f>
        <v>0.10077234277307834</v>
      </c>
      <c r="BE57" s="79">
        <f>BE45/BE41</f>
        <v>0.1140981837798957</v>
      </c>
      <c r="BF57" s="85"/>
      <c r="BM57" s="79">
        <f t="shared" ref="BM57:BX57" si="108">BM45/BM41</f>
        <v>0.12663720043793844</v>
      </c>
      <c r="BN57" s="79">
        <f t="shared" si="108"/>
        <v>0.13328328954501856</v>
      </c>
      <c r="BO57" s="79">
        <f t="shared" si="108"/>
        <v>0.13074895859899685</v>
      </c>
      <c r="BP57" s="79">
        <f t="shared" si="108"/>
        <v>0.13263984457216871</v>
      </c>
      <c r="BQ57" s="79">
        <f t="shared" si="108"/>
        <v>0.12375019227811106</v>
      </c>
      <c r="BR57" s="79">
        <f t="shared" si="108"/>
        <v>0.12560225951154677</v>
      </c>
      <c r="BS57" s="79">
        <f t="shared" si="108"/>
        <v>0.11728376821015928</v>
      </c>
      <c r="BT57" s="79">
        <f t="shared" si="108"/>
        <v>0.11046495828690997</v>
      </c>
      <c r="BU57" s="79">
        <f t="shared" si="108"/>
        <v>0.10292427173577817</v>
      </c>
      <c r="BV57" s="79">
        <f t="shared" si="108"/>
        <v>9.8382602043604175E-2</v>
      </c>
      <c r="BW57" s="79">
        <f t="shared" si="108"/>
        <v>6.4571137694069733E-2</v>
      </c>
      <c r="BX57" s="79">
        <f t="shared" si="108"/>
        <v>0.10649964662588648</v>
      </c>
      <c r="BY57" s="79">
        <v>0.10752252466987654</v>
      </c>
      <c r="BZ57" s="85">
        <v>0.10752252466987654</v>
      </c>
      <c r="CA57" s="85">
        <v>0.10752252466987654</v>
      </c>
      <c r="CB57" s="85">
        <v>0.10752252466987654</v>
      </c>
      <c r="CC57" s="85">
        <v>0.10752252466987654</v>
      </c>
      <c r="CD57" s="85">
        <v>0.10752252466987654</v>
      </c>
      <c r="CE57" s="85">
        <v>0.10752252466987654</v>
      </c>
      <c r="CF57" s="85">
        <v>0.10752252466987654</v>
      </c>
      <c r="CG57" s="85">
        <v>0.10752252466987654</v>
      </c>
      <c r="CH57" s="85">
        <v>0.10752252466987654</v>
      </c>
      <c r="CI57" s="85">
        <v>0.10752252466987654</v>
      </c>
    </row>
    <row r="58" spans="2:139">
      <c r="B58" s="37" t="s">
        <v>60</v>
      </c>
      <c r="C58" s="79">
        <f t="shared" ref="C58:AX58" si="109">C50/C49</f>
        <v>0.31320224719101125</v>
      </c>
      <c r="D58" s="79">
        <f t="shared" si="109"/>
        <v>0.32596685082872928</v>
      </c>
      <c r="E58" s="79">
        <f t="shared" si="109"/>
        <v>0.30972222222222223</v>
      </c>
      <c r="F58" s="79">
        <f t="shared" si="109"/>
        <v>0.32390381895332393</v>
      </c>
      <c r="G58" s="79">
        <f t="shared" si="109"/>
        <v>0.26335877862595419</v>
      </c>
      <c r="H58" s="79">
        <f t="shared" si="109"/>
        <v>0.32407407407407407</v>
      </c>
      <c r="I58" s="79">
        <f t="shared" si="109"/>
        <v>0.31844380403458211</v>
      </c>
      <c r="J58" s="79">
        <f t="shared" si="109"/>
        <v>0.2781740370898716</v>
      </c>
      <c r="K58" s="79">
        <f t="shared" si="109"/>
        <v>0.3125</v>
      </c>
      <c r="L58" s="79">
        <f t="shared" si="109"/>
        <v>0.27853260869565216</v>
      </c>
      <c r="M58" s="79">
        <f t="shared" si="109"/>
        <v>0.29218106995884774</v>
      </c>
      <c r="N58" s="79">
        <f t="shared" si="109"/>
        <v>0.2608695652173913</v>
      </c>
      <c r="O58" s="79">
        <f t="shared" si="109"/>
        <v>0.17751479289940827</v>
      </c>
      <c r="P58" s="79">
        <f t="shared" si="109"/>
        <v>0.29178082191780824</v>
      </c>
      <c r="Q58" s="79">
        <f t="shared" si="109"/>
        <v>0.21716514954486346</v>
      </c>
      <c r="R58" s="79">
        <f t="shared" si="109"/>
        <v>0.27272727272727271</v>
      </c>
      <c r="S58" s="79">
        <f t="shared" si="109"/>
        <v>0.17512690355329949</v>
      </c>
      <c r="T58" s="79">
        <f t="shared" si="109"/>
        <v>0.31650246305418717</v>
      </c>
      <c r="U58" s="79">
        <f t="shared" si="109"/>
        <v>0.17774936061381075</v>
      </c>
      <c r="V58" s="79">
        <f t="shared" si="109"/>
        <v>0.44721169463995669</v>
      </c>
      <c r="W58" s="79">
        <f t="shared" si="109"/>
        <v>0.15915915915915915</v>
      </c>
      <c r="X58" s="79">
        <f t="shared" si="109"/>
        <v>0.19159836065573771</v>
      </c>
      <c r="Y58" s="79">
        <f t="shared" si="109"/>
        <v>8.797653958944282E-2</v>
      </c>
      <c r="Z58" s="79">
        <f t="shared" si="109"/>
        <v>0.11662531017369727</v>
      </c>
      <c r="AA58" s="79">
        <f t="shared" si="109"/>
        <v>0.16537717601547389</v>
      </c>
      <c r="AB58" s="79">
        <f t="shared" si="109"/>
        <v>0.16245136186770429</v>
      </c>
      <c r="AC58" s="79">
        <f t="shared" si="109"/>
        <v>0.11563981042654028</v>
      </c>
      <c r="AD58" s="79">
        <f t="shared" si="109"/>
        <v>0.28119507908611602</v>
      </c>
      <c r="AE58" s="79">
        <f t="shared" si="109"/>
        <v>0.17568850902184235</v>
      </c>
      <c r="AF58" s="79">
        <f t="shared" si="109"/>
        <v>0.16458852867830423</v>
      </c>
      <c r="AG58" s="79">
        <f t="shared" si="109"/>
        <v>0.15509854327335046</v>
      </c>
      <c r="AH58" s="79">
        <f t="shared" si="109"/>
        <v>-8.1967213114754092E-2</v>
      </c>
      <c r="AI58" s="79">
        <f t="shared" si="109"/>
        <v>0.77893738140417457</v>
      </c>
      <c r="AJ58" s="79">
        <f t="shared" si="109"/>
        <v>0.20353302611367127</v>
      </c>
      <c r="AK58" s="79">
        <f t="shared" si="109"/>
        <v>0.16627450980392156</v>
      </c>
      <c r="AL58" s="79">
        <f t="shared" si="109"/>
        <v>0.19195888754534463</v>
      </c>
      <c r="AM58" s="79">
        <f t="shared" si="109"/>
        <v>0.16520979020979021</v>
      </c>
      <c r="AN58" s="79">
        <f t="shared" si="109"/>
        <v>0.17739130434782607</v>
      </c>
      <c r="AO58" s="79">
        <f t="shared" si="109"/>
        <v>0.16055045871559634</v>
      </c>
      <c r="AP58" s="79">
        <f t="shared" si="109"/>
        <v>0.15171288743882544</v>
      </c>
      <c r="AQ58" s="79">
        <f t="shared" si="109"/>
        <v>0.15631262525050099</v>
      </c>
      <c r="AR58" s="79">
        <f t="shared" si="109"/>
        <v>0.1773049645390071</v>
      </c>
      <c r="AS58" s="79">
        <f t="shared" si="109"/>
        <v>0.16189624329159213</v>
      </c>
      <c r="AT58" s="79">
        <f t="shared" si="109"/>
        <v>0.29326287978863935</v>
      </c>
      <c r="AU58" s="79">
        <f t="shared" si="109"/>
        <v>0.16534040671971706</v>
      </c>
      <c r="AV58" s="79">
        <f t="shared" si="109"/>
        <v>0.17975567190226877</v>
      </c>
      <c r="AW58" s="79">
        <f t="shared" si="109"/>
        <v>0.13636363636363635</v>
      </c>
      <c r="AX58" s="79">
        <f t="shared" si="109"/>
        <v>0.18504190844616378</v>
      </c>
      <c r="AY58" s="79">
        <f t="shared" ref="AY58:BB58" si="110">AY50/AY49</f>
        <v>0.16782006920415224</v>
      </c>
      <c r="AZ58" s="79">
        <f t="shared" si="110"/>
        <v>6.7974772249474416E-2</v>
      </c>
      <c r="BA58" s="79">
        <f t="shared" si="110"/>
        <v>0.16855631141345426</v>
      </c>
      <c r="BB58" s="79">
        <f t="shared" si="110"/>
        <v>0.26954022988505749</v>
      </c>
      <c r="BC58" s="79">
        <f>BC50/BC49</f>
        <v>0.15048543689320387</v>
      </c>
      <c r="BD58" s="79">
        <f>BD50/BD49</f>
        <v>6.3356164383561647E-2</v>
      </c>
      <c r="BE58" s="79">
        <f>BE50/BE49</f>
        <v>0.13405238828967642</v>
      </c>
      <c r="BF58" s="85"/>
      <c r="BM58" s="79">
        <f t="shared" ref="BM58:BX58" si="111">BM50/BM49</f>
        <v>0.31819769472581211</v>
      </c>
      <c r="BN58" s="79">
        <f t="shared" si="111"/>
        <v>0.29553966632618317</v>
      </c>
      <c r="BO58" s="79">
        <f t="shared" si="111"/>
        <v>0.28673835125448027</v>
      </c>
      <c r="BP58" s="79">
        <f t="shared" si="111"/>
        <v>0.23797090637821708</v>
      </c>
      <c r="BQ58" s="79">
        <f t="shared" si="111"/>
        <v>0.32158902813903995</v>
      </c>
      <c r="BR58" s="79">
        <f t="shared" si="111"/>
        <v>0.13709246392303581</v>
      </c>
      <c r="BS58" s="79">
        <f t="shared" si="111"/>
        <v>0.11773940345368916</v>
      </c>
      <c r="BT58" s="79">
        <f t="shared" si="111"/>
        <v>0.14458154506437768</v>
      </c>
      <c r="BU58" s="79">
        <f t="shared" si="111"/>
        <v>0.27857039919296728</v>
      </c>
      <c r="BV58" s="79">
        <f t="shared" si="111"/>
        <v>0.16106922549691569</v>
      </c>
      <c r="BW58" s="79">
        <f t="shared" si="111"/>
        <v>0.12361466325660699</v>
      </c>
      <c r="BX58" s="79">
        <f t="shared" si="111"/>
        <v>0.16786283891547049</v>
      </c>
      <c r="BY58" s="79">
        <v>0.17482241515390687</v>
      </c>
      <c r="BZ58" s="85">
        <v>0.13</v>
      </c>
      <c r="CA58" s="85">
        <v>0.16</v>
      </c>
      <c r="CB58" s="85">
        <v>0.18</v>
      </c>
      <c r="CC58" s="85">
        <v>0.19</v>
      </c>
      <c r="CD58" s="85">
        <v>0.2</v>
      </c>
      <c r="CE58" s="85">
        <v>0.21</v>
      </c>
      <c r="CF58" s="85">
        <v>0.22</v>
      </c>
      <c r="CG58" s="85">
        <v>0.22</v>
      </c>
      <c r="CH58" s="85">
        <v>0.22</v>
      </c>
      <c r="CI58" s="85">
        <v>0.22</v>
      </c>
    </row>
    <row r="59" spans="2:139">
      <c r="B59" s="37" t="s">
        <v>61</v>
      </c>
      <c r="C59" s="79">
        <f t="shared" ref="C59:AX59" si="112">C51/C41</f>
        <v>8.0111402359108783E-2</v>
      </c>
      <c r="D59" s="79">
        <f t="shared" si="112"/>
        <v>7.7534159517000323E-2</v>
      </c>
      <c r="E59" s="79">
        <f t="shared" si="112"/>
        <v>8.1395348837209308E-2</v>
      </c>
      <c r="F59" s="79">
        <f t="shared" si="112"/>
        <v>7.7635211953873642E-2</v>
      </c>
      <c r="G59" s="79">
        <f t="shared" si="112"/>
        <v>9.9008207934336526E-2</v>
      </c>
      <c r="H59" s="79">
        <f t="shared" si="112"/>
        <v>8.4616658387150184E-2</v>
      </c>
      <c r="I59" s="79">
        <f t="shared" si="112"/>
        <v>7.904411764705882E-2</v>
      </c>
      <c r="J59" s="79">
        <f t="shared" si="112"/>
        <v>8.2842174197773413E-2</v>
      </c>
      <c r="K59" s="79">
        <f t="shared" si="112"/>
        <v>8.1248950814168205E-2</v>
      </c>
      <c r="L59" s="79">
        <f t="shared" si="112"/>
        <v>9.0061058344640441E-2</v>
      </c>
      <c r="M59" s="79">
        <f t="shared" si="112"/>
        <v>8.6302057200200705E-2</v>
      </c>
      <c r="N59" s="79">
        <f t="shared" si="112"/>
        <v>8.0611169652265544E-2</v>
      </c>
      <c r="O59" s="79">
        <f t="shared" si="112"/>
        <v>9.3351242444593682E-2</v>
      </c>
      <c r="P59" s="79">
        <f t="shared" si="112"/>
        <v>8.6166666666666669E-2</v>
      </c>
      <c r="Q59" s="79">
        <f t="shared" si="112"/>
        <v>9.7806661251015434E-2</v>
      </c>
      <c r="R59" s="79">
        <f t="shared" si="112"/>
        <v>5.5799848369977256E-2</v>
      </c>
      <c r="S59" s="79">
        <f t="shared" si="112"/>
        <v>0.10140405616224649</v>
      </c>
      <c r="T59" s="79">
        <f t="shared" si="112"/>
        <v>8.5740769349606061E-2</v>
      </c>
      <c r="U59" s="79">
        <f t="shared" si="112"/>
        <v>9.788400060892069E-2</v>
      </c>
      <c r="V59" s="79">
        <f t="shared" si="112"/>
        <v>0.15583028083028083</v>
      </c>
      <c r="W59" s="79">
        <f t="shared" si="112"/>
        <v>0.12472160356347439</v>
      </c>
      <c r="X59" s="79">
        <f t="shared" si="112"/>
        <v>0.11083017277707544</v>
      </c>
      <c r="Y59" s="79">
        <f t="shared" si="112"/>
        <v>0.15386518243661101</v>
      </c>
      <c r="Z59" s="79">
        <f t="shared" si="112"/>
        <v>4.3648847474252087E-2</v>
      </c>
      <c r="AA59" s="79">
        <f t="shared" si="112"/>
        <v>0.10538527292709733</v>
      </c>
      <c r="AB59" s="79">
        <f t="shared" si="112"/>
        <v>0.10182119205298014</v>
      </c>
      <c r="AC59" s="79">
        <f t="shared" si="112"/>
        <v>0.11008849557522124</v>
      </c>
      <c r="AD59" s="79">
        <f t="shared" si="112"/>
        <v>-4.6898291480334822E-2</v>
      </c>
      <c r="AE59" s="79">
        <f t="shared" si="112"/>
        <v>0.10069605568445476</v>
      </c>
      <c r="AF59" s="79">
        <f t="shared" si="112"/>
        <v>0.11312471859522738</v>
      </c>
      <c r="AG59" s="79">
        <f t="shared" si="112"/>
        <v>0.10855444236485742</v>
      </c>
      <c r="AH59" s="79">
        <f t="shared" si="112"/>
        <v>3.2314923619271442E-2</v>
      </c>
      <c r="AI59" s="79">
        <f t="shared" si="112"/>
        <v>2.54450147428197E-2</v>
      </c>
      <c r="AJ59" s="79">
        <f t="shared" si="112"/>
        <v>0.11332094853021528</v>
      </c>
      <c r="AK59" s="79">
        <f t="shared" si="112"/>
        <v>0.12190366972477064</v>
      </c>
      <c r="AL59" s="79">
        <f t="shared" si="112"/>
        <v>0.30941081143650884</v>
      </c>
      <c r="AM59" s="79">
        <f t="shared" si="112"/>
        <v>0.10855973627372968</v>
      </c>
      <c r="AN59" s="79">
        <f t="shared" si="112"/>
        <v>0.10748778547892285</v>
      </c>
      <c r="AO59" s="79">
        <f t="shared" si="112"/>
        <v>0.101995318247687</v>
      </c>
      <c r="AP59" s="79">
        <f t="shared" si="112"/>
        <v>0.20731585766969002</v>
      </c>
      <c r="AQ59" s="79">
        <f t="shared" si="112"/>
        <v>9.0527900225782179E-2</v>
      </c>
      <c r="AR59" s="79">
        <f t="shared" si="112"/>
        <v>8.4795321637426896E-2</v>
      </c>
      <c r="AS59" s="79">
        <f t="shared" si="112"/>
        <v>9.5856777493606132E-2</v>
      </c>
      <c r="AT59" s="79">
        <f t="shared" si="112"/>
        <v>-5.0291408159428466E-2</v>
      </c>
      <c r="AU59" s="79">
        <f t="shared" si="112"/>
        <v>9.316095924208033E-2</v>
      </c>
      <c r="AV59" s="79">
        <f t="shared" si="112"/>
        <v>9.1994519475435507E-2</v>
      </c>
      <c r="AW59" s="79">
        <f t="shared" si="112"/>
        <v>0.10264105642256903</v>
      </c>
      <c r="AX59" s="79">
        <f t="shared" si="112"/>
        <v>0.11828560733670222</v>
      </c>
      <c r="AY59" s="79">
        <f t="shared" ref="AY59:BB59" si="113">AY51/AY41</f>
        <v>5.0802703844528938E-2</v>
      </c>
      <c r="AZ59" s="79">
        <f t="shared" si="113"/>
        <v>0.12849000096609023</v>
      </c>
      <c r="BA59" s="79">
        <f t="shared" si="113"/>
        <v>0.10553583421279862</v>
      </c>
      <c r="BB59" s="79">
        <f t="shared" si="113"/>
        <v>0.10852117486338798</v>
      </c>
      <c r="BC59" s="79">
        <f>BC51/BC41</f>
        <v>8.8553790102216381E-2</v>
      </c>
      <c r="BD59" s="79">
        <f>BD51/BD41</f>
        <v>0.10058845163663112</v>
      </c>
      <c r="BE59" s="79">
        <f>BE51/BE41</f>
        <v>0.10106096025894623</v>
      </c>
      <c r="BF59" s="85"/>
      <c r="BM59" s="79">
        <f t="shared" ref="BM59:BX59" si="114">BM51/BM41</f>
        <v>7.9153319005717523E-2</v>
      </c>
      <c r="BN59" s="79">
        <f t="shared" si="114"/>
        <v>8.6283831686058632E-2</v>
      </c>
      <c r="BO59" s="79">
        <f t="shared" si="114"/>
        <v>8.458726515344725E-2</v>
      </c>
      <c r="BP59" s="79">
        <f t="shared" si="114"/>
        <v>8.269246336922205E-2</v>
      </c>
      <c r="BQ59" s="79">
        <f t="shared" si="114"/>
        <v>0.11032918012613444</v>
      </c>
      <c r="BR59" s="79">
        <f t="shared" si="114"/>
        <v>0.107293570360525</v>
      </c>
      <c r="BS59" s="79">
        <f t="shared" si="114"/>
        <v>6.6428297036139589E-2</v>
      </c>
      <c r="BT59" s="79">
        <f t="shared" si="114"/>
        <v>8.6659963585967004E-2</v>
      </c>
      <c r="BU59" s="79">
        <f t="shared" si="114"/>
        <v>0.14035382846889283</v>
      </c>
      <c r="BV59" s="79">
        <f t="shared" si="114"/>
        <v>0.13376318233976286</v>
      </c>
      <c r="BW59" s="79">
        <f t="shared" si="114"/>
        <v>5.2328836854161363E-2</v>
      </c>
      <c r="BX59" s="79">
        <f t="shared" si="114"/>
        <v>0.10172300343625862</v>
      </c>
      <c r="BY59" s="79">
        <v>9.9680602564713727E-2</v>
      </c>
      <c r="BZ59" s="85">
        <v>9.9680602564713727E-2</v>
      </c>
      <c r="CA59" s="85">
        <v>9.9680602564713727E-2</v>
      </c>
      <c r="CB59" s="85">
        <v>9.9680602564713727E-2</v>
      </c>
      <c r="CC59" s="85">
        <v>9.9680602564713727E-2</v>
      </c>
      <c r="CD59" s="85">
        <v>9.9680602564713727E-2</v>
      </c>
      <c r="CE59" s="85">
        <v>9.9680602564713727E-2</v>
      </c>
      <c r="CF59" s="85">
        <v>9.9680602564713727E-2</v>
      </c>
      <c r="CG59" s="85">
        <v>9.9680602564713727E-2</v>
      </c>
      <c r="CH59" s="85">
        <v>9.9680602564713727E-2</v>
      </c>
      <c r="CI59" s="85">
        <v>9.9680602564713727E-2</v>
      </c>
    </row>
    <row r="60" spans="2:139">
      <c r="BE60" s="1"/>
      <c r="BF60" s="35"/>
      <c r="BZ60" s="35"/>
    </row>
    <row r="61" spans="2:139" ht="15">
      <c r="B61" s="1" t="s">
        <v>62</v>
      </c>
      <c r="AT61" s="1">
        <v>3109</v>
      </c>
      <c r="AU61" s="1">
        <v>3061</v>
      </c>
      <c r="AV61" s="1">
        <v>3272</v>
      </c>
      <c r="AW61" s="1">
        <v>3326</v>
      </c>
      <c r="AX61" s="1">
        <v>4353</v>
      </c>
      <c r="AY61" s="1">
        <v>1685</v>
      </c>
      <c r="AZ61" s="1">
        <v>1899</v>
      </c>
      <c r="BA61" s="1">
        <v>1957</v>
      </c>
      <c r="BB61" s="1">
        <v>4403</v>
      </c>
      <c r="BC61" s="1">
        <v>2090</v>
      </c>
      <c r="BD61" s="1">
        <v>2307</v>
      </c>
      <c r="BE61" s="1">
        <v>3744</v>
      </c>
      <c r="BF61" s="63"/>
      <c r="BW61" s="1">
        <f t="shared" ref="BW61:BW72" si="115">AT61</f>
        <v>3109</v>
      </c>
      <c r="BX61" s="1">
        <f t="shared" ref="BX61:BX72" si="116">AX61</f>
        <v>4353</v>
      </c>
      <c r="BY61" s="1">
        <f t="shared" ref="BY61:BY72" si="117">AY61</f>
        <v>1685</v>
      </c>
      <c r="BZ61" s="63">
        <f>BY61+BZ51</f>
        <v>5090.8939661200375</v>
      </c>
      <c r="CA61" s="63">
        <f t="shared" ref="CA61:CI61" si="118">BZ61+CA51</f>
        <v>8965.4910290547432</v>
      </c>
      <c r="CB61" s="63">
        <f t="shared" si="118"/>
        <v>13236.922075171853</v>
      </c>
      <c r="CC61" s="63">
        <f t="shared" si="118"/>
        <v>17911.955974579956</v>
      </c>
      <c r="CD61" s="63">
        <f t="shared" si="118"/>
        <v>22983.419767444593</v>
      </c>
      <c r="CE61" s="63">
        <f t="shared" si="118"/>
        <v>28277.26337676066</v>
      </c>
      <c r="CF61" s="63">
        <f t="shared" si="118"/>
        <v>33780.162089466197</v>
      </c>
      <c r="CG61" s="63">
        <f t="shared" si="118"/>
        <v>39551.489547417048</v>
      </c>
      <c r="CH61" s="63">
        <f t="shared" si="118"/>
        <v>45587.208695910704</v>
      </c>
      <c r="CI61" s="63">
        <f t="shared" si="118"/>
        <v>51885.070663134968</v>
      </c>
      <c r="CK61" s="69" t="s">
        <v>106</v>
      </c>
      <c r="CN61" s="78" t="s">
        <v>130</v>
      </c>
      <c r="CO61" s="45"/>
      <c r="CP61" s="70" t="s">
        <v>105</v>
      </c>
      <c r="CQ61" s="45"/>
      <c r="CR61" s="46" t="s">
        <v>107</v>
      </c>
      <c r="CS61" s="47">
        <v>2.1000000000000001E-2</v>
      </c>
      <c r="CT61" s="45"/>
    </row>
    <row r="62" spans="2:139">
      <c r="B62" s="1" t="s">
        <v>201</v>
      </c>
      <c r="AT62" s="1">
        <v>1454</v>
      </c>
      <c r="AU62" s="1">
        <v>1832</v>
      </c>
      <c r="AV62" s="1">
        <v>1694</v>
      </c>
      <c r="AW62" s="1">
        <v>1609</v>
      </c>
      <c r="AX62" s="1">
        <v>1272</v>
      </c>
      <c r="AY62" s="1">
        <v>1805</v>
      </c>
      <c r="AZ62" s="1">
        <v>2196</v>
      </c>
      <c r="BA62" s="1">
        <v>1983</v>
      </c>
      <c r="BB62" s="1">
        <v>1375</v>
      </c>
      <c r="BC62" s="1">
        <v>1806</v>
      </c>
      <c r="BD62" s="1">
        <v>2311</v>
      </c>
      <c r="BE62" s="1">
        <v>2080</v>
      </c>
      <c r="BF62" s="35"/>
      <c r="BW62" s="1">
        <f t="shared" si="115"/>
        <v>1454</v>
      </c>
      <c r="BX62" s="1">
        <f t="shared" si="116"/>
        <v>1272</v>
      </c>
      <c r="BY62" s="1">
        <f t="shared" si="117"/>
        <v>1805</v>
      </c>
      <c r="BZ62" s="35"/>
      <c r="CK62" s="45">
        <v>2024</v>
      </c>
      <c r="CL62" s="45">
        <v>2025</v>
      </c>
      <c r="CN62" s="44" t="s">
        <v>129</v>
      </c>
      <c r="CO62" s="45"/>
      <c r="CP62" s="45">
        <v>2025</v>
      </c>
      <c r="CQ62" s="45"/>
      <c r="CR62" s="46" t="s">
        <v>108</v>
      </c>
      <c r="CS62" s="47">
        <v>5.0000000000000001E-3</v>
      </c>
      <c r="CT62" s="45"/>
    </row>
    <row r="63" spans="2:139" ht="14.25" customHeight="1">
      <c r="B63" s="1" t="s">
        <v>202</v>
      </c>
      <c r="AT63" s="1">
        <v>5693</v>
      </c>
      <c r="AU63" s="1">
        <v>6450</v>
      </c>
      <c r="AV63" s="1">
        <v>6434</v>
      </c>
      <c r="AW63" s="1">
        <v>6518</v>
      </c>
      <c r="AX63" s="1">
        <v>5908</v>
      </c>
      <c r="AY63" s="1">
        <v>6857</v>
      </c>
      <c r="AZ63" s="1">
        <v>7133</v>
      </c>
      <c r="BA63" s="1">
        <v>7030</v>
      </c>
      <c r="BB63" s="1">
        <v>6544</v>
      </c>
      <c r="BC63" s="1">
        <v>7556</v>
      </c>
      <c r="BD63" s="1">
        <v>7953</v>
      </c>
      <c r="BE63" s="1">
        <v>7899</v>
      </c>
      <c r="BF63" s="35"/>
      <c r="BW63" s="1">
        <f t="shared" si="115"/>
        <v>5693</v>
      </c>
      <c r="BX63" s="1">
        <f t="shared" si="116"/>
        <v>5908</v>
      </c>
      <c r="BY63" s="1">
        <f t="shared" si="117"/>
        <v>6857</v>
      </c>
      <c r="BZ63" s="35"/>
      <c r="CK63" s="49">
        <f>SUM(BX61:BX64)-BX77+BX68+BX71+BX70</f>
        <v>28980</v>
      </c>
      <c r="CL63" s="49">
        <f>SUM(BY61:BY64)-BY77+BY68+BY71+BY70</f>
        <v>26968</v>
      </c>
      <c r="CN63" s="49">
        <f>AVERAGE(CK63:CL63)</f>
        <v>27974</v>
      </c>
      <c r="CO63" s="45"/>
      <c r="CP63" s="48">
        <f>AVERAGE(BZ50)*(1-BZ59)</f>
        <v>458.19656601119209</v>
      </c>
      <c r="CQ63" s="45"/>
      <c r="CR63" s="46" t="s">
        <v>109</v>
      </c>
      <c r="CS63" s="47">
        <f>CN72</f>
        <v>5.1700000000000003E-2</v>
      </c>
      <c r="CT63" s="45"/>
    </row>
    <row r="64" spans="2:139" ht="13.5" customHeight="1">
      <c r="B64" s="1" t="s">
        <v>203</v>
      </c>
      <c r="AT64" s="1">
        <v>1109</v>
      </c>
      <c r="AU64" s="1">
        <v>1370</v>
      </c>
      <c r="AV64" s="1">
        <v>1504</v>
      </c>
      <c r="AW64" s="1">
        <v>1646</v>
      </c>
      <c r="AX64" s="1">
        <v>1455</v>
      </c>
      <c r="AY64" s="1">
        <v>1578</v>
      </c>
      <c r="AZ64" s="1">
        <v>1553</v>
      </c>
      <c r="BA64" s="1">
        <v>1615</v>
      </c>
      <c r="BB64" s="1">
        <v>1309</v>
      </c>
      <c r="BC64" s="1">
        <v>1450</v>
      </c>
      <c r="BD64" s="1">
        <v>1415</v>
      </c>
      <c r="BE64" s="1">
        <v>1361</v>
      </c>
      <c r="BF64" s="35"/>
      <c r="BW64" s="1">
        <f t="shared" si="115"/>
        <v>1109</v>
      </c>
      <c r="BX64" s="1">
        <f t="shared" si="116"/>
        <v>1455</v>
      </c>
      <c r="BY64" s="1">
        <f t="shared" si="117"/>
        <v>1578</v>
      </c>
      <c r="BZ64" s="35"/>
      <c r="CL64" s="45"/>
      <c r="CM64" s="45"/>
      <c r="CN64" s="45"/>
      <c r="CO64" s="45"/>
      <c r="CP64" s="50">
        <f>CP63/CN63</f>
        <v>1.6379372489139631E-2</v>
      </c>
      <c r="CQ64" s="45"/>
      <c r="CR64" s="46" t="s">
        <v>110</v>
      </c>
      <c r="CS64" s="47">
        <f>8.15%-CS63</f>
        <v>2.98E-2</v>
      </c>
      <c r="CT64" s="45"/>
    </row>
    <row r="65" spans="2:139" ht="13.5" customHeight="1">
      <c r="B65" s="1" t="s">
        <v>227</v>
      </c>
      <c r="AT65" s="1">
        <v>2341</v>
      </c>
      <c r="AU65" s="1">
        <v>2083</v>
      </c>
      <c r="AV65" s="1">
        <v>1363</v>
      </c>
      <c r="AW65" s="1">
        <v>1233</v>
      </c>
      <c r="AX65" s="1">
        <v>1286</v>
      </c>
      <c r="AY65" s="1">
        <v>1342</v>
      </c>
      <c r="AZ65" s="1">
        <v>1245</v>
      </c>
      <c r="BA65" s="1">
        <v>1520</v>
      </c>
      <c r="BB65" s="1">
        <v>1656</v>
      </c>
      <c r="BC65" s="1">
        <v>1868</v>
      </c>
      <c r="BD65" s="1">
        <v>1604</v>
      </c>
      <c r="BE65" s="1">
        <v>1893</v>
      </c>
      <c r="BF65" s="35"/>
      <c r="BW65" s="1">
        <f t="shared" si="115"/>
        <v>2341</v>
      </c>
      <c r="BX65" s="1">
        <f t="shared" si="116"/>
        <v>1286</v>
      </c>
      <c r="BY65" s="1">
        <f t="shared" si="117"/>
        <v>1342</v>
      </c>
      <c r="BZ65" s="35"/>
      <c r="CK65" s="51" t="s">
        <v>119</v>
      </c>
      <c r="CL65" s="45"/>
      <c r="CM65" s="45"/>
      <c r="CO65" s="45"/>
      <c r="CP65" s="45"/>
      <c r="CQ65" s="45"/>
      <c r="CR65" s="46" t="s">
        <v>111</v>
      </c>
      <c r="CS65" s="52">
        <f>'Notes | Quant Analysis'!S242</f>
        <v>0.32949712694686251</v>
      </c>
      <c r="CT65" s="45"/>
    </row>
    <row r="66" spans="2:139" ht="13.5" customHeight="1">
      <c r="B66" s="1" t="s">
        <v>204</v>
      </c>
      <c r="AT66" s="1">
        <v>9653</v>
      </c>
      <c r="AU66" s="1">
        <v>9690</v>
      </c>
      <c r="AV66" s="1">
        <v>9771</v>
      </c>
      <c r="AW66" s="1">
        <v>10078</v>
      </c>
      <c r="AX66" s="1">
        <v>10536</v>
      </c>
      <c r="AY66" s="1">
        <v>10552</v>
      </c>
      <c r="AZ66" s="1">
        <v>10537</v>
      </c>
      <c r="BA66" s="1">
        <v>10542</v>
      </c>
      <c r="BB66" s="1">
        <v>10972</v>
      </c>
      <c r="BC66" s="1">
        <v>10243</v>
      </c>
      <c r="BD66" s="1">
        <v>10297</v>
      </c>
      <c r="BE66" s="1">
        <v>10461</v>
      </c>
      <c r="BF66" s="35"/>
      <c r="BW66" s="1">
        <f t="shared" si="115"/>
        <v>9653</v>
      </c>
      <c r="BX66" s="1">
        <f t="shared" si="116"/>
        <v>10536</v>
      </c>
      <c r="BY66" s="1">
        <f t="shared" si="117"/>
        <v>10552</v>
      </c>
      <c r="BZ66" s="35"/>
      <c r="CK66" s="57" t="s">
        <v>120</v>
      </c>
      <c r="CN66" s="48">
        <f>Main!C5</f>
        <v>75369.84</v>
      </c>
      <c r="CO66" s="45"/>
      <c r="CQ66" s="45"/>
      <c r="CR66" s="46" t="s">
        <v>112</v>
      </c>
      <c r="CS66" s="47">
        <f>+CS63+(CS64*CS65)</f>
        <v>6.1519014383016504E-2</v>
      </c>
      <c r="CT66" s="45"/>
    </row>
    <row r="67" spans="2:139" ht="13.5" customHeight="1">
      <c r="B67" s="1" t="s">
        <v>209</v>
      </c>
      <c r="AT67" s="1">
        <v>1818</v>
      </c>
      <c r="AU67" s="1">
        <v>1763</v>
      </c>
      <c r="AV67" s="1">
        <v>1823</v>
      </c>
      <c r="AW67" s="1">
        <v>1779</v>
      </c>
      <c r="AX67" s="1">
        <v>1770</v>
      </c>
      <c r="AY67" s="1">
        <v>1826</v>
      </c>
      <c r="AZ67" s="1">
        <v>1783</v>
      </c>
      <c r="BA67" s="1">
        <v>1783</v>
      </c>
      <c r="BB67" s="1">
        <v>1859</v>
      </c>
      <c r="BC67" s="1">
        <v>1925</v>
      </c>
      <c r="BD67" s="1">
        <v>1901</v>
      </c>
      <c r="BE67" s="1">
        <v>2182</v>
      </c>
      <c r="BF67" s="35"/>
      <c r="BW67" s="1">
        <f t="shared" si="115"/>
        <v>1818</v>
      </c>
      <c r="BX67" s="1">
        <f t="shared" si="116"/>
        <v>1770</v>
      </c>
      <c r="BY67" s="1">
        <f t="shared" si="117"/>
        <v>1826</v>
      </c>
      <c r="BZ67" s="35"/>
      <c r="CK67" s="57" t="s">
        <v>121</v>
      </c>
      <c r="CN67" s="56">
        <f>Main!C7/(Main!C7+CN66)</f>
        <v>0.16071874787033463</v>
      </c>
      <c r="CO67" s="51"/>
      <c r="CQ67" s="45"/>
      <c r="CR67" s="46"/>
      <c r="CS67" s="45"/>
      <c r="CT67" s="45"/>
    </row>
    <row r="68" spans="2:139" ht="13.5" customHeight="1">
      <c r="B68" s="1" t="s">
        <v>205</v>
      </c>
      <c r="AT68" s="1">
        <v>17517</v>
      </c>
      <c r="AU68" s="1">
        <v>17515</v>
      </c>
      <c r="AV68" s="1">
        <v>17516</v>
      </c>
      <c r="AW68" s="1">
        <v>17517</v>
      </c>
      <c r="AX68" s="1">
        <v>17512</v>
      </c>
      <c r="AY68" s="1">
        <v>17434</v>
      </c>
      <c r="AZ68" s="1">
        <v>17435</v>
      </c>
      <c r="BA68" s="1">
        <v>17436</v>
      </c>
      <c r="BB68" s="1">
        <v>17437</v>
      </c>
      <c r="BC68" s="1">
        <v>17439</v>
      </c>
      <c r="BD68" s="1">
        <v>17439</v>
      </c>
      <c r="BE68" s="1">
        <v>17440</v>
      </c>
      <c r="BF68" s="35"/>
      <c r="BW68" s="1">
        <f t="shared" si="115"/>
        <v>17517</v>
      </c>
      <c r="BX68" s="1">
        <f t="shared" si="116"/>
        <v>17512</v>
      </c>
      <c r="BY68" s="1">
        <f t="shared" si="117"/>
        <v>17434</v>
      </c>
      <c r="BZ68" s="35"/>
      <c r="CK68" s="57" t="s">
        <v>122</v>
      </c>
      <c r="CN68" s="56">
        <f>CN66/(CN66+Main!C7)</f>
        <v>0.83928125212966542</v>
      </c>
      <c r="CO68" s="45"/>
      <c r="CQ68" s="45"/>
      <c r="CR68" s="46" t="s">
        <v>113</v>
      </c>
      <c r="CS68" s="48">
        <f>NPV(CS66,BZ51:DW51)</f>
        <v>90293.482595095833</v>
      </c>
      <c r="CT68" s="45"/>
    </row>
    <row r="69" spans="2:139" ht="13.5" customHeight="1">
      <c r="B69" s="1" t="s">
        <v>208</v>
      </c>
      <c r="AT69" s="1">
        <v>1020</v>
      </c>
      <c r="AU69" s="1">
        <v>1123</v>
      </c>
      <c r="AV69" s="1">
        <v>1250</v>
      </c>
      <c r="AW69" s="1">
        <v>1407</v>
      </c>
      <c r="AX69" s="1">
        <v>1599</v>
      </c>
      <c r="AY69" s="1">
        <v>1633</v>
      </c>
      <c r="AZ69" s="1">
        <v>1713</v>
      </c>
      <c r="BA69" s="1">
        <v>1255</v>
      </c>
      <c r="BB69" s="1">
        <v>1051</v>
      </c>
      <c r="BC69" s="1">
        <v>743</v>
      </c>
      <c r="BD69" s="1">
        <v>598</v>
      </c>
      <c r="BE69" s="1">
        <v>488</v>
      </c>
      <c r="BF69" s="35"/>
      <c r="BW69" s="1">
        <f t="shared" si="115"/>
        <v>1020</v>
      </c>
      <c r="BX69" s="1">
        <f t="shared" si="116"/>
        <v>1599</v>
      </c>
      <c r="BY69" s="1">
        <f t="shared" si="117"/>
        <v>1633</v>
      </c>
      <c r="BZ69" s="35"/>
      <c r="CK69" s="58" t="s">
        <v>138</v>
      </c>
      <c r="CL69" s="34"/>
      <c r="CM69" s="34"/>
      <c r="CN69" s="59">
        <f>BY82/BY83</f>
        <v>2.2346502936465562</v>
      </c>
      <c r="CO69" s="45"/>
      <c r="CP69" s="45"/>
      <c r="CQ69" s="45"/>
      <c r="CR69" s="46" t="s">
        <v>73</v>
      </c>
      <c r="CS69" s="49">
        <f>Main!C4</f>
        <v>142.1</v>
      </c>
      <c r="CT69" s="60"/>
    </row>
    <row r="70" spans="2:139" ht="13.5" customHeight="1">
      <c r="B70" s="1" t="s">
        <v>206</v>
      </c>
      <c r="AT70" s="1">
        <v>0</v>
      </c>
      <c r="AU70" s="1">
        <v>0</v>
      </c>
      <c r="AV70" s="1">
        <v>0</v>
      </c>
      <c r="AW70" s="1">
        <v>0</v>
      </c>
      <c r="AX70" s="1">
        <v>2184</v>
      </c>
      <c r="AY70" s="1">
        <v>2285</v>
      </c>
      <c r="AZ70" s="1">
        <v>2393</v>
      </c>
      <c r="BA70" s="1">
        <v>2501</v>
      </c>
      <c r="BB70" s="1">
        <v>3167</v>
      </c>
      <c r="BC70" s="1">
        <v>3307</v>
      </c>
      <c r="BD70" s="1">
        <v>3447</v>
      </c>
      <c r="BE70" s="1">
        <v>3447</v>
      </c>
      <c r="BF70" s="35"/>
      <c r="BW70" s="1">
        <f t="shared" si="115"/>
        <v>0</v>
      </c>
      <c r="BX70" s="1">
        <f t="shared" si="116"/>
        <v>2184</v>
      </c>
      <c r="BY70" s="1">
        <f t="shared" si="117"/>
        <v>2285</v>
      </c>
      <c r="BZ70" s="35"/>
      <c r="CO70" s="45"/>
      <c r="CP70" s="45"/>
      <c r="CQ70" s="45"/>
      <c r="CR70" s="46" t="s">
        <v>114</v>
      </c>
      <c r="CS70" s="52">
        <f>CS68/CS69</f>
        <v>635.4221153771698</v>
      </c>
      <c r="CT70" s="44"/>
    </row>
    <row r="71" spans="2:139" ht="13.5" customHeight="1">
      <c r="B71" s="1" t="s">
        <v>207</v>
      </c>
      <c r="AT71" s="1">
        <f>2525+305</f>
        <v>2830</v>
      </c>
      <c r="AU71" s="1">
        <f>290+2641</f>
        <v>2931</v>
      </c>
      <c r="AV71" s="1">
        <f>282+2761</f>
        <v>3043</v>
      </c>
      <c r="AW71" s="1">
        <f>268+2908</f>
        <v>3176</v>
      </c>
      <c r="AX71" s="1">
        <f>254+1230</f>
        <v>1484</v>
      </c>
      <c r="AY71" s="1">
        <f>1230+254</f>
        <v>1484</v>
      </c>
      <c r="AZ71" s="1">
        <f>231+1333</f>
        <v>1564</v>
      </c>
      <c r="BA71" s="1">
        <f>220+1458</f>
        <v>1678</v>
      </c>
      <c r="BB71" s="1">
        <v>1604</v>
      </c>
      <c r="BC71" s="1">
        <v>1580</v>
      </c>
      <c r="BD71" s="1">
        <v>1491</v>
      </c>
      <c r="BE71" s="1">
        <v>1502</v>
      </c>
      <c r="BF71" s="35"/>
      <c r="BW71" s="1">
        <f t="shared" si="115"/>
        <v>2830</v>
      </c>
      <c r="BX71" s="1">
        <f t="shared" si="116"/>
        <v>1484</v>
      </c>
      <c r="BY71" s="1">
        <f t="shared" si="117"/>
        <v>1484</v>
      </c>
      <c r="BZ71" s="35"/>
      <c r="CK71" s="34" t="s">
        <v>118</v>
      </c>
      <c r="CL71" s="34"/>
      <c r="CM71" s="34"/>
      <c r="CN71" s="51"/>
      <c r="CO71" s="51"/>
      <c r="CP71" s="51"/>
      <c r="CQ71" s="51"/>
      <c r="CR71" s="46" t="s">
        <v>115</v>
      </c>
      <c r="CS71" s="52">
        <f>Main!C3</f>
        <v>530.4</v>
      </c>
      <c r="CT71" s="84"/>
    </row>
    <row r="72" spans="2:139" s="2" customFormat="1" ht="13.5" customHeight="1">
      <c r="B72" s="2" t="s">
        <v>131</v>
      </c>
      <c r="AT72" s="2">
        <f t="shared" ref="AT72:BD72" si="119">SUM(AT61:AT71)</f>
        <v>46544</v>
      </c>
      <c r="AU72" s="2">
        <f t="shared" si="119"/>
        <v>47818</v>
      </c>
      <c r="AV72" s="2">
        <f t="shared" si="119"/>
        <v>47670</v>
      </c>
      <c r="AW72" s="2">
        <f t="shared" si="119"/>
        <v>48289</v>
      </c>
      <c r="AX72" s="2">
        <f t="shared" si="119"/>
        <v>49359</v>
      </c>
      <c r="AY72" s="2">
        <f t="shared" si="119"/>
        <v>48481</v>
      </c>
      <c r="AZ72" s="2">
        <f t="shared" si="119"/>
        <v>49451</v>
      </c>
      <c r="BA72" s="2">
        <f t="shared" si="119"/>
        <v>49300</v>
      </c>
      <c r="BB72" s="2">
        <f t="shared" si="119"/>
        <v>51377</v>
      </c>
      <c r="BC72" s="2">
        <f t="shared" si="119"/>
        <v>50007</v>
      </c>
      <c r="BD72" s="2">
        <f t="shared" si="119"/>
        <v>50763</v>
      </c>
      <c r="BE72" s="2">
        <f t="shared" ref="BE72" si="120">SUM(BE61:BE71)</f>
        <v>52497</v>
      </c>
      <c r="BF72" s="34"/>
      <c r="BW72" s="2">
        <f t="shared" si="115"/>
        <v>46544</v>
      </c>
      <c r="BX72" s="2">
        <f t="shared" si="116"/>
        <v>49359</v>
      </c>
      <c r="BY72" s="2">
        <f t="shared" si="117"/>
        <v>48481</v>
      </c>
      <c r="BZ72" s="34"/>
      <c r="CA72" s="34"/>
      <c r="CK72" s="61" t="s">
        <v>109</v>
      </c>
      <c r="CL72" s="35"/>
      <c r="CM72" s="35"/>
      <c r="CN72" s="56">
        <v>5.1700000000000003E-2</v>
      </c>
      <c r="CO72" s="45"/>
      <c r="CP72" s="45"/>
      <c r="CQ72" s="45"/>
      <c r="CR72" s="46" t="s">
        <v>116</v>
      </c>
      <c r="CS72" s="47">
        <f>CS70/CS71-1</f>
        <v>0.19800549656329158</v>
      </c>
      <c r="CT72" s="44" t="str">
        <f>IF(CS72&gt;0,"Upside","Downside")</f>
        <v>Upside</v>
      </c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</row>
    <row r="73" spans="2:139" ht="13.5" customHeight="1">
      <c r="BE73" s="1"/>
      <c r="BF73" s="35"/>
      <c r="BZ73" s="35"/>
      <c r="CK73" s="61" t="s">
        <v>111</v>
      </c>
      <c r="CN73" s="52">
        <f>'Notes | Quant Analysis'!S242</f>
        <v>0.32949712694686251</v>
      </c>
      <c r="CR73" s="96" t="str" cm="1">
        <f t="array" ref="CR73">_xlfn.IFS(CS72&gt;=25%,"Strong Buy",CS72&gt;=10.00001%,"Buy",AND(CS72&lt;=10%,CS72&gt;=-4.9999%),"Hold",AND(CS72&lt;=-5%,CS72&gt;=-14.999999%),"Sell",CS72&lt;=-15%,"Strong Sell")</f>
        <v>Buy</v>
      </c>
      <c r="CS73" s="96"/>
    </row>
    <row r="74" spans="2:139" ht="13.5" customHeight="1">
      <c r="B74" s="1" t="s">
        <v>210</v>
      </c>
      <c r="AT74" s="1">
        <v>2110</v>
      </c>
      <c r="AU74" s="1">
        <v>2580</v>
      </c>
      <c r="AV74" s="1">
        <v>2352</v>
      </c>
      <c r="AW74" s="1">
        <v>2518</v>
      </c>
      <c r="AX74" s="1">
        <v>2599</v>
      </c>
      <c r="AY74" s="1">
        <v>2501</v>
      </c>
      <c r="AZ74" s="1">
        <v>2592</v>
      </c>
      <c r="BA74" s="1">
        <v>2797</v>
      </c>
      <c r="BB74" s="1">
        <v>3240</v>
      </c>
      <c r="BC74" s="1">
        <v>2681</v>
      </c>
      <c r="BD74" s="1">
        <v>2895</v>
      </c>
      <c r="BE74" s="1">
        <v>3281</v>
      </c>
      <c r="BF74" s="35"/>
      <c r="BW74" s="1">
        <f t="shared" ref="BW74:BW84" si="121">AT74</f>
        <v>2110</v>
      </c>
      <c r="BX74" s="1">
        <f t="shared" ref="BX74:BX84" si="122">AX74</f>
        <v>2599</v>
      </c>
      <c r="BY74" s="1">
        <f t="shared" ref="BY74:BY84" si="123">AY74</f>
        <v>2501</v>
      </c>
      <c r="BZ74" s="35"/>
      <c r="CK74" s="57" t="s">
        <v>123</v>
      </c>
      <c r="CN74" s="56">
        <v>0.18</v>
      </c>
    </row>
    <row r="75" spans="2:139" ht="13.5" customHeight="1">
      <c r="B75" s="1" t="s">
        <v>211</v>
      </c>
      <c r="AT75" s="1">
        <v>2251</v>
      </c>
      <c r="AU75" s="1">
        <v>1701</v>
      </c>
      <c r="AV75" s="1">
        <v>1903</v>
      </c>
      <c r="AW75" s="1">
        <v>1924</v>
      </c>
      <c r="AX75" s="1">
        <v>2271</v>
      </c>
      <c r="AY75" s="1">
        <v>1598</v>
      </c>
      <c r="AZ75" s="1">
        <v>1856</v>
      </c>
      <c r="BA75" s="1">
        <v>1946</v>
      </c>
      <c r="BB75" s="1">
        <v>2309</v>
      </c>
      <c r="BC75" s="1">
        <v>1732</v>
      </c>
      <c r="BD75" s="1">
        <v>1991</v>
      </c>
      <c r="BE75" s="1">
        <v>2039</v>
      </c>
      <c r="BF75" s="35"/>
      <c r="BW75" s="1">
        <f t="shared" si="121"/>
        <v>2251</v>
      </c>
      <c r="BX75" s="1">
        <f t="shared" si="122"/>
        <v>2271</v>
      </c>
      <c r="BY75" s="1">
        <f t="shared" si="123"/>
        <v>1598</v>
      </c>
      <c r="BZ75" s="35"/>
      <c r="CK75" s="58" t="s">
        <v>124</v>
      </c>
      <c r="CL75" s="45"/>
      <c r="CM75" s="2"/>
      <c r="CN75" s="59">
        <f>(CN72+CN73)*(CN74-CN72)</f>
        <v>4.8907591387282463E-2</v>
      </c>
    </row>
    <row r="76" spans="2:139" ht="13.5" customHeight="1">
      <c r="B76" s="1" t="s">
        <v>213</v>
      </c>
      <c r="AT76" s="1">
        <v>4193</v>
      </c>
      <c r="AU76" s="1">
        <v>3530</v>
      </c>
      <c r="AV76" s="1">
        <v>3292</v>
      </c>
      <c r="AW76" s="1">
        <v>3157</v>
      </c>
      <c r="AX76" s="1">
        <v>4070</v>
      </c>
      <c r="AY76" s="1">
        <v>3710</v>
      </c>
      <c r="AZ76" s="1">
        <v>3997</v>
      </c>
      <c r="BA76" s="1">
        <v>3562</v>
      </c>
      <c r="BB76" s="1">
        <v>4086</v>
      </c>
      <c r="BC76" s="1">
        <v>3697</v>
      </c>
      <c r="BD76" s="1">
        <v>3823</v>
      </c>
      <c r="BE76" s="1">
        <v>3838</v>
      </c>
      <c r="BF76" s="35"/>
      <c r="BW76" s="1">
        <f t="shared" si="121"/>
        <v>4193</v>
      </c>
      <c r="BX76" s="1">
        <f t="shared" si="122"/>
        <v>4070</v>
      </c>
      <c r="BY76" s="1">
        <f t="shared" si="123"/>
        <v>3710</v>
      </c>
      <c r="BZ76" s="35"/>
      <c r="CK76" s="63"/>
    </row>
    <row r="77" spans="2:139" ht="13.5" customHeight="1">
      <c r="B77" s="1" t="s">
        <v>212</v>
      </c>
      <c r="AT77" s="1">
        <v>3388</v>
      </c>
      <c r="AU77" s="1">
        <v>5321</v>
      </c>
      <c r="AV77" s="1">
        <v>5361</v>
      </c>
      <c r="AW77" s="1">
        <v>5502</v>
      </c>
      <c r="AX77" s="1">
        <v>5188</v>
      </c>
      <c r="AY77" s="1">
        <v>6160</v>
      </c>
      <c r="AZ77" s="1">
        <v>5014</v>
      </c>
      <c r="BA77" s="1">
        <v>4413</v>
      </c>
      <c r="BB77" s="1">
        <v>4247</v>
      </c>
      <c r="BC77" s="1">
        <v>4711</v>
      </c>
      <c r="BD77" s="1">
        <v>4636</v>
      </c>
      <c r="BE77" s="1">
        <v>4595</v>
      </c>
      <c r="BF77" s="35"/>
      <c r="BW77" s="1">
        <f t="shared" si="121"/>
        <v>3388</v>
      </c>
      <c r="BX77" s="1">
        <f t="shared" si="122"/>
        <v>5188</v>
      </c>
      <c r="BY77" s="1">
        <f t="shared" si="123"/>
        <v>6160</v>
      </c>
      <c r="BZ77" s="35"/>
      <c r="CK77" s="34" t="s">
        <v>125</v>
      </c>
      <c r="CL77" s="64"/>
      <c r="CN77" s="55"/>
    </row>
    <row r="78" spans="2:139" ht="13.5" customHeight="1">
      <c r="B78" s="1" t="s">
        <v>214</v>
      </c>
      <c r="AT78" s="1">
        <v>13786</v>
      </c>
      <c r="AU78" s="1">
        <v>14742</v>
      </c>
      <c r="AV78" s="1">
        <v>14706</v>
      </c>
      <c r="AW78" s="1">
        <v>14689</v>
      </c>
      <c r="AX78" s="1">
        <v>14692</v>
      </c>
      <c r="AY78" s="1">
        <v>14167</v>
      </c>
      <c r="AZ78" s="1">
        <v>15160</v>
      </c>
      <c r="BA78" s="1">
        <v>15162</v>
      </c>
      <c r="BB78" s="1">
        <v>15162</v>
      </c>
      <c r="BC78" s="1">
        <v>14411</v>
      </c>
      <c r="BD78" s="1">
        <v>14428</v>
      </c>
      <c r="BE78" s="1">
        <v>14433</v>
      </c>
      <c r="BF78" s="63"/>
      <c r="BW78" s="1">
        <f t="shared" si="121"/>
        <v>13786</v>
      </c>
      <c r="BX78" s="1">
        <f t="shared" si="122"/>
        <v>14692</v>
      </c>
      <c r="BY78" s="1">
        <f t="shared" si="123"/>
        <v>14167</v>
      </c>
      <c r="BZ78" s="63">
        <f>BY78+BZ46</f>
        <v>13529.485000000001</v>
      </c>
      <c r="CA78" s="63">
        <f t="shared" ref="CA78:CI78" si="124">BZ78+CA46</f>
        <v>12920.658175</v>
      </c>
      <c r="CB78" s="63">
        <f t="shared" si="124"/>
        <v>12339.228557125001</v>
      </c>
      <c r="CC78" s="63">
        <f t="shared" si="124"/>
        <v>11783.963272054376</v>
      </c>
      <c r="CD78" s="63">
        <f t="shared" si="124"/>
        <v>11253.684924811929</v>
      </c>
      <c r="CE78" s="63">
        <f t="shared" si="124"/>
        <v>10747.269103195393</v>
      </c>
      <c r="CF78" s="63">
        <f t="shared" si="124"/>
        <v>10263.641993551601</v>
      </c>
      <c r="CG78" s="63">
        <f t="shared" si="124"/>
        <v>9801.7781038417779</v>
      </c>
      <c r="CH78" s="63">
        <f t="shared" si="124"/>
        <v>9360.6980891688982</v>
      </c>
      <c r="CI78" s="63">
        <f t="shared" si="124"/>
        <v>8939.4666751562982</v>
      </c>
      <c r="CK78" s="65" t="s">
        <v>125</v>
      </c>
      <c r="CN78" s="66">
        <v>4.4999999999999998E-2</v>
      </c>
      <c r="CP78" s="62"/>
      <c r="CR78" s="46"/>
    </row>
    <row r="79" spans="2:139" ht="13.5" customHeight="1">
      <c r="B79" s="1" t="s">
        <v>215</v>
      </c>
      <c r="AT79" s="1">
        <v>1290</v>
      </c>
      <c r="AU79" s="1">
        <v>1250</v>
      </c>
      <c r="AV79" s="1">
        <v>1211</v>
      </c>
      <c r="AW79" s="1">
        <v>1186</v>
      </c>
      <c r="AX79" s="1">
        <v>1120</v>
      </c>
      <c r="AY79" s="1">
        <v>1115</v>
      </c>
      <c r="AZ79" s="1">
        <v>1108</v>
      </c>
      <c r="BA79" s="1">
        <v>1100</v>
      </c>
      <c r="BB79" s="1">
        <v>1110</v>
      </c>
      <c r="BC79" s="1">
        <v>1095</v>
      </c>
      <c r="BD79" s="1">
        <v>1086</v>
      </c>
      <c r="BE79" s="1">
        <v>1076</v>
      </c>
      <c r="BF79" s="35"/>
      <c r="BW79" s="1">
        <f t="shared" si="121"/>
        <v>1290</v>
      </c>
      <c r="BX79" s="1">
        <f t="shared" si="122"/>
        <v>1120</v>
      </c>
      <c r="BY79" s="1">
        <f t="shared" si="123"/>
        <v>1115</v>
      </c>
      <c r="BZ79" s="35"/>
      <c r="CK79" s="57" t="s">
        <v>126</v>
      </c>
      <c r="CN79" s="56">
        <v>0.14599999999999999</v>
      </c>
      <c r="CO79" s="34"/>
      <c r="CP79" s="72"/>
      <c r="CQ79" s="59"/>
      <c r="CR79" s="71"/>
      <c r="CS79" s="2"/>
      <c r="CT79" s="2"/>
    </row>
    <row r="80" spans="2:139" ht="13.5" customHeight="1">
      <c r="B80" s="1" t="s">
        <v>216</v>
      </c>
      <c r="AT80" s="1">
        <v>1892</v>
      </c>
      <c r="AU80" s="1">
        <v>1830</v>
      </c>
      <c r="AV80" s="1">
        <v>1870</v>
      </c>
      <c r="AW80" s="1">
        <v>1821</v>
      </c>
      <c r="AX80" s="1">
        <v>1798</v>
      </c>
      <c r="AY80" s="1">
        <v>1854</v>
      </c>
      <c r="AZ80" s="1">
        <v>1805</v>
      </c>
      <c r="BA80" s="1">
        <v>1796</v>
      </c>
      <c r="BB80" s="1">
        <v>1857</v>
      </c>
      <c r="BC80" s="1">
        <v>1905</v>
      </c>
      <c r="BD80" s="1">
        <v>1861</v>
      </c>
      <c r="BE80" s="1">
        <v>2202</v>
      </c>
      <c r="BF80" s="35"/>
      <c r="BW80" s="1">
        <f t="shared" si="121"/>
        <v>1892</v>
      </c>
      <c r="BX80" s="1">
        <f t="shared" si="122"/>
        <v>1798</v>
      </c>
      <c r="BY80" s="1">
        <f t="shared" si="123"/>
        <v>1854</v>
      </c>
      <c r="BZ80" s="35"/>
      <c r="CK80" s="67" t="s">
        <v>127</v>
      </c>
      <c r="CN80" s="59">
        <f>CN78*(1-CN79)</f>
        <v>3.8429999999999999E-2</v>
      </c>
      <c r="CR80" s="46"/>
    </row>
    <row r="81" spans="2:139" ht="13.5" customHeight="1">
      <c r="B81" s="1" t="s">
        <v>217</v>
      </c>
      <c r="AT81" s="1">
        <v>2839</v>
      </c>
      <c r="AU81" s="1">
        <v>2641</v>
      </c>
      <c r="AV81" s="1">
        <v>2674</v>
      </c>
      <c r="AW81" s="1">
        <v>2744</v>
      </c>
      <c r="AX81" s="1">
        <v>2331</v>
      </c>
      <c r="AY81" s="1">
        <v>2379</v>
      </c>
      <c r="AZ81" s="1">
        <v>2448</v>
      </c>
      <c r="BA81" s="1">
        <v>2536</v>
      </c>
      <c r="BB81" s="1">
        <v>2692</v>
      </c>
      <c r="BC81" s="1">
        <v>2660</v>
      </c>
      <c r="BD81" s="1">
        <v>2159</v>
      </c>
      <c r="BE81" s="1">
        <v>2350</v>
      </c>
      <c r="BF81" s="35"/>
      <c r="BW81" s="1">
        <f t="shared" si="121"/>
        <v>2839</v>
      </c>
      <c r="BX81" s="1">
        <f t="shared" si="122"/>
        <v>2331</v>
      </c>
      <c r="BY81" s="1">
        <f t="shared" si="123"/>
        <v>2379</v>
      </c>
      <c r="BZ81" s="35"/>
      <c r="CK81" s="34"/>
      <c r="CL81" s="34"/>
      <c r="CM81" s="34"/>
      <c r="CN81" s="34"/>
      <c r="CO81" s="34"/>
      <c r="CP81" s="34"/>
      <c r="CQ81" s="34"/>
      <c r="CR81" s="71"/>
      <c r="CS81" s="34"/>
      <c r="CT81" s="34"/>
    </row>
    <row r="82" spans="2:139" s="2" customFormat="1" ht="15">
      <c r="B82" s="2" t="s">
        <v>132</v>
      </c>
      <c r="AT82" s="2">
        <f t="shared" ref="AT82:BA82" si="125">SUM(AT74:AT81)</f>
        <v>31749</v>
      </c>
      <c r="AU82" s="2">
        <f t="shared" si="125"/>
        <v>33595</v>
      </c>
      <c r="AV82" s="2">
        <f t="shared" si="125"/>
        <v>33369</v>
      </c>
      <c r="AW82" s="2">
        <f t="shared" si="125"/>
        <v>33541</v>
      </c>
      <c r="AX82" s="2">
        <f t="shared" si="125"/>
        <v>34069</v>
      </c>
      <c r="AY82" s="2">
        <f t="shared" si="125"/>
        <v>33484</v>
      </c>
      <c r="AZ82" s="2">
        <f t="shared" si="125"/>
        <v>33980</v>
      </c>
      <c r="BA82" s="2">
        <f t="shared" si="125"/>
        <v>33312</v>
      </c>
      <c r="BB82" s="2">
        <f>SUM(BB74:BB81)</f>
        <v>34703</v>
      </c>
      <c r="BC82" s="2">
        <f>SUM(BC74:BC81)</f>
        <v>32892</v>
      </c>
      <c r="BD82" s="2">
        <f>SUM(BD74:BD81)</f>
        <v>32879</v>
      </c>
      <c r="BE82" s="2">
        <f>SUM(BE74:BE81)</f>
        <v>33814</v>
      </c>
      <c r="BW82" s="2">
        <f t="shared" si="121"/>
        <v>31749</v>
      </c>
      <c r="BX82" s="2">
        <f t="shared" si="122"/>
        <v>34069</v>
      </c>
      <c r="BY82" s="2">
        <f t="shared" si="123"/>
        <v>33484</v>
      </c>
      <c r="CK82" s="34" t="s">
        <v>128</v>
      </c>
      <c r="CL82" s="35"/>
      <c r="CM82" s="35"/>
      <c r="CN82" s="59">
        <f>(CN68*CN75)+(CN67*CN80*(1-CN79))</f>
        <v>4.6321888482645505E-2</v>
      </c>
      <c r="CO82" s="35"/>
      <c r="CP82" s="35"/>
      <c r="CQ82" s="35"/>
      <c r="CR82" s="46"/>
      <c r="CS82" s="68"/>
      <c r="CT82" s="35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</row>
    <row r="83" spans="2:139">
      <c r="B83" s="1" t="s">
        <v>133</v>
      </c>
      <c r="AT83" s="1">
        <v>14795</v>
      </c>
      <c r="AU83" s="1">
        <v>14223</v>
      </c>
      <c r="AV83" s="1">
        <v>14301</v>
      </c>
      <c r="AW83" s="1">
        <v>14748</v>
      </c>
      <c r="AX83" s="1">
        <v>15290</v>
      </c>
      <c r="AY83" s="1">
        <v>14984</v>
      </c>
      <c r="AZ83" s="1">
        <v>15471</v>
      </c>
      <c r="BA83" s="1">
        <v>15988</v>
      </c>
      <c r="BB83" s="1">
        <v>16674</v>
      </c>
      <c r="BC83" s="1">
        <v>17115</v>
      </c>
      <c r="BD83" s="1">
        <v>17884</v>
      </c>
      <c r="BE83" s="1">
        <v>18683</v>
      </c>
      <c r="BF83" s="35"/>
      <c r="BW83" s="1">
        <f t="shared" si="121"/>
        <v>14795</v>
      </c>
      <c r="BX83" s="1">
        <f t="shared" si="122"/>
        <v>15290</v>
      </c>
      <c r="BY83" s="1">
        <f t="shared" si="123"/>
        <v>14984</v>
      </c>
      <c r="BZ83" s="35"/>
    </row>
    <row r="84" spans="2:139" s="2" customFormat="1" ht="15">
      <c r="B84" s="2" t="s">
        <v>134</v>
      </c>
      <c r="AT84" s="2">
        <f t="shared" ref="AT84:BA84" si="126">AT82+AT83</f>
        <v>46544</v>
      </c>
      <c r="AU84" s="2">
        <f t="shared" si="126"/>
        <v>47818</v>
      </c>
      <c r="AV84" s="2">
        <f t="shared" si="126"/>
        <v>47670</v>
      </c>
      <c r="AW84" s="2">
        <f t="shared" si="126"/>
        <v>48289</v>
      </c>
      <c r="AX84" s="2">
        <f t="shared" si="126"/>
        <v>49359</v>
      </c>
      <c r="AY84" s="2">
        <f t="shared" si="126"/>
        <v>48468</v>
      </c>
      <c r="AZ84" s="2">
        <f t="shared" si="126"/>
        <v>49451</v>
      </c>
      <c r="BA84" s="2">
        <f t="shared" si="126"/>
        <v>49300</v>
      </c>
      <c r="BB84" s="2">
        <f>BB82+BB83</f>
        <v>51377</v>
      </c>
      <c r="BC84" s="2">
        <f>BC82+BC83</f>
        <v>50007</v>
      </c>
      <c r="BD84" s="2">
        <f>BD82+BD83</f>
        <v>50763</v>
      </c>
      <c r="BE84" s="2">
        <f>BE82+BE83</f>
        <v>52497</v>
      </c>
      <c r="BW84" s="2">
        <f t="shared" si="121"/>
        <v>46544</v>
      </c>
      <c r="BX84" s="2">
        <f t="shared" si="122"/>
        <v>49359</v>
      </c>
      <c r="BY84" s="2">
        <f t="shared" si="123"/>
        <v>48468</v>
      </c>
      <c r="CK84" s="35"/>
      <c r="CL84" s="35"/>
      <c r="CM84" s="35"/>
      <c r="CN84" s="35"/>
      <c r="CO84" s="35"/>
      <c r="CP84" s="35"/>
      <c r="CQ84" s="35"/>
      <c r="CR84" s="46"/>
      <c r="CS84" s="35"/>
      <c r="CT84" s="35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</row>
    <row r="85" spans="2:139">
      <c r="BE85" s="1"/>
      <c r="BF85" s="35"/>
      <c r="BZ85" s="35"/>
    </row>
    <row r="86" spans="2:139">
      <c r="B86" s="1" t="s">
        <v>63</v>
      </c>
      <c r="AT86" s="73">
        <f t="shared" ref="AT86:BC86" si="127">SUM(AT61:AT65)/SUM(AT74:AT77)</f>
        <v>1.1477139507620164</v>
      </c>
      <c r="AU86" s="73">
        <f t="shared" si="127"/>
        <v>1.1267133719159306</v>
      </c>
      <c r="AV86" s="73">
        <f t="shared" si="127"/>
        <v>1.1052835450883174</v>
      </c>
      <c r="AW86" s="73">
        <f t="shared" si="127"/>
        <v>1.0939622929547363</v>
      </c>
      <c r="AX86" s="73">
        <f t="shared" si="127"/>
        <v>1.0103340883352208</v>
      </c>
      <c r="AY86" s="73">
        <f t="shared" si="127"/>
        <v>0.94974586584580145</v>
      </c>
      <c r="AZ86" s="73">
        <f t="shared" si="127"/>
        <v>1.0421279441266067</v>
      </c>
      <c r="BA86" s="73">
        <f t="shared" si="127"/>
        <v>1.1090580279918225</v>
      </c>
      <c r="BB86" s="73">
        <f t="shared" si="127"/>
        <v>1.1012102002593287</v>
      </c>
      <c r="BC86" s="73">
        <f t="shared" si="127"/>
        <v>1.1520162233835114</v>
      </c>
      <c r="BD86" s="73">
        <f>SUM(BD61:BD65)/SUM(BD74:BD77)</f>
        <v>1.1682278006744098</v>
      </c>
      <c r="BE86" s="73">
        <f>SUM(BE61:BE65)/SUM(BE74:BE77)</f>
        <v>1.234421580746019</v>
      </c>
      <c r="BF86" s="35"/>
      <c r="BW86" s="73">
        <f t="shared" ref="BW86:BX86" si="128">SUM(BW61:BW65)/SUM(BW74:BW77)</f>
        <v>1.1477139507620164</v>
      </c>
      <c r="BX86" s="73">
        <f t="shared" si="128"/>
        <v>1.0103340883352208</v>
      </c>
      <c r="BY86" s="73">
        <f>SUM(BY61:BY65)/SUM(BY74:BY77)</f>
        <v>0.94974586584580145</v>
      </c>
      <c r="BZ86" s="35"/>
    </row>
    <row r="87" spans="2:139">
      <c r="B87" s="1" t="s">
        <v>64</v>
      </c>
      <c r="AT87" s="73">
        <f t="shared" ref="AT87:BC87" si="129">(SUM(AT61:AT65)-AT64)/SUM(AT74:AT77)</f>
        <v>1.054848434098141</v>
      </c>
      <c r="AU87" s="73">
        <f t="shared" si="129"/>
        <v>1.0223880597014925</v>
      </c>
      <c r="AV87" s="73">
        <f t="shared" si="129"/>
        <v>0.98876665633715521</v>
      </c>
      <c r="AW87" s="73">
        <f t="shared" si="129"/>
        <v>0.96832302877642928</v>
      </c>
      <c r="AX87" s="73">
        <f t="shared" si="129"/>
        <v>0.9073471121177803</v>
      </c>
      <c r="AY87" s="73">
        <f t="shared" si="129"/>
        <v>0.83678144462738924</v>
      </c>
      <c r="AZ87" s="73">
        <f t="shared" si="129"/>
        <v>0.92674047106025703</v>
      </c>
      <c r="BA87" s="73">
        <f t="shared" si="129"/>
        <v>0.98207265293285106</v>
      </c>
      <c r="BB87" s="73">
        <f t="shared" si="129"/>
        <v>1.0069154300533065</v>
      </c>
      <c r="BC87" s="73">
        <f t="shared" si="129"/>
        <v>1.0389205210202013</v>
      </c>
      <c r="BD87" s="73">
        <f>(SUM(BD61:BD65)-BD64)/SUM(BD74:BD77)</f>
        <v>1.06219557886849</v>
      </c>
      <c r="BE87" s="73">
        <f>(SUM(BE61:BE65)-BE64)/SUM(BE74:BE77)</f>
        <v>1.1354613538864249</v>
      </c>
      <c r="BF87" s="35"/>
      <c r="BW87" s="73">
        <f t="shared" ref="BW87:BX87" si="130">(SUM(BW61:BW65)-BW64)/SUM(BW74:BW77)</f>
        <v>1.054848434098141</v>
      </c>
      <c r="BX87" s="73">
        <f t="shared" si="130"/>
        <v>0.9073471121177803</v>
      </c>
      <c r="BY87" s="73">
        <f>(SUM(BY61:BY65)-BY64)/SUM(BY74:BY77)</f>
        <v>0.83678144462738924</v>
      </c>
      <c r="BZ87" s="35"/>
    </row>
    <row r="88" spans="2:139">
      <c r="B88" s="1" t="s">
        <v>65</v>
      </c>
      <c r="AT88" s="73">
        <f t="shared" ref="AT88:BC88" si="131">SUM(AT61)/SUM(AT74:AT77)</f>
        <v>0.26034165131468767</v>
      </c>
      <c r="AU88" s="73">
        <f t="shared" si="131"/>
        <v>0.23309473042948523</v>
      </c>
      <c r="AV88" s="73">
        <f t="shared" si="131"/>
        <v>0.25348621010226219</v>
      </c>
      <c r="AW88" s="73">
        <f t="shared" si="131"/>
        <v>0.25387375009541258</v>
      </c>
      <c r="AX88" s="73">
        <f t="shared" si="131"/>
        <v>0.30811155152887881</v>
      </c>
      <c r="AY88" s="73">
        <f t="shared" si="131"/>
        <v>0.12062423938721455</v>
      </c>
      <c r="AZ88" s="73">
        <f t="shared" si="131"/>
        <v>0.1410951779478416</v>
      </c>
      <c r="BA88" s="73">
        <f t="shared" si="131"/>
        <v>0.15387639565969491</v>
      </c>
      <c r="BB88" s="73">
        <f t="shared" si="131"/>
        <v>0.31717331796571097</v>
      </c>
      <c r="BC88" s="73">
        <f t="shared" si="131"/>
        <v>0.16301380547539193</v>
      </c>
      <c r="BD88" s="73">
        <f>SUM(BD61)/SUM(BD74:BD77)</f>
        <v>0.17287373548145374</v>
      </c>
      <c r="BE88" s="73">
        <f>SUM(BE61)/SUM(BE74:BE77)</f>
        <v>0.27223151312440924</v>
      </c>
      <c r="BF88" s="35"/>
      <c r="BW88" s="73">
        <f t="shared" ref="BW88:BX88" si="132">SUM(BW61)/SUM(BW74:BW77)</f>
        <v>0.26034165131468767</v>
      </c>
      <c r="BX88" s="73">
        <f t="shared" si="132"/>
        <v>0.30811155152887881</v>
      </c>
      <c r="BY88" s="73">
        <f>SUM(BY61)/SUM(BY74:BY77)</f>
        <v>0.12062423938721455</v>
      </c>
      <c r="BZ88" s="35"/>
    </row>
    <row r="89" spans="2:139">
      <c r="B89" s="1" t="s">
        <v>136</v>
      </c>
      <c r="AT89" s="73">
        <f t="shared" ref="AT89:BC89" si="133">AT41/SUM(AT66:AT67)</f>
        <v>0.92738209397611371</v>
      </c>
      <c r="AU89" s="73">
        <f t="shared" si="133"/>
        <v>0.88474635466689955</v>
      </c>
      <c r="AV89" s="73">
        <f t="shared" si="133"/>
        <v>0.88131792306365364</v>
      </c>
      <c r="AW89" s="73">
        <f t="shared" si="133"/>
        <v>0.84304630176267181</v>
      </c>
      <c r="AX89" s="73">
        <f t="shared" si="133"/>
        <v>0.86835689907362257</v>
      </c>
      <c r="AY89" s="73">
        <f t="shared" si="133"/>
        <v>0.7649054774600097</v>
      </c>
      <c r="AZ89" s="73">
        <f t="shared" si="133"/>
        <v>0.84017857142857144</v>
      </c>
      <c r="BA89" s="73">
        <f t="shared" si="133"/>
        <v>0.84567951318458423</v>
      </c>
      <c r="BB89" s="73">
        <f t="shared" si="133"/>
        <v>0.9127893383212532</v>
      </c>
      <c r="BC89" s="73">
        <f t="shared" si="133"/>
        <v>0.81204799474030243</v>
      </c>
      <c r="BD89" s="73">
        <f>BD41/SUM(BD66:BD67)</f>
        <v>0.89162157730775538</v>
      </c>
      <c r="BE89" s="73">
        <f>BE41/SUM(BE66:BE67)</f>
        <v>0.87969627461836586</v>
      </c>
      <c r="BF89" s="35"/>
      <c r="BW89" s="73">
        <f t="shared" ref="BW89:BX89" si="134">BW41/SUM(BW66:BW67)</f>
        <v>3.4251590968529335</v>
      </c>
      <c r="BX89" s="73">
        <f t="shared" si="134"/>
        <v>3.3343897285876807</v>
      </c>
      <c r="BY89" s="73">
        <f>BY41/SUM(BY66:BY67)</f>
        <v>3.3894005493617709</v>
      </c>
      <c r="BZ89" s="35"/>
    </row>
    <row r="90" spans="2:139">
      <c r="B90" s="1" t="s">
        <v>137</v>
      </c>
      <c r="AT90" s="73">
        <f t="shared" ref="AT90:BC90" si="135">AT41/AT72</f>
        <v>0.22855792368511516</v>
      </c>
      <c r="AU90" s="73">
        <f t="shared" si="135"/>
        <v>0.21190764983897278</v>
      </c>
      <c r="AV90" s="73">
        <f t="shared" si="135"/>
        <v>0.2143486469477659</v>
      </c>
      <c r="AW90" s="73">
        <f t="shared" si="135"/>
        <v>0.20700366543105056</v>
      </c>
      <c r="AX90" s="73">
        <f t="shared" si="135"/>
        <v>0.21649547195040419</v>
      </c>
      <c r="AY90" s="73">
        <f t="shared" si="135"/>
        <v>0.19529300138198469</v>
      </c>
      <c r="AZ90" s="73">
        <f t="shared" si="135"/>
        <v>0.20931831509979576</v>
      </c>
      <c r="BA90" s="73">
        <f t="shared" si="135"/>
        <v>0.21141987829614606</v>
      </c>
      <c r="BB90" s="73">
        <f t="shared" si="135"/>
        <v>0.22796192848940186</v>
      </c>
      <c r="BC90" s="73">
        <f t="shared" si="135"/>
        <v>0.19759233707280982</v>
      </c>
      <c r="BD90" s="73">
        <f>BD41/BD72</f>
        <v>0.21425053680830528</v>
      </c>
      <c r="BE90" s="73">
        <f>BE41/BE72</f>
        <v>0.21185972531763719</v>
      </c>
      <c r="BF90" s="35"/>
      <c r="BW90" s="73">
        <f t="shared" ref="BW90:BX90" si="136">BW41/BW72</f>
        <v>0.84414747335854246</v>
      </c>
      <c r="BX90" s="73">
        <f t="shared" si="136"/>
        <v>0.83131749022468038</v>
      </c>
      <c r="BY90" s="73">
        <f>BY41/BY72</f>
        <v>0.86536993873888735</v>
      </c>
      <c r="BZ90" s="35"/>
    </row>
    <row r="91" spans="2:139">
      <c r="B91" s="1" t="s">
        <v>66</v>
      </c>
      <c r="AT91" s="73">
        <f t="shared" ref="AT91:BC91" si="137">AT42/AVERAGE(AQ64:AT64)</f>
        <v>9.1550946798917945</v>
      </c>
      <c r="AU91" s="73">
        <f t="shared" si="137"/>
        <v>6.4542154094392901</v>
      </c>
      <c r="AV91" s="73">
        <f t="shared" si="137"/>
        <v>6.0459452673863918</v>
      </c>
      <c r="AW91" s="73">
        <f t="shared" si="137"/>
        <v>5.6066796944395101</v>
      </c>
      <c r="AX91" s="73">
        <f t="shared" si="137"/>
        <v>5.8604184100418406</v>
      </c>
      <c r="AY91" s="73">
        <f t="shared" si="137"/>
        <v>5.103024421801714</v>
      </c>
      <c r="AZ91" s="73">
        <f t="shared" si="137"/>
        <v>5.2252888318356865</v>
      </c>
      <c r="BA91" s="73">
        <f t="shared" si="137"/>
        <v>5.2868892114175132</v>
      </c>
      <c r="BB91" s="73">
        <f t="shared" si="137"/>
        <v>6.2203137902559869</v>
      </c>
      <c r="BC91" s="73">
        <f t="shared" si="137"/>
        <v>5.3457060907710474</v>
      </c>
      <c r="BD91" s="73">
        <f>BD42/AVERAGE(BA64:BD64)</f>
        <v>6.049404042148903</v>
      </c>
      <c r="BE91" s="73">
        <f>BE42/AVERAGE(BB64:BE64)</f>
        <v>6.3378500451671185</v>
      </c>
      <c r="BF91" s="35"/>
      <c r="BW91" s="73">
        <f t="shared" ref="BW91:BX91" si="138">BW42/AVERAGE(BT64:BW64)</f>
        <v>29.521190261496844</v>
      </c>
      <c r="BX91" s="73">
        <f t="shared" si="138"/>
        <v>25.484399375975038</v>
      </c>
      <c r="BY91" s="73">
        <f>BY42/AVERAGE(BV64:BY64)</f>
        <v>24.365765330758087</v>
      </c>
      <c r="BZ91" s="35"/>
    </row>
    <row r="92" spans="2:139">
      <c r="B92" s="1" t="s">
        <v>67</v>
      </c>
      <c r="AT92" s="74">
        <f t="shared" ref="AT92:BC92" si="139">AT51/AT72</f>
        <v>-1.1494499828119628E-2</v>
      </c>
      <c r="AU92" s="74">
        <f t="shared" si="139"/>
        <v>1.9741519929733574E-2</v>
      </c>
      <c r="AV92" s="74">
        <f t="shared" si="139"/>
        <v>1.9718900776169498E-2</v>
      </c>
      <c r="AW92" s="74">
        <f t="shared" si="139"/>
        <v>2.1247074903187061E-2</v>
      </c>
      <c r="AX92" s="74">
        <f t="shared" si="139"/>
        <v>2.560829838529954E-2</v>
      </c>
      <c r="AY92" s="74">
        <f t="shared" si="139"/>
        <v>9.9214125121181492E-3</v>
      </c>
      <c r="AZ92" s="74">
        <f t="shared" si="139"/>
        <v>2.6895310509393137E-2</v>
      </c>
      <c r="BA92" s="74">
        <f t="shared" si="139"/>
        <v>2.231237322515213E-2</v>
      </c>
      <c r="BB92" s="74">
        <f t="shared" si="139"/>
        <v>2.4738696303793526E-2</v>
      </c>
      <c r="BC92" s="74">
        <f t="shared" si="139"/>
        <v>1.7497550342951987E-2</v>
      </c>
      <c r="BD92" s="74">
        <f>BD51/BD72</f>
        <v>2.1551129759864469E-2</v>
      </c>
      <c r="BE92" s="74">
        <f>BE51/BE72</f>
        <v>2.1410747280796998E-2</v>
      </c>
      <c r="BF92" s="35"/>
      <c r="BW92" s="74">
        <f t="shared" ref="BW92:BX92" si="140">BW51/BW72</f>
        <v>4.4173255414231692E-2</v>
      </c>
      <c r="BX92" s="74">
        <f t="shared" si="140"/>
        <v>8.4564111914747053E-2</v>
      </c>
      <c r="BY92" s="74">
        <f>BY51/BY72</f>
        <v>8.6260596934881709E-2</v>
      </c>
      <c r="BZ92" s="35"/>
    </row>
    <row r="93" spans="2:139">
      <c r="B93" s="1" t="s">
        <v>68</v>
      </c>
      <c r="AT93" s="74">
        <f t="shared" ref="AT93:BC93" si="141">AT51/AT83</f>
        <v>-3.6160865157147684E-2</v>
      </c>
      <c r="AU93" s="74">
        <f t="shared" si="141"/>
        <v>6.6371370315685865E-2</v>
      </c>
      <c r="AV93" s="74">
        <f t="shared" si="141"/>
        <v>6.5729669253898323E-2</v>
      </c>
      <c r="AW93" s="74">
        <f t="shared" si="141"/>
        <v>6.9568755085435308E-2</v>
      </c>
      <c r="AX93" s="74">
        <f t="shared" si="141"/>
        <v>8.2668410725964689E-2</v>
      </c>
      <c r="AY93" s="74">
        <f t="shared" si="141"/>
        <v>3.2100907634810466E-2</v>
      </c>
      <c r="AZ93" s="74">
        <f t="shared" si="141"/>
        <v>8.5967293646176723E-2</v>
      </c>
      <c r="BA93" s="74">
        <f t="shared" si="141"/>
        <v>6.8801601200900675E-2</v>
      </c>
      <c r="BB93" s="74">
        <f t="shared" si="141"/>
        <v>7.6226460357442724E-2</v>
      </c>
      <c r="BC93" s="74">
        <f t="shared" si="141"/>
        <v>5.112474437627812E-2</v>
      </c>
      <c r="BD93" s="74">
        <f>BD51/BD83</f>
        <v>6.1171997316036682E-2</v>
      </c>
      <c r="BE93" s="74">
        <f>BE51/BE83</f>
        <v>6.0161644275544615E-2</v>
      </c>
      <c r="BF93" s="35"/>
      <c r="BW93" s="74">
        <f t="shared" ref="BW93:BX93" si="142">BW51/BW83</f>
        <v>0.13896586684690773</v>
      </c>
      <c r="BX93" s="74">
        <f t="shared" si="142"/>
        <v>0.27298888162197515</v>
      </c>
      <c r="BY93" s="74">
        <f>BY51/BY83</f>
        <v>0.27909770421783237</v>
      </c>
      <c r="BZ93" s="35"/>
    </row>
    <row r="94" spans="2:139">
      <c r="BE94" s="1"/>
      <c r="BF94" s="35"/>
      <c r="BZ94" s="35"/>
    </row>
    <row r="95" spans="2:139">
      <c r="B95" s="1" t="s">
        <v>69</v>
      </c>
      <c r="C95" s="1">
        <f t="shared" ref="C95:AT95" si="143">C51</f>
        <v>489</v>
      </c>
      <c r="D95" s="1">
        <f t="shared" si="143"/>
        <v>488</v>
      </c>
      <c r="E95" s="1">
        <f t="shared" si="143"/>
        <v>497</v>
      </c>
      <c r="F95" s="1">
        <f t="shared" si="143"/>
        <v>478</v>
      </c>
      <c r="G95" s="1">
        <f t="shared" si="143"/>
        <v>579</v>
      </c>
      <c r="H95" s="1">
        <f t="shared" si="143"/>
        <v>511</v>
      </c>
      <c r="I95" s="1">
        <f t="shared" si="143"/>
        <v>473</v>
      </c>
      <c r="J95" s="1">
        <f t="shared" si="143"/>
        <v>506</v>
      </c>
      <c r="K95" s="1">
        <f t="shared" si="143"/>
        <v>484</v>
      </c>
      <c r="L95" s="1">
        <f t="shared" si="143"/>
        <v>531</v>
      </c>
      <c r="M95" s="1">
        <f t="shared" si="143"/>
        <v>516</v>
      </c>
      <c r="N95" s="1">
        <f t="shared" si="143"/>
        <v>459</v>
      </c>
      <c r="O95" s="1">
        <f t="shared" si="143"/>
        <v>556</v>
      </c>
      <c r="P95" s="1">
        <f t="shared" si="143"/>
        <v>517</v>
      </c>
      <c r="Q95" s="1">
        <f t="shared" si="143"/>
        <v>602</v>
      </c>
      <c r="R95" s="1">
        <f t="shared" si="143"/>
        <v>368</v>
      </c>
      <c r="S95" s="1">
        <f t="shared" si="143"/>
        <v>650</v>
      </c>
      <c r="T95" s="1">
        <f t="shared" si="143"/>
        <v>555</v>
      </c>
      <c r="U95" s="1">
        <f t="shared" si="143"/>
        <v>643</v>
      </c>
      <c r="V95" s="1">
        <f t="shared" si="143"/>
        <v>1021</v>
      </c>
      <c r="W95" s="1">
        <f t="shared" si="143"/>
        <v>840</v>
      </c>
      <c r="X95" s="1">
        <f t="shared" si="143"/>
        <v>789</v>
      </c>
      <c r="Y95" s="1">
        <f t="shared" si="143"/>
        <v>1244</v>
      </c>
      <c r="Z95" s="1">
        <f t="shared" si="143"/>
        <v>356</v>
      </c>
      <c r="AA95" s="1">
        <f t="shared" si="143"/>
        <v>863</v>
      </c>
      <c r="AB95" s="1">
        <f t="shared" si="143"/>
        <v>861</v>
      </c>
      <c r="AC95" s="1">
        <f t="shared" si="143"/>
        <v>933</v>
      </c>
      <c r="AD95" s="1">
        <f t="shared" si="143"/>
        <v>-409</v>
      </c>
      <c r="AE95" s="1">
        <f t="shared" si="143"/>
        <v>868</v>
      </c>
      <c r="AF95" s="1">
        <f t="shared" si="143"/>
        <v>1005</v>
      </c>
      <c r="AG95" s="1">
        <f t="shared" si="143"/>
        <v>986</v>
      </c>
      <c r="AH95" s="1">
        <f t="shared" si="143"/>
        <v>330</v>
      </c>
      <c r="AI95" s="1">
        <f t="shared" si="143"/>
        <v>233</v>
      </c>
      <c r="AJ95" s="1">
        <f t="shared" si="143"/>
        <v>1037</v>
      </c>
      <c r="AK95" s="1">
        <f t="shared" si="143"/>
        <v>1063</v>
      </c>
      <c r="AL95" s="1">
        <f t="shared" si="143"/>
        <v>2673</v>
      </c>
      <c r="AM95" s="1">
        <f t="shared" si="143"/>
        <v>955</v>
      </c>
      <c r="AN95" s="1">
        <f t="shared" si="143"/>
        <v>946</v>
      </c>
      <c r="AO95" s="1">
        <f t="shared" si="143"/>
        <v>915</v>
      </c>
      <c r="AP95" s="1">
        <f t="shared" si="143"/>
        <v>2080</v>
      </c>
      <c r="AQ95" s="1">
        <f t="shared" si="143"/>
        <v>842</v>
      </c>
      <c r="AR95" s="1">
        <f t="shared" si="143"/>
        <v>812</v>
      </c>
      <c r="AS95" s="1">
        <f t="shared" si="143"/>
        <v>937</v>
      </c>
      <c r="AT95" s="1">
        <f t="shared" si="143"/>
        <v>-535</v>
      </c>
      <c r="AU95" s="1">
        <f t="shared" ref="AU95:BC95" si="144">AU51</f>
        <v>944</v>
      </c>
      <c r="AV95" s="1">
        <f t="shared" si="144"/>
        <v>940</v>
      </c>
      <c r="AW95" s="1">
        <f t="shared" si="144"/>
        <v>1026</v>
      </c>
      <c r="AX95" s="1">
        <f t="shared" si="144"/>
        <v>1264</v>
      </c>
      <c r="AY95" s="1">
        <f t="shared" si="144"/>
        <v>481</v>
      </c>
      <c r="AZ95" s="1">
        <f t="shared" si="144"/>
        <v>1330</v>
      </c>
      <c r="BA95" s="1">
        <f t="shared" si="144"/>
        <v>1100</v>
      </c>
      <c r="BB95" s="1">
        <f t="shared" si="144"/>
        <v>1271</v>
      </c>
      <c r="BC95" s="1">
        <f t="shared" si="144"/>
        <v>875</v>
      </c>
      <c r="BD95" s="1">
        <f>BD51</f>
        <v>1094</v>
      </c>
      <c r="BE95" s="1">
        <f>BE51</f>
        <v>1124</v>
      </c>
      <c r="BF95" s="35"/>
      <c r="BM95" s="1">
        <f>SUM(C95:F95)</f>
        <v>1952</v>
      </c>
      <c r="BN95" s="1">
        <f>SUM(G95:J95)</f>
        <v>2069</v>
      </c>
      <c r="BO95" s="1">
        <f>SUM(K95:N95)</f>
        <v>1990</v>
      </c>
      <c r="BP95" s="1">
        <f>SUM(O95:R95)</f>
        <v>2043</v>
      </c>
      <c r="BQ95" s="1">
        <f>SUM(S95:V95)</f>
        <v>2869</v>
      </c>
      <c r="BR95" s="1">
        <f>SUM(W95:Z95)</f>
        <v>3229</v>
      </c>
      <c r="BS95" s="1">
        <f>SUM(AA95:AD95)</f>
        <v>2248</v>
      </c>
      <c r="BT95" s="1">
        <f>SUM(AE95:AH95)</f>
        <v>3189</v>
      </c>
      <c r="BU95" s="1">
        <f>SUM(AI95:AL95)</f>
        <v>5006</v>
      </c>
      <c r="BV95" s="1">
        <f>SUM(AM95:AP95)</f>
        <v>4896</v>
      </c>
      <c r="BW95" s="1">
        <f>SUM(AQ95:AT95)</f>
        <v>2056</v>
      </c>
      <c r="BX95" s="1">
        <f>SUM(AU95:AX95)</f>
        <v>4174</v>
      </c>
      <c r="BY95" s="1">
        <f>SUM(AY95:BB95)</f>
        <v>4182</v>
      </c>
      <c r="BZ95" s="35"/>
    </row>
    <row r="96" spans="2:139" s="2" customFormat="1" ht="15">
      <c r="B96" s="2" t="s">
        <v>70</v>
      </c>
      <c r="C96" s="2">
        <v>1</v>
      </c>
      <c r="D96" s="2">
        <v>328</v>
      </c>
      <c r="E96" s="2">
        <v>950</v>
      </c>
      <c r="F96" s="2">
        <v>1204</v>
      </c>
      <c r="G96" s="2">
        <v>-402</v>
      </c>
      <c r="H96" s="2">
        <v>572</v>
      </c>
      <c r="I96" s="2">
        <v>933</v>
      </c>
      <c r="J96" s="2">
        <v>1490</v>
      </c>
      <c r="K96" s="2">
        <v>-654</v>
      </c>
      <c r="L96" s="2">
        <v>626</v>
      </c>
      <c r="M96" s="2">
        <v>557</v>
      </c>
      <c r="N96" s="2">
        <v>1633</v>
      </c>
      <c r="O96" s="2">
        <v>-60</v>
      </c>
      <c r="P96" s="2">
        <v>604</v>
      </c>
      <c r="Q96" s="2">
        <v>738</v>
      </c>
      <c r="R96" s="2">
        <v>1531</v>
      </c>
      <c r="S96" s="2">
        <v>-439</v>
      </c>
      <c r="T96" s="2">
        <v>507</v>
      </c>
      <c r="U96" s="2">
        <v>938</v>
      </c>
      <c r="V96" s="2">
        <v>1607</v>
      </c>
      <c r="W96" s="2">
        <v>-237</v>
      </c>
      <c r="X96" s="2">
        <v>875</v>
      </c>
      <c r="Y96" s="2">
        <v>812</v>
      </c>
      <c r="Z96" s="2">
        <v>2377</v>
      </c>
      <c r="AA96" s="2">
        <v>-913</v>
      </c>
      <c r="AB96" s="2">
        <v>1607</v>
      </c>
      <c r="AC96" s="2">
        <v>1139</v>
      </c>
      <c r="AD96" s="2">
        <v>2990</v>
      </c>
      <c r="AE96" s="2">
        <v>-993</v>
      </c>
      <c r="AF96" s="2">
        <v>2475</v>
      </c>
      <c r="AG96" s="2">
        <v>1421</v>
      </c>
      <c r="AH96" s="2">
        <v>1402</v>
      </c>
      <c r="AI96" s="2">
        <v>10</v>
      </c>
      <c r="AJ96" s="2">
        <v>1100</v>
      </c>
      <c r="AK96" s="2">
        <v>1015</v>
      </c>
      <c r="AL96" s="2">
        <v>1442</v>
      </c>
      <c r="AM96" s="2">
        <v>-488</v>
      </c>
      <c r="AN96" s="2">
        <v>-197</v>
      </c>
      <c r="AO96" s="2">
        <v>1335</v>
      </c>
      <c r="AP96" s="2">
        <v>2251</v>
      </c>
      <c r="AQ96" s="2">
        <v>-702</v>
      </c>
      <c r="AR96" s="2">
        <v>919</v>
      </c>
      <c r="AS96" s="2">
        <v>1228</v>
      </c>
      <c r="AT96" s="2">
        <v>2430</v>
      </c>
      <c r="AU96" s="2">
        <v>-706</v>
      </c>
      <c r="AV96" s="2">
        <v>1425</v>
      </c>
      <c r="AW96" s="2">
        <v>1091</v>
      </c>
      <c r="AX96" s="2">
        <v>2578</v>
      </c>
      <c r="AY96" s="2">
        <v>-1565</v>
      </c>
      <c r="AZ96" s="2">
        <v>868</v>
      </c>
      <c r="BA96" s="2">
        <v>1557</v>
      </c>
      <c r="BB96" s="2">
        <v>3897</v>
      </c>
      <c r="BC96" s="2">
        <v>-1656</v>
      </c>
      <c r="BD96" s="2">
        <v>1280</v>
      </c>
      <c r="BE96" s="2">
        <v>1369</v>
      </c>
      <c r="BF96" s="34"/>
      <c r="BM96" s="2">
        <f>SUM(C96:F96)</f>
        <v>2483</v>
      </c>
      <c r="BN96" s="2">
        <f>SUM(G96:J96)</f>
        <v>2593</v>
      </c>
      <c r="BO96" s="2">
        <f>SUM(K96:N96)</f>
        <v>2162</v>
      </c>
      <c r="BP96" s="2">
        <f>SUM(O96:R96)</f>
        <v>2813</v>
      </c>
      <c r="BQ96" s="2">
        <f>SUM(S96:V96)</f>
        <v>2613</v>
      </c>
      <c r="BR96" s="2">
        <f>SUM(W96:Z96)</f>
        <v>3827</v>
      </c>
      <c r="BS96" s="2">
        <f>SUM(AA96:AD96)</f>
        <v>4823</v>
      </c>
      <c r="BT96" s="2">
        <f>SUM(AE96:AH96)</f>
        <v>4305</v>
      </c>
      <c r="BU96" s="2">
        <f>SUM(AI96:AL96)</f>
        <v>3567</v>
      </c>
      <c r="BV96" s="2">
        <f>SUM(AM96:AP96)</f>
        <v>2901</v>
      </c>
      <c r="BW96" s="2">
        <f>SUM(AQ96:AT96)</f>
        <v>3875</v>
      </c>
      <c r="BX96" s="2">
        <f>SUM(AU96:AX96)</f>
        <v>4388</v>
      </c>
      <c r="BY96" s="2">
        <f>SUM(AY96:BB96)</f>
        <v>4757</v>
      </c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</row>
    <row r="97" spans="2:139">
      <c r="B97" s="1" t="s">
        <v>71</v>
      </c>
      <c r="C97" s="1">
        <v>-40</v>
      </c>
      <c r="D97" s="1">
        <v>-48</v>
      </c>
      <c r="E97" s="1">
        <v>-90</v>
      </c>
      <c r="F97" s="1">
        <v>-186</v>
      </c>
      <c r="G97" s="1">
        <v>-60</v>
      </c>
      <c r="H97" s="1">
        <v>-116</v>
      </c>
      <c r="I97" s="1">
        <v>-109</v>
      </c>
      <c r="J97" s="1">
        <v>-276</v>
      </c>
      <c r="K97" s="1">
        <v>-117</v>
      </c>
      <c r="L97" s="1">
        <v>-115</v>
      </c>
      <c r="M97" s="1">
        <v>-102</v>
      </c>
      <c r="N97" s="1">
        <v>-137</v>
      </c>
      <c r="O97" s="1">
        <v>-298</v>
      </c>
      <c r="P97" s="1">
        <v>-173</v>
      </c>
      <c r="Q97" s="1">
        <v>-137</v>
      </c>
      <c r="R97" s="1">
        <v>-312</v>
      </c>
      <c r="S97" s="1">
        <v>-216</v>
      </c>
      <c r="T97" s="1">
        <v>-217</v>
      </c>
      <c r="U97" s="1">
        <v>-217</v>
      </c>
      <c r="V97" s="1">
        <v>-278</v>
      </c>
      <c r="W97" s="1">
        <v>-305</v>
      </c>
      <c r="X97" s="1">
        <v>-199</v>
      </c>
      <c r="Y97" s="1">
        <v>-282</v>
      </c>
      <c r="Z97" s="1">
        <v>-463</v>
      </c>
      <c r="AA97" s="1">
        <v>-284</v>
      </c>
      <c r="AB97" s="1">
        <v>-252</v>
      </c>
      <c r="AC97" s="1">
        <v>-257</v>
      </c>
      <c r="AD97" s="1">
        <v>-471</v>
      </c>
      <c r="AE97" s="1">
        <v>-272</v>
      </c>
      <c r="AF97" s="1">
        <v>-269</v>
      </c>
      <c r="AG97" s="1">
        <v>-287</v>
      </c>
      <c r="AH97" s="1">
        <v>-592</v>
      </c>
      <c r="AI97" s="1">
        <v>-205</v>
      </c>
      <c r="AJ97" s="1">
        <v>-230</v>
      </c>
      <c r="AK97" s="1">
        <v>-247</v>
      </c>
      <c r="AL97" s="1">
        <v>-733</v>
      </c>
      <c r="AM97" s="1">
        <v>-244</v>
      </c>
      <c r="AN97" s="1">
        <v>-263</v>
      </c>
      <c r="AO97" s="1">
        <v>-296</v>
      </c>
      <c r="AP97" s="1">
        <v>-632</v>
      </c>
      <c r="AQ97" s="1">
        <v>-309</v>
      </c>
      <c r="AR97" s="1">
        <v>-304</v>
      </c>
      <c r="AS97" s="1">
        <v>-359</v>
      </c>
      <c r="AT97" s="1">
        <v>-803</v>
      </c>
      <c r="AU97" s="1">
        <v>-270</v>
      </c>
      <c r="AV97" s="1">
        <v>-320</v>
      </c>
      <c r="AW97" s="1">
        <v>-361</v>
      </c>
      <c r="AX97" s="1">
        <v>-816</v>
      </c>
      <c r="AY97" s="1">
        <v>-256</v>
      </c>
      <c r="AZ97" s="1">
        <v>-231</v>
      </c>
      <c r="BA97" s="1">
        <v>-301</v>
      </c>
      <c r="BB97" s="1">
        <v>-662</v>
      </c>
      <c r="BC97" s="1">
        <v>-167</v>
      </c>
      <c r="BD97" s="1">
        <v>-302</v>
      </c>
      <c r="BE97" s="1">
        <v>-775</v>
      </c>
      <c r="BF97" s="35"/>
      <c r="BM97" s="1">
        <f>SUM(C97:F97)</f>
        <v>-364</v>
      </c>
      <c r="BN97" s="1">
        <f>SUM(G97:J97)</f>
        <v>-561</v>
      </c>
      <c r="BO97" s="1">
        <f>SUM(K97:N97)</f>
        <v>-471</v>
      </c>
      <c r="BP97" s="1">
        <f>SUM(O97:R97)</f>
        <v>-920</v>
      </c>
      <c r="BQ97" s="1">
        <f>SUM(S97:V97)</f>
        <v>-928</v>
      </c>
      <c r="BR97" s="1">
        <f>SUM(W97:Z97)</f>
        <v>-1249</v>
      </c>
      <c r="BS97" s="1">
        <f>SUM(AA97:AD97)</f>
        <v>-1264</v>
      </c>
      <c r="BT97" s="1">
        <f>SUM(AE97:AH97)</f>
        <v>-1420</v>
      </c>
      <c r="BU97" s="1">
        <f>SUM(AI97:AL97)</f>
        <v>-1415</v>
      </c>
      <c r="BV97" s="1">
        <f>SUM(AM97:AP97)</f>
        <v>-1435</v>
      </c>
      <c r="BW97" s="1">
        <f>SUM(AQ97:AT97)</f>
        <v>-1775</v>
      </c>
      <c r="BX97" s="1">
        <f>SUM(AU97:AX97)</f>
        <v>-1767</v>
      </c>
      <c r="BY97" s="1">
        <f>SUM(AY97:BB97)</f>
        <v>-1450</v>
      </c>
      <c r="BZ97" s="35"/>
    </row>
    <row r="98" spans="2:139" s="2" customFormat="1" ht="15">
      <c r="B98" s="2" t="s">
        <v>72</v>
      </c>
      <c r="C98" s="2">
        <f t="shared" ref="C98:AT98" si="145">C96+C97</f>
        <v>-39</v>
      </c>
      <c r="D98" s="2">
        <f t="shared" si="145"/>
        <v>280</v>
      </c>
      <c r="E98" s="2">
        <f t="shared" si="145"/>
        <v>860</v>
      </c>
      <c r="F98" s="2">
        <f t="shared" si="145"/>
        <v>1018</v>
      </c>
      <c r="G98" s="2">
        <f t="shared" si="145"/>
        <v>-462</v>
      </c>
      <c r="H98" s="2">
        <f t="shared" si="145"/>
        <v>456</v>
      </c>
      <c r="I98" s="2">
        <f t="shared" si="145"/>
        <v>824</v>
      </c>
      <c r="J98" s="2">
        <f t="shared" si="145"/>
        <v>1214</v>
      </c>
      <c r="K98" s="2">
        <f t="shared" si="145"/>
        <v>-771</v>
      </c>
      <c r="L98" s="2">
        <f t="shared" si="145"/>
        <v>511</v>
      </c>
      <c r="M98" s="2">
        <f t="shared" si="145"/>
        <v>455</v>
      </c>
      <c r="N98" s="2">
        <f t="shared" si="145"/>
        <v>1496</v>
      </c>
      <c r="O98" s="2">
        <f t="shared" si="145"/>
        <v>-358</v>
      </c>
      <c r="P98" s="2">
        <f t="shared" si="145"/>
        <v>431</v>
      </c>
      <c r="Q98" s="2">
        <f t="shared" si="145"/>
        <v>601</v>
      </c>
      <c r="R98" s="2">
        <f t="shared" si="145"/>
        <v>1219</v>
      </c>
      <c r="S98" s="2">
        <f t="shared" si="145"/>
        <v>-655</v>
      </c>
      <c r="T98" s="2">
        <f t="shared" si="145"/>
        <v>290</v>
      </c>
      <c r="U98" s="2">
        <f t="shared" si="145"/>
        <v>721</v>
      </c>
      <c r="V98" s="2">
        <f t="shared" si="145"/>
        <v>1329</v>
      </c>
      <c r="W98" s="2">
        <f t="shared" si="145"/>
        <v>-542</v>
      </c>
      <c r="X98" s="2">
        <f t="shared" si="145"/>
        <v>676</v>
      </c>
      <c r="Y98" s="2">
        <f t="shared" si="145"/>
        <v>530</v>
      </c>
      <c r="Z98" s="2">
        <f t="shared" si="145"/>
        <v>1914</v>
      </c>
      <c r="AA98" s="2">
        <f t="shared" si="145"/>
        <v>-1197</v>
      </c>
      <c r="AB98" s="2">
        <f t="shared" si="145"/>
        <v>1355</v>
      </c>
      <c r="AC98" s="2">
        <f t="shared" si="145"/>
        <v>882</v>
      </c>
      <c r="AD98" s="2">
        <f t="shared" si="145"/>
        <v>2519</v>
      </c>
      <c r="AE98" s="2">
        <f t="shared" si="145"/>
        <v>-1265</v>
      </c>
      <c r="AF98" s="2">
        <f t="shared" si="145"/>
        <v>2206</v>
      </c>
      <c r="AG98" s="2">
        <f t="shared" si="145"/>
        <v>1134</v>
      </c>
      <c r="AH98" s="2">
        <f t="shared" si="145"/>
        <v>810</v>
      </c>
      <c r="AI98" s="2">
        <f t="shared" si="145"/>
        <v>-195</v>
      </c>
      <c r="AJ98" s="2">
        <f t="shared" si="145"/>
        <v>870</v>
      </c>
      <c r="AK98" s="2">
        <f t="shared" si="145"/>
        <v>768</v>
      </c>
      <c r="AL98" s="2">
        <f t="shared" si="145"/>
        <v>709</v>
      </c>
      <c r="AM98" s="2">
        <f t="shared" si="145"/>
        <v>-732</v>
      </c>
      <c r="AN98" s="2">
        <f t="shared" si="145"/>
        <v>-460</v>
      </c>
      <c r="AO98" s="2">
        <f t="shared" si="145"/>
        <v>1039</v>
      </c>
      <c r="AP98" s="2">
        <f t="shared" si="145"/>
        <v>1619</v>
      </c>
      <c r="AQ98" s="2">
        <f t="shared" si="145"/>
        <v>-1011</v>
      </c>
      <c r="AR98" s="2">
        <f t="shared" si="145"/>
        <v>615</v>
      </c>
      <c r="AS98" s="2">
        <f t="shared" si="145"/>
        <v>869</v>
      </c>
      <c r="AT98" s="2">
        <f t="shared" si="145"/>
        <v>1627</v>
      </c>
      <c r="AU98" s="2">
        <f t="shared" ref="AU98:BA98" si="146">AU96+AU97</f>
        <v>-976</v>
      </c>
      <c r="AV98" s="2">
        <f t="shared" si="146"/>
        <v>1105</v>
      </c>
      <c r="AW98" s="2">
        <f t="shared" si="146"/>
        <v>730</v>
      </c>
      <c r="AX98" s="2">
        <f t="shared" si="146"/>
        <v>1762</v>
      </c>
      <c r="AY98" s="2">
        <f t="shared" si="146"/>
        <v>-1821</v>
      </c>
      <c r="AZ98" s="2">
        <f t="shared" si="146"/>
        <v>637</v>
      </c>
      <c r="BA98" s="2">
        <f t="shared" si="146"/>
        <v>1256</v>
      </c>
      <c r="BB98" s="2">
        <f>BB96+BB97</f>
        <v>3235</v>
      </c>
      <c r="BC98" s="2">
        <f>BC96+BC97</f>
        <v>-1823</v>
      </c>
      <c r="BD98" s="2">
        <f>BD96+BD97</f>
        <v>978</v>
      </c>
      <c r="BE98" s="2">
        <f>BE96+BE97</f>
        <v>594</v>
      </c>
      <c r="BF98" s="34"/>
      <c r="BM98" s="2">
        <f>SUM(C98:F98)</f>
        <v>2119</v>
      </c>
      <c r="BN98" s="2">
        <f>SUM(G98:J98)</f>
        <v>2032</v>
      </c>
      <c r="BO98" s="2">
        <f>SUM(K98:N98)</f>
        <v>1691</v>
      </c>
      <c r="BP98" s="2">
        <f>SUM(O98:R98)</f>
        <v>1893</v>
      </c>
      <c r="BQ98" s="2">
        <f>SUM(S98:V98)</f>
        <v>1685</v>
      </c>
      <c r="BR98" s="2">
        <f>SUM(W98:Z98)</f>
        <v>2578</v>
      </c>
      <c r="BS98" s="2">
        <f>SUM(AA98:AD98)</f>
        <v>3559</v>
      </c>
      <c r="BT98" s="2">
        <f>SUM(AE98:AH98)</f>
        <v>2885</v>
      </c>
      <c r="BU98" s="2">
        <f>SUM(AI98:AL98)</f>
        <v>2152</v>
      </c>
      <c r="BV98" s="2">
        <f>SUM(AM98:AP98)</f>
        <v>1466</v>
      </c>
      <c r="BW98" s="2">
        <f>SUM(AQ98:AT98)</f>
        <v>2100</v>
      </c>
      <c r="BX98" s="2">
        <f>SUM(AU98:AX98)</f>
        <v>2621</v>
      </c>
      <c r="BY98" s="2">
        <f>SUM(AY98:BB98)</f>
        <v>3307</v>
      </c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</row>
    <row r="99" spans="2:139">
      <c r="B99" s="1" t="s">
        <v>73</v>
      </c>
      <c r="C99" s="1">
        <f t="shared" ref="C99:AT99" si="147">C52</f>
        <v>232.4</v>
      </c>
      <c r="D99" s="1">
        <f t="shared" si="147"/>
        <v>226.1</v>
      </c>
      <c r="E99" s="1">
        <f t="shared" si="147"/>
        <v>219.9</v>
      </c>
      <c r="F99" s="1">
        <f t="shared" si="147"/>
        <v>216.2</v>
      </c>
      <c r="G99" s="1">
        <f t="shared" si="147"/>
        <v>213.3</v>
      </c>
      <c r="H99" s="1">
        <f t="shared" si="147"/>
        <v>207.8</v>
      </c>
      <c r="I99" s="1">
        <f t="shared" si="147"/>
        <v>206.5</v>
      </c>
      <c r="J99" s="1">
        <f t="shared" si="147"/>
        <v>204.1</v>
      </c>
      <c r="K99" s="1">
        <f t="shared" si="147"/>
        <v>195.6</v>
      </c>
      <c r="L99" s="1">
        <f t="shared" si="147"/>
        <v>192.3</v>
      </c>
      <c r="M99" s="1">
        <f t="shared" si="147"/>
        <v>187.2</v>
      </c>
      <c r="N99" s="1">
        <f t="shared" si="147"/>
        <v>182.7</v>
      </c>
      <c r="O99" s="1">
        <f t="shared" si="147"/>
        <v>178.4</v>
      </c>
      <c r="P99" s="1">
        <f t="shared" si="147"/>
        <v>177.3</v>
      </c>
      <c r="Q99" s="1">
        <f t="shared" si="147"/>
        <v>176.1</v>
      </c>
      <c r="R99" s="1">
        <f t="shared" si="147"/>
        <v>175.6</v>
      </c>
      <c r="S99" s="1">
        <f t="shared" si="147"/>
        <v>174.43</v>
      </c>
      <c r="T99" s="1">
        <f t="shared" si="147"/>
        <v>174.41</v>
      </c>
      <c r="U99" s="1">
        <f t="shared" si="147"/>
        <v>174.39</v>
      </c>
      <c r="V99" s="1">
        <f t="shared" si="147"/>
        <v>174.36</v>
      </c>
      <c r="W99" s="1">
        <f t="shared" si="147"/>
        <v>174.34</v>
      </c>
      <c r="X99" s="1">
        <f t="shared" si="147"/>
        <v>174.3</v>
      </c>
      <c r="Y99" s="1">
        <f t="shared" si="147"/>
        <v>174.2</v>
      </c>
      <c r="Z99" s="1">
        <f t="shared" si="147"/>
        <v>173.9</v>
      </c>
      <c r="AA99" s="1">
        <f t="shared" si="147"/>
        <v>173.4</v>
      </c>
      <c r="AB99" s="1">
        <f t="shared" si="147"/>
        <v>173.1</v>
      </c>
      <c r="AC99" s="1">
        <f t="shared" si="147"/>
        <v>172.6</v>
      </c>
      <c r="AD99" s="1">
        <f t="shared" si="147"/>
        <v>171.3</v>
      </c>
      <c r="AE99" s="1">
        <f t="shared" si="147"/>
        <v>169.2</v>
      </c>
      <c r="AF99" s="1">
        <f t="shared" si="147"/>
        <v>167.5</v>
      </c>
      <c r="AG99" s="1">
        <f t="shared" si="147"/>
        <v>166.4</v>
      </c>
      <c r="AH99" s="1">
        <f t="shared" si="147"/>
        <v>165.9</v>
      </c>
      <c r="AI99" s="1">
        <f t="shared" si="147"/>
        <v>164.1</v>
      </c>
      <c r="AJ99" s="1">
        <f t="shared" si="147"/>
        <v>162.19999999999999</v>
      </c>
      <c r="AK99" s="1">
        <f t="shared" si="147"/>
        <v>160.69999999999999</v>
      </c>
      <c r="AL99" s="1">
        <f t="shared" si="147"/>
        <v>159.1</v>
      </c>
      <c r="AM99" s="1">
        <f t="shared" si="147"/>
        <v>158.6</v>
      </c>
      <c r="AN99" s="1">
        <f t="shared" si="147"/>
        <v>155.9</v>
      </c>
      <c r="AO99" s="1">
        <f t="shared" si="147"/>
        <v>155.6</v>
      </c>
      <c r="AP99" s="1">
        <f t="shared" si="147"/>
        <v>154.80000000000001</v>
      </c>
      <c r="AQ99" s="1">
        <f t="shared" si="147"/>
        <v>154.30000000000001</v>
      </c>
      <c r="AR99" s="1">
        <f t="shared" si="147"/>
        <v>153.6</v>
      </c>
      <c r="AS99" s="1">
        <f t="shared" si="147"/>
        <v>152.1</v>
      </c>
      <c r="AT99" s="1">
        <f t="shared" si="147"/>
        <v>150.6</v>
      </c>
      <c r="AU99" s="1">
        <f t="shared" ref="AU99:BC99" si="148">AU52</f>
        <v>149.80000000000001</v>
      </c>
      <c r="AV99" s="1">
        <f t="shared" si="148"/>
        <v>148.30000000000001</v>
      </c>
      <c r="AW99" s="1">
        <f t="shared" si="148"/>
        <v>145.69</v>
      </c>
      <c r="AX99" s="1">
        <f t="shared" si="148"/>
        <v>144.75</v>
      </c>
      <c r="AY99" s="1">
        <f t="shared" si="148"/>
        <v>144.1</v>
      </c>
      <c r="AZ99" s="1">
        <f t="shared" si="148"/>
        <v>143.69999999999999</v>
      </c>
      <c r="BA99" s="1">
        <f t="shared" si="148"/>
        <v>142.80000000000001</v>
      </c>
      <c r="BB99" s="1">
        <f t="shared" si="148"/>
        <v>142.6</v>
      </c>
      <c r="BC99" s="1">
        <f t="shared" si="148"/>
        <v>142.19999999999999</v>
      </c>
      <c r="BD99" s="1">
        <f>BD52</f>
        <v>142.19999999999999</v>
      </c>
      <c r="BE99" s="1">
        <f>BE52</f>
        <v>142.1</v>
      </c>
      <c r="BF99" s="35"/>
      <c r="BM99" s="1">
        <f t="shared" ref="BM99:BY99" si="149">BM52</f>
        <v>223.64999999999998</v>
      </c>
      <c r="BN99" s="1">
        <f t="shared" si="149"/>
        <v>207.92500000000001</v>
      </c>
      <c r="BO99" s="1">
        <f t="shared" si="149"/>
        <v>189.45</v>
      </c>
      <c r="BP99" s="1">
        <f t="shared" si="149"/>
        <v>176.85000000000002</v>
      </c>
      <c r="BQ99" s="1">
        <f t="shared" si="149"/>
        <v>174.39750000000001</v>
      </c>
      <c r="BR99" s="1">
        <f t="shared" si="149"/>
        <v>174.18499999999997</v>
      </c>
      <c r="BS99" s="1">
        <f t="shared" si="149"/>
        <v>172.60000000000002</v>
      </c>
      <c r="BT99" s="1">
        <f t="shared" si="149"/>
        <v>167.25</v>
      </c>
      <c r="BU99" s="1">
        <f t="shared" si="149"/>
        <v>161.52499999999998</v>
      </c>
      <c r="BV99" s="1">
        <f t="shared" si="149"/>
        <v>156.22500000000002</v>
      </c>
      <c r="BW99" s="1">
        <f t="shared" si="149"/>
        <v>152.65</v>
      </c>
      <c r="BX99" s="1">
        <f t="shared" si="149"/>
        <v>147.13499999999999</v>
      </c>
      <c r="BY99" s="1">
        <f t="shared" si="149"/>
        <v>143.29999999999998</v>
      </c>
      <c r="BZ99" s="35"/>
    </row>
    <row r="100" spans="2:139">
      <c r="B100" s="1" t="s">
        <v>74</v>
      </c>
      <c r="C100" s="39">
        <f t="shared" ref="C100:AT100" si="150">C98/C99</f>
        <v>-0.16781411359724613</v>
      </c>
      <c r="D100" s="39">
        <f t="shared" si="150"/>
        <v>1.2383900928792571</v>
      </c>
      <c r="E100" s="39">
        <f t="shared" si="150"/>
        <v>3.9108685766257389</v>
      </c>
      <c r="F100" s="39">
        <f t="shared" si="150"/>
        <v>4.7086031452358927</v>
      </c>
      <c r="G100" s="39">
        <f t="shared" si="150"/>
        <v>-2.1659634317862166</v>
      </c>
      <c r="H100" s="39">
        <f t="shared" si="150"/>
        <v>2.1944177093358999</v>
      </c>
      <c r="I100" s="39">
        <f t="shared" si="150"/>
        <v>3.9903147699757868</v>
      </c>
      <c r="J100" s="39">
        <f t="shared" si="150"/>
        <v>5.9480646741793244</v>
      </c>
      <c r="K100" s="39">
        <f t="shared" si="150"/>
        <v>-3.9417177914110431</v>
      </c>
      <c r="L100" s="39">
        <f t="shared" si="150"/>
        <v>2.6573062922516901</v>
      </c>
      <c r="M100" s="39">
        <f t="shared" si="150"/>
        <v>2.4305555555555558</v>
      </c>
      <c r="N100" s="39">
        <f t="shared" si="150"/>
        <v>8.1882868089764642</v>
      </c>
      <c r="O100" s="39">
        <f t="shared" si="150"/>
        <v>-2.006726457399103</v>
      </c>
      <c r="P100" s="39">
        <f t="shared" si="150"/>
        <v>2.4309080654258319</v>
      </c>
      <c r="Q100" s="39">
        <f t="shared" si="150"/>
        <v>3.412833617262919</v>
      </c>
      <c r="R100" s="39">
        <f t="shared" si="150"/>
        <v>6.9419134396355355</v>
      </c>
      <c r="S100" s="39">
        <f t="shared" si="150"/>
        <v>-3.7550880009172731</v>
      </c>
      <c r="T100" s="39">
        <f t="shared" si="150"/>
        <v>1.6627486956023163</v>
      </c>
      <c r="U100" s="39">
        <f t="shared" si="150"/>
        <v>4.1344113767991288</v>
      </c>
      <c r="V100" s="39">
        <f t="shared" si="150"/>
        <v>7.6221610461114926</v>
      </c>
      <c r="W100" s="39">
        <f t="shared" si="150"/>
        <v>-3.1088677297235288</v>
      </c>
      <c r="X100" s="39">
        <f t="shared" si="150"/>
        <v>3.8783706253585768</v>
      </c>
      <c r="Y100" s="39">
        <f t="shared" si="150"/>
        <v>3.0424799081515501</v>
      </c>
      <c r="Z100" s="39">
        <f t="shared" si="150"/>
        <v>11.006325474410581</v>
      </c>
      <c r="AA100" s="39">
        <f t="shared" si="150"/>
        <v>-6.9031141868512105</v>
      </c>
      <c r="AB100" s="39">
        <f t="shared" si="150"/>
        <v>7.8278451761987293</v>
      </c>
      <c r="AC100" s="39">
        <f t="shared" si="150"/>
        <v>5.1100811123986096</v>
      </c>
      <c r="AD100" s="39">
        <f t="shared" si="150"/>
        <v>14.705195563339171</v>
      </c>
      <c r="AE100" s="39">
        <f t="shared" si="150"/>
        <v>-7.4763593380614664</v>
      </c>
      <c r="AF100" s="39">
        <f t="shared" si="150"/>
        <v>13.170149253731344</v>
      </c>
      <c r="AG100" s="39">
        <f t="shared" si="150"/>
        <v>6.8149038461538458</v>
      </c>
      <c r="AH100" s="39">
        <f t="shared" si="150"/>
        <v>4.8824593128390594</v>
      </c>
      <c r="AI100" s="39">
        <f t="shared" si="150"/>
        <v>-1.1882998171846435</v>
      </c>
      <c r="AJ100" s="39">
        <f t="shared" si="150"/>
        <v>5.3637484586929718</v>
      </c>
      <c r="AK100" s="39">
        <f t="shared" si="150"/>
        <v>4.7790914747977604</v>
      </c>
      <c r="AL100" s="39">
        <f t="shared" si="150"/>
        <v>4.4563167818981775</v>
      </c>
      <c r="AM100" s="39">
        <f t="shared" si="150"/>
        <v>-4.6153846153846159</v>
      </c>
      <c r="AN100" s="39">
        <f t="shared" si="150"/>
        <v>-2.9506093649775496</v>
      </c>
      <c r="AO100" s="39">
        <f t="shared" si="150"/>
        <v>6.6773778920308482</v>
      </c>
      <c r="AP100" s="39">
        <f t="shared" si="150"/>
        <v>10.458656330749353</v>
      </c>
      <c r="AQ100" s="39">
        <f t="shared" si="150"/>
        <v>-6.5521710952689558</v>
      </c>
      <c r="AR100" s="39">
        <f t="shared" si="150"/>
        <v>4.00390625</v>
      </c>
      <c r="AS100" s="39">
        <f t="shared" si="150"/>
        <v>5.7133464825772524</v>
      </c>
      <c r="AT100" s="39">
        <f t="shared" si="150"/>
        <v>10.803452855245684</v>
      </c>
      <c r="AU100" s="39">
        <f t="shared" ref="AU100:BA100" si="151">AU98/AU99</f>
        <v>-6.5153538050734303</v>
      </c>
      <c r="AV100" s="39">
        <f t="shared" si="151"/>
        <v>7.4511126095751852</v>
      </c>
      <c r="AW100" s="39">
        <f t="shared" si="151"/>
        <v>5.0106390280733066</v>
      </c>
      <c r="AX100" s="39">
        <f t="shared" si="151"/>
        <v>12.172711571675302</v>
      </c>
      <c r="AY100" s="39">
        <f t="shared" si="151"/>
        <v>-12.63705759888966</v>
      </c>
      <c r="AZ100" s="39">
        <f t="shared" si="151"/>
        <v>4.4328462073764792</v>
      </c>
      <c r="BA100" s="39">
        <f t="shared" si="151"/>
        <v>8.7955182072829121</v>
      </c>
      <c r="BB100" s="39">
        <f>BB98/BB99</f>
        <v>22.685834502103788</v>
      </c>
      <c r="BC100" s="39">
        <f>BC98/BC99</f>
        <v>-12.819971870604784</v>
      </c>
      <c r="BD100" s="39">
        <f>BD98/BD99</f>
        <v>6.8776371308016886</v>
      </c>
      <c r="BE100" s="39">
        <f>BE98/BE99</f>
        <v>4.1801548205489096</v>
      </c>
      <c r="BF100" s="35"/>
      <c r="BM100" s="39">
        <f>SUM(C100:F100)</f>
        <v>9.6900477011436426</v>
      </c>
      <c r="BN100" s="39">
        <f>SUM(G100:J100)</f>
        <v>9.9668337217047949</v>
      </c>
      <c r="BO100" s="39">
        <f>SUM(K100:N100)</f>
        <v>9.3344308653726671</v>
      </c>
      <c r="BP100" s="39">
        <f>SUM(O100:R100)</f>
        <v>10.778928664925184</v>
      </c>
      <c r="BQ100" s="39">
        <f>SUM(S100:V100)</f>
        <v>9.6642331175956642</v>
      </c>
      <c r="BR100" s="39">
        <f>SUM(W100:Z100)</f>
        <v>14.818308278197179</v>
      </c>
      <c r="BS100" s="39">
        <f>SUM(AA100:AD100)</f>
        <v>20.740007665085301</v>
      </c>
      <c r="BT100" s="39">
        <f>SUM(AE100:AH100)</f>
        <v>17.391153074662782</v>
      </c>
      <c r="BU100" s="39">
        <f>SUM(AI100:AL100)</f>
        <v>13.410856898204266</v>
      </c>
      <c r="BV100" s="39">
        <f>SUM(AM100:AP100)</f>
        <v>9.5700402424180346</v>
      </c>
      <c r="BW100" s="39">
        <f>SUM(AQ100:AT100)</f>
        <v>13.968534492553982</v>
      </c>
      <c r="BX100" s="39">
        <f>SUM(AU100:AX100)</f>
        <v>18.119109404250363</v>
      </c>
      <c r="BY100" s="39">
        <f>SUM(AY100:BB100)</f>
        <v>23.277141317873522</v>
      </c>
      <c r="BZ100" s="35"/>
    </row>
    <row r="101" spans="2:139">
      <c r="BE101" s="1"/>
    </row>
    <row r="102" spans="2:139">
      <c r="B102" s="1" t="s">
        <v>139</v>
      </c>
      <c r="C102" s="79">
        <f t="shared" ref="C102:AX102" si="152">C96/C41</f>
        <v>1.6382699868938401E-4</v>
      </c>
      <c r="D102" s="79">
        <f t="shared" si="152"/>
        <v>5.21131236097871E-2</v>
      </c>
      <c r="E102" s="79">
        <f t="shared" si="152"/>
        <v>0.15558467081559121</v>
      </c>
      <c r="F102" s="79">
        <f t="shared" si="152"/>
        <v>0.19554978073737209</v>
      </c>
      <c r="G102" s="79">
        <f t="shared" si="152"/>
        <v>-6.8741450068399448E-2</v>
      </c>
      <c r="H102" s="79">
        <f t="shared" si="152"/>
        <v>9.4717668488160295E-2</v>
      </c>
      <c r="I102" s="79">
        <f t="shared" si="152"/>
        <v>0.15591577540106952</v>
      </c>
      <c r="J102" s="79">
        <f t="shared" si="152"/>
        <v>0.24394237066142763</v>
      </c>
      <c r="K102" s="79">
        <f t="shared" si="152"/>
        <v>-0.10978680543897935</v>
      </c>
      <c r="L102" s="79">
        <f t="shared" si="152"/>
        <v>0.10617367706919946</v>
      </c>
      <c r="M102" s="79">
        <f t="shared" si="152"/>
        <v>9.3159391202542227E-2</v>
      </c>
      <c r="N102" s="79">
        <f t="shared" si="152"/>
        <v>0.28679311556023884</v>
      </c>
      <c r="O102" s="79">
        <f t="shared" si="152"/>
        <v>-1.0073875083948958E-2</v>
      </c>
      <c r="P102" s="79">
        <f t="shared" si="152"/>
        <v>0.10066666666666667</v>
      </c>
      <c r="Q102" s="79">
        <f t="shared" si="152"/>
        <v>0.1199025182778229</v>
      </c>
      <c r="R102" s="79">
        <f t="shared" si="152"/>
        <v>0.23214556482183471</v>
      </c>
      <c r="S102" s="79">
        <f t="shared" si="152"/>
        <v>-6.8486739469578783E-2</v>
      </c>
      <c r="T102" s="79">
        <f t="shared" si="152"/>
        <v>7.8325351459910403E-2</v>
      </c>
      <c r="U102" s="79">
        <f t="shared" si="152"/>
        <v>0.14279190135484854</v>
      </c>
      <c r="V102" s="79">
        <f t="shared" si="152"/>
        <v>0.24526862026862026</v>
      </c>
      <c r="W102" s="79">
        <f t="shared" si="152"/>
        <v>-3.5189309576837413E-2</v>
      </c>
      <c r="X102" s="79">
        <f t="shared" si="152"/>
        <v>0.12291052114060963</v>
      </c>
      <c r="Y102" s="79">
        <f t="shared" si="152"/>
        <v>0.10043290043290043</v>
      </c>
      <c r="Z102" s="79">
        <f t="shared" si="152"/>
        <v>0.29144188327611575</v>
      </c>
      <c r="AA102" s="79">
        <f t="shared" si="152"/>
        <v>-0.1114910245451215</v>
      </c>
      <c r="AB102" s="79">
        <f t="shared" si="152"/>
        <v>0.19004257332071903</v>
      </c>
      <c r="AC102" s="79">
        <f t="shared" si="152"/>
        <v>0.13439528023598821</v>
      </c>
      <c r="AD102" s="79">
        <f t="shared" si="152"/>
        <v>0.34285059052860911</v>
      </c>
      <c r="AE102" s="79">
        <f t="shared" si="152"/>
        <v>-0.11519721577726218</v>
      </c>
      <c r="AF102" s="79">
        <f t="shared" si="152"/>
        <v>0.2785907248986943</v>
      </c>
      <c r="AG102" s="79">
        <f t="shared" si="152"/>
        <v>0.15644610811405923</v>
      </c>
      <c r="AH102" s="79">
        <f t="shared" si="152"/>
        <v>0.1372894633764199</v>
      </c>
      <c r="AI102" s="79">
        <f t="shared" si="152"/>
        <v>1.0920607185759528E-3</v>
      </c>
      <c r="AJ102" s="79">
        <f t="shared" si="152"/>
        <v>0.12020544202819364</v>
      </c>
      <c r="AK102" s="79">
        <f t="shared" si="152"/>
        <v>0.11639908256880734</v>
      </c>
      <c r="AL102" s="79">
        <f t="shared" si="152"/>
        <v>0.16691746729945595</v>
      </c>
      <c r="AM102" s="79">
        <f t="shared" si="152"/>
        <v>-5.5473456860293278E-2</v>
      </c>
      <c r="AN102" s="79">
        <f t="shared" si="152"/>
        <v>-2.2383820020452222E-2</v>
      </c>
      <c r="AO102" s="79">
        <f t="shared" si="152"/>
        <v>0.14881284137777281</v>
      </c>
      <c r="AP102" s="79">
        <f t="shared" si="152"/>
        <v>0.22435961327618859</v>
      </c>
      <c r="AQ102" s="79">
        <f t="shared" si="152"/>
        <v>-7.5475755295129551E-2</v>
      </c>
      <c r="AR102" s="79">
        <f t="shared" si="152"/>
        <v>9.5969089390142023E-2</v>
      </c>
      <c r="AS102" s="79">
        <f t="shared" si="152"/>
        <v>0.12562659846547314</v>
      </c>
      <c r="AT102" s="79">
        <f t="shared" si="152"/>
        <v>0.22842639593908629</v>
      </c>
      <c r="AU102" s="79">
        <f t="shared" si="152"/>
        <v>-6.9673344517911767E-2</v>
      </c>
      <c r="AV102" s="79">
        <f t="shared" si="152"/>
        <v>0.13945977686435701</v>
      </c>
      <c r="AW102" s="79">
        <f t="shared" si="152"/>
        <v>0.1091436574629852</v>
      </c>
      <c r="AX102" s="79">
        <f t="shared" si="152"/>
        <v>0.24125023395096387</v>
      </c>
      <c r="AY102" s="79">
        <f t="shared" ref="AY102:BC102" si="153">AY96/AY41</f>
        <v>-0.16529362061681455</v>
      </c>
      <c r="AZ102" s="79">
        <f t="shared" si="153"/>
        <v>8.3856632209448362E-2</v>
      </c>
      <c r="BA102" s="79">
        <f t="shared" si="153"/>
        <v>0.14938117624484312</v>
      </c>
      <c r="BB102" s="79">
        <f t="shared" si="153"/>
        <v>0.33273565573770492</v>
      </c>
      <c r="BC102" s="79">
        <f t="shared" si="153"/>
        <v>-0.16759437303916608</v>
      </c>
      <c r="BD102" s="79">
        <f>BD96/BD41</f>
        <v>0.11769032732622288</v>
      </c>
      <c r="BE102" s="79">
        <f>BE96/BE41</f>
        <v>0.12308937241503327</v>
      </c>
      <c r="BM102" s="79">
        <f t="shared" ref="BM102:BY102" si="154">BM96/BM41</f>
        <v>0.10068529256721138</v>
      </c>
      <c r="BN102" s="79">
        <f t="shared" si="154"/>
        <v>0.10813628591684391</v>
      </c>
      <c r="BO102" s="79">
        <f t="shared" si="154"/>
        <v>9.1898325257162294E-2</v>
      </c>
      <c r="BP102" s="79">
        <f t="shared" si="154"/>
        <v>0.11385898162389703</v>
      </c>
      <c r="BQ102" s="79">
        <f t="shared" si="154"/>
        <v>0.1004845408398708</v>
      </c>
      <c r="BR102" s="79">
        <f t="shared" si="154"/>
        <v>0.12716398072769564</v>
      </c>
      <c r="BS102" s="79">
        <f t="shared" si="154"/>
        <v>0.14251942909488491</v>
      </c>
      <c r="BT102" s="79">
        <f t="shared" si="154"/>
        <v>0.1169868746433327</v>
      </c>
      <c r="BU102" s="79">
        <f t="shared" si="154"/>
        <v>0.10000841113634452</v>
      </c>
      <c r="BV102" s="79">
        <f t="shared" si="154"/>
        <v>7.9257964045680571E-2</v>
      </c>
      <c r="BW102" s="79">
        <f t="shared" si="154"/>
        <v>9.8625604479511325E-2</v>
      </c>
      <c r="BX102" s="79">
        <f t="shared" si="154"/>
        <v>0.10693831793921965</v>
      </c>
      <c r="BY102" s="79">
        <f t="shared" si="154"/>
        <v>0.11338608952662439</v>
      </c>
    </row>
    <row r="103" spans="2:139">
      <c r="B103" s="1" t="s">
        <v>140</v>
      </c>
      <c r="C103" s="79">
        <f t="shared" ref="C103:AX103" si="155">C98/C41</f>
        <v>-6.3892529488859765E-3</v>
      </c>
      <c r="D103" s="79">
        <f t="shared" si="155"/>
        <v>4.4486812837623131E-2</v>
      </c>
      <c r="E103" s="79">
        <f t="shared" si="155"/>
        <v>0.14084507042253522</v>
      </c>
      <c r="F103" s="79">
        <f t="shared" si="155"/>
        <v>0.16534026311515349</v>
      </c>
      <c r="G103" s="79">
        <f t="shared" si="155"/>
        <v>-7.900136798905609E-2</v>
      </c>
      <c r="H103" s="79">
        <f t="shared" si="155"/>
        <v>7.5509190263288631E-2</v>
      </c>
      <c r="I103" s="79">
        <f t="shared" si="155"/>
        <v>0.13770053475935828</v>
      </c>
      <c r="J103" s="79">
        <f t="shared" si="155"/>
        <v>0.19875573018991485</v>
      </c>
      <c r="K103" s="79">
        <f t="shared" si="155"/>
        <v>-0.1294275642101729</v>
      </c>
      <c r="L103" s="79">
        <f t="shared" si="155"/>
        <v>8.6668928086838529E-2</v>
      </c>
      <c r="M103" s="79">
        <f t="shared" si="155"/>
        <v>7.6099682221107204E-2</v>
      </c>
      <c r="N103" s="79">
        <f t="shared" si="155"/>
        <v>0.26273270108886548</v>
      </c>
      <c r="O103" s="79">
        <f t="shared" si="155"/>
        <v>-6.0107454667562121E-2</v>
      </c>
      <c r="P103" s="79">
        <f t="shared" si="155"/>
        <v>7.1833333333333332E-2</v>
      </c>
      <c r="Q103" s="79">
        <f t="shared" si="155"/>
        <v>9.7644191714053613E-2</v>
      </c>
      <c r="R103" s="79">
        <f t="shared" si="155"/>
        <v>0.18483699772554965</v>
      </c>
      <c r="S103" s="79">
        <f t="shared" si="155"/>
        <v>-0.10218408736349453</v>
      </c>
      <c r="T103" s="79">
        <f t="shared" si="155"/>
        <v>4.4801483083577939E-2</v>
      </c>
      <c r="U103" s="79">
        <f t="shared" si="155"/>
        <v>0.10975795402648805</v>
      </c>
      <c r="V103" s="79">
        <f t="shared" si="155"/>
        <v>0.20283882783882784</v>
      </c>
      <c r="W103" s="79">
        <f t="shared" si="155"/>
        <v>-8.0475129918337052E-2</v>
      </c>
      <c r="X103" s="79">
        <f t="shared" si="155"/>
        <v>9.4957156904059564E-2</v>
      </c>
      <c r="Y103" s="79">
        <f t="shared" si="155"/>
        <v>6.5553494124922701E-2</v>
      </c>
      <c r="Z103" s="79">
        <f t="shared" si="155"/>
        <v>0.2346738597351643</v>
      </c>
      <c r="AA103" s="79">
        <f t="shared" si="155"/>
        <v>-0.14617169373549885</v>
      </c>
      <c r="AB103" s="79">
        <f t="shared" si="155"/>
        <v>0.16024124881740776</v>
      </c>
      <c r="AC103" s="79">
        <f t="shared" si="155"/>
        <v>0.10407079646017699</v>
      </c>
      <c r="AD103" s="79">
        <f t="shared" si="155"/>
        <v>0.28884302258915262</v>
      </c>
      <c r="AE103" s="79">
        <f t="shared" si="155"/>
        <v>-0.14675174013921113</v>
      </c>
      <c r="AF103" s="79">
        <f t="shared" si="155"/>
        <v>0.24831157136425033</v>
      </c>
      <c r="AG103" s="79">
        <f t="shared" si="155"/>
        <v>0.12484861829791918</v>
      </c>
      <c r="AH103" s="79">
        <f t="shared" si="155"/>
        <v>7.9318448883666279E-2</v>
      </c>
      <c r="AI103" s="79">
        <f t="shared" si="155"/>
        <v>-2.1295184012231079E-2</v>
      </c>
      <c r="AJ103" s="79">
        <f t="shared" si="155"/>
        <v>9.5071576876844061E-2</v>
      </c>
      <c r="AK103" s="79">
        <f t="shared" si="155"/>
        <v>8.8073394495412849E-2</v>
      </c>
      <c r="AL103" s="79">
        <f t="shared" si="155"/>
        <v>8.206968399120268E-2</v>
      </c>
      <c r="AM103" s="79">
        <f t="shared" si="155"/>
        <v>-8.3210185290439928E-2</v>
      </c>
      <c r="AN103" s="79">
        <f t="shared" si="155"/>
        <v>-5.2266787865015339E-2</v>
      </c>
      <c r="AO103" s="79">
        <f t="shared" si="155"/>
        <v>0.115817634600379</v>
      </c>
      <c r="AP103" s="79">
        <f t="shared" si="155"/>
        <v>0.16136748729193662</v>
      </c>
      <c r="AQ103" s="79">
        <f t="shared" si="155"/>
        <v>-0.10869798946349855</v>
      </c>
      <c r="AR103" s="79">
        <f t="shared" si="155"/>
        <v>6.4223057644110279E-2</v>
      </c>
      <c r="AS103" s="79">
        <f t="shared" si="155"/>
        <v>8.8900255754475702E-2</v>
      </c>
      <c r="AT103" s="79">
        <f t="shared" si="155"/>
        <v>0.15294228238390675</v>
      </c>
      <c r="AU103" s="79">
        <f t="shared" si="155"/>
        <v>-9.6318957860455939E-2</v>
      </c>
      <c r="AV103" s="79">
        <f t="shared" si="155"/>
        <v>0.10814249363867684</v>
      </c>
      <c r="AW103" s="79">
        <f t="shared" si="155"/>
        <v>7.302921168467387E-2</v>
      </c>
      <c r="AX103" s="79">
        <f t="shared" si="155"/>
        <v>0.16488863934119408</v>
      </c>
      <c r="AY103" s="79">
        <f t="shared" ref="AY103:BC103" si="156">AY98/AY41</f>
        <v>-0.19233206590621038</v>
      </c>
      <c r="AZ103" s="79">
        <f t="shared" si="156"/>
        <v>6.1539947831127428E-2</v>
      </c>
      <c r="BA103" s="79">
        <f t="shared" si="156"/>
        <v>0.12050273433752279</v>
      </c>
      <c r="BB103" s="79">
        <f t="shared" si="156"/>
        <v>0.27621243169398907</v>
      </c>
      <c r="BC103" s="79">
        <f t="shared" si="156"/>
        <v>-0.18449549640724622</v>
      </c>
      <c r="BD103" s="79">
        <f>BD98/BD41</f>
        <v>8.9922765722692172E-2</v>
      </c>
      <c r="BE103" s="79">
        <f>BE98/BE41</f>
        <v>5.3407660492717141E-2</v>
      </c>
      <c r="BM103" s="79">
        <f t="shared" ref="BM103:BY103" si="157">BM98/BM41</f>
        <v>8.5925144965735376E-2</v>
      </c>
      <c r="BN103" s="79">
        <f t="shared" si="157"/>
        <v>8.4740814879686391E-2</v>
      </c>
      <c r="BO103" s="79">
        <f t="shared" si="157"/>
        <v>7.1877922298733313E-2</v>
      </c>
      <c r="BP103" s="79">
        <f t="shared" si="157"/>
        <v>7.6621063709220436E-2</v>
      </c>
      <c r="BQ103" s="79">
        <f t="shared" si="157"/>
        <v>6.4797723427165055E-2</v>
      </c>
      <c r="BR103" s="79">
        <f t="shared" si="157"/>
        <v>8.5662070111314173E-2</v>
      </c>
      <c r="BS103" s="79">
        <f t="shared" si="157"/>
        <v>0.10516828698915516</v>
      </c>
      <c r="BT103" s="79">
        <f t="shared" si="157"/>
        <v>7.8398869534498219E-2</v>
      </c>
      <c r="BU103" s="79">
        <f t="shared" si="157"/>
        <v>6.033588471135784E-2</v>
      </c>
      <c r="BV103" s="79">
        <f t="shared" si="157"/>
        <v>4.005245614993716E-2</v>
      </c>
      <c r="BW103" s="79">
        <f t="shared" si="157"/>
        <v>5.3448714685670654E-2</v>
      </c>
      <c r="BX103" s="79">
        <f t="shared" si="157"/>
        <v>6.387541734701338E-2</v>
      </c>
      <c r="BY103" s="79">
        <f t="shared" si="157"/>
        <v>7.8824426753110549E-2</v>
      </c>
    </row>
    <row r="104" spans="2:139">
      <c r="B104" s="1" t="s">
        <v>141</v>
      </c>
      <c r="C104" s="79">
        <f t="shared" ref="C104:AX104" si="158">C97/C41</f>
        <v>-6.55307994757536E-3</v>
      </c>
      <c r="D104" s="79">
        <f t="shared" si="158"/>
        <v>-7.6263107721639654E-3</v>
      </c>
      <c r="E104" s="79">
        <f t="shared" si="158"/>
        <v>-1.473960039305601E-2</v>
      </c>
      <c r="F104" s="79">
        <f t="shared" si="158"/>
        <v>-3.0209517622218612E-2</v>
      </c>
      <c r="G104" s="79">
        <f t="shared" si="158"/>
        <v>-1.0259917920656635E-2</v>
      </c>
      <c r="H104" s="79">
        <f t="shared" si="158"/>
        <v>-1.9208478224871667E-2</v>
      </c>
      <c r="I104" s="79">
        <f t="shared" si="158"/>
        <v>-1.821524064171123E-2</v>
      </c>
      <c r="J104" s="79">
        <f t="shared" si="158"/>
        <v>-4.5186640471512773E-2</v>
      </c>
      <c r="K104" s="79">
        <f t="shared" si="158"/>
        <v>-1.9640758771193555E-2</v>
      </c>
      <c r="L104" s="79">
        <f t="shared" si="158"/>
        <v>-1.9504748982360924E-2</v>
      </c>
      <c r="M104" s="79">
        <f t="shared" si="158"/>
        <v>-1.7059708981435023E-2</v>
      </c>
      <c r="N104" s="79">
        <f t="shared" si="158"/>
        <v>-2.4060414471373377E-2</v>
      </c>
      <c r="O104" s="79">
        <f t="shared" si="158"/>
        <v>-5.0033579583613166E-2</v>
      </c>
      <c r="P104" s="79">
        <f t="shared" si="158"/>
        <v>-2.8833333333333332E-2</v>
      </c>
      <c r="Q104" s="79">
        <f t="shared" si="158"/>
        <v>-2.2258326563769294E-2</v>
      </c>
      <c r="R104" s="79">
        <f t="shared" si="158"/>
        <v>-4.7308567096285066E-2</v>
      </c>
      <c r="S104" s="79">
        <f t="shared" si="158"/>
        <v>-3.3697347893915756E-2</v>
      </c>
      <c r="T104" s="79">
        <f t="shared" si="158"/>
        <v>-3.3523868376332457E-2</v>
      </c>
      <c r="U104" s="79">
        <f t="shared" si="158"/>
        <v>-3.3033947328360479E-2</v>
      </c>
      <c r="V104" s="79">
        <f t="shared" si="158"/>
        <v>-4.2429792429792432E-2</v>
      </c>
      <c r="W104" s="79">
        <f t="shared" si="158"/>
        <v>-4.5285820341499632E-2</v>
      </c>
      <c r="X104" s="79">
        <f t="shared" si="158"/>
        <v>-2.7953364236550076E-2</v>
      </c>
      <c r="Y104" s="79">
        <f t="shared" si="158"/>
        <v>-3.4879406307977735E-2</v>
      </c>
      <c r="Z104" s="79">
        <f t="shared" si="158"/>
        <v>-5.6768023540951444E-2</v>
      </c>
      <c r="AA104" s="79">
        <f t="shared" si="158"/>
        <v>-3.4680669190377336E-2</v>
      </c>
      <c r="AB104" s="79">
        <f t="shared" si="158"/>
        <v>-2.9801324503311258E-2</v>
      </c>
      <c r="AC104" s="79">
        <f t="shared" si="158"/>
        <v>-3.032448377581121E-2</v>
      </c>
      <c r="AD104" s="79">
        <f t="shared" si="158"/>
        <v>-5.4007567939456484E-2</v>
      </c>
      <c r="AE104" s="79">
        <f t="shared" si="158"/>
        <v>-3.1554524361948957E-2</v>
      </c>
      <c r="AF104" s="79">
        <f t="shared" si="158"/>
        <v>-3.0279153534443944E-2</v>
      </c>
      <c r="AG104" s="79">
        <f t="shared" si="158"/>
        <v>-3.1597489816140044E-2</v>
      </c>
      <c r="AH104" s="79">
        <f t="shared" si="158"/>
        <v>-5.7971014492753624E-2</v>
      </c>
      <c r="AI104" s="79">
        <f t="shared" si="158"/>
        <v>-2.2387244730807034E-2</v>
      </c>
      <c r="AJ104" s="79">
        <f t="shared" si="158"/>
        <v>-2.513386515134958E-2</v>
      </c>
      <c r="AK104" s="79">
        <f t="shared" si="158"/>
        <v>-2.8325688073394497E-2</v>
      </c>
      <c r="AL104" s="79">
        <f t="shared" si="158"/>
        <v>-8.4847783308253266E-2</v>
      </c>
      <c r="AM104" s="79">
        <f t="shared" si="158"/>
        <v>-2.7736728430146639E-2</v>
      </c>
      <c r="AN104" s="79">
        <f t="shared" si="158"/>
        <v>-2.9882967844563117E-2</v>
      </c>
      <c r="AO104" s="79">
        <f t="shared" si="158"/>
        <v>-3.2995206777393822E-2</v>
      </c>
      <c r="AP104" s="79">
        <f t="shared" si="158"/>
        <v>-6.2992125984251968E-2</v>
      </c>
      <c r="AQ104" s="79">
        <f t="shared" si="158"/>
        <v>-3.3222234168368996E-2</v>
      </c>
      <c r="AR104" s="79">
        <f t="shared" si="158"/>
        <v>-3.1746031746031744E-2</v>
      </c>
      <c r="AS104" s="79">
        <f t="shared" si="158"/>
        <v>-3.6726342710997444E-2</v>
      </c>
      <c r="AT104" s="79">
        <f t="shared" si="158"/>
        <v>-7.5484113555179547E-2</v>
      </c>
      <c r="AU104" s="79">
        <f t="shared" si="158"/>
        <v>-2.6645613342544162E-2</v>
      </c>
      <c r="AV104" s="79">
        <f t="shared" si="158"/>
        <v>-3.131728322568017E-2</v>
      </c>
      <c r="AW104" s="79">
        <f t="shared" si="158"/>
        <v>-3.6114445778311327E-2</v>
      </c>
      <c r="AX104" s="79">
        <f t="shared" si="158"/>
        <v>-7.6361594609769795E-2</v>
      </c>
      <c r="AY104" s="79">
        <f t="shared" ref="AY104:BC104" si="159">AY97/AY41</f>
        <v>-2.7038445289395859E-2</v>
      </c>
      <c r="AZ104" s="79">
        <f t="shared" si="159"/>
        <v>-2.2316684378320937E-2</v>
      </c>
      <c r="BA104" s="79">
        <f t="shared" si="159"/>
        <v>-2.8878441907320349E-2</v>
      </c>
      <c r="BB104" s="79">
        <f t="shared" si="159"/>
        <v>-5.6523224043715847E-2</v>
      </c>
      <c r="BC104" s="79">
        <f t="shared" si="159"/>
        <v>-1.6901123368080154E-2</v>
      </c>
      <c r="BD104" s="79">
        <f>BD97/BD41</f>
        <v>-2.7767561603530711E-2</v>
      </c>
      <c r="BE104" s="79">
        <f>BE97/BE41</f>
        <v>-6.9681711922316134E-2</v>
      </c>
      <c r="BM104" s="79">
        <f t="shared" ref="BM104:BY104" si="160">BM97/BM41</f>
        <v>-1.4760147601476014E-2</v>
      </c>
      <c r="BN104" s="79">
        <f t="shared" si="160"/>
        <v>-2.3395471037157514E-2</v>
      </c>
      <c r="BO104" s="79">
        <f t="shared" si="160"/>
        <v>-2.0020402958428971E-2</v>
      </c>
      <c r="BP104" s="79">
        <f t="shared" si="160"/>
        <v>-3.7237917914676594E-2</v>
      </c>
      <c r="BQ104" s="79">
        <f t="shared" si="160"/>
        <v>-3.568681741270574E-2</v>
      </c>
      <c r="BR104" s="79">
        <f t="shared" si="160"/>
        <v>-4.1501910616381456E-2</v>
      </c>
      <c r="BS104" s="79">
        <f t="shared" si="160"/>
        <v>-3.7351142105729734E-2</v>
      </c>
      <c r="BT104" s="79">
        <f t="shared" si="160"/>
        <v>-3.8588005108834478E-2</v>
      </c>
      <c r="BU104" s="79">
        <f t="shared" si="160"/>
        <v>-3.9672526424986684E-2</v>
      </c>
      <c r="BV104" s="79">
        <f t="shared" si="160"/>
        <v>-3.9205507895743404E-2</v>
      </c>
      <c r="BW104" s="79">
        <f t="shared" si="160"/>
        <v>-4.5176889793840672E-2</v>
      </c>
      <c r="BX104" s="79">
        <f t="shared" si="160"/>
        <v>-4.3062900592206271E-2</v>
      </c>
      <c r="BY104" s="79">
        <f t="shared" si="160"/>
        <v>-3.456166277351385E-2</v>
      </c>
    </row>
  </sheetData>
  <mergeCells count="1">
    <mergeCell ref="CR73:CS73"/>
  </mergeCells>
  <phoneticPr fontId="19" type="noConversion"/>
  <conditionalFormatting sqref="CR7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Sell",CR73)))</formula>
    </cfRule>
    <cfRule type="containsText" dxfId="3" priority="3" operator="containsText" text="Sell">
      <formula>NOT(ISERROR(SEARCH("Sell",CR73)))</formula>
    </cfRule>
    <cfRule type="containsText" dxfId="2" priority="4" operator="containsText" text="Hold">
      <formula>NOT(ISERROR(SEARCH("Hold",CR73)))</formula>
    </cfRule>
    <cfRule type="beginsWith" dxfId="1" priority="5" operator="beginsWith" text="Buy">
      <formula>LEFT(CR73,LEN("Buy"))="Buy"</formula>
    </cfRule>
    <cfRule type="beginsWith" dxfId="0" priority="6" operator="beginsWith" text="Strong">
      <formula>LEFT(CR73,LEN("Strong"))="Strong"</formula>
    </cfRule>
  </conditionalFormatting>
  <pageMargins left="0.7" right="0.7" top="0.75" bottom="0.75" header="0.3" footer="0.3"/>
  <ignoredErrors>
    <ignoredError sqref="CA16:CI16 BA17:BC17 BA29:BC29 BV11:BY14 CB88:CK88 BV16:BY17" evalError="1"/>
    <ignoredError sqref="BM99:BY99 BZ44:CI44" formula="1"/>
    <ignoredError sqref="AT86:BD93 BM41:BY53 BM96:BY97" formulaRange="1"/>
    <ignoredError sqref="AT41:AT50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93"/>
  <sheetViews>
    <sheetView tabSelected="1" topLeftCell="P88" zoomScale="70" zoomScaleNormal="70" workbookViewId="0">
      <selection activeCell="AG133" sqref="AG133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96</v>
      </c>
      <c r="AL2" s="2" t="s">
        <v>1492</v>
      </c>
    </row>
    <row r="35" spans="16:38" ht="15">
      <c r="AL35" s="2" t="s">
        <v>1491</v>
      </c>
    </row>
    <row r="36" spans="16:38" ht="15">
      <c r="P36" s="2" t="s">
        <v>1490</v>
      </c>
      <c r="AL36" s="2" t="s">
        <v>75</v>
      </c>
    </row>
    <row r="69" spans="16:38" ht="15">
      <c r="P69" s="2" t="s">
        <v>1493</v>
      </c>
      <c r="AL69" s="2" t="s">
        <v>76</v>
      </c>
    </row>
    <row r="101" spans="16:38">
      <c r="Q101" s="1" t="s">
        <v>15</v>
      </c>
      <c r="R101" s="1" t="s">
        <v>16</v>
      </c>
    </row>
    <row r="102" spans="16:38">
      <c r="R102" s="1" t="s">
        <v>17</v>
      </c>
    </row>
    <row r="103" spans="16:38">
      <c r="R103" s="1" t="s">
        <v>18</v>
      </c>
    </row>
    <row r="105" spans="16:38" ht="15">
      <c r="P105" s="2" t="s">
        <v>1493</v>
      </c>
      <c r="AL105" s="2" t="s">
        <v>77</v>
      </c>
    </row>
    <row r="137" spans="16:38">
      <c r="Q137" s="1" t="s">
        <v>15</v>
      </c>
      <c r="R137" s="1" t="s">
        <v>16</v>
      </c>
    </row>
    <row r="138" spans="16:38" ht="15">
      <c r="R138" s="1" t="s">
        <v>17</v>
      </c>
      <c r="AL138" s="2" t="s">
        <v>78</v>
      </c>
    </row>
    <row r="139" spans="16:38">
      <c r="R139" s="1" t="s">
        <v>18</v>
      </c>
    </row>
    <row r="141" spans="16:38" ht="15">
      <c r="P141" s="2" t="s">
        <v>99</v>
      </c>
    </row>
    <row r="170" spans="16:18">
      <c r="Q170" s="1" t="s">
        <v>15</v>
      </c>
      <c r="R170" s="1" t="s">
        <v>16</v>
      </c>
    </row>
    <row r="171" spans="16:18">
      <c r="R171" s="1" t="s">
        <v>17</v>
      </c>
    </row>
    <row r="172" spans="16:18">
      <c r="R172" s="1" t="s">
        <v>18</v>
      </c>
    </row>
    <row r="174" spans="16:18" ht="15">
      <c r="P174" s="2" t="s">
        <v>98</v>
      </c>
    </row>
    <row r="190" ht="15" customHeight="1"/>
    <row r="203" spans="17:18">
      <c r="Q203" s="1" t="s">
        <v>15</v>
      </c>
      <c r="R203" s="1" t="s">
        <v>16</v>
      </c>
    </row>
    <row r="204" spans="17:18">
      <c r="R204" s="1" t="s">
        <v>17</v>
      </c>
    </row>
    <row r="205" spans="17:18">
      <c r="R205" s="1" t="s">
        <v>18</v>
      </c>
    </row>
    <row r="220" spans="1:15">
      <c r="A220" s="1" t="s">
        <v>117</v>
      </c>
      <c r="I220" s="1" t="s">
        <v>1488</v>
      </c>
    </row>
    <row r="221" spans="1:15">
      <c r="A221" s="1" t="s">
        <v>1487</v>
      </c>
      <c r="I221" s="1" t="s">
        <v>1487</v>
      </c>
    </row>
    <row r="222" spans="1:15">
      <c r="A222" s="24" t="s">
        <v>19</v>
      </c>
      <c r="B222" s="24" t="s">
        <v>20</v>
      </c>
      <c r="C222" s="24" t="s">
        <v>21</v>
      </c>
      <c r="D222" s="24" t="s">
        <v>22</v>
      </c>
      <c r="E222" s="24" t="s">
        <v>23</v>
      </c>
      <c r="F222" s="24" t="s">
        <v>24</v>
      </c>
      <c r="G222" s="24" t="s">
        <v>25</v>
      </c>
      <c r="I222" s="24" t="s">
        <v>19</v>
      </c>
      <c r="J222" s="24" t="s">
        <v>20</v>
      </c>
      <c r="K222" s="24" t="s">
        <v>21</v>
      </c>
      <c r="L222" s="24" t="s">
        <v>22</v>
      </c>
      <c r="M222" s="24" t="s">
        <v>23</v>
      </c>
      <c r="N222" s="24" t="s">
        <v>24</v>
      </c>
      <c r="O222" s="24" t="s">
        <v>25</v>
      </c>
    </row>
    <row r="223" spans="1:15">
      <c r="A223" s="91">
        <v>605.40586363574062</v>
      </c>
      <c r="B223" s="91">
        <v>605.88039711910903</v>
      </c>
      <c r="C223" s="91">
        <v>601.3426706843984</v>
      </c>
      <c r="D223" s="91">
        <v>602.48945993587211</v>
      </c>
      <c r="E223" s="92">
        <v>6556087.5028592665</v>
      </c>
      <c r="F223" s="90" t="s">
        <v>231</v>
      </c>
      <c r="G223" s="25">
        <f>A223/D223-1</f>
        <v>4.8405887468618847E-3</v>
      </c>
      <c r="I223" s="91">
        <v>599.54549355297502</v>
      </c>
      <c r="J223" s="91">
        <v>600.33266022211819</v>
      </c>
      <c r="K223" s="91">
        <v>583.58568933609513</v>
      </c>
      <c r="L223" s="91">
        <v>583.58568933609513</v>
      </c>
      <c r="M223" s="92">
        <v>815710.35102240788</v>
      </c>
      <c r="N223" s="90" t="s">
        <v>231</v>
      </c>
      <c r="O223" s="25">
        <f>I223/L223-1</f>
        <v>2.7347833417636247E-2</v>
      </c>
    </row>
    <row r="224" spans="1:15">
      <c r="A224" s="91">
        <v>603.18148793245109</v>
      </c>
      <c r="B224" s="91">
        <v>604.71383563916152</v>
      </c>
      <c r="C224" s="91">
        <v>601.55027908337217</v>
      </c>
      <c r="D224" s="91">
        <v>603.83397147208268</v>
      </c>
      <c r="E224" s="92">
        <v>5724023.4782149876</v>
      </c>
      <c r="F224" s="90" t="s">
        <v>232</v>
      </c>
      <c r="G224" s="25">
        <f t="shared" ref="G224:G287" si="0">A224/D224-1</f>
        <v>-1.0805677892565813E-3</v>
      </c>
      <c r="I224" s="91">
        <v>584.46141225551696</v>
      </c>
      <c r="J224" s="91">
        <v>594.43382999522578</v>
      </c>
      <c r="K224" s="91">
        <v>582.02119558117283</v>
      </c>
      <c r="L224" s="91">
        <v>588.71211226889056</v>
      </c>
      <c r="M224" s="92">
        <v>789810.88042847544</v>
      </c>
      <c r="N224" s="90" t="s">
        <v>232</v>
      </c>
      <c r="O224" s="25">
        <f t="shared" ref="O224:O287" si="1">I224/L224-1</f>
        <v>-7.2203372833479218E-3</v>
      </c>
    </row>
    <row r="225" spans="1:21">
      <c r="A225" s="91">
        <v>601.49096241400605</v>
      </c>
      <c r="B225" s="91">
        <v>602.02329019639694</v>
      </c>
      <c r="C225" s="91">
        <v>597.94703949234895</v>
      </c>
      <c r="D225" s="91">
        <v>599.39122505013131</v>
      </c>
      <c r="E225" s="92">
        <v>6531431.3380089449</v>
      </c>
      <c r="F225" s="90" t="s">
        <v>233</v>
      </c>
      <c r="G225" s="25">
        <f t="shared" si="0"/>
        <v>3.5031166225349963E-3</v>
      </c>
      <c r="I225" s="91">
        <v>584.98291017382439</v>
      </c>
      <c r="J225" s="91">
        <v>585.41585184185317</v>
      </c>
      <c r="K225" s="91">
        <v>577.43594973341328</v>
      </c>
      <c r="L225" s="91">
        <v>580.03359974158604</v>
      </c>
      <c r="M225" s="92">
        <v>519347.19294573029</v>
      </c>
      <c r="N225" s="90" t="s">
        <v>233</v>
      </c>
      <c r="O225" s="25">
        <f t="shared" si="1"/>
        <v>8.5327995385842126E-3</v>
      </c>
    </row>
    <row r="226" spans="1:21">
      <c r="A226" s="91">
        <v>597.97168429708927</v>
      </c>
      <c r="B226" s="91">
        <v>599.29264583117003</v>
      </c>
      <c r="C226" s="91">
        <v>594.77771760274447</v>
      </c>
      <c r="D226" s="91">
        <v>598.00125806277765</v>
      </c>
      <c r="E226" s="92">
        <v>7027592.7046274282</v>
      </c>
      <c r="F226" s="90" t="s">
        <v>234</v>
      </c>
      <c r="G226" s="25">
        <f t="shared" si="0"/>
        <v>-4.9454353631572801E-5</v>
      </c>
      <c r="I226" s="91">
        <v>576.37327473006985</v>
      </c>
      <c r="J226" s="91">
        <v>584.22526225477395</v>
      </c>
      <c r="K226" s="91">
        <v>573.14097159490029</v>
      </c>
      <c r="L226" s="91">
        <v>580.53541849316491</v>
      </c>
      <c r="M226" s="92">
        <v>1062869.1899653058</v>
      </c>
      <c r="N226" s="90" t="s">
        <v>234</v>
      </c>
      <c r="O226" s="25">
        <f t="shared" si="1"/>
        <v>-7.1694915254236768E-3</v>
      </c>
    </row>
    <row r="227" spans="1:21">
      <c r="A227" s="91">
        <v>600.84033956886185</v>
      </c>
      <c r="B227" s="91">
        <v>604.03430626320653</v>
      </c>
      <c r="C227" s="91">
        <v>599.54895180046935</v>
      </c>
      <c r="D227" s="91">
        <v>603.92586912234913</v>
      </c>
      <c r="E227" s="92">
        <v>24106580.728073731</v>
      </c>
      <c r="F227" s="90" t="s">
        <v>235</v>
      </c>
      <c r="G227" s="25">
        <f t="shared" si="0"/>
        <v>-5.1091196970437514E-3</v>
      </c>
      <c r="I227" s="91">
        <v>576.86525389828432</v>
      </c>
      <c r="J227" s="91">
        <v>580.14183515859327</v>
      </c>
      <c r="K227" s="91">
        <v>567.74396011958663</v>
      </c>
      <c r="L227" s="91">
        <v>571.32556846418856</v>
      </c>
      <c r="M227" s="92">
        <v>796791.86706753215</v>
      </c>
      <c r="N227" s="90" t="s">
        <v>235</v>
      </c>
      <c r="O227" s="25">
        <f t="shared" si="1"/>
        <v>9.6961972995315282E-3</v>
      </c>
    </row>
    <row r="228" spans="1:21">
      <c r="A228" s="91">
        <v>602.85135563567144</v>
      </c>
      <c r="B228" s="91">
        <v>606.51850258103025</v>
      </c>
      <c r="C228" s="91">
        <v>601.66939080032603</v>
      </c>
      <c r="D228" s="91">
        <v>605.97138791579528</v>
      </c>
      <c r="E228" s="92">
        <v>10883179.145714741</v>
      </c>
      <c r="F228" s="90" t="s">
        <v>236</v>
      </c>
      <c r="G228" s="25">
        <f t="shared" si="0"/>
        <v>-5.148811218389393E-3</v>
      </c>
      <c r="I228" s="91">
        <v>567.82267678650101</v>
      </c>
      <c r="J228" s="91">
        <v>571.35016742259927</v>
      </c>
      <c r="K228" s="91">
        <v>561.91892676792645</v>
      </c>
      <c r="L228" s="91">
        <v>566.76000178315758</v>
      </c>
      <c r="M228" s="92">
        <v>666890.02542668849</v>
      </c>
      <c r="N228" s="90" t="s">
        <v>236</v>
      </c>
      <c r="O228" s="25">
        <f t="shared" si="1"/>
        <v>1.8750000000000711E-3</v>
      </c>
    </row>
    <row r="229" spans="1:21">
      <c r="A229" s="91">
        <v>606.02560648622398</v>
      </c>
      <c r="B229" s="91">
        <v>606.47907089344574</v>
      </c>
      <c r="C229" s="91">
        <v>601.83598968037052</v>
      </c>
      <c r="D229" s="91">
        <v>601.84584760226664</v>
      </c>
      <c r="E229" s="92">
        <v>11718075.190411</v>
      </c>
      <c r="F229" s="90" t="s">
        <v>237</v>
      </c>
      <c r="G229" s="25">
        <f t="shared" si="0"/>
        <v>6.9448994299941003E-3</v>
      </c>
      <c r="I229" s="91">
        <v>566.90759553362193</v>
      </c>
      <c r="J229" s="91">
        <v>568.3810731424245</v>
      </c>
      <c r="K229" s="91">
        <v>561.1120809320546</v>
      </c>
      <c r="L229" s="91">
        <v>564.48705802600648</v>
      </c>
      <c r="M229" s="92">
        <v>547755.91612545855</v>
      </c>
      <c r="N229" s="90" t="s">
        <v>237</v>
      </c>
      <c r="O229" s="25">
        <f t="shared" si="1"/>
        <v>4.2880301207968152E-3</v>
      </c>
    </row>
    <row r="230" spans="1:21">
      <c r="A230" s="91">
        <v>603.08794576117839</v>
      </c>
      <c r="B230" s="91">
        <v>603.96530080993364</v>
      </c>
      <c r="C230" s="91">
        <v>600.19957464561367</v>
      </c>
      <c r="D230" s="91">
        <v>601.94442682122792</v>
      </c>
      <c r="E230" s="92">
        <v>6153076.7477310635</v>
      </c>
      <c r="F230" s="90" t="s">
        <v>238</v>
      </c>
      <c r="G230" s="25">
        <f t="shared" si="0"/>
        <v>1.899708493007024E-3</v>
      </c>
      <c r="I230" s="91">
        <v>563.83764552396315</v>
      </c>
      <c r="J230" s="91">
        <v>566.90759553362193</v>
      </c>
      <c r="K230" s="91">
        <v>556.4284392506521</v>
      </c>
      <c r="L230" s="91">
        <v>562.73561218716259</v>
      </c>
      <c r="M230" s="92">
        <v>1502482.3158318112</v>
      </c>
      <c r="N230" s="90" t="s">
        <v>238</v>
      </c>
      <c r="O230" s="25">
        <f t="shared" si="1"/>
        <v>1.9583500900490769E-3</v>
      </c>
    </row>
    <row r="231" spans="1:21">
      <c r="A231" s="91">
        <v>600.28829594267881</v>
      </c>
      <c r="B231" s="91">
        <v>602.6246234320605</v>
      </c>
      <c r="C231" s="91">
        <v>598.44486454810328</v>
      </c>
      <c r="D231" s="91">
        <v>599.90383698872984</v>
      </c>
      <c r="E231" s="92">
        <v>11188189.677516753</v>
      </c>
      <c r="F231" s="90" t="s">
        <v>239</v>
      </c>
      <c r="G231" s="25">
        <f t="shared" si="0"/>
        <v>6.4086763618442788E-4</v>
      </c>
      <c r="I231" s="91">
        <v>564.54609552619218</v>
      </c>
      <c r="J231" s="91">
        <v>567.72428095285807</v>
      </c>
      <c r="K231" s="91">
        <v>559.20320175938218</v>
      </c>
      <c r="L231" s="91">
        <v>562.82416843744124</v>
      </c>
      <c r="M231" s="92">
        <v>795871.09637383802</v>
      </c>
      <c r="N231" s="90" t="s">
        <v>239</v>
      </c>
      <c r="O231" s="25">
        <f t="shared" si="1"/>
        <v>3.0594405594406293E-3</v>
      </c>
    </row>
    <row r="232" spans="1:21">
      <c r="A232" s="91">
        <v>597.478788202283</v>
      </c>
      <c r="B232" s="91">
        <v>599.68696270701514</v>
      </c>
      <c r="C232" s="91">
        <v>593.00329166144184</v>
      </c>
      <c r="D232" s="91">
        <v>598.21813234449235</v>
      </c>
      <c r="E232" s="92">
        <v>11781010.361386927</v>
      </c>
      <c r="F232" s="90" t="s">
        <v>240</v>
      </c>
      <c r="G232" s="25">
        <f t="shared" si="0"/>
        <v>-1.2359106189439029E-3</v>
      </c>
      <c r="I232" s="91">
        <v>567.82267678650101</v>
      </c>
      <c r="J232" s="91">
        <v>575.61562681101941</v>
      </c>
      <c r="K232" s="91">
        <v>567.1438439301985</v>
      </c>
      <c r="L232" s="91">
        <v>569.81027262608779</v>
      </c>
      <c r="M232" s="92">
        <v>803154.94136468379</v>
      </c>
      <c r="N232" s="90" t="s">
        <v>240</v>
      </c>
      <c r="O232" s="25">
        <f t="shared" si="1"/>
        <v>-3.4881713002935522E-3</v>
      </c>
    </row>
    <row r="233" spans="1:21">
      <c r="A233" s="91">
        <v>598.16884273501171</v>
      </c>
      <c r="B233" s="91">
        <v>599.77568400408018</v>
      </c>
      <c r="C233" s="91">
        <v>597.45010164956511</v>
      </c>
      <c r="D233" s="91">
        <v>599.51937803478097</v>
      </c>
      <c r="E233" s="92">
        <v>6458919.0978499986</v>
      </c>
      <c r="F233" s="90" t="s">
        <v>241</v>
      </c>
      <c r="G233" s="25">
        <f t="shared" si="0"/>
        <v>-2.2526966587740338E-3</v>
      </c>
      <c r="I233" s="91">
        <v>570.06610179355937</v>
      </c>
      <c r="J233" s="91">
        <v>577.81969348462064</v>
      </c>
      <c r="K233" s="91">
        <v>566.71080386633616</v>
      </c>
      <c r="L233" s="91">
        <v>568.7279184560158</v>
      </c>
      <c r="M233" s="92">
        <v>1122505.8613847045</v>
      </c>
      <c r="N233" s="90" t="s">
        <v>241</v>
      </c>
      <c r="O233" s="25">
        <f t="shared" si="1"/>
        <v>2.3529411764706687E-3</v>
      </c>
    </row>
    <row r="234" spans="1:21">
      <c r="A234" s="91">
        <v>598.95747648670181</v>
      </c>
      <c r="B234" s="91">
        <v>599.13491908083199</v>
      </c>
      <c r="C234" s="91">
        <v>597.5872253431404</v>
      </c>
      <c r="D234" s="91">
        <v>597.85338923433574</v>
      </c>
      <c r="E234" s="92">
        <v>7554466.4265668634</v>
      </c>
      <c r="F234" s="90" t="s">
        <v>242</v>
      </c>
      <c r="G234" s="25">
        <f t="shared" si="0"/>
        <v>1.8467525186736111E-3</v>
      </c>
      <c r="I234" s="91">
        <v>565.32342261197107</v>
      </c>
      <c r="J234" s="91">
        <v>567.22246220127931</v>
      </c>
      <c r="K234" s="91">
        <v>561.95336530970144</v>
      </c>
      <c r="L234" s="91">
        <v>564.79208511029935</v>
      </c>
      <c r="M234" s="92">
        <v>808521.02222859696</v>
      </c>
      <c r="N234" s="90" t="s">
        <v>242</v>
      </c>
      <c r="O234" s="25">
        <f t="shared" si="1"/>
        <v>9.4076655052255376E-4</v>
      </c>
    </row>
    <row r="235" spans="1:21">
      <c r="A235" s="91">
        <v>595.85223108942228</v>
      </c>
      <c r="B235" s="91">
        <v>597.37035106142559</v>
      </c>
      <c r="C235" s="91">
        <v>595.36919291651213</v>
      </c>
      <c r="D235" s="91">
        <v>596.00009991786408</v>
      </c>
      <c r="E235" s="92">
        <v>8225559.1852343883</v>
      </c>
      <c r="F235" s="90" t="s">
        <v>243</v>
      </c>
      <c r="G235" s="25">
        <f t="shared" si="0"/>
        <v>-2.4810201955027811E-4</v>
      </c>
      <c r="I235" s="91">
        <v>566.72064344970045</v>
      </c>
      <c r="J235" s="91">
        <v>573.77562472189697</v>
      </c>
      <c r="K235" s="91">
        <v>565.95315594728572</v>
      </c>
      <c r="L235" s="91">
        <v>572.99829763611808</v>
      </c>
      <c r="M235" s="92">
        <v>627500.14623662282</v>
      </c>
      <c r="N235" s="90" t="s">
        <v>243</v>
      </c>
      <c r="O235" s="25">
        <f t="shared" si="1"/>
        <v>-1.0955799017756007E-2</v>
      </c>
    </row>
    <row r="236" spans="1:21">
      <c r="A236" s="91">
        <v>595.98038407407194</v>
      </c>
      <c r="B236" s="91">
        <v>596.63100691921613</v>
      </c>
      <c r="C236" s="91">
        <v>592.35266881629752</v>
      </c>
      <c r="D236" s="91">
        <v>592.8849965986883</v>
      </c>
      <c r="E236" s="92">
        <v>9217770.3330873773</v>
      </c>
      <c r="F236" s="90" t="s">
        <v>244</v>
      </c>
      <c r="G236" s="25">
        <f t="shared" si="0"/>
        <v>5.2208902116623879E-3</v>
      </c>
      <c r="I236" s="91">
        <v>573.59851222133977</v>
      </c>
      <c r="J236" s="91">
        <v>576.36343514670557</v>
      </c>
      <c r="K236" s="91">
        <v>568.7279184560158</v>
      </c>
      <c r="L236" s="91">
        <v>570.01690387673784</v>
      </c>
      <c r="M236" s="92">
        <v>912824.21902090928</v>
      </c>
      <c r="N236" s="90" t="s">
        <v>244</v>
      </c>
      <c r="O236" s="25">
        <f t="shared" si="1"/>
        <v>6.2833370734149963E-3</v>
      </c>
      <c r="Q236" s="26"/>
      <c r="R236" s="26" t="s">
        <v>26</v>
      </c>
      <c r="S236" s="27">
        <f>MIN(O223:O1478)</f>
        <v>-6.3566673391163953E-2</v>
      </c>
    </row>
    <row r="237" spans="1:21">
      <c r="A237" s="91">
        <v>591.1598602668663</v>
      </c>
      <c r="B237" s="91">
        <v>593.20045009936439</v>
      </c>
      <c r="C237" s="91">
        <v>589.66145613865524</v>
      </c>
      <c r="D237" s="91">
        <v>592.38224258198591</v>
      </c>
      <c r="E237" s="92">
        <v>21852837.978424672</v>
      </c>
      <c r="F237" s="90" t="s">
        <v>245</v>
      </c>
      <c r="G237" s="25">
        <f t="shared" si="0"/>
        <v>-2.0635026293017722E-3</v>
      </c>
      <c r="I237" s="91">
        <v>570.56792054513812</v>
      </c>
      <c r="J237" s="91">
        <v>571.52236013147444</v>
      </c>
      <c r="K237" s="91">
        <v>560.85625176458302</v>
      </c>
      <c r="L237" s="91">
        <v>562.07636010175509</v>
      </c>
      <c r="M237" s="92">
        <v>515502.51796311978</v>
      </c>
      <c r="N237" s="90" t="s">
        <v>245</v>
      </c>
      <c r="O237" s="25">
        <f t="shared" si="1"/>
        <v>1.5107485470205129E-2</v>
      </c>
      <c r="Q237" s="26"/>
      <c r="R237" s="26" t="s">
        <v>27</v>
      </c>
      <c r="S237" s="27">
        <f>MAX(O223:O1478)</f>
        <v>6.7171924404431316E-2</v>
      </c>
    </row>
    <row r="238" spans="1:21">
      <c r="A238" s="91">
        <v>589.45443977883667</v>
      </c>
      <c r="B238" s="91">
        <v>589.86847249847392</v>
      </c>
      <c r="C238" s="91">
        <v>586.55621074137571</v>
      </c>
      <c r="D238" s="91">
        <v>588.13347824475579</v>
      </c>
      <c r="E238" s="92">
        <v>7892245.527992758</v>
      </c>
      <c r="F238" s="90" t="s">
        <v>246</v>
      </c>
      <c r="G238" s="25">
        <f t="shared" si="0"/>
        <v>2.2460233653476269E-3</v>
      </c>
      <c r="I238" s="91">
        <v>562.46010385296245</v>
      </c>
      <c r="J238" s="91">
        <v>571.17797471372421</v>
      </c>
      <c r="K238" s="91">
        <v>562.27315176904096</v>
      </c>
      <c r="L238" s="91">
        <v>571.14845596363136</v>
      </c>
      <c r="M238" s="92">
        <v>480849.62795992894</v>
      </c>
      <c r="N238" s="90" t="s">
        <v>246</v>
      </c>
      <c r="O238" s="25">
        <f t="shared" si="1"/>
        <v>-1.5212073183337393E-2</v>
      </c>
      <c r="Q238" s="26"/>
      <c r="R238" s="26" t="s">
        <v>28</v>
      </c>
      <c r="S238" s="27">
        <f>AVERAGE(O223:O1478)</f>
        <v>3.100038625540186E-4</v>
      </c>
    </row>
    <row r="239" spans="1:21">
      <c r="A239" s="91">
        <v>588.02504110389839</v>
      </c>
      <c r="B239" s="91">
        <v>588.92211199644578</v>
      </c>
      <c r="C239" s="91">
        <v>586.57592658516785</v>
      </c>
      <c r="D239" s="91">
        <v>587.83774058787196</v>
      </c>
      <c r="E239" s="92">
        <v>9584467.2939773481</v>
      </c>
      <c r="F239" s="90" t="s">
        <v>247</v>
      </c>
      <c r="G239" s="25">
        <f t="shared" si="0"/>
        <v>3.1862621790690326E-4</v>
      </c>
      <c r="I239" s="91">
        <v>572.56535596808919</v>
      </c>
      <c r="J239" s="91">
        <v>572.79166638546792</v>
      </c>
      <c r="K239" s="91">
        <v>562.19935489380873</v>
      </c>
      <c r="L239" s="91">
        <v>565.76620386336424</v>
      </c>
      <c r="M239" s="92">
        <v>799143.59265826992</v>
      </c>
      <c r="N239" s="90" t="s">
        <v>247</v>
      </c>
      <c r="O239" s="25">
        <f t="shared" si="1"/>
        <v>1.2017600306092113E-2</v>
      </c>
      <c r="Q239" s="26"/>
      <c r="R239" s="26" t="s">
        <v>29</v>
      </c>
      <c r="S239" s="27">
        <f>MEDIAN(O223:O1478)</f>
        <v>5.411278430157429E-4</v>
      </c>
    </row>
    <row r="240" spans="1:21" ht="15">
      <c r="A240" s="91">
        <v>586.50692113189507</v>
      </c>
      <c r="B240" s="91">
        <v>591.0809968916974</v>
      </c>
      <c r="C240" s="91">
        <v>583.04679054635494</v>
      </c>
      <c r="D240" s="91">
        <v>590.4008002808647</v>
      </c>
      <c r="E240" s="92">
        <v>6717571.989084824</v>
      </c>
      <c r="F240" s="90" t="s">
        <v>248</v>
      </c>
      <c r="G240" s="25">
        <f t="shared" si="0"/>
        <v>-6.5953148219264346E-3</v>
      </c>
      <c r="I240" s="91">
        <v>571.4830017980172</v>
      </c>
      <c r="J240" s="91">
        <v>571.84214659081385</v>
      </c>
      <c r="K240" s="91">
        <v>565.59893094617132</v>
      </c>
      <c r="L240" s="91">
        <v>570.0464226268308</v>
      </c>
      <c r="M240" s="92">
        <v>640391.95225153549</v>
      </c>
      <c r="N240" s="90" t="s">
        <v>248</v>
      </c>
      <c r="O240" s="25">
        <f t="shared" si="1"/>
        <v>2.5201090896536105E-3</v>
      </c>
      <c r="Q240" s="26"/>
      <c r="R240" s="26" t="s">
        <v>30</v>
      </c>
      <c r="S240" s="27">
        <f>_xlfn.STDEV.P(O223:O1478)</f>
        <v>1.3197297029690027E-2</v>
      </c>
      <c r="U240" s="2"/>
    </row>
    <row r="241" spans="1:25" ht="15">
      <c r="A241" s="91">
        <v>588.11376240096354</v>
      </c>
      <c r="B241" s="91">
        <v>588.29120499509372</v>
      </c>
      <c r="C241" s="91">
        <v>583.19465937479686</v>
      </c>
      <c r="D241" s="91">
        <v>584.05229857975974</v>
      </c>
      <c r="E241" s="92">
        <v>8127957.4786943784</v>
      </c>
      <c r="F241" s="90" t="s">
        <v>249</v>
      </c>
      <c r="G241" s="25">
        <f t="shared" si="0"/>
        <v>6.9539385960470934E-3</v>
      </c>
      <c r="I241" s="91">
        <v>570.45968512813101</v>
      </c>
      <c r="J241" s="91">
        <v>572.60471430154644</v>
      </c>
      <c r="K241" s="91">
        <v>566.76000178315758</v>
      </c>
      <c r="L241" s="91">
        <v>572.37840388416771</v>
      </c>
      <c r="M241" s="92">
        <v>489813.42213032936</v>
      </c>
      <c r="N241" s="90" t="s">
        <v>249</v>
      </c>
      <c r="O241" s="25">
        <f t="shared" si="1"/>
        <v>-3.3521857970465474E-3</v>
      </c>
      <c r="Q241" s="26"/>
      <c r="R241" s="28" t="s">
        <v>31</v>
      </c>
      <c r="S241" s="27">
        <f>3*S240</f>
        <v>3.9591891089070082E-2</v>
      </c>
      <c r="T241" s="26"/>
      <c r="U241" s="2" t="s">
        <v>88</v>
      </c>
    </row>
    <row r="242" spans="1:25" ht="15">
      <c r="A242" s="91">
        <v>583.31295443755027</v>
      </c>
      <c r="B242" s="91">
        <v>583.81570845425279</v>
      </c>
      <c r="C242" s="91">
        <v>580.41472540008931</v>
      </c>
      <c r="D242" s="91">
        <v>582.41588354500277</v>
      </c>
      <c r="E242" s="92">
        <v>6766005.117793994</v>
      </c>
      <c r="F242" s="90" t="s">
        <v>250</v>
      </c>
      <c r="G242" s="25">
        <f t="shared" si="0"/>
        <v>1.5402582894670225E-3</v>
      </c>
      <c r="I242" s="91">
        <v>571.68963304866736</v>
      </c>
      <c r="J242" s="91">
        <v>578.56750182030669</v>
      </c>
      <c r="K242" s="91">
        <v>568.42289137172281</v>
      </c>
      <c r="L242" s="91">
        <v>577.1210830657559</v>
      </c>
      <c r="M242" s="92">
        <v>466187.42178120255</v>
      </c>
      <c r="N242" s="90" t="s">
        <v>250</v>
      </c>
      <c r="O242" s="25">
        <f t="shared" si="1"/>
        <v>-9.4112833103164872E-3</v>
      </c>
      <c r="Q242" s="26"/>
      <c r="R242" s="28" t="s">
        <v>32</v>
      </c>
      <c r="S242" s="54">
        <f>_xlfn.COVARIANCE.P(O223:O471,G223:G471)/_xlfn.VAR.P(G223:G471)</f>
        <v>0.32949712694686251</v>
      </c>
      <c r="T242" s="26"/>
      <c r="U242" s="2" t="s">
        <v>33</v>
      </c>
    </row>
    <row r="243" spans="1:25">
      <c r="A243" s="91">
        <v>580.34571994681653</v>
      </c>
      <c r="B243" s="91">
        <v>580.43444124388157</v>
      </c>
      <c r="C243" s="91">
        <v>575.3773273111691</v>
      </c>
      <c r="D243" s="91">
        <v>577.73337064434315</v>
      </c>
      <c r="E243" s="92">
        <v>11223117.931526892</v>
      </c>
      <c r="F243" s="90" t="s">
        <v>251</v>
      </c>
      <c r="G243" s="25">
        <f t="shared" si="0"/>
        <v>4.5217213254615807E-3</v>
      </c>
      <c r="I243" s="91">
        <v>579.86632682439313</v>
      </c>
      <c r="J243" s="91">
        <v>586.60122644974933</v>
      </c>
      <c r="K243" s="91">
        <v>575.87145597849099</v>
      </c>
      <c r="L243" s="91">
        <v>582.38526016565163</v>
      </c>
      <c r="M243" s="92">
        <v>644192.9261968073</v>
      </c>
      <c r="N243" s="90" t="s">
        <v>251</v>
      </c>
      <c r="O243" s="25">
        <f t="shared" si="1"/>
        <v>-4.3252010542678132E-3</v>
      </c>
    </row>
    <row r="244" spans="1:25">
      <c r="A244" s="91">
        <v>584.65363181542341</v>
      </c>
      <c r="B244" s="91">
        <v>587.08853852376637</v>
      </c>
      <c r="C244" s="91">
        <v>582.84470314748432</v>
      </c>
      <c r="D244" s="91">
        <v>586.78294294498653</v>
      </c>
      <c r="E244" s="92">
        <v>7588562.862260079</v>
      </c>
      <c r="F244" s="90" t="s">
        <v>252</v>
      </c>
      <c r="G244" s="25">
        <f t="shared" si="0"/>
        <v>-3.6287883878770577E-3</v>
      </c>
      <c r="I244" s="91">
        <v>578.30183307778327</v>
      </c>
      <c r="J244" s="91">
        <v>579.80315967921479</v>
      </c>
      <c r="K244" s="91">
        <v>575.400718872119</v>
      </c>
      <c r="L244" s="91">
        <v>576.20440591557997</v>
      </c>
      <c r="M244" s="92">
        <v>538308.01867461589</v>
      </c>
      <c r="N244" s="90" t="s">
        <v>252</v>
      </c>
      <c r="O244" s="25">
        <f t="shared" si="1"/>
        <v>3.640074842660157E-3</v>
      </c>
      <c r="Q244" s="29" t="s">
        <v>34</v>
      </c>
      <c r="R244" s="30">
        <v>1014</v>
      </c>
    </row>
    <row r="245" spans="1:25" ht="15" thickBot="1">
      <c r="A245" s="91">
        <v>588.04475694769064</v>
      </c>
      <c r="B245" s="91">
        <v>588.58694265197755</v>
      </c>
      <c r="C245" s="91">
        <v>584.84093233144972</v>
      </c>
      <c r="D245" s="91">
        <v>586.61535827275247</v>
      </c>
      <c r="E245" s="92">
        <v>5110593.3411584385</v>
      </c>
      <c r="F245" s="90" t="s">
        <v>253</v>
      </c>
      <c r="G245" s="25">
        <f t="shared" si="0"/>
        <v>2.4366881207251723E-3</v>
      </c>
      <c r="I245" s="91">
        <v>576.20440591557997</v>
      </c>
      <c r="J245" s="91">
        <v>576.24361016160253</v>
      </c>
      <c r="K245" s="91">
        <v>569.34366286164379</v>
      </c>
      <c r="L245" s="91">
        <v>574.94006898135467</v>
      </c>
      <c r="M245" s="92">
        <v>488397.098340186</v>
      </c>
      <c r="N245" s="90" t="s">
        <v>253</v>
      </c>
      <c r="O245" s="25">
        <f t="shared" si="1"/>
        <v>2.1990760471179982E-3</v>
      </c>
      <c r="Q245" s="1" t="s">
        <v>35</v>
      </c>
      <c r="T245" s="1" t="s">
        <v>36</v>
      </c>
      <c r="X245" s="1" t="s">
        <v>37</v>
      </c>
    </row>
    <row r="246" spans="1:25" ht="13.5" customHeight="1">
      <c r="A246" s="91">
        <v>585.97459334950418</v>
      </c>
      <c r="B246" s="91">
        <v>586.68436372602525</v>
      </c>
      <c r="C246" s="91">
        <v>584.02272481407135</v>
      </c>
      <c r="D246" s="91">
        <v>584.10158818924037</v>
      </c>
      <c r="E246" s="92">
        <v>6177330.338144877</v>
      </c>
      <c r="F246" s="90" t="s">
        <v>254</v>
      </c>
      <c r="G246" s="25">
        <f t="shared" si="0"/>
        <v>3.206642813744498E-3</v>
      </c>
      <c r="I246" s="91">
        <v>574.94006898135467</v>
      </c>
      <c r="J246" s="91">
        <v>582.72211181681928</v>
      </c>
      <c r="K246" s="91">
        <v>573.3989500702105</v>
      </c>
      <c r="L246" s="91">
        <v>582.72211181681928</v>
      </c>
      <c r="M246" s="92">
        <v>689158.00560223195</v>
      </c>
      <c r="N246" s="90" t="s">
        <v>254</v>
      </c>
      <c r="O246" s="25">
        <f t="shared" si="1"/>
        <v>-1.3354637961483284E-2</v>
      </c>
      <c r="Q246" s="95" t="s">
        <v>38</v>
      </c>
      <c r="R246" s="95" t="s">
        <v>39</v>
      </c>
      <c r="T246" s="31" t="s">
        <v>40</v>
      </c>
      <c r="U246" s="32" t="s">
        <v>41</v>
      </c>
      <c r="X246" s="31" t="s">
        <v>42</v>
      </c>
      <c r="Y246" s="32" t="s">
        <v>43</v>
      </c>
    </row>
    <row r="247" spans="1:25" ht="15">
      <c r="A247" s="91">
        <v>584.63391597163104</v>
      </c>
      <c r="B247" s="91">
        <v>584.99865908178776</v>
      </c>
      <c r="C247" s="91">
        <v>581.41530447254604</v>
      </c>
      <c r="D247" s="91">
        <v>581.99199290346951</v>
      </c>
      <c r="E247" s="92">
        <v>4815265.3774479339</v>
      </c>
      <c r="F247" s="90" t="s">
        <v>255</v>
      </c>
      <c r="G247" s="25">
        <f t="shared" si="0"/>
        <v>4.5394491683319327E-3</v>
      </c>
      <c r="I247" s="91">
        <v>581.22254940645905</v>
      </c>
      <c r="J247" s="91">
        <v>583.99624981255033</v>
      </c>
      <c r="K247" s="91">
        <v>576.41512873795091</v>
      </c>
      <c r="L247" s="91">
        <v>576.68465792935558</v>
      </c>
      <c r="M247" s="92">
        <v>1021643.4203841321</v>
      </c>
      <c r="N247" s="90" t="s">
        <v>255</v>
      </c>
      <c r="O247" s="25">
        <f t="shared" si="1"/>
        <v>7.8689304712860064E-3</v>
      </c>
      <c r="Q247" s="93">
        <v>-4.0000000000000029E-2</v>
      </c>
      <c r="R247">
        <v>10</v>
      </c>
      <c r="T247" s="53">
        <f t="shared" ref="T247:T257" si="2">T248-0.001</f>
        <v>-4.200000000000003E-2</v>
      </c>
      <c r="U247" s="1">
        <f>_xlfn.NORM.DIST(T247,$S$238,$S$240,FALSE)</f>
        <v>0.17723399030519588</v>
      </c>
      <c r="W247" s="1" t="s">
        <v>79</v>
      </c>
      <c r="X247" s="53">
        <f>S238</f>
        <v>3.100038625540186E-4</v>
      </c>
      <c r="Y247" s="1">
        <v>0</v>
      </c>
    </row>
    <row r="248" spans="1:25" ht="15">
      <c r="A248" s="91">
        <v>582.30744640414548</v>
      </c>
      <c r="B248" s="91">
        <v>584.80140206464637</v>
      </c>
      <c r="C248" s="91">
        <v>582.15957757570357</v>
      </c>
      <c r="D248" s="91">
        <v>583.63826586012237</v>
      </c>
      <c r="E248" s="92">
        <v>6576472.2710451968</v>
      </c>
      <c r="F248" s="90" t="s">
        <v>256</v>
      </c>
      <c r="G248" s="25">
        <f t="shared" si="0"/>
        <v>-2.2802128198630145E-3</v>
      </c>
      <c r="I248" s="91">
        <v>575.06748278092778</v>
      </c>
      <c r="J248" s="91">
        <v>583.55520204479728</v>
      </c>
      <c r="K248" s="91">
        <v>574.39120953703969</v>
      </c>
      <c r="L248" s="91">
        <v>580.22284113288549</v>
      </c>
      <c r="M248" s="92">
        <v>487903.27427865728</v>
      </c>
      <c r="N248" s="90" t="s">
        <v>256</v>
      </c>
      <c r="O248" s="25">
        <f t="shared" si="1"/>
        <v>-8.8851351351351138E-3</v>
      </c>
      <c r="Q248" s="93">
        <v>-3.9000000000000028E-2</v>
      </c>
      <c r="R248">
        <v>1</v>
      </c>
      <c r="T248" s="53">
        <f t="shared" si="2"/>
        <v>-4.1000000000000029E-2</v>
      </c>
      <c r="U248" s="1">
        <f t="shared" ref="U248:U311" si="3">_xlfn.NORM.DIST(T248,$S$238,$S$240,FALSE)</f>
        <v>0.22532088572693768</v>
      </c>
      <c r="X248" s="53">
        <f>S238</f>
        <v>3.100038625540186E-4</v>
      </c>
      <c r="Y248" s="1">
        <v>30</v>
      </c>
    </row>
    <row r="249" spans="1:25" ht="15">
      <c r="A249" s="91">
        <v>584.78178480007307</v>
      </c>
      <c r="B249" s="91">
        <v>585.87601413054301</v>
      </c>
      <c r="C249" s="91">
        <v>577.51649636262846</v>
      </c>
      <c r="D249" s="91">
        <v>577.94038700416172</v>
      </c>
      <c r="E249" s="92">
        <v>6460329.1313384427</v>
      </c>
      <c r="F249" s="90" t="s">
        <v>257</v>
      </c>
      <c r="G249" s="25">
        <f t="shared" si="0"/>
        <v>1.1837549252051272E-2</v>
      </c>
      <c r="I249" s="91">
        <v>580.6540878391329</v>
      </c>
      <c r="J249" s="91">
        <v>589.03399542644058</v>
      </c>
      <c r="K249" s="91">
        <v>579.60282598203969</v>
      </c>
      <c r="L249" s="91">
        <v>587.85786804576583</v>
      </c>
      <c r="M249" s="92">
        <v>628359.4890682702</v>
      </c>
      <c r="N249" s="90" t="s">
        <v>257</v>
      </c>
      <c r="O249" s="25">
        <f t="shared" si="1"/>
        <v>-1.2254289001150331E-2</v>
      </c>
      <c r="Q249" s="93">
        <v>-3.8000000000000027E-2</v>
      </c>
      <c r="R249">
        <v>0</v>
      </c>
      <c r="T249" s="53">
        <f t="shared" si="2"/>
        <v>-4.0000000000000029E-2</v>
      </c>
      <c r="U249" s="1">
        <f t="shared" si="3"/>
        <v>0.28481467052380988</v>
      </c>
      <c r="W249" s="38" t="s">
        <v>80</v>
      </c>
      <c r="X249" s="53">
        <f>($S$240*-3)+$S$238</f>
        <v>-3.9281887226516064E-2</v>
      </c>
      <c r="Y249" s="1">
        <v>0</v>
      </c>
    </row>
    <row r="250" spans="1:25" ht="15">
      <c r="A250" s="91">
        <v>575.96880262493664</v>
      </c>
      <c r="B250" s="91">
        <v>578.12768752018826</v>
      </c>
      <c r="C250" s="91">
        <v>574.3718192777643</v>
      </c>
      <c r="D250" s="91">
        <v>576.61942547008096</v>
      </c>
      <c r="E250" s="92">
        <v>4876562.2721045529</v>
      </c>
      <c r="F250" s="90" t="s">
        <v>258</v>
      </c>
      <c r="G250" s="25">
        <f t="shared" si="0"/>
        <v>-1.1283401432650164E-3</v>
      </c>
      <c r="I250" s="91">
        <v>585.32919417731512</v>
      </c>
      <c r="J250" s="91">
        <v>586.91696614122611</v>
      </c>
      <c r="K250" s="91">
        <v>579.54950820744921</v>
      </c>
      <c r="L250" s="91">
        <v>581.20294728344777</v>
      </c>
      <c r="M250" s="92">
        <v>622675.41087245045</v>
      </c>
      <c r="N250" s="90" t="s">
        <v>258</v>
      </c>
      <c r="O250" s="25">
        <f t="shared" si="1"/>
        <v>7.0994940978077459E-3</v>
      </c>
      <c r="Q250" s="93">
        <v>-3.7000000000000026E-2</v>
      </c>
      <c r="R250">
        <v>0</v>
      </c>
      <c r="T250" s="53">
        <f t="shared" si="2"/>
        <v>-3.9000000000000028E-2</v>
      </c>
      <c r="U250" s="1">
        <f t="shared" si="3"/>
        <v>0.35795607141351748</v>
      </c>
      <c r="W250" s="39"/>
      <c r="X250" s="53">
        <f>($S$240*-3)+$S$238</f>
        <v>-3.9281887226516064E-2</v>
      </c>
      <c r="Y250" s="1">
        <v>2</v>
      </c>
    </row>
    <row r="251" spans="1:25" ht="15">
      <c r="A251" s="91">
        <v>578.24598258294168</v>
      </c>
      <c r="B251" s="91">
        <v>579.64580749219158</v>
      </c>
      <c r="C251" s="91">
        <v>573.5831855260742</v>
      </c>
      <c r="D251" s="91">
        <v>579.45850697616515</v>
      </c>
      <c r="E251" s="92">
        <v>7155936.1844532564</v>
      </c>
      <c r="F251" s="90" t="s">
        <v>259</v>
      </c>
      <c r="G251" s="25">
        <f t="shared" si="0"/>
        <v>-2.0925128868172216E-3</v>
      </c>
      <c r="I251" s="91">
        <v>580.75209845418908</v>
      </c>
      <c r="J251" s="91">
        <v>583.47679355275238</v>
      </c>
      <c r="K251" s="91">
        <v>576.07699211600686</v>
      </c>
      <c r="L251" s="91">
        <v>578.10581184767091</v>
      </c>
      <c r="M251" s="92">
        <v>620631.75468393369</v>
      </c>
      <c r="N251" s="90" t="s">
        <v>259</v>
      </c>
      <c r="O251" s="25">
        <f t="shared" si="1"/>
        <v>4.5775125457749866E-3</v>
      </c>
      <c r="Q251" s="93">
        <v>-3.6000000000000025E-2</v>
      </c>
      <c r="R251">
        <v>1</v>
      </c>
      <c r="T251" s="53">
        <f t="shared" si="2"/>
        <v>-3.8000000000000027E-2</v>
      </c>
      <c r="U251" s="1">
        <f t="shared" si="3"/>
        <v>0.44730482410138178</v>
      </c>
      <c r="W251" s="38" t="s">
        <v>81</v>
      </c>
      <c r="X251" s="53">
        <f>($S$240*-2)+$S$238</f>
        <v>-2.6084590196826036E-2</v>
      </c>
      <c r="Y251" s="1">
        <v>0</v>
      </c>
    </row>
    <row r="252" spans="1:25" ht="15">
      <c r="A252" s="91">
        <v>579.77396047684113</v>
      </c>
      <c r="B252" s="91">
        <v>583.70727131339538</v>
      </c>
      <c r="C252" s="91">
        <v>578.60086777120227</v>
      </c>
      <c r="D252" s="91">
        <v>582.84963210843239</v>
      </c>
      <c r="E252" s="92">
        <v>6786010.3483160073</v>
      </c>
      <c r="F252" s="90" t="s">
        <v>260</v>
      </c>
      <c r="G252" s="25">
        <f t="shared" si="0"/>
        <v>-5.2769556025370479E-3</v>
      </c>
      <c r="I252" s="91">
        <v>574.567628644141</v>
      </c>
      <c r="J252" s="91">
        <v>577.75297363346851</v>
      </c>
      <c r="K252" s="91">
        <v>570.63985324576254</v>
      </c>
      <c r="L252" s="91">
        <v>572.38199192838704</v>
      </c>
      <c r="M252" s="92">
        <v>477032.00284148997</v>
      </c>
      <c r="N252" s="90" t="s">
        <v>260</v>
      </c>
      <c r="O252" s="25">
        <f t="shared" si="1"/>
        <v>3.8184931506850539E-3</v>
      </c>
      <c r="Q252" s="93">
        <v>-3.5000000000000024E-2</v>
      </c>
      <c r="R252">
        <v>1</v>
      </c>
      <c r="T252" s="53">
        <f t="shared" si="2"/>
        <v>-3.7000000000000026E-2</v>
      </c>
      <c r="U252" s="1">
        <f t="shared" si="3"/>
        <v>0.55575567035472706</v>
      </c>
      <c r="W252" s="39"/>
      <c r="X252" s="53">
        <f>($S$240*-2)+$S$238</f>
        <v>-2.6084590196826036E-2</v>
      </c>
      <c r="Y252" s="1">
        <v>7</v>
      </c>
    </row>
    <row r="253" spans="1:25" ht="15">
      <c r="A253" s="91">
        <v>582.95806924928979</v>
      </c>
      <c r="B253" s="91">
        <v>583.6086920944341</v>
      </c>
      <c r="C253" s="91">
        <v>581.96241913778113</v>
      </c>
      <c r="D253" s="91">
        <v>582.58346821723705</v>
      </c>
      <c r="E253" s="92">
        <v>5388298.9295011405</v>
      </c>
      <c r="F253" s="90" t="s">
        <v>261</v>
      </c>
      <c r="G253" s="25">
        <f t="shared" si="0"/>
        <v>6.4299976310522311E-4</v>
      </c>
      <c r="I253" s="91">
        <v>573.18567897184812</v>
      </c>
      <c r="J253" s="91">
        <v>580.44336501676196</v>
      </c>
      <c r="K253" s="91">
        <v>571.93143713097356</v>
      </c>
      <c r="L253" s="91">
        <v>575.7829602708382</v>
      </c>
      <c r="M253" s="92">
        <v>941123.57061610115</v>
      </c>
      <c r="N253" s="90" t="s">
        <v>261</v>
      </c>
      <c r="O253" s="25">
        <f t="shared" si="1"/>
        <v>-4.5108686401007514E-3</v>
      </c>
      <c r="Q253" s="93">
        <v>-3.4000000000000023E-2</v>
      </c>
      <c r="R253">
        <v>0</v>
      </c>
      <c r="T253" s="53">
        <f t="shared" si="2"/>
        <v>-3.6000000000000025E-2</v>
      </c>
      <c r="U253" s="1">
        <f t="shared" si="3"/>
        <v>0.68654766517621102</v>
      </c>
      <c r="W253" s="40" t="s">
        <v>82</v>
      </c>
      <c r="X253" s="53">
        <f>($S$240*-1)+$S$238</f>
        <v>-1.2887293167136007E-2</v>
      </c>
      <c r="Y253" s="1">
        <v>0</v>
      </c>
    </row>
    <row r="254" spans="1:25" ht="15">
      <c r="A254" s="91">
        <v>583.16508560910847</v>
      </c>
      <c r="B254" s="91">
        <v>585.5112710203864</v>
      </c>
      <c r="C254" s="91">
        <v>582.26801471656097</v>
      </c>
      <c r="D254" s="91">
        <v>585.42254972332125</v>
      </c>
      <c r="E254" s="92">
        <v>7300032.4772589719</v>
      </c>
      <c r="F254" s="90" t="s">
        <v>262</v>
      </c>
      <c r="G254" s="25">
        <f t="shared" si="0"/>
        <v>-3.8561277068669408E-3</v>
      </c>
      <c r="I254" s="91">
        <v>572.34278768236459</v>
      </c>
      <c r="J254" s="91">
        <v>575.07728384243342</v>
      </c>
      <c r="K254" s="91">
        <v>569.36189283604426</v>
      </c>
      <c r="L254" s="91">
        <v>571.80372929955524</v>
      </c>
      <c r="M254" s="92">
        <v>681129.2834117983</v>
      </c>
      <c r="N254" s="90" t="s">
        <v>262</v>
      </c>
      <c r="O254" s="25">
        <f t="shared" si="1"/>
        <v>9.4273324077409626E-4</v>
      </c>
      <c r="Q254" s="93">
        <v>-3.3000000000000022E-2</v>
      </c>
      <c r="R254">
        <v>1</v>
      </c>
      <c r="T254" s="53">
        <f t="shared" si="2"/>
        <v>-3.5000000000000024E-2</v>
      </c>
      <c r="U254" s="1">
        <f t="shared" si="3"/>
        <v>0.84326477274009637</v>
      </c>
      <c r="X254" s="53">
        <f>($S$240*-1)+$S$238</f>
        <v>-1.2887293167136007E-2</v>
      </c>
      <c r="Y254" s="1">
        <v>18</v>
      </c>
    </row>
    <row r="255" spans="1:25" ht="15">
      <c r="A255" s="91">
        <v>584.42689961181247</v>
      </c>
      <c r="B255" s="91">
        <v>585.07752245695679</v>
      </c>
      <c r="C255" s="91">
        <v>582.11028796622293</v>
      </c>
      <c r="D255" s="91">
        <v>582.52432068586018</v>
      </c>
      <c r="E255" s="92">
        <v>6326552.4577254886</v>
      </c>
      <c r="F255" s="90" t="s">
        <v>263</v>
      </c>
      <c r="G255" s="25">
        <f t="shared" si="0"/>
        <v>3.2660935490422816E-3</v>
      </c>
      <c r="I255" s="91">
        <v>572.10756220622966</v>
      </c>
      <c r="J255" s="91">
        <v>573.64142833185952</v>
      </c>
      <c r="K255" s="91">
        <v>569.37796657691354</v>
      </c>
      <c r="L255" s="91">
        <v>572.2741802518251</v>
      </c>
      <c r="M255" s="92">
        <v>554362.40216253966</v>
      </c>
      <c r="N255" s="90" t="s">
        <v>263</v>
      </c>
      <c r="O255" s="25">
        <f t="shared" si="1"/>
        <v>-2.9115073044549966E-4</v>
      </c>
      <c r="Q255" s="93">
        <v>-3.2000000000000021E-2</v>
      </c>
      <c r="R255">
        <v>2</v>
      </c>
      <c r="T255" s="53">
        <f t="shared" si="2"/>
        <v>-3.4000000000000023E-2</v>
      </c>
      <c r="U255" s="1">
        <f t="shared" si="3"/>
        <v>1.0298256229673945</v>
      </c>
      <c r="W255" s="1" t="s">
        <v>83</v>
      </c>
      <c r="X255" s="53">
        <f>($S$240*1)+$S$238</f>
        <v>1.3507300892244046E-2</v>
      </c>
      <c r="Y255" s="1">
        <v>0</v>
      </c>
    </row>
    <row r="256" spans="1:25" ht="15" customHeight="1">
      <c r="A256" s="91">
        <v>584.41704168991646</v>
      </c>
      <c r="B256" s="91">
        <v>585.59013439555531</v>
      </c>
      <c r="C256" s="91">
        <v>582.41588354500277</v>
      </c>
      <c r="D256" s="91">
        <v>584.4367575337086</v>
      </c>
      <c r="E256" s="92">
        <v>5470699.6635056622</v>
      </c>
      <c r="F256" s="90" t="s">
        <v>264</v>
      </c>
      <c r="G256" s="25">
        <f t="shared" si="0"/>
        <v>-3.3734777181604336E-5</v>
      </c>
      <c r="I256" s="91">
        <v>570.50998918081302</v>
      </c>
      <c r="J256" s="91">
        <v>575.21116634260022</v>
      </c>
      <c r="K256" s="91">
        <v>564.75676607701234</v>
      </c>
      <c r="L256" s="91">
        <v>570.90203164103798</v>
      </c>
      <c r="M256" s="92">
        <v>760811.46881099639</v>
      </c>
      <c r="N256" s="90" t="s">
        <v>264</v>
      </c>
      <c r="O256" s="25">
        <f t="shared" si="1"/>
        <v>-6.8670706793250158E-4</v>
      </c>
      <c r="Q256" s="93">
        <v>-3.1000000000000021E-2</v>
      </c>
      <c r="R256">
        <v>3</v>
      </c>
      <c r="T256" s="53">
        <f t="shared" si="2"/>
        <v>-3.3000000000000022E-2</v>
      </c>
      <c r="U256" s="1">
        <f t="shared" si="3"/>
        <v>1.2504602762897923</v>
      </c>
      <c r="X256" s="53">
        <f>($S$240*1)+$S$238</f>
        <v>1.3507300892244046E-2</v>
      </c>
      <c r="Y256" s="1">
        <v>18</v>
      </c>
    </row>
    <row r="257" spans="1:25" ht="15">
      <c r="A257" s="91">
        <v>582.3863097793145</v>
      </c>
      <c r="B257" s="91">
        <v>582.5637523734448</v>
      </c>
      <c r="C257" s="91">
        <v>577.11725052583529</v>
      </c>
      <c r="D257" s="91">
        <v>578.41356725517585</v>
      </c>
      <c r="E257" s="92">
        <v>5958908.0354842898</v>
      </c>
      <c r="F257" s="90" t="s">
        <v>265</v>
      </c>
      <c r="G257" s="25">
        <f t="shared" si="0"/>
        <v>6.8683425649764818E-3</v>
      </c>
      <c r="I257" s="91">
        <v>569.24565224658761</v>
      </c>
      <c r="J257" s="91">
        <v>570.05423982080151</v>
      </c>
      <c r="K257" s="91">
        <v>566.12891468779947</v>
      </c>
      <c r="L257" s="91">
        <v>567.68728346719365</v>
      </c>
      <c r="M257" s="92">
        <v>656962.51332632254</v>
      </c>
      <c r="N257" s="90" t="s">
        <v>265</v>
      </c>
      <c r="O257" s="25">
        <f t="shared" si="1"/>
        <v>2.745118350857112E-3</v>
      </c>
      <c r="Q257" s="93">
        <v>-3.000000000000002E-2</v>
      </c>
      <c r="R257">
        <v>3</v>
      </c>
      <c r="T257" s="53">
        <f t="shared" si="2"/>
        <v>-3.2000000000000021E-2</v>
      </c>
      <c r="U257" s="1">
        <f t="shared" si="3"/>
        <v>1.5096719232824478</v>
      </c>
      <c r="W257" s="41" t="s">
        <v>84</v>
      </c>
      <c r="X257" s="53">
        <f>($S$240*2)+$S$238</f>
        <v>2.6704597921934071E-2</v>
      </c>
      <c r="Y257" s="1">
        <v>0</v>
      </c>
    </row>
    <row r="258" spans="1:25" ht="15">
      <c r="A258" s="91">
        <v>576.23496651613198</v>
      </c>
      <c r="B258" s="91">
        <v>579.01490049083952</v>
      </c>
      <c r="C258" s="91">
        <v>575.15059510755827</v>
      </c>
      <c r="D258" s="91">
        <v>577.70379687865477</v>
      </c>
      <c r="E258" s="92">
        <v>5451401.4785530334</v>
      </c>
      <c r="F258" s="90" t="s">
        <v>266</v>
      </c>
      <c r="G258" s="25">
        <f t="shared" si="0"/>
        <v>-2.542531952289262E-3</v>
      </c>
      <c r="I258" s="91">
        <v>568.69679280227274</v>
      </c>
      <c r="J258" s="91">
        <v>572.16146804451046</v>
      </c>
      <c r="K258" s="91">
        <v>564.00208434107935</v>
      </c>
      <c r="L258" s="91">
        <v>568.27534715753086</v>
      </c>
      <c r="M258" s="92">
        <v>759912.5865832963</v>
      </c>
      <c r="N258" s="90" t="s">
        <v>266</v>
      </c>
      <c r="O258" s="25">
        <f t="shared" si="1"/>
        <v>7.4162225556673178E-4</v>
      </c>
      <c r="Q258" s="93">
        <v>-2.9000000000000019E-2</v>
      </c>
      <c r="R258">
        <v>2</v>
      </c>
      <c r="T258" s="53">
        <f t="shared" ref="T258:T286" si="4">T259-0.001</f>
        <v>-3.1000000000000021E-2</v>
      </c>
      <c r="U258" s="1">
        <f t="shared" si="3"/>
        <v>1.8121816477958179</v>
      </c>
      <c r="X258" s="53">
        <f>($S$240*2)+$S$238</f>
        <v>2.6704597921934071E-2</v>
      </c>
      <c r="Y258" s="1">
        <v>7</v>
      </c>
    </row>
    <row r="259" spans="1:25" ht="15">
      <c r="A259" s="91">
        <v>577.41791714366718</v>
      </c>
      <c r="B259" s="91">
        <v>577.84180778520044</v>
      </c>
      <c r="C259" s="91">
        <v>574.32252966828366</v>
      </c>
      <c r="D259" s="91">
        <v>574.64784109085576</v>
      </c>
      <c r="E259" s="92">
        <v>4404925.3440591749</v>
      </c>
      <c r="F259" s="90" t="s">
        <v>267</v>
      </c>
      <c r="G259" s="25">
        <f t="shared" si="0"/>
        <v>4.8204758718888296E-3</v>
      </c>
      <c r="I259" s="91">
        <v>569.54948515326203</v>
      </c>
      <c r="J259" s="91">
        <v>579.31134241286259</v>
      </c>
      <c r="K259" s="91">
        <v>567.62847709815981</v>
      </c>
      <c r="L259" s="91">
        <v>576.01818574697324</v>
      </c>
      <c r="M259" s="92">
        <v>764692.68106317695</v>
      </c>
      <c r="N259" s="90" t="s">
        <v>267</v>
      </c>
      <c r="O259" s="25">
        <f t="shared" si="1"/>
        <v>-1.1230028415374904E-2</v>
      </c>
      <c r="Q259" s="93">
        <v>-2.8000000000000018E-2</v>
      </c>
      <c r="R259">
        <v>4</v>
      </c>
      <c r="T259" s="53">
        <f t="shared" si="4"/>
        <v>-3.000000000000002E-2</v>
      </c>
      <c r="U259" s="1">
        <f t="shared" si="3"/>
        <v>2.1628547230000761</v>
      </c>
      <c r="W259" s="41" t="s">
        <v>85</v>
      </c>
      <c r="X259" s="53">
        <f>($S$240*3)+$S$238</f>
        <v>3.9901894951624099E-2</v>
      </c>
      <c r="Y259" s="1">
        <v>0</v>
      </c>
    </row>
    <row r="260" spans="1:25" ht="15">
      <c r="A260" s="91">
        <v>573.03114189989117</v>
      </c>
      <c r="B260" s="91">
        <v>577.20104286195237</v>
      </c>
      <c r="C260" s="91">
        <v>570.09614281375764</v>
      </c>
      <c r="D260" s="91">
        <v>576.56027793870419</v>
      </c>
      <c r="E260" s="92">
        <v>4660475.147206842</v>
      </c>
      <c r="F260" s="90" t="s">
        <v>268</v>
      </c>
      <c r="G260" s="25">
        <f t="shared" si="0"/>
        <v>-6.1210183459572409E-3</v>
      </c>
      <c r="I260" s="91">
        <v>575.69475071728766</v>
      </c>
      <c r="J260" s="91">
        <v>576.52784094526555</v>
      </c>
      <c r="K260" s="91">
        <v>568.46156732613781</v>
      </c>
      <c r="L260" s="91">
        <v>571.60770806944288</v>
      </c>
      <c r="M260" s="92">
        <v>639360.3383067064</v>
      </c>
      <c r="N260" s="90" t="s">
        <v>268</v>
      </c>
      <c r="O260" s="25">
        <f t="shared" si="1"/>
        <v>7.1500831604396353E-3</v>
      </c>
      <c r="Q260" s="93">
        <v>-2.7000000000000017E-2</v>
      </c>
      <c r="R260">
        <v>2</v>
      </c>
      <c r="T260" s="53">
        <f t="shared" si="4"/>
        <v>-2.9000000000000019E-2</v>
      </c>
      <c r="U260" s="1">
        <f t="shared" si="3"/>
        <v>2.5666074001785111</v>
      </c>
      <c r="W260" s="41"/>
      <c r="X260" s="53">
        <f>($S$240*3)+$S$238</f>
        <v>3.9901894951624099E-2</v>
      </c>
      <c r="Y260" s="1">
        <v>2</v>
      </c>
    </row>
    <row r="261" spans="1:25" ht="15">
      <c r="A261" s="91">
        <v>573.37616916625552</v>
      </c>
      <c r="B261" s="91">
        <v>573.99721824571145</v>
      </c>
      <c r="C261" s="91">
        <v>569.20626820419443</v>
      </c>
      <c r="D261" s="91">
        <v>570.03433364346893</v>
      </c>
      <c r="E261" s="92">
        <v>4610520.3996252501</v>
      </c>
      <c r="F261" s="90" t="s">
        <v>269</v>
      </c>
      <c r="G261" s="25">
        <f t="shared" si="0"/>
        <v>5.8625162127108332E-3</v>
      </c>
      <c r="I261" s="91">
        <v>577.56675346486156</v>
      </c>
      <c r="J261" s="91">
        <v>581.67339823571774</v>
      </c>
      <c r="K261" s="91">
        <v>575.02827853490533</v>
      </c>
      <c r="L261" s="91">
        <v>578.26262883176082</v>
      </c>
      <c r="M261" s="92">
        <v>1012701.5317989294</v>
      </c>
      <c r="N261" s="90" t="s">
        <v>269</v>
      </c>
      <c r="O261" s="25">
        <f t="shared" si="1"/>
        <v>-1.2033898305084945E-3</v>
      </c>
      <c r="Q261" s="93">
        <v>-2.6000000000000016E-2</v>
      </c>
      <c r="R261">
        <v>6</v>
      </c>
      <c r="T261" s="53">
        <f t="shared" si="4"/>
        <v>-2.8000000000000018E-2</v>
      </c>
      <c r="U261" s="1">
        <f t="shared" si="3"/>
        <v>3.0282937938943779</v>
      </c>
    </row>
    <row r="262" spans="1:25" ht="15">
      <c r="A262" s="91">
        <v>569.14712067281766</v>
      </c>
      <c r="B262" s="91">
        <v>573.23815825970985</v>
      </c>
      <c r="C262" s="91">
        <v>568.21061809268565</v>
      </c>
      <c r="D262" s="91">
        <v>572.5382458050849</v>
      </c>
      <c r="E262" s="92">
        <v>4714361.7579547698</v>
      </c>
      <c r="F262" s="90" t="s">
        <v>270</v>
      </c>
      <c r="G262" s="25">
        <f t="shared" si="0"/>
        <v>-5.9229669932333584E-3</v>
      </c>
      <c r="I262" s="91">
        <v>578.21362352423284</v>
      </c>
      <c r="J262" s="91">
        <v>582.84952561639238</v>
      </c>
      <c r="K262" s="91">
        <v>574.35200529101724</v>
      </c>
      <c r="L262" s="91">
        <v>578.47825218488458</v>
      </c>
      <c r="M262" s="92">
        <v>924208.05591344542</v>
      </c>
      <c r="N262" s="90" t="s">
        <v>270</v>
      </c>
      <c r="O262" s="25">
        <f t="shared" si="1"/>
        <v>-4.5745654162843152E-4</v>
      </c>
      <c r="Q262" s="93">
        <v>-2.5000000000000015E-2</v>
      </c>
      <c r="R262">
        <v>3</v>
      </c>
      <c r="T262" s="53">
        <f t="shared" si="4"/>
        <v>-2.7000000000000017E-2</v>
      </c>
      <c r="U262" s="1">
        <f t="shared" si="3"/>
        <v>3.5525732592146784</v>
      </c>
    </row>
    <row r="263" spans="1:25" ht="15">
      <c r="A263" s="91">
        <v>571.89748088183671</v>
      </c>
      <c r="B263" s="91">
        <v>571.96648633510961</v>
      </c>
      <c r="C263" s="91">
        <v>566.90937240239714</v>
      </c>
      <c r="D263" s="91">
        <v>566.99809369946217</v>
      </c>
      <c r="E263" s="92">
        <v>6735789.8246380333</v>
      </c>
      <c r="F263" s="90" t="s">
        <v>271</v>
      </c>
      <c r="G263" s="25">
        <f t="shared" si="0"/>
        <v>8.6409235530366946E-3</v>
      </c>
      <c r="I263" s="91">
        <v>578.01760229412025</v>
      </c>
      <c r="J263" s="91">
        <v>580.37965811697541</v>
      </c>
      <c r="K263" s="91">
        <v>572.50450519720732</v>
      </c>
      <c r="L263" s="91">
        <v>574.03837132283741</v>
      </c>
      <c r="M263" s="92">
        <v>990042.76163688232</v>
      </c>
      <c r="N263" s="90" t="s">
        <v>271</v>
      </c>
      <c r="O263" s="25">
        <f t="shared" si="1"/>
        <v>6.9319947412451732E-3</v>
      </c>
      <c r="Q263" s="93">
        <v>-2.4000000000000014E-2</v>
      </c>
      <c r="R263">
        <v>2</v>
      </c>
      <c r="T263" s="53">
        <f t="shared" si="4"/>
        <v>-2.6000000000000016E-2</v>
      </c>
      <c r="U263" s="1">
        <f t="shared" si="3"/>
        <v>4.1437595816512918</v>
      </c>
    </row>
    <row r="264" spans="1:25" ht="15">
      <c r="A264" s="91">
        <v>563.33094675410359</v>
      </c>
      <c r="B264" s="91">
        <v>567.55999524754145</v>
      </c>
      <c r="C264" s="91">
        <v>561.20163562454036</v>
      </c>
      <c r="D264" s="91">
        <v>567.55013732564532</v>
      </c>
      <c r="E264" s="92">
        <v>8907814.5399499964</v>
      </c>
      <c r="F264" s="90" t="s">
        <v>272</v>
      </c>
      <c r="G264" s="25">
        <f t="shared" si="0"/>
        <v>-7.4340402619281765E-3</v>
      </c>
      <c r="I264" s="91">
        <v>574.77345093575912</v>
      </c>
      <c r="J264" s="91">
        <v>576.1848037925688</v>
      </c>
      <c r="K264" s="91">
        <v>561.55181896467354</v>
      </c>
      <c r="L264" s="91">
        <v>565.65356320477679</v>
      </c>
      <c r="M264" s="92">
        <v>1026931.6230926105</v>
      </c>
      <c r="N264" s="90" t="s">
        <v>272</v>
      </c>
      <c r="O264" s="25">
        <f t="shared" si="1"/>
        <v>1.6122744245280707E-2</v>
      </c>
      <c r="Q264" s="93">
        <v>-2.3000000000000013E-2</v>
      </c>
      <c r="R264">
        <v>1</v>
      </c>
      <c r="T264" s="53">
        <f t="shared" si="4"/>
        <v>-2.5000000000000015E-2</v>
      </c>
      <c r="U264" s="1">
        <f t="shared" si="3"/>
        <v>4.8056543318054254</v>
      </c>
    </row>
    <row r="265" spans="1:25" ht="15">
      <c r="A265" s="91">
        <v>572.76497800869583</v>
      </c>
      <c r="B265" s="91">
        <v>579.80491435159502</v>
      </c>
      <c r="C265" s="91">
        <v>571.601743224953</v>
      </c>
      <c r="D265" s="91">
        <v>579.47822281995741</v>
      </c>
      <c r="E265" s="92">
        <v>7148406.1998599339</v>
      </c>
      <c r="F265" s="90" t="s">
        <v>273</v>
      </c>
      <c r="G265" s="25">
        <f t="shared" si="0"/>
        <v>-1.1584982052634252E-2</v>
      </c>
      <c r="I265" s="91">
        <v>565.13900747573155</v>
      </c>
      <c r="J265" s="91">
        <v>565.89368921166454</v>
      </c>
      <c r="K265" s="91">
        <v>557.57268600400562</v>
      </c>
      <c r="L265" s="91">
        <v>560.62071812163936</v>
      </c>
      <c r="M265" s="92">
        <v>867932.51885212213</v>
      </c>
      <c r="N265" s="90" t="s">
        <v>273</v>
      </c>
      <c r="O265" s="25">
        <f t="shared" si="1"/>
        <v>8.0594405594405227E-3</v>
      </c>
      <c r="Q265" s="93">
        <v>-2.2000000000000013E-2</v>
      </c>
      <c r="R265">
        <v>7</v>
      </c>
      <c r="T265" s="53">
        <f t="shared" si="4"/>
        <v>-2.4000000000000014E-2</v>
      </c>
      <c r="U265" s="1">
        <f t="shared" si="3"/>
        <v>5.5413678362807106</v>
      </c>
    </row>
    <row r="266" spans="1:25" ht="15">
      <c r="A266" s="91">
        <v>574.92386290394734</v>
      </c>
      <c r="B266" s="91">
        <v>577.8220919414083</v>
      </c>
      <c r="C266" s="91">
        <v>572.30165567957783</v>
      </c>
      <c r="D266" s="91">
        <v>576.35326157888551</v>
      </c>
      <c r="E266" s="92">
        <v>7075252.8509494085</v>
      </c>
      <c r="F266" s="90" t="s">
        <v>274</v>
      </c>
      <c r="G266" s="25">
        <f t="shared" si="0"/>
        <v>-2.480073889097878E-3</v>
      </c>
      <c r="I266" s="91">
        <v>561.4146041035948</v>
      </c>
      <c r="J266" s="91">
        <v>562.39461224354204</v>
      </c>
      <c r="K266" s="91">
        <v>557.39714899243995</v>
      </c>
      <c r="L266" s="91">
        <v>561.54201790316802</v>
      </c>
      <c r="M266" s="92">
        <v>675201.35407815757</v>
      </c>
      <c r="N266" s="90" t="s">
        <v>274</v>
      </c>
      <c r="O266" s="25">
        <f t="shared" si="1"/>
        <v>-2.2689984989721079E-4</v>
      </c>
      <c r="Q266" s="93">
        <v>-2.1000000000000012E-2</v>
      </c>
      <c r="R266">
        <v>6</v>
      </c>
      <c r="T266" s="53">
        <f t="shared" si="4"/>
        <v>-2.3000000000000013E-2</v>
      </c>
      <c r="U266" s="1">
        <f t="shared" si="3"/>
        <v>6.3531323351350011</v>
      </c>
    </row>
    <row r="267" spans="1:25" ht="15">
      <c r="A267" s="91">
        <v>575.62377535857217</v>
      </c>
      <c r="B267" s="91">
        <v>578.73887867774806</v>
      </c>
      <c r="C267" s="91">
        <v>574.83514160688219</v>
      </c>
      <c r="D267" s="91">
        <v>578.48257270844874</v>
      </c>
      <c r="E267" s="92">
        <v>5105850.9623393919</v>
      </c>
      <c r="F267" s="90" t="s">
        <v>275</v>
      </c>
      <c r="G267" s="25">
        <f t="shared" si="0"/>
        <v>-4.9418901877920085E-3</v>
      </c>
      <c r="I267" s="91">
        <v>561.8164476253254</v>
      </c>
      <c r="J267" s="91">
        <v>561.8948561173703</v>
      </c>
      <c r="K267" s="91">
        <v>556.88651368799697</v>
      </c>
      <c r="L267" s="91">
        <v>560.03265443130192</v>
      </c>
      <c r="M267" s="92">
        <v>695897.07156586309</v>
      </c>
      <c r="N267" s="90" t="s">
        <v>275</v>
      </c>
      <c r="O267" s="25">
        <f t="shared" si="1"/>
        <v>3.1851592579630328E-3</v>
      </c>
      <c r="Q267" s="93">
        <v>-2.0000000000000011E-2</v>
      </c>
      <c r="R267">
        <v>4</v>
      </c>
      <c r="T267" s="53">
        <f t="shared" si="4"/>
        <v>-2.2000000000000013E-2</v>
      </c>
      <c r="U267" s="1">
        <f t="shared" si="3"/>
        <v>7.2421129752017848</v>
      </c>
    </row>
    <row r="268" spans="1:25" ht="15">
      <c r="A268" s="91">
        <v>577.12217948678347</v>
      </c>
      <c r="B268" s="91">
        <v>578.16711920777266</v>
      </c>
      <c r="C268" s="91">
        <v>575.93922885924826</v>
      </c>
      <c r="D268" s="91">
        <v>577.7136548005509</v>
      </c>
      <c r="E268" s="92">
        <v>4229956.4187446134</v>
      </c>
      <c r="F268" s="90" t="s">
        <v>276</v>
      </c>
      <c r="G268" s="25">
        <f t="shared" si="0"/>
        <v>-1.0238208995970721E-3</v>
      </c>
      <c r="I268" s="91">
        <v>557.30795933273873</v>
      </c>
      <c r="J268" s="91">
        <v>558.66050582051469</v>
      </c>
      <c r="K268" s="91">
        <v>552.4270307029384</v>
      </c>
      <c r="L268" s="91">
        <v>557.91562514608734</v>
      </c>
      <c r="M268" s="92">
        <v>692309.70503624505</v>
      </c>
      <c r="N268" s="90" t="s">
        <v>276</v>
      </c>
      <c r="O268" s="25">
        <f t="shared" si="1"/>
        <v>-1.0891715269482072E-3</v>
      </c>
      <c r="Q268" s="93">
        <v>-1.900000000000001E-2</v>
      </c>
      <c r="R268">
        <v>6</v>
      </c>
      <c r="T268" s="53">
        <f t="shared" si="4"/>
        <v>-2.1000000000000012E-2</v>
      </c>
      <c r="U268" s="1">
        <f t="shared" si="3"/>
        <v>8.2082232619665234</v>
      </c>
    </row>
    <row r="269" spans="1:25" ht="15">
      <c r="A269" s="91">
        <v>577.26019039332914</v>
      </c>
      <c r="B269" s="91">
        <v>577.7136548005509</v>
      </c>
      <c r="C269" s="91">
        <v>575.29846393600019</v>
      </c>
      <c r="D269" s="91">
        <v>575.51533821771477</v>
      </c>
      <c r="E269" s="92">
        <v>3235023.6019351534</v>
      </c>
      <c r="F269" s="90" t="s">
        <v>277</v>
      </c>
      <c r="G269" s="25">
        <f t="shared" si="0"/>
        <v>3.0318082937943469E-3</v>
      </c>
      <c r="I269" s="91">
        <v>558.40567822136859</v>
      </c>
      <c r="J269" s="91">
        <v>558.81242227385189</v>
      </c>
      <c r="K269" s="91">
        <v>552.09869514249999</v>
      </c>
      <c r="L269" s="91">
        <v>556.70029351939013</v>
      </c>
      <c r="M269" s="92">
        <v>645492.32716990449</v>
      </c>
      <c r="N269" s="90" t="s">
        <v>277</v>
      </c>
      <c r="O269" s="25">
        <f t="shared" si="1"/>
        <v>3.0633802816901756E-3</v>
      </c>
      <c r="Q269" s="93">
        <v>-1.8000000000000009E-2</v>
      </c>
      <c r="R269">
        <v>12</v>
      </c>
      <c r="T269" s="53">
        <f t="shared" si="4"/>
        <v>-2.0000000000000011E-2</v>
      </c>
      <c r="U269" s="1">
        <f t="shared" si="3"/>
        <v>9.2499523902440259</v>
      </c>
    </row>
    <row r="270" spans="1:25" ht="15">
      <c r="A270" s="91">
        <v>574.97315251342798</v>
      </c>
      <c r="B270" s="91">
        <v>576.44198287595066</v>
      </c>
      <c r="C270" s="91">
        <v>574.4408247310372</v>
      </c>
      <c r="D270" s="91">
        <v>575.052015888597</v>
      </c>
      <c r="E270" s="92">
        <v>3896258.2991345515</v>
      </c>
      <c r="F270" s="90" t="s">
        <v>278</v>
      </c>
      <c r="G270" s="25">
        <f t="shared" si="0"/>
        <v>-1.3714128981390239E-4</v>
      </c>
      <c r="I270" s="91">
        <v>557.17074447165999</v>
      </c>
      <c r="J270" s="91">
        <v>565.38403401337212</v>
      </c>
      <c r="K270" s="91">
        <v>555.30864079620676</v>
      </c>
      <c r="L270" s="91">
        <v>556.9453200570307</v>
      </c>
      <c r="M270" s="92">
        <v>994743.27290023572</v>
      </c>
      <c r="N270" s="90" t="s">
        <v>278</v>
      </c>
      <c r="O270" s="25">
        <f t="shared" si="1"/>
        <v>4.047514298284316E-4</v>
      </c>
      <c r="Q270" s="93">
        <v>-1.7000000000000008E-2</v>
      </c>
      <c r="R270">
        <v>10</v>
      </c>
      <c r="T270" s="53">
        <f t="shared" si="4"/>
        <v>-1.900000000000001E-2</v>
      </c>
      <c r="U270" s="1">
        <f t="shared" si="3"/>
        <v>10.36421242564434</v>
      </c>
    </row>
    <row r="271" spans="1:25" ht="15">
      <c r="A271" s="91">
        <v>574.57883563758298</v>
      </c>
      <c r="B271" s="91">
        <v>574.67741485654426</v>
      </c>
      <c r="C271" s="91">
        <v>570.64552480102873</v>
      </c>
      <c r="D271" s="91">
        <v>572.3213715233702</v>
      </c>
      <c r="E271" s="92">
        <v>4318704.3322722949</v>
      </c>
      <c r="F271" s="90" t="s">
        <v>279</v>
      </c>
      <c r="G271" s="25">
        <f t="shared" si="0"/>
        <v>3.9443994694867701E-3</v>
      </c>
      <c r="I271" s="91">
        <v>557.19034659467127</v>
      </c>
      <c r="J271" s="91">
        <v>557.35696464026682</v>
      </c>
      <c r="K271" s="91">
        <v>540.82747441103356</v>
      </c>
      <c r="L271" s="91">
        <v>551.1626937687131</v>
      </c>
      <c r="M271" s="92">
        <v>1276471.9405976909</v>
      </c>
      <c r="N271" s="90" t="s">
        <v>279</v>
      </c>
      <c r="O271" s="25">
        <f t="shared" si="1"/>
        <v>1.0936249666577691E-2</v>
      </c>
      <c r="Q271" s="93">
        <v>-1.6000000000000007E-2</v>
      </c>
      <c r="R271">
        <v>17</v>
      </c>
      <c r="T271" s="53">
        <f t="shared" si="4"/>
        <v>-1.8000000000000009E-2</v>
      </c>
      <c r="U271" s="1">
        <f t="shared" si="3"/>
        <v>11.546213549473011</v>
      </c>
    </row>
    <row r="272" spans="1:25" ht="15">
      <c r="A272" s="91">
        <v>569.73859598658521</v>
      </c>
      <c r="B272" s="91">
        <v>570.61595103534046</v>
      </c>
      <c r="C272" s="91">
        <v>567.46141602858017</v>
      </c>
      <c r="D272" s="91">
        <v>570.06390740915731</v>
      </c>
      <c r="E272" s="92">
        <v>4812047.660739053</v>
      </c>
      <c r="F272" s="90" t="s">
        <v>280</v>
      </c>
      <c r="G272" s="25">
        <f t="shared" si="0"/>
        <v>-5.7065781282417127E-4</v>
      </c>
      <c r="I272" s="91">
        <v>552.57404662552278</v>
      </c>
      <c r="J272" s="91">
        <v>555.84113246780714</v>
      </c>
      <c r="K272" s="91">
        <v>524.86644574912634</v>
      </c>
      <c r="L272" s="91">
        <v>525.34669776290195</v>
      </c>
      <c r="M272" s="92">
        <v>2441934.4768185406</v>
      </c>
      <c r="N272" s="90" t="s">
        <v>280</v>
      </c>
      <c r="O272" s="25">
        <f t="shared" si="1"/>
        <v>5.1827391280013346E-2</v>
      </c>
      <c r="Q272" s="93">
        <v>-1.5000000000000006E-2</v>
      </c>
      <c r="R272">
        <v>14</v>
      </c>
      <c r="T272" s="53">
        <f t="shared" si="4"/>
        <v>-1.7000000000000008E-2</v>
      </c>
      <c r="U272" s="1">
        <f t="shared" si="3"/>
        <v>12.789375453824826</v>
      </c>
    </row>
    <row r="273" spans="1:21" ht="15">
      <c r="A273" s="91">
        <v>569.73859598658521</v>
      </c>
      <c r="B273" s="91">
        <v>572.28193983578558</v>
      </c>
      <c r="C273" s="91">
        <v>569.38371079832473</v>
      </c>
      <c r="D273" s="91">
        <v>569.76816975227359</v>
      </c>
      <c r="E273" s="92">
        <v>5977128.9142752439</v>
      </c>
      <c r="F273" s="90" t="s">
        <v>281</v>
      </c>
      <c r="G273" s="25">
        <f t="shared" si="0"/>
        <v>-5.1904910204569887E-5</v>
      </c>
      <c r="I273" s="91">
        <v>505.03889832325092</v>
      </c>
      <c r="J273" s="91">
        <v>513.55602077163735</v>
      </c>
      <c r="K273" s="91">
        <v>504.15680278774482</v>
      </c>
      <c r="L273" s="91">
        <v>507.99881889794904</v>
      </c>
      <c r="M273" s="92">
        <v>849095.78367868403</v>
      </c>
      <c r="N273" s="90" t="s">
        <v>281</v>
      </c>
      <c r="O273" s="25">
        <f t="shared" si="1"/>
        <v>-5.8266288514594589E-3</v>
      </c>
      <c r="Q273" s="93">
        <v>-1.4000000000000005E-2</v>
      </c>
      <c r="R273">
        <v>17</v>
      </c>
      <c r="T273" s="53">
        <f t="shared" si="4"/>
        <v>-1.6000000000000007E-2</v>
      </c>
      <c r="U273" s="1">
        <f t="shared" si="3"/>
        <v>14.085282440564503</v>
      </c>
    </row>
    <row r="274" spans="1:21" ht="15">
      <c r="A274" s="91">
        <v>568.72323003128417</v>
      </c>
      <c r="B274" s="91">
        <v>570.28078169087212</v>
      </c>
      <c r="C274" s="91">
        <v>567.65857446650273</v>
      </c>
      <c r="D274" s="91">
        <v>570.25120792518373</v>
      </c>
      <c r="E274" s="92">
        <v>4305316.1150201503</v>
      </c>
      <c r="F274" s="90" t="s">
        <v>282</v>
      </c>
      <c r="G274" s="25">
        <f t="shared" si="0"/>
        <v>-2.6794820820441601E-3</v>
      </c>
      <c r="I274" s="91">
        <v>508.71429638785958</v>
      </c>
      <c r="J274" s="91">
        <v>517.76067615754971</v>
      </c>
      <c r="K274" s="91">
        <v>505.38193547594773</v>
      </c>
      <c r="L274" s="91">
        <v>512.93855389678311</v>
      </c>
      <c r="M274" s="92">
        <v>891441.19695477549</v>
      </c>
      <c r="N274" s="90" t="s">
        <v>282</v>
      </c>
      <c r="O274" s="25">
        <f t="shared" si="1"/>
        <v>-8.2354065157160816E-3</v>
      </c>
      <c r="Q274" s="93">
        <v>-1.3000000000000005E-2</v>
      </c>
      <c r="R274">
        <v>20</v>
      </c>
      <c r="T274" s="53">
        <f t="shared" si="4"/>
        <v>-1.5000000000000006E-2</v>
      </c>
      <c r="U274" s="1">
        <f t="shared" si="3"/>
        <v>15.423688816457037</v>
      </c>
    </row>
    <row r="275" spans="1:21" ht="15">
      <c r="A275" s="91">
        <v>568.97953600058349</v>
      </c>
      <c r="B275" s="91">
        <v>569.44285832970138</v>
      </c>
      <c r="C275" s="91">
        <v>565.64755839969303</v>
      </c>
      <c r="D275" s="91">
        <v>565.86443268140783</v>
      </c>
      <c r="E275" s="92">
        <v>5469281.5147165656</v>
      </c>
      <c r="F275" s="90" t="s">
        <v>283</v>
      </c>
      <c r="G275" s="25">
        <f t="shared" si="0"/>
        <v>5.5050346677814055E-3</v>
      </c>
      <c r="I275" s="91">
        <v>513.40900484905308</v>
      </c>
      <c r="J275" s="91">
        <v>515.06538424350333</v>
      </c>
      <c r="K275" s="91">
        <v>508.32225392763468</v>
      </c>
      <c r="L275" s="91">
        <v>508.67509214183707</v>
      </c>
      <c r="M275" s="92">
        <v>633417.10450834886</v>
      </c>
      <c r="N275" s="90" t="s">
        <v>283</v>
      </c>
      <c r="O275" s="25">
        <f t="shared" si="1"/>
        <v>9.3063583815029549E-3</v>
      </c>
      <c r="Q275" s="93">
        <v>-1.2000000000000004E-2</v>
      </c>
      <c r="R275">
        <v>19</v>
      </c>
      <c r="T275" s="53">
        <f t="shared" si="4"/>
        <v>-1.4000000000000005E-2</v>
      </c>
      <c r="U275" s="1">
        <f t="shared" si="3"/>
        <v>16.792579788969103</v>
      </c>
    </row>
    <row r="276" spans="1:21" ht="15">
      <c r="A276" s="91">
        <v>565.58841086831626</v>
      </c>
      <c r="B276" s="91">
        <v>566.10102280691478</v>
      </c>
      <c r="C276" s="91">
        <v>560.09754837217417</v>
      </c>
      <c r="D276" s="91">
        <v>565.25324152384803</v>
      </c>
      <c r="E276" s="92">
        <v>6208054.8664168082</v>
      </c>
      <c r="F276" s="90" t="s">
        <v>284</v>
      </c>
      <c r="G276" s="25">
        <f t="shared" si="0"/>
        <v>5.9295430763861567E-4</v>
      </c>
      <c r="I276" s="91">
        <v>509.36116644723074</v>
      </c>
      <c r="J276" s="91">
        <v>510.41968108983798</v>
      </c>
      <c r="K276" s="91">
        <v>503.83346576867439</v>
      </c>
      <c r="L276" s="91">
        <v>506.55806285662254</v>
      </c>
      <c r="M276" s="92">
        <v>493252.69484600291</v>
      </c>
      <c r="N276" s="90" t="s">
        <v>284</v>
      </c>
      <c r="O276" s="25">
        <f t="shared" si="1"/>
        <v>5.5336274282176134E-3</v>
      </c>
      <c r="Q276" s="93">
        <v>-1.1000000000000003E-2</v>
      </c>
      <c r="R276">
        <v>14</v>
      </c>
      <c r="T276" s="53">
        <f t="shared" si="4"/>
        <v>-1.3000000000000005E-2</v>
      </c>
      <c r="U276" s="1">
        <f t="shared" si="3"/>
        <v>18.17829128108345</v>
      </c>
    </row>
    <row r="277" spans="1:21" ht="15">
      <c r="A277" s="91">
        <v>563.73512155184471</v>
      </c>
      <c r="B277" s="91">
        <v>568.95982015679124</v>
      </c>
      <c r="C277" s="91">
        <v>563.72526362994859</v>
      </c>
      <c r="D277" s="91">
        <v>568.65422457801139</v>
      </c>
      <c r="E277" s="92">
        <v>5415206.2232284574</v>
      </c>
      <c r="F277" s="90" t="s">
        <v>285</v>
      </c>
      <c r="G277" s="25">
        <f t="shared" si="0"/>
        <v>-8.6504290543467643E-3</v>
      </c>
      <c r="I277" s="91">
        <v>506.53846073361132</v>
      </c>
      <c r="J277" s="91">
        <v>513.04636557334504</v>
      </c>
      <c r="K277" s="91">
        <v>505.88178961273451</v>
      </c>
      <c r="L277" s="91">
        <v>509.06713460206197</v>
      </c>
      <c r="M277" s="92">
        <v>545190.94660658494</v>
      </c>
      <c r="N277" s="90" t="s">
        <v>285</v>
      </c>
      <c r="O277" s="25">
        <f t="shared" si="1"/>
        <v>-4.9672699268384912E-3</v>
      </c>
      <c r="Q277" s="93">
        <v>-1.0000000000000002E-2</v>
      </c>
      <c r="R277">
        <v>33</v>
      </c>
      <c r="T277" s="53">
        <f t="shared" si="4"/>
        <v>-1.2000000000000004E-2</v>
      </c>
      <c r="U277" s="1">
        <f t="shared" si="3"/>
        <v>19.565689953548866</v>
      </c>
    </row>
    <row r="278" spans="1:21" ht="15">
      <c r="A278" s="91">
        <v>566.18974410397993</v>
      </c>
      <c r="B278" s="91">
        <v>566.51406973436247</v>
      </c>
      <c r="C278" s="91">
        <v>563.45909973875314</v>
      </c>
      <c r="D278" s="91">
        <v>564.71105581956112</v>
      </c>
      <c r="E278" s="92">
        <v>4787997.9672541441</v>
      </c>
      <c r="F278" s="90" t="s">
        <v>286</v>
      </c>
      <c r="G278" s="25">
        <f t="shared" si="0"/>
        <v>2.6184865147944603E-3</v>
      </c>
      <c r="I278" s="91">
        <v>510.74311611952356</v>
      </c>
      <c r="J278" s="91">
        <v>513.3403974185137</v>
      </c>
      <c r="K278" s="91">
        <v>503.11789026814887</v>
      </c>
      <c r="L278" s="91">
        <v>506.71487984071246</v>
      </c>
      <c r="M278" s="92">
        <v>805910.66543846414</v>
      </c>
      <c r="N278" s="90" t="s">
        <v>286</v>
      </c>
      <c r="O278" s="25">
        <f t="shared" si="1"/>
        <v>7.9497098646035269E-3</v>
      </c>
      <c r="Q278" s="93">
        <v>-9.0000000000000011E-3</v>
      </c>
      <c r="R278">
        <v>32</v>
      </c>
      <c r="T278" s="53">
        <f t="shared" si="4"/>
        <v>-1.1000000000000003E-2</v>
      </c>
      <c r="U278" s="1">
        <f t="shared" si="3"/>
        <v>20.938412330051285</v>
      </c>
    </row>
    <row r="279" spans="1:21" ht="15">
      <c r="A279" s="91">
        <v>565.07579892971773</v>
      </c>
      <c r="B279" s="91">
        <v>566.21507896325306</v>
      </c>
      <c r="C279" s="91">
        <v>563.25208337893446</v>
      </c>
      <c r="D279" s="91">
        <v>564.31673894371613</v>
      </c>
      <c r="E279" s="92">
        <v>4477878.8536911234</v>
      </c>
      <c r="F279" s="90" t="s">
        <v>287</v>
      </c>
      <c r="G279" s="25">
        <f t="shared" si="0"/>
        <v>1.3450956415406168E-3</v>
      </c>
      <c r="I279" s="91">
        <v>504.36262507936294</v>
      </c>
      <c r="J279" s="91">
        <v>504.94578823894756</v>
      </c>
      <c r="K279" s="91">
        <v>497.91352660866295</v>
      </c>
      <c r="L279" s="91">
        <v>503.4805295438569</v>
      </c>
      <c r="M279" s="92">
        <v>764053.97473566246</v>
      </c>
      <c r="N279" s="90" t="s">
        <v>287</v>
      </c>
      <c r="O279" s="25">
        <f t="shared" si="1"/>
        <v>1.7519953280122902E-3</v>
      </c>
      <c r="Q279" s="93">
        <v>-8.0000000000000002E-3</v>
      </c>
      <c r="R279">
        <v>25</v>
      </c>
      <c r="T279" s="53">
        <f t="shared" si="4"/>
        <v>-1.0000000000000002E-2</v>
      </c>
      <c r="U279" s="1">
        <f t="shared" si="3"/>
        <v>22.279159368837014</v>
      </c>
    </row>
    <row r="280" spans="1:21" ht="15">
      <c r="A280" s="91">
        <v>567.11638876221571</v>
      </c>
      <c r="B280" s="91">
        <v>568.07260718613998</v>
      </c>
      <c r="C280" s="91">
        <v>564.56318699111921</v>
      </c>
      <c r="D280" s="91">
        <v>565.62784255590077</v>
      </c>
      <c r="E280" s="92">
        <v>4991192.9226521207</v>
      </c>
      <c r="F280" s="90" t="s">
        <v>288</v>
      </c>
      <c r="G280" s="25">
        <f t="shared" si="0"/>
        <v>2.6316706751716712E-3</v>
      </c>
      <c r="I280" s="91">
        <v>503.64714758945246</v>
      </c>
      <c r="J280" s="91">
        <v>504.68606010904847</v>
      </c>
      <c r="K280" s="91">
        <v>494.93361186849336</v>
      </c>
      <c r="L280" s="91">
        <v>496.4727705673364</v>
      </c>
      <c r="M280" s="92">
        <v>631395.89486808341</v>
      </c>
      <c r="N280" s="90" t="s">
        <v>288</v>
      </c>
      <c r="O280" s="25">
        <f t="shared" si="1"/>
        <v>1.4450695883920561E-2</v>
      </c>
      <c r="Q280" s="93">
        <v>-7.0000000000000001E-3</v>
      </c>
      <c r="R280">
        <v>38</v>
      </c>
      <c r="T280" s="53">
        <f t="shared" si="4"/>
        <v>-9.0000000000000011E-3</v>
      </c>
      <c r="U280" s="1">
        <f t="shared" si="3"/>
        <v>23.570040235966001</v>
      </c>
    </row>
    <row r="281" spans="1:21" ht="15">
      <c r="A281" s="91">
        <v>565.46025788366671</v>
      </c>
      <c r="B281" s="91">
        <v>566.10102280691478</v>
      </c>
      <c r="C281" s="91">
        <v>562.65075014327078</v>
      </c>
      <c r="D281" s="91">
        <v>564.32659686561226</v>
      </c>
      <c r="E281" s="92">
        <v>6931622.173518654</v>
      </c>
      <c r="F281" s="90" t="s">
        <v>289</v>
      </c>
      <c r="G281" s="25">
        <f t="shared" si="0"/>
        <v>2.0088739824617452E-3</v>
      </c>
      <c r="I281" s="91">
        <v>497.83511811661799</v>
      </c>
      <c r="J281" s="91">
        <v>498.29086747662944</v>
      </c>
      <c r="K281" s="91">
        <v>492.30290894976906</v>
      </c>
      <c r="L281" s="91">
        <v>495.74749201592027</v>
      </c>
      <c r="M281" s="92">
        <v>609954.33979984582</v>
      </c>
      <c r="N281" s="90" t="s">
        <v>289</v>
      </c>
      <c r="O281" s="25">
        <f t="shared" si="1"/>
        <v>4.2110673968487333E-3</v>
      </c>
      <c r="Q281" s="93">
        <v>-6.0000000000000001E-3</v>
      </c>
      <c r="R281">
        <v>41</v>
      </c>
      <c r="T281" s="53">
        <f t="shared" si="4"/>
        <v>-8.0000000000000002E-3</v>
      </c>
      <c r="U281" s="1">
        <f t="shared" si="3"/>
        <v>24.792956545458743</v>
      </c>
    </row>
    <row r="282" spans="1:21" ht="15">
      <c r="A282" s="91">
        <v>562.12828028277613</v>
      </c>
      <c r="B282" s="91">
        <v>563.70554778615633</v>
      </c>
      <c r="C282" s="91">
        <v>561.38893614056678</v>
      </c>
      <c r="D282" s="91">
        <v>563.03520909721965</v>
      </c>
      <c r="E282" s="92">
        <v>7016504.1606978038</v>
      </c>
      <c r="F282" s="90" t="s">
        <v>290</v>
      </c>
      <c r="G282" s="25">
        <f t="shared" si="0"/>
        <v>-1.6107852578131077E-3</v>
      </c>
      <c r="I282" s="91">
        <v>494.8065901113805</v>
      </c>
      <c r="J282" s="91">
        <v>496.84521090455007</v>
      </c>
      <c r="K282" s="91">
        <v>490.87146391687276</v>
      </c>
      <c r="L282" s="91">
        <v>491.0331814317156</v>
      </c>
      <c r="M282" s="92">
        <v>677633.74367048114</v>
      </c>
      <c r="N282" s="90" t="s">
        <v>290</v>
      </c>
      <c r="O282" s="25">
        <f t="shared" si="1"/>
        <v>7.6846307385229906E-3</v>
      </c>
      <c r="Q282" s="93">
        <v>-5.0000000000000001E-3</v>
      </c>
      <c r="R282">
        <v>36</v>
      </c>
      <c r="T282" s="53">
        <f t="shared" si="4"/>
        <v>-7.0000000000000001E-3</v>
      </c>
      <c r="U282" s="1">
        <f t="shared" si="3"/>
        <v>25.930016079399589</v>
      </c>
    </row>
    <row r="283" spans="1:21" ht="15">
      <c r="A283" s="91">
        <v>562.50288131482898</v>
      </c>
      <c r="B283" s="91">
        <v>565.44054203987446</v>
      </c>
      <c r="C283" s="91">
        <v>559.91024785614786</v>
      </c>
      <c r="D283" s="91">
        <v>564.85892464800293</v>
      </c>
      <c r="E283" s="92">
        <v>6439396.7277168343</v>
      </c>
      <c r="F283" s="90" t="s">
        <v>291</v>
      </c>
      <c r="G283" s="25">
        <f t="shared" si="0"/>
        <v>-4.1710296684116521E-3</v>
      </c>
      <c r="I283" s="91">
        <v>497.81551599360677</v>
      </c>
      <c r="J283" s="91">
        <v>499.46209432655144</v>
      </c>
      <c r="K283" s="91">
        <v>493.18951297356773</v>
      </c>
      <c r="L283" s="91">
        <v>496.12973341463959</v>
      </c>
      <c r="M283" s="92">
        <v>664347.42770100269</v>
      </c>
      <c r="N283" s="90" t="s">
        <v>291</v>
      </c>
      <c r="O283" s="25">
        <f t="shared" si="1"/>
        <v>3.3978664559461969E-3</v>
      </c>
      <c r="Q283" s="93">
        <v>-4.0000000000000001E-3</v>
      </c>
      <c r="R283">
        <v>43</v>
      </c>
      <c r="T283" s="53">
        <f t="shared" si="4"/>
        <v>-6.0000000000000001E-3</v>
      </c>
      <c r="U283" s="1">
        <f t="shared" si="3"/>
        <v>26.9639631215889</v>
      </c>
    </row>
    <row r="284" spans="1:21" ht="15">
      <c r="A284" s="91">
        <v>567.04738330894293</v>
      </c>
      <c r="B284" s="91">
        <v>567.49098979426856</v>
      </c>
      <c r="C284" s="91">
        <v>564.00128544304005</v>
      </c>
      <c r="D284" s="91">
        <v>564.05057505252057</v>
      </c>
      <c r="E284" s="92">
        <v>4903643.0303833261</v>
      </c>
      <c r="F284" s="90" t="s">
        <v>292</v>
      </c>
      <c r="G284" s="25">
        <f t="shared" si="0"/>
        <v>5.3130133873957597E-3</v>
      </c>
      <c r="I284" s="91">
        <v>494.16952111351497</v>
      </c>
      <c r="J284" s="91">
        <v>495.13982620257167</v>
      </c>
      <c r="K284" s="91">
        <v>488.69072773187168</v>
      </c>
      <c r="L284" s="91">
        <v>490.30790288029948</v>
      </c>
      <c r="M284" s="92">
        <v>389484.34287550428</v>
      </c>
      <c r="N284" s="90" t="s">
        <v>292</v>
      </c>
      <c r="O284" s="25">
        <f t="shared" si="1"/>
        <v>7.8759045296445951E-3</v>
      </c>
      <c r="Q284" s="93">
        <v>-3.0000000000000001E-3</v>
      </c>
      <c r="R284">
        <v>34</v>
      </c>
      <c r="T284" s="53">
        <f t="shared" si="4"/>
        <v>-5.0000000000000001E-3</v>
      </c>
      <c r="U284" s="1">
        <f t="shared" si="3"/>
        <v>27.878611153362854</v>
      </c>
    </row>
    <row r="285" spans="1:21" ht="15">
      <c r="A285" s="91">
        <v>562.1874278141529</v>
      </c>
      <c r="B285" s="91">
        <v>562.23671742363354</v>
      </c>
      <c r="C285" s="91">
        <v>558.75687099430115</v>
      </c>
      <c r="D285" s="91">
        <v>559.30891462048419</v>
      </c>
      <c r="E285" s="92">
        <v>6222433.1503486075</v>
      </c>
      <c r="F285" s="90" t="s">
        <v>293</v>
      </c>
      <c r="G285" s="25">
        <f t="shared" si="0"/>
        <v>5.1465533954915266E-3</v>
      </c>
      <c r="I285" s="91">
        <v>488.97495851553469</v>
      </c>
      <c r="J285" s="91">
        <v>489.09257125360222</v>
      </c>
      <c r="K285" s="91">
        <v>479.78156282326029</v>
      </c>
      <c r="L285" s="91">
        <v>483.19233222721715</v>
      </c>
      <c r="M285" s="92">
        <v>833440.33657104487</v>
      </c>
      <c r="N285" s="90" t="s">
        <v>293</v>
      </c>
      <c r="O285" s="25">
        <f t="shared" si="1"/>
        <v>1.1967545638945198E-2</v>
      </c>
      <c r="Q285" s="93">
        <v>-2E-3</v>
      </c>
      <c r="R285">
        <v>43</v>
      </c>
      <c r="T285" s="53">
        <f t="shared" si="4"/>
        <v>-4.0000000000000001E-3</v>
      </c>
      <c r="U285" s="1">
        <f t="shared" si="3"/>
        <v>28.659262869596912</v>
      </c>
    </row>
    <row r="286" spans="1:21" ht="15">
      <c r="A286" s="91">
        <v>559.70323149632918</v>
      </c>
      <c r="B286" s="91">
        <v>560.7185974516301</v>
      </c>
      <c r="C286" s="91">
        <v>557.76122088279237</v>
      </c>
      <c r="D286" s="91">
        <v>558.51042294689796</v>
      </c>
      <c r="E286" s="92">
        <v>7475561.358318584</v>
      </c>
      <c r="F286" s="90" t="s">
        <v>294</v>
      </c>
      <c r="G286" s="25">
        <f t="shared" si="0"/>
        <v>2.1356961310363687E-3</v>
      </c>
      <c r="I286" s="91">
        <v>493.51284999263817</v>
      </c>
      <c r="J286" s="91">
        <v>494.76738586535799</v>
      </c>
      <c r="K286" s="91">
        <v>486.50509101611772</v>
      </c>
      <c r="L286" s="91">
        <v>490.00406997362512</v>
      </c>
      <c r="M286" s="92">
        <v>664101.5359678861</v>
      </c>
      <c r="N286" s="90" t="s">
        <v>294</v>
      </c>
      <c r="O286" s="25">
        <f t="shared" si="1"/>
        <v>7.160716071607176E-3</v>
      </c>
      <c r="Q286" s="93">
        <v>-1E-3</v>
      </c>
      <c r="R286">
        <v>41</v>
      </c>
      <c r="T286" s="53">
        <f t="shared" si="4"/>
        <v>-3.0000000000000001E-3</v>
      </c>
      <c r="U286" s="1">
        <f t="shared" si="3"/>
        <v>29.293102347058127</v>
      </c>
    </row>
    <row r="287" spans="1:21" ht="15">
      <c r="A287" s="91">
        <v>559.9595374656285</v>
      </c>
      <c r="B287" s="91">
        <v>561.06362471799457</v>
      </c>
      <c r="C287" s="91">
        <v>557.34225920220717</v>
      </c>
      <c r="D287" s="91">
        <v>559.43706760513385</v>
      </c>
      <c r="E287" s="92">
        <v>5801616.2638169378</v>
      </c>
      <c r="F287" s="90" t="s">
        <v>295</v>
      </c>
      <c r="G287" s="25">
        <f t="shared" si="0"/>
        <v>9.3392070484576983E-4</v>
      </c>
      <c r="I287" s="91">
        <v>490.03347315814204</v>
      </c>
      <c r="J287" s="91">
        <v>491.11158992376056</v>
      </c>
      <c r="K287" s="91">
        <v>484.13323413175692</v>
      </c>
      <c r="L287" s="91">
        <v>485.45637743501607</v>
      </c>
      <c r="M287" s="92">
        <v>655773.86656665104</v>
      </c>
      <c r="N287" s="90" t="s">
        <v>295</v>
      </c>
      <c r="O287" s="25">
        <f t="shared" si="1"/>
        <v>9.4284387555267912E-3</v>
      </c>
      <c r="Q287" s="93">
        <v>0</v>
      </c>
      <c r="R287">
        <v>49</v>
      </c>
      <c r="T287" s="53">
        <f>T288-0.001</f>
        <v>-2E-3</v>
      </c>
      <c r="U287" s="1">
        <f t="shared" si="3"/>
        <v>29.769544771121947</v>
      </c>
    </row>
    <row r="288" spans="1:21" ht="15">
      <c r="A288" s="91">
        <v>557.17497025706712</v>
      </c>
      <c r="B288" s="91">
        <v>558.53117708122227</v>
      </c>
      <c r="C288" s="91">
        <v>553.49945321189307</v>
      </c>
      <c r="D288" s="91">
        <v>555.36669449152691</v>
      </c>
      <c r="E288" s="92">
        <v>6162779.1359969964</v>
      </c>
      <c r="F288" s="90" t="s">
        <v>296</v>
      </c>
      <c r="G288" s="25">
        <f t="shared" ref="G288:G351" si="5">A288/D288-1</f>
        <v>3.2560032560033925E-3</v>
      </c>
      <c r="I288" s="91">
        <v>484.17243837777943</v>
      </c>
      <c r="J288" s="91">
        <v>484.83891056016182</v>
      </c>
      <c r="K288" s="91">
        <v>479.52673522411408</v>
      </c>
      <c r="L288" s="91">
        <v>481.18311461856439</v>
      </c>
      <c r="M288" s="92">
        <v>892109.4919140758</v>
      </c>
      <c r="N288" s="90" t="s">
        <v>296</v>
      </c>
      <c r="O288" s="25">
        <f t="shared" ref="O288:O351" si="6">I288/L288-1</f>
        <v>6.2124452591914014E-3</v>
      </c>
      <c r="Q288" s="93">
        <v>1E-3</v>
      </c>
      <c r="R288">
        <v>47</v>
      </c>
      <c r="T288" s="53">
        <f>T289-0.001</f>
        <v>-1E-3</v>
      </c>
      <c r="U288" s="1">
        <f t="shared" si="3"/>
        <v>30.080530396200828</v>
      </c>
    </row>
    <row r="289" spans="1:21" ht="15">
      <c r="A289" s="91">
        <v>554.42324626602772</v>
      </c>
      <c r="B289" s="91">
        <v>554.81634969331901</v>
      </c>
      <c r="C289" s="91">
        <v>551.2882464333793</v>
      </c>
      <c r="D289" s="91">
        <v>551.83859123158709</v>
      </c>
      <c r="E289" s="92">
        <v>6188136.3303330615</v>
      </c>
      <c r="F289" s="90" t="s">
        <v>297</v>
      </c>
      <c r="G289" s="25">
        <f t="shared" si="5"/>
        <v>4.6837156290071569E-3</v>
      </c>
      <c r="I289" s="91">
        <v>483.83920228658826</v>
      </c>
      <c r="J289" s="91">
        <v>487.15196107548888</v>
      </c>
      <c r="K289" s="91">
        <v>477.97816750622565</v>
      </c>
      <c r="L289" s="91">
        <v>479.45812779357476</v>
      </c>
      <c r="M289" s="92">
        <v>894242.93429559784</v>
      </c>
      <c r="N289" s="90" t="s">
        <v>297</v>
      </c>
      <c r="O289" s="25">
        <f t="shared" si="6"/>
        <v>9.1375539156564045E-3</v>
      </c>
      <c r="Q289" s="93">
        <v>2E-3</v>
      </c>
      <c r="R289">
        <v>52</v>
      </c>
      <c r="T289" s="53">
        <v>0</v>
      </c>
      <c r="U289" s="1">
        <f t="shared" si="3"/>
        <v>30.220751335485435</v>
      </c>
    </row>
    <row r="290" spans="1:21" ht="15">
      <c r="A290" s="91">
        <v>550.0696258087761</v>
      </c>
      <c r="B290" s="91">
        <v>551.34721194747294</v>
      </c>
      <c r="C290" s="91">
        <v>548.71341898462094</v>
      </c>
      <c r="D290" s="91">
        <v>550.8558326633588</v>
      </c>
      <c r="E290" s="92">
        <v>16761293.701763421</v>
      </c>
      <c r="F290" s="90" t="s">
        <v>298</v>
      </c>
      <c r="G290" s="25">
        <f t="shared" si="5"/>
        <v>-1.4272461285949056E-3</v>
      </c>
      <c r="I290" s="91">
        <v>477.2332868317983</v>
      </c>
      <c r="J290" s="91">
        <v>478.74265030366422</v>
      </c>
      <c r="K290" s="91">
        <v>474.21455988806639</v>
      </c>
      <c r="L290" s="91">
        <v>478.29180147440559</v>
      </c>
      <c r="M290" s="92">
        <v>739541.32374758704</v>
      </c>
      <c r="N290" s="90" t="s">
        <v>298</v>
      </c>
      <c r="O290" s="25">
        <f t="shared" si="6"/>
        <v>-2.2131147540983553E-3</v>
      </c>
      <c r="Q290" s="93">
        <v>3.0000000000000001E-3</v>
      </c>
      <c r="R290">
        <v>44</v>
      </c>
      <c r="T290" s="25">
        <f t="shared" ref="T290:T329" si="7">T289+0.001</f>
        <v>1E-3</v>
      </c>
      <c r="U290" s="1">
        <f t="shared" si="3"/>
        <v>30.187802263458202</v>
      </c>
    </row>
    <row r="291" spans="1:21" ht="15">
      <c r="A291" s="91">
        <v>549.7944534096722</v>
      </c>
      <c r="B291" s="91">
        <v>550.7673843922181</v>
      </c>
      <c r="C291" s="91">
        <v>546.77738460521107</v>
      </c>
      <c r="D291" s="91">
        <v>547.57341904547604</v>
      </c>
      <c r="E291" s="92">
        <v>6888808.9291396448</v>
      </c>
      <c r="F291" s="90" t="s">
        <v>299</v>
      </c>
      <c r="G291" s="25">
        <f t="shared" si="5"/>
        <v>4.0561398470873034E-3</v>
      </c>
      <c r="I291" s="91">
        <v>474.37137687215636</v>
      </c>
      <c r="J291" s="91">
        <v>485.27015726640923</v>
      </c>
      <c r="K291" s="91">
        <v>471.70548814262685</v>
      </c>
      <c r="L291" s="91">
        <v>484.95652329822929</v>
      </c>
      <c r="M291" s="92">
        <v>949507.35638796445</v>
      </c>
      <c r="N291" s="90" t="s">
        <v>299</v>
      </c>
      <c r="O291" s="25">
        <f t="shared" si="6"/>
        <v>-2.1827000808407493E-2</v>
      </c>
      <c r="Q291" s="93">
        <v>4.0000000000000001E-3</v>
      </c>
      <c r="R291">
        <v>55</v>
      </c>
      <c r="T291" s="25">
        <f t="shared" si="7"/>
        <v>2E-3</v>
      </c>
      <c r="U291" s="1">
        <f t="shared" si="3"/>
        <v>29.982249052337512</v>
      </c>
    </row>
    <row r="292" spans="1:21" ht="15">
      <c r="A292" s="91">
        <v>543.81928131484369</v>
      </c>
      <c r="B292" s="91">
        <v>544.15341922804146</v>
      </c>
      <c r="C292" s="91">
        <v>536.34048861062593</v>
      </c>
      <c r="D292" s="91">
        <v>539.20031604417045</v>
      </c>
      <c r="E292" s="92">
        <v>9861171.7193882875</v>
      </c>
      <c r="F292" s="90" t="s">
        <v>300</v>
      </c>
      <c r="G292" s="25">
        <f t="shared" si="5"/>
        <v>8.5663252287391245E-3</v>
      </c>
      <c r="I292" s="91">
        <v>489.72964025146774</v>
      </c>
      <c r="J292" s="91">
        <v>498.20755845383167</v>
      </c>
      <c r="K292" s="91">
        <v>486.56507351253214</v>
      </c>
      <c r="L292" s="91">
        <v>490.84696126310877</v>
      </c>
      <c r="M292" s="92">
        <v>981316.15585536277</v>
      </c>
      <c r="N292" s="90" t="s">
        <v>300</v>
      </c>
      <c r="O292" s="25">
        <f t="shared" si="6"/>
        <v>-2.2763123739542035E-3</v>
      </c>
      <c r="Q292" s="93">
        <v>5.0000000000000001E-3</v>
      </c>
      <c r="R292">
        <v>44</v>
      </c>
      <c r="T292" s="25">
        <f t="shared" si="7"/>
        <v>3.0000000000000001E-3</v>
      </c>
      <c r="U292" s="1">
        <f t="shared" si="3"/>
        <v>29.607612605697906</v>
      </c>
    </row>
    <row r="293" spans="1:21" ht="15">
      <c r="A293" s="91">
        <v>538.2765229900358</v>
      </c>
      <c r="B293" s="91">
        <v>543.1903158311776</v>
      </c>
      <c r="C293" s="91">
        <v>537.19548856498454</v>
      </c>
      <c r="D293" s="91">
        <v>542.20755726294919</v>
      </c>
      <c r="E293" s="92">
        <v>10117294.645341258</v>
      </c>
      <c r="F293" s="90" t="s">
        <v>301</v>
      </c>
      <c r="G293" s="25">
        <f t="shared" si="5"/>
        <v>-7.2500543754077107E-3</v>
      </c>
      <c r="I293" s="91">
        <v>487.79883113485994</v>
      </c>
      <c r="J293" s="91">
        <v>489.91586042007458</v>
      </c>
      <c r="K293" s="91">
        <v>478.29180147440559</v>
      </c>
      <c r="L293" s="91">
        <v>486.7403164922527</v>
      </c>
      <c r="M293" s="92">
        <v>931395.03254445503</v>
      </c>
      <c r="N293" s="90" t="s">
        <v>301</v>
      </c>
      <c r="O293" s="25">
        <f t="shared" si="6"/>
        <v>2.1747009786152738E-3</v>
      </c>
      <c r="Q293" s="93">
        <v>6.0000000000000001E-3</v>
      </c>
      <c r="R293">
        <v>37</v>
      </c>
      <c r="T293" s="25">
        <f t="shared" si="7"/>
        <v>4.0000000000000001E-3</v>
      </c>
      <c r="U293" s="1">
        <f t="shared" si="3"/>
        <v>29.070268534633172</v>
      </c>
    </row>
    <row r="294" spans="1:21" ht="15">
      <c r="A294" s="91">
        <v>539.7703160137429</v>
      </c>
      <c r="B294" s="91">
        <v>543.18048824549533</v>
      </c>
      <c r="C294" s="91">
        <v>538.93497123074883</v>
      </c>
      <c r="D294" s="91">
        <v>540.674453896513</v>
      </c>
      <c r="E294" s="92">
        <v>4683071.864025292</v>
      </c>
      <c r="F294" s="90" t="s">
        <v>302</v>
      </c>
      <c r="G294" s="25">
        <f t="shared" si="5"/>
        <v>-1.6722408026755842E-3</v>
      </c>
      <c r="I294" s="91">
        <v>484.8095073756449</v>
      </c>
      <c r="J294" s="91">
        <v>496.52167786424945</v>
      </c>
      <c r="K294" s="91">
        <v>483.76079379454325</v>
      </c>
      <c r="L294" s="91">
        <v>494.38514446663868</v>
      </c>
      <c r="M294" s="92">
        <v>808769.53944756254</v>
      </c>
      <c r="N294" s="90" t="s">
        <v>302</v>
      </c>
      <c r="O294" s="25">
        <f t="shared" si="6"/>
        <v>-1.9368779984933249E-2</v>
      </c>
      <c r="Q294" s="93">
        <v>7.0000000000000001E-3</v>
      </c>
      <c r="R294">
        <v>34</v>
      </c>
      <c r="T294" s="25">
        <f t="shared" si="7"/>
        <v>5.0000000000000001E-3</v>
      </c>
      <c r="U294" s="1">
        <f t="shared" si="3"/>
        <v>28.379266670889383</v>
      </c>
    </row>
    <row r="295" spans="1:21" ht="15">
      <c r="A295" s="91">
        <v>539.87841945624803</v>
      </c>
      <c r="B295" s="91">
        <v>543.62272960119799</v>
      </c>
      <c r="C295" s="91">
        <v>539.17574707996471</v>
      </c>
      <c r="D295" s="91">
        <v>542.27635036272511</v>
      </c>
      <c r="E295" s="92">
        <v>4836736.2581930673</v>
      </c>
      <c r="F295" s="90" t="s">
        <v>303</v>
      </c>
      <c r="G295" s="25">
        <f t="shared" si="5"/>
        <v>-4.4219721270771783E-3</v>
      </c>
      <c r="I295" s="91">
        <v>493.94409669888563</v>
      </c>
      <c r="J295" s="91">
        <v>495.78669626194278</v>
      </c>
      <c r="K295" s="91">
        <v>488.15068924291188</v>
      </c>
      <c r="L295" s="91">
        <v>492.01328758227788</v>
      </c>
      <c r="M295" s="92">
        <v>779812.4719057281</v>
      </c>
      <c r="N295" s="90" t="s">
        <v>303</v>
      </c>
      <c r="O295" s="25">
        <f t="shared" si="6"/>
        <v>3.9243027888447024E-3</v>
      </c>
      <c r="Q295" s="93">
        <v>8.0000000000000002E-3</v>
      </c>
      <c r="R295">
        <v>49</v>
      </c>
      <c r="T295" s="25">
        <f t="shared" si="7"/>
        <v>6.0000000000000001E-3</v>
      </c>
      <c r="U295" s="1">
        <f t="shared" si="3"/>
        <v>27.546077556365105</v>
      </c>
    </row>
    <row r="296" spans="1:21" ht="15">
      <c r="A296" s="91">
        <v>544.51703989828593</v>
      </c>
      <c r="B296" s="91">
        <v>546.10910877881588</v>
      </c>
      <c r="C296" s="91">
        <v>542.35497104818353</v>
      </c>
      <c r="D296" s="91">
        <v>542.42376414795956</v>
      </c>
      <c r="E296" s="92">
        <v>7551526.122411334</v>
      </c>
      <c r="F296" s="90" t="s">
        <v>304</v>
      </c>
      <c r="G296" s="25">
        <f t="shared" si="5"/>
        <v>3.8591151212088448E-3</v>
      </c>
      <c r="I296" s="91">
        <v>487.62241202775874</v>
      </c>
      <c r="J296" s="91">
        <v>504.75466753958784</v>
      </c>
      <c r="K296" s="91">
        <v>485.72100609566786</v>
      </c>
      <c r="L296" s="91">
        <v>500.64802276873183</v>
      </c>
      <c r="M296" s="92">
        <v>1192383.089657702</v>
      </c>
      <c r="N296" s="90" t="s">
        <v>304</v>
      </c>
      <c r="O296" s="25">
        <f t="shared" si="6"/>
        <v>-2.6017501615081984E-2</v>
      </c>
      <c r="Q296" s="93">
        <v>9.0000000000000011E-3</v>
      </c>
      <c r="R296">
        <v>25</v>
      </c>
      <c r="T296" s="25">
        <f t="shared" si="7"/>
        <v>7.0000000000000001E-3</v>
      </c>
      <c r="U296" s="1">
        <f t="shared" si="3"/>
        <v>26.584275830946858</v>
      </c>
    </row>
    <row r="297" spans="1:21" ht="15">
      <c r="A297" s="91">
        <v>539.30841948667558</v>
      </c>
      <c r="B297" s="91">
        <v>543.70626407949749</v>
      </c>
      <c r="C297" s="91">
        <v>537.97186783388497</v>
      </c>
      <c r="D297" s="91">
        <v>540.7530745819713</v>
      </c>
      <c r="E297" s="92">
        <v>7186216.664314013</v>
      </c>
      <c r="F297" s="90" t="s">
        <v>305</v>
      </c>
      <c r="G297" s="25">
        <f t="shared" si="5"/>
        <v>-2.671561500436237E-3</v>
      </c>
      <c r="I297" s="91">
        <v>506.44045011855508</v>
      </c>
      <c r="J297" s="91">
        <v>509.09653778657884</v>
      </c>
      <c r="K297" s="91">
        <v>493.18941496295264</v>
      </c>
      <c r="L297" s="91">
        <v>493.9734998834025</v>
      </c>
      <c r="M297" s="92">
        <v>1872611.4502465047</v>
      </c>
      <c r="N297" s="90" t="s">
        <v>305</v>
      </c>
      <c r="O297" s="25">
        <f t="shared" si="6"/>
        <v>2.5238095238095282E-2</v>
      </c>
      <c r="Q297" s="93">
        <v>1.0000000000000002E-2</v>
      </c>
      <c r="R297">
        <v>34</v>
      </c>
      <c r="T297" s="25">
        <f t="shared" si="7"/>
        <v>8.0000000000000002E-3</v>
      </c>
      <c r="U297" s="1">
        <f t="shared" si="3"/>
        <v>25.509172724951739</v>
      </c>
    </row>
    <row r="298" spans="1:21" ht="15">
      <c r="A298" s="91">
        <v>545.38186743832682</v>
      </c>
      <c r="B298" s="91">
        <v>545.43100536673819</v>
      </c>
      <c r="C298" s="91">
        <v>541.62989177654458</v>
      </c>
      <c r="D298" s="91">
        <v>542.08962623476179</v>
      </c>
      <c r="E298" s="92">
        <v>8570714.3873436227</v>
      </c>
      <c r="F298" s="90" t="s">
        <v>306</v>
      </c>
      <c r="G298" s="25">
        <f t="shared" si="5"/>
        <v>6.0732414793329692E-3</v>
      </c>
      <c r="I298" s="91">
        <v>487.24017062903943</v>
      </c>
      <c r="J298" s="91">
        <v>487.42639079764626</v>
      </c>
      <c r="K298" s="91">
        <v>478.23789563612468</v>
      </c>
      <c r="L298" s="91">
        <v>479.09548851786667</v>
      </c>
      <c r="M298" s="92">
        <v>648069.59902821365</v>
      </c>
      <c r="N298" s="90" t="s">
        <v>306</v>
      </c>
      <c r="O298" s="25">
        <f t="shared" si="6"/>
        <v>1.7000122744568635E-2</v>
      </c>
      <c r="Q298" s="93">
        <v>1.1000000000000003E-2</v>
      </c>
      <c r="R298">
        <v>27</v>
      </c>
      <c r="T298" s="25">
        <f t="shared" si="7"/>
        <v>9.0000000000000011E-3</v>
      </c>
      <c r="U298" s="1">
        <f t="shared" si="3"/>
        <v>24.337411543138355</v>
      </c>
    </row>
    <row r="299" spans="1:21" ht="15">
      <c r="A299" s="91">
        <v>543.32790203072955</v>
      </c>
      <c r="B299" s="91">
        <v>546.63488461281804</v>
      </c>
      <c r="C299" s="91">
        <v>541.41152282268422</v>
      </c>
      <c r="D299" s="91">
        <v>545.83393637971187</v>
      </c>
      <c r="E299" s="92">
        <v>21165480.182480294</v>
      </c>
      <c r="F299" s="90" t="s">
        <v>307</v>
      </c>
      <c r="G299" s="25">
        <f t="shared" si="5"/>
        <v>-4.5912028951585748E-3</v>
      </c>
      <c r="I299" s="91">
        <v>478.74265030366422</v>
      </c>
      <c r="J299" s="91">
        <v>478.98767684130479</v>
      </c>
      <c r="K299" s="91">
        <v>462.6297051884199</v>
      </c>
      <c r="L299" s="91">
        <v>473.9499312274146</v>
      </c>
      <c r="M299" s="92">
        <v>913420.44888339669</v>
      </c>
      <c r="N299" s="90" t="s">
        <v>307</v>
      </c>
      <c r="O299" s="25">
        <f t="shared" si="6"/>
        <v>1.011228984428314E-2</v>
      </c>
      <c r="Q299" s="93">
        <v>1.2000000000000004E-2</v>
      </c>
      <c r="R299">
        <v>30</v>
      </c>
      <c r="T299" s="25">
        <f t="shared" si="7"/>
        <v>1.0000000000000002E-2</v>
      </c>
      <c r="U299" s="1">
        <f t="shared" si="3"/>
        <v>23.086541035370352</v>
      </c>
    </row>
    <row r="300" spans="1:21" ht="15">
      <c r="A300" s="91">
        <v>544.83152264011892</v>
      </c>
      <c r="B300" s="91">
        <v>545.17548813899884</v>
      </c>
      <c r="C300" s="91">
        <v>541.24445386608545</v>
      </c>
      <c r="D300" s="91">
        <v>542.26652277704284</v>
      </c>
      <c r="E300" s="92">
        <v>6055698.9197545592</v>
      </c>
      <c r="F300" s="90" t="s">
        <v>308</v>
      </c>
      <c r="G300" s="25">
        <f t="shared" si="5"/>
        <v>4.7301460727102729E-3</v>
      </c>
      <c r="I300" s="91">
        <v>479.07588639485544</v>
      </c>
      <c r="J300" s="91">
        <v>481.75157618589049</v>
      </c>
      <c r="K300" s="91">
        <v>476.95395657888804</v>
      </c>
      <c r="L300" s="91">
        <v>481.75157618589049</v>
      </c>
      <c r="M300" s="92">
        <v>542840.18082608446</v>
      </c>
      <c r="N300" s="90" t="s">
        <v>308</v>
      </c>
      <c r="O300" s="25">
        <f t="shared" si="6"/>
        <v>-5.5540862205764041E-3</v>
      </c>
      <c r="Q300" s="93">
        <v>1.3000000000000005E-2</v>
      </c>
      <c r="R300">
        <v>25</v>
      </c>
      <c r="T300" s="25">
        <f t="shared" si="7"/>
        <v>1.1000000000000003E-2</v>
      </c>
      <c r="U300" s="1">
        <f t="shared" si="3"/>
        <v>21.774581855306995</v>
      </c>
    </row>
    <row r="301" spans="1:21" ht="15">
      <c r="A301" s="91">
        <v>541.74566073588187</v>
      </c>
      <c r="B301" s="91">
        <v>543.17066065981305</v>
      </c>
      <c r="C301" s="91">
        <v>540.71376423924221</v>
      </c>
      <c r="D301" s="91">
        <v>541.79479866429324</v>
      </c>
      <c r="E301" s="92">
        <v>4561016.4540009983</v>
      </c>
      <c r="F301" s="90" t="s">
        <v>309</v>
      </c>
      <c r="G301" s="25">
        <f t="shared" si="5"/>
        <v>-9.0694721567086134E-5</v>
      </c>
      <c r="I301" s="91">
        <v>481.58495814029493</v>
      </c>
      <c r="J301" s="91">
        <v>482.3200377532167</v>
      </c>
      <c r="K301" s="91">
        <v>474.13615139602143</v>
      </c>
      <c r="L301" s="91">
        <v>480.2520137755302</v>
      </c>
      <c r="M301" s="92">
        <v>629988.90441178554</v>
      </c>
      <c r="N301" s="90" t="s">
        <v>309</v>
      </c>
      <c r="O301" s="25">
        <f t="shared" si="6"/>
        <v>2.7755102040816215E-3</v>
      </c>
      <c r="Q301" s="93">
        <v>1.4000000000000005E-2</v>
      </c>
      <c r="R301">
        <v>11</v>
      </c>
      <c r="T301" s="25">
        <f t="shared" si="7"/>
        <v>1.2000000000000004E-2</v>
      </c>
      <c r="U301" s="1">
        <f t="shared" si="3"/>
        <v>20.419600923899822</v>
      </c>
    </row>
    <row r="302" spans="1:21" ht="15">
      <c r="A302" s="91">
        <v>541.16583318062715</v>
      </c>
      <c r="B302" s="91">
        <v>542.79721240388631</v>
      </c>
      <c r="C302" s="91">
        <v>539.23952811104266</v>
      </c>
      <c r="D302" s="91">
        <v>540.81204009606495</v>
      </c>
      <c r="E302" s="92">
        <v>4795276.4314184682</v>
      </c>
      <c r="F302" s="90" t="s">
        <v>310</v>
      </c>
      <c r="G302" s="25">
        <f t="shared" si="5"/>
        <v>6.5418862438670899E-4</v>
      </c>
      <c r="I302" s="91">
        <v>479.67375114669846</v>
      </c>
      <c r="J302" s="91">
        <v>481.6535655708343</v>
      </c>
      <c r="K302" s="91">
        <v>476.88044861759585</v>
      </c>
      <c r="L302" s="91">
        <v>478.87006410323733</v>
      </c>
      <c r="M302" s="92">
        <v>379991.49356049678</v>
      </c>
      <c r="N302" s="90" t="s">
        <v>310</v>
      </c>
      <c r="O302" s="25">
        <f t="shared" si="6"/>
        <v>1.6782987781167602E-3</v>
      </c>
      <c r="Q302" s="93">
        <v>1.5000000000000006E-2</v>
      </c>
      <c r="R302">
        <v>13</v>
      </c>
      <c r="T302" s="25">
        <f t="shared" si="7"/>
        <v>1.3000000000000005E-2</v>
      </c>
      <c r="U302" s="1">
        <f t="shared" si="3"/>
        <v>19.039307487975744</v>
      </c>
    </row>
    <row r="303" spans="1:21" ht="15">
      <c r="A303" s="91">
        <v>535.69186795559528</v>
      </c>
      <c r="B303" s="91">
        <v>541.13635042358032</v>
      </c>
      <c r="C303" s="91">
        <v>533.96958356477501</v>
      </c>
      <c r="D303" s="91">
        <v>540.0061780701177</v>
      </c>
      <c r="E303" s="92">
        <v>6445670.5896947058</v>
      </c>
      <c r="F303" s="90" t="s">
        <v>311</v>
      </c>
      <c r="G303" s="25">
        <f t="shared" si="5"/>
        <v>-7.9893717696729594E-3</v>
      </c>
      <c r="I303" s="91">
        <v>478.40941421247305</v>
      </c>
      <c r="J303" s="91">
        <v>483.143326919689</v>
      </c>
      <c r="K303" s="91">
        <v>474.89083313195437</v>
      </c>
      <c r="L303" s="91">
        <v>483.143326919689</v>
      </c>
      <c r="M303" s="92">
        <v>646995.22560509422</v>
      </c>
      <c r="N303" s="90" t="s">
        <v>311</v>
      </c>
      <c r="O303" s="25">
        <f t="shared" si="6"/>
        <v>-9.7981539709910415E-3</v>
      </c>
      <c r="Q303" s="93">
        <v>1.6000000000000007E-2</v>
      </c>
      <c r="R303">
        <v>19</v>
      </c>
      <c r="T303" s="25">
        <f t="shared" si="7"/>
        <v>1.4000000000000005E-2</v>
      </c>
      <c r="U303" s="1">
        <f t="shared" si="3"/>
        <v>17.650683078176574</v>
      </c>
    </row>
    <row r="304" spans="1:21" ht="15">
      <c r="A304" s="91">
        <v>538.20772989025977</v>
      </c>
      <c r="B304" s="91">
        <v>540.17324702671647</v>
      </c>
      <c r="C304" s="91">
        <v>538.00390576320922</v>
      </c>
      <c r="D304" s="91">
        <v>539.28876431531103</v>
      </c>
      <c r="E304" s="92">
        <v>4589399.8239372028</v>
      </c>
      <c r="F304" s="90" t="s">
        <v>312</v>
      </c>
      <c r="G304" s="25">
        <f t="shared" si="5"/>
        <v>-2.0045558086561055E-3</v>
      </c>
      <c r="I304" s="91">
        <v>481.51635070975561</v>
      </c>
      <c r="J304" s="91">
        <v>486.0346400638478</v>
      </c>
      <c r="K304" s="91">
        <v>478.34080678193374</v>
      </c>
      <c r="L304" s="91">
        <v>480.2520137755302</v>
      </c>
      <c r="M304" s="92">
        <v>782193.84661566222</v>
      </c>
      <c r="N304" s="90" t="s">
        <v>312</v>
      </c>
      <c r="O304" s="25">
        <f t="shared" si="6"/>
        <v>2.6326530612246213E-3</v>
      </c>
      <c r="Q304" s="93">
        <v>1.7000000000000008E-2</v>
      </c>
      <c r="R304">
        <v>13</v>
      </c>
      <c r="T304" s="25">
        <f t="shared" si="7"/>
        <v>1.5000000000000006E-2</v>
      </c>
      <c r="U304" s="1">
        <f t="shared" si="3"/>
        <v>16.26965553416127</v>
      </c>
    </row>
    <row r="305" spans="1:21" ht="15">
      <c r="A305" s="91">
        <v>538.5516953891397</v>
      </c>
      <c r="B305" s="91">
        <v>539.40669534349843</v>
      </c>
      <c r="C305" s="91">
        <v>534.70910938736688</v>
      </c>
      <c r="D305" s="91">
        <v>535.14152315738727</v>
      </c>
      <c r="E305" s="92">
        <v>5055818.5505897999</v>
      </c>
      <c r="F305" s="90" t="s">
        <v>313</v>
      </c>
      <c r="G305" s="25">
        <f t="shared" si="5"/>
        <v>6.3724679999266343E-3</v>
      </c>
      <c r="I305" s="91">
        <v>478.50742482752935</v>
      </c>
      <c r="J305" s="91">
        <v>478.90926834925983</v>
      </c>
      <c r="K305" s="91">
        <v>472.16613803339118</v>
      </c>
      <c r="L305" s="91">
        <v>473.39127072159408</v>
      </c>
      <c r="M305" s="92">
        <v>589502.4734499614</v>
      </c>
      <c r="N305" s="90" t="s">
        <v>313</v>
      </c>
      <c r="O305" s="25">
        <f t="shared" si="6"/>
        <v>1.0807453416149082E-2</v>
      </c>
      <c r="Q305" s="93">
        <v>1.8000000000000009E-2</v>
      </c>
      <c r="R305">
        <v>10</v>
      </c>
      <c r="T305" s="25">
        <f t="shared" si="7"/>
        <v>1.6000000000000007E-2</v>
      </c>
      <c r="U305" s="1">
        <f t="shared" si="3"/>
        <v>14.910824906114467</v>
      </c>
    </row>
    <row r="306" spans="1:21" ht="15">
      <c r="A306" s="91">
        <v>535.51497141331402</v>
      </c>
      <c r="B306" s="91">
        <v>535.51497141331402</v>
      </c>
      <c r="C306" s="91">
        <v>528.52755799321039</v>
      </c>
      <c r="D306" s="91">
        <v>530.93531648536998</v>
      </c>
      <c r="E306" s="92">
        <v>6004394.3556123273</v>
      </c>
      <c r="F306" s="90" t="s">
        <v>314</v>
      </c>
      <c r="G306" s="25">
        <f t="shared" si="5"/>
        <v>8.6256362795000818E-3</v>
      </c>
      <c r="I306" s="91">
        <v>473.76371105880776</v>
      </c>
      <c r="J306" s="91">
        <v>474.22436094957203</v>
      </c>
      <c r="K306" s="91">
        <v>469.39243762729984</v>
      </c>
      <c r="L306" s="91">
        <v>471.55847222004252</v>
      </c>
      <c r="M306" s="92">
        <v>780788.89675465995</v>
      </c>
      <c r="N306" s="90" t="s">
        <v>314</v>
      </c>
      <c r="O306" s="25">
        <f t="shared" si="6"/>
        <v>4.6764907613328077E-3</v>
      </c>
      <c r="Q306" s="93">
        <v>1.900000000000001E-2</v>
      </c>
      <c r="R306">
        <v>8</v>
      </c>
      <c r="T306" s="25">
        <f t="shared" si="7"/>
        <v>1.7000000000000008E-2</v>
      </c>
      <c r="U306" s="1">
        <f t="shared" si="3"/>
        <v>13.587246497934769</v>
      </c>
    </row>
    <row r="307" spans="1:21" ht="15">
      <c r="A307" s="91">
        <v>532.41928192339481</v>
      </c>
      <c r="B307" s="91">
        <v>534.02117838960703</v>
      </c>
      <c r="C307" s="91">
        <v>526.9158339413159</v>
      </c>
      <c r="D307" s="91">
        <v>532.01635091042112</v>
      </c>
      <c r="E307" s="92">
        <v>6268173.2819739887</v>
      </c>
      <c r="F307" s="90" t="s">
        <v>315</v>
      </c>
      <c r="G307" s="25">
        <f t="shared" si="5"/>
        <v>7.5736584464780599E-4</v>
      </c>
      <c r="I307" s="91">
        <v>472.86201338036676</v>
      </c>
      <c r="J307" s="91">
        <v>474.05204505791295</v>
      </c>
      <c r="K307" s="91">
        <v>463.39062929364104</v>
      </c>
      <c r="L307" s="91">
        <v>468.20918460832161</v>
      </c>
      <c r="M307" s="92">
        <v>1332641.2648696047</v>
      </c>
      <c r="N307" s="90" t="s">
        <v>315</v>
      </c>
      <c r="O307" s="25">
        <f t="shared" si="6"/>
        <v>9.9374999999999325E-3</v>
      </c>
      <c r="Q307" s="93">
        <v>2.0000000000000011E-2</v>
      </c>
      <c r="R307">
        <v>10</v>
      </c>
      <c r="T307" s="25">
        <f t="shared" si="7"/>
        <v>1.8000000000000009E-2</v>
      </c>
      <c r="U307" s="1">
        <f t="shared" si="3"/>
        <v>12.310273727574375</v>
      </c>
    </row>
    <row r="308" spans="1:21" ht="15">
      <c r="A308" s="91">
        <v>532.96962672160271</v>
      </c>
      <c r="B308" s="91">
        <v>535.8785920835586</v>
      </c>
      <c r="C308" s="91">
        <v>529.45135104734516</v>
      </c>
      <c r="D308" s="91">
        <v>535.75083346968893</v>
      </c>
      <c r="E308" s="92">
        <v>4750850.464134655</v>
      </c>
      <c r="F308" s="90" t="s">
        <v>316</v>
      </c>
      <c r="G308" s="25">
        <f t="shared" si="5"/>
        <v>-5.1912317710721689E-3</v>
      </c>
      <c r="I308" s="91">
        <v>467.61416876954848</v>
      </c>
      <c r="J308" s="91">
        <v>468.4530435586384</v>
      </c>
      <c r="K308" s="91">
        <v>456.99167289374719</v>
      </c>
      <c r="L308" s="91">
        <v>459.60584084114367</v>
      </c>
      <c r="M308" s="92">
        <v>885791.76494998811</v>
      </c>
      <c r="N308" s="90" t="s">
        <v>316</v>
      </c>
      <c r="O308" s="25">
        <f t="shared" si="6"/>
        <v>1.7424338893840874E-2</v>
      </c>
      <c r="Q308" s="93">
        <v>2.1000000000000012E-2</v>
      </c>
      <c r="R308">
        <v>7</v>
      </c>
      <c r="T308" s="25">
        <f t="shared" si="7"/>
        <v>1.900000000000001E-2</v>
      </c>
      <c r="U308" s="1">
        <f t="shared" si="3"/>
        <v>11.089460974913568</v>
      </c>
    </row>
    <row r="309" spans="1:21" ht="15">
      <c r="A309" s="91">
        <v>530.92548889968771</v>
      </c>
      <c r="B309" s="91">
        <v>535.50514382763174</v>
      </c>
      <c r="C309" s="91">
        <v>530.30635100170377</v>
      </c>
      <c r="D309" s="91">
        <v>534.41428181689832</v>
      </c>
      <c r="E309" s="92">
        <v>4890564.3312419383</v>
      </c>
      <c r="F309" s="90" t="s">
        <v>317</v>
      </c>
      <c r="G309" s="25">
        <f t="shared" si="5"/>
        <v>-6.5282553927066278E-3</v>
      </c>
      <c r="I309" s="91">
        <v>463.64414505839045</v>
      </c>
      <c r="J309" s="91">
        <v>466.34610222790093</v>
      </c>
      <c r="K309" s="91">
        <v>462.06393906033736</v>
      </c>
      <c r="L309" s="91">
        <v>466.0046996974574</v>
      </c>
      <c r="M309" s="92">
        <v>947477.01365812868</v>
      </c>
      <c r="N309" s="90" t="s">
        <v>317</v>
      </c>
      <c r="O309" s="25">
        <f t="shared" si="6"/>
        <v>-5.0655168083058033E-3</v>
      </c>
      <c r="Q309" s="93">
        <v>2.2000000000000013E-2</v>
      </c>
      <c r="R309">
        <v>2</v>
      </c>
      <c r="T309" s="25">
        <f t="shared" si="7"/>
        <v>2.0000000000000011E-2</v>
      </c>
      <c r="U309" s="1">
        <f t="shared" si="3"/>
        <v>9.9325242834887391</v>
      </c>
    </row>
    <row r="310" spans="1:21" ht="15">
      <c r="A310" s="91">
        <v>533.97204046119566</v>
      </c>
      <c r="B310" s="91">
        <v>534.1489370034767</v>
      </c>
      <c r="C310" s="91">
        <v>527.91824768090885</v>
      </c>
      <c r="D310" s="91">
        <v>529.43169587598061</v>
      </c>
      <c r="E310" s="92">
        <v>6193076.5060353726</v>
      </c>
      <c r="F310" s="90" t="s">
        <v>318</v>
      </c>
      <c r="G310" s="25">
        <f t="shared" si="5"/>
        <v>8.5758835758835694E-3</v>
      </c>
      <c r="I310" s="91">
        <v>463.79046042858056</v>
      </c>
      <c r="J310" s="91">
        <v>463.97579323082135</v>
      </c>
      <c r="K310" s="91">
        <v>458.74745733602845</v>
      </c>
      <c r="L310" s="91">
        <v>460.03503259370132</v>
      </c>
      <c r="M310" s="92">
        <v>879957.44966998103</v>
      </c>
      <c r="N310" s="90" t="s">
        <v>318</v>
      </c>
      <c r="O310" s="25">
        <f t="shared" si="6"/>
        <v>8.1633518510664249E-3</v>
      </c>
      <c r="Q310" s="93">
        <v>2.3000000000000013E-2</v>
      </c>
      <c r="R310">
        <v>7</v>
      </c>
      <c r="T310" s="25">
        <f t="shared" si="7"/>
        <v>2.1000000000000012E-2</v>
      </c>
      <c r="U310" s="1">
        <f t="shared" si="3"/>
        <v>8.8453557749532159</v>
      </c>
    </row>
    <row r="311" spans="1:21" ht="15">
      <c r="A311" s="91">
        <v>523.2206617247773</v>
      </c>
      <c r="B311" s="91">
        <v>525.58901159835079</v>
      </c>
      <c r="C311" s="91">
        <v>519.98738603530603</v>
      </c>
      <c r="D311" s="91">
        <v>520.30186877713913</v>
      </c>
      <c r="E311" s="92">
        <v>6569136.315583759</v>
      </c>
      <c r="F311" s="90" t="s">
        <v>319</v>
      </c>
      <c r="G311" s="25">
        <f t="shared" si="5"/>
        <v>5.6098067733221235E-3</v>
      </c>
      <c r="I311" s="91">
        <v>459.87896286549852</v>
      </c>
      <c r="J311" s="91">
        <v>461.35187092541224</v>
      </c>
      <c r="K311" s="91">
        <v>456.78331980659652</v>
      </c>
      <c r="L311" s="91">
        <v>460.47397870427159</v>
      </c>
      <c r="M311" s="92">
        <v>696342.08537096973</v>
      </c>
      <c r="N311" s="90" t="s">
        <v>319</v>
      </c>
      <c r="O311" s="25">
        <f t="shared" si="6"/>
        <v>-1.2921812443069669E-3</v>
      </c>
      <c r="Q311" s="93">
        <v>2.4000000000000014E-2</v>
      </c>
      <c r="R311">
        <v>4</v>
      </c>
      <c r="T311" s="25">
        <f t="shared" si="7"/>
        <v>2.2000000000000013E-2</v>
      </c>
      <c r="U311" s="1">
        <f t="shared" si="3"/>
        <v>7.8320859953864508</v>
      </c>
    </row>
    <row r="312" spans="1:21" ht="15">
      <c r="A312" s="91">
        <v>526.77824774176395</v>
      </c>
      <c r="B312" s="91">
        <v>529.92798895293595</v>
      </c>
      <c r="C312" s="91">
        <v>525.22548920396321</v>
      </c>
      <c r="D312" s="91">
        <v>526.36548914310811</v>
      </c>
      <c r="E312" s="92">
        <v>5918617.4387527099</v>
      </c>
      <c r="F312" s="90" t="s">
        <v>320</v>
      </c>
      <c r="G312" s="25">
        <f t="shared" si="5"/>
        <v>7.8416728902142019E-4</v>
      </c>
      <c r="I312" s="91">
        <v>461.26408170329813</v>
      </c>
      <c r="J312" s="91">
        <v>463.96701430860998</v>
      </c>
      <c r="K312" s="91">
        <v>457.45988207835558</v>
      </c>
      <c r="L312" s="91">
        <v>459.94724337158721</v>
      </c>
      <c r="M312" s="92">
        <v>945591.70250017173</v>
      </c>
      <c r="N312" s="90" t="s">
        <v>320</v>
      </c>
      <c r="O312" s="25">
        <f t="shared" si="6"/>
        <v>2.863020380463599E-3</v>
      </c>
      <c r="Q312" s="93">
        <v>2.5000000000000015E-2</v>
      </c>
      <c r="R312">
        <v>5</v>
      </c>
      <c r="T312" s="25">
        <f t="shared" si="7"/>
        <v>2.3000000000000013E-2</v>
      </c>
      <c r="U312" s="1">
        <f t="shared" ref="U312:U331" si="8">_xlfn.NORM.DIST(T312,$S$238,$S$240,FALSE)</f>
        <v>6.8951871849762947</v>
      </c>
    </row>
    <row r="313" spans="1:21" ht="15">
      <c r="A313" s="91">
        <v>526.53255809970688</v>
      </c>
      <c r="B313" s="91">
        <v>535.29925590758808</v>
      </c>
      <c r="C313" s="91">
        <v>525.59893745989007</v>
      </c>
      <c r="D313" s="91">
        <v>531.58393714040062</v>
      </c>
      <c r="E313" s="92">
        <v>6450710.4847005866</v>
      </c>
      <c r="F313" s="90" t="s">
        <v>321</v>
      </c>
      <c r="G313" s="25">
        <f t="shared" si="5"/>
        <v>-9.5025050378066966E-3</v>
      </c>
      <c r="I313" s="91">
        <v>462.25902622059084</v>
      </c>
      <c r="J313" s="91">
        <v>469.29191834772837</v>
      </c>
      <c r="K313" s="91">
        <v>460.73734637061375</v>
      </c>
      <c r="L313" s="91">
        <v>469.29191834772837</v>
      </c>
      <c r="M313" s="92">
        <v>925714.43330950965</v>
      </c>
      <c r="N313" s="90" t="s">
        <v>321</v>
      </c>
      <c r="O313" s="25">
        <f t="shared" si="6"/>
        <v>-1.498617779717748E-2</v>
      </c>
      <c r="Q313" s="93">
        <v>2.6000000000000016E-2</v>
      </c>
      <c r="R313">
        <v>3</v>
      </c>
      <c r="T313" s="25">
        <f t="shared" si="7"/>
        <v>2.4000000000000014E-2</v>
      </c>
      <c r="U313" s="1">
        <f t="shared" si="8"/>
        <v>6.035609665031787</v>
      </c>
    </row>
    <row r="314" spans="1:21" ht="15">
      <c r="A314" s="91">
        <v>535.48548865626719</v>
      </c>
      <c r="B314" s="91">
        <v>536.64514376677664</v>
      </c>
      <c r="C314" s="91">
        <v>532.64531639408733</v>
      </c>
      <c r="D314" s="91">
        <v>535.81962656946496</v>
      </c>
      <c r="E314" s="92">
        <v>7283787.9326804252</v>
      </c>
      <c r="F314" s="90" t="s">
        <v>322</v>
      </c>
      <c r="G314" s="25">
        <f t="shared" si="5"/>
        <v>-6.2360148197082577E-4</v>
      </c>
      <c r="I314" s="91">
        <v>464.89270288401269</v>
      </c>
      <c r="J314" s="91">
        <v>466.13150635162219</v>
      </c>
      <c r="K314" s="91">
        <v>458.3475286575088</v>
      </c>
      <c r="L314" s="91">
        <v>458.3475286575088</v>
      </c>
      <c r="M314" s="92">
        <v>1027013.7703562119</v>
      </c>
      <c r="N314" s="90" t="s">
        <v>322</v>
      </c>
      <c r="O314" s="25">
        <f t="shared" si="6"/>
        <v>1.4279937857796687E-2</v>
      </c>
      <c r="Q314" s="93">
        <v>2.7000000000000017E-2</v>
      </c>
      <c r="R314">
        <v>6</v>
      </c>
      <c r="T314" s="25">
        <f t="shared" si="7"/>
        <v>2.5000000000000015E-2</v>
      </c>
      <c r="U314" s="1">
        <f t="shared" si="8"/>
        <v>5.2529431615865798</v>
      </c>
    </row>
    <row r="315" spans="1:21" ht="15">
      <c r="A315" s="91">
        <v>537.39204027863036</v>
      </c>
      <c r="B315" s="91">
        <v>538.01117817661418</v>
      </c>
      <c r="C315" s="91">
        <v>531.25962681288536</v>
      </c>
      <c r="D315" s="91">
        <v>531.30876474129673</v>
      </c>
      <c r="E315" s="92">
        <v>7902305.0534172012</v>
      </c>
      <c r="F315" s="90" t="s">
        <v>323</v>
      </c>
      <c r="G315" s="25">
        <f t="shared" si="5"/>
        <v>1.144960509035764E-2</v>
      </c>
      <c r="I315" s="91">
        <v>459.54731469306762</v>
      </c>
      <c r="J315" s="91">
        <v>464.42449369940431</v>
      </c>
      <c r="K315" s="91">
        <v>457.75251281873574</v>
      </c>
      <c r="L315" s="91">
        <v>464.42449369940431</v>
      </c>
      <c r="M315" s="92">
        <v>983226.16286373895</v>
      </c>
      <c r="N315" s="90" t="s">
        <v>323</v>
      </c>
      <c r="O315" s="25">
        <f t="shared" si="6"/>
        <v>-1.0501554230026078E-2</v>
      </c>
      <c r="Q315" s="93">
        <v>2.8000000000000018E-2</v>
      </c>
      <c r="R315">
        <v>4</v>
      </c>
      <c r="T315" s="25">
        <f t="shared" si="7"/>
        <v>2.6000000000000016E-2</v>
      </c>
      <c r="U315" s="1">
        <f t="shared" si="8"/>
        <v>4.5455949039482633</v>
      </c>
    </row>
    <row r="316" spans="1:21" ht="15">
      <c r="A316" s="91">
        <v>536.84169548042235</v>
      </c>
      <c r="B316" s="91">
        <v>537.04807477975032</v>
      </c>
      <c r="C316" s="91">
        <v>532.36031640930116</v>
      </c>
      <c r="D316" s="91">
        <v>534.09979907506533</v>
      </c>
      <c r="E316" s="92">
        <v>7382629.0958514679</v>
      </c>
      <c r="F316" s="90" t="s">
        <v>324</v>
      </c>
      <c r="G316" s="25">
        <f t="shared" si="5"/>
        <v>5.1336780319057862E-3</v>
      </c>
      <c r="I316" s="91">
        <v>461.54695808566572</v>
      </c>
      <c r="J316" s="91">
        <v>461.92737804815994</v>
      </c>
      <c r="K316" s="91">
        <v>454.92374899506046</v>
      </c>
      <c r="L316" s="91">
        <v>458.07440663315396</v>
      </c>
      <c r="M316" s="92">
        <v>1177308.6434883296</v>
      </c>
      <c r="N316" s="90" t="s">
        <v>324</v>
      </c>
      <c r="O316" s="25">
        <f t="shared" si="6"/>
        <v>7.5807585017355628E-3</v>
      </c>
      <c r="Q316" s="93">
        <v>2.9000000000000019E-2</v>
      </c>
      <c r="R316">
        <v>1</v>
      </c>
      <c r="T316" s="25">
        <f t="shared" si="7"/>
        <v>2.7000000000000017E-2</v>
      </c>
      <c r="U316" s="1">
        <f t="shared" si="8"/>
        <v>3.9109767025930462</v>
      </c>
    </row>
    <row r="317" spans="1:21" ht="15">
      <c r="A317" s="91">
        <v>533.4020404916231</v>
      </c>
      <c r="B317" s="91">
        <v>533.88251115563003</v>
      </c>
      <c r="C317" s="91">
        <v>528.5668683359396</v>
      </c>
      <c r="D317" s="91">
        <v>528.97962693459556</v>
      </c>
      <c r="E317" s="92">
        <v>7491354.6806027899</v>
      </c>
      <c r="F317" s="90" t="s">
        <v>325</v>
      </c>
      <c r="G317" s="25">
        <f t="shared" si="5"/>
        <v>8.3602719875150999E-3</v>
      </c>
      <c r="I317" s="91">
        <v>457.52816258444426</v>
      </c>
      <c r="J317" s="91">
        <v>459.32296445877614</v>
      </c>
      <c r="K317" s="91">
        <v>447.96889173202436</v>
      </c>
      <c r="L317" s="91">
        <v>450.10509613679983</v>
      </c>
      <c r="M317" s="92">
        <v>1144271.1027725488</v>
      </c>
      <c r="N317" s="90" t="s">
        <v>325</v>
      </c>
      <c r="O317" s="25">
        <f t="shared" si="6"/>
        <v>1.649185159500699E-2</v>
      </c>
      <c r="Q317" s="93">
        <v>3.000000000000002E-2</v>
      </c>
      <c r="R317">
        <v>5</v>
      </c>
      <c r="T317" s="25">
        <f t="shared" si="7"/>
        <v>2.8000000000000018E-2</v>
      </c>
      <c r="U317" s="1">
        <f t="shared" si="8"/>
        <v>3.345693864010638</v>
      </c>
    </row>
    <row r="318" spans="1:21" ht="15">
      <c r="A318" s="91">
        <v>530.79773028581803</v>
      </c>
      <c r="B318" s="91">
        <v>532.08514401019704</v>
      </c>
      <c r="C318" s="91">
        <v>528.95997176323101</v>
      </c>
      <c r="D318" s="91">
        <v>531.05324751355738</v>
      </c>
      <c r="E318" s="92">
        <v>5119569.7118876809</v>
      </c>
      <c r="F318" s="90" t="s">
        <v>326</v>
      </c>
      <c r="G318" s="25">
        <f t="shared" si="5"/>
        <v>-4.8115180339391994E-4</v>
      </c>
      <c r="I318" s="91">
        <v>445.09135611828572</v>
      </c>
      <c r="J318" s="91">
        <v>453.57764758931154</v>
      </c>
      <c r="K318" s="91">
        <v>441.88217233211617</v>
      </c>
      <c r="L318" s="91">
        <v>450.04169280971746</v>
      </c>
      <c r="M318" s="92">
        <v>1304876.2392627813</v>
      </c>
      <c r="N318" s="90" t="s">
        <v>326</v>
      </c>
      <c r="O318" s="25">
        <f t="shared" si="6"/>
        <v>-1.0999729070712561E-2</v>
      </c>
      <c r="Q318" s="93">
        <v>3.1000000000000021E-2</v>
      </c>
      <c r="R318">
        <v>0</v>
      </c>
      <c r="T318" s="25">
        <f t="shared" si="7"/>
        <v>2.9000000000000019E-2</v>
      </c>
      <c r="U318" s="1">
        <f t="shared" si="8"/>
        <v>2.8457296728153931</v>
      </c>
    </row>
    <row r="319" spans="1:21" ht="15">
      <c r="A319" s="91">
        <v>530.13928204510501</v>
      </c>
      <c r="B319" s="91">
        <v>532.14410952429091</v>
      </c>
      <c r="C319" s="91">
        <v>526.54238568538915</v>
      </c>
      <c r="D319" s="91">
        <v>527.08290289791489</v>
      </c>
      <c r="E319" s="92">
        <v>7485871.1364504201</v>
      </c>
      <c r="F319" s="90" t="s">
        <v>327</v>
      </c>
      <c r="G319" s="25">
        <f t="shared" si="5"/>
        <v>5.7986687300728423E-3</v>
      </c>
      <c r="I319" s="91">
        <v>459.10836858249735</v>
      </c>
      <c r="J319" s="91">
        <v>468.18967589229624</v>
      </c>
      <c r="K319" s="91">
        <v>459.06935115044666</v>
      </c>
      <c r="L319" s="91">
        <v>466.94111806667405</v>
      </c>
      <c r="M319" s="92">
        <v>906184.70108597504</v>
      </c>
      <c r="N319" s="90" t="s">
        <v>327</v>
      </c>
      <c r="O319" s="25">
        <f t="shared" si="6"/>
        <v>-1.6774597869229191E-2</v>
      </c>
      <c r="Q319" s="93">
        <v>3.2000000000000021E-2</v>
      </c>
      <c r="R319">
        <v>1</v>
      </c>
      <c r="T319" s="25">
        <f t="shared" si="7"/>
        <v>3.000000000000002E-2</v>
      </c>
      <c r="U319" s="1">
        <f t="shared" si="8"/>
        <v>2.406620193081682</v>
      </c>
    </row>
    <row r="320" spans="1:21" ht="15">
      <c r="A320" s="91">
        <v>526.6799718849411</v>
      </c>
      <c r="B320" s="91">
        <v>526.6799718849411</v>
      </c>
      <c r="C320" s="91">
        <v>521.24531700263833</v>
      </c>
      <c r="D320" s="91">
        <v>525.28445471805685</v>
      </c>
      <c r="E320" s="92">
        <v>7930305.8268417539</v>
      </c>
      <c r="F320" s="90" t="s">
        <v>328</v>
      </c>
      <c r="G320" s="25">
        <f t="shared" si="5"/>
        <v>2.6566884939194235E-3</v>
      </c>
      <c r="I320" s="91">
        <v>467.38981853525706</v>
      </c>
      <c r="J320" s="91">
        <v>470.93065049385746</v>
      </c>
      <c r="K320" s="91">
        <v>459.96675208761263</v>
      </c>
      <c r="L320" s="91">
        <v>468.16041281825824</v>
      </c>
      <c r="M320" s="92">
        <v>1324636.6376149403</v>
      </c>
      <c r="N320" s="90" t="s">
        <v>328</v>
      </c>
      <c r="O320" s="25">
        <f t="shared" si="6"/>
        <v>-1.6460047921658116E-3</v>
      </c>
      <c r="Q320" s="93">
        <v>3.3000000000000022E-2</v>
      </c>
      <c r="R320">
        <v>2</v>
      </c>
      <c r="T320" s="25">
        <f t="shared" si="7"/>
        <v>3.1000000000000021E-2</v>
      </c>
      <c r="U320" s="1">
        <f t="shared" si="8"/>
        <v>2.0236152424361253</v>
      </c>
    </row>
    <row r="321" spans="1:21" ht="15">
      <c r="A321" s="91">
        <v>509.70773141163744</v>
      </c>
      <c r="B321" s="91">
        <v>512.63694160009879</v>
      </c>
      <c r="C321" s="91">
        <v>508.43997285862287</v>
      </c>
      <c r="D321" s="91">
        <v>511.71255889082335</v>
      </c>
      <c r="E321" s="92">
        <v>4822655.485511587</v>
      </c>
      <c r="F321" s="90" t="s">
        <v>329</v>
      </c>
      <c r="G321" s="25">
        <f t="shared" si="5"/>
        <v>-3.9178782000808265E-3</v>
      </c>
      <c r="I321" s="91">
        <v>470.76482640764203</v>
      </c>
      <c r="J321" s="91">
        <v>473.20341591081035</v>
      </c>
      <c r="K321" s="91">
        <v>464.19038910710015</v>
      </c>
      <c r="L321" s="91">
        <v>472.94980260248087</v>
      </c>
      <c r="M321" s="92">
        <v>655795.08068997145</v>
      </c>
      <c r="N321" s="90" t="s">
        <v>329</v>
      </c>
      <c r="O321" s="25">
        <f t="shared" si="6"/>
        <v>-4.6198902776058981E-3</v>
      </c>
      <c r="Q321" s="93">
        <v>3.4000000000000023E-2</v>
      </c>
      <c r="R321">
        <v>2</v>
      </c>
      <c r="T321" s="25">
        <f t="shared" si="7"/>
        <v>3.2000000000000021E-2</v>
      </c>
      <c r="U321" s="1">
        <f t="shared" si="8"/>
        <v>1.6918225103184781</v>
      </c>
    </row>
    <row r="322" spans="1:21" ht="15">
      <c r="A322" s="91">
        <v>510.38583482371502</v>
      </c>
      <c r="B322" s="91">
        <v>515.19152422235175</v>
      </c>
      <c r="C322" s="91">
        <v>507.44247291187111</v>
      </c>
      <c r="D322" s="91">
        <v>510.58238653736066</v>
      </c>
      <c r="E322" s="92">
        <v>5177466.943048507</v>
      </c>
      <c r="F322" s="90" t="s">
        <v>330</v>
      </c>
      <c r="G322" s="25">
        <f t="shared" si="5"/>
        <v>-3.8495592254683686E-4</v>
      </c>
      <c r="I322" s="91">
        <v>472.47183905985986</v>
      </c>
      <c r="J322" s="91">
        <v>477.80747289279213</v>
      </c>
      <c r="K322" s="91">
        <v>471.750016566922</v>
      </c>
      <c r="L322" s="91">
        <v>474.72509576078738</v>
      </c>
      <c r="M322" s="92">
        <v>944158.4969543186</v>
      </c>
      <c r="N322" s="90" t="s">
        <v>330</v>
      </c>
      <c r="O322" s="25">
        <f t="shared" si="6"/>
        <v>-4.7464453028683851E-3</v>
      </c>
      <c r="Q322" s="93">
        <v>3.5000000000000024E-2</v>
      </c>
      <c r="R322">
        <v>2</v>
      </c>
      <c r="T322" s="25">
        <f t="shared" si="7"/>
        <v>3.3000000000000022E-2</v>
      </c>
      <c r="U322" s="1">
        <f t="shared" si="8"/>
        <v>1.4063328706766867</v>
      </c>
    </row>
    <row r="323" spans="1:21" ht="15">
      <c r="A323" s="91">
        <v>507.00514534900947</v>
      </c>
      <c r="B323" s="91">
        <v>509.24583488457006</v>
      </c>
      <c r="C323" s="91">
        <v>502.28790422151337</v>
      </c>
      <c r="D323" s="91">
        <v>506.04204195214561</v>
      </c>
      <c r="E323" s="92">
        <v>5563262.6127657322</v>
      </c>
      <c r="F323" s="90" t="s">
        <v>331</v>
      </c>
      <c r="G323" s="25">
        <f t="shared" si="5"/>
        <v>1.9032082653618332E-3</v>
      </c>
      <c r="I323" s="91">
        <v>474.10081684797632</v>
      </c>
      <c r="J323" s="91">
        <v>476.69547607934743</v>
      </c>
      <c r="K323" s="91">
        <v>469.18462040958894</v>
      </c>
      <c r="L323" s="91">
        <v>474.77386755085081</v>
      </c>
      <c r="M323" s="92">
        <v>897457.31996162073</v>
      </c>
      <c r="N323" s="90" t="s">
        <v>331</v>
      </c>
      <c r="O323" s="25">
        <f t="shared" si="6"/>
        <v>-1.4176237338977549E-3</v>
      </c>
      <c r="Q323" s="93">
        <v>3.6000000000000025E-2</v>
      </c>
      <c r="R323">
        <v>1</v>
      </c>
      <c r="T323" s="25">
        <f t="shared" si="7"/>
        <v>3.4000000000000023E-2</v>
      </c>
      <c r="U323" s="1">
        <f t="shared" si="8"/>
        <v>1.1623259341403263</v>
      </c>
    </row>
    <row r="324" spans="1:21" ht="15">
      <c r="A324" s="91">
        <v>504.72514547071972</v>
      </c>
      <c r="B324" s="91">
        <v>508.89695559284911</v>
      </c>
      <c r="C324" s="91">
        <v>503.11342141882517</v>
      </c>
      <c r="D324" s="91">
        <v>504.04704205864209</v>
      </c>
      <c r="E324" s="92">
        <v>4776625.8690193612</v>
      </c>
      <c r="F324" s="90" t="s">
        <v>332</v>
      </c>
      <c r="G324" s="25">
        <f t="shared" si="5"/>
        <v>1.3453177094504554E-3</v>
      </c>
      <c r="I324" s="91">
        <v>475.5054444018013</v>
      </c>
      <c r="J324" s="91">
        <v>480.977639246911</v>
      </c>
      <c r="K324" s="91">
        <v>473.06685489863293</v>
      </c>
      <c r="L324" s="91">
        <v>479.40718760687065</v>
      </c>
      <c r="M324" s="92">
        <v>671689.51472638512</v>
      </c>
      <c r="N324" s="90" t="s">
        <v>332</v>
      </c>
      <c r="O324" s="25">
        <f t="shared" si="6"/>
        <v>-8.138683161064586E-3</v>
      </c>
      <c r="Q324" s="93">
        <v>3.7000000000000026E-2</v>
      </c>
      <c r="R324">
        <v>2</v>
      </c>
      <c r="T324" s="25">
        <f t="shared" si="7"/>
        <v>3.5000000000000024E-2</v>
      </c>
      <c r="U324" s="1">
        <f t="shared" si="8"/>
        <v>0.95515576169354066</v>
      </c>
    </row>
    <row r="325" spans="1:21" ht="15">
      <c r="A325" s="91">
        <v>509.05911075660674</v>
      </c>
      <c r="B325" s="91">
        <v>511.86980026173984</v>
      </c>
      <c r="C325" s="91">
        <v>507.36876601925394</v>
      </c>
      <c r="D325" s="91">
        <v>508.16480045951897</v>
      </c>
      <c r="E325" s="92">
        <v>4877593.6989705963</v>
      </c>
      <c r="F325" s="90" t="s">
        <v>333</v>
      </c>
      <c r="G325" s="25">
        <f t="shared" si="5"/>
        <v>1.7598824166471516E-3</v>
      </c>
      <c r="I325" s="91">
        <v>481.21174383921516</v>
      </c>
      <c r="J325" s="91">
        <v>484.02099894686512</v>
      </c>
      <c r="K325" s="91">
        <v>477.45631600433597</v>
      </c>
      <c r="L325" s="91">
        <v>481.45560278953201</v>
      </c>
      <c r="M325" s="92">
        <v>851321.01868835418</v>
      </c>
      <c r="N325" s="90" t="s">
        <v>333</v>
      </c>
      <c r="O325" s="25">
        <f t="shared" si="6"/>
        <v>-5.0650350500425212E-4</v>
      </c>
      <c r="Q325" s="93">
        <v>3.8000000000000027E-2</v>
      </c>
      <c r="R325">
        <v>0</v>
      </c>
      <c r="T325" s="25">
        <f t="shared" si="7"/>
        <v>3.6000000000000025E-2</v>
      </c>
      <c r="U325" s="1">
        <f t="shared" si="8"/>
        <v>0.78041739881164296</v>
      </c>
    </row>
    <row r="326" spans="1:21" ht="15">
      <c r="A326" s="91">
        <v>511.73221406218789</v>
      </c>
      <c r="B326" s="91">
        <v>513.40290362817609</v>
      </c>
      <c r="C326" s="91">
        <v>507.97807633155554</v>
      </c>
      <c r="D326" s="91">
        <v>510.16962793870476</v>
      </c>
      <c r="E326" s="92">
        <v>6395660.3414110402</v>
      </c>
      <c r="F326" s="90" t="s">
        <v>334</v>
      </c>
      <c r="G326" s="25">
        <f t="shared" si="5"/>
        <v>3.0628756356911868E-3</v>
      </c>
      <c r="I326" s="91">
        <v>479.3486614587946</v>
      </c>
      <c r="J326" s="91">
        <v>486.28401000580533</v>
      </c>
      <c r="K326" s="91">
        <v>467.00939857276273</v>
      </c>
      <c r="L326" s="91">
        <v>480.61672800044215</v>
      </c>
      <c r="M326" s="92">
        <v>1772176.0855548426</v>
      </c>
      <c r="N326" s="90" t="s">
        <v>334</v>
      </c>
      <c r="O326" s="25">
        <f t="shared" si="6"/>
        <v>-2.6384153271635791E-3</v>
      </c>
      <c r="Q326" s="93">
        <v>3.9000000000000028E-2</v>
      </c>
      <c r="R326">
        <v>1</v>
      </c>
      <c r="T326" s="25">
        <f t="shared" si="7"/>
        <v>3.7000000000000026E-2</v>
      </c>
      <c r="U326" s="1">
        <f t="shared" si="8"/>
        <v>0.63399547462264894</v>
      </c>
    </row>
    <row r="327" spans="1:21" ht="15">
      <c r="A327" s="91">
        <v>504.4991110000272</v>
      </c>
      <c r="B327" s="91">
        <v>509.50135211230952</v>
      </c>
      <c r="C327" s="91">
        <v>503.92911103045469</v>
      </c>
      <c r="D327" s="91">
        <v>506.24842125147364</v>
      </c>
      <c r="E327" s="92">
        <v>5885965.4720974127</v>
      </c>
      <c r="F327" s="90" t="s">
        <v>335</v>
      </c>
      <c r="G327" s="25">
        <f t="shared" si="5"/>
        <v>-3.4554384330168775E-3</v>
      </c>
      <c r="I327" s="91">
        <v>474.71534140277475</v>
      </c>
      <c r="J327" s="91">
        <v>476.17849510467573</v>
      </c>
      <c r="K327" s="91">
        <v>470.24589456136783</v>
      </c>
      <c r="L327" s="91">
        <v>473.25218770087372</v>
      </c>
      <c r="M327" s="92">
        <v>1224095.935835714</v>
      </c>
      <c r="N327" s="90" t="s">
        <v>335</v>
      </c>
      <c r="O327" s="25">
        <f t="shared" si="6"/>
        <v>3.0916998165591014E-3</v>
      </c>
      <c r="Q327" s="93">
        <v>4.0000000000000029E-2</v>
      </c>
      <c r="R327">
        <v>0</v>
      </c>
      <c r="T327" s="25">
        <f t="shared" si="7"/>
        <v>3.8000000000000027E-2</v>
      </c>
      <c r="U327" s="1">
        <f t="shared" si="8"/>
        <v>0.51209654335314514</v>
      </c>
    </row>
    <row r="328" spans="1:21" ht="15.75" thickBot="1">
      <c r="A328" s="91">
        <v>500.95135256872277</v>
      </c>
      <c r="B328" s="91">
        <v>502.68100764880467</v>
      </c>
      <c r="C328" s="91">
        <v>489.17790492134708</v>
      </c>
      <c r="D328" s="91">
        <v>494.58307704660302</v>
      </c>
      <c r="E328" s="92">
        <v>8011821.2697896753</v>
      </c>
      <c r="F328" s="90" t="s">
        <v>336</v>
      </c>
      <c r="G328" s="25">
        <f t="shared" si="5"/>
        <v>1.2876048165957998E-2</v>
      </c>
      <c r="I328" s="91">
        <v>474.54951731655927</v>
      </c>
      <c r="J328" s="91">
        <v>475.83709257423214</v>
      </c>
      <c r="K328" s="91">
        <v>463.8587409346693</v>
      </c>
      <c r="L328" s="91">
        <v>472.19871703550496</v>
      </c>
      <c r="M328" s="92">
        <v>1345702.0936637167</v>
      </c>
      <c r="N328" s="90" t="s">
        <v>336</v>
      </c>
      <c r="O328" s="25">
        <f t="shared" si="6"/>
        <v>4.9784131050012448E-3</v>
      </c>
      <c r="Q328" s="94" t="s">
        <v>1489</v>
      </c>
      <c r="R328" s="94">
        <v>11</v>
      </c>
      <c r="T328" s="25">
        <f t="shared" si="7"/>
        <v>3.9000000000000028E-2</v>
      </c>
      <c r="U328" s="1">
        <f t="shared" si="8"/>
        <v>0.41126713174902124</v>
      </c>
    </row>
    <row r="329" spans="1:21">
      <c r="A329" s="91">
        <v>500.7056629266657</v>
      </c>
      <c r="B329" s="91">
        <v>501.74709218141726</v>
      </c>
      <c r="C329" s="91">
        <v>495.56583561483137</v>
      </c>
      <c r="D329" s="91">
        <v>495.84100801393532</v>
      </c>
      <c r="E329" s="92">
        <v>6639939.0562054329</v>
      </c>
      <c r="F329" s="90" t="s">
        <v>337</v>
      </c>
      <c r="G329" s="25">
        <f t="shared" si="5"/>
        <v>9.810916874777087E-3</v>
      </c>
      <c r="I329" s="91">
        <v>470.25759979098302</v>
      </c>
      <c r="J329" s="91">
        <v>475.14941033433871</v>
      </c>
      <c r="K329" s="91">
        <v>468.20918460832161</v>
      </c>
      <c r="L329" s="91">
        <v>471.90608629512479</v>
      </c>
      <c r="M329" s="92">
        <v>1001967.5295187749</v>
      </c>
      <c r="N329" s="90" t="s">
        <v>337</v>
      </c>
      <c r="O329" s="25">
        <f t="shared" si="6"/>
        <v>-3.4932512040347641E-3</v>
      </c>
      <c r="T329" s="25">
        <f t="shared" si="7"/>
        <v>4.0000000000000029E-2</v>
      </c>
      <c r="U329" s="1">
        <f t="shared" si="8"/>
        <v>0.32839960933334789</v>
      </c>
    </row>
    <row r="330" spans="1:21">
      <c r="A330" s="91">
        <v>497.68859412220468</v>
      </c>
      <c r="B330" s="91">
        <v>499.96859400049442</v>
      </c>
      <c r="C330" s="91">
        <v>492.32273233967777</v>
      </c>
      <c r="D330" s="91">
        <v>498.0718699638137</v>
      </c>
      <c r="E330" s="92">
        <v>4283876.1585050318</v>
      </c>
      <c r="F330" s="90" t="s">
        <v>338</v>
      </c>
      <c r="G330" s="25">
        <f t="shared" si="5"/>
        <v>-7.6951914918799158E-4</v>
      </c>
      <c r="I330" s="91">
        <v>471.43787711051647</v>
      </c>
      <c r="J330" s="91">
        <v>475.03723521719297</v>
      </c>
      <c r="K330" s="91">
        <v>463.86849529268193</v>
      </c>
      <c r="L330" s="91">
        <v>463.86849529268193</v>
      </c>
      <c r="M330" s="92">
        <v>1863094.4216306519</v>
      </c>
      <c r="N330" s="90" t="s">
        <v>338</v>
      </c>
      <c r="O330" s="25">
        <f t="shared" si="6"/>
        <v>1.631794763957517E-2</v>
      </c>
      <c r="T330" s="25">
        <f t="shared" ref="T330:T331" si="9">T329+0.001</f>
        <v>4.1000000000000029E-2</v>
      </c>
      <c r="U330" s="1">
        <f t="shared" si="8"/>
        <v>0.26072803577620352</v>
      </c>
    </row>
    <row r="331" spans="1:21">
      <c r="A331" s="91">
        <v>497.38393896605385</v>
      </c>
      <c r="B331" s="91">
        <v>497.78686997902747</v>
      </c>
      <c r="C331" s="91">
        <v>491.1335944721215</v>
      </c>
      <c r="D331" s="91">
        <v>493.77721502065577</v>
      </c>
      <c r="E331" s="92">
        <v>7055062.3766110232</v>
      </c>
      <c r="F331" s="90" t="s">
        <v>339</v>
      </c>
      <c r="G331" s="25">
        <f t="shared" si="5"/>
        <v>7.3043547488256255E-3</v>
      </c>
      <c r="I331" s="91">
        <v>461.57622115970366</v>
      </c>
      <c r="J331" s="91">
        <v>461.85909754207125</v>
      </c>
      <c r="K331" s="91">
        <v>447.09099951088376</v>
      </c>
      <c r="L331" s="91">
        <v>453.87027832969176</v>
      </c>
      <c r="M331" s="92">
        <v>1362964.1215471746</v>
      </c>
      <c r="N331" s="90" t="s">
        <v>339</v>
      </c>
      <c r="O331" s="25">
        <f t="shared" si="6"/>
        <v>1.6978293574038128E-2</v>
      </c>
      <c r="T331" s="25">
        <f t="shared" si="9"/>
        <v>4.200000000000003E-2</v>
      </c>
      <c r="U331" s="1">
        <f t="shared" si="8"/>
        <v>0.20581608147978586</v>
      </c>
    </row>
    <row r="332" spans="1:21">
      <c r="A332" s="91">
        <v>493.74773226360895</v>
      </c>
      <c r="B332" s="91">
        <v>494.32755981886368</v>
      </c>
      <c r="C332" s="91">
        <v>483.73646900492344</v>
      </c>
      <c r="D332" s="91">
        <v>484.75549136431943</v>
      </c>
      <c r="E332" s="92">
        <v>6292830.4060972454</v>
      </c>
      <c r="F332" s="90" t="s">
        <v>340</v>
      </c>
      <c r="G332" s="25">
        <f t="shared" si="5"/>
        <v>1.8550054737866528E-2</v>
      </c>
      <c r="I332" s="91">
        <v>451.69505649286555</v>
      </c>
      <c r="J332" s="91">
        <v>459.66924416822604</v>
      </c>
      <c r="K332" s="91">
        <v>451.11954937011785</v>
      </c>
      <c r="L332" s="91">
        <v>458.02563484309059</v>
      </c>
      <c r="M332" s="92">
        <v>1850759.4222546115</v>
      </c>
      <c r="N332" s="90" t="s">
        <v>340</v>
      </c>
      <c r="O332" s="25">
        <f t="shared" si="6"/>
        <v>-1.3821449867961522E-2</v>
      </c>
    </row>
    <row r="333" spans="1:21">
      <c r="A333" s="91">
        <v>483.5860086681277</v>
      </c>
      <c r="B333" s="91">
        <v>492.53893922468808</v>
      </c>
      <c r="C333" s="91">
        <v>482.23962942965483</v>
      </c>
      <c r="D333" s="91">
        <v>488.1263532533427</v>
      </c>
      <c r="E333" s="92">
        <v>8188787.419587302</v>
      </c>
      <c r="F333" s="90" t="s">
        <v>341</v>
      </c>
      <c r="G333" s="25">
        <f t="shared" si="5"/>
        <v>-9.3015764360063757E-3</v>
      </c>
      <c r="I333" s="91">
        <v>461.03973146900665</v>
      </c>
      <c r="J333" s="91">
        <v>467.05807281924604</v>
      </c>
      <c r="K333" s="91">
        <v>449.05162547143112</v>
      </c>
      <c r="L333" s="91">
        <v>455.206625377428</v>
      </c>
      <c r="M333" s="92">
        <v>1977752.9156644868</v>
      </c>
      <c r="N333" s="90" t="s">
        <v>341</v>
      </c>
      <c r="O333" s="25">
        <f t="shared" si="6"/>
        <v>1.2814194184327166E-2</v>
      </c>
    </row>
    <row r="334" spans="1:21">
      <c r="A334" s="91">
        <v>475.94014700731111</v>
      </c>
      <c r="B334" s="91">
        <v>478.09238827173124</v>
      </c>
      <c r="C334" s="91">
        <v>468.96256117288976</v>
      </c>
      <c r="D334" s="91">
        <v>469.82738871293071</v>
      </c>
      <c r="E334" s="92">
        <v>6345728.4440087499</v>
      </c>
      <c r="F334" s="90" t="s">
        <v>342</v>
      </c>
      <c r="G334" s="25">
        <f t="shared" si="5"/>
        <v>1.301064697638421E-2</v>
      </c>
      <c r="I334" s="91">
        <v>452.68024665214557</v>
      </c>
      <c r="J334" s="91">
        <v>482.06037298631776</v>
      </c>
      <c r="K334" s="91">
        <v>439.07291722446627</v>
      </c>
      <c r="L334" s="91">
        <v>472.84250466434145</v>
      </c>
      <c r="M334" s="92">
        <v>4909019.1212775055</v>
      </c>
      <c r="N334" s="90" t="s">
        <v>342</v>
      </c>
      <c r="O334" s="25">
        <f t="shared" si="6"/>
        <v>-4.2640536358947934E-2</v>
      </c>
    </row>
    <row r="335" spans="1:21">
      <c r="A335" s="91">
        <v>464.22566487402906</v>
      </c>
      <c r="B335" s="91">
        <v>471.22290587981496</v>
      </c>
      <c r="C335" s="91">
        <v>459.27256169015811</v>
      </c>
      <c r="D335" s="91">
        <v>470.76100935274764</v>
      </c>
      <c r="E335" s="92">
        <v>7898685.6497152196</v>
      </c>
      <c r="F335" s="90" t="s">
        <v>343</v>
      </c>
      <c r="G335" s="25">
        <f t="shared" si="5"/>
        <v>-1.388251012483821E-2</v>
      </c>
      <c r="I335" s="91">
        <v>518.278304287374</v>
      </c>
      <c r="J335" s="91">
        <v>526.73533268436177</v>
      </c>
      <c r="K335" s="91">
        <v>513.51330039818311</v>
      </c>
      <c r="L335" s="91">
        <v>526.73533268436177</v>
      </c>
      <c r="M335" s="92">
        <v>1376767.1826840602</v>
      </c>
      <c r="N335" s="90" t="s">
        <v>343</v>
      </c>
      <c r="O335" s="25">
        <f t="shared" si="6"/>
        <v>-1.605555555555549E-2</v>
      </c>
    </row>
    <row r="336" spans="1:21">
      <c r="A336" s="91">
        <v>475.55687116570203</v>
      </c>
      <c r="B336" s="91">
        <v>479.74342266635483</v>
      </c>
      <c r="C336" s="91">
        <v>473.19825060195399</v>
      </c>
      <c r="D336" s="91">
        <v>476.43152629142531</v>
      </c>
      <c r="E336" s="92">
        <v>5737868.0606829533</v>
      </c>
      <c r="F336" s="90" t="s">
        <v>344</v>
      </c>
      <c r="G336" s="25">
        <f t="shared" si="5"/>
        <v>-1.8358464489779402E-3</v>
      </c>
      <c r="I336" s="91">
        <v>527.11575264685598</v>
      </c>
      <c r="J336" s="91">
        <v>531.37840709839429</v>
      </c>
      <c r="K336" s="91">
        <v>517.05900953578987</v>
      </c>
      <c r="L336" s="91">
        <v>517.05900953578987</v>
      </c>
      <c r="M336" s="92">
        <v>1130189.1919157261</v>
      </c>
      <c r="N336" s="90" t="s">
        <v>344</v>
      </c>
      <c r="O336" s="25">
        <f t="shared" si="6"/>
        <v>1.9449894355568764E-2</v>
      </c>
    </row>
    <row r="337" spans="1:15">
      <c r="A337" s="91">
        <v>474.89842292498906</v>
      </c>
      <c r="B337" s="91">
        <v>483.28626730481807</v>
      </c>
      <c r="C337" s="91">
        <v>469.98463008384726</v>
      </c>
      <c r="D337" s="91">
        <v>480.2249743647867</v>
      </c>
      <c r="E337" s="92">
        <v>6486709.1532889223</v>
      </c>
      <c r="F337" s="90" t="s">
        <v>345</v>
      </c>
      <c r="G337" s="25">
        <f t="shared" si="5"/>
        <v>-1.1091783485111972E-2</v>
      </c>
      <c r="I337" s="91">
        <v>524.30649753920613</v>
      </c>
      <c r="J337" s="91">
        <v>530.63707588943112</v>
      </c>
      <c r="K337" s="91">
        <v>521.00952453092248</v>
      </c>
      <c r="L337" s="91">
        <v>523.91632321869918</v>
      </c>
      <c r="M337" s="92">
        <v>1416349.4903560115</v>
      </c>
      <c r="N337" s="90" t="s">
        <v>345</v>
      </c>
      <c r="O337" s="25">
        <f t="shared" si="6"/>
        <v>7.447264061366532E-4</v>
      </c>
    </row>
    <row r="338" spans="1:15">
      <c r="A338" s="91">
        <v>485.57118097594895</v>
      </c>
      <c r="B338" s="91">
        <v>490.66187035937185</v>
      </c>
      <c r="C338" s="91">
        <v>484.91273273523603</v>
      </c>
      <c r="D338" s="91">
        <v>487.477732598312</v>
      </c>
      <c r="E338" s="92">
        <v>8344453.3226338495</v>
      </c>
      <c r="F338" s="90" t="s">
        <v>346</v>
      </c>
      <c r="G338" s="25">
        <f t="shared" si="5"/>
        <v>-3.911053766909367E-3</v>
      </c>
      <c r="I338" s="91">
        <v>516.35669575887732</v>
      </c>
      <c r="J338" s="91">
        <v>523.3676405804863</v>
      </c>
      <c r="K338" s="91">
        <v>515.03010306915371</v>
      </c>
      <c r="L338" s="91">
        <v>521.4777337155308</v>
      </c>
      <c r="M338" s="92">
        <v>950415.18754540686</v>
      </c>
      <c r="N338" s="90" t="s">
        <v>346</v>
      </c>
      <c r="O338" s="25">
        <f t="shared" si="6"/>
        <v>-9.8202427938122172E-3</v>
      </c>
    </row>
    <row r="339" spans="1:15">
      <c r="A339" s="91">
        <v>486.93721538578643</v>
      </c>
      <c r="B339" s="91">
        <v>491.63480134191792</v>
      </c>
      <c r="C339" s="91">
        <v>482.22980184397255</v>
      </c>
      <c r="D339" s="91">
        <v>491.42842204259</v>
      </c>
      <c r="E339" s="92">
        <v>7836602.2428923314</v>
      </c>
      <c r="F339" s="90" t="s">
        <v>347</v>
      </c>
      <c r="G339" s="25">
        <f t="shared" si="5"/>
        <v>-9.1390860913908023E-3</v>
      </c>
      <c r="I339" s="91">
        <v>522.65801103506442</v>
      </c>
      <c r="J339" s="91">
        <v>525.45263460569515</v>
      </c>
      <c r="K339" s="91">
        <v>512.79635508425156</v>
      </c>
      <c r="L339" s="91">
        <v>516.82490494348565</v>
      </c>
      <c r="M339" s="92">
        <v>732361.88283416594</v>
      </c>
      <c r="N339" s="90" t="s">
        <v>347</v>
      </c>
      <c r="O339" s="25">
        <f t="shared" si="6"/>
        <v>1.1286426090895585E-2</v>
      </c>
    </row>
    <row r="340" spans="1:15">
      <c r="A340" s="91">
        <v>482.09221564442061</v>
      </c>
      <c r="B340" s="91">
        <v>484.49997413658008</v>
      </c>
      <c r="C340" s="91">
        <v>469.75859561315474</v>
      </c>
      <c r="D340" s="91">
        <v>472.40221616168901</v>
      </c>
      <c r="E340" s="92">
        <v>11743672.732160039</v>
      </c>
      <c r="F340" s="90" t="s">
        <v>348</v>
      </c>
      <c r="G340" s="25">
        <f t="shared" si="5"/>
        <v>2.051218040733116E-2</v>
      </c>
      <c r="I340" s="91">
        <v>520.87296351874511</v>
      </c>
      <c r="J340" s="91">
        <v>524.54060213151024</v>
      </c>
      <c r="K340" s="91">
        <v>501.55933465365189</v>
      </c>
      <c r="L340" s="91">
        <v>503.41266267605982</v>
      </c>
      <c r="M340" s="92">
        <v>1208716.1435618312</v>
      </c>
      <c r="N340" s="90" t="s">
        <v>348</v>
      </c>
      <c r="O340" s="25">
        <f t="shared" si="6"/>
        <v>3.4683872967893103E-2</v>
      </c>
    </row>
    <row r="341" spans="1:15">
      <c r="A341" s="91">
        <v>473.74859540016183</v>
      </c>
      <c r="B341" s="91">
        <v>481.84652600236353</v>
      </c>
      <c r="C341" s="91">
        <v>460.25532025838652</v>
      </c>
      <c r="D341" s="91">
        <v>480.71635364890091</v>
      </c>
      <c r="E341" s="92">
        <v>16943432.027275741</v>
      </c>
      <c r="F341" s="90" t="s">
        <v>349</v>
      </c>
      <c r="G341" s="25">
        <f t="shared" si="5"/>
        <v>-1.4494531329858007E-2</v>
      </c>
      <c r="I341" s="91">
        <v>503.41266267605982</v>
      </c>
      <c r="J341" s="91">
        <v>508.73854215097936</v>
      </c>
      <c r="K341" s="91">
        <v>490.92220724083154</v>
      </c>
      <c r="L341" s="91">
        <v>498.90614927420472</v>
      </c>
      <c r="M341" s="92">
        <v>1098863.7064657353</v>
      </c>
      <c r="N341" s="90" t="s">
        <v>349</v>
      </c>
      <c r="O341" s="25">
        <f t="shared" si="6"/>
        <v>9.032787846794621E-3</v>
      </c>
    </row>
    <row r="342" spans="1:15">
      <c r="A342" s="91">
        <v>490.49480140277308</v>
      </c>
      <c r="B342" s="91">
        <v>493.40494607501086</v>
      </c>
      <c r="C342" s="91">
        <v>445.34687277836235</v>
      </c>
      <c r="D342" s="91">
        <v>445.67118310587767</v>
      </c>
      <c r="E342" s="92">
        <v>29800395.48553177</v>
      </c>
      <c r="F342" s="90" t="s">
        <v>350</v>
      </c>
      <c r="G342" s="25">
        <f t="shared" si="5"/>
        <v>0.10057553639551053</v>
      </c>
      <c r="I342" s="91">
        <v>499.71576098925652</v>
      </c>
      <c r="J342" s="91">
        <v>506.73889875838137</v>
      </c>
      <c r="K342" s="91">
        <v>469.08707682946215</v>
      </c>
      <c r="L342" s="91">
        <v>471.24278995026305</v>
      </c>
      <c r="M342" s="92">
        <v>1648888.6279448662</v>
      </c>
      <c r="N342" s="90" t="s">
        <v>350</v>
      </c>
      <c r="O342" s="25">
        <f t="shared" si="6"/>
        <v>6.0421022127465696E-2</v>
      </c>
    </row>
    <row r="343" spans="1:15">
      <c r="A343" s="91">
        <v>448.86514845261985</v>
      </c>
      <c r="B343" s="91">
        <v>474.17118158450006</v>
      </c>
      <c r="C343" s="91">
        <v>441.84825227546941</v>
      </c>
      <c r="D343" s="91">
        <v>471.40963000777839</v>
      </c>
      <c r="E343" s="92">
        <v>19336065.453244127</v>
      </c>
      <c r="F343" s="90" t="s">
        <v>351</v>
      </c>
      <c r="G343" s="25">
        <f t="shared" si="5"/>
        <v>-4.7823549032688484E-2</v>
      </c>
      <c r="I343" s="91">
        <v>479.88515114949166</v>
      </c>
      <c r="J343" s="91">
        <v>490.65396239548301</v>
      </c>
      <c r="K343" s="91">
        <v>475.60298798192798</v>
      </c>
      <c r="L343" s="91">
        <v>487.71790063366831</v>
      </c>
      <c r="M343" s="92">
        <v>1257256.4984867612</v>
      </c>
      <c r="N343" s="90" t="s">
        <v>351</v>
      </c>
      <c r="O343" s="25">
        <f t="shared" si="6"/>
        <v>-1.6059999999999852E-2</v>
      </c>
    </row>
    <row r="344" spans="1:15">
      <c r="A344" s="91">
        <v>455.56756188793725</v>
      </c>
      <c r="B344" s="91">
        <v>472.47100926146499</v>
      </c>
      <c r="C344" s="91">
        <v>435.16549401151656</v>
      </c>
      <c r="D344" s="91">
        <v>441.78928676137571</v>
      </c>
      <c r="E344" s="92">
        <v>31834133.03269257</v>
      </c>
      <c r="F344" s="90" t="s">
        <v>352</v>
      </c>
      <c r="G344" s="25">
        <f t="shared" si="5"/>
        <v>3.1187436045735595E-2</v>
      </c>
      <c r="I344" s="91">
        <v>469.74061881631133</v>
      </c>
      <c r="J344" s="91">
        <v>482.84072162733162</v>
      </c>
      <c r="K344" s="91">
        <v>461.34572567986424</v>
      </c>
      <c r="L344" s="91">
        <v>468.34574562049903</v>
      </c>
      <c r="M344" s="92">
        <v>2016915.9235737387</v>
      </c>
      <c r="N344" s="90" t="s">
        <v>352</v>
      </c>
      <c r="O344" s="25">
        <f t="shared" si="6"/>
        <v>2.9782979964176892E-3</v>
      </c>
    </row>
    <row r="345" spans="1:15">
      <c r="A345" s="91">
        <v>457.49376868166479</v>
      </c>
      <c r="B345" s="91">
        <v>474.96721602476504</v>
      </c>
      <c r="C345" s="91">
        <v>456.23583771433255</v>
      </c>
      <c r="D345" s="91">
        <v>472.98204371694374</v>
      </c>
      <c r="E345" s="92">
        <v>31509781.752220262</v>
      </c>
      <c r="F345" s="90" t="s">
        <v>353</v>
      </c>
      <c r="G345" s="25">
        <f t="shared" si="5"/>
        <v>-3.2746010638297962E-2</v>
      </c>
      <c r="I345" s="91">
        <v>473.59359023131725</v>
      </c>
      <c r="J345" s="91">
        <v>504.08083619992789</v>
      </c>
      <c r="K345" s="91">
        <v>472.97906567651887</v>
      </c>
      <c r="L345" s="91">
        <v>500.88628395077734</v>
      </c>
      <c r="M345" s="92">
        <v>1735187.4903514239</v>
      </c>
      <c r="N345" s="90" t="s">
        <v>353</v>
      </c>
      <c r="O345" s="25">
        <f t="shared" si="6"/>
        <v>-5.4488802336903674E-2</v>
      </c>
    </row>
    <row r="346" spans="1:15">
      <c r="A346" s="91">
        <v>485.63997407572498</v>
      </c>
      <c r="B346" s="91">
        <v>494.97618047389437</v>
      </c>
      <c r="C346" s="91">
        <v>484.99135342069428</v>
      </c>
      <c r="D346" s="91">
        <v>492.36204268240692</v>
      </c>
      <c r="E346" s="92">
        <v>16510690.951543722</v>
      </c>
      <c r="F346" s="90" t="s">
        <v>354</v>
      </c>
      <c r="G346" s="25">
        <f t="shared" si="5"/>
        <v>-1.3652694610778449E-2</v>
      </c>
      <c r="I346" s="91">
        <v>502.5152617388938</v>
      </c>
      <c r="J346" s="91">
        <v>512.10379566535175</v>
      </c>
      <c r="K346" s="91">
        <v>499.91084814951</v>
      </c>
      <c r="L346" s="91">
        <v>499.969374297586</v>
      </c>
      <c r="M346" s="92">
        <v>1082599.1814407287</v>
      </c>
      <c r="N346" s="90" t="s">
        <v>354</v>
      </c>
      <c r="O346" s="25">
        <f t="shared" si="6"/>
        <v>5.0920867800843261E-3</v>
      </c>
    </row>
    <row r="347" spans="1:15">
      <c r="A347" s="91">
        <v>509.96324863937679</v>
      </c>
      <c r="B347" s="91">
        <v>512.49876574540599</v>
      </c>
      <c r="C347" s="91">
        <v>501.13788014497254</v>
      </c>
      <c r="D347" s="91">
        <v>501.34445599601412</v>
      </c>
      <c r="E347" s="92">
        <v>6419321.2900425224</v>
      </c>
      <c r="F347" s="90" t="s">
        <v>355</v>
      </c>
      <c r="G347" s="25">
        <f t="shared" si="5"/>
        <v>1.7191359234719927E-2</v>
      </c>
      <c r="I347" s="91">
        <v>499.59870869310441</v>
      </c>
      <c r="J347" s="91">
        <v>501.86171975204468</v>
      </c>
      <c r="K347" s="91">
        <v>495.56040447585775</v>
      </c>
      <c r="L347" s="91">
        <v>498.06727448511475</v>
      </c>
      <c r="M347" s="92">
        <v>769753.37487558217</v>
      </c>
      <c r="N347" s="90" t="s">
        <v>355</v>
      </c>
      <c r="O347" s="25">
        <f t="shared" si="6"/>
        <v>3.074753725935464E-3</v>
      </c>
    </row>
    <row r="348" spans="1:15">
      <c r="A348" s="91">
        <v>506.90686949218656</v>
      </c>
      <c r="B348" s="91">
        <v>508.43014527294059</v>
      </c>
      <c r="C348" s="91">
        <v>500.10618020004637</v>
      </c>
      <c r="D348" s="91">
        <v>503.52618001748107</v>
      </c>
      <c r="E348" s="92">
        <v>7832052.8040529834</v>
      </c>
      <c r="F348" s="90" t="s">
        <v>356</v>
      </c>
      <c r="G348" s="25">
        <f t="shared" si="5"/>
        <v>6.7140291982199507E-3</v>
      </c>
      <c r="I348" s="91">
        <v>500.49610963027044</v>
      </c>
      <c r="J348" s="91">
        <v>504.60269435360584</v>
      </c>
      <c r="K348" s="91">
        <v>496.86748844955594</v>
      </c>
      <c r="L348" s="91">
        <v>501.90073718409536</v>
      </c>
      <c r="M348" s="92">
        <v>728681.47660411405</v>
      </c>
      <c r="N348" s="90" t="s">
        <v>356</v>
      </c>
      <c r="O348" s="25">
        <f t="shared" si="6"/>
        <v>-2.7986162397480863E-3</v>
      </c>
    </row>
    <row r="349" spans="1:15">
      <c r="A349" s="91">
        <v>505.04945579823499</v>
      </c>
      <c r="B349" s="91">
        <v>506.44497296511935</v>
      </c>
      <c r="C349" s="91">
        <v>493.97376673430142</v>
      </c>
      <c r="D349" s="91">
        <v>496.59773211147115</v>
      </c>
      <c r="E349" s="92">
        <v>8340469.6382106682</v>
      </c>
      <c r="F349" s="90" t="s">
        <v>357</v>
      </c>
      <c r="G349" s="25">
        <f t="shared" si="5"/>
        <v>1.7019255506520725E-2</v>
      </c>
      <c r="I349" s="91">
        <v>499.43288460688905</v>
      </c>
      <c r="J349" s="91">
        <v>506.1438829196083</v>
      </c>
      <c r="K349" s="91">
        <v>495.98471904940902</v>
      </c>
      <c r="L349" s="91">
        <v>499.42313024887636</v>
      </c>
      <c r="M349" s="92">
        <v>1006616.7334890495</v>
      </c>
      <c r="N349" s="90" t="s">
        <v>357</v>
      </c>
      <c r="O349" s="25">
        <f t="shared" si="6"/>
        <v>1.9531249999982236E-5</v>
      </c>
    </row>
    <row r="350" spans="1:15">
      <c r="A350" s="91">
        <v>501.99307665104487</v>
      </c>
      <c r="B350" s="91">
        <v>511.48652442013082</v>
      </c>
      <c r="C350" s="91">
        <v>501.36411116737872</v>
      </c>
      <c r="D350" s="91">
        <v>510.79859342237091</v>
      </c>
      <c r="E350" s="92">
        <v>5934105.4746672064</v>
      </c>
      <c r="F350" s="90" t="s">
        <v>358</v>
      </c>
      <c r="G350" s="25">
        <f t="shared" si="5"/>
        <v>-1.7238725565645652E-2</v>
      </c>
      <c r="I350" s="91">
        <v>499.60846305111721</v>
      </c>
      <c r="J350" s="91">
        <v>504.15399388502294</v>
      </c>
      <c r="K350" s="91">
        <v>494.67275789670441</v>
      </c>
      <c r="L350" s="91">
        <v>501.02284496295476</v>
      </c>
      <c r="M350" s="92">
        <v>749007.77585849829</v>
      </c>
      <c r="N350" s="90" t="s">
        <v>358</v>
      </c>
      <c r="O350" s="25">
        <f t="shared" si="6"/>
        <v>-2.8229888637955058E-3</v>
      </c>
    </row>
    <row r="351" spans="1:15">
      <c r="A351" s="91">
        <v>512.2235933463021</v>
      </c>
      <c r="B351" s="91">
        <v>515.63180006091795</v>
      </c>
      <c r="C351" s="91">
        <v>510.27773138120989</v>
      </c>
      <c r="D351" s="91">
        <v>512.30221403176029</v>
      </c>
      <c r="E351" s="92">
        <v>5632032.3006472988</v>
      </c>
      <c r="F351" s="90" t="s">
        <v>359</v>
      </c>
      <c r="G351" s="25">
        <f t="shared" si="5"/>
        <v>-1.5346544150074415E-4</v>
      </c>
      <c r="I351" s="91">
        <v>501.19842340718299</v>
      </c>
      <c r="J351" s="91">
        <v>505.94879575935488</v>
      </c>
      <c r="K351" s="91">
        <v>499.33534102676231</v>
      </c>
      <c r="L351" s="91">
        <v>501.43252799948704</v>
      </c>
      <c r="M351" s="92">
        <v>952389.68960643199</v>
      </c>
      <c r="N351" s="90" t="s">
        <v>359</v>
      </c>
      <c r="O351" s="25">
        <f t="shared" si="6"/>
        <v>-4.6687157141167557E-4</v>
      </c>
    </row>
    <row r="352" spans="1:15">
      <c r="A352" s="91">
        <v>513.63670191206393</v>
      </c>
      <c r="B352" s="91">
        <v>520.44327453588426</v>
      </c>
      <c r="C352" s="91">
        <v>512.30476827632344</v>
      </c>
      <c r="D352" s="91">
        <v>519.61081601354647</v>
      </c>
      <c r="E352" s="92">
        <v>4522966.6091067847</v>
      </c>
      <c r="F352" s="90" t="s">
        <v>360</v>
      </c>
      <c r="G352" s="25">
        <f t="shared" ref="G352:G415" si="10">A352/D352-1</f>
        <v>-1.1497285886610142E-2</v>
      </c>
      <c r="I352" s="91">
        <v>494.6825122547171</v>
      </c>
      <c r="J352" s="91">
        <v>498.35990522549497</v>
      </c>
      <c r="K352" s="91">
        <v>492.37092449287377</v>
      </c>
      <c r="L352" s="91">
        <v>496.31149004283355</v>
      </c>
      <c r="M352" s="92">
        <v>841805.27199550124</v>
      </c>
      <c r="N352" s="90" t="s">
        <v>360</v>
      </c>
      <c r="O352" s="25">
        <f t="shared" ref="O352:O415" si="11">I352/L352-1</f>
        <v>-3.282168196379831E-3</v>
      </c>
    </row>
    <row r="353" spans="1:15">
      <c r="A353" s="91">
        <v>519.69895868061758</v>
      </c>
      <c r="B353" s="91">
        <v>520.62935349970098</v>
      </c>
      <c r="C353" s="91">
        <v>518.1907397107351</v>
      </c>
      <c r="D353" s="91">
        <v>519.64019690257021</v>
      </c>
      <c r="E353" s="92">
        <v>6392113.2491464708</v>
      </c>
      <c r="F353" s="90" t="s">
        <v>361</v>
      </c>
      <c r="G353" s="25">
        <f t="shared" si="10"/>
        <v>1.1308166380818996E-4</v>
      </c>
      <c r="I353" s="91">
        <v>494.17528563805809</v>
      </c>
      <c r="J353" s="91">
        <v>496.90650588160668</v>
      </c>
      <c r="K353" s="91">
        <v>483.81615742859896</v>
      </c>
      <c r="L353" s="91">
        <v>485.76702903113363</v>
      </c>
      <c r="M353" s="92">
        <v>1016477.9667834421</v>
      </c>
      <c r="N353" s="90" t="s">
        <v>361</v>
      </c>
      <c r="O353" s="25">
        <f t="shared" si="11"/>
        <v>1.7309236947791184E-2</v>
      </c>
    </row>
    <row r="354" spans="1:15">
      <c r="A354" s="91">
        <v>518.46496134162282</v>
      </c>
      <c r="B354" s="91">
        <v>519.44432430907898</v>
      </c>
      <c r="C354" s="91">
        <v>515.02739732585167</v>
      </c>
      <c r="D354" s="91">
        <v>515.61501510632536</v>
      </c>
      <c r="E354" s="92">
        <v>22847777.324193522</v>
      </c>
      <c r="F354" s="90" t="s">
        <v>362</v>
      </c>
      <c r="G354" s="25">
        <f t="shared" si="10"/>
        <v>5.5272754900470566E-3</v>
      </c>
      <c r="I354" s="91">
        <v>482.91875649143299</v>
      </c>
      <c r="J354" s="91">
        <v>483.32843952796532</v>
      </c>
      <c r="K354" s="91">
        <v>477.08067567726789</v>
      </c>
      <c r="L354" s="91">
        <v>478.93897842226227</v>
      </c>
      <c r="M354" s="92">
        <v>642483.08211135748</v>
      </c>
      <c r="N354" s="90" t="s">
        <v>362</v>
      </c>
      <c r="O354" s="25">
        <f t="shared" si="11"/>
        <v>8.309572301425705E-3</v>
      </c>
    </row>
    <row r="355" spans="1:15">
      <c r="A355" s="91">
        <v>509.52337744874791</v>
      </c>
      <c r="B355" s="91">
        <v>510.19913789629277</v>
      </c>
      <c r="C355" s="91">
        <v>504.03404801615608</v>
      </c>
      <c r="D355" s="91">
        <v>505.14562498421884</v>
      </c>
      <c r="E355" s="92">
        <v>5165613.9430516092</v>
      </c>
      <c r="F355" s="90" t="s">
        <v>363</v>
      </c>
      <c r="G355" s="25">
        <f t="shared" si="10"/>
        <v>8.6663176874308689E-3</v>
      </c>
      <c r="I355" s="91">
        <v>478.66585639790748</v>
      </c>
      <c r="J355" s="91">
        <v>482.63588010906551</v>
      </c>
      <c r="K355" s="91">
        <v>472.09892995303534</v>
      </c>
      <c r="L355" s="91">
        <v>478.16838413926109</v>
      </c>
      <c r="M355" s="92">
        <v>2137349.2722855355</v>
      </c>
      <c r="N355" s="90" t="s">
        <v>363</v>
      </c>
      <c r="O355" s="25">
        <f t="shared" si="11"/>
        <v>1.0403704534791558E-3</v>
      </c>
    </row>
    <row r="356" spans="1:15">
      <c r="A356" s="91">
        <v>509.39606026297861</v>
      </c>
      <c r="B356" s="91">
        <v>513.78850317201955</v>
      </c>
      <c r="C356" s="91">
        <v>506.64405032442681</v>
      </c>
      <c r="D356" s="91">
        <v>507.27084262359875</v>
      </c>
      <c r="E356" s="92">
        <v>6156794.9783335477</v>
      </c>
      <c r="F356" s="90" t="s">
        <v>364</v>
      </c>
      <c r="G356" s="25">
        <f t="shared" si="10"/>
        <v>4.1895127036835067E-3</v>
      </c>
      <c r="I356" s="91">
        <v>477.21245705401913</v>
      </c>
      <c r="J356" s="91">
        <v>480.72890311758783</v>
      </c>
      <c r="K356" s="91">
        <v>475.05186675421191</v>
      </c>
      <c r="L356" s="91">
        <v>478.45126052162863</v>
      </c>
      <c r="M356" s="92">
        <v>702891.97824110952</v>
      </c>
      <c r="N356" s="90" t="s">
        <v>364</v>
      </c>
      <c r="O356" s="25">
        <f t="shared" si="11"/>
        <v>-2.5891946992864234E-3</v>
      </c>
    </row>
    <row r="357" spans="1:15">
      <c r="A357" s="91">
        <v>510.57129582392611</v>
      </c>
      <c r="B357" s="91">
        <v>514.126383395792</v>
      </c>
      <c r="C357" s="91">
        <v>505.76174222704549</v>
      </c>
      <c r="D357" s="91">
        <v>506.85951017726711</v>
      </c>
      <c r="E357" s="92">
        <v>5487188.2831739737</v>
      </c>
      <c r="F357" s="90" t="s">
        <v>365</v>
      </c>
      <c r="G357" s="25">
        <f t="shared" si="10"/>
        <v>7.3231054604476764E-3</v>
      </c>
      <c r="I357" s="91">
        <v>479.44620503892128</v>
      </c>
      <c r="J357" s="91">
        <v>485.43538085870279</v>
      </c>
      <c r="K357" s="91">
        <v>474.06179941592563</v>
      </c>
      <c r="L357" s="91">
        <v>478.52929538572999</v>
      </c>
      <c r="M357" s="92">
        <v>868143.24315323494</v>
      </c>
      <c r="N357" s="90" t="s">
        <v>365</v>
      </c>
      <c r="O357" s="25">
        <f t="shared" si="11"/>
        <v>1.9160993110196589E-3</v>
      </c>
    </row>
    <row r="358" spans="1:15">
      <c r="A358" s="91">
        <v>505.26314854031358</v>
      </c>
      <c r="B358" s="91">
        <v>508.79864885283035</v>
      </c>
      <c r="C358" s="91">
        <v>503.46190417056818</v>
      </c>
      <c r="D358" s="91">
        <v>508.60277625933918</v>
      </c>
      <c r="E358" s="92">
        <v>6137252.6833561175</v>
      </c>
      <c r="F358" s="90" t="s">
        <v>366</v>
      </c>
      <c r="G358" s="25">
        <f t="shared" si="10"/>
        <v>-6.5662789802050092E-3</v>
      </c>
      <c r="I358" s="91">
        <v>477.77820981875419</v>
      </c>
      <c r="J358" s="91">
        <v>482.06037298631776</v>
      </c>
      <c r="K358" s="91">
        <v>476.23702125275179</v>
      </c>
      <c r="L358" s="91">
        <v>478.93897842226227</v>
      </c>
      <c r="M358" s="92">
        <v>635688.17055347888</v>
      </c>
      <c r="N358" s="90" t="s">
        <v>366</v>
      </c>
      <c r="O358" s="25">
        <f t="shared" si="11"/>
        <v>-2.4236252545823955E-3</v>
      </c>
    </row>
    <row r="359" spans="1:15">
      <c r="A359" s="91">
        <v>510.64964486132249</v>
      </c>
      <c r="B359" s="91">
        <v>513.02949687224111</v>
      </c>
      <c r="C359" s="91">
        <v>506.40900321223734</v>
      </c>
      <c r="D359" s="91">
        <v>506.77136751019611</v>
      </c>
      <c r="E359" s="92">
        <v>6401960.466491282</v>
      </c>
      <c r="F359" s="90" t="s">
        <v>367</v>
      </c>
      <c r="G359" s="25">
        <f t="shared" si="10"/>
        <v>7.6529133249587655E-3</v>
      </c>
      <c r="I359" s="91">
        <v>478.45126052162863</v>
      </c>
      <c r="J359" s="91">
        <v>480.88009566678431</v>
      </c>
      <c r="K359" s="91">
        <v>472.29626061563175</v>
      </c>
      <c r="L359" s="91">
        <v>472.57913699799929</v>
      </c>
      <c r="M359" s="92">
        <v>767142.23429955367</v>
      </c>
      <c r="N359" s="90" t="s">
        <v>367</v>
      </c>
      <c r="O359" s="25">
        <f t="shared" si="11"/>
        <v>1.2425693527080561E-2</v>
      </c>
    </row>
    <row r="360" spans="1:15">
      <c r="A360" s="91">
        <v>506.78116113987068</v>
      </c>
      <c r="B360" s="91">
        <v>507.72134958862853</v>
      </c>
      <c r="C360" s="91">
        <v>500.29777829531076</v>
      </c>
      <c r="D360" s="91">
        <v>500.72869800099147</v>
      </c>
      <c r="E360" s="92">
        <v>7568451.3773814011</v>
      </c>
      <c r="F360" s="90" t="s">
        <v>368</v>
      </c>
      <c r="G360" s="25">
        <f t="shared" si="10"/>
        <v>1.2087310280081587E-2</v>
      </c>
      <c r="I360" s="91">
        <v>473.01808310856956</v>
      </c>
      <c r="J360" s="91">
        <v>485.14275011832257</v>
      </c>
      <c r="K360" s="91">
        <v>471.2037725182123</v>
      </c>
      <c r="L360" s="91">
        <v>475.32011159956051</v>
      </c>
      <c r="M360" s="92">
        <v>1438277.1251344462</v>
      </c>
      <c r="N360" s="90" t="s">
        <v>368</v>
      </c>
      <c r="O360" s="25">
        <f t="shared" si="11"/>
        <v>-4.8431119046153936E-3</v>
      </c>
    </row>
    <row r="361" spans="1:15">
      <c r="A361" s="91">
        <v>496.58599264865194</v>
      </c>
      <c r="B361" s="91">
        <v>503.45132705051964</v>
      </c>
      <c r="C361" s="91">
        <v>494.98963101169835</v>
      </c>
      <c r="D361" s="91">
        <v>502.91267741841875</v>
      </c>
      <c r="E361" s="92">
        <v>22106203.439807799</v>
      </c>
      <c r="F361" s="90" t="s">
        <v>369</v>
      </c>
      <c r="G361" s="25">
        <f t="shared" si="10"/>
        <v>-1.2580086074273078E-2</v>
      </c>
      <c r="I361" s="91">
        <v>478.53904974374268</v>
      </c>
      <c r="J361" s="91">
        <v>480.49967570429004</v>
      </c>
      <c r="K361" s="91">
        <v>460.29840026004348</v>
      </c>
      <c r="L361" s="91">
        <v>462.95158563949065</v>
      </c>
      <c r="M361" s="92">
        <v>1364128.7292010295</v>
      </c>
      <c r="N361" s="90" t="s">
        <v>369</v>
      </c>
      <c r="O361" s="25">
        <f t="shared" si="11"/>
        <v>3.3669749899917889E-2</v>
      </c>
    </row>
    <row r="362" spans="1:15">
      <c r="A362" s="91">
        <v>503.15751816028279</v>
      </c>
      <c r="B362" s="91">
        <v>507.0553827707584</v>
      </c>
      <c r="C362" s="91">
        <v>498.59368673193711</v>
      </c>
      <c r="D362" s="91">
        <v>506.22292424842061</v>
      </c>
      <c r="E362" s="92">
        <v>8771574.2635372244</v>
      </c>
      <c r="F362" s="90" t="s">
        <v>370</v>
      </c>
      <c r="G362" s="25">
        <f t="shared" si="10"/>
        <v>-6.0554470003288952E-3</v>
      </c>
      <c r="I362" s="91">
        <v>463.42954918211166</v>
      </c>
      <c r="J362" s="91">
        <v>479.9144142235296</v>
      </c>
      <c r="K362" s="91">
        <v>462.84428770135122</v>
      </c>
      <c r="L362" s="91">
        <v>477.02712425177833</v>
      </c>
      <c r="M362" s="92">
        <v>1165266.8463913407</v>
      </c>
      <c r="N362" s="90" t="s">
        <v>370</v>
      </c>
      <c r="O362" s="25">
        <f t="shared" si="11"/>
        <v>-2.8504825781122234E-2</v>
      </c>
    </row>
    <row r="363" spans="1:15">
      <c r="A363" s="91">
        <v>500.72869800099147</v>
      </c>
      <c r="B363" s="91">
        <v>506.84961861129585</v>
      </c>
      <c r="C363" s="91">
        <v>497.05608687303084</v>
      </c>
      <c r="D363" s="91">
        <v>503.71575505173286</v>
      </c>
      <c r="E363" s="92">
        <v>11445107.046588035</v>
      </c>
      <c r="F363" s="90" t="s">
        <v>371</v>
      </c>
      <c r="G363" s="25">
        <f t="shared" si="10"/>
        <v>-5.9300449127992483E-3</v>
      </c>
      <c r="I363" s="91">
        <v>481.9725837642037</v>
      </c>
      <c r="J363" s="91">
        <v>483.27966773790195</v>
      </c>
      <c r="K363" s="91">
        <v>472.89615363341113</v>
      </c>
      <c r="L363" s="91">
        <v>481.86528582606428</v>
      </c>
      <c r="M363" s="92">
        <v>1594185.8992458857</v>
      </c>
      <c r="N363" s="90" t="s">
        <v>371</v>
      </c>
      <c r="O363" s="25">
        <f t="shared" si="11"/>
        <v>2.2267206477732948E-4</v>
      </c>
    </row>
    <row r="364" spans="1:15">
      <c r="A364" s="91">
        <v>504.87140335333112</v>
      </c>
      <c r="B364" s="91">
        <v>512.89238605679725</v>
      </c>
      <c r="C364" s="91">
        <v>500.2879846656362</v>
      </c>
      <c r="D364" s="91">
        <v>511.12953271537606</v>
      </c>
      <c r="E364" s="92">
        <v>11412409.261329545</v>
      </c>
      <c r="F364" s="90" t="s">
        <v>372</v>
      </c>
      <c r="G364" s="25">
        <f t="shared" si="10"/>
        <v>-1.2243724851504156E-2</v>
      </c>
      <c r="I364" s="91">
        <v>483.27966773790195</v>
      </c>
      <c r="J364" s="91">
        <v>497.67710016460779</v>
      </c>
      <c r="K364" s="91">
        <v>471.82805143102337</v>
      </c>
      <c r="L364" s="91">
        <v>474.49099116848322</v>
      </c>
      <c r="M364" s="92">
        <v>1606519.873439132</v>
      </c>
      <c r="N364" s="90" t="s">
        <v>372</v>
      </c>
      <c r="O364" s="25">
        <f t="shared" si="11"/>
        <v>1.8522325466655776E-2</v>
      </c>
    </row>
    <row r="365" spans="1:15">
      <c r="A365" s="91">
        <v>518.58248489771756</v>
      </c>
      <c r="B365" s="91">
        <v>519.92421216313244</v>
      </c>
      <c r="C365" s="91">
        <v>509.39606026297861</v>
      </c>
      <c r="D365" s="91">
        <v>514.06762161774452</v>
      </c>
      <c r="E365" s="92">
        <v>7462279.3007813608</v>
      </c>
      <c r="F365" s="90" t="s">
        <v>373</v>
      </c>
      <c r="G365" s="25">
        <f t="shared" si="10"/>
        <v>8.782625261954724E-3</v>
      </c>
      <c r="I365" s="91">
        <v>474.56902603258459</v>
      </c>
      <c r="J365" s="91">
        <v>479.03652200238906</v>
      </c>
      <c r="K365" s="91">
        <v>460.62517125346807</v>
      </c>
      <c r="L365" s="91">
        <v>461.4981862956023</v>
      </c>
      <c r="M365" s="92">
        <v>1053197.9640948626</v>
      </c>
      <c r="N365" s="90" t="s">
        <v>373</v>
      </c>
      <c r="O365" s="25">
        <f t="shared" si="11"/>
        <v>2.8322624281366116E-2</v>
      </c>
    </row>
    <row r="366" spans="1:15">
      <c r="A366" s="91">
        <v>515.80109407014197</v>
      </c>
      <c r="B366" s="91">
        <v>522.42158773014569</v>
      </c>
      <c r="C366" s="91">
        <v>513.40165479987445</v>
      </c>
      <c r="D366" s="91">
        <v>518.26908874813159</v>
      </c>
      <c r="E366" s="92">
        <v>7381253.1617124956</v>
      </c>
      <c r="F366" s="90" t="s">
        <v>374</v>
      </c>
      <c r="G366" s="25">
        <f t="shared" si="10"/>
        <v>-4.7619947466884804E-3</v>
      </c>
      <c r="I366" s="91">
        <v>463.52709276223834</v>
      </c>
      <c r="J366" s="91">
        <v>465.34628053160196</v>
      </c>
      <c r="K366" s="91">
        <v>453.77000352932146</v>
      </c>
      <c r="L366" s="91">
        <v>463.96603887280867</v>
      </c>
      <c r="M366" s="92">
        <v>965394.13334688009</v>
      </c>
      <c r="N366" s="90" t="s">
        <v>374</v>
      </c>
      <c r="O366" s="25">
        <f t="shared" si="11"/>
        <v>-9.4607379375599709E-4</v>
      </c>
    </row>
    <row r="367" spans="1:15">
      <c r="A367" s="91">
        <v>525.33029574349052</v>
      </c>
      <c r="B367" s="91">
        <v>526.69170820455145</v>
      </c>
      <c r="C367" s="91">
        <v>516.05572844168057</v>
      </c>
      <c r="D367" s="91">
        <v>519.30721349363512</v>
      </c>
      <c r="E367" s="92">
        <v>6352848.9505382832</v>
      </c>
      <c r="F367" s="90" t="s">
        <v>375</v>
      </c>
      <c r="G367" s="25">
        <f t="shared" si="10"/>
        <v>1.1598302687411577E-2</v>
      </c>
      <c r="I367" s="91">
        <v>462.551656960971</v>
      </c>
      <c r="J367" s="91">
        <v>467.85315054085902</v>
      </c>
      <c r="K367" s="91">
        <v>455.12859051332657</v>
      </c>
      <c r="L367" s="91">
        <v>455.27490588351674</v>
      </c>
      <c r="M367" s="92">
        <v>1218669.6433076737</v>
      </c>
      <c r="N367" s="90" t="s">
        <v>375</v>
      </c>
      <c r="O367" s="25">
        <f t="shared" si="11"/>
        <v>1.598320263958497E-2</v>
      </c>
    </row>
    <row r="368" spans="1:15">
      <c r="A368" s="91">
        <v>519.50308608712635</v>
      </c>
      <c r="B368" s="91">
        <v>527.1714001860114</v>
      </c>
      <c r="C368" s="91">
        <v>515.30161895673928</v>
      </c>
      <c r="D368" s="91">
        <v>522.05922343218685</v>
      </c>
      <c r="E368" s="92">
        <v>10698214.398706967</v>
      </c>
      <c r="F368" s="90" t="s">
        <v>376</v>
      </c>
      <c r="G368" s="25">
        <f t="shared" si="10"/>
        <v>-4.8962593329079374E-3</v>
      </c>
      <c r="I368" s="91">
        <v>452.43638770182872</v>
      </c>
      <c r="J368" s="91">
        <v>469.06756811343683</v>
      </c>
      <c r="K368" s="91">
        <v>451.76333699895429</v>
      </c>
      <c r="L368" s="91">
        <v>459.84969979146052</v>
      </c>
      <c r="M368" s="92">
        <v>1369395.0932132236</v>
      </c>
      <c r="N368" s="90" t="s">
        <v>376</v>
      </c>
      <c r="O368" s="25">
        <f t="shared" si="11"/>
        <v>-1.6121163269202321E-2</v>
      </c>
    </row>
    <row r="369" spans="1:15">
      <c r="A369" s="91">
        <v>525.83956448656772</v>
      </c>
      <c r="B369" s="91">
        <v>537.95428439400052</v>
      </c>
      <c r="C369" s="91">
        <v>522.24628175897101</v>
      </c>
      <c r="D369" s="91">
        <v>536.88677875947337</v>
      </c>
      <c r="E369" s="92">
        <v>7443612.0644170064</v>
      </c>
      <c r="F369" s="90" t="s">
        <v>377</v>
      </c>
      <c r="G369" s="25">
        <f t="shared" si="10"/>
        <v>-2.0576431959139052E-2</v>
      </c>
      <c r="I369" s="91">
        <v>461.78106267796989</v>
      </c>
      <c r="J369" s="91">
        <v>462.17113945489666</v>
      </c>
      <c r="K369" s="91">
        <v>451.78284571497966</v>
      </c>
      <c r="L369" s="91">
        <v>454.90424027903515</v>
      </c>
      <c r="M369" s="92">
        <v>1287518.8693794918</v>
      </c>
      <c r="N369" s="90" t="s">
        <v>377</v>
      </c>
      <c r="O369" s="25">
        <f t="shared" si="11"/>
        <v>1.5117076936272511E-2</v>
      </c>
    </row>
    <row r="370" spans="1:15">
      <c r="A370" s="91">
        <v>535.05537001033042</v>
      </c>
      <c r="B370" s="91">
        <v>535.60381327210575</v>
      </c>
      <c r="C370" s="91">
        <v>524.52721811017648</v>
      </c>
      <c r="D370" s="91">
        <v>527.30860893775196</v>
      </c>
      <c r="E370" s="92">
        <v>7482466.9131957386</v>
      </c>
      <c r="F370" s="90" t="s">
        <v>378</v>
      </c>
      <c r="G370" s="25">
        <f t="shared" si="10"/>
        <v>1.4691133315998917E-2</v>
      </c>
      <c r="I370" s="91">
        <v>448.38832912437658</v>
      </c>
      <c r="J370" s="91">
        <v>451.48608710485638</v>
      </c>
      <c r="K370" s="91">
        <v>442.7463310470763</v>
      </c>
      <c r="L370" s="91">
        <v>447.42695595802076</v>
      </c>
      <c r="M370" s="92">
        <v>927856.90428752522</v>
      </c>
      <c r="N370" s="90" t="s">
        <v>378</v>
      </c>
      <c r="O370" s="25">
        <f t="shared" si="11"/>
        <v>2.1486706456863569E-3</v>
      </c>
    </row>
    <row r="371" spans="1:15">
      <c r="A371" s="91">
        <v>526.86789560239674</v>
      </c>
      <c r="B371" s="91">
        <v>538.53210854479971</v>
      </c>
      <c r="C371" s="91">
        <v>526.50553130443802</v>
      </c>
      <c r="D371" s="91">
        <v>537.50377742897081</v>
      </c>
      <c r="E371" s="92">
        <v>5637696.3224792248</v>
      </c>
      <c r="F371" s="90" t="s">
        <v>379</v>
      </c>
      <c r="G371" s="25">
        <f t="shared" si="10"/>
        <v>-1.9787548056775406E-2</v>
      </c>
      <c r="I371" s="91">
        <v>446.66951043301316</v>
      </c>
      <c r="J371" s="91">
        <v>450.58297897888576</v>
      </c>
      <c r="K371" s="91">
        <v>442.69777684675529</v>
      </c>
      <c r="L371" s="91">
        <v>442.7851744073331</v>
      </c>
      <c r="M371" s="92">
        <v>1164686.0544738674</v>
      </c>
      <c r="N371" s="90" t="s">
        <v>379</v>
      </c>
      <c r="O371" s="25">
        <f t="shared" si="11"/>
        <v>8.7725069631774399E-3</v>
      </c>
    </row>
    <row r="372" spans="1:15">
      <c r="A372" s="91">
        <v>535.46670245666189</v>
      </c>
      <c r="B372" s="91">
        <v>539.96687529212306</v>
      </c>
      <c r="C372" s="91">
        <v>533.01829503802151</v>
      </c>
      <c r="D372" s="91">
        <v>536.70069979565665</v>
      </c>
      <c r="E372" s="92">
        <v>4268900.4372498887</v>
      </c>
      <c r="F372" s="90" t="s">
        <v>380</v>
      </c>
      <c r="G372" s="25">
        <f t="shared" si="10"/>
        <v>-2.2992281162752537E-3</v>
      </c>
      <c r="I372" s="91">
        <v>441.71698200027106</v>
      </c>
      <c r="J372" s="91">
        <v>445.63530596617579</v>
      </c>
      <c r="K372" s="91">
        <v>439.63895933493291</v>
      </c>
      <c r="L372" s="91">
        <v>445.01866762209909</v>
      </c>
      <c r="M372" s="92">
        <v>760921.81017797894</v>
      </c>
      <c r="N372" s="90" t="s">
        <v>380</v>
      </c>
      <c r="O372" s="25">
        <f t="shared" si="11"/>
        <v>-7.4192070176969382E-3</v>
      </c>
    </row>
    <row r="373" spans="1:15">
      <c r="A373" s="91">
        <v>535.1337190477268</v>
      </c>
      <c r="B373" s="91">
        <v>538.42437861837959</v>
      </c>
      <c r="C373" s="91">
        <v>530.97965308496475</v>
      </c>
      <c r="D373" s="91">
        <v>537.8465544675804</v>
      </c>
      <c r="E373" s="92">
        <v>5607210.17894293</v>
      </c>
      <c r="F373" s="90" t="s">
        <v>381</v>
      </c>
      <c r="G373" s="25">
        <f t="shared" si="10"/>
        <v>-5.0438836082887795E-3</v>
      </c>
      <c r="I373" s="91">
        <v>447.67943779968994</v>
      </c>
      <c r="J373" s="91">
        <v>449.18461800964099</v>
      </c>
      <c r="K373" s="91">
        <v>437.8035134543984</v>
      </c>
      <c r="L373" s="91">
        <v>438.78430830088263</v>
      </c>
      <c r="M373" s="92">
        <v>1278280.7581974594</v>
      </c>
      <c r="N373" s="90" t="s">
        <v>381</v>
      </c>
      <c r="O373" s="25">
        <f t="shared" si="11"/>
        <v>2.0272214230386165E-2</v>
      </c>
    </row>
    <row r="374" spans="1:15">
      <c r="A374" s="91">
        <v>537.80737994888216</v>
      </c>
      <c r="B374" s="91">
        <v>543.06655908412176</v>
      </c>
      <c r="C374" s="91">
        <v>537.19361317717733</v>
      </c>
      <c r="D374" s="91">
        <v>542.18513241341122</v>
      </c>
      <c r="E374" s="92">
        <v>4872815.4510432482</v>
      </c>
      <c r="F374" s="90" t="s">
        <v>382</v>
      </c>
      <c r="G374" s="25">
        <f t="shared" si="10"/>
        <v>-8.0742761149544817E-3</v>
      </c>
      <c r="I374" s="91">
        <v>436.92953784862038</v>
      </c>
      <c r="J374" s="91">
        <v>443.30955977079986</v>
      </c>
      <c r="K374" s="91">
        <v>436.21579110390167</v>
      </c>
      <c r="L374" s="91">
        <v>437.21115221048223</v>
      </c>
      <c r="M374" s="92">
        <v>1552465.0699971938</v>
      </c>
      <c r="N374" s="90" t="s">
        <v>382</v>
      </c>
      <c r="O374" s="25">
        <f t="shared" si="11"/>
        <v>-6.4411522999363591E-4</v>
      </c>
    </row>
    <row r="375" spans="1:15">
      <c r="A375" s="91">
        <v>540.36351729394278</v>
      </c>
      <c r="B375" s="91">
        <v>549.61849733640361</v>
      </c>
      <c r="C375" s="91">
        <v>539.88852625472657</v>
      </c>
      <c r="D375" s="91">
        <v>549.52056103965799</v>
      </c>
      <c r="E375" s="92">
        <v>6278258.6276166961</v>
      </c>
      <c r="F375" s="90" t="s">
        <v>383</v>
      </c>
      <c r="G375" s="25">
        <f t="shared" si="10"/>
        <v>-1.6663696310818099E-2</v>
      </c>
      <c r="I375" s="91">
        <v>435.00679151590879</v>
      </c>
      <c r="J375" s="91">
        <v>437.07520044958341</v>
      </c>
      <c r="K375" s="91">
        <v>425.16971053087406</v>
      </c>
      <c r="L375" s="91">
        <v>425.16971053087406</v>
      </c>
      <c r="M375" s="92">
        <v>1727634.2612055873</v>
      </c>
      <c r="N375" s="90" t="s">
        <v>383</v>
      </c>
      <c r="O375" s="25">
        <f t="shared" si="11"/>
        <v>2.3136833930977874E-2</v>
      </c>
    </row>
    <row r="376" spans="1:15">
      <c r="A376" s="91">
        <v>549.71643363314922</v>
      </c>
      <c r="B376" s="91">
        <v>550.87648906810114</v>
      </c>
      <c r="C376" s="91">
        <v>546.69999569338427</v>
      </c>
      <c r="D376" s="91">
        <v>550.78393926767649</v>
      </c>
      <c r="E376" s="92">
        <v>4540484.118518604</v>
      </c>
      <c r="F376" s="90" t="s">
        <v>384</v>
      </c>
      <c r="G376" s="25">
        <f t="shared" si="10"/>
        <v>-1.9381567951066714E-3</v>
      </c>
      <c r="I376" s="91">
        <v>425.4416140526717</v>
      </c>
      <c r="J376" s="91">
        <v>426.30587881838545</v>
      </c>
      <c r="K376" s="91">
        <v>413.91484689646614</v>
      </c>
      <c r="L376" s="91">
        <v>416.67272547469895</v>
      </c>
      <c r="M376" s="92">
        <v>1255221.9910342041</v>
      </c>
      <c r="N376" s="90" t="s">
        <v>384</v>
      </c>
      <c r="O376" s="25">
        <f t="shared" si="11"/>
        <v>2.1045026568472069E-2</v>
      </c>
    </row>
    <row r="377" spans="1:15">
      <c r="A377" s="91">
        <v>552.03752386602036</v>
      </c>
      <c r="B377" s="91">
        <v>552.28236460788435</v>
      </c>
      <c r="C377" s="91">
        <v>548.96330351117535</v>
      </c>
      <c r="D377" s="91">
        <v>549.4422120022615</v>
      </c>
      <c r="E377" s="92">
        <v>3938847.1161205433</v>
      </c>
      <c r="F377" s="90" t="s">
        <v>385</v>
      </c>
      <c r="G377" s="25">
        <f t="shared" si="10"/>
        <v>4.7235392677622556E-3</v>
      </c>
      <c r="I377" s="91">
        <v>420.9163625827544</v>
      </c>
      <c r="J377" s="91">
        <v>438.03657361593923</v>
      </c>
      <c r="K377" s="91">
        <v>417.56612276060537</v>
      </c>
      <c r="L377" s="91">
        <v>430.64662432708298</v>
      </c>
      <c r="M377" s="92">
        <v>1837822.462527605</v>
      </c>
      <c r="N377" s="90" t="s">
        <v>385</v>
      </c>
      <c r="O377" s="25">
        <f t="shared" si="11"/>
        <v>-2.2594538525717689E-2</v>
      </c>
    </row>
    <row r="378" spans="1:15">
      <c r="A378" s="91">
        <v>550.70559023027988</v>
      </c>
      <c r="B378" s="91">
        <v>550.70559023027988</v>
      </c>
      <c r="C378" s="91">
        <v>547.94378666205353</v>
      </c>
      <c r="D378" s="91">
        <v>550.2061151168773</v>
      </c>
      <c r="E378" s="92">
        <v>3925924.4302312932</v>
      </c>
      <c r="F378" s="90" t="s">
        <v>386</v>
      </c>
      <c r="G378" s="25">
        <f t="shared" si="10"/>
        <v>9.077963688144397E-4</v>
      </c>
      <c r="I378" s="91">
        <v>428.5976370735367</v>
      </c>
      <c r="J378" s="91">
        <v>435.96806757386395</v>
      </c>
      <c r="K378" s="91">
        <v>426.73801120124239</v>
      </c>
      <c r="L378" s="91">
        <v>432.47226225915256</v>
      </c>
      <c r="M378" s="92">
        <v>1106600.4515527096</v>
      </c>
      <c r="N378" s="90" t="s">
        <v>386</v>
      </c>
      <c r="O378" s="25">
        <f t="shared" si="11"/>
        <v>-8.9592455372179414E-3</v>
      </c>
    </row>
    <row r="379" spans="1:15">
      <c r="A379" s="91">
        <v>549.11902222300102</v>
      </c>
      <c r="B379" s="91">
        <v>550.26487689492467</v>
      </c>
      <c r="C379" s="91">
        <v>548.51181718317821</v>
      </c>
      <c r="D379" s="91">
        <v>549.32468844616676</v>
      </c>
      <c r="E379" s="92">
        <v>3451805.0123753394</v>
      </c>
      <c r="F379" s="90" t="s">
        <v>387</v>
      </c>
      <c r="G379" s="25">
        <f t="shared" si="10"/>
        <v>-3.7439828846486112E-4</v>
      </c>
      <c r="I379" s="91">
        <v>426.20877041774344</v>
      </c>
      <c r="J379" s="91">
        <v>440.86728349465358</v>
      </c>
      <c r="K379" s="91">
        <v>421.59612138724839</v>
      </c>
      <c r="L379" s="91">
        <v>440.61965707301647</v>
      </c>
      <c r="M379" s="92">
        <v>2096780.4912228428</v>
      </c>
      <c r="N379" s="90" t="s">
        <v>387</v>
      </c>
      <c r="O379" s="25">
        <f t="shared" si="11"/>
        <v>-3.270595495217532E-2</v>
      </c>
    </row>
    <row r="380" spans="1:15">
      <c r="A380" s="91">
        <v>549.09943496365179</v>
      </c>
      <c r="B380" s="91">
        <v>549.30510118681764</v>
      </c>
      <c r="C380" s="91">
        <v>543.24774123310124</v>
      </c>
      <c r="D380" s="91">
        <v>544.39849271986225</v>
      </c>
      <c r="E380" s="92">
        <v>3459900.0703502106</v>
      </c>
      <c r="F380" s="90" t="s">
        <v>388</v>
      </c>
      <c r="G380" s="25">
        <f t="shared" si="10"/>
        <v>8.6351125263099959E-3</v>
      </c>
      <c r="I380" s="91">
        <v>441.90148796149089</v>
      </c>
      <c r="J380" s="91">
        <v>461.01242120783672</v>
      </c>
      <c r="K380" s="91">
        <v>440.50312699224605</v>
      </c>
      <c r="L380" s="91">
        <v>458.60413287191506</v>
      </c>
      <c r="M380" s="92">
        <v>1282485.3377940818</v>
      </c>
      <c r="N380" s="90" t="s">
        <v>388</v>
      </c>
      <c r="O380" s="25">
        <f t="shared" si="11"/>
        <v>-3.6420615762503661E-2</v>
      </c>
    </row>
    <row r="381" spans="1:15">
      <c r="A381" s="91">
        <v>543.36036797435861</v>
      </c>
      <c r="B381" s="91">
        <v>544.44256405339775</v>
      </c>
      <c r="C381" s="91">
        <v>539.03158365820241</v>
      </c>
      <c r="D381" s="91">
        <v>539.6289950683506</v>
      </c>
      <c r="E381" s="92">
        <v>3654909.4860074827</v>
      </c>
      <c r="F381" s="90" t="s">
        <v>389</v>
      </c>
      <c r="G381" s="25">
        <f t="shared" si="10"/>
        <v>6.9147005444645249E-3</v>
      </c>
      <c r="I381" s="91">
        <v>457.24461526292708</v>
      </c>
      <c r="J381" s="91">
        <v>463.66348054536337</v>
      </c>
      <c r="K381" s="91">
        <v>455.69088085265503</v>
      </c>
      <c r="L381" s="91">
        <v>458.58471119178671</v>
      </c>
      <c r="M381" s="92">
        <v>831111.41226119921</v>
      </c>
      <c r="N381" s="90" t="s">
        <v>389</v>
      </c>
      <c r="O381" s="25">
        <f t="shared" si="11"/>
        <v>-2.9222429273251249E-3</v>
      </c>
    </row>
    <row r="382" spans="1:15">
      <c r="A382" s="91">
        <v>545.16239583447805</v>
      </c>
      <c r="B382" s="91">
        <v>545.61779961434513</v>
      </c>
      <c r="C382" s="91">
        <v>542.55729034104468</v>
      </c>
      <c r="D382" s="91">
        <v>542.6650202674648</v>
      </c>
      <c r="E382" s="92">
        <v>2810932.3013821207</v>
      </c>
      <c r="F382" s="90" t="s">
        <v>390</v>
      </c>
      <c r="G382" s="25">
        <f t="shared" si="10"/>
        <v>4.6020573903626794E-3</v>
      </c>
      <c r="I382" s="91">
        <v>460.13844560205871</v>
      </c>
      <c r="J382" s="91">
        <v>462.07090277483451</v>
      </c>
      <c r="K382" s="91">
        <v>454.87517028726228</v>
      </c>
      <c r="L382" s="91">
        <v>461.86697513348633</v>
      </c>
      <c r="M382" s="92">
        <v>555105.4249027028</v>
      </c>
      <c r="N382" s="90" t="s">
        <v>390</v>
      </c>
      <c r="O382" s="25">
        <f t="shared" si="11"/>
        <v>-3.7424834952273223E-3</v>
      </c>
    </row>
    <row r="383" spans="1:15">
      <c r="A383" s="91">
        <v>544.67271435074997</v>
      </c>
      <c r="B383" s="91">
        <v>545.28530588689375</v>
      </c>
      <c r="C383" s="91">
        <v>542.80213108290866</v>
      </c>
      <c r="D383" s="91">
        <v>543.97736664385616</v>
      </c>
      <c r="E383" s="92">
        <v>3591673.4825461088</v>
      </c>
      <c r="F383" s="90" t="s">
        <v>391</v>
      </c>
      <c r="G383" s="25">
        <f t="shared" si="10"/>
        <v>1.2782658793026869E-3</v>
      </c>
      <c r="I383" s="91">
        <v>460.65312012546133</v>
      </c>
      <c r="J383" s="91">
        <v>463.28475778285951</v>
      </c>
      <c r="K383" s="91">
        <v>454.98198952796844</v>
      </c>
      <c r="L383" s="91">
        <v>456.22497705618605</v>
      </c>
      <c r="M383" s="92">
        <v>828794.41395299428</v>
      </c>
      <c r="N383" s="90" t="s">
        <v>391</v>
      </c>
      <c r="O383" s="25">
        <f t="shared" si="11"/>
        <v>9.7060513824738237E-3</v>
      </c>
    </row>
    <row r="384" spans="1:15">
      <c r="A384" s="91">
        <v>540.8042306292981</v>
      </c>
      <c r="B384" s="91">
        <v>547.6597714014913</v>
      </c>
      <c r="C384" s="91">
        <v>540.40758862747828</v>
      </c>
      <c r="D384" s="91">
        <v>546.58247213728953</v>
      </c>
      <c r="E384" s="92">
        <v>10375677.18778865</v>
      </c>
      <c r="F384" s="90" t="s">
        <v>392</v>
      </c>
      <c r="G384" s="25">
        <f t="shared" si="10"/>
        <v>-1.0571582153735881E-2</v>
      </c>
      <c r="I384" s="91">
        <v>455.03054372828944</v>
      </c>
      <c r="J384" s="91">
        <v>460.43462622401677</v>
      </c>
      <c r="K384" s="91">
        <v>452.3989060708912</v>
      </c>
      <c r="L384" s="91">
        <v>454.81690524687707</v>
      </c>
      <c r="M384" s="92">
        <v>844422.31009757984</v>
      </c>
      <c r="N384" s="90" t="s">
        <v>392</v>
      </c>
      <c r="O384" s="25">
        <f t="shared" si="11"/>
        <v>4.6972414382095984E-4</v>
      </c>
    </row>
    <row r="385" spans="1:15">
      <c r="A385" s="91">
        <v>546.11237791291057</v>
      </c>
      <c r="B385" s="91">
        <v>546.1417588019342</v>
      </c>
      <c r="C385" s="91">
        <v>542.75316293453591</v>
      </c>
      <c r="D385" s="91">
        <v>545.78918813364999</v>
      </c>
      <c r="E385" s="92">
        <v>3682290.549914415</v>
      </c>
      <c r="F385" s="90" t="s">
        <v>393</v>
      </c>
      <c r="G385" s="25">
        <f t="shared" si="10"/>
        <v>5.9215130363021728E-4</v>
      </c>
      <c r="I385" s="91">
        <v>453.05924319525684</v>
      </c>
      <c r="J385" s="91">
        <v>459.0751086150288</v>
      </c>
      <c r="K385" s="91">
        <v>448.8738711275866</v>
      </c>
      <c r="L385" s="91">
        <v>457.23490442286288</v>
      </c>
      <c r="M385" s="92">
        <v>813467.21269996243</v>
      </c>
      <c r="N385" s="90" t="s">
        <v>393</v>
      </c>
      <c r="O385" s="25">
        <f t="shared" si="11"/>
        <v>-9.1324200913242004E-3</v>
      </c>
    </row>
    <row r="386" spans="1:15">
      <c r="A386" s="91">
        <v>544.15365197799815</v>
      </c>
      <c r="B386" s="91">
        <v>544.26138190441839</v>
      </c>
      <c r="C386" s="91">
        <v>539.05117091755153</v>
      </c>
      <c r="D386" s="91">
        <v>540.94134144474197</v>
      </c>
      <c r="E386" s="92">
        <v>3496338.0419560722</v>
      </c>
      <c r="F386" s="90" t="s">
        <v>394</v>
      </c>
      <c r="G386" s="25">
        <f t="shared" si="10"/>
        <v>5.9383712930440868E-3</v>
      </c>
      <c r="I386" s="91">
        <v>458.68181959242867</v>
      </c>
      <c r="J386" s="91">
        <v>471.95100278135368</v>
      </c>
      <c r="K386" s="91">
        <v>457.31259114337649</v>
      </c>
      <c r="L386" s="91">
        <v>470.96603227364187</v>
      </c>
      <c r="M386" s="92">
        <v>1112127.2648505475</v>
      </c>
      <c r="N386" s="90" t="s">
        <v>394</v>
      </c>
      <c r="O386" s="25">
        <f t="shared" si="11"/>
        <v>-2.6083012020866492E-2</v>
      </c>
    </row>
    <row r="387" spans="1:15">
      <c r="A387" s="91">
        <v>541.93049804187274</v>
      </c>
      <c r="B387" s="91">
        <v>542.40059226625169</v>
      </c>
      <c r="C387" s="91">
        <v>537.89552261595327</v>
      </c>
      <c r="D387" s="91">
        <v>538.35582321065772</v>
      </c>
      <c r="E387" s="92">
        <v>4269523.2911051698</v>
      </c>
      <c r="F387" s="90" t="s">
        <v>395</v>
      </c>
      <c r="G387" s="25">
        <f t="shared" si="10"/>
        <v>6.6399854466072661E-3</v>
      </c>
      <c r="I387" s="91">
        <v>468.44121385694979</v>
      </c>
      <c r="J387" s="91">
        <v>473.6802120715858</v>
      </c>
      <c r="K387" s="91">
        <v>467.49926237072242</v>
      </c>
      <c r="L387" s="91">
        <v>472.52947752397807</v>
      </c>
      <c r="M387" s="92">
        <v>541591.66099222598</v>
      </c>
      <c r="N387" s="90" t="s">
        <v>395</v>
      </c>
      <c r="O387" s="25">
        <f t="shared" si="11"/>
        <v>-8.651870119194438E-3</v>
      </c>
    </row>
    <row r="388" spans="1:15">
      <c r="A388" s="91">
        <v>538.35582321065772</v>
      </c>
      <c r="B388" s="91">
        <v>540.56908558081182</v>
      </c>
      <c r="C388" s="91">
        <v>531.77450406935213</v>
      </c>
      <c r="D388" s="91">
        <v>533.74302363393906</v>
      </c>
      <c r="E388" s="92">
        <v>7988904.2775656506</v>
      </c>
      <c r="F388" s="90" t="s">
        <v>396</v>
      </c>
      <c r="G388" s="25">
        <f t="shared" si="10"/>
        <v>8.6423604102829898E-3</v>
      </c>
      <c r="I388" s="91">
        <v>473.64622413136107</v>
      </c>
      <c r="J388" s="91">
        <v>479.06487288718472</v>
      </c>
      <c r="K388" s="91">
        <v>467.73232253226325</v>
      </c>
      <c r="L388" s="91">
        <v>474.2871395755983</v>
      </c>
      <c r="M388" s="92">
        <v>786112.21578478254</v>
      </c>
      <c r="N388" s="90" t="s">
        <v>396</v>
      </c>
      <c r="O388" s="25">
        <f t="shared" si="11"/>
        <v>-1.351323682971306E-3</v>
      </c>
    </row>
    <row r="389" spans="1:15">
      <c r="A389" s="91">
        <v>541.91091078252362</v>
      </c>
      <c r="B389" s="91">
        <v>549.31489481649214</v>
      </c>
      <c r="C389" s="91">
        <v>541.3037057427008</v>
      </c>
      <c r="D389" s="91">
        <v>547.09174088036673</v>
      </c>
      <c r="E389" s="92">
        <v>6374880.6187930517</v>
      </c>
      <c r="F389" s="90" t="s">
        <v>397</v>
      </c>
      <c r="G389" s="25">
        <f t="shared" si="10"/>
        <v>-9.4697647774872884E-3</v>
      </c>
      <c r="I389" s="91">
        <v>473.18010380827945</v>
      </c>
      <c r="J389" s="91">
        <v>473.98610353360812</v>
      </c>
      <c r="K389" s="91">
        <v>464.66369707197595</v>
      </c>
      <c r="L389" s="91">
        <v>470.00465910728605</v>
      </c>
      <c r="M389" s="92">
        <v>818704.65865353134</v>
      </c>
      <c r="N389" s="90" t="s">
        <v>397</v>
      </c>
      <c r="O389" s="25">
        <f t="shared" si="11"/>
        <v>6.7561983471073894E-3</v>
      </c>
    </row>
    <row r="390" spans="1:15">
      <c r="A390" s="91">
        <v>544.81961879586834</v>
      </c>
      <c r="B390" s="91">
        <v>546.26907598770345</v>
      </c>
      <c r="C390" s="91">
        <v>540.98051596344021</v>
      </c>
      <c r="D390" s="91">
        <v>543.90881123613417</v>
      </c>
      <c r="E390" s="92">
        <v>4387074.1928908778</v>
      </c>
      <c r="F390" s="90" t="s">
        <v>398</v>
      </c>
      <c r="G390" s="25">
        <f t="shared" si="10"/>
        <v>1.6745593028069106E-3</v>
      </c>
      <c r="I390" s="91">
        <v>469.39287618324141</v>
      </c>
      <c r="J390" s="91">
        <v>470.97574311370607</v>
      </c>
      <c r="K390" s="91">
        <v>456.14466840885513</v>
      </c>
      <c r="L390" s="91">
        <v>458.35165103024588</v>
      </c>
      <c r="M390" s="92">
        <v>1512223.4433802911</v>
      </c>
      <c r="N390" s="90" t="s">
        <v>398</v>
      </c>
      <c r="O390" s="25">
        <f t="shared" si="11"/>
        <v>2.4088983050847501E-2</v>
      </c>
    </row>
    <row r="391" spans="1:15">
      <c r="A391" s="91">
        <v>541.98925981991999</v>
      </c>
      <c r="B391" s="91">
        <v>544.03612842190341</v>
      </c>
      <c r="C391" s="91">
        <v>539.59971211562367</v>
      </c>
      <c r="D391" s="91">
        <v>543.71293864264283</v>
      </c>
      <c r="E391" s="92">
        <v>4262435.0100176875</v>
      </c>
      <c r="F391" s="90" t="s">
        <v>399</v>
      </c>
      <c r="G391" s="25">
        <f t="shared" si="10"/>
        <v>-3.1702001188824713E-3</v>
      </c>
      <c r="I391" s="91">
        <v>467.61579245149284</v>
      </c>
      <c r="J391" s="91">
        <v>478.51135500352535</v>
      </c>
      <c r="K391" s="91">
        <v>466.35823866317889</v>
      </c>
      <c r="L391" s="91">
        <v>472.56832088423488</v>
      </c>
      <c r="M391" s="92">
        <v>899556.57206259761</v>
      </c>
      <c r="N391" s="90" t="s">
        <v>399</v>
      </c>
      <c r="O391" s="25">
        <f t="shared" si="11"/>
        <v>-1.0480026302811085E-2</v>
      </c>
    </row>
    <row r="392" spans="1:15">
      <c r="A392" s="91">
        <v>544.37890546051312</v>
      </c>
      <c r="B392" s="91">
        <v>545.16239583447805</v>
      </c>
      <c r="C392" s="91">
        <v>537.88572898627865</v>
      </c>
      <c r="D392" s="91">
        <v>540.90216692604361</v>
      </c>
      <c r="E392" s="92">
        <v>4252431.5686731096</v>
      </c>
      <c r="F392" s="90" t="s">
        <v>400</v>
      </c>
      <c r="G392" s="25">
        <f t="shared" si="10"/>
        <v>6.4276661234838883E-3</v>
      </c>
      <c r="I392" s="91">
        <v>472.56832088423488</v>
      </c>
      <c r="J392" s="91">
        <v>488.3697998367013</v>
      </c>
      <c r="K392" s="91">
        <v>471.44186343678768</v>
      </c>
      <c r="L392" s="91">
        <v>486.61990645713246</v>
      </c>
      <c r="M392" s="92">
        <v>1067617.2124614185</v>
      </c>
      <c r="N392" s="90" t="s">
        <v>400</v>
      </c>
      <c r="O392" s="25">
        <f t="shared" si="11"/>
        <v>-2.8875895511963456E-2</v>
      </c>
    </row>
    <row r="393" spans="1:15">
      <c r="A393" s="91">
        <v>539.85424855086558</v>
      </c>
      <c r="B393" s="91">
        <v>540.01094662565856</v>
      </c>
      <c r="C393" s="91">
        <v>535.5450514940585</v>
      </c>
      <c r="D393" s="91">
        <v>535.642987790804</v>
      </c>
      <c r="E393" s="92">
        <v>7777897.7285465831</v>
      </c>
      <c r="F393" s="90" t="s">
        <v>401</v>
      </c>
      <c r="G393" s="25">
        <f t="shared" si="10"/>
        <v>7.8620664436035437E-3</v>
      </c>
      <c r="I393" s="91">
        <v>488.67860455074288</v>
      </c>
      <c r="J393" s="91">
        <v>492.7086031773859</v>
      </c>
      <c r="K393" s="91">
        <v>482.62875119074619</v>
      </c>
      <c r="L393" s="91">
        <v>487.86289398535007</v>
      </c>
      <c r="M393" s="92">
        <v>760213.32358418114</v>
      </c>
      <c r="N393" s="90" t="s">
        <v>401</v>
      </c>
      <c r="O393" s="25">
        <f t="shared" si="11"/>
        <v>1.6720078027030461E-3</v>
      </c>
    </row>
    <row r="394" spans="1:15">
      <c r="A394" s="91">
        <v>547.47369243767457</v>
      </c>
      <c r="B394" s="91">
        <v>550.06900430143344</v>
      </c>
      <c r="C394" s="91">
        <v>546.50412309989292</v>
      </c>
      <c r="D394" s="91">
        <v>549.1875776307229</v>
      </c>
      <c r="E394" s="92">
        <v>3688255.6519186026</v>
      </c>
      <c r="F394" s="90" t="s">
        <v>402</v>
      </c>
      <c r="G394" s="25">
        <f t="shared" si="10"/>
        <v>-3.1207646765104569E-3</v>
      </c>
      <c r="I394" s="91">
        <v>482.64817287087459</v>
      </c>
      <c r="J394" s="91">
        <v>485.54200321000621</v>
      </c>
      <c r="K394" s="91">
        <v>482.29858262856339</v>
      </c>
      <c r="L394" s="91">
        <v>483.5318593167168</v>
      </c>
      <c r="M394" s="92">
        <v>573012.21760553611</v>
      </c>
      <c r="N394" s="90" t="s">
        <v>402</v>
      </c>
      <c r="O394" s="25">
        <f t="shared" si="11"/>
        <v>-1.8275661237523444E-3</v>
      </c>
    </row>
    <row r="395" spans="1:15">
      <c r="A395" s="91">
        <v>549.12881585267553</v>
      </c>
      <c r="B395" s="91">
        <v>549.12881585267553</v>
      </c>
      <c r="C395" s="91">
        <v>545.30930027959641</v>
      </c>
      <c r="D395" s="91">
        <v>545.54434739178589</v>
      </c>
      <c r="E395" s="92">
        <v>6348900.4655245561</v>
      </c>
      <c r="F395" s="90" t="s">
        <v>403</v>
      </c>
      <c r="G395" s="25">
        <f t="shared" si="10"/>
        <v>6.5704437742353239E-3</v>
      </c>
      <c r="I395" s="91">
        <v>485.31865388852964</v>
      </c>
      <c r="J395" s="91">
        <v>492.96108501905513</v>
      </c>
      <c r="K395" s="91">
        <v>478.96776448654276</v>
      </c>
      <c r="L395" s="91">
        <v>491.36850724852633</v>
      </c>
      <c r="M395" s="92">
        <v>803422.76758963778</v>
      </c>
      <c r="N395" s="90" t="s">
        <v>403</v>
      </c>
      <c r="O395" s="25">
        <f t="shared" si="11"/>
        <v>-1.2312252964426951E-2</v>
      </c>
    </row>
    <row r="396" spans="1:15">
      <c r="A396" s="91">
        <v>546.10258428323596</v>
      </c>
      <c r="B396" s="91">
        <v>547.39524546398138</v>
      </c>
      <c r="C396" s="91">
        <v>545.24074487187454</v>
      </c>
      <c r="D396" s="91">
        <v>545.69125183690437</v>
      </c>
      <c r="E396" s="92">
        <v>4880760.4114497164</v>
      </c>
      <c r="F396" s="90" t="s">
        <v>404</v>
      </c>
      <c r="G396" s="25">
        <f t="shared" si="10"/>
        <v>7.5378237226075839E-4</v>
      </c>
      <c r="I396" s="91">
        <v>487.88231566547847</v>
      </c>
      <c r="J396" s="91">
        <v>490.64990508377548</v>
      </c>
      <c r="K396" s="91">
        <v>482.79383547183761</v>
      </c>
      <c r="L396" s="91">
        <v>489.42633923568627</v>
      </c>
      <c r="M396" s="92">
        <v>1366044.5350041573</v>
      </c>
      <c r="N396" s="90" t="s">
        <v>404</v>
      </c>
      <c r="O396" s="25">
        <f t="shared" si="11"/>
        <v>-3.1547619047618269E-3</v>
      </c>
    </row>
    <row r="397" spans="1:15">
      <c r="A397" s="91">
        <v>543.01759093574901</v>
      </c>
      <c r="B397" s="91">
        <v>543.01759093574901</v>
      </c>
      <c r="C397" s="91">
        <v>539.13931358462253</v>
      </c>
      <c r="D397" s="91">
        <v>540.92175418539284</v>
      </c>
      <c r="E397" s="92">
        <v>5413394.396329632</v>
      </c>
      <c r="F397" s="90" t="s">
        <v>405</v>
      </c>
      <c r="G397" s="25">
        <f t="shared" si="10"/>
        <v>3.8745654692931009E-3</v>
      </c>
      <c r="I397" s="91">
        <v>489.86332703857528</v>
      </c>
      <c r="J397" s="91">
        <v>492.99021753924774</v>
      </c>
      <c r="K397" s="91">
        <v>475.38446450285295</v>
      </c>
      <c r="L397" s="91">
        <v>475.8311631458061</v>
      </c>
      <c r="M397" s="92">
        <v>1349337.4325364612</v>
      </c>
      <c r="N397" s="90" t="s">
        <v>405</v>
      </c>
      <c r="O397" s="25">
        <f t="shared" si="11"/>
        <v>2.9489795918367312E-2</v>
      </c>
    </row>
    <row r="398" spans="1:15">
      <c r="A398" s="91">
        <v>538.12077609846824</v>
      </c>
      <c r="B398" s="91">
        <v>539.74651862444546</v>
      </c>
      <c r="C398" s="91">
        <v>536.37751001639617</v>
      </c>
      <c r="D398" s="91">
        <v>537.5919200960418</v>
      </c>
      <c r="E398" s="92">
        <v>6696854.1980259335</v>
      </c>
      <c r="F398" s="90" t="s">
        <v>406</v>
      </c>
      <c r="G398" s="25">
        <f t="shared" si="10"/>
        <v>9.83749908912257E-4</v>
      </c>
      <c r="I398" s="91">
        <v>468.43150301688559</v>
      </c>
      <c r="J398" s="91">
        <v>469.45114122362662</v>
      </c>
      <c r="K398" s="91">
        <v>463.55180588462508</v>
      </c>
      <c r="L398" s="91">
        <v>466.52817836430239</v>
      </c>
      <c r="M398" s="92">
        <v>1124128.2863100229</v>
      </c>
      <c r="N398" s="90" t="s">
        <v>406</v>
      </c>
      <c r="O398" s="25">
        <f t="shared" si="11"/>
        <v>4.079763540235648E-3</v>
      </c>
    </row>
    <row r="399" spans="1:15">
      <c r="A399" s="91">
        <v>533.008501408347</v>
      </c>
      <c r="B399" s="91">
        <v>535.23165534447241</v>
      </c>
      <c r="C399" s="91">
        <v>532.17604288600921</v>
      </c>
      <c r="D399" s="91">
        <v>535.07495726967943</v>
      </c>
      <c r="E399" s="92">
        <v>3709300.9647238594</v>
      </c>
      <c r="F399" s="90" t="s">
        <v>407</v>
      </c>
      <c r="G399" s="25">
        <f t="shared" si="10"/>
        <v>-3.8619932277842439E-3</v>
      </c>
      <c r="I399" s="91">
        <v>467.27591304924579</v>
      </c>
      <c r="J399" s="91">
        <v>467.41186481014461</v>
      </c>
      <c r="K399" s="91">
        <v>457.15721770234927</v>
      </c>
      <c r="L399" s="91">
        <v>457.70102474594444</v>
      </c>
      <c r="M399" s="92">
        <v>727680.6077829327</v>
      </c>
      <c r="N399" s="90" t="s">
        <v>407</v>
      </c>
      <c r="O399" s="25">
        <f t="shared" si="11"/>
        <v>2.0919525597776545E-2</v>
      </c>
    </row>
    <row r="400" spans="1:15">
      <c r="A400" s="91">
        <v>533.80178541198643</v>
      </c>
      <c r="B400" s="91">
        <v>534.85949741683908</v>
      </c>
      <c r="C400" s="91">
        <v>530.57968124905562</v>
      </c>
      <c r="D400" s="91">
        <v>531.63739325390839</v>
      </c>
      <c r="E400" s="92">
        <v>5419153.2418112513</v>
      </c>
      <c r="F400" s="90" t="s">
        <v>408</v>
      </c>
      <c r="G400" s="25">
        <f t="shared" si="10"/>
        <v>4.0711811951954502E-3</v>
      </c>
      <c r="I400" s="91">
        <v>458.64297623217192</v>
      </c>
      <c r="J400" s="91">
        <v>463.88682986683995</v>
      </c>
      <c r="K400" s="91">
        <v>456.59398897862565</v>
      </c>
      <c r="L400" s="91">
        <v>462.75066157932849</v>
      </c>
      <c r="M400" s="92">
        <v>665688.03082562843</v>
      </c>
      <c r="N400" s="90" t="s">
        <v>408</v>
      </c>
      <c r="O400" s="25">
        <f t="shared" si="11"/>
        <v>-8.8766709336242089E-3</v>
      </c>
    </row>
    <row r="401" spans="1:15">
      <c r="A401" s="91">
        <v>524.21382196059051</v>
      </c>
      <c r="B401" s="91">
        <v>526.80560811766645</v>
      </c>
      <c r="C401" s="91">
        <v>520.83981860140727</v>
      </c>
      <c r="D401" s="91">
        <v>526.2313096735503</v>
      </c>
      <c r="E401" s="92">
        <v>9005857.1674497277</v>
      </c>
      <c r="F401" s="90" t="s">
        <v>409</v>
      </c>
      <c r="G401" s="25">
        <f t="shared" si="10"/>
        <v>-3.8338420308198229E-3</v>
      </c>
      <c r="I401" s="91">
        <v>461.75044505271592</v>
      </c>
      <c r="J401" s="91">
        <v>462.21656537579753</v>
      </c>
      <c r="K401" s="91">
        <v>457.93894032751734</v>
      </c>
      <c r="L401" s="91">
        <v>459.81798787994012</v>
      </c>
      <c r="M401" s="92">
        <v>570614.89668931346</v>
      </c>
      <c r="N401" s="90" t="s">
        <v>409</v>
      </c>
      <c r="O401" s="25">
        <f t="shared" si="11"/>
        <v>4.2026567548731908E-3</v>
      </c>
    </row>
    <row r="402" spans="1:15">
      <c r="A402" s="91">
        <v>523.54785514272032</v>
      </c>
      <c r="B402" s="91">
        <v>523.8710449219808</v>
      </c>
      <c r="C402" s="91">
        <v>518.10259704366399</v>
      </c>
      <c r="D402" s="91">
        <v>518.47475497129733</v>
      </c>
      <c r="E402" s="92">
        <v>5739456.3474257058</v>
      </c>
      <c r="F402" s="90" t="s">
        <v>410</v>
      </c>
      <c r="G402" s="25">
        <f t="shared" si="10"/>
        <v>9.7846618813752784E-3</v>
      </c>
      <c r="I402" s="91">
        <v>458.72066295268547</v>
      </c>
      <c r="J402" s="91">
        <v>463.58579382484976</v>
      </c>
      <c r="K402" s="91">
        <v>445.42652290479549</v>
      </c>
      <c r="L402" s="91">
        <v>445.42652290479549</v>
      </c>
      <c r="M402" s="92">
        <v>993257.01342342945</v>
      </c>
      <c r="N402" s="90" t="s">
        <v>410</v>
      </c>
      <c r="O402" s="25">
        <f t="shared" si="11"/>
        <v>2.984586539928924E-2</v>
      </c>
    </row>
    <row r="403" spans="1:15">
      <c r="A403" s="91">
        <v>522.87209469517552</v>
      </c>
      <c r="B403" s="91">
        <v>527.63179871701254</v>
      </c>
      <c r="C403" s="91">
        <v>521.02109868668344</v>
      </c>
      <c r="D403" s="91">
        <v>527.5926241983143</v>
      </c>
      <c r="E403" s="92">
        <v>8102411.7346514985</v>
      </c>
      <c r="F403" s="90" t="s">
        <v>411</v>
      </c>
      <c r="G403" s="25">
        <f t="shared" si="10"/>
        <v>-8.9473000315569706E-3</v>
      </c>
      <c r="I403" s="91">
        <v>445.42652290479549</v>
      </c>
      <c r="J403" s="91">
        <v>450.94713548129329</v>
      </c>
      <c r="K403" s="91">
        <v>442.25593362383421</v>
      </c>
      <c r="L403" s="91">
        <v>448.01931720193699</v>
      </c>
      <c r="M403" s="92">
        <v>645078.07342988939</v>
      </c>
      <c r="N403" s="90" t="s">
        <v>411</v>
      </c>
      <c r="O403" s="25">
        <f t="shared" si="11"/>
        <v>-5.7872377319231338E-3</v>
      </c>
    </row>
    <row r="404" spans="1:15">
      <c r="A404" s="91">
        <v>530.95183917668896</v>
      </c>
      <c r="B404" s="91">
        <v>531.79409132870126</v>
      </c>
      <c r="C404" s="91">
        <v>526.97562552881698</v>
      </c>
      <c r="D404" s="91">
        <v>530.14876154337492</v>
      </c>
      <c r="E404" s="92">
        <v>4407966.3449120494</v>
      </c>
      <c r="F404" s="90" t="s">
        <v>412</v>
      </c>
      <c r="G404" s="25">
        <f t="shared" si="10"/>
        <v>1.5148156358530951E-3</v>
      </c>
      <c r="I404" s="91">
        <v>448.84473860739394</v>
      </c>
      <c r="J404" s="91">
        <v>451.18505106286619</v>
      </c>
      <c r="K404" s="91">
        <v>440.83329555442884</v>
      </c>
      <c r="L404" s="91">
        <v>442.83372860765405</v>
      </c>
      <c r="M404" s="92">
        <v>768830.49773665168</v>
      </c>
      <c r="N404" s="90" t="s">
        <v>412</v>
      </c>
      <c r="O404" s="25">
        <f t="shared" si="11"/>
        <v>1.3573966054120534E-2</v>
      </c>
    </row>
    <row r="405" spans="1:15">
      <c r="A405" s="91">
        <v>530.23690421044591</v>
      </c>
      <c r="B405" s="91">
        <v>538.25788691391199</v>
      </c>
      <c r="C405" s="91">
        <v>528.42508272065197</v>
      </c>
      <c r="D405" s="91">
        <v>537.98366528302438</v>
      </c>
      <c r="E405" s="92">
        <v>5496669.9567807671</v>
      </c>
      <c r="F405" s="90" t="s">
        <v>413</v>
      </c>
      <c r="G405" s="25">
        <f t="shared" si="10"/>
        <v>-1.4399621350033032E-2</v>
      </c>
      <c r="I405" s="91">
        <v>439.30869366434945</v>
      </c>
      <c r="J405" s="91">
        <v>445.28571572386466</v>
      </c>
      <c r="K405" s="91">
        <v>437.77438093420585</v>
      </c>
      <c r="L405" s="91">
        <v>441.05664487590548</v>
      </c>
      <c r="M405" s="92">
        <v>1132776.3537732696</v>
      </c>
      <c r="N405" s="90" t="s">
        <v>413</v>
      </c>
      <c r="O405" s="25">
        <f t="shared" si="11"/>
        <v>-3.9630991435302132E-3</v>
      </c>
    </row>
    <row r="406" spans="1:15">
      <c r="A406" s="91">
        <v>536.26978008997605</v>
      </c>
      <c r="B406" s="91">
        <v>540.05012114435681</v>
      </c>
      <c r="C406" s="91">
        <v>534.55589489692773</v>
      </c>
      <c r="D406" s="91">
        <v>536.96512779686987</v>
      </c>
      <c r="E406" s="92">
        <v>6109517.3075020006</v>
      </c>
      <c r="F406" s="90" t="s">
        <v>414</v>
      </c>
      <c r="G406" s="25">
        <f t="shared" si="10"/>
        <v>-1.2949587801851514E-3</v>
      </c>
      <c r="I406" s="91">
        <v>441.97917468200444</v>
      </c>
      <c r="J406" s="91">
        <v>452.73878547313825</v>
      </c>
      <c r="K406" s="91">
        <v>440.83329555442884</v>
      </c>
      <c r="L406" s="91">
        <v>451.81625566703917</v>
      </c>
      <c r="M406" s="92">
        <v>899425.79038031236</v>
      </c>
      <c r="N406" s="90" t="s">
        <v>414</v>
      </c>
      <c r="O406" s="25">
        <f t="shared" si="11"/>
        <v>-2.177230425344423E-2</v>
      </c>
    </row>
    <row r="407" spans="1:15">
      <c r="A407" s="91">
        <v>533.16519948313987</v>
      </c>
      <c r="B407" s="91">
        <v>533.63529370751894</v>
      </c>
      <c r="C407" s="91">
        <v>528.07251205236787</v>
      </c>
      <c r="D407" s="91">
        <v>529.04208139014952</v>
      </c>
      <c r="E407" s="92">
        <v>6554937.4576359922</v>
      </c>
      <c r="F407" s="90" t="s">
        <v>415</v>
      </c>
      <c r="G407" s="25">
        <f t="shared" si="10"/>
        <v>7.7935541198463909E-3</v>
      </c>
      <c r="I407" s="91">
        <v>454.29251988341025</v>
      </c>
      <c r="J407" s="91">
        <v>456.03076025490208</v>
      </c>
      <c r="K407" s="91">
        <v>452.97184563467897</v>
      </c>
      <c r="L407" s="91">
        <v>454.04003804174101</v>
      </c>
      <c r="M407" s="92">
        <v>643119.43752668682</v>
      </c>
      <c r="N407" s="90" t="s">
        <v>415</v>
      </c>
      <c r="O407" s="25">
        <f t="shared" si="11"/>
        <v>5.5607836427418178E-4</v>
      </c>
    </row>
    <row r="408" spans="1:15">
      <c r="A408" s="91">
        <v>526.36842048899416</v>
      </c>
      <c r="B408" s="91">
        <v>532.32284939483088</v>
      </c>
      <c r="C408" s="91">
        <v>522.77905521326716</v>
      </c>
      <c r="D408" s="91">
        <v>530.83431562059423</v>
      </c>
      <c r="E408" s="92">
        <v>7293208.1744449344</v>
      </c>
      <c r="F408" s="90" t="s">
        <v>416</v>
      </c>
      <c r="G408" s="25">
        <f t="shared" si="10"/>
        <v>-8.4129736910075748E-3</v>
      </c>
      <c r="I408" s="91">
        <v>454.47702584463002</v>
      </c>
      <c r="J408" s="91">
        <v>462.32338461650369</v>
      </c>
      <c r="K408" s="91">
        <v>452.79539967071253</v>
      </c>
      <c r="L408" s="91">
        <v>458.34194019018167</v>
      </c>
      <c r="M408" s="92">
        <v>616162.96432051819</v>
      </c>
      <c r="N408" s="90" t="s">
        <v>416</v>
      </c>
      <c r="O408" s="25">
        <f t="shared" si="11"/>
        <v>-8.4323820419923701E-3</v>
      </c>
    </row>
    <row r="409" spans="1:15">
      <c r="A409" s="91">
        <v>527.69056049505991</v>
      </c>
      <c r="B409" s="91">
        <v>531.85784785788269</v>
      </c>
      <c r="C409" s="91">
        <v>526.30975664724338</v>
      </c>
      <c r="D409" s="91">
        <v>531.25544169660043</v>
      </c>
      <c r="E409" s="92">
        <v>6168040.0431011133</v>
      </c>
      <c r="F409" s="90" t="s">
        <v>417</v>
      </c>
      <c r="G409" s="25">
        <f t="shared" si="10"/>
        <v>-6.7102958798046508E-3</v>
      </c>
      <c r="I409" s="91">
        <v>455.72001337284769</v>
      </c>
      <c r="J409" s="91">
        <v>456.91279585793336</v>
      </c>
      <c r="K409" s="91">
        <v>451.85509902729598</v>
      </c>
      <c r="L409" s="91">
        <v>453.03011067506418</v>
      </c>
      <c r="M409" s="92">
        <v>453006.1221188847</v>
      </c>
      <c r="N409" s="90" t="s">
        <v>417</v>
      </c>
      <c r="O409" s="25">
        <f t="shared" si="11"/>
        <v>5.9375803824059936E-3</v>
      </c>
    </row>
    <row r="410" spans="1:15">
      <c r="A410" s="91">
        <v>529.82557176411444</v>
      </c>
      <c r="B410" s="91">
        <v>532.86159696322852</v>
      </c>
      <c r="C410" s="91">
        <v>526.30965871094668</v>
      </c>
      <c r="D410" s="91">
        <v>529.40444568810813</v>
      </c>
      <c r="E410" s="92">
        <v>6642163.5452446435</v>
      </c>
      <c r="F410" s="90" t="s">
        <v>418</v>
      </c>
      <c r="G410" s="25">
        <f t="shared" si="10"/>
        <v>7.9547136303115273E-4</v>
      </c>
      <c r="I410" s="91">
        <v>453.03011067506418</v>
      </c>
      <c r="J410" s="91">
        <v>455.49180863133898</v>
      </c>
      <c r="K410" s="91">
        <v>451.73225690048383</v>
      </c>
      <c r="L410" s="91">
        <v>454.29251988341025</v>
      </c>
      <c r="M410" s="92">
        <v>453324.32321987819</v>
      </c>
      <c r="N410" s="90" t="s">
        <v>418</v>
      </c>
      <c r="O410" s="25">
        <f t="shared" si="11"/>
        <v>-2.7788465649182248E-3</v>
      </c>
    </row>
    <row r="411" spans="1:15">
      <c r="A411" s="91">
        <v>535.78989223592248</v>
      </c>
      <c r="B411" s="91">
        <v>538.27747417326111</v>
      </c>
      <c r="C411" s="91">
        <v>531.9900618584893</v>
      </c>
      <c r="D411" s="91">
        <v>538.03263343139713</v>
      </c>
      <c r="E411" s="92">
        <v>7226263.6378649008</v>
      </c>
      <c r="F411" s="90" t="s">
        <v>419</v>
      </c>
      <c r="G411" s="25">
        <f t="shared" si="10"/>
        <v>-4.1684110890657378E-3</v>
      </c>
      <c r="I411" s="91">
        <v>457.7204464260729</v>
      </c>
      <c r="J411" s="91">
        <v>460.92502364725891</v>
      </c>
      <c r="K411" s="91">
        <v>455.46403562875537</v>
      </c>
      <c r="L411" s="91">
        <v>456.04047109496628</v>
      </c>
      <c r="M411" s="92">
        <v>387218.81682125374</v>
      </c>
      <c r="N411" s="90" t="s">
        <v>419</v>
      </c>
      <c r="O411" s="25">
        <f t="shared" si="11"/>
        <v>3.6838294791532444E-3</v>
      </c>
    </row>
    <row r="412" spans="1:15">
      <c r="A412" s="91">
        <v>541.4016420394463</v>
      </c>
      <c r="B412" s="91">
        <v>542.53770308169555</v>
      </c>
      <c r="C412" s="91">
        <v>538.57138099979477</v>
      </c>
      <c r="D412" s="91">
        <v>539.82486766184195</v>
      </c>
      <c r="E412" s="92">
        <v>4591012.8822603412</v>
      </c>
      <c r="F412" s="90" t="s">
        <v>420</v>
      </c>
      <c r="G412" s="25">
        <f t="shared" si="10"/>
        <v>2.9208998548619913E-3</v>
      </c>
      <c r="I412" s="91">
        <v>458.57500035172251</v>
      </c>
      <c r="J412" s="91">
        <v>460.31324072321428</v>
      </c>
      <c r="K412" s="91">
        <v>456.08902529528729</v>
      </c>
      <c r="L412" s="91">
        <v>457.46796458440366</v>
      </c>
      <c r="M412" s="92">
        <v>303484.55751678057</v>
      </c>
      <c r="N412" s="90" t="s">
        <v>420</v>
      </c>
      <c r="O412" s="25">
        <f t="shared" si="11"/>
        <v>2.4199197605554446E-3</v>
      </c>
    </row>
    <row r="413" spans="1:15">
      <c r="A413" s="91">
        <v>541.41143566912092</v>
      </c>
      <c r="B413" s="91">
        <v>541.48978470651741</v>
      </c>
      <c r="C413" s="91">
        <v>536.24039920095231</v>
      </c>
      <c r="D413" s="91">
        <v>536.74966794402951</v>
      </c>
      <c r="E413" s="92">
        <v>3511721.511109631</v>
      </c>
      <c r="F413" s="90" t="s">
        <v>421</v>
      </c>
      <c r="G413" s="25">
        <f t="shared" si="10"/>
        <v>8.6851804546947964E-3</v>
      </c>
      <c r="I413" s="91">
        <v>457.46796458440366</v>
      </c>
      <c r="J413" s="91">
        <v>458.1477233888977</v>
      </c>
      <c r="K413" s="91">
        <v>452.4280385910838</v>
      </c>
      <c r="L413" s="91">
        <v>453.1951949561556</v>
      </c>
      <c r="M413" s="92">
        <v>242078.95346422153</v>
      </c>
      <c r="N413" s="90" t="s">
        <v>421</v>
      </c>
      <c r="O413" s="25">
        <f t="shared" si="11"/>
        <v>9.4281000235703072E-3</v>
      </c>
    </row>
    <row r="414" spans="1:15">
      <c r="A414" s="91">
        <v>535.89762216234271</v>
      </c>
      <c r="B414" s="91">
        <v>536.0641138668102</v>
      </c>
      <c r="C414" s="91">
        <v>529.16939857591876</v>
      </c>
      <c r="D414" s="91">
        <v>532.09769384861261</v>
      </c>
      <c r="E414" s="92">
        <v>7212193.2671669023</v>
      </c>
      <c r="F414" s="90" t="s">
        <v>422</v>
      </c>
      <c r="G414" s="25">
        <f t="shared" si="10"/>
        <v>7.1414109808398685E-3</v>
      </c>
      <c r="I414" s="91">
        <v>453.69044779942982</v>
      </c>
      <c r="J414" s="91">
        <v>456.65710943904298</v>
      </c>
      <c r="K414" s="91">
        <v>450.70193676967222</v>
      </c>
      <c r="L414" s="91">
        <v>455.79770009336124</v>
      </c>
      <c r="M414" s="92">
        <v>599184.00071799278</v>
      </c>
      <c r="N414" s="90" t="s">
        <v>422</v>
      </c>
      <c r="O414" s="25">
        <f t="shared" si="11"/>
        <v>-4.6232183565204643E-3</v>
      </c>
    </row>
    <row r="415" spans="1:15">
      <c r="A415" s="91">
        <v>532.08936923795716</v>
      </c>
      <c r="B415" s="91">
        <v>536.48244527195607</v>
      </c>
      <c r="C415" s="91">
        <v>523.11773173741256</v>
      </c>
      <c r="D415" s="91">
        <v>523.85967346759912</v>
      </c>
      <c r="E415" s="92">
        <v>9617943.8218231741</v>
      </c>
      <c r="F415" s="90" t="s">
        <v>423</v>
      </c>
      <c r="G415" s="25">
        <f t="shared" si="10"/>
        <v>1.5709733325879105E-2</v>
      </c>
      <c r="I415" s="91">
        <v>455.96278437445267</v>
      </c>
      <c r="J415" s="91">
        <v>460.68225264565388</v>
      </c>
      <c r="K415" s="91">
        <v>450.92285838113281</v>
      </c>
      <c r="L415" s="91">
        <v>453.97206216129166</v>
      </c>
      <c r="M415" s="92">
        <v>1322116.3066346443</v>
      </c>
      <c r="N415" s="90" t="s">
        <v>423</v>
      </c>
      <c r="O415" s="25">
        <f t="shared" si="11"/>
        <v>4.38512053733775E-3</v>
      </c>
    </row>
    <row r="416" spans="1:15">
      <c r="A416" s="91">
        <v>526.13431061409199</v>
      </c>
      <c r="B416" s="91">
        <v>532.1479435850772</v>
      </c>
      <c r="C416" s="91">
        <v>525.85120126967854</v>
      </c>
      <c r="D416" s="91">
        <v>530.7714464277575</v>
      </c>
      <c r="E416" s="92">
        <v>17200831.926237825</v>
      </c>
      <c r="F416" s="90" t="s">
        <v>424</v>
      </c>
      <c r="G416" s="25">
        <f t="shared" ref="G416:G479" si="12">A416/D416-1</f>
        <v>-8.7365962221116478E-3</v>
      </c>
      <c r="I416" s="91">
        <v>453.62247191898041</v>
      </c>
      <c r="J416" s="91">
        <v>457.3514345036333</v>
      </c>
      <c r="K416" s="91">
        <v>449.42738901124596</v>
      </c>
      <c r="L416" s="91">
        <v>452.7970505135234</v>
      </c>
      <c r="M416" s="92">
        <v>752055.42998524825</v>
      </c>
      <c r="N416" s="90" t="s">
        <v>424</v>
      </c>
      <c r="O416" s="25">
        <f t="shared" ref="O416:O479" si="13">I416/L416-1</f>
        <v>1.8229390066055728E-3</v>
      </c>
    </row>
    <row r="417" spans="1:15">
      <c r="A417" s="91">
        <v>526.3295584378252</v>
      </c>
      <c r="B417" s="91">
        <v>544.28259583010095</v>
      </c>
      <c r="C417" s="91">
        <v>525.73405257543857</v>
      </c>
      <c r="D417" s="91">
        <v>542.10558259547486</v>
      </c>
      <c r="E417" s="92">
        <v>25183307.583067782</v>
      </c>
      <c r="F417" s="90" t="s">
        <v>425</v>
      </c>
      <c r="G417" s="25">
        <f t="shared" si="12"/>
        <v>-2.9101386637853333E-2</v>
      </c>
      <c r="I417" s="91">
        <v>454.13714644238303</v>
      </c>
      <c r="J417" s="91">
        <v>469.51911710407603</v>
      </c>
      <c r="K417" s="91">
        <v>453.61276107891621</v>
      </c>
      <c r="L417" s="91">
        <v>466.9748770072556</v>
      </c>
      <c r="M417" s="92">
        <v>864179.61211589945</v>
      </c>
      <c r="N417" s="90" t="s">
        <v>425</v>
      </c>
      <c r="O417" s="25">
        <f t="shared" si="13"/>
        <v>-2.7491266012310778E-2</v>
      </c>
    </row>
    <row r="418" spans="1:15">
      <c r="A418" s="91">
        <v>542.25201846327491</v>
      </c>
      <c r="B418" s="91">
        <v>543.16480203922799</v>
      </c>
      <c r="C418" s="91">
        <v>541.11958108562169</v>
      </c>
      <c r="D418" s="91">
        <v>542.27154324564822</v>
      </c>
      <c r="E418" s="92">
        <v>6259613.9441201277</v>
      </c>
      <c r="F418" s="90" t="s">
        <v>426</v>
      </c>
      <c r="G418" s="25">
        <f t="shared" si="12"/>
        <v>-3.6005544853834337E-5</v>
      </c>
      <c r="I418" s="91">
        <v>466.40193744346783</v>
      </c>
      <c r="J418" s="91">
        <v>472.81109188583986</v>
      </c>
      <c r="K418" s="91">
        <v>464.55687783126973</v>
      </c>
      <c r="L418" s="91">
        <v>467.04285288770501</v>
      </c>
      <c r="M418" s="92">
        <v>769546.19276963046</v>
      </c>
      <c r="N418" s="90" t="s">
        <v>426</v>
      </c>
      <c r="O418" s="25">
        <f t="shared" si="13"/>
        <v>-1.3722840212079257E-3</v>
      </c>
    </row>
    <row r="419" spans="1:15">
      <c r="A419" s="91">
        <v>544.53641800095431</v>
      </c>
      <c r="B419" s="91">
        <v>545.52075990430569</v>
      </c>
      <c r="C419" s="91">
        <v>543.19408921278796</v>
      </c>
      <c r="D419" s="91">
        <v>543.89210018263441</v>
      </c>
      <c r="E419" s="92">
        <v>23402851.374373399</v>
      </c>
      <c r="F419" s="90" t="s">
        <v>427</v>
      </c>
      <c r="G419" s="25">
        <f t="shared" si="12"/>
        <v>1.1846427225243872E-3</v>
      </c>
      <c r="I419" s="91">
        <v>468.64514149829802</v>
      </c>
      <c r="J419" s="91">
        <v>470.63586371145902</v>
      </c>
      <c r="K419" s="91">
        <v>463.67804680545964</v>
      </c>
      <c r="L419" s="91">
        <v>464.99386563415874</v>
      </c>
      <c r="M419" s="92">
        <v>885032.59688974346</v>
      </c>
      <c r="N419" s="90" t="s">
        <v>427</v>
      </c>
      <c r="O419" s="25">
        <f t="shared" si="13"/>
        <v>7.8523097485589943E-3</v>
      </c>
    </row>
    <row r="420" spans="1:15">
      <c r="A420" s="91">
        <v>542.4082167222615</v>
      </c>
      <c r="B420" s="91">
        <v>544.89762647486089</v>
      </c>
      <c r="C420" s="91">
        <v>541.03601501706385</v>
      </c>
      <c r="D420" s="91">
        <v>544.26307104772764</v>
      </c>
      <c r="E420" s="92">
        <v>4780450.7223343104</v>
      </c>
      <c r="F420" s="90" t="s">
        <v>428</v>
      </c>
      <c r="G420" s="25">
        <f t="shared" si="12"/>
        <v>-3.4080106186433756E-3</v>
      </c>
      <c r="I420" s="91">
        <v>466.12032308160599</v>
      </c>
      <c r="J420" s="91">
        <v>470.01922536738232</v>
      </c>
      <c r="K420" s="91">
        <v>463.8576973466474</v>
      </c>
      <c r="L420" s="91">
        <v>466.11061224154179</v>
      </c>
      <c r="M420" s="92">
        <v>720467.01971672149</v>
      </c>
      <c r="N420" s="90" t="s">
        <v>428</v>
      </c>
      <c r="O420" s="25">
        <f t="shared" si="13"/>
        <v>2.083376737016529E-5</v>
      </c>
    </row>
    <row r="421" spans="1:15">
      <c r="A421" s="91">
        <v>542.44726628700812</v>
      </c>
      <c r="B421" s="91">
        <v>544.93667603960762</v>
      </c>
      <c r="C421" s="91">
        <v>542.41797911344815</v>
      </c>
      <c r="D421" s="91">
        <v>544.41926930671434</v>
      </c>
      <c r="E421" s="92">
        <v>4147141.7428247058</v>
      </c>
      <c r="F421" s="90" t="s">
        <v>429</v>
      </c>
      <c r="G421" s="25">
        <f t="shared" si="12"/>
        <v>-3.6222138540714655E-3</v>
      </c>
      <c r="I421" s="91">
        <v>467.58665993130018</v>
      </c>
      <c r="J421" s="91">
        <v>472.16046560153848</v>
      </c>
      <c r="K421" s="91">
        <v>460.0704697216093</v>
      </c>
      <c r="L421" s="91">
        <v>463.20707106234596</v>
      </c>
      <c r="M421" s="92">
        <v>1356589.1223526297</v>
      </c>
      <c r="N421" s="90" t="s">
        <v>429</v>
      </c>
      <c r="O421" s="25">
        <f t="shared" si="13"/>
        <v>9.4549266247379027E-3</v>
      </c>
    </row>
    <row r="422" spans="1:15">
      <c r="A422" s="91">
        <v>545.25883494876746</v>
      </c>
      <c r="B422" s="91">
        <v>546.09840059082057</v>
      </c>
      <c r="C422" s="91">
        <v>543.43326779686117</v>
      </c>
      <c r="D422" s="91">
        <v>543.68708996771443</v>
      </c>
      <c r="E422" s="92">
        <v>3599955.106081747</v>
      </c>
      <c r="F422" s="90" t="s">
        <v>430</v>
      </c>
      <c r="G422" s="25">
        <f t="shared" si="12"/>
        <v>2.8908999497236909E-3</v>
      </c>
      <c r="I422" s="91">
        <v>461.86697513348633</v>
      </c>
      <c r="J422" s="91">
        <v>466.95059990709512</v>
      </c>
      <c r="K422" s="91">
        <v>460.29381904308593</v>
      </c>
      <c r="L422" s="91">
        <v>466.41164828353197</v>
      </c>
      <c r="M422" s="92">
        <v>1090049.8751929454</v>
      </c>
      <c r="N422" s="90" t="s">
        <v>430</v>
      </c>
      <c r="O422" s="25">
        <f t="shared" si="13"/>
        <v>-9.7439100562147773E-3</v>
      </c>
    </row>
    <row r="423" spans="1:15">
      <c r="A423" s="91">
        <v>541.15863065036842</v>
      </c>
      <c r="B423" s="91">
        <v>543.64804040296781</v>
      </c>
      <c r="C423" s="91">
        <v>540.41668892018197</v>
      </c>
      <c r="D423" s="91">
        <v>543.35516866736793</v>
      </c>
      <c r="E423" s="92">
        <v>4210149.8714930434</v>
      </c>
      <c r="F423" s="90" t="s">
        <v>431</v>
      </c>
      <c r="G423" s="25">
        <f t="shared" si="12"/>
        <v>-4.0425455460131321E-3</v>
      </c>
      <c r="I423" s="91">
        <v>466.29511820276161</v>
      </c>
      <c r="J423" s="91">
        <v>466.78066020597163</v>
      </c>
      <c r="K423" s="91">
        <v>459.60434939852775</v>
      </c>
      <c r="L423" s="91">
        <v>463.89654070690415</v>
      </c>
      <c r="M423" s="92">
        <v>813145.92226789135</v>
      </c>
      <c r="N423" s="90" t="s">
        <v>431</v>
      </c>
      <c r="O423" s="25">
        <f t="shared" si="13"/>
        <v>5.1705009315274886E-3</v>
      </c>
    </row>
    <row r="424" spans="1:15">
      <c r="A424" s="91">
        <v>542.70108845786137</v>
      </c>
      <c r="B424" s="91">
        <v>545.58587505352068</v>
      </c>
      <c r="C424" s="91">
        <v>542.18368172496821</v>
      </c>
      <c r="D424" s="91">
        <v>545.43455799012747</v>
      </c>
      <c r="E424" s="92">
        <v>4519667.2778563118</v>
      </c>
      <c r="F424" s="90" t="s">
        <v>432</v>
      </c>
      <c r="G424" s="25">
        <f t="shared" si="12"/>
        <v>-5.0115444506095841E-3</v>
      </c>
      <c r="I424" s="91">
        <v>465.31432335627738</v>
      </c>
      <c r="J424" s="91">
        <v>468.06909446568966</v>
      </c>
      <c r="K424" s="91">
        <v>456.99009414484436</v>
      </c>
      <c r="L424" s="91">
        <v>457.81755482671485</v>
      </c>
      <c r="M424" s="92">
        <v>957963.46541582665</v>
      </c>
      <c r="N424" s="90" t="s">
        <v>432</v>
      </c>
      <c r="O424" s="25">
        <f t="shared" si="13"/>
        <v>1.6375013256973325E-2</v>
      </c>
    </row>
    <row r="425" spans="1:15">
      <c r="A425" s="91">
        <v>545.54194429318079</v>
      </c>
      <c r="B425" s="91">
        <v>546.65485688846047</v>
      </c>
      <c r="C425" s="91">
        <v>544.81952734536765</v>
      </c>
      <c r="D425" s="91">
        <v>545.20026060164753</v>
      </c>
      <c r="E425" s="92">
        <v>5259858.8827441484</v>
      </c>
      <c r="F425" s="90" t="s">
        <v>433</v>
      </c>
      <c r="G425" s="25">
        <f t="shared" si="12"/>
        <v>6.2671226744503983E-4</v>
      </c>
      <c r="I425" s="91">
        <v>459.95393964083888</v>
      </c>
      <c r="J425" s="91">
        <v>466.168877281927</v>
      </c>
      <c r="K425" s="91">
        <v>456.9435792209369</v>
      </c>
      <c r="L425" s="91">
        <v>465.74160031910219</v>
      </c>
      <c r="M425" s="92">
        <v>943040.96653396124</v>
      </c>
      <c r="N425" s="90" t="s">
        <v>433</v>
      </c>
      <c r="O425" s="25">
        <f t="shared" si="13"/>
        <v>-1.2426763411938935E-2</v>
      </c>
    </row>
    <row r="426" spans="1:15">
      <c r="A426" s="91">
        <v>544.45831887146096</v>
      </c>
      <c r="B426" s="91">
        <v>546.11792537319388</v>
      </c>
      <c r="C426" s="91">
        <v>544.21425909179436</v>
      </c>
      <c r="D426" s="91">
        <v>545.35645886063412</v>
      </c>
      <c r="E426" s="92">
        <v>3095103.3842277308</v>
      </c>
      <c r="F426" s="90" t="s">
        <v>434</v>
      </c>
      <c r="G426" s="25">
        <f t="shared" si="12"/>
        <v>-1.6468861321448092E-3</v>
      </c>
      <c r="I426" s="91">
        <v>465.70275695884538</v>
      </c>
      <c r="J426" s="91">
        <v>472.51976668391382</v>
      </c>
      <c r="K426" s="91">
        <v>464.31410682966475</v>
      </c>
      <c r="L426" s="91">
        <v>471.75261031884207</v>
      </c>
      <c r="M426" s="92">
        <v>960458.61514950683</v>
      </c>
      <c r="N426" s="90" t="s">
        <v>434</v>
      </c>
      <c r="O426" s="25">
        <f t="shared" si="13"/>
        <v>-1.2824207492795447E-2</v>
      </c>
    </row>
    <row r="427" spans="1:15">
      <c r="A427" s="91">
        <v>545.36622125182078</v>
      </c>
      <c r="B427" s="91">
        <v>545.60051864030072</v>
      </c>
      <c r="C427" s="91">
        <v>542.95588686783333</v>
      </c>
      <c r="D427" s="91">
        <v>543.59922844703453</v>
      </c>
      <c r="E427" s="92">
        <v>5623951.0331237996</v>
      </c>
      <c r="F427" s="90" t="s">
        <v>435</v>
      </c>
      <c r="G427" s="25">
        <f t="shared" si="12"/>
        <v>3.2505432537757173E-3</v>
      </c>
      <c r="I427" s="91">
        <v>472.54889920410648</v>
      </c>
      <c r="J427" s="91">
        <v>473.73643783555747</v>
      </c>
      <c r="K427" s="91">
        <v>467.14967212841123</v>
      </c>
      <c r="L427" s="91">
        <v>468.78109325919684</v>
      </c>
      <c r="M427" s="92">
        <v>828688.34691932984</v>
      </c>
      <c r="N427" s="90" t="s">
        <v>435</v>
      </c>
      <c r="O427" s="25">
        <f t="shared" si="13"/>
        <v>8.0374528731821382E-3</v>
      </c>
    </row>
    <row r="428" spans="1:15">
      <c r="A428" s="91">
        <v>541.94938433648827</v>
      </c>
      <c r="B428" s="91">
        <v>542.23259130481335</v>
      </c>
      <c r="C428" s="91">
        <v>540.63146152628849</v>
      </c>
      <c r="D428" s="91">
        <v>541.61746303614154</v>
      </c>
      <c r="E428" s="92">
        <v>4305201.379085524</v>
      </c>
      <c r="F428" s="90" t="s">
        <v>436</v>
      </c>
      <c r="G428" s="25">
        <f t="shared" si="12"/>
        <v>6.1283345349694152E-4</v>
      </c>
      <c r="I428" s="91">
        <v>471.17967075505425</v>
      </c>
      <c r="J428" s="91">
        <v>472.23329690201996</v>
      </c>
      <c r="K428" s="91">
        <v>469.15981602170064</v>
      </c>
      <c r="L428" s="91">
        <v>471.63608023807166</v>
      </c>
      <c r="M428" s="92">
        <v>704264.50799170113</v>
      </c>
      <c r="N428" s="90" t="s">
        <v>436</v>
      </c>
      <c r="O428" s="25">
        <f t="shared" si="13"/>
        <v>-9.6771536814366232E-4</v>
      </c>
    </row>
    <row r="429" spans="1:15">
      <c r="A429" s="91">
        <v>541.82247325106164</v>
      </c>
      <c r="B429" s="91">
        <v>542.36916715751488</v>
      </c>
      <c r="C429" s="91">
        <v>540.72908543815515</v>
      </c>
      <c r="D429" s="91">
        <v>541.18791782392839</v>
      </c>
      <c r="E429" s="92">
        <v>5573440.8670618637</v>
      </c>
      <c r="F429" s="90" t="s">
        <v>437</v>
      </c>
      <c r="G429" s="25">
        <f t="shared" si="12"/>
        <v>1.1725232700772192E-3</v>
      </c>
      <c r="I429" s="91">
        <v>470.73297211210104</v>
      </c>
      <c r="J429" s="91">
        <v>475.0348742605417</v>
      </c>
      <c r="K429" s="91">
        <v>467.97509353386823</v>
      </c>
      <c r="L429" s="91">
        <v>472.91791112654607</v>
      </c>
      <c r="M429" s="92">
        <v>493886.210491826</v>
      </c>
      <c r="N429" s="90" t="s">
        <v>437</v>
      </c>
      <c r="O429" s="25">
        <f t="shared" si="13"/>
        <v>-4.62012320328542E-3</v>
      </c>
    </row>
    <row r="430" spans="1:15">
      <c r="A430" s="91">
        <v>540.299540225942</v>
      </c>
      <c r="B430" s="91">
        <v>541.51983912427499</v>
      </c>
      <c r="C430" s="91">
        <v>537.97609112351586</v>
      </c>
      <c r="D430" s="91">
        <v>538.19086372962238</v>
      </c>
      <c r="E430" s="92">
        <v>4085809.4330912149</v>
      </c>
      <c r="F430" s="90" t="s">
        <v>438</v>
      </c>
      <c r="G430" s="25">
        <f t="shared" si="12"/>
        <v>3.9180830415934675E-3</v>
      </c>
      <c r="I430" s="91">
        <v>473.4908506877556</v>
      </c>
      <c r="J430" s="91">
        <v>474.42883930241328</v>
      </c>
      <c r="K430" s="91">
        <v>470.54150504372899</v>
      </c>
      <c r="L430" s="91">
        <v>473.73260033070864</v>
      </c>
      <c r="M430" s="92">
        <v>348228.02206315967</v>
      </c>
      <c r="N430" s="90" t="s">
        <v>438</v>
      </c>
      <c r="O430" s="25">
        <f t="shared" si="13"/>
        <v>-5.1030822616870974E-4</v>
      </c>
    </row>
    <row r="431" spans="1:15">
      <c r="A431" s="91">
        <v>537.46844678180923</v>
      </c>
      <c r="B431" s="91">
        <v>539.2549643689689</v>
      </c>
      <c r="C431" s="91">
        <v>536.06266245092957</v>
      </c>
      <c r="D431" s="91">
        <v>538.92304306862218</v>
      </c>
      <c r="E431" s="92">
        <v>3392835.7680693492</v>
      </c>
      <c r="F431" s="90" t="s">
        <v>439</v>
      </c>
      <c r="G431" s="25">
        <f t="shared" si="12"/>
        <v>-2.6990797768277064E-3</v>
      </c>
      <c r="I431" s="91">
        <v>472.9396615018228</v>
      </c>
      <c r="J431" s="91">
        <v>476.16943673167492</v>
      </c>
      <c r="K431" s="91">
        <v>471.8953030442658</v>
      </c>
      <c r="L431" s="91">
        <v>472.15639265865502</v>
      </c>
      <c r="M431" s="92">
        <v>603343.18685365794</v>
      </c>
      <c r="N431" s="90" t="s">
        <v>439</v>
      </c>
      <c r="O431" s="25">
        <f t="shared" si="13"/>
        <v>1.6589182214759024E-3</v>
      </c>
    </row>
    <row r="432" spans="1:15">
      <c r="A432" s="91">
        <v>539.1866276306622</v>
      </c>
      <c r="B432" s="91">
        <v>539.68441195727019</v>
      </c>
      <c r="C432" s="91">
        <v>536.78507939874282</v>
      </c>
      <c r="D432" s="91">
        <v>537.41963482587596</v>
      </c>
      <c r="E432" s="92">
        <v>4546605.3501965431</v>
      </c>
      <c r="F432" s="90" t="s">
        <v>440</v>
      </c>
      <c r="G432" s="25">
        <f t="shared" si="12"/>
        <v>3.2879200726612101E-3</v>
      </c>
      <c r="I432" s="91">
        <v>472.31111243014499</v>
      </c>
      <c r="J432" s="91">
        <v>475.51187770284275</v>
      </c>
      <c r="K432" s="91">
        <v>466.63966580646746</v>
      </c>
      <c r="L432" s="91">
        <v>470.50282510085651</v>
      </c>
      <c r="M432" s="92">
        <v>878271.20407071023</v>
      </c>
      <c r="N432" s="90" t="s">
        <v>440</v>
      </c>
      <c r="O432" s="25">
        <f t="shared" si="13"/>
        <v>3.8433081223281373E-3</v>
      </c>
    </row>
    <row r="433" spans="1:15">
      <c r="A433" s="91">
        <v>536.17981114516954</v>
      </c>
      <c r="B433" s="91">
        <v>539.2549643689689</v>
      </c>
      <c r="C433" s="91">
        <v>534.19794811036479</v>
      </c>
      <c r="D433" s="91">
        <v>538.10300220894248</v>
      </c>
      <c r="E433" s="92">
        <v>4409781.2899371441</v>
      </c>
      <c r="F433" s="90" t="s">
        <v>441</v>
      </c>
      <c r="G433" s="25">
        <f t="shared" si="12"/>
        <v>-3.5740203193034281E-3</v>
      </c>
      <c r="I433" s="91">
        <v>469.25539694321895</v>
      </c>
      <c r="J433" s="91">
        <v>477.68762448941982</v>
      </c>
      <c r="K433" s="91">
        <v>462.63145672630668</v>
      </c>
      <c r="L433" s="91">
        <v>477.21379518923192</v>
      </c>
      <c r="M433" s="92">
        <v>1867562.2205066339</v>
      </c>
      <c r="N433" s="90" t="s">
        <v>441</v>
      </c>
      <c r="O433" s="25">
        <f t="shared" si="13"/>
        <v>-1.6676798378926105E-2</v>
      </c>
    </row>
    <row r="434" spans="1:15">
      <c r="A434" s="91">
        <v>534.46163029631668</v>
      </c>
      <c r="B434" s="91">
        <v>535.02745848949576</v>
      </c>
      <c r="C434" s="91">
        <v>532.41152814711711</v>
      </c>
      <c r="D434" s="91">
        <v>532.85083575051704</v>
      </c>
      <c r="E434" s="92">
        <v>5710269.024678072</v>
      </c>
      <c r="F434" s="90" t="s">
        <v>442</v>
      </c>
      <c r="G434" s="25">
        <f t="shared" si="12"/>
        <v>3.0229746070133956E-3</v>
      </c>
      <c r="I434" s="91">
        <v>480.47258037623845</v>
      </c>
      <c r="J434" s="91">
        <v>483.49928590601007</v>
      </c>
      <c r="K434" s="91">
        <v>477.99706403239963</v>
      </c>
      <c r="L434" s="91">
        <v>481.54594879094981</v>
      </c>
      <c r="M434" s="92">
        <v>524855.99751088605</v>
      </c>
      <c r="N434" s="90" t="s">
        <v>442</v>
      </c>
      <c r="O434" s="25">
        <f t="shared" si="13"/>
        <v>-2.229005180930943E-3</v>
      </c>
    </row>
    <row r="435" spans="1:15">
      <c r="A435" s="91">
        <v>532.67511270915702</v>
      </c>
      <c r="B435" s="91">
        <v>534.07113464885015</v>
      </c>
      <c r="C435" s="91">
        <v>527.20817364462494</v>
      </c>
      <c r="D435" s="91">
        <v>532.61653836203709</v>
      </c>
      <c r="E435" s="92">
        <v>4640890.6520657558</v>
      </c>
      <c r="F435" s="90" t="s">
        <v>443</v>
      </c>
      <c r="G435" s="25">
        <f t="shared" si="12"/>
        <v>1.0997470581752822E-4</v>
      </c>
      <c r="I435" s="91">
        <v>480.02776103320491</v>
      </c>
      <c r="J435" s="91">
        <v>480.50159033339276</v>
      </c>
      <c r="K435" s="91">
        <v>473.02669137328587</v>
      </c>
      <c r="L435" s="91">
        <v>477.60059461795669</v>
      </c>
      <c r="M435" s="92">
        <v>630601.75865341455</v>
      </c>
      <c r="N435" s="90" t="s">
        <v>443</v>
      </c>
      <c r="O435" s="25">
        <f t="shared" si="13"/>
        <v>5.0820004049403344E-3</v>
      </c>
    </row>
    <row r="436" spans="1:15">
      <c r="A436" s="91">
        <v>530.00021752401096</v>
      </c>
      <c r="B436" s="91">
        <v>530.16617817418432</v>
      </c>
      <c r="C436" s="91">
        <v>524.66995193609227</v>
      </c>
      <c r="D436" s="91">
        <v>529.88306882977099</v>
      </c>
      <c r="E436" s="92">
        <v>4045176.969956378</v>
      </c>
      <c r="F436" s="90" t="s">
        <v>444</v>
      </c>
      <c r="G436" s="25">
        <f t="shared" si="12"/>
        <v>2.2108404878595778E-4</v>
      </c>
      <c r="I436" s="91">
        <v>475.74395736007767</v>
      </c>
      <c r="J436" s="91">
        <v>476.68184927487812</v>
      </c>
      <c r="K436" s="91">
        <v>471.35378384405107</v>
      </c>
      <c r="L436" s="91">
        <v>474.1387397308697</v>
      </c>
      <c r="M436" s="92">
        <v>551708.15712818864</v>
      </c>
      <c r="N436" s="90" t="s">
        <v>444</v>
      </c>
      <c r="O436" s="25">
        <f t="shared" si="13"/>
        <v>3.3855441344428083E-3</v>
      </c>
    </row>
    <row r="437" spans="1:15">
      <c r="A437" s="91">
        <v>529.80496970027775</v>
      </c>
      <c r="B437" s="91">
        <v>530.4590499097842</v>
      </c>
      <c r="C437" s="91">
        <v>524.14278281201234</v>
      </c>
      <c r="D437" s="91">
        <v>524.7285262832122</v>
      </c>
      <c r="E437" s="92">
        <v>7148221.0316797923</v>
      </c>
      <c r="F437" s="90" t="s">
        <v>445</v>
      </c>
      <c r="G437" s="25">
        <f t="shared" si="12"/>
        <v>9.674418604651347E-3</v>
      </c>
      <c r="I437" s="91">
        <v>474.81563873113811</v>
      </c>
      <c r="J437" s="91">
        <v>481.50726884807727</v>
      </c>
      <c r="K437" s="91">
        <v>473.4908506877556</v>
      </c>
      <c r="L437" s="91">
        <v>477.81333430375537</v>
      </c>
      <c r="M437" s="92">
        <v>822451.05958088662</v>
      </c>
      <c r="N437" s="90" t="s">
        <v>445</v>
      </c>
      <c r="O437" s="25">
        <f t="shared" si="13"/>
        <v>-6.2737796486683761E-3</v>
      </c>
    </row>
    <row r="438" spans="1:15">
      <c r="A438" s="91">
        <v>527.88177863650481</v>
      </c>
      <c r="B438" s="91">
        <v>529.05326557890453</v>
      </c>
      <c r="C438" s="91">
        <v>525.35820051475207</v>
      </c>
      <c r="D438" s="91">
        <v>526.11478583171856</v>
      </c>
      <c r="E438" s="92">
        <v>4613875.7542853579</v>
      </c>
      <c r="F438" s="90" t="s">
        <v>446</v>
      </c>
      <c r="G438" s="25">
        <f t="shared" si="12"/>
        <v>3.3585689898314453E-3</v>
      </c>
      <c r="I438" s="91">
        <v>472.55286207309797</v>
      </c>
      <c r="J438" s="91">
        <v>481.87472830536586</v>
      </c>
      <c r="K438" s="91">
        <v>471.54718355841345</v>
      </c>
      <c r="L438" s="91">
        <v>478.51924326117819</v>
      </c>
      <c r="M438" s="92">
        <v>905907.23247758055</v>
      </c>
      <c r="N438" s="90" t="s">
        <v>446</v>
      </c>
      <c r="O438" s="25">
        <f t="shared" si="13"/>
        <v>-1.2468424775184506E-2</v>
      </c>
    </row>
    <row r="439" spans="1:15">
      <c r="A439" s="91">
        <v>525.7047654018786</v>
      </c>
      <c r="B439" s="91">
        <v>529.67805861485112</v>
      </c>
      <c r="C439" s="91">
        <v>523.99634694421241</v>
      </c>
      <c r="D439" s="91">
        <v>529.24851340263785</v>
      </c>
      <c r="E439" s="92">
        <v>7539253.3030780787</v>
      </c>
      <c r="F439" s="90" t="s">
        <v>447</v>
      </c>
      <c r="G439" s="25">
        <f t="shared" si="12"/>
        <v>-6.6958109678492139E-3</v>
      </c>
      <c r="I439" s="91">
        <v>477.68762448941982</v>
      </c>
      <c r="J439" s="91">
        <v>487.59452485763398</v>
      </c>
      <c r="K439" s="91">
        <v>474.67058894536632</v>
      </c>
      <c r="L439" s="91">
        <v>481.13980939078874</v>
      </c>
      <c r="M439" s="92">
        <v>1477333.1022847767</v>
      </c>
      <c r="N439" s="90" t="s">
        <v>447</v>
      </c>
      <c r="O439" s="25">
        <f t="shared" si="13"/>
        <v>-7.1750140686550612E-3</v>
      </c>
    </row>
    <row r="440" spans="1:15">
      <c r="A440" s="91">
        <v>532.57748879729036</v>
      </c>
      <c r="B440" s="91">
        <v>536.51173244551615</v>
      </c>
      <c r="C440" s="91">
        <v>531.93317097897057</v>
      </c>
      <c r="D440" s="91">
        <v>536.05290005974291</v>
      </c>
      <c r="E440" s="92">
        <v>4036185.3204392074</v>
      </c>
      <c r="F440" s="90" t="s">
        <v>448</v>
      </c>
      <c r="G440" s="25">
        <f t="shared" si="12"/>
        <v>-6.4833363686032097E-3</v>
      </c>
      <c r="I440" s="91">
        <v>483.82806542042613</v>
      </c>
      <c r="J440" s="91">
        <v>503.80625591406249</v>
      </c>
      <c r="K440" s="91">
        <v>475.88900714584946</v>
      </c>
      <c r="L440" s="91">
        <v>503.80625591406249</v>
      </c>
      <c r="M440" s="92">
        <v>1228156.932822098</v>
      </c>
      <c r="N440" s="90" t="s">
        <v>448</v>
      </c>
      <c r="O440" s="25">
        <f t="shared" si="13"/>
        <v>-3.9654510556621947E-2</v>
      </c>
    </row>
    <row r="441" spans="1:15">
      <c r="A441" s="91">
        <v>535.98456332143621</v>
      </c>
      <c r="B441" s="91">
        <v>537.79060569096919</v>
      </c>
      <c r="C441" s="91">
        <v>533.97351073698349</v>
      </c>
      <c r="D441" s="91">
        <v>536.11147440686284</v>
      </c>
      <c r="E441" s="92">
        <v>3791663.2607966023</v>
      </c>
      <c r="F441" s="90" t="s">
        <v>449</v>
      </c>
      <c r="G441" s="25">
        <f t="shared" si="12"/>
        <v>-2.3672518027528788E-4</v>
      </c>
      <c r="I441" s="91">
        <v>503.24539674241146</v>
      </c>
      <c r="J441" s="91">
        <v>512.41254320318944</v>
      </c>
      <c r="K441" s="91">
        <v>501.71753899894856</v>
      </c>
      <c r="L441" s="91">
        <v>511.30049484560561</v>
      </c>
      <c r="M441" s="92">
        <v>799857.43779397965</v>
      </c>
      <c r="N441" s="90" t="s">
        <v>449</v>
      </c>
      <c r="O441" s="25">
        <f t="shared" si="13"/>
        <v>-1.5754137115839284E-2</v>
      </c>
    </row>
    <row r="442" spans="1:15">
      <c r="A442" s="91">
        <v>535.71121636820965</v>
      </c>
      <c r="B442" s="91">
        <v>537.84918003808923</v>
      </c>
      <c r="C442" s="91">
        <v>533.44634161290344</v>
      </c>
      <c r="D442" s="91">
        <v>537.31224852282264</v>
      </c>
      <c r="E442" s="92">
        <v>4935894.1962726349</v>
      </c>
      <c r="F442" s="90" t="s">
        <v>450</v>
      </c>
      <c r="G442" s="25">
        <f t="shared" si="12"/>
        <v>-2.9797052998783435E-3</v>
      </c>
      <c r="I442" s="91">
        <v>513.85337107518933</v>
      </c>
      <c r="J442" s="91">
        <v>518.45628427701456</v>
      </c>
      <c r="K442" s="91">
        <v>512.42221318890756</v>
      </c>
      <c r="L442" s="91">
        <v>518.45628427701456</v>
      </c>
      <c r="M442" s="92">
        <v>672419.81421085435</v>
      </c>
      <c r="N442" s="90" t="s">
        <v>450</v>
      </c>
      <c r="O442" s="25">
        <f t="shared" si="13"/>
        <v>-8.8781124685256563E-3</v>
      </c>
    </row>
    <row r="443" spans="1:15">
      <c r="A443" s="91">
        <v>537.3220109140093</v>
      </c>
      <c r="B443" s="91">
        <v>538.62040894183565</v>
      </c>
      <c r="C443" s="91">
        <v>535.80884028007631</v>
      </c>
      <c r="D443" s="91">
        <v>538.32753720623566</v>
      </c>
      <c r="E443" s="92">
        <v>5012223.8562659677</v>
      </c>
      <c r="F443" s="90" t="s">
        <v>451</v>
      </c>
      <c r="G443" s="25">
        <f t="shared" si="12"/>
        <v>-1.8678708086247164E-3</v>
      </c>
      <c r="I443" s="91">
        <v>516.08713777607511</v>
      </c>
      <c r="J443" s="91">
        <v>521.94714912125596</v>
      </c>
      <c r="K443" s="91">
        <v>514.93157448275974</v>
      </c>
      <c r="L443" s="91">
        <v>515.34254887577981</v>
      </c>
      <c r="M443" s="92">
        <v>556838.46460186341</v>
      </c>
      <c r="N443" s="90" t="s">
        <v>451</v>
      </c>
      <c r="O443" s="25">
        <f t="shared" si="13"/>
        <v>1.4448426622635235E-3</v>
      </c>
    </row>
    <row r="444" spans="1:15">
      <c r="A444" s="91">
        <v>536.88270331060949</v>
      </c>
      <c r="B444" s="91">
        <v>538.1420517736891</v>
      </c>
      <c r="C444" s="91">
        <v>535.03761137632978</v>
      </c>
      <c r="D444" s="91">
        <v>535.04737376751655</v>
      </c>
      <c r="E444" s="92">
        <v>6963433.312615199</v>
      </c>
      <c r="F444" s="90" t="s">
        <v>452</v>
      </c>
      <c r="G444" s="25">
        <f t="shared" si="12"/>
        <v>3.4302187676757967E-3</v>
      </c>
      <c r="I444" s="91">
        <v>511.53257450284053</v>
      </c>
      <c r="J444" s="91">
        <v>513.73723454671472</v>
      </c>
      <c r="K444" s="91">
        <v>504.9991453522498</v>
      </c>
      <c r="L444" s="91">
        <v>506.09804252925699</v>
      </c>
      <c r="M444" s="92">
        <v>512756.70352943183</v>
      </c>
      <c r="N444" s="90" t="s">
        <v>452</v>
      </c>
      <c r="O444" s="25">
        <f t="shared" si="13"/>
        <v>1.0738101152148571E-2</v>
      </c>
    </row>
    <row r="445" spans="1:15">
      <c r="A445" s="91">
        <v>534.52020464343661</v>
      </c>
      <c r="B445" s="91">
        <v>535.44275061057647</v>
      </c>
      <c r="C445" s="91">
        <v>532.19675554101048</v>
      </c>
      <c r="D445" s="91">
        <v>532.26509227931717</v>
      </c>
      <c r="E445" s="92">
        <v>6198559.230310441</v>
      </c>
      <c r="F445" s="90" t="s">
        <v>453</v>
      </c>
      <c r="G445" s="25">
        <f t="shared" si="12"/>
        <v>4.23682183338836E-3</v>
      </c>
      <c r="I445" s="91">
        <v>503.40011651390148</v>
      </c>
      <c r="J445" s="91">
        <v>508.56388888737757</v>
      </c>
      <c r="K445" s="91">
        <v>500.37341098412986</v>
      </c>
      <c r="L445" s="91">
        <v>508.56388888737757</v>
      </c>
      <c r="M445" s="92">
        <v>694693.890541328</v>
      </c>
      <c r="N445" s="90" t="s">
        <v>453</v>
      </c>
      <c r="O445" s="25">
        <f t="shared" si="13"/>
        <v>-1.0153635533921346E-2</v>
      </c>
    </row>
    <row r="446" spans="1:15">
      <c r="A446" s="91">
        <v>530.3907131714775</v>
      </c>
      <c r="B446" s="91">
        <v>531.21075403115731</v>
      </c>
      <c r="C446" s="91">
        <v>525.38260649271865</v>
      </c>
      <c r="D446" s="91">
        <v>528.77991862567796</v>
      </c>
      <c r="E446" s="92">
        <v>7665475.4525944022</v>
      </c>
      <c r="F446" s="90" t="s">
        <v>454</v>
      </c>
      <c r="G446" s="25">
        <f t="shared" si="12"/>
        <v>3.0462475768482378E-3</v>
      </c>
      <c r="I446" s="91">
        <v>505.87563285774019</v>
      </c>
      <c r="J446" s="91">
        <v>511.88069398869288</v>
      </c>
      <c r="K446" s="91">
        <v>498.42974385478772</v>
      </c>
      <c r="L446" s="91">
        <v>511.88069398869288</v>
      </c>
      <c r="M446" s="92">
        <v>998767.76259370556</v>
      </c>
      <c r="N446" s="90" t="s">
        <v>454</v>
      </c>
      <c r="O446" s="25">
        <f t="shared" si="13"/>
        <v>-1.1731368659677055E-2</v>
      </c>
    </row>
    <row r="447" spans="1:15">
      <c r="A447" s="91">
        <v>517.50435680508053</v>
      </c>
      <c r="B447" s="91">
        <v>517.57269354338712</v>
      </c>
      <c r="C447" s="91">
        <v>512.01789295817514</v>
      </c>
      <c r="D447" s="91">
        <v>512.25219034665508</v>
      </c>
      <c r="E447" s="92">
        <v>3380605.157994729</v>
      </c>
      <c r="F447" s="90" t="s">
        <v>455</v>
      </c>
      <c r="G447" s="25">
        <f t="shared" si="12"/>
        <v>1.0253087360878155E-2</v>
      </c>
      <c r="I447" s="91">
        <v>495.97356748238508</v>
      </c>
      <c r="J447" s="91">
        <v>496.25399706821065</v>
      </c>
      <c r="K447" s="91">
        <v>488.79843807953995</v>
      </c>
      <c r="L447" s="91">
        <v>492.1442531380095</v>
      </c>
      <c r="M447" s="92">
        <v>719300.95894207188</v>
      </c>
      <c r="N447" s="90" t="s">
        <v>455</v>
      </c>
      <c r="O447" s="25">
        <f t="shared" si="13"/>
        <v>7.7808779030925646E-3</v>
      </c>
    </row>
    <row r="448" spans="1:15">
      <c r="A448" s="91">
        <v>511.35405035748192</v>
      </c>
      <c r="B448" s="91">
        <v>513.77512337177473</v>
      </c>
      <c r="C448" s="91">
        <v>509.62620474135417</v>
      </c>
      <c r="D448" s="91">
        <v>512.58411164700158</v>
      </c>
      <c r="E448" s="92">
        <v>3771064.8237789697</v>
      </c>
      <c r="F448" s="90" t="s">
        <v>456</v>
      </c>
      <c r="G448" s="25">
        <f t="shared" si="12"/>
        <v>-2.3997257456289667E-3</v>
      </c>
      <c r="I448" s="91">
        <v>490.6937552802915</v>
      </c>
      <c r="J448" s="91">
        <v>494.12650351036694</v>
      </c>
      <c r="K448" s="91">
        <v>485.56866284968777</v>
      </c>
      <c r="L448" s="91">
        <v>491.03220478042573</v>
      </c>
      <c r="M448" s="92">
        <v>471283.01249300269</v>
      </c>
      <c r="N448" s="90" t="s">
        <v>456</v>
      </c>
      <c r="O448" s="25">
        <f t="shared" si="13"/>
        <v>-6.8926130880886394E-4</v>
      </c>
    </row>
    <row r="449" spans="1:15">
      <c r="A449" s="91">
        <v>512.46696295276172</v>
      </c>
      <c r="B449" s="91">
        <v>516.50859290404082</v>
      </c>
      <c r="C449" s="91">
        <v>512.07656492920705</v>
      </c>
      <c r="D449" s="91">
        <v>512.68173555886824</v>
      </c>
      <c r="E449" s="92">
        <v>6255580.0963417478</v>
      </c>
      <c r="F449" s="90" t="s">
        <v>457</v>
      </c>
      <c r="G449" s="25">
        <f t="shared" si="12"/>
        <v>-4.189199482060868E-4</v>
      </c>
      <c r="I449" s="91">
        <v>490.2199259801036</v>
      </c>
      <c r="J449" s="91">
        <v>496.94056605419712</v>
      </c>
      <c r="K449" s="91">
        <v>489.62038686558014</v>
      </c>
      <c r="L449" s="91">
        <v>496.94056605419712</v>
      </c>
      <c r="M449" s="92">
        <v>514877.69942310388</v>
      </c>
      <c r="N449" s="90" t="s">
        <v>457</v>
      </c>
      <c r="O449" s="25">
        <f t="shared" si="13"/>
        <v>-1.3524031912823475E-2</v>
      </c>
    </row>
    <row r="450" spans="1:15">
      <c r="A450" s="91">
        <v>510.25090015338884</v>
      </c>
      <c r="B450" s="91">
        <v>516.65502877184076</v>
      </c>
      <c r="C450" s="91">
        <v>510.09470189440225</v>
      </c>
      <c r="D450" s="91">
        <v>516.51835529522748</v>
      </c>
      <c r="E450" s="92">
        <v>8166824.9587159958</v>
      </c>
      <c r="F450" s="90" t="s">
        <v>458</v>
      </c>
      <c r="G450" s="25">
        <f t="shared" si="12"/>
        <v>-1.213404146742536E-2</v>
      </c>
      <c r="I450" s="91">
        <v>492.22161302375446</v>
      </c>
      <c r="J450" s="91">
        <v>494.80833420335159</v>
      </c>
      <c r="K450" s="91">
        <v>487.42530010756684</v>
      </c>
      <c r="L450" s="91">
        <v>488.9241478938755</v>
      </c>
      <c r="M450" s="92">
        <v>939238.20207726001</v>
      </c>
      <c r="N450" s="90" t="s">
        <v>458</v>
      </c>
      <c r="O450" s="25">
        <f t="shared" si="13"/>
        <v>6.7443286327406593E-3</v>
      </c>
    </row>
    <row r="451" spans="1:15">
      <c r="A451" s="91">
        <v>520.49164850819977</v>
      </c>
      <c r="B451" s="91">
        <v>523.45941542894582</v>
      </c>
      <c r="C451" s="91">
        <v>519.93519221055999</v>
      </c>
      <c r="D451" s="91">
        <v>521.65337305941296</v>
      </c>
      <c r="E451" s="92">
        <v>3141663.6983258701</v>
      </c>
      <c r="F451" s="90" t="s">
        <v>459</v>
      </c>
      <c r="G451" s="25">
        <f t="shared" si="12"/>
        <v>-2.2270047721533182E-3</v>
      </c>
      <c r="I451" s="91">
        <v>488.66305827948622</v>
      </c>
      <c r="J451" s="91">
        <v>492.56006252388869</v>
      </c>
      <c r="K451" s="91">
        <v>485.28823326386231</v>
      </c>
      <c r="L451" s="91">
        <v>487.41563012184872</v>
      </c>
      <c r="M451" s="92">
        <v>826455.20199936442</v>
      </c>
      <c r="N451" s="90" t="s">
        <v>459</v>
      </c>
      <c r="O451" s="25">
        <f t="shared" si="13"/>
        <v>2.559269913698925E-3</v>
      </c>
    </row>
    <row r="452" spans="1:15">
      <c r="A452" s="91">
        <v>522.0633934892528</v>
      </c>
      <c r="B452" s="91">
        <v>523.08844456385259</v>
      </c>
      <c r="C452" s="91">
        <v>519.11515135088018</v>
      </c>
      <c r="D452" s="91">
        <v>520.45259894345315</v>
      </c>
      <c r="E452" s="92">
        <v>3101300.6364012193</v>
      </c>
      <c r="F452" s="90" t="s">
        <v>460</v>
      </c>
      <c r="G452" s="25">
        <f t="shared" si="12"/>
        <v>3.0949879951980286E-3</v>
      </c>
      <c r="I452" s="91">
        <v>487.41563012184872</v>
      </c>
      <c r="J452" s="91">
        <v>495.73907032872074</v>
      </c>
      <c r="K452" s="91">
        <v>487.37695017897624</v>
      </c>
      <c r="L452" s="91">
        <v>495.58676805366031</v>
      </c>
      <c r="M452" s="92">
        <v>601936.77319427521</v>
      </c>
      <c r="N452" s="90" t="s">
        <v>460</v>
      </c>
      <c r="O452" s="25">
        <f t="shared" si="13"/>
        <v>-1.6487804878048795E-2</v>
      </c>
    </row>
    <row r="453" spans="1:15">
      <c r="A453" s="91">
        <v>521.23359023838634</v>
      </c>
      <c r="B453" s="91">
        <v>522.84438478418599</v>
      </c>
      <c r="C453" s="91">
        <v>520.9903114500147</v>
      </c>
      <c r="D453" s="91">
        <v>522.80533521943926</v>
      </c>
      <c r="E453" s="92">
        <v>3490918.2953612269</v>
      </c>
      <c r="F453" s="90" t="s">
        <v>461</v>
      </c>
      <c r="G453" s="25">
        <f t="shared" si="12"/>
        <v>-3.0063675237613774E-3</v>
      </c>
      <c r="I453" s="91">
        <v>495.24831855352608</v>
      </c>
      <c r="J453" s="91">
        <v>502.13334838482763</v>
      </c>
      <c r="K453" s="91">
        <v>494.57141955325767</v>
      </c>
      <c r="L453" s="91">
        <v>502.13334838482763</v>
      </c>
      <c r="M453" s="92">
        <v>703931.75320255279</v>
      </c>
      <c r="N453" s="90" t="s">
        <v>461</v>
      </c>
      <c r="O453" s="25">
        <f t="shared" si="13"/>
        <v>-1.3711556608315467E-2</v>
      </c>
    </row>
    <row r="454" spans="1:15">
      <c r="A454" s="91">
        <v>519.61303330140004</v>
      </c>
      <c r="B454" s="91">
        <v>524.49432651864413</v>
      </c>
      <c r="C454" s="91">
        <v>518.78713500700826</v>
      </c>
      <c r="D454" s="91">
        <v>521.94624479501283</v>
      </c>
      <c r="E454" s="92">
        <v>4432510.3524954142</v>
      </c>
      <c r="F454" s="90" t="s">
        <v>462</v>
      </c>
      <c r="G454" s="25">
        <f t="shared" si="12"/>
        <v>-4.4702141587954491E-3</v>
      </c>
      <c r="I454" s="91">
        <v>502.21070827057264</v>
      </c>
      <c r="J454" s="91">
        <v>510.33001507893505</v>
      </c>
      <c r="K454" s="91">
        <v>501.45644938455933</v>
      </c>
      <c r="L454" s="91">
        <v>508.47685901591456</v>
      </c>
      <c r="M454" s="92">
        <v>533711.23292654357</v>
      </c>
      <c r="N454" s="90" t="s">
        <v>462</v>
      </c>
      <c r="O454" s="25">
        <f t="shared" si="13"/>
        <v>-1.2323374474640159E-2</v>
      </c>
    </row>
    <row r="455" spans="1:15">
      <c r="A455" s="91">
        <v>519.81804351632002</v>
      </c>
      <c r="B455" s="91">
        <v>520.51117329057308</v>
      </c>
      <c r="C455" s="91">
        <v>517.44578245796049</v>
      </c>
      <c r="D455" s="91">
        <v>520.50141089938643</v>
      </c>
      <c r="E455" s="92">
        <v>4586747.1548535125</v>
      </c>
      <c r="F455" s="90" t="s">
        <v>463</v>
      </c>
      <c r="G455" s="25">
        <f t="shared" si="12"/>
        <v>-1.3129020762606691E-3</v>
      </c>
      <c r="I455" s="91">
        <v>506.39781208651863</v>
      </c>
      <c r="J455" s="91">
        <v>513.47624163218268</v>
      </c>
      <c r="K455" s="91">
        <v>498.71994012618842</v>
      </c>
      <c r="L455" s="91">
        <v>498.88423318353927</v>
      </c>
      <c r="M455" s="92">
        <v>1355245.0212457592</v>
      </c>
      <c r="N455" s="90" t="s">
        <v>463</v>
      </c>
      <c r="O455" s="25">
        <f t="shared" si="13"/>
        <v>1.5060766412746229E-2</v>
      </c>
    </row>
    <row r="456" spans="1:15">
      <c r="A456" s="91">
        <v>518.64655657392029</v>
      </c>
      <c r="B456" s="91">
        <v>522.01458153331953</v>
      </c>
      <c r="C456" s="91">
        <v>515.47377943825427</v>
      </c>
      <c r="D456" s="91">
        <v>521.58503632110626</v>
      </c>
      <c r="E456" s="92">
        <v>5354993.3618120095</v>
      </c>
      <c r="F456" s="90" t="s">
        <v>464</v>
      </c>
      <c r="G456" s="25">
        <f t="shared" si="12"/>
        <v>-5.6337500935838003E-3</v>
      </c>
      <c r="I456" s="91">
        <v>499.35806248372717</v>
      </c>
      <c r="J456" s="91">
        <v>505.64355320050527</v>
      </c>
      <c r="K456" s="91">
        <v>498.42974385478772</v>
      </c>
      <c r="L456" s="91">
        <v>504.87962432877384</v>
      </c>
      <c r="M456" s="92">
        <v>951098.61256215733</v>
      </c>
      <c r="N456" s="90" t="s">
        <v>464</v>
      </c>
      <c r="O456" s="25">
        <f t="shared" si="13"/>
        <v>-1.0936392714179122E-2</v>
      </c>
    </row>
    <row r="457" spans="1:15">
      <c r="A457" s="91">
        <v>523.42036586419908</v>
      </c>
      <c r="B457" s="91">
        <v>524.51375367710557</v>
      </c>
      <c r="C457" s="91">
        <v>520.79428263498642</v>
      </c>
      <c r="D457" s="91">
        <v>521.41907567093301</v>
      </c>
      <c r="E457" s="92">
        <v>3448535.2365297801</v>
      </c>
      <c r="F457" s="90" t="s">
        <v>465</v>
      </c>
      <c r="G457" s="25">
        <f t="shared" si="12"/>
        <v>3.8381606785116151E-3</v>
      </c>
      <c r="I457" s="91">
        <v>503.03265705661289</v>
      </c>
      <c r="J457" s="91">
        <v>512.31584334600825</v>
      </c>
      <c r="K457" s="91">
        <v>500.73120045570028</v>
      </c>
      <c r="L457" s="91">
        <v>512.31584334600825</v>
      </c>
      <c r="M457" s="92">
        <v>700554.29216465284</v>
      </c>
      <c r="N457" s="90" t="s">
        <v>465</v>
      </c>
      <c r="O457" s="25">
        <f t="shared" si="13"/>
        <v>-1.812004530011313E-2</v>
      </c>
    </row>
    <row r="458" spans="1:15">
      <c r="A458" s="91">
        <v>523.78157433810577</v>
      </c>
      <c r="B458" s="91">
        <v>524.83591258626552</v>
      </c>
      <c r="C458" s="91">
        <v>521.02858002346647</v>
      </c>
      <c r="D458" s="91">
        <v>523.96705977065244</v>
      </c>
      <c r="E458" s="92">
        <v>3760790.7015806078</v>
      </c>
      <c r="F458" s="90" t="s">
        <v>466</v>
      </c>
      <c r="G458" s="25">
        <f t="shared" si="12"/>
        <v>-3.5400208674918332E-4</v>
      </c>
      <c r="I458" s="91">
        <v>512.17079356023646</v>
      </c>
      <c r="J458" s="91">
        <v>519.1718632201555</v>
      </c>
      <c r="K458" s="91">
        <v>508.47685901591456</v>
      </c>
      <c r="L458" s="91">
        <v>516.11614773322947</v>
      </c>
      <c r="M458" s="92">
        <v>599528.28980258235</v>
      </c>
      <c r="N458" s="90" t="s">
        <v>466</v>
      </c>
      <c r="O458" s="25">
        <f t="shared" si="13"/>
        <v>-7.644314541060071E-3</v>
      </c>
    </row>
    <row r="459" spans="1:15">
      <c r="A459" s="91">
        <v>524.59185280659892</v>
      </c>
      <c r="B459" s="91">
        <v>525.31426975441207</v>
      </c>
      <c r="C459" s="91">
        <v>522.83462239299922</v>
      </c>
      <c r="D459" s="91">
        <v>524.14278281201234</v>
      </c>
      <c r="E459" s="92">
        <v>5193821.7830548175</v>
      </c>
      <c r="F459" s="90" t="s">
        <v>467</v>
      </c>
      <c r="G459" s="25">
        <f t="shared" si="12"/>
        <v>8.567703482957878E-4</v>
      </c>
      <c r="I459" s="91">
        <v>513.27317193210206</v>
      </c>
      <c r="J459" s="91">
        <v>513.40855173215573</v>
      </c>
      <c r="K459" s="91">
        <v>508.25444934439776</v>
      </c>
      <c r="L459" s="91">
        <v>510.77831561682717</v>
      </c>
      <c r="M459" s="92">
        <v>1288457.9525958227</v>
      </c>
      <c r="N459" s="90" t="s">
        <v>467</v>
      </c>
      <c r="O459" s="25">
        <f t="shared" si="13"/>
        <v>4.8844209689324902E-3</v>
      </c>
    </row>
    <row r="460" spans="1:15">
      <c r="A460" s="91">
        <v>522.58080022214597</v>
      </c>
      <c r="B460" s="91">
        <v>525.95858757273186</v>
      </c>
      <c r="C460" s="91">
        <v>522.43436435434603</v>
      </c>
      <c r="D460" s="91">
        <v>525.82191409611858</v>
      </c>
      <c r="E460" s="92">
        <v>3303798.155933158</v>
      </c>
      <c r="F460" s="90" t="s">
        <v>468</v>
      </c>
      <c r="G460" s="25">
        <f t="shared" si="12"/>
        <v>-6.1639003379005963E-3</v>
      </c>
      <c r="I460" s="91">
        <v>510.54623595959225</v>
      </c>
      <c r="J460" s="91">
        <v>511.96288886729678</v>
      </c>
      <c r="K460" s="91">
        <v>504.88929431449196</v>
      </c>
      <c r="L460" s="91">
        <v>507.83863995851857</v>
      </c>
      <c r="M460" s="92">
        <v>940263.02261876618</v>
      </c>
      <c r="N460" s="90" t="s">
        <v>468</v>
      </c>
      <c r="O460" s="25">
        <f t="shared" si="13"/>
        <v>5.3316069082391948E-3</v>
      </c>
    </row>
    <row r="461" spans="1:15">
      <c r="A461" s="91">
        <v>522.50270109265273</v>
      </c>
      <c r="B461" s="91">
        <v>523.00058304317258</v>
      </c>
      <c r="C461" s="91">
        <v>519.56910254106015</v>
      </c>
      <c r="D461" s="91">
        <v>520.26711351090648</v>
      </c>
      <c r="E461" s="92">
        <v>3316007.2548845313</v>
      </c>
      <c r="F461" s="90" t="s">
        <v>469</v>
      </c>
      <c r="G461" s="25">
        <f t="shared" si="12"/>
        <v>4.2969996059520899E-3</v>
      </c>
      <c r="I461" s="91">
        <v>513.89205101806181</v>
      </c>
      <c r="J461" s="91">
        <v>514.12413067529667</v>
      </c>
      <c r="K461" s="91">
        <v>507.67425020131054</v>
      </c>
      <c r="L461" s="91">
        <v>507.75161008705555</v>
      </c>
      <c r="M461" s="92">
        <v>559686.45226211334</v>
      </c>
      <c r="N461" s="90" t="s">
        <v>469</v>
      </c>
      <c r="O461" s="25">
        <f t="shared" si="13"/>
        <v>1.2093395292145814E-2</v>
      </c>
    </row>
    <row r="462" spans="1:15">
      <c r="A462" s="91">
        <v>520.31592546683987</v>
      </c>
      <c r="B462" s="91">
        <v>524.83591258626552</v>
      </c>
      <c r="C462" s="91">
        <v>519.18348808918688</v>
      </c>
      <c r="D462" s="91">
        <v>524.61137758897223</v>
      </c>
      <c r="E462" s="92">
        <v>4928433.9338627979</v>
      </c>
      <c r="F462" s="90" t="s">
        <v>470</v>
      </c>
      <c r="G462" s="25">
        <f t="shared" si="12"/>
        <v>-8.1878745022144761E-3</v>
      </c>
      <c r="I462" s="91">
        <v>509.54055744490768</v>
      </c>
      <c r="J462" s="91">
        <v>518.4272743198602</v>
      </c>
      <c r="K462" s="91">
        <v>508.52037395164609</v>
      </c>
      <c r="L462" s="91">
        <v>517.60532553381995</v>
      </c>
      <c r="M462" s="92">
        <v>734944.20851963235</v>
      </c>
      <c r="N462" s="90" t="s">
        <v>470</v>
      </c>
      <c r="O462" s="25">
        <f t="shared" si="13"/>
        <v>-1.5580921777794465E-2</v>
      </c>
    </row>
    <row r="463" spans="1:15">
      <c r="A463" s="91">
        <v>524.3087434621857</v>
      </c>
      <c r="B463" s="91">
        <v>525.19712106017209</v>
      </c>
      <c r="C463" s="91">
        <v>521.28240219431973</v>
      </c>
      <c r="D463" s="91">
        <v>521.55574914754629</v>
      </c>
      <c r="E463" s="92">
        <v>2703158.4266002579</v>
      </c>
      <c r="F463" s="90" t="s">
        <v>471</v>
      </c>
      <c r="G463" s="25">
        <f t="shared" si="12"/>
        <v>5.2784277023865123E-3</v>
      </c>
      <c r="I463" s="91">
        <v>516.44492724764564</v>
      </c>
      <c r="J463" s="91">
        <v>517.34423591943073</v>
      </c>
      <c r="K463" s="91">
        <v>510.41095285939576</v>
      </c>
      <c r="L463" s="91">
        <v>513.13779213204839</v>
      </c>
      <c r="M463" s="92">
        <v>345537.22181189951</v>
      </c>
      <c r="N463" s="90" t="s">
        <v>471</v>
      </c>
      <c r="O463" s="25">
        <f t="shared" si="13"/>
        <v>6.4449260341092884E-3</v>
      </c>
    </row>
    <row r="464" spans="1:15">
      <c r="A464" s="91">
        <v>520.05234090479996</v>
      </c>
      <c r="B464" s="91">
        <v>520.75523307023968</v>
      </c>
      <c r="C464" s="91">
        <v>516.81122703082735</v>
      </c>
      <c r="D464" s="91">
        <v>516.91861333388067</v>
      </c>
      <c r="E464" s="92">
        <v>5561309.6178898597</v>
      </c>
      <c r="F464" s="90" t="s">
        <v>472</v>
      </c>
      <c r="G464" s="25">
        <f t="shared" si="12"/>
        <v>6.0623229461755912E-3</v>
      </c>
      <c r="I464" s="91">
        <v>511.25214491701507</v>
      </c>
      <c r="J464" s="91">
        <v>513.47624163218268</v>
      </c>
      <c r="K464" s="91">
        <v>509.15375801618291</v>
      </c>
      <c r="L464" s="91">
        <v>511.55191447427671</v>
      </c>
      <c r="M464" s="92">
        <v>336252.82340459211</v>
      </c>
      <c r="N464" s="90" t="s">
        <v>472</v>
      </c>
      <c r="O464" s="25">
        <f t="shared" si="13"/>
        <v>-5.8600026464505905E-4</v>
      </c>
    </row>
    <row r="465" spans="1:15">
      <c r="A465" s="91">
        <v>516.9771876810006</v>
      </c>
      <c r="B465" s="91">
        <v>518.28534810001372</v>
      </c>
      <c r="C465" s="91">
        <v>515.54211617656097</v>
      </c>
      <c r="D465" s="91">
        <v>516.69407833658738</v>
      </c>
      <c r="E465" s="92">
        <v>3726170.0852236557</v>
      </c>
      <c r="F465" s="90" t="s">
        <v>473</v>
      </c>
      <c r="G465" s="25">
        <f t="shared" si="12"/>
        <v>5.4792449978258162E-4</v>
      </c>
      <c r="I465" s="91">
        <v>509.6952772163977</v>
      </c>
      <c r="J465" s="91">
        <v>514.64630990407522</v>
      </c>
      <c r="K465" s="91">
        <v>508.5252089445051</v>
      </c>
      <c r="L465" s="91">
        <v>514.64630990407522</v>
      </c>
      <c r="M465" s="92">
        <v>385608.63569970883</v>
      </c>
      <c r="N465" s="90" t="s">
        <v>473</v>
      </c>
      <c r="O465" s="25">
        <f t="shared" si="13"/>
        <v>-9.6202626782661005E-3</v>
      </c>
    </row>
    <row r="466" spans="1:15">
      <c r="A466" s="91">
        <v>517.8460404966138</v>
      </c>
      <c r="B466" s="91">
        <v>518.41225918544035</v>
      </c>
      <c r="C466" s="91">
        <v>513.80441054533469</v>
      </c>
      <c r="D466" s="91">
        <v>514.35110445178793</v>
      </c>
      <c r="E466" s="92">
        <v>3013385.7000306714</v>
      </c>
      <c r="F466" s="90" t="s">
        <v>474</v>
      </c>
      <c r="G466" s="25">
        <f t="shared" si="12"/>
        <v>6.7948450281853923E-3</v>
      </c>
      <c r="I466" s="91">
        <v>514.66564987551146</v>
      </c>
      <c r="J466" s="91">
        <v>516.88974659067912</v>
      </c>
      <c r="K466" s="91">
        <v>511.31983481704185</v>
      </c>
      <c r="L466" s="91">
        <v>514.00809084667924</v>
      </c>
      <c r="M466" s="92">
        <v>443167.1488376371</v>
      </c>
      <c r="N466" s="90" t="s">
        <v>474</v>
      </c>
      <c r="O466" s="25">
        <f t="shared" si="13"/>
        <v>1.2792775844230331E-3</v>
      </c>
    </row>
    <row r="467" spans="1:15">
      <c r="A467" s="91">
        <v>514.33157966941462</v>
      </c>
      <c r="B467" s="91">
        <v>514.84898640230779</v>
      </c>
      <c r="C467" s="91">
        <v>511.06117862188205</v>
      </c>
      <c r="D467" s="91">
        <v>511.86169469918855</v>
      </c>
      <c r="E467" s="92">
        <v>2690597.9793025199</v>
      </c>
      <c r="F467" s="90" t="s">
        <v>475</v>
      </c>
      <c r="G467" s="25">
        <f t="shared" si="12"/>
        <v>4.8252975282270238E-3</v>
      </c>
      <c r="I467" s="91">
        <v>515.07178927567247</v>
      </c>
      <c r="J467" s="91">
        <v>518.91077360576628</v>
      </c>
      <c r="K467" s="91">
        <v>514.09512071814231</v>
      </c>
      <c r="L467" s="91">
        <v>518.32090447696089</v>
      </c>
      <c r="M467" s="92">
        <v>436962.3826933016</v>
      </c>
      <c r="N467" s="90" t="s">
        <v>475</v>
      </c>
      <c r="O467" s="25">
        <f t="shared" si="13"/>
        <v>-6.2685397660492415E-3</v>
      </c>
    </row>
    <row r="468" spans="1:15">
      <c r="A468" s="91">
        <v>509.50895842320233</v>
      </c>
      <c r="B468" s="91">
        <v>513.22852708923335</v>
      </c>
      <c r="C468" s="91">
        <v>508.43509539266927</v>
      </c>
      <c r="D468" s="91">
        <v>512.66221077649493</v>
      </c>
      <c r="E468" s="92">
        <v>4067143.9241481894</v>
      </c>
      <c r="F468" s="90" t="s">
        <v>476</v>
      </c>
      <c r="G468" s="25">
        <f t="shared" si="12"/>
        <v>-6.15074075484634E-3</v>
      </c>
      <c r="I468" s="91">
        <v>516.34822739046444</v>
      </c>
      <c r="J468" s="91">
        <v>521.50232977822236</v>
      </c>
      <c r="K468" s="91">
        <v>513.92106097521628</v>
      </c>
      <c r="L468" s="91">
        <v>518.56265411991387</v>
      </c>
      <c r="M468" s="92">
        <v>451088.56694857206</v>
      </c>
      <c r="N468" s="90" t="s">
        <v>476</v>
      </c>
      <c r="O468" s="25">
        <f t="shared" si="13"/>
        <v>-4.2703166374518098E-3</v>
      </c>
    </row>
    <row r="469" spans="1:15">
      <c r="A469" s="91">
        <v>514.1363318456813</v>
      </c>
      <c r="B469" s="91">
        <v>514.49754031958787</v>
      </c>
      <c r="C469" s="91">
        <v>509.88969167948227</v>
      </c>
      <c r="D469" s="91">
        <v>513.65797467753475</v>
      </c>
      <c r="E469" s="92">
        <v>5488588.7049059812</v>
      </c>
      <c r="F469" s="90" t="s">
        <v>477</v>
      </c>
      <c r="G469" s="25">
        <f t="shared" si="12"/>
        <v>9.3127565759454356E-4</v>
      </c>
      <c r="I469" s="91">
        <v>519.02681343438371</v>
      </c>
      <c r="J469" s="91">
        <v>520.78675083508153</v>
      </c>
      <c r="K469" s="91">
        <v>516.4352572619274</v>
      </c>
      <c r="L469" s="91">
        <v>518.13717474831662</v>
      </c>
      <c r="M469" s="92">
        <v>407395.63788785221</v>
      </c>
      <c r="N469" s="90" t="s">
        <v>477</v>
      </c>
      <c r="O469" s="25">
        <f t="shared" si="13"/>
        <v>1.7169945130828257E-3</v>
      </c>
    </row>
    <row r="470" spans="1:15">
      <c r="A470" s="91">
        <v>509.44062168489575</v>
      </c>
      <c r="B470" s="91">
        <v>511.31011959714198</v>
      </c>
      <c r="C470" s="91">
        <v>507.46861866518958</v>
      </c>
      <c r="D470" s="91">
        <v>509.16727473166907</v>
      </c>
      <c r="E470" s="92">
        <v>4105502.3542540772</v>
      </c>
      <c r="F470" s="90" t="s">
        <v>478</v>
      </c>
      <c r="G470" s="25">
        <f t="shared" si="12"/>
        <v>5.3685098550526611E-4</v>
      </c>
      <c r="I470" s="91">
        <v>519.83909223470584</v>
      </c>
      <c r="J470" s="91">
        <v>525.66042363701411</v>
      </c>
      <c r="K470" s="91">
        <v>517.34423591943073</v>
      </c>
      <c r="L470" s="91">
        <v>522.03417899271903</v>
      </c>
      <c r="M470" s="92">
        <v>458880.71909816674</v>
      </c>
      <c r="N470" s="90" t="s">
        <v>478</v>
      </c>
      <c r="O470" s="25">
        <f t="shared" si="13"/>
        <v>-4.204871723626713E-3</v>
      </c>
    </row>
    <row r="471" spans="1:15">
      <c r="A471" s="91">
        <v>510.40709841237555</v>
      </c>
      <c r="B471" s="91">
        <v>511.40286231341531</v>
      </c>
      <c r="C471" s="91">
        <v>507.23441890062145</v>
      </c>
      <c r="D471" s="91">
        <v>509.4503840760824</v>
      </c>
      <c r="E471" s="92">
        <v>3350186.3810453224</v>
      </c>
      <c r="F471" s="90" t="s">
        <v>479</v>
      </c>
      <c r="G471" s="25">
        <f t="shared" si="12"/>
        <v>1.877934272300541E-3</v>
      </c>
      <c r="I471" s="91">
        <v>521.08652039234323</v>
      </c>
      <c r="J471" s="91">
        <v>529.17053175283456</v>
      </c>
      <c r="K471" s="91">
        <v>520.52566122069231</v>
      </c>
      <c r="L471" s="91">
        <v>526.52105236592683</v>
      </c>
      <c r="M471" s="92">
        <v>714626.70178000582</v>
      </c>
      <c r="N471" s="90" t="s">
        <v>479</v>
      </c>
      <c r="O471" s="25">
        <f t="shared" si="13"/>
        <v>-1.0321585336737216E-2</v>
      </c>
    </row>
    <row r="472" spans="1:15">
      <c r="A472" s="91">
        <v>510.31923689169554</v>
      </c>
      <c r="B472" s="91">
        <v>514.57563944908122</v>
      </c>
      <c r="C472" s="91">
        <v>507.86887670384277</v>
      </c>
      <c r="D472" s="91">
        <v>514.51706510196118</v>
      </c>
      <c r="E472" s="92">
        <v>9422544.9729626868</v>
      </c>
      <c r="F472" s="90" t="s">
        <v>480</v>
      </c>
      <c r="G472" s="25">
        <f t="shared" si="12"/>
        <v>-8.15877352762584E-3</v>
      </c>
      <c r="I472" s="91">
        <v>525.93118323712145</v>
      </c>
      <c r="J472" s="91">
        <v>537.23123844774523</v>
      </c>
      <c r="K472" s="91">
        <v>508.42860578718103</v>
      </c>
      <c r="L472" s="91">
        <v>510.7493056596727</v>
      </c>
      <c r="M472" s="92">
        <v>1241739.1659120484</v>
      </c>
      <c r="N472" s="90" t="s">
        <v>480</v>
      </c>
      <c r="O472" s="25">
        <f t="shared" si="13"/>
        <v>2.9724715059260109E-2</v>
      </c>
    </row>
    <row r="473" spans="1:15">
      <c r="A473" s="91">
        <v>515.13209574672101</v>
      </c>
      <c r="B473" s="91">
        <v>515.41032389554107</v>
      </c>
      <c r="C473" s="91">
        <v>509.78230537642906</v>
      </c>
      <c r="D473" s="91">
        <v>511.86169469918855</v>
      </c>
      <c r="E473" s="92">
        <v>8212484.8786553759</v>
      </c>
      <c r="F473" s="90" t="s">
        <v>481</v>
      </c>
      <c r="G473" s="25">
        <f t="shared" si="12"/>
        <v>6.3892279523951601E-3</v>
      </c>
      <c r="I473" s="91">
        <v>510.6429358167735</v>
      </c>
      <c r="J473" s="91">
        <v>511.48422457424994</v>
      </c>
      <c r="K473" s="91">
        <v>504.67171963583422</v>
      </c>
      <c r="L473" s="91">
        <v>509.33748774482723</v>
      </c>
      <c r="M473" s="92">
        <v>989851.5136442954</v>
      </c>
      <c r="N473" s="90" t="s">
        <v>481</v>
      </c>
      <c r="O473" s="25">
        <f t="shared" si="13"/>
        <v>2.5630315917375412E-3</v>
      </c>
    </row>
    <row r="474" spans="1:15">
      <c r="A474" s="91">
        <v>512.89650816497488</v>
      </c>
      <c r="B474" s="91">
        <v>515.22971965858767</v>
      </c>
      <c r="C474" s="91">
        <v>511.86169469918855</v>
      </c>
      <c r="D474" s="91">
        <v>514.56587705789457</v>
      </c>
      <c r="E474" s="92">
        <v>5734859.3115667924</v>
      </c>
      <c r="F474" s="90" t="s">
        <v>482</v>
      </c>
      <c r="G474" s="25">
        <f t="shared" si="12"/>
        <v>-3.2442277409931997E-3</v>
      </c>
      <c r="I474" s="91">
        <v>509.40517764485401</v>
      </c>
      <c r="J474" s="91">
        <v>511.47455458853176</v>
      </c>
      <c r="K474" s="91">
        <v>504.74424452872017</v>
      </c>
      <c r="L474" s="91">
        <v>506.21408235787442</v>
      </c>
      <c r="M474" s="92">
        <v>546828.10855566873</v>
      </c>
      <c r="N474" s="90" t="s">
        <v>482</v>
      </c>
      <c r="O474" s="25">
        <f t="shared" si="13"/>
        <v>6.3038453456607524E-3</v>
      </c>
    </row>
    <row r="475" spans="1:15">
      <c r="A475" s="91">
        <v>513.56171749732982</v>
      </c>
      <c r="B475" s="91">
        <v>515.72223865109902</v>
      </c>
      <c r="C475" s="91">
        <v>511.41092842082969</v>
      </c>
      <c r="D475" s="91">
        <v>515.47893671936822</v>
      </c>
      <c r="E475" s="92">
        <v>5419105.1448737904</v>
      </c>
      <c r="F475" s="90" t="s">
        <v>483</v>
      </c>
      <c r="G475" s="25">
        <f t="shared" si="12"/>
        <v>-3.7192969207239246E-3</v>
      </c>
      <c r="I475" s="91">
        <v>507.0070211867602</v>
      </c>
      <c r="J475" s="91">
        <v>513.08944220345791</v>
      </c>
      <c r="K475" s="91">
        <v>505.93848776490802</v>
      </c>
      <c r="L475" s="91">
        <v>507.02636115819655</v>
      </c>
      <c r="M475" s="92">
        <v>440616.98995231517</v>
      </c>
      <c r="N475" s="90" t="s">
        <v>483</v>
      </c>
      <c r="O475" s="25">
        <f t="shared" si="13"/>
        <v>-3.8143916999078264E-5</v>
      </c>
    </row>
    <row r="476" spans="1:15">
      <c r="A476" s="91">
        <v>511.52771334806044</v>
      </c>
      <c r="B476" s="91">
        <v>513.17243440656046</v>
      </c>
      <c r="C476" s="91">
        <v>510.59343393021425</v>
      </c>
      <c r="D476" s="91">
        <v>512.50092107498358</v>
      </c>
      <c r="E476" s="92">
        <v>36393102.952416189</v>
      </c>
      <c r="F476" s="90" t="s">
        <v>484</v>
      </c>
      <c r="G476" s="25">
        <f t="shared" si="12"/>
        <v>-1.8989384933821851E-3</v>
      </c>
      <c r="I476" s="91">
        <v>510.68161575964592</v>
      </c>
      <c r="J476" s="91">
        <v>515.41023877580676</v>
      </c>
      <c r="K476" s="91">
        <v>507.76128007277367</v>
      </c>
      <c r="L476" s="91">
        <v>514.61729994692075</v>
      </c>
      <c r="M476" s="92">
        <v>452180.60578997509</v>
      </c>
      <c r="N476" s="90" t="s">
        <v>484</v>
      </c>
      <c r="O476" s="25">
        <f t="shared" si="13"/>
        <v>-7.6477883422900739E-3</v>
      </c>
    </row>
    <row r="477" spans="1:15">
      <c r="A477" s="91">
        <v>512.56904561586816</v>
      </c>
      <c r="B477" s="91">
        <v>512.72475885217591</v>
      </c>
      <c r="C477" s="91">
        <v>509.3574601170219</v>
      </c>
      <c r="D477" s="91">
        <v>511.9169964388297</v>
      </c>
      <c r="E477" s="92">
        <v>4778638.5900400765</v>
      </c>
      <c r="F477" s="90" t="s">
        <v>485</v>
      </c>
      <c r="G477" s="25">
        <f t="shared" si="12"/>
        <v>1.2737400429649881E-3</v>
      </c>
      <c r="I477" s="91">
        <v>512.37386326031697</v>
      </c>
      <c r="J477" s="91">
        <v>516.15482767610195</v>
      </c>
      <c r="K477" s="91">
        <v>509.14408803046479</v>
      </c>
      <c r="L477" s="91">
        <v>513.50525158933704</v>
      </c>
      <c r="M477" s="92">
        <v>546118.69695983315</v>
      </c>
      <c r="N477" s="90" t="s">
        <v>485</v>
      </c>
      <c r="O477" s="25">
        <f t="shared" si="13"/>
        <v>-2.2032653522400247E-3</v>
      </c>
    </row>
    <row r="478" spans="1:15">
      <c r="A478" s="91">
        <v>511.09950194821425</v>
      </c>
      <c r="B478" s="91">
        <v>511.74181904798354</v>
      </c>
      <c r="C478" s="91">
        <v>509.79540359413733</v>
      </c>
      <c r="D478" s="91">
        <v>510.93405663463733</v>
      </c>
      <c r="E478" s="92">
        <v>30095481.354839034</v>
      </c>
      <c r="F478" s="90" t="s">
        <v>486</v>
      </c>
      <c r="G478" s="25">
        <f t="shared" si="12"/>
        <v>3.2380952380961503E-4</v>
      </c>
      <c r="I478" s="91">
        <v>515.54561857586043</v>
      </c>
      <c r="J478" s="91">
        <v>516.96710647642408</v>
      </c>
      <c r="K478" s="91">
        <v>506.27210227218308</v>
      </c>
      <c r="L478" s="91">
        <v>507.90632985854546</v>
      </c>
      <c r="M478" s="92">
        <v>541929.44568471587</v>
      </c>
      <c r="N478" s="90" t="s">
        <v>486</v>
      </c>
      <c r="O478" s="25">
        <f t="shared" si="13"/>
        <v>1.5040743279262747E-2</v>
      </c>
    </row>
    <row r="479" spans="1:15">
      <c r="A479" s="91">
        <v>509.84406398048344</v>
      </c>
      <c r="B479" s="91">
        <v>510.85620001648346</v>
      </c>
      <c r="C479" s="91">
        <v>507.15801065417565</v>
      </c>
      <c r="D479" s="91">
        <v>509.48397712152189</v>
      </c>
      <c r="E479" s="92">
        <v>5767194.2430471368</v>
      </c>
      <c r="F479" s="90" t="s">
        <v>487</v>
      </c>
      <c r="G479" s="25">
        <f t="shared" si="12"/>
        <v>7.0676777903000421E-4</v>
      </c>
      <c r="I479" s="91">
        <v>507.79996001564609</v>
      </c>
      <c r="J479" s="91">
        <v>509.43418760200848</v>
      </c>
      <c r="K479" s="91">
        <v>501.12766987014317</v>
      </c>
      <c r="L479" s="91">
        <v>503.89328578552556</v>
      </c>
      <c r="M479" s="92">
        <v>1375765.2170127674</v>
      </c>
      <c r="N479" s="90" t="s">
        <v>487</v>
      </c>
      <c r="O479" s="25">
        <f t="shared" si="13"/>
        <v>7.7529793317852036E-3</v>
      </c>
    </row>
    <row r="480" spans="1:15">
      <c r="A480" s="91">
        <v>510.84646793921422</v>
      </c>
      <c r="B480" s="91">
        <v>512.4911889977144</v>
      </c>
      <c r="C480" s="91">
        <v>508.19934292198343</v>
      </c>
      <c r="D480" s="91">
        <v>510.81727170740658</v>
      </c>
      <c r="E480" s="92">
        <v>5711392.1789064249</v>
      </c>
      <c r="F480" s="90" t="s">
        <v>488</v>
      </c>
      <c r="G480" s="25">
        <f t="shared" ref="G480:G543" si="14">A480/D480-1</f>
        <v>5.7155921353357897E-5</v>
      </c>
      <c r="I480" s="91">
        <v>505.02467411454558</v>
      </c>
      <c r="J480" s="91">
        <v>505.90464281489449</v>
      </c>
      <c r="K480" s="91">
        <v>500.36374099841174</v>
      </c>
      <c r="L480" s="91">
        <v>505.4791634432973</v>
      </c>
      <c r="M480" s="92">
        <v>484496.06199736509</v>
      </c>
      <c r="N480" s="90" t="s">
        <v>488</v>
      </c>
      <c r="O480" s="25">
        <f t="shared" ref="O480:O543" si="15">I480/L480-1</f>
        <v>-8.9912574369188647E-4</v>
      </c>
    </row>
    <row r="481" spans="1:15">
      <c r="A481" s="91">
        <v>502.08759839690617</v>
      </c>
      <c r="B481" s="91">
        <v>508.72487509452191</v>
      </c>
      <c r="C481" s="91">
        <v>501.65938699706004</v>
      </c>
      <c r="D481" s="91">
        <v>504.2967799370216</v>
      </c>
      <c r="E481" s="92">
        <v>7111819.8186549805</v>
      </c>
      <c r="F481" s="90" t="s">
        <v>489</v>
      </c>
      <c r="G481" s="25">
        <f t="shared" si="14"/>
        <v>-4.3807171253231747E-3</v>
      </c>
      <c r="I481" s="91">
        <v>504.41546501430406</v>
      </c>
      <c r="J481" s="91">
        <v>509.33265275196817</v>
      </c>
      <c r="K481" s="91">
        <v>499.8803384123629</v>
      </c>
      <c r="L481" s="91">
        <v>503.56450627110945</v>
      </c>
      <c r="M481" s="92">
        <v>550973.9264677756</v>
      </c>
      <c r="N481" s="90" t="s">
        <v>489</v>
      </c>
      <c r="O481" s="25">
        <f t="shared" si="15"/>
        <v>1.6898703792607161E-3</v>
      </c>
    </row>
    <row r="482" spans="1:15">
      <c r="A482" s="91">
        <v>503.72258737813706</v>
      </c>
      <c r="B482" s="91">
        <v>506.78332567931022</v>
      </c>
      <c r="C482" s="91">
        <v>501.68858322886769</v>
      </c>
      <c r="D482" s="91">
        <v>505.52302167294488</v>
      </c>
      <c r="E482" s="92">
        <v>8374324.1802721824</v>
      </c>
      <c r="F482" s="90" t="s">
        <v>490</v>
      </c>
      <c r="G482" s="25">
        <f t="shared" si="14"/>
        <v>-3.5615277991684069E-3</v>
      </c>
      <c r="I482" s="91">
        <v>503.56450627110945</v>
      </c>
      <c r="J482" s="91">
        <v>504.68351701841033</v>
      </c>
      <c r="K482" s="91">
        <v>496.28300702536495</v>
      </c>
      <c r="L482" s="91">
        <v>498.00426448319035</v>
      </c>
      <c r="M482" s="92">
        <v>437485.65130480722</v>
      </c>
      <c r="N482" s="90" t="s">
        <v>490</v>
      </c>
      <c r="O482" s="25">
        <f t="shared" si="15"/>
        <v>1.1165048543689382E-2</v>
      </c>
    </row>
    <row r="483" spans="1:15">
      <c r="A483" s="91">
        <v>503.4890175236755</v>
      </c>
      <c r="B483" s="91">
        <v>503.72258737813706</v>
      </c>
      <c r="C483" s="91">
        <v>500.86135666098306</v>
      </c>
      <c r="D483" s="91">
        <v>502.50607771948319</v>
      </c>
      <c r="E483" s="92">
        <v>4373427.0518551217</v>
      </c>
      <c r="F483" s="90" t="s">
        <v>491</v>
      </c>
      <c r="G483" s="25">
        <f t="shared" si="14"/>
        <v>1.9560754541581016E-3</v>
      </c>
      <c r="I483" s="91">
        <v>504.06734552845171</v>
      </c>
      <c r="J483" s="91">
        <v>510.09174663084059</v>
      </c>
      <c r="K483" s="91">
        <v>502.39927299207596</v>
      </c>
      <c r="L483" s="91">
        <v>506.86197140098841</v>
      </c>
      <c r="M483" s="92">
        <v>350078.07650186232</v>
      </c>
      <c r="N483" s="90" t="s">
        <v>491</v>
      </c>
      <c r="O483" s="25">
        <f t="shared" si="15"/>
        <v>-5.5135836385835635E-3</v>
      </c>
    </row>
    <row r="484" spans="1:15">
      <c r="A484" s="91">
        <v>502.72991549667552</v>
      </c>
      <c r="B484" s="91">
        <v>503.6641949145216</v>
      </c>
      <c r="C484" s="91">
        <v>500.4526094156754</v>
      </c>
      <c r="D484" s="91">
        <v>500.64725096105991</v>
      </c>
      <c r="E484" s="92">
        <v>4538230.5111403055</v>
      </c>
      <c r="F484" s="90" t="s">
        <v>492</v>
      </c>
      <c r="G484" s="25">
        <f t="shared" si="14"/>
        <v>4.1599440157069623E-3</v>
      </c>
      <c r="I484" s="91">
        <v>502.62651765645177</v>
      </c>
      <c r="J484" s="91">
        <v>504.31393016426375</v>
      </c>
      <c r="K484" s="91">
        <v>499.05829292646547</v>
      </c>
      <c r="L484" s="91">
        <v>500.26704114123049</v>
      </c>
      <c r="M484" s="92">
        <v>302821.54341891251</v>
      </c>
      <c r="N484" s="90" t="s">
        <v>492</v>
      </c>
      <c r="O484" s="25">
        <f t="shared" si="15"/>
        <v>4.7164340665712956E-3</v>
      </c>
    </row>
    <row r="485" spans="1:15">
      <c r="A485" s="91">
        <v>500.07305840217538</v>
      </c>
      <c r="B485" s="91">
        <v>500.36482607870693</v>
      </c>
      <c r="C485" s="91">
        <v>494.44791774055972</v>
      </c>
      <c r="D485" s="91">
        <v>496.42352942621363</v>
      </c>
      <c r="E485" s="92">
        <v>4212397.7097479971</v>
      </c>
      <c r="F485" s="90" t="s">
        <v>493</v>
      </c>
      <c r="G485" s="25">
        <f t="shared" si="14"/>
        <v>7.3516438275600393E-3</v>
      </c>
      <c r="I485" s="91">
        <v>501.42743942740486</v>
      </c>
      <c r="J485" s="91">
        <v>501.920608699029</v>
      </c>
      <c r="K485" s="91">
        <v>495.67379792512338</v>
      </c>
      <c r="L485" s="91">
        <v>495.67379792512338</v>
      </c>
      <c r="M485" s="92">
        <v>489754.60130468942</v>
      </c>
      <c r="N485" s="90" t="s">
        <v>493</v>
      </c>
      <c r="O485" s="25">
        <f t="shared" si="15"/>
        <v>1.1607717669092077E-2</v>
      </c>
    </row>
    <row r="486" spans="1:15">
      <c r="A486" s="91">
        <v>495.81040855825205</v>
      </c>
      <c r="B486" s="91">
        <v>496.76415213063672</v>
      </c>
      <c r="C486" s="91">
        <v>482.95433448559766</v>
      </c>
      <c r="D486" s="91">
        <v>490.79838876459803</v>
      </c>
      <c r="E486" s="92">
        <v>5081990.065611871</v>
      </c>
      <c r="F486" s="90" t="s">
        <v>494</v>
      </c>
      <c r="G486" s="25">
        <f t="shared" si="14"/>
        <v>1.0211972794511137E-2</v>
      </c>
      <c r="I486" s="91">
        <v>498.9035731549755</v>
      </c>
      <c r="J486" s="91">
        <v>501.34040955594185</v>
      </c>
      <c r="K486" s="91">
        <v>491.36098429484178</v>
      </c>
      <c r="L486" s="91">
        <v>500.39275095556604</v>
      </c>
      <c r="M486" s="92">
        <v>672471.52059539047</v>
      </c>
      <c r="N486" s="90" t="s">
        <v>494</v>
      </c>
      <c r="O486" s="25">
        <f t="shared" si="15"/>
        <v>-2.9760179334068493E-3</v>
      </c>
    </row>
    <row r="487" spans="1:15">
      <c r="A487" s="91">
        <v>490.7886566873288</v>
      </c>
      <c r="B487" s="91">
        <v>491.18280581673264</v>
      </c>
      <c r="C487" s="91">
        <v>486.11696763577976</v>
      </c>
      <c r="D487" s="91">
        <v>490.44803398290566</v>
      </c>
      <c r="E487" s="92">
        <v>3057296.934342003</v>
      </c>
      <c r="F487" s="90" t="s">
        <v>495</v>
      </c>
      <c r="G487" s="25">
        <f t="shared" si="14"/>
        <v>6.9451334457792946E-4</v>
      </c>
      <c r="I487" s="91">
        <v>502.81024738509609</v>
      </c>
      <c r="J487" s="91">
        <v>509.61791733065269</v>
      </c>
      <c r="K487" s="91">
        <v>502.18169831341834</v>
      </c>
      <c r="L487" s="91">
        <v>508.1770894586528</v>
      </c>
      <c r="M487" s="92">
        <v>580716.47298064781</v>
      </c>
      <c r="N487" s="90" t="s">
        <v>495</v>
      </c>
      <c r="O487" s="25">
        <f t="shared" si="15"/>
        <v>-1.0560968183894071E-2</v>
      </c>
    </row>
    <row r="488" spans="1:15">
      <c r="A488" s="91">
        <v>488.77411669259794</v>
      </c>
      <c r="B488" s="91">
        <v>489.8835735012903</v>
      </c>
      <c r="C488" s="91">
        <v>485.38735380290547</v>
      </c>
      <c r="D488" s="91">
        <v>487.18778809771328</v>
      </c>
      <c r="E488" s="92">
        <v>3757468.1117270649</v>
      </c>
      <c r="F488" s="90" t="s">
        <v>496</v>
      </c>
      <c r="G488" s="25">
        <f t="shared" si="14"/>
        <v>3.2560926887734709E-3</v>
      </c>
      <c r="I488" s="91">
        <v>506.91032132957906</v>
      </c>
      <c r="J488" s="91">
        <v>507.76969296034838</v>
      </c>
      <c r="K488" s="91">
        <v>499.93826162681438</v>
      </c>
      <c r="L488" s="91">
        <v>499.93826162681438</v>
      </c>
      <c r="M488" s="92">
        <v>663973.05923303228</v>
      </c>
      <c r="N488" s="90" t="s">
        <v>496</v>
      </c>
      <c r="O488" s="25">
        <f t="shared" si="15"/>
        <v>1.3945841392649871E-2</v>
      </c>
    </row>
    <row r="489" spans="1:15">
      <c r="A489" s="91">
        <v>483.33388549909768</v>
      </c>
      <c r="B489" s="91">
        <v>493.35792508640583</v>
      </c>
      <c r="C489" s="91">
        <v>482.51639100848229</v>
      </c>
      <c r="D489" s="91">
        <v>491.80079272332881</v>
      </c>
      <c r="E489" s="92">
        <v>7615474.882666532</v>
      </c>
      <c r="F489" s="90" t="s">
        <v>497</v>
      </c>
      <c r="G489" s="25">
        <f t="shared" si="14"/>
        <v>-1.7216131713301941E-2</v>
      </c>
      <c r="I489" s="91">
        <v>498.00426448319035</v>
      </c>
      <c r="J489" s="91">
        <v>505.63388321478715</v>
      </c>
      <c r="K489" s="91">
        <v>497.74317486880113</v>
      </c>
      <c r="L489" s="91">
        <v>502.24938821344512</v>
      </c>
      <c r="M489" s="92">
        <v>553973.93089856184</v>
      </c>
      <c r="N489" s="90" t="s">
        <v>497</v>
      </c>
      <c r="O489" s="25">
        <f t="shared" si="15"/>
        <v>-8.4522227998228283E-3</v>
      </c>
    </row>
    <row r="490" spans="1:15">
      <c r="A490" s="91">
        <v>491.51856248252113</v>
      </c>
      <c r="B490" s="91">
        <v>495.30434054025204</v>
      </c>
      <c r="C490" s="91">
        <v>489.367773406021</v>
      </c>
      <c r="D490" s="91">
        <v>492.79346460479042</v>
      </c>
      <c r="E490" s="92">
        <v>3519874.4371155333</v>
      </c>
      <c r="F490" s="90" t="s">
        <v>498</v>
      </c>
      <c r="G490" s="25">
        <f t="shared" si="14"/>
        <v>-2.5870921873765163E-3</v>
      </c>
      <c r="I490" s="91">
        <v>502.24938821344512</v>
      </c>
      <c r="J490" s="91">
        <v>508.44978305590382</v>
      </c>
      <c r="K490" s="91">
        <v>499.29037258370039</v>
      </c>
      <c r="L490" s="91">
        <v>507.42283057263944</v>
      </c>
      <c r="M490" s="92">
        <v>397464.90967384324</v>
      </c>
      <c r="N490" s="90" t="s">
        <v>498</v>
      </c>
      <c r="O490" s="25">
        <f t="shared" si="15"/>
        <v>-1.0195525403056793E-2</v>
      </c>
    </row>
    <row r="491" spans="1:15">
      <c r="A491" s="91">
        <v>492.73507214117501</v>
      </c>
      <c r="B491" s="91">
        <v>495.87853309913669</v>
      </c>
      <c r="C491" s="91">
        <v>491.48936625071343</v>
      </c>
      <c r="D491" s="91">
        <v>492.13168335048272</v>
      </c>
      <c r="E491" s="92">
        <v>3700518.2967320401</v>
      </c>
      <c r="F491" s="90" t="s">
        <v>499</v>
      </c>
      <c r="G491" s="25">
        <f t="shared" si="14"/>
        <v>1.2260718240784119E-3</v>
      </c>
      <c r="I491" s="91">
        <v>506.39781208651863</v>
      </c>
      <c r="J491" s="91">
        <v>511.31016483132373</v>
      </c>
      <c r="K491" s="91">
        <v>503.03265705661289</v>
      </c>
      <c r="L491" s="91">
        <v>506.71692161521662</v>
      </c>
      <c r="M491" s="92">
        <v>599881.96147280943</v>
      </c>
      <c r="N491" s="90" t="s">
        <v>499</v>
      </c>
      <c r="O491" s="25">
        <f t="shared" si="15"/>
        <v>-6.2975897406547521E-4</v>
      </c>
    </row>
    <row r="492" spans="1:15">
      <c r="A492" s="91">
        <v>493.96131387709818</v>
      </c>
      <c r="B492" s="91">
        <v>501.62045868798305</v>
      </c>
      <c r="C492" s="91">
        <v>491.5672228688673</v>
      </c>
      <c r="D492" s="91">
        <v>501.31876429263696</v>
      </c>
      <c r="E492" s="92">
        <v>6027943.3030677484</v>
      </c>
      <c r="F492" s="90" t="s">
        <v>500</v>
      </c>
      <c r="G492" s="25">
        <f t="shared" si="14"/>
        <v>-1.4676191955272588E-2</v>
      </c>
      <c r="I492" s="91">
        <v>505.44048350042482</v>
      </c>
      <c r="J492" s="91">
        <v>509.27946783051846</v>
      </c>
      <c r="K492" s="91">
        <v>503.33242661387459</v>
      </c>
      <c r="L492" s="91">
        <v>505.40180355755228</v>
      </c>
      <c r="M492" s="92">
        <v>838412.82048718969</v>
      </c>
      <c r="N492" s="90" t="s">
        <v>500</v>
      </c>
      <c r="O492" s="25">
        <f t="shared" si="15"/>
        <v>7.6533052712157712E-5</v>
      </c>
    </row>
    <row r="493" spans="1:15">
      <c r="A493" s="91">
        <v>504.16053085525238</v>
      </c>
      <c r="B493" s="91">
        <v>504.68606302779096</v>
      </c>
      <c r="C493" s="91">
        <v>498.39914111186755</v>
      </c>
      <c r="D493" s="91">
        <v>501.61072661071381</v>
      </c>
      <c r="E493" s="92">
        <v>5792930.7834660951</v>
      </c>
      <c r="F493" s="90" t="s">
        <v>501</v>
      </c>
      <c r="G493" s="25">
        <f t="shared" si="14"/>
        <v>5.0832330914594159E-3</v>
      </c>
      <c r="I493" s="91">
        <v>503.95130570770954</v>
      </c>
      <c r="J493" s="91">
        <v>504.34621412945251</v>
      </c>
      <c r="K493" s="91">
        <v>497.17043914900017</v>
      </c>
      <c r="L493" s="91">
        <v>497.48829226893974</v>
      </c>
      <c r="M493" s="92">
        <v>740092.87700173585</v>
      </c>
      <c r="N493" s="90" t="s">
        <v>501</v>
      </c>
      <c r="O493" s="25">
        <f t="shared" si="15"/>
        <v>1.2991287512100769E-2</v>
      </c>
    </row>
    <row r="494" spans="1:15">
      <c r="A494" s="91">
        <v>499.45993753421379</v>
      </c>
      <c r="B494" s="91">
        <v>504.2091912415986</v>
      </c>
      <c r="C494" s="91">
        <v>498.40887318913678</v>
      </c>
      <c r="D494" s="91">
        <v>501.19224728813691</v>
      </c>
      <c r="E494" s="92">
        <v>3583145.6158130942</v>
      </c>
      <c r="F494" s="90" t="s">
        <v>502</v>
      </c>
      <c r="G494" s="25">
        <f t="shared" si="14"/>
        <v>-3.4563777937435258E-3</v>
      </c>
      <c r="I494" s="91">
        <v>500.23338739568993</v>
      </c>
      <c r="J494" s="91">
        <v>502.32351245711021</v>
      </c>
      <c r="K494" s="91">
        <v>493.34175384063815</v>
      </c>
      <c r="L494" s="91">
        <v>495.08031408757989</v>
      </c>
      <c r="M494" s="92">
        <v>529033.03271652071</v>
      </c>
      <c r="N494" s="90" t="s">
        <v>502</v>
      </c>
      <c r="O494" s="25">
        <f t="shared" si="15"/>
        <v>1.040856031128401E-2</v>
      </c>
    </row>
    <row r="495" spans="1:15">
      <c r="A495" s="91">
        <v>499.38208091605992</v>
      </c>
      <c r="B495" s="91">
        <v>502.39902486952161</v>
      </c>
      <c r="C495" s="91">
        <v>496.49165396709827</v>
      </c>
      <c r="D495" s="91">
        <v>501.9805455469446</v>
      </c>
      <c r="E495" s="92">
        <v>4048907.4336246871</v>
      </c>
      <c r="F495" s="90" t="s">
        <v>503</v>
      </c>
      <c r="G495" s="25">
        <f t="shared" si="14"/>
        <v>-5.1764249709188581E-3</v>
      </c>
      <c r="I495" s="91">
        <v>494.65650992766052</v>
      </c>
      <c r="J495" s="91">
        <v>498.42740375967009</v>
      </c>
      <c r="K495" s="91">
        <v>491.36239577556034</v>
      </c>
      <c r="L495" s="91">
        <v>496.58289247274837</v>
      </c>
      <c r="M495" s="92">
        <v>663173.57539269747</v>
      </c>
      <c r="N495" s="90" t="s">
        <v>503</v>
      </c>
      <c r="O495" s="25">
        <f t="shared" si="15"/>
        <v>-3.8792769027853335E-3</v>
      </c>
    </row>
    <row r="496" spans="1:15">
      <c r="A496" s="91">
        <v>502.25304371048315</v>
      </c>
      <c r="B496" s="91">
        <v>502.74937965121393</v>
      </c>
      <c r="C496" s="91">
        <v>499.41127714786757</v>
      </c>
      <c r="D496" s="91">
        <v>500.48180564748304</v>
      </c>
      <c r="E496" s="92">
        <v>3115242.4257719684</v>
      </c>
      <c r="F496" s="90" t="s">
        <v>504</v>
      </c>
      <c r="G496" s="25">
        <f t="shared" si="14"/>
        <v>3.5390658421809995E-3</v>
      </c>
      <c r="I496" s="91">
        <v>493.57773570241142</v>
      </c>
      <c r="J496" s="91">
        <v>494.99218208614212</v>
      </c>
      <c r="K496" s="91">
        <v>489.30116645231635</v>
      </c>
      <c r="L496" s="91">
        <v>493.20209110611921</v>
      </c>
      <c r="M496" s="92">
        <v>450544.98765737901</v>
      </c>
      <c r="N496" s="90" t="s">
        <v>504</v>
      </c>
      <c r="O496" s="25">
        <f t="shared" si="15"/>
        <v>7.6164437066705837E-4</v>
      </c>
    </row>
    <row r="497" spans="1:15">
      <c r="A497" s="91">
        <v>501.58153037890617</v>
      </c>
      <c r="B497" s="91">
        <v>504.40383278698317</v>
      </c>
      <c r="C497" s="91">
        <v>500.10712067261767</v>
      </c>
      <c r="D497" s="91">
        <v>503.77124776448318</v>
      </c>
      <c r="E497" s="92">
        <v>3492204.0854988866</v>
      </c>
      <c r="F497" s="90" t="s">
        <v>505</v>
      </c>
      <c r="G497" s="25">
        <f t="shared" si="14"/>
        <v>-4.3466501815934144E-3</v>
      </c>
      <c r="I497" s="91">
        <v>493.15393154249205</v>
      </c>
      <c r="J497" s="91">
        <v>493.47660061879429</v>
      </c>
      <c r="K497" s="91">
        <v>490.08135138307694</v>
      </c>
      <c r="L497" s="91">
        <v>491.57429785552</v>
      </c>
      <c r="M497" s="92">
        <v>534904.14073130197</v>
      </c>
      <c r="N497" s="90" t="s">
        <v>505</v>
      </c>
      <c r="O497" s="25">
        <f t="shared" si="15"/>
        <v>3.2134179794653939E-3</v>
      </c>
    </row>
    <row r="498" spans="1:15">
      <c r="A498" s="91">
        <v>502.81750419209851</v>
      </c>
      <c r="B498" s="91">
        <v>503.68365906906007</v>
      </c>
      <c r="C498" s="91">
        <v>498.52770185259413</v>
      </c>
      <c r="D498" s="91">
        <v>500.54993018836768</v>
      </c>
      <c r="E498" s="92">
        <v>5243270.1250049872</v>
      </c>
      <c r="F498" s="90" t="s">
        <v>506</v>
      </c>
      <c r="G498" s="25">
        <f t="shared" si="14"/>
        <v>4.5301654579743555E-3</v>
      </c>
      <c r="I498" s="91">
        <v>490.59184275752517</v>
      </c>
      <c r="J498" s="91">
        <v>491.61282550642176</v>
      </c>
      <c r="K498" s="91">
        <v>486.64372173136763</v>
      </c>
      <c r="L498" s="91">
        <v>491.2275489974042</v>
      </c>
      <c r="M498" s="92">
        <v>576270.79462006292</v>
      </c>
      <c r="N498" s="90" t="s">
        <v>506</v>
      </c>
      <c r="O498" s="25">
        <f t="shared" si="15"/>
        <v>-1.29411764705889E-3</v>
      </c>
    </row>
    <row r="499" spans="1:15">
      <c r="A499" s="91">
        <v>497.43566546221371</v>
      </c>
      <c r="B499" s="91">
        <v>503.76151568721394</v>
      </c>
      <c r="C499" s="91">
        <v>496.43326150348287</v>
      </c>
      <c r="D499" s="91">
        <v>503.19705520559847</v>
      </c>
      <c r="E499" s="92">
        <v>3778316.6925990526</v>
      </c>
      <c r="F499" s="90" t="s">
        <v>507</v>
      </c>
      <c r="G499" s="25">
        <f t="shared" si="14"/>
        <v>-1.1449569674112592E-2</v>
      </c>
      <c r="I499" s="91">
        <v>490.87116822656293</v>
      </c>
      <c r="J499" s="91">
        <v>493.02871667706131</v>
      </c>
      <c r="K499" s="91">
        <v>487.57705407446269</v>
      </c>
      <c r="L499" s="91">
        <v>487.57705407446269</v>
      </c>
      <c r="M499" s="92">
        <v>520014.05564766045</v>
      </c>
      <c r="N499" s="90" t="s">
        <v>507</v>
      </c>
      <c r="O499" s="25">
        <f t="shared" si="15"/>
        <v>6.7560893700242541E-3</v>
      </c>
    </row>
    <row r="500" spans="1:15">
      <c r="A500" s="91">
        <v>501.49394168348306</v>
      </c>
      <c r="B500" s="91">
        <v>502.81740687132583</v>
      </c>
      <c r="C500" s="91">
        <v>499.10958275252148</v>
      </c>
      <c r="D500" s="91">
        <v>500.6861792701369</v>
      </c>
      <c r="E500" s="92">
        <v>3436111.2304076194</v>
      </c>
      <c r="F500" s="90" t="s">
        <v>508</v>
      </c>
      <c r="G500" s="25">
        <f t="shared" si="14"/>
        <v>1.6133107858571361E-3</v>
      </c>
      <c r="I500" s="91">
        <v>488.20312840161625</v>
      </c>
      <c r="J500" s="91">
        <v>490.66889805932874</v>
      </c>
      <c r="K500" s="91">
        <v>486.28637776925382</v>
      </c>
      <c r="L500" s="91">
        <v>490.17767051033132</v>
      </c>
      <c r="M500" s="92">
        <v>547404.2539935417</v>
      </c>
      <c r="N500" s="90" t="s">
        <v>508</v>
      </c>
      <c r="O500" s="25">
        <f t="shared" si="15"/>
        <v>-4.0282171700301017E-3</v>
      </c>
    </row>
    <row r="501" spans="1:15">
      <c r="A501" s="91">
        <v>499.74216777502147</v>
      </c>
      <c r="B501" s="91">
        <v>501.66902175355659</v>
      </c>
      <c r="C501" s="91">
        <v>498.52565811636759</v>
      </c>
      <c r="D501" s="91">
        <v>500.15091502032914</v>
      </c>
      <c r="E501" s="92">
        <v>3242864.7170506031</v>
      </c>
      <c r="F501" s="90" t="s">
        <v>509</v>
      </c>
      <c r="G501" s="25">
        <f t="shared" si="14"/>
        <v>-8.1724782067238433E-4</v>
      </c>
      <c r="I501" s="91">
        <v>489.33969410321811</v>
      </c>
      <c r="J501" s="91">
        <v>489.35895792866899</v>
      </c>
      <c r="K501" s="91">
        <v>482.09649573368773</v>
      </c>
      <c r="L501" s="91">
        <v>485.92999699841255</v>
      </c>
      <c r="M501" s="92">
        <v>470257.58321470016</v>
      </c>
      <c r="N501" s="90" t="s">
        <v>509</v>
      </c>
      <c r="O501" s="25">
        <f t="shared" si="15"/>
        <v>7.0168483647177204E-3</v>
      </c>
    </row>
    <row r="502" spans="1:15">
      <c r="A502" s="91">
        <v>500.56939434290615</v>
      </c>
      <c r="B502" s="91">
        <v>500.56939434290615</v>
      </c>
      <c r="C502" s="91">
        <v>495.42112546748285</v>
      </c>
      <c r="D502" s="91">
        <v>496.19969164902136</v>
      </c>
      <c r="E502" s="92">
        <v>3909045.2066463428</v>
      </c>
      <c r="F502" s="90" t="s">
        <v>510</v>
      </c>
      <c r="G502" s="25">
        <f t="shared" si="14"/>
        <v>8.8063389950181481E-3</v>
      </c>
      <c r="I502" s="91">
        <v>486.28637776925382</v>
      </c>
      <c r="J502" s="91">
        <v>489.75386635041201</v>
      </c>
      <c r="K502" s="91">
        <v>484.98606955131953</v>
      </c>
      <c r="L502" s="91">
        <v>488.0971773616364</v>
      </c>
      <c r="M502" s="92">
        <v>357421.22028446698</v>
      </c>
      <c r="N502" s="90" t="s">
        <v>510</v>
      </c>
      <c r="O502" s="25">
        <f t="shared" si="15"/>
        <v>-3.709916132215052E-3</v>
      </c>
    </row>
    <row r="503" spans="1:15">
      <c r="A503" s="91">
        <v>495.80067648098282</v>
      </c>
      <c r="B503" s="91">
        <v>496.4429935807521</v>
      </c>
      <c r="C503" s="91">
        <v>493.07569484559809</v>
      </c>
      <c r="D503" s="91">
        <v>493.26060431371349</v>
      </c>
      <c r="E503" s="92">
        <v>3544244.3628198667</v>
      </c>
      <c r="F503" s="90" t="s">
        <v>511</v>
      </c>
      <c r="G503" s="25">
        <f t="shared" si="14"/>
        <v>5.149554099913134E-3</v>
      </c>
      <c r="I503" s="91">
        <v>488.01049014710748</v>
      </c>
      <c r="J503" s="91">
        <v>489.04110480872947</v>
      </c>
      <c r="K503" s="91">
        <v>483.63760176975802</v>
      </c>
      <c r="L503" s="91">
        <v>485.85294169660909</v>
      </c>
      <c r="M503" s="92">
        <v>602509.61210150691</v>
      </c>
      <c r="N503" s="90" t="s">
        <v>511</v>
      </c>
      <c r="O503" s="25">
        <f t="shared" si="15"/>
        <v>4.4407438245905873E-3</v>
      </c>
    </row>
    <row r="504" spans="1:15">
      <c r="A504" s="91">
        <v>494.7593442131751</v>
      </c>
      <c r="B504" s="91">
        <v>494.96371783582896</v>
      </c>
      <c r="C504" s="91">
        <v>490.96938136221843</v>
      </c>
      <c r="D504" s="91">
        <v>491.55749079159801</v>
      </c>
      <c r="E504" s="92">
        <v>4396751.9796912046</v>
      </c>
      <c r="F504" s="90" t="s">
        <v>512</v>
      </c>
      <c r="G504" s="25">
        <f t="shared" si="14"/>
        <v>6.5136906293927765E-3</v>
      </c>
      <c r="I504" s="91">
        <v>485.15944398037743</v>
      </c>
      <c r="J504" s="91">
        <v>486.63794258373235</v>
      </c>
      <c r="K504" s="91">
        <v>482.86704875172285</v>
      </c>
      <c r="L504" s="91">
        <v>486.05521186384328</v>
      </c>
      <c r="M504" s="92">
        <v>635139.68350673409</v>
      </c>
      <c r="N504" s="90" t="s">
        <v>512</v>
      </c>
      <c r="O504" s="25">
        <f t="shared" si="15"/>
        <v>-1.8429344272040682E-3</v>
      </c>
    </row>
    <row r="505" spans="1:15">
      <c r="A505" s="91">
        <v>486.40922191617477</v>
      </c>
      <c r="B505" s="91">
        <v>487.43109002944402</v>
      </c>
      <c r="C505" s="91">
        <v>483.17622584733618</v>
      </c>
      <c r="D505" s="91">
        <v>485.55279911648245</v>
      </c>
      <c r="E505" s="92">
        <v>3802377.3318153396</v>
      </c>
      <c r="F505" s="90" t="s">
        <v>513</v>
      </c>
      <c r="G505" s="25">
        <f t="shared" si="14"/>
        <v>1.7638098292311888E-3</v>
      </c>
      <c r="I505" s="91">
        <v>486.41159263468455</v>
      </c>
      <c r="J505" s="91">
        <v>488.8483702350934</v>
      </c>
      <c r="K505" s="91">
        <v>482.39026907181363</v>
      </c>
      <c r="L505" s="91">
        <v>483.01152744260452</v>
      </c>
      <c r="M505" s="92">
        <v>747653.16145153891</v>
      </c>
      <c r="N505" s="90" t="s">
        <v>513</v>
      </c>
      <c r="O505" s="25">
        <f t="shared" si="15"/>
        <v>7.0393044449317266E-3</v>
      </c>
    </row>
    <row r="506" spans="1:15">
      <c r="A506" s="91">
        <v>484.86182163036699</v>
      </c>
      <c r="B506" s="91">
        <v>485.02726694394391</v>
      </c>
      <c r="C506" s="91">
        <v>479.71355275494369</v>
      </c>
      <c r="D506" s="91">
        <v>479.92765845486679</v>
      </c>
      <c r="E506" s="92">
        <v>3337300.8764207806</v>
      </c>
      <c r="F506" s="90" t="s">
        <v>514</v>
      </c>
      <c r="G506" s="25">
        <f t="shared" si="14"/>
        <v>1.0281056089548546E-2</v>
      </c>
      <c r="I506" s="91">
        <v>483.88803150061943</v>
      </c>
      <c r="J506" s="91">
        <v>484.01324636605017</v>
      </c>
      <c r="K506" s="91">
        <v>478.17630725443394</v>
      </c>
      <c r="L506" s="91">
        <v>483.03079126805534</v>
      </c>
      <c r="M506" s="92">
        <v>810806.76524130511</v>
      </c>
      <c r="N506" s="90" t="s">
        <v>514</v>
      </c>
      <c r="O506" s="25">
        <f t="shared" si="15"/>
        <v>1.7747113601467301E-3</v>
      </c>
    </row>
    <row r="507" spans="1:15">
      <c r="A507" s="91">
        <v>476.9399107332128</v>
      </c>
      <c r="B507" s="91">
        <v>479.15882435059751</v>
      </c>
      <c r="C507" s="91">
        <v>474.90590658394348</v>
      </c>
      <c r="D507" s="91">
        <v>477.78660145563589</v>
      </c>
      <c r="E507" s="92">
        <v>3676639.5303010829</v>
      </c>
      <c r="F507" s="90" t="s">
        <v>515</v>
      </c>
      <c r="G507" s="25">
        <f t="shared" si="14"/>
        <v>-1.7721106448852497E-3</v>
      </c>
      <c r="I507" s="91">
        <v>483.19453378438783</v>
      </c>
      <c r="J507" s="91">
        <v>484.18662079510807</v>
      </c>
      <c r="K507" s="91">
        <v>473.89010609161346</v>
      </c>
      <c r="L507" s="91">
        <v>477.2516436327918</v>
      </c>
      <c r="M507" s="92">
        <v>958061.00647357409</v>
      </c>
      <c r="N507" s="90" t="s">
        <v>515</v>
      </c>
      <c r="O507" s="25">
        <f t="shared" si="15"/>
        <v>1.2452319925730038E-2</v>
      </c>
    </row>
    <row r="508" spans="1:15">
      <c r="A508" s="91">
        <v>476.696608801482</v>
      </c>
      <c r="B508" s="91">
        <v>478.04936754190516</v>
      </c>
      <c r="C508" s="91">
        <v>472.80377789378952</v>
      </c>
      <c r="D508" s="91">
        <v>473.88403847067423</v>
      </c>
      <c r="E508" s="92">
        <v>7872246.3745966824</v>
      </c>
      <c r="F508" s="90" t="s">
        <v>516</v>
      </c>
      <c r="G508" s="25">
        <f t="shared" si="14"/>
        <v>5.9351446819870812E-3</v>
      </c>
      <c r="I508" s="91">
        <v>476.14397366936623</v>
      </c>
      <c r="J508" s="91">
        <v>477.60629065934245</v>
      </c>
      <c r="K508" s="91">
        <v>469.07414972889381</v>
      </c>
      <c r="L508" s="91">
        <v>474.34280598970912</v>
      </c>
      <c r="M508" s="92">
        <v>539012.35901856795</v>
      </c>
      <c r="N508" s="90" t="s">
        <v>516</v>
      </c>
      <c r="O508" s="25">
        <f t="shared" si="15"/>
        <v>3.7971856153673489E-3</v>
      </c>
    </row>
    <row r="509" spans="1:15">
      <c r="A509" s="91">
        <v>474.66260465221274</v>
      </c>
      <c r="B509" s="91">
        <v>475.18813682475115</v>
      </c>
      <c r="C509" s="91">
        <v>466.78935414140466</v>
      </c>
      <c r="D509" s="91">
        <v>468.58978843621247</v>
      </c>
      <c r="E509" s="92">
        <v>4292232.6697987597</v>
      </c>
      <c r="F509" s="90" t="s">
        <v>517</v>
      </c>
      <c r="G509" s="25">
        <f t="shared" si="14"/>
        <v>1.295977071174903E-2</v>
      </c>
      <c r="I509" s="91">
        <v>473.23513602628356</v>
      </c>
      <c r="J509" s="91">
        <v>477.08780479733207</v>
      </c>
      <c r="K509" s="91">
        <v>467.01292040564982</v>
      </c>
      <c r="L509" s="91">
        <v>469.71948788149825</v>
      </c>
      <c r="M509" s="92">
        <v>565191.9982229399</v>
      </c>
      <c r="N509" s="90" t="s">
        <v>517</v>
      </c>
      <c r="O509" s="25">
        <f t="shared" si="15"/>
        <v>7.4845694834619891E-3</v>
      </c>
    </row>
    <row r="510" spans="1:15">
      <c r="A510" s="91">
        <v>463.84053472882766</v>
      </c>
      <c r="B510" s="91">
        <v>475.46063498828966</v>
      </c>
      <c r="C510" s="91">
        <v>463.35393086536607</v>
      </c>
      <c r="D510" s="91">
        <v>472.68699296655876</v>
      </c>
      <c r="E510" s="92">
        <v>6140879.1100485362</v>
      </c>
      <c r="F510" s="90" t="s">
        <v>518</v>
      </c>
      <c r="G510" s="25">
        <f t="shared" si="14"/>
        <v>-1.8715256331068408E-2</v>
      </c>
      <c r="I510" s="91">
        <v>471.72292572838961</v>
      </c>
      <c r="J510" s="91">
        <v>476.82302351650975</v>
      </c>
      <c r="K510" s="91">
        <v>462.98678088641617</v>
      </c>
      <c r="L510" s="91">
        <v>465.56813349683392</v>
      </c>
      <c r="M510" s="92">
        <v>768245.12544184329</v>
      </c>
      <c r="N510" s="90" t="s">
        <v>518</v>
      </c>
      <c r="O510" s="25">
        <f t="shared" si="15"/>
        <v>1.3219960278053611E-2</v>
      </c>
    </row>
    <row r="511" spans="1:15">
      <c r="A511" s="91">
        <v>467.08131645948163</v>
      </c>
      <c r="B511" s="91">
        <v>473.81591392978959</v>
      </c>
      <c r="C511" s="91">
        <v>463.18848555178914</v>
      </c>
      <c r="D511" s="91">
        <v>464.59963675582765</v>
      </c>
      <c r="E511" s="92">
        <v>8482300.1006157547</v>
      </c>
      <c r="F511" s="90" t="s">
        <v>519</v>
      </c>
      <c r="G511" s="25">
        <f t="shared" si="14"/>
        <v>5.3415446490292506E-3</v>
      </c>
      <c r="I511" s="91">
        <v>468.62144983079816</v>
      </c>
      <c r="J511" s="91">
        <v>477.26127554551721</v>
      </c>
      <c r="K511" s="91">
        <v>468.06761484908537</v>
      </c>
      <c r="L511" s="91">
        <v>475.07483135684248</v>
      </c>
      <c r="M511" s="92">
        <v>769962.33369232039</v>
      </c>
      <c r="N511" s="90" t="s">
        <v>519</v>
      </c>
      <c r="O511" s="25">
        <f t="shared" si="15"/>
        <v>-1.3583926362954357E-2</v>
      </c>
    </row>
    <row r="512" spans="1:15">
      <c r="A512" s="91">
        <v>462.46831183386604</v>
      </c>
      <c r="B512" s="91">
        <v>468.28809404086627</v>
      </c>
      <c r="C512" s="91">
        <v>456.32737107698114</v>
      </c>
      <c r="D512" s="91">
        <v>457.57307696744277</v>
      </c>
      <c r="E512" s="92">
        <v>15663948.793538775</v>
      </c>
      <c r="F512" s="90" t="s">
        <v>520</v>
      </c>
      <c r="G512" s="25">
        <f t="shared" si="14"/>
        <v>1.0698258076865752E-2</v>
      </c>
      <c r="I512" s="91">
        <v>474.49691659331614</v>
      </c>
      <c r="J512" s="91">
        <v>488.17423266343991</v>
      </c>
      <c r="K512" s="91">
        <v>468.38845386196977</v>
      </c>
      <c r="L512" s="91">
        <v>479.16839426515418</v>
      </c>
      <c r="M512" s="92">
        <v>1004439.1260364905</v>
      </c>
      <c r="N512" s="90" t="s">
        <v>520</v>
      </c>
      <c r="O512" s="25">
        <f t="shared" si="15"/>
        <v>-9.7491356436438803E-3</v>
      </c>
    </row>
    <row r="513" spans="1:15">
      <c r="A513" s="91">
        <v>476.78419749690511</v>
      </c>
      <c r="B513" s="91">
        <v>480.29747739109757</v>
      </c>
      <c r="C513" s="91">
        <v>472.7843137392511</v>
      </c>
      <c r="D513" s="91">
        <v>479.21721681421292</v>
      </c>
      <c r="E513" s="92">
        <v>8796853.7067280319</v>
      </c>
      <c r="F513" s="90" t="s">
        <v>521</v>
      </c>
      <c r="G513" s="25">
        <f t="shared" si="14"/>
        <v>-5.0770699214069959E-3</v>
      </c>
      <c r="I513" s="91">
        <v>476.34624383660048</v>
      </c>
      <c r="J513" s="91">
        <v>486.41159263468455</v>
      </c>
      <c r="K513" s="91">
        <v>467.82200107458669</v>
      </c>
      <c r="L513" s="91">
        <v>477.72360735633833</v>
      </c>
      <c r="M513" s="92">
        <v>1085767.7283950914</v>
      </c>
      <c r="N513" s="90" t="s">
        <v>521</v>
      </c>
      <c r="O513" s="25">
        <f t="shared" si="15"/>
        <v>-2.8831807734183146E-3</v>
      </c>
    </row>
    <row r="514" spans="1:15">
      <c r="A514" s="91">
        <v>485.65985196644391</v>
      </c>
      <c r="B514" s="91">
        <v>496.23861995809824</v>
      </c>
      <c r="C514" s="91">
        <v>482.46773062213612</v>
      </c>
      <c r="D514" s="91">
        <v>494.23381204063662</v>
      </c>
      <c r="E514" s="92">
        <v>7130252.6768246498</v>
      </c>
      <c r="F514" s="90" t="s">
        <v>522</v>
      </c>
      <c r="G514" s="25">
        <f t="shared" si="14"/>
        <v>-1.7347983616887275E-2</v>
      </c>
      <c r="I514" s="91">
        <v>475.20004622227322</v>
      </c>
      <c r="J514" s="91">
        <v>476.44256296385487</v>
      </c>
      <c r="K514" s="91">
        <v>465.61147710409836</v>
      </c>
      <c r="L514" s="91">
        <v>467.91832020184108</v>
      </c>
      <c r="M514" s="92">
        <v>1035963.4980543186</v>
      </c>
      <c r="N514" s="90" t="s">
        <v>522</v>
      </c>
      <c r="O514" s="25">
        <f t="shared" si="15"/>
        <v>1.5561959654178725E-2</v>
      </c>
    </row>
    <row r="515" spans="1:15">
      <c r="A515" s="91">
        <v>492.37498528221346</v>
      </c>
      <c r="B515" s="91">
        <v>495.02522456417051</v>
      </c>
      <c r="C515" s="91">
        <v>489.82031499904031</v>
      </c>
      <c r="D515" s="91">
        <v>490.96383407817495</v>
      </c>
      <c r="E515" s="92">
        <v>5515355.9219778236</v>
      </c>
      <c r="F515" s="90" t="s">
        <v>523</v>
      </c>
      <c r="G515" s="25">
        <f t="shared" si="14"/>
        <v>2.8742467491278401E-3</v>
      </c>
      <c r="I515" s="91">
        <v>466.49279711847606</v>
      </c>
      <c r="J515" s="91">
        <v>471.36654495754834</v>
      </c>
      <c r="K515" s="91">
        <v>465.07690594783651</v>
      </c>
      <c r="L515" s="91">
        <v>468.63108174352362</v>
      </c>
      <c r="M515" s="92">
        <v>1510015.7585093414</v>
      </c>
      <c r="N515" s="90" t="s">
        <v>523</v>
      </c>
      <c r="O515" s="25">
        <f t="shared" si="15"/>
        <v>-4.5628314218769672E-3</v>
      </c>
    </row>
    <row r="516" spans="1:15">
      <c r="A516" s="91">
        <v>484.73530462586695</v>
      </c>
      <c r="B516" s="91">
        <v>489.53321871959793</v>
      </c>
      <c r="C516" s="91">
        <v>481.65510217015532</v>
      </c>
      <c r="D516" s="91">
        <v>488.59893930175178</v>
      </c>
      <c r="E516" s="92">
        <v>3922903.5018765298</v>
      </c>
      <c r="F516" s="90" t="s">
        <v>524</v>
      </c>
      <c r="G516" s="25">
        <f t="shared" si="14"/>
        <v>-7.9075789264019258E-3</v>
      </c>
      <c r="I516" s="91">
        <v>468.81408808530693</v>
      </c>
      <c r="J516" s="91">
        <v>471.0583237503343</v>
      </c>
      <c r="K516" s="91">
        <v>457.5351182838175</v>
      </c>
      <c r="L516" s="91">
        <v>459.03769666898603</v>
      </c>
      <c r="M516" s="92">
        <v>773592.97290146095</v>
      </c>
      <c r="N516" s="90" t="s">
        <v>524</v>
      </c>
      <c r="O516" s="25">
        <f t="shared" si="15"/>
        <v>2.1297578580721011E-2</v>
      </c>
    </row>
    <row r="517" spans="1:15">
      <c r="A517" s="91">
        <v>487.28510887040557</v>
      </c>
      <c r="B517" s="91">
        <v>489.29478282650177</v>
      </c>
      <c r="C517" s="91">
        <v>485.4112947129878</v>
      </c>
      <c r="D517" s="91">
        <v>488.37510152455945</v>
      </c>
      <c r="E517" s="92">
        <v>3181415.3487959215</v>
      </c>
      <c r="F517" s="90" t="s">
        <v>525</v>
      </c>
      <c r="G517" s="25">
        <f t="shared" si="14"/>
        <v>-2.2318759714639036E-3</v>
      </c>
      <c r="I517" s="91">
        <v>459.72156247249228</v>
      </c>
      <c r="J517" s="91">
        <v>464.77831665334787</v>
      </c>
      <c r="K517" s="91">
        <v>457.74702036377721</v>
      </c>
      <c r="L517" s="91">
        <v>463.34316165725744</v>
      </c>
      <c r="M517" s="92">
        <v>910953.0214934356</v>
      </c>
      <c r="N517" s="90" t="s">
        <v>525</v>
      </c>
      <c r="O517" s="25">
        <f t="shared" si="15"/>
        <v>-7.8162353185738942E-3</v>
      </c>
    </row>
    <row r="518" spans="1:15">
      <c r="A518" s="91">
        <v>486.92502201144396</v>
      </c>
      <c r="B518" s="91">
        <v>489.41156775373258</v>
      </c>
      <c r="C518" s="91">
        <v>484.33628945782851</v>
      </c>
      <c r="D518" s="91">
        <v>485.00780278940545</v>
      </c>
      <c r="E518" s="92">
        <v>3736082.1327379728</v>
      </c>
      <c r="F518" s="90" t="s">
        <v>526</v>
      </c>
      <c r="G518" s="25">
        <f t="shared" si="14"/>
        <v>3.9529657275865215E-3</v>
      </c>
      <c r="I518" s="91">
        <v>462.62076820284949</v>
      </c>
      <c r="J518" s="91">
        <v>466.61319602754406</v>
      </c>
      <c r="K518" s="91">
        <v>454.73232799984191</v>
      </c>
      <c r="L518" s="91">
        <v>459.9816241160791</v>
      </c>
      <c r="M518" s="92">
        <v>1209130.5571364416</v>
      </c>
      <c r="N518" s="90" t="s">
        <v>526</v>
      </c>
      <c r="O518" s="25">
        <f t="shared" si="15"/>
        <v>5.737498953011233E-3</v>
      </c>
    </row>
    <row r="519" spans="1:15">
      <c r="A519" s="91">
        <v>481.52371912702068</v>
      </c>
      <c r="B519" s="91">
        <v>489.65973572409797</v>
      </c>
      <c r="C519" s="91">
        <v>480.68676048186683</v>
      </c>
      <c r="D519" s="91">
        <v>484.21950453059776</v>
      </c>
      <c r="E519" s="92">
        <v>5802051.1385089615</v>
      </c>
      <c r="F519" s="90" t="s">
        <v>527</v>
      </c>
      <c r="G519" s="25">
        <f t="shared" si="14"/>
        <v>-5.5672796703849503E-3</v>
      </c>
      <c r="I519" s="91">
        <v>453.24891712099702</v>
      </c>
      <c r="J519" s="91">
        <v>455.42572939694628</v>
      </c>
      <c r="K519" s="91">
        <v>442.03737070858568</v>
      </c>
      <c r="L519" s="91">
        <v>443.96375325367353</v>
      </c>
      <c r="M519" s="92">
        <v>2129155.5046834862</v>
      </c>
      <c r="N519" s="90" t="s">
        <v>527</v>
      </c>
      <c r="O519" s="25">
        <f t="shared" si="15"/>
        <v>2.0914238604560431E-2</v>
      </c>
    </row>
    <row r="520" spans="1:15">
      <c r="A520" s="91">
        <v>483.96647052159773</v>
      </c>
      <c r="B520" s="91">
        <v>491.17793977809799</v>
      </c>
      <c r="C520" s="91">
        <v>483.24143076504004</v>
      </c>
      <c r="D520" s="91">
        <v>490.91517369182878</v>
      </c>
      <c r="E520" s="92">
        <v>6326914.4188437182</v>
      </c>
      <c r="F520" s="90" t="s">
        <v>528</v>
      </c>
      <c r="G520" s="25">
        <f t="shared" si="14"/>
        <v>-1.4154590329679029E-2</v>
      </c>
      <c r="I520" s="91">
        <v>425.84612541712221</v>
      </c>
      <c r="J520" s="91">
        <v>429.53832652216488</v>
      </c>
      <c r="K520" s="91">
        <v>420.93384992714817</v>
      </c>
      <c r="L520" s="91">
        <v>428.08072916942416</v>
      </c>
      <c r="M520" s="92">
        <v>1350969.4669089231</v>
      </c>
      <c r="N520" s="90" t="s">
        <v>528</v>
      </c>
      <c r="O520" s="25">
        <f t="shared" si="15"/>
        <v>-5.2200522005221295E-3</v>
      </c>
    </row>
    <row r="521" spans="1:15">
      <c r="A521" s="91">
        <v>495.30434054025204</v>
      </c>
      <c r="B521" s="91">
        <v>497.94173348021366</v>
      </c>
      <c r="C521" s="91">
        <v>494.86639706313667</v>
      </c>
      <c r="D521" s="91">
        <v>496.00505010363673</v>
      </c>
      <c r="E521" s="92">
        <v>3201829.2845368669</v>
      </c>
      <c r="F521" s="90" t="s">
        <v>529</v>
      </c>
      <c r="G521" s="25">
        <f t="shared" si="14"/>
        <v>-1.4127065102226277E-3</v>
      </c>
      <c r="I521" s="91">
        <v>426.01949984618017</v>
      </c>
      <c r="J521" s="91">
        <v>427.31017615138899</v>
      </c>
      <c r="K521" s="91">
        <v>420.9145861016973</v>
      </c>
      <c r="L521" s="91">
        <v>423.26477280670451</v>
      </c>
      <c r="M521" s="92">
        <v>707299.80578071368</v>
      </c>
      <c r="N521" s="90" t="s">
        <v>529</v>
      </c>
      <c r="O521" s="25">
        <f t="shared" si="15"/>
        <v>6.5082832696159443E-3</v>
      </c>
    </row>
    <row r="522" spans="1:15">
      <c r="A522" s="91">
        <v>496.13156710813672</v>
      </c>
      <c r="B522" s="91">
        <v>496.64736720340596</v>
      </c>
      <c r="C522" s="91">
        <v>492.87132122294423</v>
      </c>
      <c r="D522" s="91">
        <v>494.65229136321352</v>
      </c>
      <c r="E522" s="92">
        <v>4462489.2300542556</v>
      </c>
      <c r="F522" s="90" t="s">
        <v>530</v>
      </c>
      <c r="G522" s="25">
        <f t="shared" si="14"/>
        <v>2.9905365258624528E-3</v>
      </c>
      <c r="I522" s="91">
        <v>421.97409650149564</v>
      </c>
      <c r="J522" s="91">
        <v>422.71575378135446</v>
      </c>
      <c r="K522" s="91">
        <v>419.08933864022657</v>
      </c>
      <c r="L522" s="91">
        <v>421.49250086522369</v>
      </c>
      <c r="M522" s="92">
        <v>820944.9384975984</v>
      </c>
      <c r="N522" s="90" t="s">
        <v>530</v>
      </c>
      <c r="O522" s="25">
        <f t="shared" si="15"/>
        <v>1.1425959780622108E-3</v>
      </c>
    </row>
    <row r="523" spans="1:15">
      <c r="A523" s="91">
        <v>491.03195861905959</v>
      </c>
      <c r="B523" s="91">
        <v>495.55737454925207</v>
      </c>
      <c r="C523" s="91">
        <v>490.06848296940569</v>
      </c>
      <c r="D523" s="91">
        <v>494.03917049525199</v>
      </c>
      <c r="E523" s="92">
        <v>4150642.1375948512</v>
      </c>
      <c r="F523" s="90" t="s">
        <v>531</v>
      </c>
      <c r="G523" s="25">
        <f t="shared" si="14"/>
        <v>-6.0869907808682733E-3</v>
      </c>
      <c r="I523" s="91">
        <v>421.81998589788861</v>
      </c>
      <c r="J523" s="91">
        <v>426.26029766431611</v>
      </c>
      <c r="K523" s="91">
        <v>418.79556530210067</v>
      </c>
      <c r="L523" s="91">
        <v>426.26029766431611</v>
      </c>
      <c r="M523" s="92">
        <v>747534.80489739485</v>
      </c>
      <c r="N523" s="90" t="s">
        <v>531</v>
      </c>
      <c r="O523" s="25">
        <f t="shared" si="15"/>
        <v>-1.0416902044966592E-2</v>
      </c>
    </row>
    <row r="524" spans="1:15">
      <c r="A524" s="91">
        <v>494.33113281332891</v>
      </c>
      <c r="B524" s="91">
        <v>500.41368110659846</v>
      </c>
      <c r="C524" s="91">
        <v>492.31756602632498</v>
      </c>
      <c r="D524" s="91">
        <v>499.49886584329067</v>
      </c>
      <c r="E524" s="92">
        <v>5195036.845817605</v>
      </c>
      <c r="F524" s="90" t="s">
        <v>532</v>
      </c>
      <c r="G524" s="25">
        <f t="shared" si="14"/>
        <v>-1.0345835362883582E-2</v>
      </c>
      <c r="I524" s="91">
        <v>423.428515323037</v>
      </c>
      <c r="J524" s="91">
        <v>429.44846077643655</v>
      </c>
      <c r="K524" s="91">
        <v>421.33839026161667</v>
      </c>
      <c r="L524" s="91">
        <v>421.33839026161667</v>
      </c>
      <c r="M524" s="92">
        <v>925279.35562181158</v>
      </c>
      <c r="N524" s="90" t="s">
        <v>532</v>
      </c>
      <c r="O524" s="25">
        <f t="shared" si="15"/>
        <v>4.9606803218726903E-3</v>
      </c>
    </row>
    <row r="525" spans="1:15">
      <c r="A525" s="91">
        <v>498.07798256198294</v>
      </c>
      <c r="B525" s="91">
        <v>501.30903221536772</v>
      </c>
      <c r="C525" s="91">
        <v>497.85414478479061</v>
      </c>
      <c r="D525" s="91">
        <v>499.80056023863682</v>
      </c>
      <c r="E525" s="92">
        <v>5121523.2494693799</v>
      </c>
      <c r="F525" s="90" t="s">
        <v>533</v>
      </c>
      <c r="G525" s="25">
        <f t="shared" si="14"/>
        <v>-3.4465301035905282E-3</v>
      </c>
      <c r="I525" s="91">
        <v>423.96790243566159</v>
      </c>
      <c r="J525" s="91">
        <v>425.56679994808445</v>
      </c>
      <c r="K525" s="91">
        <v>417.96722080771286</v>
      </c>
      <c r="L525" s="91">
        <v>418.70887808757169</v>
      </c>
      <c r="M525" s="92">
        <v>1183775.2609495297</v>
      </c>
      <c r="N525" s="90" t="s">
        <v>533</v>
      </c>
      <c r="O525" s="25">
        <f t="shared" si="15"/>
        <v>1.2560097536288728E-2</v>
      </c>
    </row>
    <row r="526" spans="1:15">
      <c r="A526" s="91">
        <v>505.13373858217551</v>
      </c>
      <c r="B526" s="91">
        <v>505.48409336386783</v>
      </c>
      <c r="C526" s="91">
        <v>502.75911172848316</v>
      </c>
      <c r="D526" s="91">
        <v>503.46955336913703</v>
      </c>
      <c r="E526" s="92">
        <v>4278942.5985814957</v>
      </c>
      <c r="F526" s="90" t="s">
        <v>534</v>
      </c>
      <c r="G526" s="25">
        <f t="shared" si="14"/>
        <v>3.3054336690312436E-3</v>
      </c>
      <c r="I526" s="91">
        <v>419.14231416021653</v>
      </c>
      <c r="J526" s="91">
        <v>419.99955439278057</v>
      </c>
      <c r="K526" s="91">
        <v>415.32807672094253</v>
      </c>
      <c r="L526" s="91">
        <v>415.33770863366794</v>
      </c>
      <c r="M526" s="92">
        <v>665828.29213784251</v>
      </c>
      <c r="N526" s="90" t="s">
        <v>534</v>
      </c>
      <c r="O526" s="25">
        <f t="shared" si="15"/>
        <v>9.160269938081278E-3</v>
      </c>
    </row>
    <row r="527" spans="1:15">
      <c r="A527" s="91">
        <v>502.2822399422908</v>
      </c>
      <c r="B527" s="91">
        <v>505.21159520032938</v>
      </c>
      <c r="C527" s="91">
        <v>500.55966226563692</v>
      </c>
      <c r="D527" s="91">
        <v>502.73964757394469</v>
      </c>
      <c r="E527" s="92">
        <v>7985472.9725280255</v>
      </c>
      <c r="F527" s="90" t="s">
        <v>535</v>
      </c>
      <c r="G527" s="25">
        <f t="shared" si="14"/>
        <v>-9.0983003600608736E-4</v>
      </c>
      <c r="I527" s="91">
        <v>416.02157443717414</v>
      </c>
      <c r="J527" s="91">
        <v>420.38483090179813</v>
      </c>
      <c r="K527" s="91">
        <v>415.19804589914907</v>
      </c>
      <c r="L527" s="91">
        <v>418.03464419679096</v>
      </c>
      <c r="M527" s="92">
        <v>648268.95529363479</v>
      </c>
      <c r="N527" s="90" t="s">
        <v>535</v>
      </c>
      <c r="O527" s="25">
        <f t="shared" si="15"/>
        <v>-4.8155572452247553E-3</v>
      </c>
    </row>
    <row r="528" spans="1:15">
      <c r="A528" s="91">
        <v>500.76403588829072</v>
      </c>
      <c r="B528" s="91">
        <v>504.1507987779832</v>
      </c>
      <c r="C528" s="91">
        <v>498.44780149821366</v>
      </c>
      <c r="D528" s="91">
        <v>498.75922797082916</v>
      </c>
      <c r="E528" s="92">
        <v>5382376.0900059147</v>
      </c>
      <c r="F528" s="90" t="s">
        <v>536</v>
      </c>
      <c r="G528" s="25">
        <f t="shared" si="14"/>
        <v>4.0195906261584202E-3</v>
      </c>
      <c r="I528" s="91">
        <v>416.32979564438824</v>
      </c>
      <c r="J528" s="91">
        <v>421.57918807975261</v>
      </c>
      <c r="K528" s="91">
        <v>415.74224896813638</v>
      </c>
      <c r="L528" s="91">
        <v>418.98820355660945</v>
      </c>
      <c r="M528" s="92">
        <v>718551.98414750397</v>
      </c>
      <c r="N528" s="90" t="s">
        <v>536</v>
      </c>
      <c r="O528" s="25">
        <f t="shared" si="15"/>
        <v>-6.3448275862068026E-3</v>
      </c>
    </row>
    <row r="529" spans="1:15">
      <c r="A529" s="91">
        <v>497.68869947121368</v>
      </c>
      <c r="B529" s="91">
        <v>502.9440211965985</v>
      </c>
      <c r="C529" s="91">
        <v>497.13883710550215</v>
      </c>
      <c r="D529" s="91">
        <v>502.17518709232928</v>
      </c>
      <c r="E529" s="92">
        <v>5698997.0861977609</v>
      </c>
      <c r="F529" s="90" t="s">
        <v>537</v>
      </c>
      <c r="G529" s="25">
        <f t="shared" si="14"/>
        <v>-8.9341085271318343E-3</v>
      </c>
      <c r="I529" s="91">
        <v>416.11789356442853</v>
      </c>
      <c r="J529" s="91">
        <v>417.25445926603038</v>
      </c>
      <c r="K529" s="91">
        <v>409.02880579850523</v>
      </c>
      <c r="L529" s="91">
        <v>409.41408230752279</v>
      </c>
      <c r="M529" s="92">
        <v>790304.08777430246</v>
      </c>
      <c r="N529" s="90" t="s">
        <v>537</v>
      </c>
      <c r="O529" s="25">
        <f t="shared" si="15"/>
        <v>1.6374158942267014E-2</v>
      </c>
    </row>
    <row r="530" spans="1:15">
      <c r="A530" s="91">
        <v>501.99027762421383</v>
      </c>
      <c r="B530" s="91">
        <v>502.35523052180997</v>
      </c>
      <c r="C530" s="91">
        <v>497.98066178929065</v>
      </c>
      <c r="D530" s="91">
        <v>498.26289203009833</v>
      </c>
      <c r="E530" s="92">
        <v>3541816.309759221</v>
      </c>
      <c r="F530" s="90" t="s">
        <v>538</v>
      </c>
      <c r="G530" s="25">
        <f t="shared" si="14"/>
        <v>7.480760967225164E-3</v>
      </c>
      <c r="I530" s="91">
        <v>410.55064800912464</v>
      </c>
      <c r="J530" s="91">
        <v>410.88776495451498</v>
      </c>
      <c r="K530" s="91">
        <v>407.13131899159367</v>
      </c>
      <c r="L530" s="91">
        <v>407.13131899159367</v>
      </c>
      <c r="M530" s="92">
        <v>745133.41270673368</v>
      </c>
      <c r="N530" s="90" t="s">
        <v>538</v>
      </c>
      <c r="O530" s="25">
        <f t="shared" si="15"/>
        <v>8.3985899832028643E-3</v>
      </c>
    </row>
    <row r="531" spans="1:15">
      <c r="A531" s="91">
        <v>497.20209560775214</v>
      </c>
      <c r="B531" s="91">
        <v>498.29208826190603</v>
      </c>
      <c r="C531" s="91">
        <v>496.86147290332906</v>
      </c>
      <c r="D531" s="91">
        <v>497.51352208036752</v>
      </c>
      <c r="E531" s="92">
        <v>3232427.0687264209</v>
      </c>
      <c r="F531" s="90" t="s">
        <v>539</v>
      </c>
      <c r="G531" s="25">
        <f t="shared" si="14"/>
        <v>-6.2596584573848535E-4</v>
      </c>
      <c r="I531" s="91">
        <v>408.13303791503938</v>
      </c>
      <c r="J531" s="91">
        <v>414.54789179018195</v>
      </c>
      <c r="K531" s="91">
        <v>408.08487835141216</v>
      </c>
      <c r="L531" s="91">
        <v>414.1722471938898</v>
      </c>
      <c r="M531" s="92">
        <v>945200.63247196574</v>
      </c>
      <c r="N531" s="90" t="s">
        <v>539</v>
      </c>
      <c r="O531" s="25">
        <f t="shared" si="15"/>
        <v>-1.4581395348837178E-2</v>
      </c>
    </row>
    <row r="532" spans="1:15">
      <c r="A532" s="91">
        <v>496.6570992806752</v>
      </c>
      <c r="B532" s="91">
        <v>497.50865604173288</v>
      </c>
      <c r="C532" s="91">
        <v>495.67415947648283</v>
      </c>
      <c r="D532" s="91">
        <v>496.82254459425212</v>
      </c>
      <c r="E532" s="92">
        <v>3229915.7857470647</v>
      </c>
      <c r="F532" s="90" t="s">
        <v>540</v>
      </c>
      <c r="G532" s="25">
        <f t="shared" si="14"/>
        <v>-3.3300685602344338E-4</v>
      </c>
      <c r="I532" s="91">
        <v>414.4130450120258</v>
      </c>
      <c r="J532" s="91">
        <v>420.07352748251196</v>
      </c>
      <c r="K532" s="91">
        <v>413.60396434308893</v>
      </c>
      <c r="L532" s="91">
        <v>419.132682247491</v>
      </c>
      <c r="M532" s="92">
        <v>755840.52799522853</v>
      </c>
      <c r="N532" s="90" t="s">
        <v>540</v>
      </c>
      <c r="O532" s="25">
        <f t="shared" si="15"/>
        <v>-1.1260484890267541E-2</v>
      </c>
    </row>
    <row r="533" spans="1:15">
      <c r="A533" s="91">
        <v>496.18022749448284</v>
      </c>
      <c r="B533" s="91">
        <v>496.43326150348287</v>
      </c>
      <c r="C533" s="91">
        <v>492.9199816092904</v>
      </c>
      <c r="D533" s="91">
        <v>493.54283455452122</v>
      </c>
      <c r="E533" s="92">
        <v>3243831.6226494466</v>
      </c>
      <c r="F533" s="90" t="s">
        <v>541</v>
      </c>
      <c r="G533" s="25">
        <f t="shared" si="14"/>
        <v>5.3437974483858675E-3</v>
      </c>
      <c r="I533" s="91">
        <v>418.72814191302263</v>
      </c>
      <c r="J533" s="91">
        <v>421.00127331622622</v>
      </c>
      <c r="K533" s="91">
        <v>416.57059346252419</v>
      </c>
      <c r="L533" s="91">
        <v>421.00127331622622</v>
      </c>
      <c r="M533" s="92">
        <v>453394.88889532321</v>
      </c>
      <c r="N533" s="90" t="s">
        <v>541</v>
      </c>
      <c r="O533" s="25">
        <f t="shared" si="15"/>
        <v>-5.3993456725157651E-3</v>
      </c>
    </row>
    <row r="534" spans="1:15">
      <c r="A534" s="91">
        <v>493.23140808190584</v>
      </c>
      <c r="B534" s="91">
        <v>493.5525666317904</v>
      </c>
      <c r="C534" s="91">
        <v>490.71080006917498</v>
      </c>
      <c r="D534" s="91">
        <v>490.71080006917498</v>
      </c>
      <c r="E534" s="92">
        <v>2189754.5005500671</v>
      </c>
      <c r="F534" s="90" t="s">
        <v>542</v>
      </c>
      <c r="G534" s="25">
        <f t="shared" si="14"/>
        <v>5.1366467018365558E-3</v>
      </c>
      <c r="I534" s="91">
        <v>421.00127331622622</v>
      </c>
      <c r="J534" s="91">
        <v>422.36900492323866</v>
      </c>
      <c r="K534" s="91">
        <v>418.84372486572789</v>
      </c>
      <c r="L534" s="91">
        <v>420.89532227624647</v>
      </c>
      <c r="M534" s="92">
        <v>315600.8662714868</v>
      </c>
      <c r="N534" s="90" t="s">
        <v>542</v>
      </c>
      <c r="O534" s="25">
        <f t="shared" si="15"/>
        <v>2.5172776786108741E-4</v>
      </c>
    </row>
    <row r="535" spans="1:15">
      <c r="A535" s="91">
        <v>491.01249446452107</v>
      </c>
      <c r="B535" s="91">
        <v>491.09035108267494</v>
      </c>
      <c r="C535" s="91">
        <v>486.22431244805938</v>
      </c>
      <c r="D535" s="91">
        <v>486.3021690662132</v>
      </c>
      <c r="E535" s="92">
        <v>4325985.9981902791</v>
      </c>
      <c r="F535" s="90" t="s">
        <v>543</v>
      </c>
      <c r="G535" s="25">
        <f t="shared" si="14"/>
        <v>9.6860053233003285E-3</v>
      </c>
      <c r="I535" s="91">
        <v>421.27096687253857</v>
      </c>
      <c r="J535" s="91">
        <v>421.37691791251842</v>
      </c>
      <c r="K535" s="91">
        <v>417.69752725140063</v>
      </c>
      <c r="L535" s="91">
        <v>418.71851000029716</v>
      </c>
      <c r="M535" s="92">
        <v>523302.0837790154</v>
      </c>
      <c r="N535" s="90" t="s">
        <v>543</v>
      </c>
      <c r="O535" s="25">
        <f t="shared" si="15"/>
        <v>6.095877806404193E-3</v>
      </c>
    </row>
    <row r="536" spans="1:15">
      <c r="A536" s="91">
        <v>487.84956935202092</v>
      </c>
      <c r="B536" s="91">
        <v>488.23875512201749</v>
      </c>
      <c r="C536" s="91">
        <v>485.24137264386701</v>
      </c>
      <c r="D536" s="91">
        <v>488.05394297467484</v>
      </c>
      <c r="E536" s="92">
        <v>4488790.9118965557</v>
      </c>
      <c r="F536" s="90" t="s">
        <v>544</v>
      </c>
      <c r="G536" s="25">
        <f t="shared" si="14"/>
        <v>-4.1875211868647177E-4</v>
      </c>
      <c r="I536" s="91">
        <v>418.98820355660945</v>
      </c>
      <c r="J536" s="91">
        <v>424.28575555560104</v>
      </c>
      <c r="K536" s="91">
        <v>417.27853904784399</v>
      </c>
      <c r="L536" s="91">
        <v>421.49250086522369</v>
      </c>
      <c r="M536" s="92">
        <v>746583.79960269283</v>
      </c>
      <c r="N536" s="90" t="s">
        <v>544</v>
      </c>
      <c r="O536" s="25">
        <f t="shared" si="15"/>
        <v>-5.9414990859232297E-3</v>
      </c>
    </row>
    <row r="537" spans="1:15">
      <c r="A537" s="91">
        <v>486.73038046605939</v>
      </c>
      <c r="B537" s="91">
        <v>492.18034373682883</v>
      </c>
      <c r="C537" s="91">
        <v>485.6403878119055</v>
      </c>
      <c r="D537" s="91">
        <v>489.49429041052105</v>
      </c>
      <c r="E537" s="92">
        <v>5752698.8793033641</v>
      </c>
      <c r="F537" s="90" t="s">
        <v>545</v>
      </c>
      <c r="G537" s="25">
        <f t="shared" si="14"/>
        <v>-5.6464600274370724E-3</v>
      </c>
      <c r="I537" s="91">
        <v>419.90323526552618</v>
      </c>
      <c r="J537" s="91">
        <v>421.97409650149564</v>
      </c>
      <c r="K537" s="91">
        <v>417.97685272043833</v>
      </c>
      <c r="L537" s="91">
        <v>420.24998412364198</v>
      </c>
      <c r="M537" s="92">
        <v>1145246.0497140661</v>
      </c>
      <c r="N537" s="90" t="s">
        <v>545</v>
      </c>
      <c r="O537" s="25">
        <f t="shared" si="15"/>
        <v>-8.2510141871605658E-4</v>
      </c>
    </row>
    <row r="538" spans="1:15">
      <c r="A538" s="91">
        <v>488.61499721523182</v>
      </c>
      <c r="B538" s="91">
        <v>489.22594779227973</v>
      </c>
      <c r="C538" s="91">
        <v>487.13126009954397</v>
      </c>
      <c r="D538" s="91">
        <v>487.79069881762746</v>
      </c>
      <c r="E538" s="92">
        <v>3732515.7478673211</v>
      </c>
      <c r="F538" s="90" t="s">
        <v>546</v>
      </c>
      <c r="G538" s="25">
        <f t="shared" si="14"/>
        <v>1.6898608349900091E-3</v>
      </c>
      <c r="I538" s="91">
        <v>418.90151634208053</v>
      </c>
      <c r="J538" s="91">
        <v>421.49250086522369</v>
      </c>
      <c r="K538" s="91">
        <v>416.08899782625224</v>
      </c>
      <c r="L538" s="91">
        <v>416.61875302615141</v>
      </c>
      <c r="M538" s="92">
        <v>1019146.4852119797</v>
      </c>
      <c r="N538" s="90" t="s">
        <v>546</v>
      </c>
      <c r="O538" s="25">
        <f t="shared" si="15"/>
        <v>5.4792620335690767E-3</v>
      </c>
    </row>
    <row r="539" spans="1:15">
      <c r="A539" s="91">
        <v>487.85858221507721</v>
      </c>
      <c r="B539" s="91">
        <v>488.53741618957491</v>
      </c>
      <c r="C539" s="91">
        <v>485.74449926592723</v>
      </c>
      <c r="D539" s="91">
        <v>486.30696170193966</v>
      </c>
      <c r="E539" s="92">
        <v>3302560.1019143178</v>
      </c>
      <c r="F539" s="90" t="s">
        <v>547</v>
      </c>
      <c r="G539" s="25">
        <f t="shared" si="14"/>
        <v>3.1906195784392466E-3</v>
      </c>
      <c r="I539" s="91">
        <v>415.60740218998029</v>
      </c>
      <c r="J539" s="91">
        <v>417.28239181293412</v>
      </c>
      <c r="K539" s="91">
        <v>411.38862441623786</v>
      </c>
      <c r="L539" s="91">
        <v>414.49010031382926</v>
      </c>
      <c r="M539" s="92">
        <v>809256.70966817194</v>
      </c>
      <c r="N539" s="90" t="s">
        <v>547</v>
      </c>
      <c r="O539" s="25">
        <f t="shared" si="15"/>
        <v>2.6956056979530185E-3</v>
      </c>
    </row>
    <row r="540" spans="1:15">
      <c r="A540" s="91">
        <v>487.31551503547905</v>
      </c>
      <c r="B540" s="91">
        <v>487.62583913810658</v>
      </c>
      <c r="C540" s="91">
        <v>485.19173445812197</v>
      </c>
      <c r="D540" s="91">
        <v>486.53970477891028</v>
      </c>
      <c r="E540" s="92">
        <v>6534302.8879516982</v>
      </c>
      <c r="F540" s="90" t="s">
        <v>548</v>
      </c>
      <c r="G540" s="25">
        <f t="shared" si="14"/>
        <v>1.5945466504554417E-3</v>
      </c>
      <c r="I540" s="91">
        <v>412.70819645962303</v>
      </c>
      <c r="J540" s="91">
        <v>415.6700096226956</v>
      </c>
      <c r="K540" s="91">
        <v>412.66003689599586</v>
      </c>
      <c r="L540" s="91">
        <v>415.04875125190483</v>
      </c>
      <c r="M540" s="92">
        <v>752048.96540106751</v>
      </c>
      <c r="N540" s="90" t="s">
        <v>548</v>
      </c>
      <c r="O540" s="25">
        <f t="shared" si="15"/>
        <v>-5.6392286092225019E-3</v>
      </c>
    </row>
    <row r="541" spans="1:15">
      <c r="A541" s="91">
        <v>485.2984083684002</v>
      </c>
      <c r="B541" s="91">
        <v>489.18667239804091</v>
      </c>
      <c r="C541" s="91">
        <v>485.2984083684002</v>
      </c>
      <c r="D541" s="91">
        <v>486.85002888153775</v>
      </c>
      <c r="E541" s="92">
        <v>7241816.0915378761</v>
      </c>
      <c r="F541" s="90" t="s">
        <v>549</v>
      </c>
      <c r="G541" s="25">
        <f t="shared" si="14"/>
        <v>-3.1870605342309011E-3</v>
      </c>
      <c r="I541" s="91">
        <v>414.81758534649424</v>
      </c>
      <c r="J541" s="91">
        <v>421.58881999247808</v>
      </c>
      <c r="K541" s="91">
        <v>413.05494531773883</v>
      </c>
      <c r="L541" s="91">
        <v>417.92869315681111</v>
      </c>
      <c r="M541" s="92">
        <v>1118706.1497703255</v>
      </c>
      <c r="N541" s="90" t="s">
        <v>549</v>
      </c>
      <c r="O541" s="25">
        <f t="shared" si="15"/>
        <v>-7.4441115464392027E-3</v>
      </c>
    </row>
    <row r="542" spans="1:15">
      <c r="A542" s="91">
        <v>486.60758817636003</v>
      </c>
      <c r="B542" s="91">
        <v>487.99987665805486</v>
      </c>
      <c r="C542" s="91">
        <v>485.70570875309886</v>
      </c>
      <c r="D542" s="91">
        <v>486.91791227898756</v>
      </c>
      <c r="E542" s="92">
        <v>4483403.4746891512</v>
      </c>
      <c r="F542" s="90" t="s">
        <v>550</v>
      </c>
      <c r="G542" s="25">
        <f t="shared" si="14"/>
        <v>-6.3732324238208182E-4</v>
      </c>
      <c r="I542" s="91">
        <v>416.18531695350657</v>
      </c>
      <c r="J542" s="91">
        <v>417.57231238596984</v>
      </c>
      <c r="K542" s="91">
        <v>411.29712124534615</v>
      </c>
      <c r="L542" s="91">
        <v>415.84820000811624</v>
      </c>
      <c r="M542" s="92">
        <v>1961200.2868452538</v>
      </c>
      <c r="N542" s="90" t="s">
        <v>550</v>
      </c>
      <c r="O542" s="25">
        <f t="shared" si="15"/>
        <v>8.1067309028570733E-4</v>
      </c>
    </row>
    <row r="543" spans="1:15">
      <c r="A543" s="91">
        <v>487.67432727914212</v>
      </c>
      <c r="B543" s="91">
        <v>490.44784894637559</v>
      </c>
      <c r="C543" s="91">
        <v>486.03542811214055</v>
      </c>
      <c r="D543" s="91">
        <v>489.86599125394895</v>
      </c>
      <c r="E543" s="92">
        <v>4960869.7067524986</v>
      </c>
      <c r="F543" s="90" t="s">
        <v>551</v>
      </c>
      <c r="G543" s="25">
        <f t="shared" si="14"/>
        <v>-4.4740072059230585E-3</v>
      </c>
      <c r="I543" s="91">
        <v>418.48734409488662</v>
      </c>
      <c r="J543" s="91">
        <v>420.72194784718852</v>
      </c>
      <c r="K543" s="91">
        <v>409.89567794379474</v>
      </c>
      <c r="L543" s="91">
        <v>409.89567794379474</v>
      </c>
      <c r="M543" s="92">
        <v>896838.48330405436</v>
      </c>
      <c r="N543" s="90" t="s">
        <v>551</v>
      </c>
      <c r="O543" s="25">
        <f t="shared" si="15"/>
        <v>2.0960616599304593E-2</v>
      </c>
    </row>
    <row r="544" spans="1:15">
      <c r="A544" s="91">
        <v>489.03199522813748</v>
      </c>
      <c r="B544" s="91">
        <v>489.10492139225499</v>
      </c>
      <c r="C544" s="91">
        <v>487.43188657396439</v>
      </c>
      <c r="D544" s="91">
        <v>487.83918695866299</v>
      </c>
      <c r="E544" s="92">
        <v>3538664.2246029279</v>
      </c>
      <c r="F544" s="90" t="s">
        <v>552</v>
      </c>
      <c r="G544" s="25">
        <f t="shared" ref="G544:G607" si="16">A544/D544-1</f>
        <v>2.4450849816120002E-3</v>
      </c>
      <c r="I544" s="91">
        <v>410.15573958738162</v>
      </c>
      <c r="J544" s="91">
        <v>416.95586997154174</v>
      </c>
      <c r="K544" s="91">
        <v>409.30813126754293</v>
      </c>
      <c r="L544" s="91">
        <v>414.45157266292756</v>
      </c>
      <c r="M544" s="92">
        <v>999894.85728658829</v>
      </c>
      <c r="N544" s="90" t="s">
        <v>552</v>
      </c>
      <c r="O544" s="25">
        <f t="shared" ref="O544:O607" si="17">I544/L544-1</f>
        <v>-1.0365102605219723E-2</v>
      </c>
    </row>
    <row r="545" spans="1:15">
      <c r="A545" s="91">
        <v>487.73251304838476</v>
      </c>
      <c r="B545" s="91">
        <v>488.93501894606641</v>
      </c>
      <c r="C545" s="91">
        <v>482.85460606020854</v>
      </c>
      <c r="D545" s="91">
        <v>483.4073708680138</v>
      </c>
      <c r="E545" s="92">
        <v>4753264.3049982898</v>
      </c>
      <c r="F545" s="90" t="s">
        <v>553</v>
      </c>
      <c r="G545" s="25">
        <f t="shared" si="16"/>
        <v>8.9471994864387394E-3</v>
      </c>
      <c r="I545" s="91">
        <v>413.96034511393009</v>
      </c>
      <c r="J545" s="91">
        <v>415.17396611733551</v>
      </c>
      <c r="K545" s="91">
        <v>406.64972335532173</v>
      </c>
      <c r="L545" s="91">
        <v>407.46843593698406</v>
      </c>
      <c r="M545" s="92">
        <v>1073019.4816553039</v>
      </c>
      <c r="N545" s="90" t="s">
        <v>553</v>
      </c>
      <c r="O545" s="25">
        <f t="shared" si="17"/>
        <v>1.5932299546141948E-2</v>
      </c>
    </row>
    <row r="546" spans="1:15">
      <c r="A546" s="91">
        <v>483.89225227836931</v>
      </c>
      <c r="B546" s="91">
        <v>483.95043804761195</v>
      </c>
      <c r="C546" s="91">
        <v>481.28359029065672</v>
      </c>
      <c r="D546" s="91">
        <v>482.22426022674637</v>
      </c>
      <c r="E546" s="92">
        <v>5993265.4416869218</v>
      </c>
      <c r="F546" s="90" t="s">
        <v>554</v>
      </c>
      <c r="G546" s="25">
        <f t="shared" si="16"/>
        <v>3.4589550738044483E-3</v>
      </c>
      <c r="I546" s="91">
        <v>408.47978677315518</v>
      </c>
      <c r="J546" s="91">
        <v>408.49905059860606</v>
      </c>
      <c r="K546" s="91">
        <v>403.191866686889</v>
      </c>
      <c r="L546" s="91">
        <v>406.55340422806728</v>
      </c>
      <c r="M546" s="92">
        <v>1127099.0829606866</v>
      </c>
      <c r="N546" s="90" t="s">
        <v>554</v>
      </c>
      <c r="O546" s="25">
        <f t="shared" si="17"/>
        <v>4.7383259494422347E-3</v>
      </c>
    </row>
    <row r="547" spans="1:15">
      <c r="A547" s="91">
        <v>483.50434715008487</v>
      </c>
      <c r="B547" s="91">
        <v>484.34804080410345</v>
      </c>
      <c r="C547" s="91">
        <v>481.0605448418932</v>
      </c>
      <c r="D547" s="91">
        <v>484.20257638099679</v>
      </c>
      <c r="E547" s="92">
        <v>9083539.6159461997</v>
      </c>
      <c r="F547" s="90" t="s">
        <v>555</v>
      </c>
      <c r="G547" s="25">
        <f t="shared" si="16"/>
        <v>-1.4420188263568612E-3</v>
      </c>
      <c r="I547" s="91">
        <v>407.83444862055075</v>
      </c>
      <c r="J547" s="91">
        <v>411.09966703447469</v>
      </c>
      <c r="K547" s="91">
        <v>404.78113228658651</v>
      </c>
      <c r="L547" s="91">
        <v>410.87813304178957</v>
      </c>
      <c r="M547" s="92">
        <v>1447068.7595816341</v>
      </c>
      <c r="N547" s="90" t="s">
        <v>555</v>
      </c>
      <c r="O547" s="25">
        <f t="shared" si="17"/>
        <v>-7.4077547001735189E-3</v>
      </c>
    </row>
    <row r="548" spans="1:15">
      <c r="A548" s="91">
        <v>482.59277009861654</v>
      </c>
      <c r="B548" s="91">
        <v>485.0268747786011</v>
      </c>
      <c r="C548" s="91">
        <v>481.69089067535532</v>
      </c>
      <c r="D548" s="91">
        <v>482.87400131662275</v>
      </c>
      <c r="E548" s="92">
        <v>3814115.0815497404</v>
      </c>
      <c r="F548" s="90" t="s">
        <v>556</v>
      </c>
      <c r="G548" s="25">
        <f t="shared" si="16"/>
        <v>-5.8241118229473976E-4</v>
      </c>
      <c r="I548" s="91">
        <v>411.42715206713956</v>
      </c>
      <c r="J548" s="91">
        <v>416.39721903346629</v>
      </c>
      <c r="K548" s="91">
        <v>408.77837606764376</v>
      </c>
      <c r="L548" s="91">
        <v>414.39378118657493</v>
      </c>
      <c r="M548" s="92">
        <v>1376871.9026049047</v>
      </c>
      <c r="N548" s="90" t="s">
        <v>556</v>
      </c>
      <c r="O548" s="25">
        <f t="shared" si="17"/>
        <v>-7.1589614857170414E-3</v>
      </c>
    </row>
    <row r="549" spans="1:15">
      <c r="A549" s="91">
        <v>478.60704490549438</v>
      </c>
      <c r="B549" s="91">
        <v>478.73311407218682</v>
      </c>
      <c r="C549" s="91">
        <v>474.31972347513107</v>
      </c>
      <c r="D549" s="91">
        <v>476.1438473408885</v>
      </c>
      <c r="E549" s="92">
        <v>4154029.1233752714</v>
      </c>
      <c r="F549" s="90" t="s">
        <v>557</v>
      </c>
      <c r="G549" s="25">
        <f t="shared" si="16"/>
        <v>5.1732214505386676E-3</v>
      </c>
      <c r="I549" s="91">
        <v>413.9988727648319</v>
      </c>
      <c r="J549" s="91">
        <v>419.9513948291534</v>
      </c>
      <c r="K549" s="91">
        <v>413.18016018316956</v>
      </c>
      <c r="L549" s="91">
        <v>418.2658101022015</v>
      </c>
      <c r="M549" s="92">
        <v>1438022.7889127058</v>
      </c>
      <c r="N549" s="90" t="s">
        <v>557</v>
      </c>
      <c r="O549" s="25">
        <f t="shared" si="17"/>
        <v>-1.0201496833621149E-2</v>
      </c>
    </row>
    <row r="550" spans="1:15">
      <c r="A550" s="91">
        <v>477.52091054629813</v>
      </c>
      <c r="B550" s="91">
        <v>477.79244413609717</v>
      </c>
      <c r="C550" s="91">
        <v>474.75708650727177</v>
      </c>
      <c r="D550" s="91">
        <v>475.34864182790545</v>
      </c>
      <c r="E550" s="92">
        <v>3573267.5309819016</v>
      </c>
      <c r="F550" s="90" t="s">
        <v>558</v>
      </c>
      <c r="G550" s="25">
        <f t="shared" si="16"/>
        <v>4.5698431156537822E-3</v>
      </c>
      <c r="I550" s="91">
        <v>419.72986083646828</v>
      </c>
      <c r="J550" s="91">
        <v>425.60532759898626</v>
      </c>
      <c r="K550" s="91">
        <v>419.05562694568755</v>
      </c>
      <c r="L550" s="91">
        <v>423.80415991932909</v>
      </c>
      <c r="M550" s="92">
        <v>1052747.2880042661</v>
      </c>
      <c r="N550" s="90" t="s">
        <v>558</v>
      </c>
      <c r="O550" s="25">
        <f t="shared" si="17"/>
        <v>-9.6136363636363242E-3</v>
      </c>
    </row>
    <row r="551" spans="1:15">
      <c r="A551" s="91">
        <v>475.95959240495341</v>
      </c>
      <c r="B551" s="91">
        <v>478.60704490549438</v>
      </c>
      <c r="C551" s="91">
        <v>474.73769125085755</v>
      </c>
      <c r="D551" s="91">
        <v>475.71715169977563</v>
      </c>
      <c r="E551" s="92">
        <v>3159109.5622266773</v>
      </c>
      <c r="F551" s="90" t="s">
        <v>559</v>
      </c>
      <c r="G551" s="25">
        <f t="shared" si="16"/>
        <v>5.0963204566301101E-4</v>
      </c>
      <c r="I551" s="91">
        <v>423.84268757023085</v>
      </c>
      <c r="J551" s="91">
        <v>429.43882886371114</v>
      </c>
      <c r="K551" s="91">
        <v>423.63078549027119</v>
      </c>
      <c r="L551" s="91">
        <v>427.51244631862323</v>
      </c>
      <c r="M551" s="92">
        <v>744076.5094425343</v>
      </c>
      <c r="N551" s="90" t="s">
        <v>559</v>
      </c>
      <c r="O551" s="25">
        <f t="shared" si="17"/>
        <v>-8.5839810746873857E-3</v>
      </c>
    </row>
    <row r="552" spans="1:15">
      <c r="A552" s="91">
        <v>476.58024061020842</v>
      </c>
      <c r="B552" s="91">
        <v>477.29786509753455</v>
      </c>
      <c r="C552" s="91">
        <v>474.83476450921074</v>
      </c>
      <c r="D552" s="91">
        <v>476.96814573849281</v>
      </c>
      <c r="E552" s="92">
        <v>22009468.237142265</v>
      </c>
      <c r="F552" s="90" t="s">
        <v>560</v>
      </c>
      <c r="G552" s="25">
        <f t="shared" si="16"/>
        <v>-8.1327260897856579E-4</v>
      </c>
      <c r="I552" s="91">
        <v>428.40821420208908</v>
      </c>
      <c r="J552" s="91">
        <v>429.93968832543396</v>
      </c>
      <c r="K552" s="91">
        <v>425.24894682814499</v>
      </c>
      <c r="L552" s="91">
        <v>426.1158189734345</v>
      </c>
      <c r="M552" s="92">
        <v>699294.1269297892</v>
      </c>
      <c r="N552" s="90" t="s">
        <v>560</v>
      </c>
      <c r="O552" s="25">
        <f t="shared" si="17"/>
        <v>5.3797468354430666E-3</v>
      </c>
    </row>
    <row r="553" spans="1:15">
      <c r="A553" s="91">
        <v>476.68691452048665</v>
      </c>
      <c r="B553" s="91">
        <v>476.68691452048665</v>
      </c>
      <c r="C553" s="91">
        <v>471.36291663478329</v>
      </c>
      <c r="D553" s="91">
        <v>473.1181873402702</v>
      </c>
      <c r="E553" s="92">
        <v>3120501.1528296764</v>
      </c>
      <c r="F553" s="90" t="s">
        <v>561</v>
      </c>
      <c r="G553" s="25">
        <f t="shared" si="16"/>
        <v>7.5429930104331522E-3</v>
      </c>
      <c r="I553" s="91">
        <v>426.08692323525821</v>
      </c>
      <c r="J553" s="91">
        <v>431.68306452873844</v>
      </c>
      <c r="K553" s="91">
        <v>425.05630857363622</v>
      </c>
      <c r="L553" s="91">
        <v>431.18220506701562</v>
      </c>
      <c r="M553" s="92">
        <v>1031884.3497978949</v>
      </c>
      <c r="N553" s="90" t="s">
        <v>561</v>
      </c>
      <c r="O553" s="25">
        <f t="shared" si="17"/>
        <v>-1.1817003976231977E-2</v>
      </c>
    </row>
    <row r="554" spans="1:15">
      <c r="A554" s="91">
        <v>471.05259253215581</v>
      </c>
      <c r="B554" s="91">
        <v>471.70233362203214</v>
      </c>
      <c r="C554" s="91">
        <v>467.96874676229481</v>
      </c>
      <c r="D554" s="91">
        <v>469.36520522411865</v>
      </c>
      <c r="E554" s="92">
        <v>2640098.1202011015</v>
      </c>
      <c r="F554" s="90" t="s">
        <v>562</v>
      </c>
      <c r="G554" s="25">
        <f t="shared" si="16"/>
        <v>3.5950413223140298E-3</v>
      </c>
      <c r="I554" s="91">
        <v>431.88533469597269</v>
      </c>
      <c r="J554" s="91">
        <v>433.67687046290439</v>
      </c>
      <c r="K554" s="91">
        <v>430.88361577252698</v>
      </c>
      <c r="L554" s="91">
        <v>432.75220684126225</v>
      </c>
      <c r="M554" s="92">
        <v>550981.94421793357</v>
      </c>
      <c r="N554" s="90" t="s">
        <v>562</v>
      </c>
      <c r="O554" s="25">
        <f t="shared" si="17"/>
        <v>-2.0031605421888532E-3</v>
      </c>
    </row>
    <row r="555" spans="1:15">
      <c r="A555" s="91">
        <v>470.48043246793628</v>
      </c>
      <c r="B555" s="91">
        <v>471.70233362203214</v>
      </c>
      <c r="C555" s="91">
        <v>465.87405906955905</v>
      </c>
      <c r="D555" s="91">
        <v>471.59565971175397</v>
      </c>
      <c r="E555" s="92">
        <v>4342562.8515150603</v>
      </c>
      <c r="F555" s="90" t="s">
        <v>563</v>
      </c>
      <c r="G555" s="25">
        <f t="shared" si="16"/>
        <v>-2.3647953937899757E-3</v>
      </c>
      <c r="I555" s="91">
        <v>432.79073449216395</v>
      </c>
      <c r="J555" s="91">
        <v>436.71092297141774</v>
      </c>
      <c r="K555" s="91">
        <v>432.31877076861741</v>
      </c>
      <c r="L555" s="91">
        <v>432.66551962673327</v>
      </c>
      <c r="M555" s="92">
        <v>1127144.7644377246</v>
      </c>
      <c r="N555" s="90" t="s">
        <v>563</v>
      </c>
      <c r="O555" s="25">
        <f t="shared" si="17"/>
        <v>2.8940338379324082E-4</v>
      </c>
    </row>
    <row r="556" spans="1:15">
      <c r="A556" s="91">
        <v>469.96645817295945</v>
      </c>
      <c r="B556" s="91">
        <v>470.24768939096566</v>
      </c>
      <c r="C556" s="91">
        <v>462.06773999826851</v>
      </c>
      <c r="D556" s="91">
        <v>466.68865983895631</v>
      </c>
      <c r="E556" s="92">
        <v>5500284.0757386005</v>
      </c>
      <c r="F556" s="90" t="s">
        <v>564</v>
      </c>
      <c r="G556" s="25">
        <f t="shared" si="16"/>
        <v>7.023522566702578E-3</v>
      </c>
      <c r="I556" s="91">
        <v>434.17772992462722</v>
      </c>
      <c r="J556" s="91">
        <v>435.29503180077819</v>
      </c>
      <c r="K556" s="91">
        <v>428.92352153290011</v>
      </c>
      <c r="L556" s="91">
        <v>429.87226493635586</v>
      </c>
      <c r="M556" s="92">
        <v>2976732.7442942886</v>
      </c>
      <c r="N556" s="90" t="s">
        <v>564</v>
      </c>
      <c r="O556" s="25">
        <f t="shared" si="17"/>
        <v>1.0015684517140855E-2</v>
      </c>
    </row>
    <row r="557" spans="1:15">
      <c r="A557" s="91">
        <v>465.91284958238754</v>
      </c>
      <c r="B557" s="91">
        <v>468.15338960335822</v>
      </c>
      <c r="C557" s="91">
        <v>464.71034368470589</v>
      </c>
      <c r="D557" s="91">
        <v>467.542051121182</v>
      </c>
      <c r="E557" s="92">
        <v>3499401.015922599</v>
      </c>
      <c r="F557" s="90" t="s">
        <v>565</v>
      </c>
      <c r="G557" s="25">
        <f t="shared" si="16"/>
        <v>-3.4846096407533667E-3</v>
      </c>
      <c r="I557" s="91">
        <v>430.08416701631552</v>
      </c>
      <c r="J557" s="91">
        <v>433.59018324837547</v>
      </c>
      <c r="K557" s="91">
        <v>428.45637376571625</v>
      </c>
      <c r="L557" s="91">
        <v>431.97202191050167</v>
      </c>
      <c r="M557" s="92">
        <v>1304996.2513470261</v>
      </c>
      <c r="N557" s="90" t="s">
        <v>565</v>
      </c>
      <c r="O557" s="25">
        <f t="shared" si="17"/>
        <v>-4.370317516946276E-3</v>
      </c>
    </row>
    <row r="558" spans="1:15">
      <c r="A558" s="91">
        <v>469.06457874969823</v>
      </c>
      <c r="B558" s="91">
        <v>470.02464394220215</v>
      </c>
      <c r="C558" s="91">
        <v>468.3566518905792</v>
      </c>
      <c r="D558" s="91">
        <v>468.57969733934277</v>
      </c>
      <c r="E558" s="92">
        <v>5779723.5368238604</v>
      </c>
      <c r="F558" s="90" t="s">
        <v>566</v>
      </c>
      <c r="G558" s="25">
        <f t="shared" si="16"/>
        <v>1.0347896272686619E-3</v>
      </c>
      <c r="I558" s="91">
        <v>429.95895215088478</v>
      </c>
      <c r="J558" s="91">
        <v>437.05767182953355</v>
      </c>
      <c r="K558" s="91">
        <v>429.766313896376</v>
      </c>
      <c r="L558" s="91">
        <v>436.90356122592658</v>
      </c>
      <c r="M558" s="92">
        <v>1392074.4905201022</v>
      </c>
      <c r="N558" s="90" t="s">
        <v>566</v>
      </c>
      <c r="O558" s="25">
        <f t="shared" si="17"/>
        <v>-1.5895061728395166E-2</v>
      </c>
    </row>
    <row r="559" spans="1:15">
      <c r="A559" s="91">
        <v>472.39086522473696</v>
      </c>
      <c r="B559" s="91">
        <v>472.89999070561021</v>
      </c>
      <c r="C559" s="91">
        <v>469.87433070499191</v>
      </c>
      <c r="D559" s="91">
        <v>472.662398814536</v>
      </c>
      <c r="E559" s="92">
        <v>4160518.338950051</v>
      </c>
      <c r="F559" s="90" t="s">
        <v>567</v>
      </c>
      <c r="G559" s="25">
        <f t="shared" si="16"/>
        <v>-5.7447681575706344E-4</v>
      </c>
      <c r="I559" s="91">
        <v>438.73362464376004</v>
      </c>
      <c r="J559" s="91">
        <v>448.00915659835806</v>
      </c>
      <c r="K559" s="91">
        <v>438.30982048384067</v>
      </c>
      <c r="L559" s="91">
        <v>448.00915659835806</v>
      </c>
      <c r="M559" s="92">
        <v>880892.53317160078</v>
      </c>
      <c r="N559" s="90" t="s">
        <v>567</v>
      </c>
      <c r="O559" s="25">
        <f t="shared" si="17"/>
        <v>-2.0703889235267559E-2</v>
      </c>
    </row>
    <row r="560" spans="1:15">
      <c r="A560" s="91">
        <v>472.01265772465968</v>
      </c>
      <c r="B560" s="91">
        <v>472.662398814536</v>
      </c>
      <c r="C560" s="91">
        <v>469.68522695495329</v>
      </c>
      <c r="D560" s="91">
        <v>470.5095253525576</v>
      </c>
      <c r="E560" s="92">
        <v>2634913.3472931101</v>
      </c>
      <c r="F560" s="90" t="s">
        <v>568</v>
      </c>
      <c r="G560" s="25">
        <f t="shared" si="16"/>
        <v>3.1946906302815492E-3</v>
      </c>
      <c r="I560" s="91">
        <v>449.26130525266518</v>
      </c>
      <c r="J560" s="91">
        <v>450.31118373973806</v>
      </c>
      <c r="K560" s="91">
        <v>447.74909495477124</v>
      </c>
      <c r="L560" s="91">
        <v>448.31737780557211</v>
      </c>
      <c r="M560" s="92">
        <v>436938.13679235283</v>
      </c>
      <c r="N560" s="90" t="s">
        <v>568</v>
      </c>
      <c r="O560" s="25">
        <f t="shared" si="17"/>
        <v>2.1054893114191842E-3</v>
      </c>
    </row>
    <row r="561" spans="1:15">
      <c r="A561" s="91">
        <v>468.8221380445205</v>
      </c>
      <c r="B561" s="91">
        <v>475.17408452017747</v>
      </c>
      <c r="C561" s="91">
        <v>467.70691080070287</v>
      </c>
      <c r="D561" s="91">
        <v>475.09650349452062</v>
      </c>
      <c r="E561" s="92">
        <v>3930143.4521955703</v>
      </c>
      <c r="F561" s="90" t="s">
        <v>569</v>
      </c>
      <c r="G561" s="25">
        <f t="shared" si="16"/>
        <v>-1.320650731767059E-2</v>
      </c>
      <c r="I561" s="91">
        <v>448.02842042442342</v>
      </c>
      <c r="J561" s="91">
        <v>455.54654464292793</v>
      </c>
      <c r="K561" s="91">
        <v>447.09824434126665</v>
      </c>
      <c r="L561" s="91">
        <v>452.69847972851994</v>
      </c>
      <c r="M561" s="92">
        <v>987626.58665900736</v>
      </c>
      <c r="N561" s="90" t="s">
        <v>569</v>
      </c>
      <c r="O561" s="25">
        <f t="shared" si="17"/>
        <v>-1.0316048127436028E-2</v>
      </c>
    </row>
    <row r="562" spans="1:15">
      <c r="A562" s="91">
        <v>472.33267945549426</v>
      </c>
      <c r="B562" s="91">
        <v>473.66125451986835</v>
      </c>
      <c r="C562" s="91">
        <v>470.27678227558698</v>
      </c>
      <c r="D562" s="91">
        <v>473.04060631461334</v>
      </c>
      <c r="E562" s="92">
        <v>3351934.0302372202</v>
      </c>
      <c r="F562" s="90" t="s">
        <v>570</v>
      </c>
      <c r="G562" s="25">
        <f t="shared" si="16"/>
        <v>-1.4965456446422998E-3</v>
      </c>
      <c r="I562" s="91">
        <v>455.20132465330272</v>
      </c>
      <c r="J562" s="91">
        <v>455.82463852345933</v>
      </c>
      <c r="K562" s="91">
        <v>451.03950588948777</v>
      </c>
      <c r="L562" s="91">
        <v>451.63405142717562</v>
      </c>
      <c r="M562" s="92">
        <v>580200.46932234638</v>
      </c>
      <c r="N562" s="90" t="s">
        <v>570</v>
      </c>
      <c r="O562" s="25">
        <f t="shared" si="17"/>
        <v>7.8985922670233855E-3</v>
      </c>
    </row>
    <row r="563" spans="1:15">
      <c r="A563" s="91">
        <v>473.70974266090388</v>
      </c>
      <c r="B563" s="91">
        <v>473.80671894297495</v>
      </c>
      <c r="C563" s="91">
        <v>471.6441478527895</v>
      </c>
      <c r="D563" s="91">
        <v>471.81870516051742</v>
      </c>
      <c r="E563" s="92">
        <v>2530078.4352622861</v>
      </c>
      <c r="F563" s="90" t="s">
        <v>571</v>
      </c>
      <c r="G563" s="25">
        <f t="shared" si="16"/>
        <v>4.0079748422503503E-3</v>
      </c>
      <c r="I563" s="91">
        <v>452.52586973370734</v>
      </c>
      <c r="J563" s="91">
        <v>454.50129522989602</v>
      </c>
      <c r="K563" s="91">
        <v>449.3325848296742</v>
      </c>
      <c r="L563" s="91">
        <v>451.39431532326921</v>
      </c>
      <c r="M563" s="92">
        <v>604458.39253557555</v>
      </c>
      <c r="N563" s="90" t="s">
        <v>571</v>
      </c>
      <c r="O563" s="25">
        <f t="shared" si="17"/>
        <v>2.5067980965327585E-3</v>
      </c>
    </row>
    <row r="564" spans="1:15">
      <c r="A564" s="91">
        <v>472.43935336577249</v>
      </c>
      <c r="B564" s="91">
        <v>473.83571485131421</v>
      </c>
      <c r="C564" s="91">
        <v>471.74112413486057</v>
      </c>
      <c r="D564" s="91">
        <v>472.06114586569515</v>
      </c>
      <c r="E564" s="92">
        <v>2680639.992048875</v>
      </c>
      <c r="F564" s="90" t="s">
        <v>572</v>
      </c>
      <c r="G564" s="25">
        <f t="shared" si="16"/>
        <v>8.0118328608413947E-4</v>
      </c>
      <c r="I564" s="91">
        <v>449.68739426345564</v>
      </c>
      <c r="J564" s="91">
        <v>452.70806917267618</v>
      </c>
      <c r="K564" s="91">
        <v>448.87229151017391</v>
      </c>
      <c r="L564" s="91">
        <v>452.52586973370734</v>
      </c>
      <c r="M564" s="92">
        <v>718906.11047593679</v>
      </c>
      <c r="N564" s="90" t="s">
        <v>572</v>
      </c>
      <c r="O564" s="25">
        <f t="shared" si="17"/>
        <v>-6.2725153634244357E-3</v>
      </c>
    </row>
    <row r="565" spans="1:15">
      <c r="A565" s="91">
        <v>471.97386721183119</v>
      </c>
      <c r="B565" s="91">
        <v>472.01265772465968</v>
      </c>
      <c r="C565" s="91">
        <v>470.04403919861636</v>
      </c>
      <c r="D565" s="91">
        <v>471.39200951940461</v>
      </c>
      <c r="E565" s="92">
        <v>3376119.3253414445</v>
      </c>
      <c r="F565" s="90" t="s">
        <v>573</v>
      </c>
      <c r="G565" s="25">
        <f t="shared" si="16"/>
        <v>1.2343393198790409E-3</v>
      </c>
      <c r="I565" s="91">
        <v>450.91484311545645</v>
      </c>
      <c r="J565" s="91">
        <v>452.49710140123858</v>
      </c>
      <c r="K565" s="91">
        <v>448.98295369573714</v>
      </c>
      <c r="L565" s="91">
        <v>452.49710140123858</v>
      </c>
      <c r="M565" s="92">
        <v>1008132.4675834738</v>
      </c>
      <c r="N565" s="90" t="s">
        <v>573</v>
      </c>
      <c r="O565" s="25">
        <f t="shared" si="17"/>
        <v>-3.4967257931208806E-3</v>
      </c>
    </row>
    <row r="566" spans="1:15">
      <c r="A566" s="91">
        <v>471.27563798091933</v>
      </c>
      <c r="B566" s="91">
        <v>473.79702131476785</v>
      </c>
      <c r="C566" s="91">
        <v>471.13987118601977</v>
      </c>
      <c r="D566" s="91">
        <v>472.32298182728721</v>
      </c>
      <c r="E566" s="92">
        <v>3451752.2516957726</v>
      </c>
      <c r="F566" s="90" t="s">
        <v>574</v>
      </c>
      <c r="G566" s="25">
        <f t="shared" si="16"/>
        <v>-2.2174314752079205E-3</v>
      </c>
      <c r="I566" s="91">
        <v>451.3655469908004</v>
      </c>
      <c r="J566" s="91">
        <v>453.02452082983268</v>
      </c>
      <c r="K566" s="91">
        <v>448.4311770789862</v>
      </c>
      <c r="L566" s="91">
        <v>451.01073755701896</v>
      </c>
      <c r="M566" s="92">
        <v>878474.27470595494</v>
      </c>
      <c r="N566" s="90" t="s">
        <v>574</v>
      </c>
      <c r="O566" s="25">
        <f t="shared" si="17"/>
        <v>7.8669841809819729E-4</v>
      </c>
    </row>
    <row r="567" spans="1:15">
      <c r="A567" s="91">
        <v>472.17751740418049</v>
      </c>
      <c r="B567" s="91">
        <v>472.49753913501519</v>
      </c>
      <c r="C567" s="91">
        <v>468.13845525591927</v>
      </c>
      <c r="D567" s="91">
        <v>468.72516176244937</v>
      </c>
      <c r="E567" s="92">
        <v>4536660.826793178</v>
      </c>
      <c r="F567" s="90" t="s">
        <v>575</v>
      </c>
      <c r="G567" s="25">
        <f t="shared" si="16"/>
        <v>7.3654156494393774E-3</v>
      </c>
      <c r="I567" s="91">
        <v>450.36824479854982</v>
      </c>
      <c r="J567" s="91">
        <v>453.80126580648937</v>
      </c>
      <c r="K567" s="91">
        <v>447.17975461659478</v>
      </c>
      <c r="L567" s="91">
        <v>452.47792251292611</v>
      </c>
      <c r="M567" s="92">
        <v>711542.80569523817</v>
      </c>
      <c r="N567" s="90" t="s">
        <v>575</v>
      </c>
      <c r="O567" s="25">
        <f t="shared" si="17"/>
        <v>-4.6624986754265629E-3</v>
      </c>
    </row>
    <row r="568" spans="1:15">
      <c r="A568" s="91">
        <v>466.49470727481417</v>
      </c>
      <c r="B568" s="91">
        <v>466.91170528771988</v>
      </c>
      <c r="C568" s="91">
        <v>464.01211445379403</v>
      </c>
      <c r="D568" s="91">
        <v>464.49699586414948</v>
      </c>
      <c r="E568" s="92">
        <v>3359299.7487896835</v>
      </c>
      <c r="F568" s="90" t="s">
        <v>576</v>
      </c>
      <c r="G568" s="25">
        <f t="shared" si="16"/>
        <v>4.3008058791600412E-3</v>
      </c>
      <c r="I568" s="91">
        <v>454.60677911561487</v>
      </c>
      <c r="J568" s="91">
        <v>459.53575341193027</v>
      </c>
      <c r="K568" s="91">
        <v>454.39581134417728</v>
      </c>
      <c r="L568" s="91">
        <v>458.13569456511698</v>
      </c>
      <c r="M568" s="92">
        <v>527462.2718043928</v>
      </c>
      <c r="N568" s="90" t="s">
        <v>576</v>
      </c>
      <c r="O568" s="25">
        <f t="shared" si="17"/>
        <v>-7.7027734170591611E-3</v>
      </c>
    </row>
    <row r="569" spans="1:15">
      <c r="A569" s="91">
        <v>464.29334567180018</v>
      </c>
      <c r="B569" s="91">
        <v>465.89345432597332</v>
      </c>
      <c r="C569" s="91">
        <v>463.28479233826079</v>
      </c>
      <c r="D569" s="91">
        <v>465.82557092852358</v>
      </c>
      <c r="E569" s="92">
        <v>3205363.1399490261</v>
      </c>
      <c r="F569" s="90" t="s">
        <v>577</v>
      </c>
      <c r="G569" s="25">
        <f t="shared" si="16"/>
        <v>-3.2892682419070063E-3</v>
      </c>
      <c r="I569" s="91">
        <v>457.08085570792883</v>
      </c>
      <c r="J569" s="91">
        <v>460.98855420160305</v>
      </c>
      <c r="K569" s="91">
        <v>455.69038630527172</v>
      </c>
      <c r="L569" s="91">
        <v>455.69038630527172</v>
      </c>
      <c r="M569" s="92">
        <v>528798.11565428297</v>
      </c>
      <c r="N569" s="90" t="s">
        <v>577</v>
      </c>
      <c r="O569" s="25">
        <f t="shared" si="17"/>
        <v>3.0513468013468881E-3</v>
      </c>
    </row>
    <row r="570" spans="1:15">
      <c r="A570" s="91">
        <v>464.26425278717886</v>
      </c>
      <c r="B570" s="91">
        <v>465.86436144135195</v>
      </c>
      <c r="C570" s="91">
        <v>463.14902554336118</v>
      </c>
      <c r="D570" s="91">
        <v>465.1855274668543</v>
      </c>
      <c r="E570" s="92">
        <v>3451523.3297416014</v>
      </c>
      <c r="F570" s="90" t="s">
        <v>578</v>
      </c>
      <c r="G570" s="25">
        <f t="shared" si="16"/>
        <v>-1.9804457045174972E-3</v>
      </c>
      <c r="I570" s="91">
        <v>455.30680853902152</v>
      </c>
      <c r="J570" s="91">
        <v>456.74522516245992</v>
      </c>
      <c r="K570" s="91">
        <v>453.02452082983268</v>
      </c>
      <c r="L570" s="91">
        <v>454.78897855458371</v>
      </c>
      <c r="M570" s="92">
        <v>603813.93391010154</v>
      </c>
      <c r="N570" s="90" t="s">
        <v>578</v>
      </c>
      <c r="O570" s="25">
        <f t="shared" si="17"/>
        <v>1.1386159490573977E-3</v>
      </c>
    </row>
    <row r="571" spans="1:15">
      <c r="A571" s="91">
        <v>463.69209272295933</v>
      </c>
      <c r="B571" s="91">
        <v>463.69209272295933</v>
      </c>
      <c r="C571" s="91">
        <v>460.57915406847707</v>
      </c>
      <c r="D571" s="91">
        <v>461.20949990193924</v>
      </c>
      <c r="E571" s="92">
        <v>3594743.9162950967</v>
      </c>
      <c r="F571" s="90" t="s">
        <v>579</v>
      </c>
      <c r="G571" s="25">
        <f t="shared" si="16"/>
        <v>5.382787695283664E-3</v>
      </c>
      <c r="I571" s="91">
        <v>453.9930546896145</v>
      </c>
      <c r="J571" s="91">
        <v>455.03830410264635</v>
      </c>
      <c r="K571" s="91">
        <v>452.18064974408219</v>
      </c>
      <c r="L571" s="91">
        <v>452.18064974408219</v>
      </c>
      <c r="M571" s="92">
        <v>906164.09652182937</v>
      </c>
      <c r="N571" s="90" t="s">
        <v>579</v>
      </c>
      <c r="O571" s="25">
        <f t="shared" si="17"/>
        <v>4.0081435297110168E-3</v>
      </c>
    </row>
    <row r="572" spans="1:15">
      <c r="A572" s="91">
        <v>461.04464022241837</v>
      </c>
      <c r="B572" s="91">
        <v>461.47133586353124</v>
      </c>
      <c r="C572" s="91">
        <v>459.18269560665328</v>
      </c>
      <c r="D572" s="91">
        <v>459.26997426051724</v>
      </c>
      <c r="E572" s="92">
        <v>3315117.811634589</v>
      </c>
      <c r="F572" s="90" t="s">
        <v>580</v>
      </c>
      <c r="G572" s="25">
        <f t="shared" si="16"/>
        <v>3.8641018602589838E-3</v>
      </c>
      <c r="I572" s="91">
        <v>452.24777585317594</v>
      </c>
      <c r="J572" s="91">
        <v>456.22739517802205</v>
      </c>
      <c r="K572" s="91">
        <v>452.00803974926959</v>
      </c>
      <c r="L572" s="91">
        <v>455.12460910005268</v>
      </c>
      <c r="M572" s="92">
        <v>903724.95619014069</v>
      </c>
      <c r="N572" s="90" t="s">
        <v>580</v>
      </c>
      <c r="O572" s="25">
        <f t="shared" si="17"/>
        <v>-6.320979330397658E-3</v>
      </c>
    </row>
    <row r="573" spans="1:15">
      <c r="A573" s="91">
        <v>461.02524496600415</v>
      </c>
      <c r="B573" s="91">
        <v>462.22775086368574</v>
      </c>
      <c r="C573" s="91">
        <v>460.35610861971355</v>
      </c>
      <c r="D573" s="91">
        <v>461.31617381221741</v>
      </c>
      <c r="E573" s="92">
        <v>3558913.5057473658</v>
      </c>
      <c r="F573" s="90" t="s">
        <v>581</v>
      </c>
      <c r="G573" s="25">
        <f t="shared" si="16"/>
        <v>-6.3064956905600766E-4</v>
      </c>
      <c r="I573" s="91">
        <v>454.29991690261465</v>
      </c>
      <c r="J573" s="91">
        <v>455.3547557598028</v>
      </c>
      <c r="K573" s="91">
        <v>449.70657315176817</v>
      </c>
      <c r="L573" s="91">
        <v>451.3655469908004</v>
      </c>
      <c r="M573" s="92">
        <v>765754.49841997935</v>
      </c>
      <c r="N573" s="90" t="s">
        <v>581</v>
      </c>
      <c r="O573" s="25">
        <f t="shared" si="17"/>
        <v>6.5010941383925047E-3</v>
      </c>
    </row>
    <row r="574" spans="1:15">
      <c r="A574" s="91">
        <v>460.36580624792072</v>
      </c>
      <c r="B574" s="91">
        <v>460.45308490178468</v>
      </c>
      <c r="C574" s="91">
        <v>457.55349406785882</v>
      </c>
      <c r="D574" s="91">
        <v>457.94139919614321</v>
      </c>
      <c r="E574" s="92">
        <v>4931661.5339961611</v>
      </c>
      <c r="F574" s="90" t="s">
        <v>582</v>
      </c>
      <c r="G574" s="25">
        <f t="shared" si="16"/>
        <v>5.2941425606709558E-3</v>
      </c>
      <c r="I574" s="91">
        <v>449.61067871020566</v>
      </c>
      <c r="J574" s="91">
        <v>451.91214530770696</v>
      </c>
      <c r="K574" s="91">
        <v>448.12431486598598</v>
      </c>
      <c r="L574" s="91">
        <v>451.02991644533142</v>
      </c>
      <c r="M574" s="92">
        <v>899238.7733312588</v>
      </c>
      <c r="N574" s="90" t="s">
        <v>582</v>
      </c>
      <c r="O574" s="25">
        <f t="shared" si="17"/>
        <v>-3.1466598630776055E-3</v>
      </c>
    </row>
    <row r="575" spans="1:15">
      <c r="A575" s="91">
        <v>455.76913047775059</v>
      </c>
      <c r="B575" s="91">
        <v>456.75828855487578</v>
      </c>
      <c r="C575" s="91">
        <v>453.30602988942672</v>
      </c>
      <c r="D575" s="91">
        <v>455.55578265719419</v>
      </c>
      <c r="E575" s="92">
        <v>4729877.1431937451</v>
      </c>
      <c r="F575" s="90" t="s">
        <v>583</v>
      </c>
      <c r="G575" s="25">
        <f t="shared" si="16"/>
        <v>4.6832425068110695E-4</v>
      </c>
      <c r="I575" s="91">
        <v>449.83123592579949</v>
      </c>
      <c r="J575" s="91">
        <v>457.91513734952304</v>
      </c>
      <c r="K575" s="91">
        <v>446.12971048148484</v>
      </c>
      <c r="L575" s="91">
        <v>456.12191129230325</v>
      </c>
      <c r="M575" s="92">
        <v>1505261.385831577</v>
      </c>
      <c r="N575" s="90" t="s">
        <v>583</v>
      </c>
      <c r="O575" s="25">
        <f t="shared" si="17"/>
        <v>-1.3791653526752934E-2</v>
      </c>
    </row>
    <row r="576" spans="1:15">
      <c r="A576" s="91">
        <v>450.18329663045535</v>
      </c>
      <c r="B576" s="91">
        <v>450.89122348957432</v>
      </c>
      <c r="C576" s="91">
        <v>445.27629675765769</v>
      </c>
      <c r="D576" s="91">
        <v>449.34930060464387</v>
      </c>
      <c r="E576" s="92">
        <v>4096284.0760255042</v>
      </c>
      <c r="F576" s="90" t="s">
        <v>584</v>
      </c>
      <c r="G576" s="25">
        <f t="shared" si="16"/>
        <v>1.8560082872929318E-3</v>
      </c>
      <c r="I576" s="91">
        <v>455.49859742214664</v>
      </c>
      <c r="J576" s="91">
        <v>468.42516814477938</v>
      </c>
      <c r="K576" s="91">
        <v>454.85610466367751</v>
      </c>
      <c r="L576" s="91">
        <v>465.00173658099607</v>
      </c>
      <c r="M576" s="92">
        <v>1431733.6621688835</v>
      </c>
      <c r="N576" s="90" t="s">
        <v>584</v>
      </c>
      <c r="O576" s="25">
        <f t="shared" si="17"/>
        <v>-2.0436782083273153E-2</v>
      </c>
    </row>
    <row r="577" spans="1:15">
      <c r="A577" s="91">
        <v>446.02301412960514</v>
      </c>
      <c r="B577" s="91">
        <v>452.94712066948159</v>
      </c>
      <c r="C577" s="91">
        <v>445.54783034745674</v>
      </c>
      <c r="D577" s="91">
        <v>446.83761489900235</v>
      </c>
      <c r="E577" s="92">
        <v>6306054.2943030801</v>
      </c>
      <c r="F577" s="90" t="s">
        <v>585</v>
      </c>
      <c r="G577" s="25">
        <f t="shared" si="16"/>
        <v>-1.8230353538640776E-3</v>
      </c>
      <c r="I577" s="91">
        <v>466.40179542780942</v>
      </c>
      <c r="J577" s="91">
        <v>470.13908949882693</v>
      </c>
      <c r="K577" s="91">
        <v>463.56331995755772</v>
      </c>
      <c r="L577" s="91">
        <v>465.20311490827743</v>
      </c>
      <c r="M577" s="92">
        <v>1206831.1584514941</v>
      </c>
      <c r="N577" s="90" t="s">
        <v>585</v>
      </c>
      <c r="O577" s="25">
        <f t="shared" si="17"/>
        <v>2.5766820580475081E-3</v>
      </c>
    </row>
    <row r="578" spans="1:15">
      <c r="A578" s="91">
        <v>447.47765836067163</v>
      </c>
      <c r="B578" s="91">
        <v>454.17871945178456</v>
      </c>
      <c r="C578" s="91">
        <v>447.40977496322188</v>
      </c>
      <c r="D578" s="91">
        <v>453.2865376567305</v>
      </c>
      <c r="E578" s="92">
        <v>4500931.4718828751</v>
      </c>
      <c r="F578" s="90" t="s">
        <v>586</v>
      </c>
      <c r="G578" s="25">
        <f t="shared" si="16"/>
        <v>-1.2815027170425042E-2</v>
      </c>
      <c r="I578" s="91">
        <v>465.1168099108711</v>
      </c>
      <c r="J578" s="91">
        <v>468.02461706237256</v>
      </c>
      <c r="K578" s="91">
        <v>463.67839328743275</v>
      </c>
      <c r="L578" s="91">
        <v>466.4785109810594</v>
      </c>
      <c r="M578" s="92">
        <v>947891.22830130451</v>
      </c>
      <c r="N578" s="90" t="s">
        <v>586</v>
      </c>
      <c r="O578" s="25">
        <f t="shared" si="17"/>
        <v>-2.919107821975464E-3</v>
      </c>
    </row>
    <row r="579" spans="1:15">
      <c r="A579" s="91">
        <v>454.66360086214002</v>
      </c>
      <c r="B579" s="91">
        <v>455.22606329815244</v>
      </c>
      <c r="C579" s="91">
        <v>452.11312464367012</v>
      </c>
      <c r="D579" s="91">
        <v>454.66360086214002</v>
      </c>
      <c r="E579" s="92">
        <v>3354639.8464883282</v>
      </c>
      <c r="F579" s="90" t="s">
        <v>587</v>
      </c>
      <c r="G579" s="25">
        <f t="shared" si="16"/>
        <v>0</v>
      </c>
      <c r="I579" s="91">
        <v>466.25795376546557</v>
      </c>
      <c r="J579" s="91">
        <v>466.31549043040309</v>
      </c>
      <c r="K579" s="91">
        <v>461.00773308991558</v>
      </c>
      <c r="L579" s="91">
        <v>461.73173612371284</v>
      </c>
      <c r="M579" s="92">
        <v>785926.67908530065</v>
      </c>
      <c r="N579" s="90" t="s">
        <v>587</v>
      </c>
      <c r="O579" s="25">
        <f t="shared" si="17"/>
        <v>9.802699896158007E-3</v>
      </c>
    </row>
    <row r="580" spans="1:15">
      <c r="A580" s="91">
        <v>453.08288746438114</v>
      </c>
      <c r="B580" s="91">
        <v>454.45995066979077</v>
      </c>
      <c r="C580" s="91">
        <v>450.75545669467476</v>
      </c>
      <c r="D580" s="91">
        <v>451.25973336144449</v>
      </c>
      <c r="E580" s="92">
        <v>5060116.6545055965</v>
      </c>
      <c r="F580" s="90" t="s">
        <v>588</v>
      </c>
      <c r="G580" s="25">
        <f t="shared" si="16"/>
        <v>4.0401435540369235E-3</v>
      </c>
      <c r="I580" s="91">
        <v>460.72484448730597</v>
      </c>
      <c r="J580" s="91">
        <v>468.30050537074806</v>
      </c>
      <c r="K580" s="91">
        <v>458.09733678849193</v>
      </c>
      <c r="L580" s="91">
        <v>467.54293928240384</v>
      </c>
      <c r="M580" s="92">
        <v>1430684.5919791961</v>
      </c>
      <c r="N580" s="90" t="s">
        <v>588</v>
      </c>
      <c r="O580" s="25">
        <f t="shared" si="17"/>
        <v>-1.458282057592919E-2</v>
      </c>
    </row>
    <row r="581" spans="1:15">
      <c r="A581" s="91">
        <v>448.59288560448925</v>
      </c>
      <c r="B581" s="91">
        <v>449.44627688671494</v>
      </c>
      <c r="C581" s="91">
        <v>443.43374739830682</v>
      </c>
      <c r="D581" s="91">
        <v>444.89808925758041</v>
      </c>
      <c r="E581" s="92">
        <v>5028268.6610164708</v>
      </c>
      <c r="F581" s="90" t="s">
        <v>589</v>
      </c>
      <c r="G581" s="25">
        <f t="shared" si="16"/>
        <v>8.3048150489350991E-3</v>
      </c>
      <c r="I581" s="91">
        <v>468.0224114902166</v>
      </c>
      <c r="J581" s="91">
        <v>470.45813030590557</v>
      </c>
      <c r="K581" s="91">
        <v>445.90915326589089</v>
      </c>
      <c r="L581" s="91">
        <v>449.52437371279933</v>
      </c>
      <c r="M581" s="92">
        <v>1423809.3238274972</v>
      </c>
      <c r="N581" s="90" t="s">
        <v>589</v>
      </c>
      <c r="O581" s="25">
        <f t="shared" si="17"/>
        <v>4.1150244256245028E-2</v>
      </c>
    </row>
    <row r="582" spans="1:15">
      <c r="A582" s="91">
        <v>450.45483022025439</v>
      </c>
      <c r="B582" s="91">
        <v>452.21010092574124</v>
      </c>
      <c r="C582" s="91">
        <v>448.45711880958976</v>
      </c>
      <c r="D582" s="91">
        <v>451.49247643841511</v>
      </c>
      <c r="E582" s="92">
        <v>7927543.5558187356</v>
      </c>
      <c r="F582" s="90" t="s">
        <v>590</v>
      </c>
      <c r="G582" s="25">
        <f t="shared" si="16"/>
        <v>-2.298258049272861E-3</v>
      </c>
      <c r="I582" s="91">
        <v>455.08625132342763</v>
      </c>
      <c r="J582" s="91">
        <v>457.53155958327284</v>
      </c>
      <c r="K582" s="91">
        <v>451.45185198820667</v>
      </c>
      <c r="L582" s="91">
        <v>455.58490241955292</v>
      </c>
      <c r="M582" s="92">
        <v>1172392.24889441</v>
      </c>
      <c r="N582" s="90" t="s">
        <v>590</v>
      </c>
      <c r="O582" s="25">
        <f t="shared" si="17"/>
        <v>-1.0945294575764875E-3</v>
      </c>
    </row>
    <row r="583" spans="1:15">
      <c r="A583" s="91">
        <v>450.78454957929608</v>
      </c>
      <c r="B583" s="91">
        <v>451.0657807973023</v>
      </c>
      <c r="C583" s="91">
        <v>446.74063861693128</v>
      </c>
      <c r="D583" s="91">
        <v>447.2352176554939</v>
      </c>
      <c r="E583" s="92">
        <v>4390145.6202235669</v>
      </c>
      <c r="F583" s="90" t="s">
        <v>591</v>
      </c>
      <c r="G583" s="25">
        <f t="shared" si="16"/>
        <v>7.9361637538486463E-3</v>
      </c>
      <c r="I583" s="91">
        <v>455.19173520914649</v>
      </c>
      <c r="J583" s="91">
        <v>457.19113431572578</v>
      </c>
      <c r="K583" s="91">
        <v>451.09704255442529</v>
      </c>
      <c r="L583" s="91">
        <v>454.13689635195828</v>
      </c>
      <c r="M583" s="92">
        <v>1423875.0210660165</v>
      </c>
      <c r="N583" s="90" t="s">
        <v>591</v>
      </c>
      <c r="O583" s="25">
        <f t="shared" si="17"/>
        <v>2.3227332235316034E-3</v>
      </c>
    </row>
    <row r="584" spans="1:15">
      <c r="A584" s="91">
        <v>445.16962284737951</v>
      </c>
      <c r="B584" s="91">
        <v>447.76849023060282</v>
      </c>
      <c r="C584" s="91">
        <v>441.58150041074884</v>
      </c>
      <c r="D584" s="91">
        <v>443.71497861631303</v>
      </c>
      <c r="E584" s="92">
        <v>5999495.8310882905</v>
      </c>
      <c r="F584" s="90" t="s">
        <v>592</v>
      </c>
      <c r="G584" s="25">
        <f t="shared" si="16"/>
        <v>3.2783302371326428E-3</v>
      </c>
      <c r="I584" s="91">
        <v>451.64364087133185</v>
      </c>
      <c r="J584" s="91">
        <v>453.05328916230144</v>
      </c>
      <c r="K584" s="91">
        <v>443.09944612810801</v>
      </c>
      <c r="L584" s="91">
        <v>445.84202715679714</v>
      </c>
      <c r="M584" s="92">
        <v>1049425.7890260601</v>
      </c>
      <c r="N584" s="90" t="s">
        <v>592</v>
      </c>
      <c r="O584" s="25">
        <f t="shared" si="17"/>
        <v>1.3012711590992154E-2</v>
      </c>
    </row>
    <row r="585" spans="1:15">
      <c r="A585" s="91">
        <v>441.33905970557112</v>
      </c>
      <c r="B585" s="91">
        <v>446.03271175781225</v>
      </c>
      <c r="C585" s="91">
        <v>440.17534432071784</v>
      </c>
      <c r="D585" s="91">
        <v>445.11143707813682</v>
      </c>
      <c r="E585" s="92">
        <v>10092626.558754081</v>
      </c>
      <c r="F585" s="90" t="s">
        <v>593</v>
      </c>
      <c r="G585" s="25">
        <f t="shared" si="16"/>
        <v>-8.4751301771279763E-3</v>
      </c>
      <c r="I585" s="91">
        <v>443.58850778007701</v>
      </c>
      <c r="J585" s="91">
        <v>444.47073664245255</v>
      </c>
      <c r="K585" s="91">
        <v>434.4641516653997</v>
      </c>
      <c r="L585" s="91">
        <v>436.88548631485429</v>
      </c>
      <c r="M585" s="92">
        <v>1265925.303092852</v>
      </c>
      <c r="N585" s="90" t="s">
        <v>593</v>
      </c>
      <c r="O585" s="25">
        <f t="shared" si="17"/>
        <v>1.5342742378015251E-2</v>
      </c>
    </row>
    <row r="586" spans="1:15">
      <c r="A586" s="91">
        <v>445.06294893710128</v>
      </c>
      <c r="B586" s="91">
        <v>449.29111483540117</v>
      </c>
      <c r="C586" s="91">
        <v>444.35502207798226</v>
      </c>
      <c r="D586" s="91">
        <v>447.40977496322188</v>
      </c>
      <c r="E586" s="92">
        <v>5813056.4294751789</v>
      </c>
      <c r="F586" s="90" t="s">
        <v>594</v>
      </c>
      <c r="G586" s="25">
        <f t="shared" si="16"/>
        <v>-5.245361539795379E-3</v>
      </c>
      <c r="I586" s="91">
        <v>433.92234807057127</v>
      </c>
      <c r="J586" s="91">
        <v>437.94981872175714</v>
      </c>
      <c r="K586" s="91">
        <v>431.40991370163226</v>
      </c>
      <c r="L586" s="91">
        <v>431.40991370163226</v>
      </c>
      <c r="M586" s="92">
        <v>882482.84906893538</v>
      </c>
      <c r="N586" s="90" t="s">
        <v>594</v>
      </c>
      <c r="O586" s="25">
        <f t="shared" si="17"/>
        <v>5.8237752289500566E-3</v>
      </c>
    </row>
    <row r="587" spans="1:15">
      <c r="A587" s="91">
        <v>446.08119989884784</v>
      </c>
      <c r="B587" s="91">
        <v>451.17245470758053</v>
      </c>
      <c r="C587" s="91">
        <v>444.85929874475198</v>
      </c>
      <c r="D587" s="91">
        <v>451.04638554088808</v>
      </c>
      <c r="E587" s="92">
        <v>7379360.0323359026</v>
      </c>
      <c r="F587" s="90" t="s">
        <v>595</v>
      </c>
      <c r="G587" s="25">
        <f t="shared" si="16"/>
        <v>-1.1008148610006208E-2</v>
      </c>
      <c r="I587" s="91">
        <v>433.49082308353979</v>
      </c>
      <c r="J587" s="91">
        <v>435.21692303166583</v>
      </c>
      <c r="K587" s="91">
        <v>430.02423902105335</v>
      </c>
      <c r="L587" s="91">
        <v>434.325104725134</v>
      </c>
      <c r="M587" s="92">
        <v>853217.33634191006</v>
      </c>
      <c r="N587" s="90" t="s">
        <v>595</v>
      </c>
      <c r="O587" s="25">
        <f t="shared" si="17"/>
        <v>-1.9208690276427687E-3</v>
      </c>
    </row>
    <row r="588" spans="1:15">
      <c r="A588" s="91">
        <v>448.78683816863145</v>
      </c>
      <c r="B588" s="91">
        <v>451.43429066917247</v>
      </c>
      <c r="C588" s="91">
        <v>447.63282041198539</v>
      </c>
      <c r="D588" s="91">
        <v>450.01843695093442</v>
      </c>
      <c r="E588" s="92">
        <v>6972239.8669014908</v>
      </c>
      <c r="F588" s="90" t="s">
        <v>596</v>
      </c>
      <c r="G588" s="25">
        <f t="shared" si="16"/>
        <v>-2.736774054519997E-3</v>
      </c>
      <c r="I588" s="91">
        <v>431.86061757697632</v>
      </c>
      <c r="J588" s="91">
        <v>437.42249518760457</v>
      </c>
      <c r="K588" s="91">
        <v>431.57293425228863</v>
      </c>
      <c r="L588" s="91">
        <v>434.47853583163408</v>
      </c>
      <c r="M588" s="92">
        <v>994172.32580480049</v>
      </c>
      <c r="N588" s="90" t="s">
        <v>596</v>
      </c>
      <c r="O588" s="25">
        <f t="shared" si="17"/>
        <v>-6.0254259733378834E-3</v>
      </c>
    </row>
    <row r="589" spans="1:15">
      <c r="A589" s="91">
        <v>449.5917413098216</v>
      </c>
      <c r="B589" s="91">
        <v>459.26997426051724</v>
      </c>
      <c r="C589" s="91">
        <v>448.85472156608125</v>
      </c>
      <c r="D589" s="91">
        <v>459.15360272203196</v>
      </c>
      <c r="E589" s="92">
        <v>9827190.5217122845</v>
      </c>
      <c r="F589" s="90" t="s">
        <v>597</v>
      </c>
      <c r="G589" s="25">
        <f t="shared" si="16"/>
        <v>-2.0824973071155495E-2</v>
      </c>
      <c r="I589" s="91">
        <v>432.76202532766433</v>
      </c>
      <c r="J589" s="91">
        <v>445.53516494379699</v>
      </c>
      <c r="K589" s="91">
        <v>427.90017714044268</v>
      </c>
      <c r="L589" s="91">
        <v>442.99396224238916</v>
      </c>
      <c r="M589" s="92">
        <v>2093714.6796879056</v>
      </c>
      <c r="N589" s="90" t="s">
        <v>597</v>
      </c>
      <c r="O589" s="25">
        <f t="shared" si="17"/>
        <v>-2.3097237856091413E-2</v>
      </c>
    </row>
    <row r="590" spans="1:15">
      <c r="A590" s="91">
        <v>455.3715277212591</v>
      </c>
      <c r="B590" s="91">
        <v>459.71606515804433</v>
      </c>
      <c r="C590" s="91">
        <v>453.76172143887885</v>
      </c>
      <c r="D590" s="91">
        <v>458.47476874753426</v>
      </c>
      <c r="E590" s="92">
        <v>7176726.9804150937</v>
      </c>
      <c r="F590" s="90" t="s">
        <v>598</v>
      </c>
      <c r="G590" s="25">
        <f t="shared" si="16"/>
        <v>-6.7686189902066429E-3</v>
      </c>
      <c r="I590" s="91">
        <v>437.38413741097958</v>
      </c>
      <c r="J590" s="91">
        <v>448.98257011797085</v>
      </c>
      <c r="K590" s="91">
        <v>437.10604353044818</v>
      </c>
      <c r="L590" s="91">
        <v>443.06108835148297</v>
      </c>
      <c r="M590" s="92">
        <v>1090748.3092413219</v>
      </c>
      <c r="N590" s="90" t="s">
        <v>598</v>
      </c>
      <c r="O590" s="25">
        <f t="shared" si="17"/>
        <v>-1.2813020799515185E-2</v>
      </c>
    </row>
    <row r="591" spans="1:15">
      <c r="A591" s="91">
        <v>461.66528842767343</v>
      </c>
      <c r="B591" s="91">
        <v>462.99386349204747</v>
      </c>
      <c r="C591" s="91">
        <v>456.43826682404119</v>
      </c>
      <c r="D591" s="91">
        <v>459.64818176059458</v>
      </c>
      <c r="E591" s="92">
        <v>5269227.5790214743</v>
      </c>
      <c r="F591" s="90" t="s">
        <v>599</v>
      </c>
      <c r="G591" s="25">
        <f t="shared" si="16"/>
        <v>4.3883708173340086E-3</v>
      </c>
      <c r="I591" s="91">
        <v>439.03352180585557</v>
      </c>
      <c r="J591" s="91">
        <v>441.0473050786693</v>
      </c>
      <c r="K591" s="91">
        <v>436.10874133819755</v>
      </c>
      <c r="L591" s="91">
        <v>437.84443073047981</v>
      </c>
      <c r="M591" s="92">
        <v>722498.6023282957</v>
      </c>
      <c r="N591" s="90" t="s">
        <v>599</v>
      </c>
      <c r="O591" s="25">
        <f t="shared" si="17"/>
        <v>2.7157844017609012E-3</v>
      </c>
    </row>
    <row r="592" spans="1:15">
      <c r="A592" s="91">
        <v>458.35839720904892</v>
      </c>
      <c r="B592" s="91">
        <v>460.04578451708602</v>
      </c>
      <c r="C592" s="91">
        <v>456.43826682404119</v>
      </c>
      <c r="D592" s="91">
        <v>457.64077272172284</v>
      </c>
      <c r="E592" s="92">
        <v>7149570.85580651</v>
      </c>
      <c r="F592" s="90" t="s">
        <v>600</v>
      </c>
      <c r="G592" s="25">
        <f t="shared" si="16"/>
        <v>1.5680956114512146E-3</v>
      </c>
      <c r="I592" s="91">
        <v>439.11023735910561</v>
      </c>
      <c r="J592" s="91">
        <v>439.92534011238735</v>
      </c>
      <c r="K592" s="91">
        <v>431.30442981591347</v>
      </c>
      <c r="L592" s="91">
        <v>434.01824251213384</v>
      </c>
      <c r="M592" s="92">
        <v>1025141.7954800854</v>
      </c>
      <c r="N592" s="90" t="s">
        <v>600</v>
      </c>
      <c r="O592" s="25">
        <f t="shared" si="17"/>
        <v>1.1732213875386588E-2</v>
      </c>
    </row>
    <row r="593" spans="1:15">
      <c r="A593" s="91">
        <v>462.8387014407337</v>
      </c>
      <c r="B593" s="91">
        <v>464.12848599227937</v>
      </c>
      <c r="C593" s="91">
        <v>458.44567586291294</v>
      </c>
      <c r="D593" s="91">
        <v>463.9151381717229</v>
      </c>
      <c r="E593" s="92">
        <v>5418016.537433194</v>
      </c>
      <c r="F593" s="90" t="s">
        <v>601</v>
      </c>
      <c r="G593" s="25">
        <f t="shared" si="16"/>
        <v>-2.3203311175216124E-3</v>
      </c>
      <c r="I593" s="91">
        <v>435.99366800832252</v>
      </c>
      <c r="J593" s="91">
        <v>436.41080882911967</v>
      </c>
      <c r="K593" s="91">
        <v>431.93733313022636</v>
      </c>
      <c r="L593" s="91">
        <v>434.23879972772767</v>
      </c>
      <c r="M593" s="92">
        <v>892047.53274668183</v>
      </c>
      <c r="N593" s="90" t="s">
        <v>601</v>
      </c>
      <c r="O593" s="25">
        <f t="shared" si="17"/>
        <v>4.0412516838550516E-3</v>
      </c>
    </row>
    <row r="594" spans="1:15">
      <c r="A594" s="91">
        <v>462.26654137651423</v>
      </c>
      <c r="B594" s="91">
        <v>463.61451169730248</v>
      </c>
      <c r="C594" s="91">
        <v>461.57800977380947</v>
      </c>
      <c r="D594" s="91">
        <v>462.72232990224836</v>
      </c>
      <c r="E594" s="92">
        <v>4884470.6136776777</v>
      </c>
      <c r="F594" s="90" t="s">
        <v>602</v>
      </c>
      <c r="G594" s="25">
        <f t="shared" si="16"/>
        <v>-9.8501519438320972E-4</v>
      </c>
      <c r="I594" s="91">
        <v>437.62387351488599</v>
      </c>
      <c r="J594" s="91">
        <v>439.15338985780875</v>
      </c>
      <c r="K594" s="91">
        <v>436.13750967066636</v>
      </c>
      <c r="L594" s="91">
        <v>437.39372685513587</v>
      </c>
      <c r="M594" s="92">
        <v>1574314.3975817964</v>
      </c>
      <c r="N594" s="90" t="s">
        <v>602</v>
      </c>
      <c r="O594" s="25">
        <f t="shared" si="17"/>
        <v>5.2617732175730403E-4</v>
      </c>
    </row>
    <row r="595" spans="1:15">
      <c r="A595" s="91">
        <v>462.08228644057914</v>
      </c>
      <c r="B595" s="91">
        <v>463.86665003068731</v>
      </c>
      <c r="C595" s="91">
        <v>458.1353517602854</v>
      </c>
      <c r="D595" s="91">
        <v>458.55234977319117</v>
      </c>
      <c r="E595" s="92">
        <v>5762398.6820849637</v>
      </c>
      <c r="F595" s="90" t="s">
        <v>603</v>
      </c>
      <c r="G595" s="25">
        <f t="shared" si="16"/>
        <v>7.6980014803849084E-3</v>
      </c>
      <c r="I595" s="91">
        <v>435.84023690182244</v>
      </c>
      <c r="J595" s="91">
        <v>440.16987093837184</v>
      </c>
      <c r="K595" s="91">
        <v>433.92234807057127</v>
      </c>
      <c r="L595" s="91">
        <v>438.72665959285536</v>
      </c>
      <c r="M595" s="92">
        <v>1599484.7824411255</v>
      </c>
      <c r="N595" s="90" t="s">
        <v>603</v>
      </c>
      <c r="O595" s="25">
        <f t="shared" si="17"/>
        <v>-6.5790911674060704E-3</v>
      </c>
    </row>
    <row r="596" spans="1:15">
      <c r="A596" s="91">
        <v>457.22377470881707</v>
      </c>
      <c r="B596" s="91">
        <v>466.92140291592699</v>
      </c>
      <c r="C596" s="91">
        <v>457.02012451646777</v>
      </c>
      <c r="D596" s="91">
        <v>466.64986932612788</v>
      </c>
      <c r="E596" s="92">
        <v>7085433.5237994948</v>
      </c>
      <c r="F596" s="90" t="s">
        <v>604</v>
      </c>
      <c r="G596" s="25">
        <f t="shared" si="16"/>
        <v>-2.0199501246882745E-2</v>
      </c>
      <c r="I596" s="91">
        <v>440.61578009163776</v>
      </c>
      <c r="J596" s="91">
        <v>445.57352272042192</v>
      </c>
      <c r="K596" s="91">
        <v>436.89507575901058</v>
      </c>
      <c r="L596" s="91">
        <v>439.19654235651194</v>
      </c>
      <c r="M596" s="92">
        <v>2314375.0188609129</v>
      </c>
      <c r="N596" s="90" t="s">
        <v>604</v>
      </c>
      <c r="O596" s="25">
        <f t="shared" si="17"/>
        <v>3.2314410480349665E-3</v>
      </c>
    </row>
    <row r="597" spans="1:15">
      <c r="A597" s="91">
        <v>462.92598009459772</v>
      </c>
      <c r="B597" s="91">
        <v>464.32437808206294</v>
      </c>
      <c r="C597" s="91">
        <v>461.40345246608143</v>
      </c>
      <c r="D597" s="91">
        <v>461.45194060711697</v>
      </c>
      <c r="E597" s="92">
        <v>6418901.4747299058</v>
      </c>
      <c r="F597" s="90" t="s">
        <v>605</v>
      </c>
      <c r="G597" s="25">
        <f t="shared" si="16"/>
        <v>3.194351042367316E-3</v>
      </c>
      <c r="I597" s="91">
        <v>438.24718738504259</v>
      </c>
      <c r="J597" s="91">
        <v>448.40240874651744</v>
      </c>
      <c r="K597" s="91">
        <v>438.05539850191747</v>
      </c>
      <c r="L597" s="91">
        <v>446.22560492304734</v>
      </c>
      <c r="M597" s="92">
        <v>1326107.1020163612</v>
      </c>
      <c r="N597" s="90" t="s">
        <v>605</v>
      </c>
      <c r="O597" s="25">
        <f t="shared" si="17"/>
        <v>-1.7879784239142049E-2</v>
      </c>
    </row>
    <row r="598" spans="1:15">
      <c r="A598" s="91">
        <v>462.50898208169195</v>
      </c>
      <c r="B598" s="91">
        <v>462.56716785093465</v>
      </c>
      <c r="C598" s="91">
        <v>460.35610861971355</v>
      </c>
      <c r="D598" s="91">
        <v>461.92712438926537</v>
      </c>
      <c r="E598" s="92">
        <v>4968041.563469898</v>
      </c>
      <c r="F598" s="90" t="s">
        <v>606</v>
      </c>
      <c r="G598" s="25">
        <f t="shared" si="16"/>
        <v>1.259630928138078E-3</v>
      </c>
      <c r="I598" s="91">
        <v>447.21331767114168</v>
      </c>
      <c r="J598" s="91">
        <v>454.53006356236483</v>
      </c>
      <c r="K598" s="91">
        <v>445.91874271004718</v>
      </c>
      <c r="L598" s="91">
        <v>452.70806917267618</v>
      </c>
      <c r="M598" s="92">
        <v>835996.31734340324</v>
      </c>
      <c r="N598" s="90" t="s">
        <v>606</v>
      </c>
      <c r="O598" s="25">
        <f t="shared" si="17"/>
        <v>-1.2137516151581207E-2</v>
      </c>
    </row>
    <row r="599" spans="1:15">
      <c r="A599" s="91">
        <v>465.55403733872447</v>
      </c>
      <c r="B599" s="91">
        <v>467.38688906986823</v>
      </c>
      <c r="C599" s="91">
        <v>464.35153144104282</v>
      </c>
      <c r="D599" s="91">
        <v>466.88261240309851</v>
      </c>
      <c r="E599" s="92">
        <v>5912744.7222570395</v>
      </c>
      <c r="F599" s="90" t="s">
        <v>607</v>
      </c>
      <c r="G599" s="25">
        <f t="shared" si="16"/>
        <v>-2.8456297773346018E-3</v>
      </c>
      <c r="I599" s="91">
        <v>451.99845030511329</v>
      </c>
      <c r="J599" s="91">
        <v>459.16176508983631</v>
      </c>
      <c r="K599" s="91">
        <v>451.58610420639434</v>
      </c>
      <c r="L599" s="91">
        <v>458.7494189911173</v>
      </c>
      <c r="M599" s="92">
        <v>828762.3214131234</v>
      </c>
      <c r="N599" s="90" t="s">
        <v>607</v>
      </c>
      <c r="O599" s="25">
        <f t="shared" si="17"/>
        <v>-1.4716026672798255E-2</v>
      </c>
    </row>
    <row r="600" spans="1:15">
      <c r="A600" s="91">
        <v>466.16498791577237</v>
      </c>
      <c r="B600" s="91">
        <v>467.58064768144629</v>
      </c>
      <c r="C600" s="91">
        <v>465.97433254522059</v>
      </c>
      <c r="D600" s="91">
        <v>466.32984759529324</v>
      </c>
      <c r="E600" s="92">
        <v>4191765.1545144836</v>
      </c>
      <c r="F600" s="90" t="s">
        <v>608</v>
      </c>
      <c r="G600" s="25">
        <f t="shared" si="16"/>
        <v>-3.5352590097115222E-4</v>
      </c>
      <c r="I600" s="91">
        <v>459.00833398333623</v>
      </c>
      <c r="J600" s="91">
        <v>461.01473338414962</v>
      </c>
      <c r="K600" s="91">
        <v>458.37543066902333</v>
      </c>
      <c r="L600" s="91">
        <v>459.33437508464891</v>
      </c>
      <c r="M600" s="92">
        <v>659538.74874740385</v>
      </c>
      <c r="N600" s="90" t="s">
        <v>608</v>
      </c>
      <c r="O600" s="25">
        <f t="shared" si="17"/>
        <v>-7.0981210855947108E-4</v>
      </c>
    </row>
    <row r="601" spans="1:15">
      <c r="A601" s="91">
        <v>466.22317368501507</v>
      </c>
      <c r="B601" s="91">
        <v>466.32984759529324</v>
      </c>
      <c r="C601" s="91">
        <v>463.01325874846168</v>
      </c>
      <c r="D601" s="91">
        <v>465.01097015912632</v>
      </c>
      <c r="E601" s="92">
        <v>5105814.4262220962</v>
      </c>
      <c r="F601" s="90" t="s">
        <v>609</v>
      </c>
      <c r="G601" s="25">
        <f t="shared" si="16"/>
        <v>2.6068278033826164E-3</v>
      </c>
      <c r="I601" s="91">
        <v>457.76170624302301</v>
      </c>
      <c r="J601" s="91">
        <v>458.26994678330453</v>
      </c>
      <c r="K601" s="91">
        <v>452.58340639864485</v>
      </c>
      <c r="L601" s="91">
        <v>453.41768804023911</v>
      </c>
      <c r="M601" s="92">
        <v>858327.1215600695</v>
      </c>
      <c r="N601" s="90" t="s">
        <v>609</v>
      </c>
      <c r="O601" s="25">
        <f t="shared" si="17"/>
        <v>9.5806103673625742E-3</v>
      </c>
    </row>
    <row r="602" spans="1:15">
      <c r="A602" s="91">
        <v>462.18896035085737</v>
      </c>
      <c r="B602" s="91">
        <v>464.87520336422676</v>
      </c>
      <c r="C602" s="91">
        <v>462.0241006713365</v>
      </c>
      <c r="D602" s="91">
        <v>464.57457688980639</v>
      </c>
      <c r="E602" s="92">
        <v>8325233.5803932454</v>
      </c>
      <c r="F602" s="90" t="s">
        <v>610</v>
      </c>
      <c r="G602" s="25">
        <f t="shared" si="16"/>
        <v>-5.1350561516302351E-3</v>
      </c>
      <c r="I602" s="91">
        <v>450.61757034661252</v>
      </c>
      <c r="J602" s="91">
        <v>453.63824525583306</v>
      </c>
      <c r="K602" s="91">
        <v>449.36135316214302</v>
      </c>
      <c r="L602" s="91">
        <v>450.22440313620598</v>
      </c>
      <c r="M602" s="92">
        <v>525533.06718121015</v>
      </c>
      <c r="N602" s="90" t="s">
        <v>610</v>
      </c>
      <c r="O602" s="25">
        <f t="shared" si="17"/>
        <v>8.7326943556997882E-4</v>
      </c>
    </row>
    <row r="603" spans="1:15">
      <c r="A603" s="91">
        <v>463.48844253061009</v>
      </c>
      <c r="B603" s="91">
        <v>464.3127409282144</v>
      </c>
      <c r="C603" s="91">
        <v>463.11023503053281</v>
      </c>
      <c r="D603" s="91">
        <v>463.28479233826079</v>
      </c>
      <c r="E603" s="92">
        <v>6270891.0571983624</v>
      </c>
      <c r="F603" s="90" t="s">
        <v>611</v>
      </c>
      <c r="G603" s="25">
        <f t="shared" si="16"/>
        <v>4.3957884160517047E-4</v>
      </c>
      <c r="I603" s="91">
        <v>450.05179314139338</v>
      </c>
      <c r="J603" s="91">
        <v>452.6217641752699</v>
      </c>
      <c r="K603" s="91">
        <v>448.69488679328316</v>
      </c>
      <c r="L603" s="91">
        <v>451.96968197264454</v>
      </c>
      <c r="M603" s="92">
        <v>466150.06325302977</v>
      </c>
      <c r="N603" s="90" t="s">
        <v>611</v>
      </c>
      <c r="O603" s="25">
        <f t="shared" si="17"/>
        <v>-4.243401510650946E-3</v>
      </c>
    </row>
    <row r="604" spans="1:15">
      <c r="A604" s="91">
        <v>464.69094842829168</v>
      </c>
      <c r="B604" s="91">
        <v>465.7964780439022</v>
      </c>
      <c r="C604" s="91">
        <v>464.34183381283572</v>
      </c>
      <c r="D604" s="91">
        <v>465.36008477458228</v>
      </c>
      <c r="E604" s="92">
        <v>6064888.1091233538</v>
      </c>
      <c r="F604" s="90" t="s">
        <v>612</v>
      </c>
      <c r="G604" s="25">
        <f t="shared" si="16"/>
        <v>-1.4378894283868515E-3</v>
      </c>
      <c r="I604" s="91">
        <v>449.50519482448681</v>
      </c>
      <c r="J604" s="91">
        <v>451.94091364017578</v>
      </c>
      <c r="K604" s="91">
        <v>448.39761402443929</v>
      </c>
      <c r="L604" s="91">
        <v>449.71616259592446</v>
      </c>
      <c r="M604" s="92">
        <v>641759.8246281388</v>
      </c>
      <c r="N604" s="90" t="s">
        <v>612</v>
      </c>
      <c r="O604" s="25">
        <f t="shared" si="17"/>
        <v>-4.6911316288889005E-4</v>
      </c>
    </row>
    <row r="605" spans="1:15">
      <c r="A605" s="91">
        <v>465.29908670492762</v>
      </c>
      <c r="B605" s="91">
        <v>467.12123021472047</v>
      </c>
      <c r="C605" s="91">
        <v>465.16375509146815</v>
      </c>
      <c r="D605" s="91">
        <v>466.52673776988087</v>
      </c>
      <c r="E605" s="92">
        <v>5218700.8042418417</v>
      </c>
      <c r="F605" s="90" t="s">
        <v>613</v>
      </c>
      <c r="G605" s="25">
        <f t="shared" si="16"/>
        <v>-2.6314698934979397E-3</v>
      </c>
      <c r="I605" s="91">
        <v>448.29692486079858</v>
      </c>
      <c r="J605" s="91">
        <v>454.11771746364582</v>
      </c>
      <c r="K605" s="91">
        <v>448.11472542182975</v>
      </c>
      <c r="L605" s="91">
        <v>452.56422751033239</v>
      </c>
      <c r="M605" s="92">
        <v>832228.63285499311</v>
      </c>
      <c r="N605" s="90" t="s">
        <v>613</v>
      </c>
      <c r="O605" s="25">
        <f t="shared" si="17"/>
        <v>-9.4291647243294197E-3</v>
      </c>
    </row>
    <row r="606" spans="1:15">
      <c r="A606" s="91">
        <v>463.75243969396286</v>
      </c>
      <c r="B606" s="91">
        <v>464.01343637706316</v>
      </c>
      <c r="C606" s="91">
        <v>459.09316557343152</v>
      </c>
      <c r="D606" s="91">
        <v>459.68282474636186</v>
      </c>
      <c r="E606" s="92">
        <v>6392518.4802399054</v>
      </c>
      <c r="F606" s="90" t="s">
        <v>614</v>
      </c>
      <c r="G606" s="25">
        <f t="shared" si="16"/>
        <v>8.8530933254826749E-3</v>
      </c>
      <c r="I606" s="91">
        <v>451.42308365573797</v>
      </c>
      <c r="J606" s="91">
        <v>452.05598697005087</v>
      </c>
      <c r="K606" s="91">
        <v>447.46264321920432</v>
      </c>
      <c r="L606" s="91">
        <v>449.39012149461172</v>
      </c>
      <c r="M606" s="92">
        <v>643728.65615709487</v>
      </c>
      <c r="N606" s="90" t="s">
        <v>614</v>
      </c>
      <c r="O606" s="25">
        <f t="shared" si="17"/>
        <v>4.5238247658068165E-3</v>
      </c>
    </row>
    <row r="607" spans="1:15">
      <c r="A607" s="91">
        <v>459.74082400927307</v>
      </c>
      <c r="B607" s="91">
        <v>459.87615562273243</v>
      </c>
      <c r="C607" s="91">
        <v>455.57454362348676</v>
      </c>
      <c r="D607" s="91">
        <v>456.45419911097292</v>
      </c>
      <c r="E607" s="92">
        <v>4707212.9247246264</v>
      </c>
      <c r="F607" s="90" t="s">
        <v>615</v>
      </c>
      <c r="G607" s="25">
        <f t="shared" si="16"/>
        <v>7.2003388394747958E-3</v>
      </c>
      <c r="I607" s="91">
        <v>448.28733541664235</v>
      </c>
      <c r="J607" s="91">
        <v>448.30651430495487</v>
      </c>
      <c r="K607" s="91">
        <v>443.63645500085829</v>
      </c>
      <c r="L607" s="91">
        <v>445.90915326589089</v>
      </c>
      <c r="M607" s="92">
        <v>757959.46892901184</v>
      </c>
      <c r="N607" s="90" t="s">
        <v>615</v>
      </c>
      <c r="O607" s="25">
        <f t="shared" si="17"/>
        <v>5.3333333333334121E-3</v>
      </c>
    </row>
    <row r="608" spans="1:15">
      <c r="A608" s="91">
        <v>457.17918989736262</v>
      </c>
      <c r="B608" s="91">
        <v>459.43052795269824</v>
      </c>
      <c r="C608" s="91">
        <v>456.7441954255288</v>
      </c>
      <c r="D608" s="91">
        <v>458.14584427921562</v>
      </c>
      <c r="E608" s="92">
        <v>4074987.9935879102</v>
      </c>
      <c r="F608" s="90" t="s">
        <v>616</v>
      </c>
      <c r="G608" s="25">
        <f t="shared" ref="G608:G671" si="18">A608/D608-1</f>
        <v>-2.1099272075114639E-3</v>
      </c>
      <c r="I608" s="91">
        <v>443.40630834110817</v>
      </c>
      <c r="J608" s="91">
        <v>444.48512080868693</v>
      </c>
      <c r="K608" s="91">
        <v>440.2034339929188</v>
      </c>
      <c r="L608" s="91">
        <v>442.07337560338863</v>
      </c>
      <c r="M608" s="92">
        <v>563954.48076852912</v>
      </c>
      <c r="N608" s="90" t="s">
        <v>616</v>
      </c>
      <c r="O608" s="25">
        <f t="shared" ref="O608:O671" si="19">I608/L608-1</f>
        <v>3.0151843817787238E-3</v>
      </c>
    </row>
    <row r="609" spans="1:15">
      <c r="A609" s="91">
        <v>454.33722601471493</v>
      </c>
      <c r="B609" s="91">
        <v>456.04955758672929</v>
      </c>
      <c r="C609" s="91">
        <v>453.09033852756278</v>
      </c>
      <c r="D609" s="91">
        <v>454.72388776745612</v>
      </c>
      <c r="E609" s="92">
        <v>7041903.6294560181</v>
      </c>
      <c r="F609" s="90" t="s">
        <v>617</v>
      </c>
      <c r="G609" s="25">
        <f t="shared" si="18"/>
        <v>-8.5032205947999095E-4</v>
      </c>
      <c r="I609" s="91">
        <v>442.7925839151078</v>
      </c>
      <c r="J609" s="91">
        <v>445.32419717235933</v>
      </c>
      <c r="K609" s="91">
        <v>439.08146902663685</v>
      </c>
      <c r="L609" s="91">
        <v>439.08146902663685</v>
      </c>
      <c r="M609" s="92">
        <v>1042868.578933859</v>
      </c>
      <c r="N609" s="90" t="s">
        <v>617</v>
      </c>
      <c r="O609" s="25">
        <f t="shared" si="19"/>
        <v>8.4519961561981827E-3</v>
      </c>
    </row>
    <row r="610" spans="1:15">
      <c r="A610" s="91">
        <v>457.48851929955561</v>
      </c>
      <c r="B610" s="91">
        <v>459.47499405426345</v>
      </c>
      <c r="C610" s="91">
        <v>454.76255394273022</v>
      </c>
      <c r="D610" s="91">
        <v>459.31549608125772</v>
      </c>
      <c r="E610" s="92">
        <v>5330736.7108007092</v>
      </c>
      <c r="F610" s="90" t="s">
        <v>618</v>
      </c>
      <c r="G610" s="25">
        <f t="shared" si="18"/>
        <v>-3.9776075427224722E-3</v>
      </c>
      <c r="I610" s="91">
        <v>441.93912338520107</v>
      </c>
      <c r="J610" s="91">
        <v>442.44736392548259</v>
      </c>
      <c r="K610" s="91">
        <v>438.45815515648025</v>
      </c>
      <c r="L610" s="91">
        <v>439.19654235651194</v>
      </c>
      <c r="M610" s="92">
        <v>698561.86561449373</v>
      </c>
      <c r="N610" s="90" t="s">
        <v>618</v>
      </c>
      <c r="O610" s="25">
        <f t="shared" si="19"/>
        <v>6.2445414847160929E-3</v>
      </c>
    </row>
    <row r="611" spans="1:15">
      <c r="A611" s="91">
        <v>458.49383985668271</v>
      </c>
      <c r="B611" s="91">
        <v>459.61515893963218</v>
      </c>
      <c r="C611" s="91">
        <v>457.13085717826999</v>
      </c>
      <c r="D611" s="91">
        <v>459.46049423853566</v>
      </c>
      <c r="E611" s="92">
        <v>3666797.6337163341</v>
      </c>
      <c r="F611" s="90" t="s">
        <v>619</v>
      </c>
      <c r="G611" s="25">
        <f t="shared" si="18"/>
        <v>-2.1038900927815574E-3</v>
      </c>
      <c r="I611" s="91">
        <v>439.41709957210583</v>
      </c>
      <c r="J611" s="91">
        <v>443.22410890213928</v>
      </c>
      <c r="K611" s="91">
        <v>439.22531068898064</v>
      </c>
      <c r="L611" s="91">
        <v>439.73355122926222</v>
      </c>
      <c r="M611" s="92">
        <v>728438.46694107854</v>
      </c>
      <c r="N611" s="90" t="s">
        <v>619</v>
      </c>
      <c r="O611" s="25">
        <f t="shared" si="19"/>
        <v>-7.1964410327973738E-4</v>
      </c>
    </row>
    <row r="612" spans="1:15">
      <c r="A612" s="91">
        <v>459.18983101161683</v>
      </c>
      <c r="B612" s="91">
        <v>459.69249129018039</v>
      </c>
      <c r="C612" s="91">
        <v>453.91189808669958</v>
      </c>
      <c r="D612" s="91">
        <v>456.18353588405409</v>
      </c>
      <c r="E612" s="92">
        <v>4976997.0429118304</v>
      </c>
      <c r="F612" s="90" t="s">
        <v>620</v>
      </c>
      <c r="G612" s="25">
        <f t="shared" si="18"/>
        <v>6.5901000169519275E-3</v>
      </c>
      <c r="I612" s="91">
        <v>440.00205566563739</v>
      </c>
      <c r="J612" s="91">
        <v>441.97748116182606</v>
      </c>
      <c r="K612" s="91">
        <v>435.86900523429114</v>
      </c>
      <c r="L612" s="91">
        <v>437.80607295385482</v>
      </c>
      <c r="M612" s="92">
        <v>1265586.3887671579</v>
      </c>
      <c r="N612" s="90" t="s">
        <v>620</v>
      </c>
      <c r="O612" s="25">
        <f t="shared" si="19"/>
        <v>5.0158799693351686E-3</v>
      </c>
    </row>
    <row r="613" spans="1:15">
      <c r="A613" s="91">
        <v>454.3275594708964</v>
      </c>
      <c r="B613" s="91">
        <v>454.76738721463948</v>
      </c>
      <c r="C613" s="91">
        <v>451.80459153426011</v>
      </c>
      <c r="D613" s="91">
        <v>453.55423596541402</v>
      </c>
      <c r="E613" s="92">
        <v>5507517.578097282</v>
      </c>
      <c r="F613" s="90" t="s">
        <v>621</v>
      </c>
      <c r="G613" s="25">
        <f t="shared" si="18"/>
        <v>1.7050298380221207E-3</v>
      </c>
      <c r="I613" s="91">
        <v>440.39522287604387</v>
      </c>
      <c r="J613" s="91">
        <v>443.26246667876433</v>
      </c>
      <c r="K613" s="91">
        <v>439.53217290198091</v>
      </c>
      <c r="L613" s="91">
        <v>440.61578009163776</v>
      </c>
      <c r="M613" s="92">
        <v>576148.09680035303</v>
      </c>
      <c r="N613" s="90" t="s">
        <v>621</v>
      </c>
      <c r="O613" s="25">
        <f t="shared" si="19"/>
        <v>-5.0056585705582357E-4</v>
      </c>
    </row>
    <row r="614" spans="1:15">
      <c r="A614" s="91">
        <v>454.70455467981901</v>
      </c>
      <c r="B614" s="91">
        <v>460.41690208394101</v>
      </c>
      <c r="C614" s="91">
        <v>454.15356168216283</v>
      </c>
      <c r="D614" s="91">
        <v>457.97184649048205</v>
      </c>
      <c r="E614" s="92">
        <v>6502453.3256148305</v>
      </c>
      <c r="F614" s="90" t="s">
        <v>622</v>
      </c>
      <c r="G614" s="25">
        <f t="shared" si="18"/>
        <v>-7.1342634611731848E-3</v>
      </c>
      <c r="I614" s="91">
        <v>440.63495897995028</v>
      </c>
      <c r="J614" s="91">
        <v>441.00894730204425</v>
      </c>
      <c r="K614" s="91">
        <v>434.5312777744935</v>
      </c>
      <c r="L614" s="91">
        <v>436.32929855379143</v>
      </c>
      <c r="M614" s="92">
        <v>495945.32514144789</v>
      </c>
      <c r="N614" s="90" t="s">
        <v>622</v>
      </c>
      <c r="O614" s="25">
        <f t="shared" si="19"/>
        <v>9.8679149908793562E-3</v>
      </c>
    </row>
    <row r="615" spans="1:15">
      <c r="A615" s="91">
        <v>457.47885275573708</v>
      </c>
      <c r="B615" s="91">
        <v>458.37784133086035</v>
      </c>
      <c r="C615" s="91">
        <v>455.08154988874168</v>
      </c>
      <c r="D615" s="91">
        <v>455.90320611331674</v>
      </c>
      <c r="E615" s="92">
        <v>7396440.8936879896</v>
      </c>
      <c r="F615" s="90" t="s">
        <v>623</v>
      </c>
      <c r="G615" s="25">
        <f t="shared" si="18"/>
        <v>3.4560990607044317E-3</v>
      </c>
      <c r="I615" s="91">
        <v>437.66223129151098</v>
      </c>
      <c r="J615" s="91">
        <v>440.72577101611</v>
      </c>
      <c r="K615" s="91">
        <v>435.60529551999417</v>
      </c>
      <c r="L615" s="91">
        <v>440.35686509941883</v>
      </c>
      <c r="M615" s="92">
        <v>830468.36398800276</v>
      </c>
      <c r="N615" s="90" t="s">
        <v>623</v>
      </c>
      <c r="O615" s="25">
        <f t="shared" si="19"/>
        <v>-6.1192047211515721E-3</v>
      </c>
    </row>
    <row r="616" spans="1:15">
      <c r="A616" s="91">
        <v>452.99357642393932</v>
      </c>
      <c r="B616" s="91">
        <v>454.96555136291937</v>
      </c>
      <c r="C616" s="91">
        <v>451.73682906209228</v>
      </c>
      <c r="D616" s="91">
        <v>453.60256868450665</v>
      </c>
      <c r="E616" s="92">
        <v>5508742.4212493198</v>
      </c>
      <c r="F616" s="90" t="s">
        <v>624</v>
      </c>
      <c r="G616" s="25">
        <f t="shared" si="18"/>
        <v>-1.3425679275438362E-3</v>
      </c>
      <c r="I616" s="91">
        <v>442.14050171248243</v>
      </c>
      <c r="J616" s="91">
        <v>444.79198302168709</v>
      </c>
      <c r="K616" s="91">
        <v>439.07667430455871</v>
      </c>
      <c r="L616" s="91">
        <v>439.34997346301202</v>
      </c>
      <c r="M616" s="92">
        <v>569562.73074878647</v>
      </c>
      <c r="N616" s="90" t="s">
        <v>624</v>
      </c>
      <c r="O616" s="25">
        <f t="shared" si="19"/>
        <v>6.3514929282346699E-3</v>
      </c>
    </row>
    <row r="617" spans="1:15">
      <c r="A617" s="91">
        <v>450.60594010076244</v>
      </c>
      <c r="B617" s="91">
        <v>453.72823375414754</v>
      </c>
      <c r="C617" s="91">
        <v>448.58563244268976</v>
      </c>
      <c r="D617" s="91">
        <v>453.31257236995077</v>
      </c>
      <c r="E617" s="92">
        <v>4775753.4509393806</v>
      </c>
      <c r="F617" s="90" t="s">
        <v>625</v>
      </c>
      <c r="G617" s="25">
        <f t="shared" si="18"/>
        <v>-5.9707857980595413E-3</v>
      </c>
      <c r="I617" s="91">
        <v>439.44586790457453</v>
      </c>
      <c r="J617" s="91">
        <v>445.50639661132817</v>
      </c>
      <c r="K617" s="91">
        <v>439.15818457988689</v>
      </c>
      <c r="L617" s="91">
        <v>444.21182165023367</v>
      </c>
      <c r="M617" s="92">
        <v>1304143.3680847546</v>
      </c>
      <c r="N617" s="90" t="s">
        <v>625</v>
      </c>
      <c r="O617" s="25">
        <f t="shared" si="19"/>
        <v>-1.0729011506163344E-2</v>
      </c>
    </row>
    <row r="618" spans="1:15">
      <c r="A618" s="91">
        <v>455.16854878310846</v>
      </c>
      <c r="B618" s="91">
        <v>456.84086086371411</v>
      </c>
      <c r="C618" s="91">
        <v>454.90755210000822</v>
      </c>
      <c r="D618" s="91">
        <v>454.91721864382669</v>
      </c>
      <c r="E618" s="92">
        <v>4107199.0925955139</v>
      </c>
      <c r="F618" s="90" t="s">
        <v>626</v>
      </c>
      <c r="G618" s="25">
        <f t="shared" si="18"/>
        <v>5.5247444805672785E-4</v>
      </c>
      <c r="I618" s="91">
        <v>441.19114674101309</v>
      </c>
      <c r="J618" s="91">
        <v>442.28913809690442</v>
      </c>
      <c r="K618" s="91">
        <v>436.75296019661482</v>
      </c>
      <c r="L618" s="91">
        <v>437.27865352526078</v>
      </c>
      <c r="M618" s="92">
        <v>722500.68795491545</v>
      </c>
      <c r="N618" s="90" t="s">
        <v>626</v>
      </c>
      <c r="O618" s="25">
        <f t="shared" si="19"/>
        <v>8.9473684210525928E-3</v>
      </c>
    </row>
    <row r="619" spans="1:15">
      <c r="A619" s="91">
        <v>455.70987523694612</v>
      </c>
      <c r="B619" s="91">
        <v>456.03853772677616</v>
      </c>
      <c r="C619" s="91">
        <v>451.84325770953427</v>
      </c>
      <c r="D619" s="91">
        <v>452.2299194622754</v>
      </c>
      <c r="E619" s="92">
        <v>5006361.2091876706</v>
      </c>
      <c r="F619" s="90" t="s">
        <v>627</v>
      </c>
      <c r="G619" s="25">
        <f t="shared" si="18"/>
        <v>7.6951029220015954E-3</v>
      </c>
      <c r="I619" s="91">
        <v>436.22381466807263</v>
      </c>
      <c r="J619" s="91">
        <v>442.07337560338863</v>
      </c>
      <c r="K619" s="91">
        <v>435.18815469919701</v>
      </c>
      <c r="L619" s="91">
        <v>442.07337560338863</v>
      </c>
      <c r="M619" s="92">
        <v>1327097.7746606981</v>
      </c>
      <c r="N619" s="90" t="s">
        <v>627</v>
      </c>
      <c r="O619" s="25">
        <f t="shared" si="19"/>
        <v>-1.3232104121475019E-2</v>
      </c>
    </row>
    <row r="620" spans="1:15">
      <c r="A620" s="91">
        <v>451.35993051860777</v>
      </c>
      <c r="B620" s="91">
        <v>452.86791135429843</v>
      </c>
      <c r="C620" s="91">
        <v>448.98196073924947</v>
      </c>
      <c r="D620" s="91">
        <v>451.39859669388193</v>
      </c>
      <c r="E620" s="92">
        <v>7585876.7493957765</v>
      </c>
      <c r="F620" s="90" t="s">
        <v>628</v>
      </c>
      <c r="G620" s="25">
        <f t="shared" si="18"/>
        <v>-8.5658607619443217E-5</v>
      </c>
      <c r="I620" s="91">
        <v>442.09255449170115</v>
      </c>
      <c r="J620" s="91">
        <v>442.55284781120139</v>
      </c>
      <c r="K620" s="91">
        <v>436.71297221448327</v>
      </c>
      <c r="L620" s="91">
        <v>439.56094123444961</v>
      </c>
      <c r="M620" s="92">
        <v>966895.45805961802</v>
      </c>
      <c r="N620" s="90" t="s">
        <v>628</v>
      </c>
      <c r="O620" s="25">
        <f t="shared" si="19"/>
        <v>5.7594135869802887E-3</v>
      </c>
    </row>
    <row r="621" spans="1:15">
      <c r="A621" s="91">
        <v>449.69728498182064</v>
      </c>
      <c r="B621" s="91">
        <v>450.29661069856951</v>
      </c>
      <c r="C621" s="91">
        <v>448.63396516178238</v>
      </c>
      <c r="D621" s="91">
        <v>449.00129382688652</v>
      </c>
      <c r="E621" s="92">
        <v>2897211.3017597371</v>
      </c>
      <c r="F621" s="90" t="s">
        <v>629</v>
      </c>
      <c r="G621" s="25">
        <f t="shared" si="18"/>
        <v>1.55008719240457E-3</v>
      </c>
      <c r="I621" s="91">
        <v>440.10753955135618</v>
      </c>
      <c r="J621" s="91">
        <v>443.10903557226425</v>
      </c>
      <c r="K621" s="91">
        <v>438.43897626816772</v>
      </c>
      <c r="L621" s="91">
        <v>440.74044286566908</v>
      </c>
      <c r="M621" s="92">
        <v>557583.93425878719</v>
      </c>
      <c r="N621" s="90" t="s">
        <v>629</v>
      </c>
      <c r="O621" s="25">
        <f t="shared" si="19"/>
        <v>-1.4360000870303757E-3</v>
      </c>
    </row>
    <row r="622" spans="1:15">
      <c r="A622" s="91">
        <v>450.39327613675482</v>
      </c>
      <c r="B622" s="91">
        <v>450.57694046930686</v>
      </c>
      <c r="C622" s="91">
        <v>448.44063428541182</v>
      </c>
      <c r="D622" s="91">
        <v>450.18061217274715</v>
      </c>
      <c r="E622" s="92">
        <v>3710677.8465372715</v>
      </c>
      <c r="F622" s="90" t="s">
        <v>630</v>
      </c>
      <c r="G622" s="25">
        <f t="shared" si="18"/>
        <v>4.7239698524847995E-4</v>
      </c>
      <c r="I622" s="91">
        <v>439.54176234613715</v>
      </c>
      <c r="J622" s="91">
        <v>440.4144017643564</v>
      </c>
      <c r="K622" s="91">
        <v>435.36076469400962</v>
      </c>
      <c r="L622" s="91">
        <v>438.79378570194916</v>
      </c>
      <c r="M622" s="92">
        <v>439108.87131586857</v>
      </c>
      <c r="N622" s="90" t="s">
        <v>630</v>
      </c>
      <c r="O622" s="25">
        <f t="shared" si="19"/>
        <v>1.7046199571659759E-3</v>
      </c>
    </row>
    <row r="623" spans="1:15">
      <c r="A623" s="91">
        <v>449.56195336836123</v>
      </c>
      <c r="B623" s="91">
        <v>451.99792241063068</v>
      </c>
      <c r="C623" s="91">
        <v>449.43628829872034</v>
      </c>
      <c r="D623" s="91">
        <v>451.61126065788955</v>
      </c>
      <c r="E623" s="92">
        <v>3569842.6084669321</v>
      </c>
      <c r="F623" s="90" t="s">
        <v>631</v>
      </c>
      <c r="G623" s="25">
        <f t="shared" si="18"/>
        <v>-4.5377683597680463E-3</v>
      </c>
      <c r="I623" s="91">
        <v>440.48152787345015</v>
      </c>
      <c r="J623" s="91">
        <v>446.62836157761012</v>
      </c>
      <c r="K623" s="91">
        <v>440.04041344226243</v>
      </c>
      <c r="L623" s="91">
        <v>443.29123501123308</v>
      </c>
      <c r="M623" s="92">
        <v>645085.35627318162</v>
      </c>
      <c r="N623" s="90" t="s">
        <v>631</v>
      </c>
      <c r="O623" s="25">
        <f t="shared" si="19"/>
        <v>-6.338287148203503E-3</v>
      </c>
    </row>
    <row r="624" spans="1:15">
      <c r="A624" s="91">
        <v>451.21493236132977</v>
      </c>
      <c r="B624" s="91">
        <v>453.23524001940251</v>
      </c>
      <c r="C624" s="91">
        <v>450.54861749591862</v>
      </c>
      <c r="D624" s="91">
        <v>452.48124960155718</v>
      </c>
      <c r="E624" s="92">
        <v>4190350.8389786649</v>
      </c>
      <c r="F624" s="90" t="s">
        <v>632</v>
      </c>
      <c r="G624" s="25">
        <f t="shared" si="18"/>
        <v>-2.7986071054711958E-3</v>
      </c>
      <c r="I624" s="91">
        <v>442.16927004495119</v>
      </c>
      <c r="J624" s="91">
        <v>442.61038447613896</v>
      </c>
      <c r="K624" s="91">
        <v>436.83753909407301</v>
      </c>
      <c r="L624" s="91">
        <v>437.10604353044818</v>
      </c>
      <c r="M624" s="92">
        <v>599275.61038572819</v>
      </c>
      <c r="N624" s="90" t="s">
        <v>632</v>
      </c>
      <c r="O624" s="25">
        <f t="shared" si="19"/>
        <v>1.158351981045147E-2</v>
      </c>
    </row>
    <row r="625" spans="1:15">
      <c r="A625" s="91">
        <v>451.01193494114068</v>
      </c>
      <c r="B625" s="91">
        <v>451.74659227134896</v>
      </c>
      <c r="C625" s="91">
        <v>446.89882054635632</v>
      </c>
      <c r="D625" s="91">
        <v>447.77364276193327</v>
      </c>
      <c r="E625" s="92">
        <v>4477852.7685382944</v>
      </c>
      <c r="F625" s="90" t="s">
        <v>633</v>
      </c>
      <c r="G625" s="25">
        <f t="shared" si="18"/>
        <v>7.2319848020379052E-3</v>
      </c>
      <c r="I625" s="91">
        <v>436.49231909437412</v>
      </c>
      <c r="J625" s="91">
        <v>438.77424612039772</v>
      </c>
      <c r="K625" s="91">
        <v>431.20150310535138</v>
      </c>
      <c r="L625" s="91">
        <v>438.04900322110825</v>
      </c>
      <c r="M625" s="92">
        <v>1886213.098453149</v>
      </c>
      <c r="N625" s="90" t="s">
        <v>633</v>
      </c>
      <c r="O625" s="25">
        <f t="shared" si="19"/>
        <v>-3.5536757652393502E-3</v>
      </c>
    </row>
    <row r="626" spans="1:15">
      <c r="A626" s="91">
        <v>441.73205287535222</v>
      </c>
      <c r="B626" s="91">
        <v>441.87705103263011</v>
      </c>
      <c r="C626" s="91">
        <v>438.47442760850771</v>
      </c>
      <c r="D626" s="91">
        <v>440.13707314529478</v>
      </c>
      <c r="E626" s="92">
        <v>4368756.8993426794</v>
      </c>
      <c r="F626" s="90" t="s">
        <v>634</v>
      </c>
      <c r="G626" s="25">
        <f t="shared" si="18"/>
        <v>3.6238250021962681E-3</v>
      </c>
      <c r="I626" s="91">
        <v>439.30963085748186</v>
      </c>
      <c r="J626" s="91">
        <v>440.35060367842675</v>
      </c>
      <c r="K626" s="91">
        <v>433.35030021280647</v>
      </c>
      <c r="L626" s="91">
        <v>434.22891947452143</v>
      </c>
      <c r="M626" s="92">
        <v>1345191.4515202472</v>
      </c>
      <c r="N626" s="90" t="s">
        <v>634</v>
      </c>
      <c r="O626" s="25">
        <f t="shared" si="19"/>
        <v>1.1700536641154224E-2</v>
      </c>
    </row>
    <row r="627" spans="1:15">
      <c r="A627" s="91">
        <v>441.28739185969982</v>
      </c>
      <c r="B627" s="91">
        <v>442.7857061515719</v>
      </c>
      <c r="C627" s="91">
        <v>439.27675074544561</v>
      </c>
      <c r="D627" s="91">
        <v>442.18638043482309</v>
      </c>
      <c r="E627" s="92">
        <v>5489846.3190406002</v>
      </c>
      <c r="F627" s="90" t="s">
        <v>635</v>
      </c>
      <c r="G627" s="25">
        <f t="shared" si="18"/>
        <v>-2.0330535152150997E-3</v>
      </c>
      <c r="I627" s="91">
        <v>433.49355335330353</v>
      </c>
      <c r="J627" s="91">
        <v>439.8253421632711</v>
      </c>
      <c r="K627" s="91">
        <v>432.48123116045798</v>
      </c>
      <c r="L627" s="91">
        <v>432.83458890701729</v>
      </c>
      <c r="M627" s="92">
        <v>1432193.7326343604</v>
      </c>
      <c r="N627" s="90" t="s">
        <v>635</v>
      </c>
      <c r="O627" s="25">
        <f t="shared" si="19"/>
        <v>1.5224394333877012E-3</v>
      </c>
    </row>
    <row r="628" spans="1:15">
      <c r="A628" s="91">
        <v>443.72336090196927</v>
      </c>
      <c r="B628" s="91">
        <v>446.73932257335053</v>
      </c>
      <c r="C628" s="91">
        <v>443.11436864140188</v>
      </c>
      <c r="D628" s="91">
        <v>445.70500238476785</v>
      </c>
      <c r="E628" s="92">
        <v>5718582.6741959536</v>
      </c>
      <c r="F628" s="90" t="s">
        <v>636</v>
      </c>
      <c r="G628" s="25">
        <f t="shared" si="18"/>
        <v>-4.4460831092217878E-3</v>
      </c>
      <c r="I628" s="91">
        <v>430.67624159019567</v>
      </c>
      <c r="J628" s="91">
        <v>432.50033157919091</v>
      </c>
      <c r="K628" s="91">
        <v>427.85892982708793</v>
      </c>
      <c r="L628" s="91">
        <v>430.11277923757416</v>
      </c>
      <c r="M628" s="92">
        <v>1064296.0389631919</v>
      </c>
      <c r="N628" s="90" t="s">
        <v>636</v>
      </c>
      <c r="O628" s="25">
        <f t="shared" si="19"/>
        <v>1.3100339720673038E-3</v>
      </c>
    </row>
    <row r="629" spans="1:15">
      <c r="A629" s="91">
        <v>446.00466524314231</v>
      </c>
      <c r="B629" s="91">
        <v>446.14966340042025</v>
      </c>
      <c r="C629" s="91">
        <v>443.14336827285751</v>
      </c>
      <c r="D629" s="91">
        <v>443.59769583232838</v>
      </c>
      <c r="E629" s="92">
        <v>5892189.7080546441</v>
      </c>
      <c r="F629" s="90" t="s">
        <v>637</v>
      </c>
      <c r="G629" s="25">
        <f t="shared" si="18"/>
        <v>5.4260187404664428E-3</v>
      </c>
      <c r="I629" s="91">
        <v>429.7594214910149</v>
      </c>
      <c r="J629" s="91">
        <v>431.34475624584843</v>
      </c>
      <c r="K629" s="91">
        <v>426.36909716591907</v>
      </c>
      <c r="L629" s="91">
        <v>427.13311391523644</v>
      </c>
      <c r="M629" s="92">
        <v>1020616.3682886714</v>
      </c>
      <c r="N629" s="90" t="s">
        <v>637</v>
      </c>
      <c r="O629" s="25">
        <f t="shared" si="19"/>
        <v>6.1486864169928435E-3</v>
      </c>
    </row>
    <row r="630" spans="1:15">
      <c r="A630" s="91">
        <v>443.0080366593981</v>
      </c>
      <c r="B630" s="91">
        <v>443.37536532450224</v>
      </c>
      <c r="C630" s="91">
        <v>439.24775111399003</v>
      </c>
      <c r="D630" s="91">
        <v>441.35022439452024</v>
      </c>
      <c r="E630" s="92">
        <v>5818014.2826429736</v>
      </c>
      <c r="F630" s="90" t="s">
        <v>638</v>
      </c>
      <c r="G630" s="25">
        <f t="shared" si="18"/>
        <v>3.7562284400154411E-3</v>
      </c>
      <c r="I630" s="91">
        <v>426.29269549098734</v>
      </c>
      <c r="J630" s="91">
        <v>429.7594214910149</v>
      </c>
      <c r="K630" s="91">
        <v>423.07427493448796</v>
      </c>
      <c r="L630" s="91">
        <v>427.37186914939815</v>
      </c>
      <c r="M630" s="92">
        <v>1049448.1969359906</v>
      </c>
      <c r="N630" s="90" t="s">
        <v>638</v>
      </c>
      <c r="O630" s="25">
        <f t="shared" si="19"/>
        <v>-2.5251396648046098E-3</v>
      </c>
    </row>
    <row r="631" spans="1:15">
      <c r="A631" s="91">
        <v>438.83208972979327</v>
      </c>
      <c r="B631" s="91">
        <v>440.50440181039892</v>
      </c>
      <c r="C631" s="91">
        <v>435.95629294378068</v>
      </c>
      <c r="D631" s="91">
        <v>439.3250834645383</v>
      </c>
      <c r="E631" s="92">
        <v>8433460.9691346362</v>
      </c>
      <c r="F631" s="90" t="s">
        <v>639</v>
      </c>
      <c r="G631" s="25">
        <f t="shared" si="18"/>
        <v>-1.1221615912692107E-3</v>
      </c>
      <c r="I631" s="91">
        <v>426.10169130365801</v>
      </c>
      <c r="J631" s="91">
        <v>435.08366321282023</v>
      </c>
      <c r="K631" s="91">
        <v>423.21752807498495</v>
      </c>
      <c r="L631" s="91">
        <v>433.35030021280647</v>
      </c>
      <c r="M631" s="92">
        <v>1068212.1834753028</v>
      </c>
      <c r="N631" s="90" t="s">
        <v>639</v>
      </c>
      <c r="O631" s="25">
        <f t="shared" si="19"/>
        <v>-1.6726904090268002E-2</v>
      </c>
    </row>
    <row r="632" spans="1:15">
      <c r="A632" s="91">
        <v>445.10567666801904</v>
      </c>
      <c r="B632" s="91">
        <v>447.30964865864382</v>
      </c>
      <c r="C632" s="91">
        <v>444.41935205690345</v>
      </c>
      <c r="D632" s="91">
        <v>445.25067482529698</v>
      </c>
      <c r="E632" s="92">
        <v>4721680.3499621684</v>
      </c>
      <c r="F632" s="90" t="s">
        <v>640</v>
      </c>
      <c r="G632" s="25">
        <f t="shared" si="18"/>
        <v>-3.2565510952864418E-4</v>
      </c>
      <c r="I632" s="91">
        <v>431.16330226788557</v>
      </c>
      <c r="J632" s="91">
        <v>435.14573957370226</v>
      </c>
      <c r="K632" s="91">
        <v>431.01049891802205</v>
      </c>
      <c r="L632" s="91">
        <v>434.53452617424836</v>
      </c>
      <c r="M632" s="92">
        <v>757521.61260484764</v>
      </c>
      <c r="N632" s="90" t="s">
        <v>640</v>
      </c>
      <c r="O632" s="25">
        <f t="shared" si="19"/>
        <v>-7.7582417582415797E-3</v>
      </c>
    </row>
    <row r="633" spans="1:15">
      <c r="A633" s="91">
        <v>445.30867408820819</v>
      </c>
      <c r="B633" s="91">
        <v>445.65666966567522</v>
      </c>
      <c r="C633" s="91">
        <v>442.89203813357574</v>
      </c>
      <c r="D633" s="91">
        <v>443.24970025486135</v>
      </c>
      <c r="E633" s="92">
        <v>4140667.1041282238</v>
      </c>
      <c r="F633" s="90" t="s">
        <v>641</v>
      </c>
      <c r="G633" s="25">
        <f t="shared" si="18"/>
        <v>4.6451781742051779E-3</v>
      </c>
      <c r="I633" s="91">
        <v>434.45812449931668</v>
      </c>
      <c r="J633" s="91">
        <v>435.06933789877053</v>
      </c>
      <c r="K633" s="91">
        <v>430.25603237807115</v>
      </c>
      <c r="L633" s="91">
        <v>431.77451566733941</v>
      </c>
      <c r="M633" s="92">
        <v>949457.7188891971</v>
      </c>
      <c r="N633" s="90" t="s">
        <v>641</v>
      </c>
      <c r="O633" s="25">
        <f t="shared" si="19"/>
        <v>6.215301585897226E-3</v>
      </c>
    </row>
    <row r="634" spans="1:15">
      <c r="A634" s="91">
        <v>442.79537269539043</v>
      </c>
      <c r="B634" s="91">
        <v>443.0467028346722</v>
      </c>
      <c r="C634" s="91">
        <v>441.79005213826332</v>
      </c>
      <c r="D634" s="91">
        <v>442.54404255610865</v>
      </c>
      <c r="E634" s="92">
        <v>4328943.2899260167</v>
      </c>
      <c r="F634" s="90" t="s">
        <v>642</v>
      </c>
      <c r="G634" s="25">
        <f t="shared" si="18"/>
        <v>5.6792119001336516E-4</v>
      </c>
      <c r="I634" s="91">
        <v>430.92454703372385</v>
      </c>
      <c r="J634" s="91">
        <v>433.72275837809866</v>
      </c>
      <c r="K634" s="91">
        <v>429.57796751305199</v>
      </c>
      <c r="L634" s="91">
        <v>432.49078136982445</v>
      </c>
      <c r="M634" s="92">
        <v>552674.79460008966</v>
      </c>
      <c r="N634" s="90" t="s">
        <v>642</v>
      </c>
      <c r="O634" s="25">
        <f t="shared" si="19"/>
        <v>-3.6214282559731137E-3</v>
      </c>
    </row>
    <row r="635" spans="1:15">
      <c r="A635" s="91">
        <v>442.49570983701602</v>
      </c>
      <c r="B635" s="91">
        <v>442.90170467739426</v>
      </c>
      <c r="C635" s="91">
        <v>440.08874042620209</v>
      </c>
      <c r="D635" s="91">
        <v>440.93939628223274</v>
      </c>
      <c r="E635" s="92">
        <v>6996725.1242737565</v>
      </c>
      <c r="F635" s="90" t="s">
        <v>643</v>
      </c>
      <c r="G635" s="25">
        <f t="shared" si="18"/>
        <v>3.5295407212538876E-3</v>
      </c>
      <c r="I635" s="91">
        <v>433.484003143937</v>
      </c>
      <c r="J635" s="91">
        <v>433.5126537720364</v>
      </c>
      <c r="K635" s="91">
        <v>428.01173317695145</v>
      </c>
      <c r="L635" s="91">
        <v>428.01173317695145</v>
      </c>
      <c r="M635" s="92">
        <v>783498.00647020794</v>
      </c>
      <c r="N635" s="90" t="s">
        <v>643</v>
      </c>
      <c r="O635" s="25">
        <f t="shared" si="19"/>
        <v>1.2785326996452184E-2</v>
      </c>
    </row>
    <row r="636" spans="1:15">
      <c r="A636" s="91">
        <v>438.89008899270442</v>
      </c>
      <c r="B636" s="91">
        <v>439.14141913198625</v>
      </c>
      <c r="C636" s="91">
        <v>437.13077801773198</v>
      </c>
      <c r="D636" s="91">
        <v>438.4550945208706</v>
      </c>
      <c r="E636" s="92">
        <v>4534817.2855712036</v>
      </c>
      <c r="F636" s="90" t="s">
        <v>644</v>
      </c>
      <c r="G636" s="25">
        <f t="shared" si="18"/>
        <v>9.9210723576881321E-4</v>
      </c>
      <c r="I636" s="91">
        <v>428.01173317695145</v>
      </c>
      <c r="J636" s="91">
        <v>429.68301981608317</v>
      </c>
      <c r="K636" s="91">
        <v>421.10693180499578</v>
      </c>
      <c r="L636" s="91">
        <v>422.11925399784127</v>
      </c>
      <c r="M636" s="92">
        <v>615577.08050277387</v>
      </c>
      <c r="N636" s="90" t="s">
        <v>644</v>
      </c>
      <c r="O636" s="25">
        <f t="shared" si="19"/>
        <v>1.3959276018099764E-2</v>
      </c>
    </row>
    <row r="637" spans="1:15">
      <c r="A637" s="91">
        <v>437.52710631429176</v>
      </c>
      <c r="B637" s="91">
        <v>439.00608751852678</v>
      </c>
      <c r="C637" s="91">
        <v>435.5164652000376</v>
      </c>
      <c r="D637" s="91">
        <v>438.60009267814854</v>
      </c>
      <c r="E637" s="92">
        <v>7346841.9875017945</v>
      </c>
      <c r="F637" s="90" t="s">
        <v>645</v>
      </c>
      <c r="G637" s="25">
        <f t="shared" si="18"/>
        <v>-2.4463888215457974E-3</v>
      </c>
      <c r="I637" s="91">
        <v>422.38665986010233</v>
      </c>
      <c r="J637" s="91">
        <v>425.76743397583169</v>
      </c>
      <c r="K637" s="91">
        <v>420.43364204465985</v>
      </c>
      <c r="L637" s="91">
        <v>423.96244440556944</v>
      </c>
      <c r="M637" s="92">
        <v>1734034.2357464302</v>
      </c>
      <c r="N637" s="90" t="s">
        <v>645</v>
      </c>
      <c r="O637" s="25">
        <f t="shared" si="19"/>
        <v>-3.7168021985449773E-3</v>
      </c>
    </row>
    <row r="638" spans="1:15">
      <c r="A638" s="91">
        <v>439.13175258816767</v>
      </c>
      <c r="B638" s="91">
        <v>440.67839959913243</v>
      </c>
      <c r="C638" s="91">
        <v>434.69480897546254</v>
      </c>
      <c r="D638" s="91">
        <v>435.00413837765547</v>
      </c>
      <c r="E638" s="92">
        <v>6469201.5237263571</v>
      </c>
      <c r="F638" s="90" t="s">
        <v>646</v>
      </c>
      <c r="G638" s="25">
        <f t="shared" si="18"/>
        <v>9.488678029377251E-3</v>
      </c>
      <c r="I638" s="91">
        <v>426.49324988768313</v>
      </c>
      <c r="J638" s="91">
        <v>427.60107417419334</v>
      </c>
      <c r="K638" s="91">
        <v>421.64174352951795</v>
      </c>
      <c r="L638" s="91">
        <v>425.72923313836577</v>
      </c>
      <c r="M638" s="92">
        <v>1692744.0414827752</v>
      </c>
      <c r="N638" s="90" t="s">
        <v>646</v>
      </c>
      <c r="O638" s="25">
        <f t="shared" si="19"/>
        <v>1.7946072053478535E-3</v>
      </c>
    </row>
    <row r="639" spans="1:15">
      <c r="A639" s="91">
        <v>434.66580934400696</v>
      </c>
      <c r="B639" s="91">
        <v>434.66580934400696</v>
      </c>
      <c r="C639" s="91">
        <v>429.82306422179994</v>
      </c>
      <c r="D639" s="91">
        <v>430.49952895822065</v>
      </c>
      <c r="E639" s="92">
        <v>6350108.2861005953</v>
      </c>
      <c r="F639" s="90" t="s">
        <v>647</v>
      </c>
      <c r="G639" s="25">
        <f t="shared" si="18"/>
        <v>9.6777815201527506E-3</v>
      </c>
      <c r="I639" s="91">
        <v>426.1494423504904</v>
      </c>
      <c r="J639" s="91">
        <v>427.62972480229274</v>
      </c>
      <c r="K639" s="91">
        <v>422.78776865349397</v>
      </c>
      <c r="L639" s="91">
        <v>426.67470386564605</v>
      </c>
      <c r="M639" s="92">
        <v>2282047.3524406594</v>
      </c>
      <c r="N639" s="90" t="s">
        <v>647</v>
      </c>
      <c r="O639" s="25">
        <f t="shared" si="19"/>
        <v>-1.2310584864694274E-3</v>
      </c>
    </row>
    <row r="640" spans="1:15">
      <c r="A640" s="91">
        <v>429.02054775398562</v>
      </c>
      <c r="B640" s="91">
        <v>434.4773117395456</v>
      </c>
      <c r="C640" s="91">
        <v>428.95288194725589</v>
      </c>
      <c r="D640" s="91">
        <v>434.06648362725815</v>
      </c>
      <c r="E640" s="92">
        <v>7353241.3791728299</v>
      </c>
      <c r="F640" s="90" t="s">
        <v>648</v>
      </c>
      <c r="G640" s="25">
        <f t="shared" si="18"/>
        <v>-1.1624799572421241E-2</v>
      </c>
      <c r="I640" s="91">
        <v>426.66515365627959</v>
      </c>
      <c r="J640" s="91">
        <v>429.47291521002086</v>
      </c>
      <c r="K640" s="91">
        <v>424.54500717692395</v>
      </c>
      <c r="L640" s="91">
        <v>425.34722476370712</v>
      </c>
      <c r="M640" s="92">
        <v>3365200.5696173823</v>
      </c>
      <c r="N640" s="90" t="s">
        <v>648</v>
      </c>
      <c r="O640" s="25">
        <f t="shared" si="19"/>
        <v>3.0984777044322787E-3</v>
      </c>
    </row>
    <row r="641" spans="1:15">
      <c r="A641" s="91">
        <v>436.12545746060493</v>
      </c>
      <c r="B641" s="91">
        <v>436.74411626499085</v>
      </c>
      <c r="C641" s="91">
        <v>435.41979976185229</v>
      </c>
      <c r="D641" s="91">
        <v>435.80646151459342</v>
      </c>
      <c r="E641" s="92">
        <v>3527582.4162339098</v>
      </c>
      <c r="F641" s="90" t="s">
        <v>649</v>
      </c>
      <c r="G641" s="25">
        <f t="shared" si="18"/>
        <v>7.3196699494282313E-4</v>
      </c>
      <c r="I641" s="91">
        <v>423.55178540281133</v>
      </c>
      <c r="J641" s="91">
        <v>425.0416180639802</v>
      </c>
      <c r="K641" s="91">
        <v>417.65930622370121</v>
      </c>
      <c r="L641" s="91">
        <v>423.07427493448796</v>
      </c>
      <c r="M641" s="92">
        <v>2434312.0771393548</v>
      </c>
      <c r="N641" s="90" t="s">
        <v>649</v>
      </c>
      <c r="O641" s="25">
        <f t="shared" si="19"/>
        <v>1.1286681715576563E-3</v>
      </c>
    </row>
    <row r="642" spans="1:15">
      <c r="A642" s="91">
        <v>436.43478686279792</v>
      </c>
      <c r="B642" s="91">
        <v>436.55059205774387</v>
      </c>
      <c r="C642" s="91">
        <v>432.78199328465189</v>
      </c>
      <c r="D642" s="91">
        <v>433.28349357795724</v>
      </c>
      <c r="E642" s="92">
        <v>4699975.5913701868</v>
      </c>
      <c r="F642" s="90" t="s">
        <v>650</v>
      </c>
      <c r="G642" s="25">
        <f t="shared" si="18"/>
        <v>7.2730517814514339E-3</v>
      </c>
      <c r="I642" s="91">
        <v>418.59522674161497</v>
      </c>
      <c r="J642" s="91">
        <v>422.64929061768021</v>
      </c>
      <c r="K642" s="91">
        <v>415.57736058181138</v>
      </c>
      <c r="L642" s="91">
        <v>420.20921212454789</v>
      </c>
      <c r="M642" s="92">
        <v>897505.97825593967</v>
      </c>
      <c r="N642" s="90" t="s">
        <v>650</v>
      </c>
      <c r="O642" s="25">
        <f t="shared" si="19"/>
        <v>-3.8409090909090615E-3</v>
      </c>
    </row>
    <row r="643" spans="1:15">
      <c r="A643" s="91">
        <v>433.28349357795724</v>
      </c>
      <c r="B643" s="91">
        <v>434.52081118672902</v>
      </c>
      <c r="C643" s="91">
        <v>432.24917338937456</v>
      </c>
      <c r="D643" s="91">
        <v>433.15782850831636</v>
      </c>
      <c r="E643" s="92">
        <v>6624935.5718268054</v>
      </c>
      <c r="F643" s="90" t="s">
        <v>651</v>
      </c>
      <c r="G643" s="25">
        <f t="shared" si="18"/>
        <v>2.9011381388088786E-4</v>
      </c>
      <c r="I643" s="91">
        <v>418.26096941378859</v>
      </c>
      <c r="J643" s="91">
        <v>419.51204684079579</v>
      </c>
      <c r="K643" s="91">
        <v>412.11063458178387</v>
      </c>
      <c r="L643" s="91">
        <v>416.14082293443295</v>
      </c>
      <c r="M643" s="92">
        <v>1201676.2732234765</v>
      </c>
      <c r="N643" s="90" t="s">
        <v>651</v>
      </c>
      <c r="O643" s="25">
        <f t="shared" si="19"/>
        <v>5.0947812915957957E-3</v>
      </c>
    </row>
    <row r="644" spans="1:15">
      <c r="A644" s="91">
        <v>433.54449026105749</v>
      </c>
      <c r="B644" s="91">
        <v>433.79582040033927</v>
      </c>
      <c r="C644" s="91">
        <v>431.23418628842893</v>
      </c>
      <c r="D644" s="91">
        <v>433.1964946835904</v>
      </c>
      <c r="E644" s="92">
        <v>4310801.3352323612</v>
      </c>
      <c r="F644" s="90" t="s">
        <v>652</v>
      </c>
      <c r="G644" s="25">
        <f t="shared" si="18"/>
        <v>8.033203909492137E-4</v>
      </c>
      <c r="I644" s="91">
        <v>415.0043480198234</v>
      </c>
      <c r="J644" s="91">
        <v>428.80440055436816</v>
      </c>
      <c r="K644" s="91">
        <v>406.83891901149411</v>
      </c>
      <c r="L644" s="91">
        <v>426.51235030641612</v>
      </c>
      <c r="M644" s="92">
        <v>2401251.0218384485</v>
      </c>
      <c r="N644" s="90" t="s">
        <v>652</v>
      </c>
      <c r="O644" s="25">
        <f t="shared" si="19"/>
        <v>-2.6981639050604578E-2</v>
      </c>
    </row>
    <row r="645" spans="1:15">
      <c r="A645" s="91">
        <v>431.11818776260657</v>
      </c>
      <c r="B645" s="91">
        <v>434.21109512278332</v>
      </c>
      <c r="C645" s="91">
        <v>430.88619071096184</v>
      </c>
      <c r="D645" s="91">
        <v>433.37049247232397</v>
      </c>
      <c r="E645" s="92">
        <v>4725788.3332026601</v>
      </c>
      <c r="F645" s="90" t="s">
        <v>653</v>
      </c>
      <c r="G645" s="25">
        <f t="shared" si="18"/>
        <v>-5.1971805852961683E-3</v>
      </c>
      <c r="I645" s="91">
        <v>443.05331292913695</v>
      </c>
      <c r="J645" s="91">
        <v>451.71535282452254</v>
      </c>
      <c r="K645" s="91">
        <v>441.99323968945913</v>
      </c>
      <c r="L645" s="91">
        <v>445.63186945808303</v>
      </c>
      <c r="M645" s="92">
        <v>1251035.400538021</v>
      </c>
      <c r="N645" s="90" t="s">
        <v>653</v>
      </c>
      <c r="O645" s="25">
        <f t="shared" si="19"/>
        <v>-5.786292915005764E-3</v>
      </c>
    </row>
    <row r="646" spans="1:15">
      <c r="A646" s="91">
        <v>430.76052564132095</v>
      </c>
      <c r="B646" s="91">
        <v>430.95385651769152</v>
      </c>
      <c r="C646" s="91">
        <v>428.98188157871147</v>
      </c>
      <c r="D646" s="91">
        <v>429.9968686796571</v>
      </c>
      <c r="E646" s="92">
        <v>3363752.4031775082</v>
      </c>
      <c r="F646" s="90" t="s">
        <v>654</v>
      </c>
      <c r="G646" s="25">
        <f t="shared" si="18"/>
        <v>1.7759593552593156E-3</v>
      </c>
      <c r="I646" s="91">
        <v>446.87339667572377</v>
      </c>
      <c r="J646" s="91">
        <v>449.70637078219249</v>
      </c>
      <c r="K646" s="91">
        <v>443.91283177211898</v>
      </c>
      <c r="L646" s="91">
        <v>445.5554677831513</v>
      </c>
      <c r="M646" s="92">
        <v>1134892.3970249647</v>
      </c>
      <c r="N646" s="90" t="s">
        <v>654</v>
      </c>
      <c r="O646" s="25">
        <f t="shared" si="19"/>
        <v>2.9579457281263544E-3</v>
      </c>
    </row>
    <row r="647" spans="1:15">
      <c r="A647" s="91">
        <v>429.48454185727502</v>
      </c>
      <c r="B647" s="91">
        <v>431.05052195587683</v>
      </c>
      <c r="C647" s="91">
        <v>428.88521614052621</v>
      </c>
      <c r="D647" s="91">
        <v>429.93886941674589</v>
      </c>
      <c r="E647" s="92">
        <v>6072917.1772304596</v>
      </c>
      <c r="F647" s="90" t="s">
        <v>655</v>
      </c>
      <c r="G647" s="25">
        <f t="shared" si="18"/>
        <v>-1.0567259482427982E-3</v>
      </c>
      <c r="I647" s="91">
        <v>445.63186945808303</v>
      </c>
      <c r="J647" s="91">
        <v>449.59520634516684</v>
      </c>
      <c r="K647" s="91">
        <v>445.31671254898964</v>
      </c>
      <c r="L647" s="91">
        <v>448.30592808069383</v>
      </c>
      <c r="M647" s="92">
        <v>912266.91119370097</v>
      </c>
      <c r="N647" s="90" t="s">
        <v>655</v>
      </c>
      <c r="O647" s="25">
        <f t="shared" si="19"/>
        <v>-5.9648076349538837E-3</v>
      </c>
    </row>
    <row r="648" spans="1:15">
      <c r="A648" s="91">
        <v>428.50822093160355</v>
      </c>
      <c r="B648" s="91">
        <v>428.81755033379648</v>
      </c>
      <c r="C648" s="91">
        <v>423.69428210997575</v>
      </c>
      <c r="D648" s="91">
        <v>424.36127363345429</v>
      </c>
      <c r="E648" s="92">
        <v>5003651.8644113299</v>
      </c>
      <c r="F648" s="90" t="s">
        <v>656</v>
      </c>
      <c r="G648" s="25">
        <f t="shared" si="18"/>
        <v>9.7722095671981535E-3</v>
      </c>
      <c r="I648" s="91">
        <v>449.31825027353932</v>
      </c>
      <c r="J648" s="91">
        <v>453.98830265374164</v>
      </c>
      <c r="K648" s="91">
        <v>448.24442473237372</v>
      </c>
      <c r="L648" s="91">
        <v>453.98830265374164</v>
      </c>
      <c r="M648" s="92">
        <v>1433685.8465193226</v>
      </c>
      <c r="N648" s="90" t="s">
        <v>656</v>
      </c>
      <c r="O648" s="25">
        <f t="shared" si="19"/>
        <v>-1.0286724025495797E-2</v>
      </c>
    </row>
    <row r="649" spans="1:15">
      <c r="A649" s="91">
        <v>423.32695344487161</v>
      </c>
      <c r="B649" s="91">
        <v>423.77161446052395</v>
      </c>
      <c r="C649" s="91">
        <v>419.6826664252859</v>
      </c>
      <c r="D649" s="91">
        <v>421.05531564751709</v>
      </c>
      <c r="E649" s="92">
        <v>4480696.5977823418</v>
      </c>
      <c r="F649" s="90" t="s">
        <v>657</v>
      </c>
      <c r="G649" s="25">
        <f t="shared" si="18"/>
        <v>5.395105376739151E-3</v>
      </c>
      <c r="I649" s="91">
        <v>453.28158716062308</v>
      </c>
      <c r="J649" s="91">
        <v>454.80007044989139</v>
      </c>
      <c r="K649" s="91">
        <v>447.44640923771175</v>
      </c>
      <c r="L649" s="91">
        <v>453.76864783831292</v>
      </c>
      <c r="M649" s="92">
        <v>917081.46532917861</v>
      </c>
      <c r="N649" s="90" t="s">
        <v>657</v>
      </c>
      <c r="O649" s="25">
        <f t="shared" si="19"/>
        <v>-1.0733678494759813E-3</v>
      </c>
    </row>
    <row r="650" spans="1:15">
      <c r="A650" s="91">
        <v>419.59566753091912</v>
      </c>
      <c r="B650" s="91">
        <v>419.99199582747889</v>
      </c>
      <c r="C650" s="91">
        <v>417.41102862793144</v>
      </c>
      <c r="D650" s="91">
        <v>419.14133997144825</v>
      </c>
      <c r="E650" s="92">
        <v>6253125.3294617459</v>
      </c>
      <c r="F650" s="90" t="s">
        <v>658</v>
      </c>
      <c r="G650" s="25">
        <f t="shared" si="18"/>
        <v>1.0839483394833316E-3</v>
      </c>
      <c r="I650" s="91">
        <v>452.56532145813804</v>
      </c>
      <c r="J650" s="91">
        <v>461.1796103066913</v>
      </c>
      <c r="K650" s="91">
        <v>452.27881517714405</v>
      </c>
      <c r="L650" s="91">
        <v>455.86969389893562</v>
      </c>
      <c r="M650" s="92">
        <v>641051.91468329437</v>
      </c>
      <c r="N650" s="90" t="s">
        <v>658</v>
      </c>
      <c r="O650" s="25">
        <f t="shared" si="19"/>
        <v>-7.2485021158922303E-3</v>
      </c>
    </row>
    <row r="651" spans="1:15">
      <c r="A651" s="91">
        <v>421.94463767882183</v>
      </c>
      <c r="B651" s="91">
        <v>423.37528616396429</v>
      </c>
      <c r="C651" s="91">
        <v>420.24332596676061</v>
      </c>
      <c r="D651" s="91">
        <v>422.22496744955924</v>
      </c>
      <c r="E651" s="92">
        <v>5928529.4802208487</v>
      </c>
      <c r="F651" s="90" t="s">
        <v>659</v>
      </c>
      <c r="G651" s="25">
        <f t="shared" si="18"/>
        <v>-6.6393461388780661E-4</v>
      </c>
      <c r="I651" s="91">
        <v>456.40450562345779</v>
      </c>
      <c r="J651" s="91">
        <v>460.4824450229392</v>
      </c>
      <c r="K651" s="91">
        <v>454.61861647192848</v>
      </c>
      <c r="L651" s="91">
        <v>459.8425809953859</v>
      </c>
      <c r="M651" s="92">
        <v>769217.6912680238</v>
      </c>
      <c r="N651" s="90" t="s">
        <v>659</v>
      </c>
      <c r="O651" s="25">
        <f t="shared" si="19"/>
        <v>-7.4766355140186702E-3</v>
      </c>
    </row>
    <row r="652" spans="1:15">
      <c r="A652" s="91">
        <v>423.38495270778282</v>
      </c>
      <c r="B652" s="91">
        <v>425.13459713893667</v>
      </c>
      <c r="C652" s="91">
        <v>422.16696818664803</v>
      </c>
      <c r="D652" s="91">
        <v>424.46760561545813</v>
      </c>
      <c r="E652" s="92">
        <v>5361449.8597372398</v>
      </c>
      <c r="F652" s="90" t="s">
        <v>660</v>
      </c>
      <c r="G652" s="25">
        <f t="shared" si="18"/>
        <v>-2.5506137414315067E-3</v>
      </c>
      <c r="I652" s="91">
        <v>459.44147220199432</v>
      </c>
      <c r="J652" s="91">
        <v>459.80438015792004</v>
      </c>
      <c r="K652" s="91">
        <v>447.68516447187341</v>
      </c>
      <c r="L652" s="91">
        <v>447.68516447187341</v>
      </c>
      <c r="M652" s="92">
        <v>734391.22964427806</v>
      </c>
      <c r="N652" s="90" t="s">
        <v>660</v>
      </c>
      <c r="O652" s="25">
        <f t="shared" si="19"/>
        <v>2.6260212897583068E-2</v>
      </c>
    </row>
    <row r="653" spans="1:15">
      <c r="A653" s="91">
        <v>423.19162183141219</v>
      </c>
      <c r="B653" s="91">
        <v>424.70443593901211</v>
      </c>
      <c r="C653" s="91">
        <v>419.52800172418944</v>
      </c>
      <c r="D653" s="91">
        <v>424.30327437054308</v>
      </c>
      <c r="E653" s="92">
        <v>4962049.6115741655</v>
      </c>
      <c r="F653" s="90" t="s">
        <v>661</v>
      </c>
      <c r="G653" s="25">
        <f t="shared" si="18"/>
        <v>-2.6199480566819755E-3</v>
      </c>
      <c r="I653" s="91">
        <v>446.31948453246861</v>
      </c>
      <c r="J653" s="91">
        <v>451.77265408072134</v>
      </c>
      <c r="K653" s="91">
        <v>444.39989244980876</v>
      </c>
      <c r="L653" s="91">
        <v>451.35244486859676</v>
      </c>
      <c r="M653" s="92">
        <v>570269.17327308422</v>
      </c>
      <c r="N653" s="90" t="s">
        <v>661</v>
      </c>
      <c r="O653" s="25">
        <f t="shared" si="19"/>
        <v>-1.1150843189945303E-2</v>
      </c>
    </row>
    <row r="654" spans="1:15">
      <c r="A654" s="91">
        <v>423.33661998869013</v>
      </c>
      <c r="B654" s="91">
        <v>424.10511022226325</v>
      </c>
      <c r="C654" s="91">
        <v>420.95865020933184</v>
      </c>
      <c r="D654" s="91">
        <v>421.23897998006919</v>
      </c>
      <c r="E654" s="92">
        <v>4426443.4945175834</v>
      </c>
      <c r="F654" s="90" t="s">
        <v>662</v>
      </c>
      <c r="G654" s="25">
        <f t="shared" si="18"/>
        <v>4.9796911214632367E-3</v>
      </c>
      <c r="I654" s="91">
        <v>450.72213105040993</v>
      </c>
      <c r="J654" s="91">
        <v>455.6213884554075</v>
      </c>
      <c r="K654" s="91">
        <v>449.9199134636267</v>
      </c>
      <c r="L654" s="91">
        <v>450.76988209724226</v>
      </c>
      <c r="M654" s="92">
        <v>522791.68009978661</v>
      </c>
      <c r="N654" s="90" t="s">
        <v>662</v>
      </c>
      <c r="O654" s="25">
        <f t="shared" si="19"/>
        <v>-1.0593220338983578E-4</v>
      </c>
    </row>
    <row r="655" spans="1:15">
      <c r="A655" s="91">
        <v>420.56232191277212</v>
      </c>
      <c r="B655" s="91">
        <v>421.87697187209216</v>
      </c>
      <c r="C655" s="91">
        <v>418.71920200289304</v>
      </c>
      <c r="D655" s="91">
        <v>419.1606730590853</v>
      </c>
      <c r="E655" s="92">
        <v>8213449.5524457414</v>
      </c>
      <c r="F655" s="90" t="s">
        <v>663</v>
      </c>
      <c r="G655" s="25">
        <f t="shared" si="18"/>
        <v>3.3439417001062122E-3</v>
      </c>
      <c r="I655" s="91">
        <v>450.98953691267104</v>
      </c>
      <c r="J655" s="91">
        <v>456.32810394852606</v>
      </c>
      <c r="K655" s="91">
        <v>448.85984022394888</v>
      </c>
      <c r="L655" s="91">
        <v>453.92145118817638</v>
      </c>
      <c r="M655" s="92">
        <v>646606.7667252057</v>
      </c>
      <c r="N655" s="90" t="s">
        <v>663</v>
      </c>
      <c r="O655" s="25">
        <f t="shared" si="19"/>
        <v>-6.4590784767514231E-3</v>
      </c>
    </row>
    <row r="656" spans="1:15">
      <c r="A656" s="91">
        <v>421.58697555753628</v>
      </c>
      <c r="B656" s="91">
        <v>421.72230717099563</v>
      </c>
      <c r="C656" s="91">
        <v>416.01904631806315</v>
      </c>
      <c r="D656" s="91">
        <v>416.09637866861135</v>
      </c>
      <c r="E656" s="92">
        <v>7471503.9165865257</v>
      </c>
      <c r="F656" s="90" t="s">
        <v>664</v>
      </c>
      <c r="G656" s="25">
        <f t="shared" si="18"/>
        <v>1.3195493088628218E-2</v>
      </c>
      <c r="I656" s="91">
        <v>453.88325035071051</v>
      </c>
      <c r="J656" s="91">
        <v>454.01695328184104</v>
      </c>
      <c r="K656" s="91">
        <v>444.28528993741116</v>
      </c>
      <c r="L656" s="91">
        <v>445.06840710546146</v>
      </c>
      <c r="M656" s="92">
        <v>689996.39140243887</v>
      </c>
      <c r="N656" s="90" t="s">
        <v>664</v>
      </c>
      <c r="O656" s="25">
        <f t="shared" si="19"/>
        <v>1.9805591914683562E-2</v>
      </c>
    </row>
    <row r="657" spans="1:15">
      <c r="A657" s="91">
        <v>415.64205110914048</v>
      </c>
      <c r="B657" s="91">
        <v>417.88468927503936</v>
      </c>
      <c r="C657" s="91">
        <v>414.3467342374575</v>
      </c>
      <c r="D657" s="91">
        <v>415.26505590021782</v>
      </c>
      <c r="E657" s="92">
        <v>5922083.5362340678</v>
      </c>
      <c r="F657" s="90" t="s">
        <v>665</v>
      </c>
      <c r="G657" s="25">
        <f t="shared" si="18"/>
        <v>9.0784236132135376E-4</v>
      </c>
      <c r="I657" s="91">
        <v>448.75478792091775</v>
      </c>
      <c r="J657" s="91">
        <v>451.45749717162795</v>
      </c>
      <c r="K657" s="91">
        <v>446.18578160133808</v>
      </c>
      <c r="L657" s="91">
        <v>451.45749717162795</v>
      </c>
      <c r="M657" s="92">
        <v>535636.42468001775</v>
      </c>
      <c r="N657" s="90" t="s">
        <v>665</v>
      </c>
      <c r="O657" s="25">
        <f t="shared" si="19"/>
        <v>-5.9866305635472017E-3</v>
      </c>
    </row>
    <row r="658" spans="1:15">
      <c r="A658" s="91">
        <v>415.11039119912135</v>
      </c>
      <c r="B658" s="91">
        <v>418.34868337832876</v>
      </c>
      <c r="C658" s="91">
        <v>414.89772723511368</v>
      </c>
      <c r="D658" s="91">
        <v>415.98038014278899</v>
      </c>
      <c r="E658" s="92">
        <v>4081354.2813899717</v>
      </c>
      <c r="F658" s="90" t="s">
        <v>666</v>
      </c>
      <c r="G658" s="25">
        <f t="shared" si="18"/>
        <v>-2.0914182139287751E-3</v>
      </c>
      <c r="I658" s="91">
        <v>450.51202644434767</v>
      </c>
      <c r="J658" s="91">
        <v>462.0200287309404</v>
      </c>
      <c r="K658" s="91">
        <v>450.43562476941588</v>
      </c>
      <c r="L658" s="91">
        <v>459.66112701742304</v>
      </c>
      <c r="M658" s="92">
        <v>829008.00351028191</v>
      </c>
      <c r="N658" s="90" t="s">
        <v>666</v>
      </c>
      <c r="O658" s="25">
        <f t="shared" si="19"/>
        <v>-1.9904011967339152E-2</v>
      </c>
    </row>
    <row r="659" spans="1:15">
      <c r="A659" s="91">
        <v>416.42504115844139</v>
      </c>
      <c r="B659" s="91">
        <v>418.56134734233643</v>
      </c>
      <c r="C659" s="91">
        <v>415.90304779224078</v>
      </c>
      <c r="D659" s="91">
        <v>417.90402236267641</v>
      </c>
      <c r="E659" s="92">
        <v>4970803.5159259764</v>
      </c>
      <c r="F659" s="90" t="s">
        <v>667</v>
      </c>
      <c r="G659" s="25">
        <f t="shared" si="18"/>
        <v>-3.5390451517394172E-3</v>
      </c>
      <c r="I659" s="91">
        <v>453.52034239478479</v>
      </c>
      <c r="J659" s="91">
        <v>462.06777977777273</v>
      </c>
      <c r="K659" s="91">
        <v>449.66205781073211</v>
      </c>
      <c r="L659" s="91">
        <v>453.10013318266022</v>
      </c>
      <c r="M659" s="92">
        <v>810006.325846839</v>
      </c>
      <c r="N659" s="90" t="s">
        <v>667</v>
      </c>
      <c r="O659" s="25">
        <f t="shared" si="19"/>
        <v>9.2740915605782348E-4</v>
      </c>
    </row>
    <row r="660" spans="1:15">
      <c r="A660" s="91">
        <v>419.53766826800796</v>
      </c>
      <c r="B660" s="91">
        <v>420.75565278914269</v>
      </c>
      <c r="C660" s="91">
        <v>417.94268853795057</v>
      </c>
      <c r="D660" s="91">
        <v>419.44100282982271</v>
      </c>
      <c r="E660" s="92">
        <v>9389127.2520817816</v>
      </c>
      <c r="F660" s="90" t="s">
        <v>668</v>
      </c>
      <c r="G660" s="25">
        <f t="shared" si="18"/>
        <v>2.3046253831426888E-4</v>
      </c>
      <c r="I660" s="91">
        <v>448.94579210824708</v>
      </c>
      <c r="J660" s="91">
        <v>454.93377338102192</v>
      </c>
      <c r="K660" s="91">
        <v>446.25263306690334</v>
      </c>
      <c r="L660" s="91">
        <v>448.08627326526505</v>
      </c>
      <c r="M660" s="92">
        <v>777497.0909090027</v>
      </c>
      <c r="N660" s="90" t="s">
        <v>668</v>
      </c>
      <c r="O660" s="25">
        <f t="shared" si="19"/>
        <v>1.9181994501160649E-3</v>
      </c>
    </row>
    <row r="661" spans="1:15">
      <c r="A661" s="91">
        <v>422.23463399337777</v>
      </c>
      <c r="B661" s="91">
        <v>423.72328174143132</v>
      </c>
      <c r="C661" s="91">
        <v>420.43665684313123</v>
      </c>
      <c r="D661" s="91">
        <v>423.26895418196045</v>
      </c>
      <c r="E661" s="92">
        <v>4527869.6110702865</v>
      </c>
      <c r="F661" s="90" t="s">
        <v>669</v>
      </c>
      <c r="G661" s="25">
        <f t="shared" si="18"/>
        <v>-2.4436476579806632E-3</v>
      </c>
      <c r="I661" s="91">
        <v>447.08350128178603</v>
      </c>
      <c r="J661" s="91">
        <v>447.83796782173692</v>
      </c>
      <c r="K661" s="91">
        <v>444.1038359594483</v>
      </c>
      <c r="L661" s="91">
        <v>445.24031087405785</v>
      </c>
      <c r="M661" s="92">
        <v>422461.94247493858</v>
      </c>
      <c r="N661" s="90" t="s">
        <v>669</v>
      </c>
      <c r="O661" s="25">
        <f t="shared" si="19"/>
        <v>4.13976534179894E-3</v>
      </c>
    </row>
    <row r="662" spans="1:15">
      <c r="A662" s="91">
        <v>423.36561962014576</v>
      </c>
      <c r="B662" s="91">
        <v>424.20660893235777</v>
      </c>
      <c r="C662" s="91">
        <v>423.0659567617713</v>
      </c>
      <c r="D662" s="91">
        <v>423.63628284706454</v>
      </c>
      <c r="E662" s="92">
        <v>4865911.8380900593</v>
      </c>
      <c r="F662" s="90" t="s">
        <v>670</v>
      </c>
      <c r="G662" s="25">
        <f t="shared" si="18"/>
        <v>-6.3890473474026432E-4</v>
      </c>
      <c r="I662" s="91">
        <v>444.73414977763514</v>
      </c>
      <c r="J662" s="91">
        <v>446.38633599803393</v>
      </c>
      <c r="K662" s="91">
        <v>442.36569785475132</v>
      </c>
      <c r="L662" s="91">
        <v>442.55670204208064</v>
      </c>
      <c r="M662" s="92">
        <v>405948.16838389542</v>
      </c>
      <c r="N662" s="90" t="s">
        <v>670</v>
      </c>
      <c r="O662" s="25">
        <f t="shared" si="19"/>
        <v>4.9201553733275727E-3</v>
      </c>
    </row>
    <row r="663" spans="1:15">
      <c r="A663" s="91">
        <v>423.29795381341597</v>
      </c>
      <c r="B663" s="91">
        <v>423.41395233923834</v>
      </c>
      <c r="C663" s="91">
        <v>421.86730532827363</v>
      </c>
      <c r="D663" s="91">
        <v>422.32646615965376</v>
      </c>
      <c r="E663" s="92">
        <v>4418341.3225861983</v>
      </c>
      <c r="F663" s="90" t="s">
        <v>671</v>
      </c>
      <c r="G663" s="25">
        <f t="shared" si="18"/>
        <v>2.3003238764462974E-3</v>
      </c>
      <c r="I663" s="91">
        <v>443.339819210131</v>
      </c>
      <c r="J663" s="91">
        <v>444.89650333686507</v>
      </c>
      <c r="K663" s="91">
        <v>441.79182577392032</v>
      </c>
      <c r="L663" s="91">
        <v>442.07919157375727</v>
      </c>
      <c r="M663" s="92">
        <v>396202.8322945328</v>
      </c>
      <c r="N663" s="90" t="s">
        <v>671</v>
      </c>
      <c r="O663" s="25">
        <f t="shared" si="19"/>
        <v>2.8515878159431907E-3</v>
      </c>
    </row>
    <row r="664" spans="1:15">
      <c r="A664" s="91">
        <v>422.52463030793365</v>
      </c>
      <c r="B664" s="91">
        <v>423.31728690105308</v>
      </c>
      <c r="C664" s="91">
        <v>421.05531564751709</v>
      </c>
      <c r="D664" s="91">
        <v>421.13806126260374</v>
      </c>
      <c r="E664" s="92">
        <v>3968157.6704252027</v>
      </c>
      <c r="F664" s="90" t="s">
        <v>672</v>
      </c>
      <c r="G664" s="25">
        <f t="shared" si="18"/>
        <v>3.2924334627291163E-3</v>
      </c>
      <c r="I664" s="91">
        <v>443.60722507239205</v>
      </c>
      <c r="J664" s="91">
        <v>444.80577634788364</v>
      </c>
      <c r="K664" s="91">
        <v>441.60311363683894</v>
      </c>
      <c r="L664" s="91">
        <v>441.75448445529742</v>
      </c>
      <c r="M664" s="92">
        <v>439738.00351914123</v>
      </c>
      <c r="N664" s="90" t="s">
        <v>672</v>
      </c>
      <c r="O664" s="25">
        <f t="shared" si="19"/>
        <v>4.1940505015567453E-3</v>
      </c>
    </row>
    <row r="665" spans="1:15">
      <c r="A665" s="91">
        <v>420.77498587677979</v>
      </c>
      <c r="B665" s="91">
        <v>422.27136685988819</v>
      </c>
      <c r="C665" s="91">
        <v>419.02534144562588</v>
      </c>
      <c r="D665" s="91">
        <v>420.93931712169473</v>
      </c>
      <c r="E665" s="92">
        <v>4177117.5673563099</v>
      </c>
      <c r="F665" s="90" t="s">
        <v>673</v>
      </c>
      <c r="G665" s="25">
        <f t="shared" si="18"/>
        <v>-3.9039176962274436E-4</v>
      </c>
      <c r="I665" s="91">
        <v>442.29884638918605</v>
      </c>
      <c r="J665" s="91">
        <v>444.49539454347348</v>
      </c>
      <c r="K665" s="91">
        <v>440.6944112156196</v>
      </c>
      <c r="L665" s="91">
        <v>440.6944112156196</v>
      </c>
      <c r="M665" s="92">
        <v>379358.17540514021</v>
      </c>
      <c r="N665" s="90" t="s">
        <v>673</v>
      </c>
      <c r="O665" s="25">
        <f t="shared" si="19"/>
        <v>3.6406978004117629E-3</v>
      </c>
    </row>
    <row r="666" spans="1:15">
      <c r="A666" s="91">
        <v>419.79866495110821</v>
      </c>
      <c r="B666" s="91">
        <v>420.1466605285753</v>
      </c>
      <c r="C666" s="91">
        <v>416.48806702413822</v>
      </c>
      <c r="D666" s="91">
        <v>418.68701241197732</v>
      </c>
      <c r="E666" s="92">
        <v>4781032.4835448274</v>
      </c>
      <c r="F666" s="90" t="s">
        <v>674</v>
      </c>
      <c r="G666" s="25">
        <f t="shared" si="18"/>
        <v>2.6550920047099247E-3</v>
      </c>
      <c r="I666" s="91">
        <v>438.56471452689749</v>
      </c>
      <c r="J666" s="91">
        <v>441.11462042774411</v>
      </c>
      <c r="K666" s="91">
        <v>437.67654505581606</v>
      </c>
      <c r="L666" s="91">
        <v>437.97260154617652</v>
      </c>
      <c r="M666" s="92">
        <v>506817.16120225604</v>
      </c>
      <c r="N666" s="90" t="s">
        <v>674</v>
      </c>
      <c r="O666" s="25">
        <f t="shared" si="19"/>
        <v>1.3519406890536434E-3</v>
      </c>
    </row>
    <row r="667" spans="1:15">
      <c r="A667" s="91">
        <v>415.74838309114426</v>
      </c>
      <c r="B667" s="91">
        <v>422.72279445621348</v>
      </c>
      <c r="C667" s="91">
        <v>415.56471875859222</v>
      </c>
      <c r="D667" s="91">
        <v>420.98764984078741</v>
      </c>
      <c r="E667" s="92">
        <v>5982731.8931862405</v>
      </c>
      <c r="F667" s="90" t="s">
        <v>675</v>
      </c>
      <c r="G667" s="25">
        <f t="shared" si="18"/>
        <v>-1.2445179215173074E-2</v>
      </c>
      <c r="I667" s="91">
        <v>436.59737139740525</v>
      </c>
      <c r="J667" s="91">
        <v>442.98646146357169</v>
      </c>
      <c r="K667" s="91">
        <v>436.57827097867232</v>
      </c>
      <c r="L667" s="91">
        <v>441.89773759579441</v>
      </c>
      <c r="M667" s="92">
        <v>626639.6652007557</v>
      </c>
      <c r="N667" s="90" t="s">
        <v>675</v>
      </c>
      <c r="O667" s="25">
        <f t="shared" si="19"/>
        <v>-1.1994553824209442E-2</v>
      </c>
    </row>
    <row r="668" spans="1:15">
      <c r="A668" s="91">
        <v>421.83724239487532</v>
      </c>
      <c r="B668" s="91">
        <v>421.86612282864115</v>
      </c>
      <c r="C668" s="91">
        <v>419.68083667369382</v>
      </c>
      <c r="D668" s="91">
        <v>419.76747797499132</v>
      </c>
      <c r="E668" s="92">
        <v>4218954.6385618532</v>
      </c>
      <c r="F668" s="90" t="s">
        <v>676</v>
      </c>
      <c r="G668" s="25">
        <f t="shared" si="18"/>
        <v>4.9307402990550475E-3</v>
      </c>
      <c r="I668" s="91">
        <v>443.2825179539322</v>
      </c>
      <c r="J668" s="91">
        <v>446.3099343231022</v>
      </c>
      <c r="K668" s="91">
        <v>441.78313508339681</v>
      </c>
      <c r="L668" s="91">
        <v>444.12293637818124</v>
      </c>
      <c r="M668" s="92">
        <v>628324.44501893385</v>
      </c>
      <c r="N668" s="90" t="s">
        <v>676</v>
      </c>
      <c r="O668" s="25">
        <f t="shared" si="19"/>
        <v>-1.8923103388954754E-3</v>
      </c>
    </row>
    <row r="669" spans="1:15">
      <c r="A669" s="91">
        <v>419.28613741222756</v>
      </c>
      <c r="B669" s="91">
        <v>420.11404318018117</v>
      </c>
      <c r="C669" s="91">
        <v>418.23681498540265</v>
      </c>
      <c r="D669" s="91">
        <v>418.41972439925286</v>
      </c>
      <c r="E669" s="92">
        <v>4446410.0172886644</v>
      </c>
      <c r="F669" s="90" t="s">
        <v>677</v>
      </c>
      <c r="G669" s="25">
        <f t="shared" si="18"/>
        <v>2.0706791827720394E-3</v>
      </c>
      <c r="I669" s="91">
        <v>444.48584433410701</v>
      </c>
      <c r="J669" s="91">
        <v>445.76557238921356</v>
      </c>
      <c r="K669" s="91">
        <v>439.7966915351717</v>
      </c>
      <c r="L669" s="91">
        <v>441.47752838366989</v>
      </c>
      <c r="M669" s="92">
        <v>793652.75766765489</v>
      </c>
      <c r="N669" s="90" t="s">
        <v>677</v>
      </c>
      <c r="O669" s="25">
        <f t="shared" si="19"/>
        <v>6.8141994938024641E-3</v>
      </c>
    </row>
    <row r="670" spans="1:15">
      <c r="A670" s="91">
        <v>416.92756865468527</v>
      </c>
      <c r="B670" s="91">
        <v>418.04427876029712</v>
      </c>
      <c r="C670" s="91">
        <v>416.10928969798698</v>
      </c>
      <c r="D670" s="91">
        <v>417.02383676723804</v>
      </c>
      <c r="E670" s="92">
        <v>5532507.9704682622</v>
      </c>
      <c r="F670" s="90" t="s">
        <v>678</v>
      </c>
      <c r="G670" s="25">
        <f t="shared" si="18"/>
        <v>-2.3084558738661887E-4</v>
      </c>
      <c r="I670" s="91">
        <v>440.31240284096094</v>
      </c>
      <c r="J670" s="91">
        <v>441.67808278036568</v>
      </c>
      <c r="K670" s="91">
        <v>434.53452617424836</v>
      </c>
      <c r="L670" s="91">
        <v>439.8826434194699</v>
      </c>
      <c r="M670" s="92">
        <v>1828811.2155242932</v>
      </c>
      <c r="N670" s="90" t="s">
        <v>678</v>
      </c>
      <c r="O670" s="25">
        <f t="shared" si="19"/>
        <v>9.7698653929656487E-4</v>
      </c>
    </row>
    <row r="671" spans="1:15">
      <c r="A671" s="91">
        <v>417.56293819753341</v>
      </c>
      <c r="B671" s="91">
        <v>419.11689807035981</v>
      </c>
      <c r="C671" s="91">
        <v>415.14660857245951</v>
      </c>
      <c r="D671" s="91">
        <v>418.01539832653134</v>
      </c>
      <c r="E671" s="92">
        <v>8672802.217271572</v>
      </c>
      <c r="F671" s="90" t="s">
        <v>679</v>
      </c>
      <c r="G671" s="25">
        <f t="shared" si="18"/>
        <v>-1.082400626410629E-3</v>
      </c>
      <c r="I671" s="91">
        <v>442.80500748560883</v>
      </c>
      <c r="J671" s="91">
        <v>458.41004959041589</v>
      </c>
      <c r="K671" s="91">
        <v>440.92361624041479</v>
      </c>
      <c r="L671" s="91">
        <v>458.01849100639072</v>
      </c>
      <c r="M671" s="92">
        <v>1262256.0969529357</v>
      </c>
      <c r="N671" s="90" t="s">
        <v>679</v>
      </c>
      <c r="O671" s="25">
        <f t="shared" si="19"/>
        <v>-3.3215871890573179E-2</v>
      </c>
    </row>
    <row r="672" spans="1:15">
      <c r="A672" s="91">
        <v>416.34033316811355</v>
      </c>
      <c r="B672" s="91">
        <v>416.46548171443214</v>
      </c>
      <c r="C672" s="91">
        <v>410.59312684871463</v>
      </c>
      <c r="D672" s="91">
        <v>410.9493188651598</v>
      </c>
      <c r="E672" s="92">
        <v>8994791.4946973287</v>
      </c>
      <c r="F672" s="90" t="s">
        <v>680</v>
      </c>
      <c r="G672" s="25">
        <f t="shared" ref="G672:G735" si="20">A672/D672-1</f>
        <v>1.3118440779610108E-2</v>
      </c>
      <c r="I672" s="91">
        <v>463.19470448301581</v>
      </c>
      <c r="J672" s="91">
        <v>464.51740848027151</v>
      </c>
      <c r="K672" s="91">
        <v>457.43592823503627</v>
      </c>
      <c r="L672" s="91">
        <v>458.82070859317395</v>
      </c>
      <c r="M672" s="92">
        <v>814974.80330939672</v>
      </c>
      <c r="N672" s="90" t="s">
        <v>680</v>
      </c>
      <c r="O672" s="25">
        <f t="shared" ref="O672:O735" si="21">I672/L672-1</f>
        <v>9.5331265741105398E-3</v>
      </c>
    </row>
    <row r="673" spans="1:15">
      <c r="A673" s="91">
        <v>410.74715582879907</v>
      </c>
      <c r="B673" s="91">
        <v>410.74715582879907</v>
      </c>
      <c r="C673" s="91">
        <v>407.47779445839529</v>
      </c>
      <c r="D673" s="91">
        <v>408.38858707125678</v>
      </c>
      <c r="E673" s="92">
        <v>6214474.1819074797</v>
      </c>
      <c r="F673" s="90" t="s">
        <v>681</v>
      </c>
      <c r="G673" s="25">
        <f t="shared" si="20"/>
        <v>5.7753052661355664E-3</v>
      </c>
      <c r="I673" s="91">
        <v>457.69378388793086</v>
      </c>
      <c r="J673" s="91">
        <v>460.02403497334882</v>
      </c>
      <c r="K673" s="91">
        <v>455.99384662069974</v>
      </c>
      <c r="L673" s="91">
        <v>457.98029016892485</v>
      </c>
      <c r="M673" s="92">
        <v>397282.38977902115</v>
      </c>
      <c r="N673" s="90" t="s">
        <v>681</v>
      </c>
      <c r="O673" s="25">
        <f t="shared" si="21"/>
        <v>-6.2558648733179734E-4</v>
      </c>
    </row>
    <row r="674" spans="1:15">
      <c r="A674" s="91">
        <v>408.71589865393611</v>
      </c>
      <c r="B674" s="91">
        <v>408.86030082276523</v>
      </c>
      <c r="C674" s="91">
        <v>406.4632248202019</v>
      </c>
      <c r="D674" s="91">
        <v>406.64613423405211</v>
      </c>
      <c r="E674" s="92">
        <v>5450492.2355521545</v>
      </c>
      <c r="F674" s="90" t="s">
        <v>682</v>
      </c>
      <c r="G674" s="25">
        <f t="shared" si="20"/>
        <v>5.0898416230675814E-3</v>
      </c>
      <c r="I674" s="91">
        <v>457.22582362897396</v>
      </c>
      <c r="J674" s="91">
        <v>459.29344395681409</v>
      </c>
      <c r="K674" s="91">
        <v>455.45903489617757</v>
      </c>
      <c r="L674" s="91">
        <v>455.51633615237643</v>
      </c>
      <c r="M674" s="92">
        <v>449569.20160048065</v>
      </c>
      <c r="N674" s="90" t="s">
        <v>682</v>
      </c>
      <c r="O674" s="25">
        <f t="shared" si="21"/>
        <v>3.7528565737885433E-3</v>
      </c>
    </row>
    <row r="675" spans="1:15">
      <c r="A675" s="91">
        <v>407.13710160807108</v>
      </c>
      <c r="B675" s="91">
        <v>407.57030811455843</v>
      </c>
      <c r="C675" s="91">
        <v>404.47047489035998</v>
      </c>
      <c r="D675" s="91">
        <v>404.68226473797608</v>
      </c>
      <c r="E675" s="92">
        <v>5323962.2800248126</v>
      </c>
      <c r="F675" s="90" t="s">
        <v>683</v>
      </c>
      <c r="G675" s="25">
        <f t="shared" si="20"/>
        <v>6.0660846397220247E-3</v>
      </c>
      <c r="I675" s="91">
        <v>454.82872107799074</v>
      </c>
      <c r="J675" s="91">
        <v>458.25571820705375</v>
      </c>
      <c r="K675" s="91">
        <v>453.97875244437517</v>
      </c>
      <c r="L675" s="91">
        <v>457.18762279150815</v>
      </c>
      <c r="M675" s="92">
        <v>430696.31692500279</v>
      </c>
      <c r="N675" s="90" t="s">
        <v>683</v>
      </c>
      <c r="O675" s="25">
        <f t="shared" si="21"/>
        <v>-5.1595922459894972E-3</v>
      </c>
    </row>
    <row r="676" spans="1:15">
      <c r="A676" s="91">
        <v>405.41390239337693</v>
      </c>
      <c r="B676" s="91">
        <v>405.93375020116179</v>
      </c>
      <c r="C676" s="91">
        <v>403.63294231115111</v>
      </c>
      <c r="D676" s="91">
        <v>404.14316330768071</v>
      </c>
      <c r="E676" s="92">
        <v>3374171.2742319303</v>
      </c>
      <c r="F676" s="90" t="s">
        <v>684</v>
      </c>
      <c r="G676" s="25">
        <f t="shared" si="20"/>
        <v>3.1442795550367109E-3</v>
      </c>
      <c r="I676" s="91">
        <v>456.00339683006621</v>
      </c>
      <c r="J676" s="91">
        <v>461.9032296703885</v>
      </c>
      <c r="K676" s="91">
        <v>454.91467296228893</v>
      </c>
      <c r="L676" s="91">
        <v>460.53019606977159</v>
      </c>
      <c r="M676" s="92">
        <v>555498.8164581547</v>
      </c>
      <c r="N676" s="90" t="s">
        <v>684</v>
      </c>
      <c r="O676" s="25">
        <f t="shared" si="21"/>
        <v>-9.8295383849695828E-3</v>
      </c>
    </row>
    <row r="677" spans="1:15">
      <c r="A677" s="91">
        <v>402.26593511290218</v>
      </c>
      <c r="B677" s="91">
        <v>405.93375020116179</v>
      </c>
      <c r="C677" s="91">
        <v>401.88086266269113</v>
      </c>
      <c r="D677" s="91">
        <v>405.87598933363012</v>
      </c>
      <c r="E677" s="92">
        <v>4364686.1754953656</v>
      </c>
      <c r="F677" s="90" t="s">
        <v>685</v>
      </c>
      <c r="G677" s="25">
        <f t="shared" si="20"/>
        <v>-8.8944759374777194E-3</v>
      </c>
      <c r="I677" s="91">
        <v>458.68700566204342</v>
      </c>
      <c r="J677" s="91">
        <v>459.49877345819311</v>
      </c>
      <c r="K677" s="91">
        <v>453.83549930387818</v>
      </c>
      <c r="L677" s="91">
        <v>453.83549930387818</v>
      </c>
      <c r="M677" s="92">
        <v>467488.1804870459</v>
      </c>
      <c r="N677" s="90" t="s">
        <v>685</v>
      </c>
      <c r="O677" s="25">
        <f t="shared" si="21"/>
        <v>1.0690010732097299E-2</v>
      </c>
    </row>
    <row r="678" spans="1:15">
      <c r="A678" s="91">
        <v>403.95062708257524</v>
      </c>
      <c r="B678" s="91">
        <v>404.77853285052885</v>
      </c>
      <c r="C678" s="91">
        <v>402.40071047047599</v>
      </c>
      <c r="D678" s="91">
        <v>402.72802205315531</v>
      </c>
      <c r="E678" s="92">
        <v>3551833.4257634575</v>
      </c>
      <c r="F678" s="90" t="s">
        <v>686</v>
      </c>
      <c r="G678" s="25">
        <f t="shared" si="20"/>
        <v>3.0358081942918336E-3</v>
      </c>
      <c r="I678" s="91">
        <v>455.17252861518358</v>
      </c>
      <c r="J678" s="91">
        <v>458.82070859317395</v>
      </c>
      <c r="K678" s="91">
        <v>453.90235076944344</v>
      </c>
      <c r="L678" s="91">
        <v>458.82070859317395</v>
      </c>
      <c r="M678" s="92">
        <v>667022.02596387581</v>
      </c>
      <c r="N678" s="90" t="s">
        <v>686</v>
      </c>
      <c r="O678" s="25">
        <f t="shared" si="21"/>
        <v>-7.9512103740398965E-3</v>
      </c>
    </row>
    <row r="679" spans="1:15">
      <c r="A679" s="91">
        <v>404.07577562889378</v>
      </c>
      <c r="B679" s="91">
        <v>404.20092417521232</v>
      </c>
      <c r="C679" s="91">
        <v>401.91936990771228</v>
      </c>
      <c r="D679" s="91">
        <v>403.02645320206881</v>
      </c>
      <c r="E679" s="92">
        <v>6031154.9131274801</v>
      </c>
      <c r="F679" s="90" t="s">
        <v>687</v>
      </c>
      <c r="G679" s="25">
        <f t="shared" si="20"/>
        <v>2.603606831482308E-3</v>
      </c>
      <c r="I679" s="91">
        <v>458.72520649950928</v>
      </c>
      <c r="J679" s="91">
        <v>458.94486131493801</v>
      </c>
      <c r="K679" s="91">
        <v>453.59674406971646</v>
      </c>
      <c r="L679" s="91">
        <v>456.96796797607936</v>
      </c>
      <c r="M679" s="92">
        <v>1129924.96665987</v>
      </c>
      <c r="N679" s="90" t="s">
        <v>687</v>
      </c>
      <c r="O679" s="25">
        <f t="shared" si="21"/>
        <v>3.8454304165185249E-3</v>
      </c>
    </row>
    <row r="680" spans="1:15">
      <c r="A680" s="91">
        <v>406.116659615012</v>
      </c>
      <c r="B680" s="91">
        <v>406.60762698903096</v>
      </c>
      <c r="C680" s="91">
        <v>402.64138075185787</v>
      </c>
      <c r="D680" s="91">
        <v>403.19973580466376</v>
      </c>
      <c r="E680" s="92">
        <v>5166430.3663115269</v>
      </c>
      <c r="F680" s="90" t="s">
        <v>688</v>
      </c>
      <c r="G680" s="25">
        <f t="shared" si="20"/>
        <v>7.2344387937828269E-3</v>
      </c>
      <c r="I680" s="91">
        <v>458.25724624055238</v>
      </c>
      <c r="J680" s="91">
        <v>458.95918662898771</v>
      </c>
      <c r="K680" s="91">
        <v>453.73999721021352</v>
      </c>
      <c r="L680" s="91">
        <v>454.96242400912126</v>
      </c>
      <c r="M680" s="92">
        <v>728976.68866242631</v>
      </c>
      <c r="N680" s="90" t="s">
        <v>688</v>
      </c>
      <c r="O680" s="25">
        <f t="shared" si="21"/>
        <v>7.2419656164066648E-3</v>
      </c>
    </row>
    <row r="681" spans="1:15">
      <c r="A681" s="91">
        <v>403.74846404621439</v>
      </c>
      <c r="B681" s="91">
        <v>404.03726838387269</v>
      </c>
      <c r="C681" s="91">
        <v>401.02407646097174</v>
      </c>
      <c r="D681" s="91">
        <v>402.92055827826084</v>
      </c>
      <c r="E681" s="92">
        <v>4576479.0470843762</v>
      </c>
      <c r="F681" s="90" t="s">
        <v>689</v>
      </c>
      <c r="G681" s="25">
        <f t="shared" si="20"/>
        <v>2.0547617909876248E-3</v>
      </c>
      <c r="I681" s="91">
        <v>453.78774825704585</v>
      </c>
      <c r="J681" s="91">
        <v>454.84782149672367</v>
      </c>
      <c r="K681" s="91">
        <v>447.32225651594769</v>
      </c>
      <c r="L681" s="91">
        <v>448.11492389336445</v>
      </c>
      <c r="M681" s="92">
        <v>734282.33150811237</v>
      </c>
      <c r="N681" s="90" t="s">
        <v>689</v>
      </c>
      <c r="O681" s="25">
        <f t="shared" si="21"/>
        <v>1.2659306934913239E-2</v>
      </c>
    </row>
    <row r="682" spans="1:15">
      <c r="A682" s="91">
        <v>402.18892062285994</v>
      </c>
      <c r="B682" s="91">
        <v>405.40427558212167</v>
      </c>
      <c r="C682" s="91">
        <v>401.78940795576608</v>
      </c>
      <c r="D682" s="91">
        <v>404.38325598038722</v>
      </c>
      <c r="E682" s="92">
        <v>4251270.6351832207</v>
      </c>
      <c r="F682" s="90" t="s">
        <v>690</v>
      </c>
      <c r="G682" s="25">
        <f t="shared" si="20"/>
        <v>-5.4263754126202546E-3</v>
      </c>
      <c r="I682" s="91">
        <v>446.38633599803393</v>
      </c>
      <c r="J682" s="91">
        <v>450.20699275718272</v>
      </c>
      <c r="K682" s="91">
        <v>443.5499238161932</v>
      </c>
      <c r="L682" s="91">
        <v>449.12724608620994</v>
      </c>
      <c r="M682" s="92">
        <v>580618.6845986736</v>
      </c>
      <c r="N682" s="90" t="s">
        <v>690</v>
      </c>
      <c r="O682" s="25">
        <f t="shared" si="21"/>
        <v>-6.102747299481126E-3</v>
      </c>
    </row>
    <row r="683" spans="1:15">
      <c r="A683" s="91">
        <v>402.4488445267524</v>
      </c>
      <c r="B683" s="91">
        <v>403.60406187738533</v>
      </c>
      <c r="C683" s="91">
        <v>401.15885181854554</v>
      </c>
      <c r="D683" s="91">
        <v>401.6786996263304</v>
      </c>
      <c r="E683" s="92">
        <v>3513564.2637085612</v>
      </c>
      <c r="F683" s="90" t="s">
        <v>691</v>
      </c>
      <c r="G683" s="25">
        <f t="shared" si="20"/>
        <v>1.9173157579390754E-3</v>
      </c>
      <c r="I683" s="91">
        <v>448.93624189888061</v>
      </c>
      <c r="J683" s="91">
        <v>452.26926496777759</v>
      </c>
      <c r="K683" s="91">
        <v>447.72336530933933</v>
      </c>
      <c r="L683" s="91">
        <v>449.36600132037159</v>
      </c>
      <c r="M683" s="92">
        <v>576458.56637765316</v>
      </c>
      <c r="N683" s="90" t="s">
        <v>691</v>
      </c>
      <c r="O683" s="25">
        <f t="shared" si="21"/>
        <v>-9.5636835058332537E-4</v>
      </c>
    </row>
    <row r="684" spans="1:15">
      <c r="A684" s="91">
        <v>402.05414526528608</v>
      </c>
      <c r="B684" s="91">
        <v>402.90833222796664</v>
      </c>
      <c r="C684" s="91">
        <v>401.65944600381988</v>
      </c>
      <c r="D684" s="91">
        <v>402.19854743411526</v>
      </c>
      <c r="E684" s="92">
        <v>3773369.9183202735</v>
      </c>
      <c r="F684" s="90" t="s">
        <v>692</v>
      </c>
      <c r="G684" s="25">
        <f t="shared" si="20"/>
        <v>-3.5903204959442103E-4</v>
      </c>
      <c r="I684" s="91">
        <v>447.32225651594769</v>
      </c>
      <c r="J684" s="91">
        <v>449.63340718263271</v>
      </c>
      <c r="K684" s="91">
        <v>444.61954726523754</v>
      </c>
      <c r="L684" s="91">
        <v>449.63340718263271</v>
      </c>
      <c r="M684" s="92">
        <v>504996.25871387083</v>
      </c>
      <c r="N684" s="90" t="s">
        <v>692</v>
      </c>
      <c r="O684" s="25">
        <f t="shared" si="21"/>
        <v>-5.1400777383657781E-3</v>
      </c>
    </row>
    <row r="685" spans="1:15">
      <c r="A685" s="91">
        <v>402.75690248692115</v>
      </c>
      <c r="B685" s="91">
        <v>402.87242422198449</v>
      </c>
      <c r="C685" s="91">
        <v>402.24668149039161</v>
      </c>
      <c r="D685" s="91">
        <v>402.5836198843262</v>
      </c>
      <c r="E685" s="92">
        <v>1403654.8179540094</v>
      </c>
      <c r="F685" s="90" t="s">
        <v>693</v>
      </c>
      <c r="G685" s="25">
        <f t="shared" si="20"/>
        <v>4.304263612233683E-4</v>
      </c>
      <c r="I685" s="91">
        <v>450.31147204765182</v>
      </c>
      <c r="J685" s="91">
        <v>452.30746580524345</v>
      </c>
      <c r="K685" s="91">
        <v>449.18263730053548</v>
      </c>
      <c r="L685" s="91">
        <v>450.29237162891894</v>
      </c>
      <c r="M685" s="92">
        <v>200241.6833619067</v>
      </c>
      <c r="N685" s="90" t="s">
        <v>693</v>
      </c>
      <c r="O685" s="25">
        <f t="shared" si="21"/>
        <v>4.2417815482309607E-5</v>
      </c>
    </row>
    <row r="686" spans="1:15">
      <c r="A686" s="91">
        <v>402.53548582804984</v>
      </c>
      <c r="B686" s="91">
        <v>403.66182274491695</v>
      </c>
      <c r="C686" s="91">
        <v>401.49579021248019</v>
      </c>
      <c r="D686" s="91">
        <v>402.46809814926291</v>
      </c>
      <c r="E686" s="92">
        <v>3837266.4655453968</v>
      </c>
      <c r="F686" s="90" t="s">
        <v>694</v>
      </c>
      <c r="G686" s="25">
        <f t="shared" si="20"/>
        <v>1.6743607529834392E-4</v>
      </c>
      <c r="I686" s="91">
        <v>448.45873141787462</v>
      </c>
      <c r="J686" s="91">
        <v>449.87606837791839</v>
      </c>
      <c r="K686" s="91">
        <v>444.94868216783334</v>
      </c>
      <c r="L686" s="91">
        <v>445.85235338396859</v>
      </c>
      <c r="M686" s="92">
        <v>620152.04201889923</v>
      </c>
      <c r="N686" s="90" t="s">
        <v>694</v>
      </c>
      <c r="O686" s="25">
        <f t="shared" si="21"/>
        <v>5.845832177679311E-3</v>
      </c>
    </row>
    <row r="687" spans="1:15">
      <c r="A687" s="91">
        <v>400.80265980210038</v>
      </c>
      <c r="B687" s="91">
        <v>401.28400036486414</v>
      </c>
      <c r="C687" s="91">
        <v>399.80147143155187</v>
      </c>
      <c r="D687" s="91">
        <v>400.86042066963205</v>
      </c>
      <c r="E687" s="92">
        <v>5451635.9164354755</v>
      </c>
      <c r="F687" s="90" t="s">
        <v>695</v>
      </c>
      <c r="G687" s="25">
        <f t="shared" si="20"/>
        <v>-1.4409221902023095E-4</v>
      </c>
      <c r="I687" s="91">
        <v>448.09726293142052</v>
      </c>
      <c r="J687" s="91">
        <v>449.00093414755577</v>
      </c>
      <c r="K687" s="91">
        <v>439.954709657612</v>
      </c>
      <c r="L687" s="91">
        <v>443.10329042119918</v>
      </c>
      <c r="M687" s="92">
        <v>471978.01853649801</v>
      </c>
      <c r="N687" s="90" t="s">
        <v>695</v>
      </c>
      <c r="O687" s="25">
        <f t="shared" si="21"/>
        <v>1.1270447812459894E-2</v>
      </c>
    </row>
    <row r="688" spans="1:15">
      <c r="A688" s="91">
        <v>401.85198222892535</v>
      </c>
      <c r="B688" s="91">
        <v>402.59324669558146</v>
      </c>
      <c r="C688" s="91">
        <v>398.53063607774305</v>
      </c>
      <c r="D688" s="91">
        <v>398.54035915711091</v>
      </c>
      <c r="E688" s="92">
        <v>3661037.8104888769</v>
      </c>
      <c r="F688" s="90" t="s">
        <v>696</v>
      </c>
      <c r="G688" s="25">
        <f t="shared" si="20"/>
        <v>8.3093794536099885E-3</v>
      </c>
      <c r="I688" s="91">
        <v>443.10329042119918</v>
      </c>
      <c r="J688" s="91">
        <v>445.09612326099227</v>
      </c>
      <c r="K688" s="91">
        <v>440.29715348688433</v>
      </c>
      <c r="L688" s="91">
        <v>441.86668770438246</v>
      </c>
      <c r="M688" s="92">
        <v>624636.74832318106</v>
      </c>
      <c r="N688" s="90" t="s">
        <v>696</v>
      </c>
      <c r="O688" s="25">
        <f t="shared" si="21"/>
        <v>2.7985877895462252E-3</v>
      </c>
    </row>
    <row r="689" spans="1:15">
      <c r="A689" s="91">
        <v>398.84841711727972</v>
      </c>
      <c r="B689" s="91">
        <v>399.31050405753291</v>
      </c>
      <c r="C689" s="91">
        <v>397.46215629652016</v>
      </c>
      <c r="D689" s="91">
        <v>398.49222510083456</v>
      </c>
      <c r="E689" s="92">
        <v>4882342.5279318597</v>
      </c>
      <c r="F689" s="90" t="s">
        <v>697</v>
      </c>
      <c r="G689" s="25">
        <f t="shared" si="20"/>
        <v>8.9384935014735767E-4</v>
      </c>
      <c r="I689" s="91">
        <v>441.53375620370105</v>
      </c>
      <c r="J689" s="91">
        <v>443.53134520778957</v>
      </c>
      <c r="K689" s="91">
        <v>440.62057265897482</v>
      </c>
      <c r="L689" s="91">
        <v>441.69546578974627</v>
      </c>
      <c r="M689" s="92">
        <v>546526.53662265395</v>
      </c>
      <c r="N689" s="90" t="s">
        <v>697</v>
      </c>
      <c r="O689" s="25">
        <f t="shared" si="21"/>
        <v>-3.6611103932449041E-4</v>
      </c>
    </row>
    <row r="690" spans="1:15">
      <c r="A690" s="91">
        <v>398.26118163070794</v>
      </c>
      <c r="B690" s="91">
        <v>398.50185191208982</v>
      </c>
      <c r="C690" s="91">
        <v>396.38395343592941</v>
      </c>
      <c r="D690" s="91">
        <v>397.33700775020162</v>
      </c>
      <c r="E690" s="92">
        <v>3946155.0655400902</v>
      </c>
      <c r="F690" s="90" t="s">
        <v>698</v>
      </c>
      <c r="G690" s="25">
        <f t="shared" si="20"/>
        <v>2.3259194650384618E-3</v>
      </c>
      <c r="I690" s="91">
        <v>441.25789867456501</v>
      </c>
      <c r="J690" s="91">
        <v>444.30184382365229</v>
      </c>
      <c r="K690" s="91">
        <v>440.27337266540712</v>
      </c>
      <c r="L690" s="91">
        <v>443.41719726469876</v>
      </c>
      <c r="M690" s="92">
        <v>451922.99224329932</v>
      </c>
      <c r="N690" s="90" t="s">
        <v>698</v>
      </c>
      <c r="O690" s="25">
        <f t="shared" si="21"/>
        <v>-4.8696771425505991E-3</v>
      </c>
    </row>
    <row r="691" spans="1:15">
      <c r="A691" s="91">
        <v>397.70282657790204</v>
      </c>
      <c r="B691" s="91">
        <v>399.24311637874598</v>
      </c>
      <c r="C691" s="91">
        <v>396.98081573375646</v>
      </c>
      <c r="D691" s="91">
        <v>398.10715265062356</v>
      </c>
      <c r="E691" s="92">
        <v>4585949.4727094807</v>
      </c>
      <c r="F691" s="90" t="s">
        <v>699</v>
      </c>
      <c r="G691" s="25">
        <f t="shared" si="20"/>
        <v>-1.0156212216472227E-3</v>
      </c>
      <c r="I691" s="91">
        <v>442.31376714815468</v>
      </c>
      <c r="J691" s="91">
        <v>445.02478079656049</v>
      </c>
      <c r="K691" s="91">
        <v>440.18300554379357</v>
      </c>
      <c r="L691" s="91">
        <v>443.27451233583531</v>
      </c>
      <c r="M691" s="92">
        <v>682885.36691381654</v>
      </c>
      <c r="N691" s="90" t="s">
        <v>699</v>
      </c>
      <c r="O691" s="25">
        <f t="shared" si="21"/>
        <v>-2.1673819742488165E-3</v>
      </c>
    </row>
    <row r="692" spans="1:15">
      <c r="A692" s="91">
        <v>396.83641356492734</v>
      </c>
      <c r="B692" s="91">
        <v>398.07827221685773</v>
      </c>
      <c r="C692" s="91">
        <v>394.58913074549605</v>
      </c>
      <c r="D692" s="91">
        <v>394.73776871127751</v>
      </c>
      <c r="E692" s="92">
        <v>7243431.7190745994</v>
      </c>
      <c r="F692" s="90" t="s">
        <v>700</v>
      </c>
      <c r="G692" s="25">
        <f t="shared" si="20"/>
        <v>5.3165544824893551E-3</v>
      </c>
      <c r="I692" s="91">
        <v>444.06403560887981</v>
      </c>
      <c r="J692" s="91">
        <v>445.82381639819596</v>
      </c>
      <c r="K692" s="91">
        <v>438.10931791097784</v>
      </c>
      <c r="L692" s="91">
        <v>440.420813758566</v>
      </c>
      <c r="M692" s="92">
        <v>1119439.8824899108</v>
      </c>
      <c r="N692" s="90" t="s">
        <v>700</v>
      </c>
      <c r="O692" s="25">
        <f t="shared" si="21"/>
        <v>8.2721382289416834E-3</v>
      </c>
    </row>
    <row r="693" spans="1:15">
      <c r="A693" s="91">
        <v>389.35638121957896</v>
      </c>
      <c r="B693" s="91">
        <v>390.35756959012758</v>
      </c>
      <c r="C693" s="91">
        <v>387.78721098496925</v>
      </c>
      <c r="D693" s="91">
        <v>388.52847545162535</v>
      </c>
      <c r="E693" s="92">
        <v>2984312.1713079303</v>
      </c>
      <c r="F693" s="90" t="s">
        <v>701</v>
      </c>
      <c r="G693" s="25">
        <f t="shared" si="20"/>
        <v>2.1308753933446667E-3</v>
      </c>
      <c r="I693" s="91">
        <v>441.73351510410987</v>
      </c>
      <c r="J693" s="91">
        <v>443.47427123624419</v>
      </c>
      <c r="K693" s="91">
        <v>439.49811788524892</v>
      </c>
      <c r="L693" s="91">
        <v>441.40058360342846</v>
      </c>
      <c r="M693" s="92">
        <v>1072643.7698718132</v>
      </c>
      <c r="N693" s="90" t="s">
        <v>701</v>
      </c>
      <c r="O693" s="25">
        <f t="shared" si="21"/>
        <v>7.542615779152495E-4</v>
      </c>
    </row>
    <row r="694" spans="1:15">
      <c r="A694" s="91">
        <v>389.75108048104528</v>
      </c>
      <c r="B694" s="91">
        <v>389.99078808130156</v>
      </c>
      <c r="C694" s="91">
        <v>384.24454444302819</v>
      </c>
      <c r="D694" s="91">
        <v>385.64043207504301</v>
      </c>
      <c r="E694" s="92">
        <v>4149285.6711109201</v>
      </c>
      <c r="F694" s="90" t="s">
        <v>702</v>
      </c>
      <c r="G694" s="25">
        <f t="shared" si="20"/>
        <v>1.065927756559093E-2</v>
      </c>
      <c r="I694" s="91">
        <v>440.67764663052026</v>
      </c>
      <c r="J694" s="91">
        <v>441.60034250383734</v>
      </c>
      <c r="K694" s="91">
        <v>435.98331247091221</v>
      </c>
      <c r="L694" s="91">
        <v>439.04152611288583</v>
      </c>
      <c r="M694" s="92">
        <v>797433.55451980873</v>
      </c>
      <c r="N694" s="90" t="s">
        <v>702</v>
      </c>
      <c r="O694" s="25">
        <f t="shared" si="21"/>
        <v>3.726573502329078E-3</v>
      </c>
    </row>
    <row r="695" spans="1:15">
      <c r="A695" s="91">
        <v>383.76320388026448</v>
      </c>
      <c r="B695" s="91">
        <v>387.84497185250086</v>
      </c>
      <c r="C695" s="91">
        <v>383.34925099628765</v>
      </c>
      <c r="D695" s="91">
        <v>387.77758417371399</v>
      </c>
      <c r="E695" s="92">
        <v>4306322.0936513226</v>
      </c>
      <c r="F695" s="90" t="s">
        <v>703</v>
      </c>
      <c r="G695" s="25">
        <f t="shared" si="20"/>
        <v>-1.0352275266254596E-2</v>
      </c>
      <c r="I695" s="91">
        <v>438.60395899770452</v>
      </c>
      <c r="J695" s="91">
        <v>439.89754056278076</v>
      </c>
      <c r="K695" s="91">
        <v>434.86561386148173</v>
      </c>
      <c r="L695" s="91">
        <v>438.75615625515888</v>
      </c>
      <c r="M695" s="92">
        <v>1021191.594379439</v>
      </c>
      <c r="N695" s="90" t="s">
        <v>703</v>
      </c>
      <c r="O695" s="25">
        <f t="shared" si="21"/>
        <v>-3.4688346883471333E-4</v>
      </c>
    </row>
    <row r="696" spans="1:15">
      <c r="A696" s="91">
        <v>386.68012769061266</v>
      </c>
      <c r="B696" s="91">
        <v>387.48165599572678</v>
      </c>
      <c r="C696" s="91">
        <v>384.64887051574976</v>
      </c>
      <c r="D696" s="91">
        <v>386.98818565078147</v>
      </c>
      <c r="E696" s="92">
        <v>3876525.5711804978</v>
      </c>
      <c r="F696" s="90" t="s">
        <v>704</v>
      </c>
      <c r="G696" s="25">
        <f t="shared" si="20"/>
        <v>-7.9603970248021128E-4</v>
      </c>
      <c r="I696" s="91">
        <v>438.02370695365977</v>
      </c>
      <c r="J696" s="91">
        <v>446.67992597137669</v>
      </c>
      <c r="K696" s="91">
        <v>437.11052340893355</v>
      </c>
      <c r="L696" s="91">
        <v>444.86307121051527</v>
      </c>
      <c r="M696" s="92">
        <v>1001708.4574977568</v>
      </c>
      <c r="N696" s="90" t="s">
        <v>704</v>
      </c>
      <c r="O696" s="25">
        <f t="shared" si="21"/>
        <v>-1.5374088566724398E-2</v>
      </c>
    </row>
    <row r="697" spans="1:15">
      <c r="A697" s="91">
        <v>386.3624429191886</v>
      </c>
      <c r="B697" s="91">
        <v>387.03631970705783</v>
      </c>
      <c r="C697" s="91">
        <v>384.33118574432569</v>
      </c>
      <c r="D697" s="91">
        <v>385.32274730361894</v>
      </c>
      <c r="E697" s="92">
        <v>3488775.1623465451</v>
      </c>
      <c r="F697" s="90" t="s">
        <v>705</v>
      </c>
      <c r="G697" s="25">
        <f t="shared" si="20"/>
        <v>2.6982461400089086E-3</v>
      </c>
      <c r="I697" s="91">
        <v>444.89160819628796</v>
      </c>
      <c r="J697" s="91">
        <v>450.21851220719071</v>
      </c>
      <c r="K697" s="91">
        <v>442.10449591915489</v>
      </c>
      <c r="L697" s="91">
        <v>450.21851220719071</v>
      </c>
      <c r="M697" s="92">
        <v>1061516.1054951551</v>
      </c>
      <c r="N697" s="90" t="s">
        <v>705</v>
      </c>
      <c r="O697" s="25">
        <f t="shared" si="21"/>
        <v>-1.1831819142193112E-2</v>
      </c>
    </row>
    <row r="698" spans="1:15">
      <c r="A698" s="91">
        <v>385.27461324734259</v>
      </c>
      <c r="B698" s="91">
        <v>385.77809547599344</v>
      </c>
      <c r="C698" s="91">
        <v>383.58992127766953</v>
      </c>
      <c r="D698" s="91">
        <v>385.18797194604514</v>
      </c>
      <c r="E698" s="92">
        <v>4162442.6757141422</v>
      </c>
      <c r="F698" s="90" t="s">
        <v>706</v>
      </c>
      <c r="G698" s="25">
        <f t="shared" si="20"/>
        <v>2.2493252024391452E-4</v>
      </c>
      <c r="I698" s="91">
        <v>448.03067663128422</v>
      </c>
      <c r="J698" s="91">
        <v>451.23633136641678</v>
      </c>
      <c r="K698" s="91">
        <v>446.79464465418295</v>
      </c>
      <c r="L698" s="91">
        <v>449.57167386300966</v>
      </c>
      <c r="M698" s="92">
        <v>669450.17081238132</v>
      </c>
      <c r="N698" s="90" t="s">
        <v>706</v>
      </c>
      <c r="O698" s="25">
        <f t="shared" si="21"/>
        <v>-3.4277009013583548E-3</v>
      </c>
    </row>
    <row r="699" spans="1:15">
      <c r="A699" s="91">
        <v>384.53334878068642</v>
      </c>
      <c r="B699" s="91">
        <v>385.89072916768021</v>
      </c>
      <c r="C699" s="91">
        <v>382.99305897984249</v>
      </c>
      <c r="D699" s="91">
        <v>383.07007346988473</v>
      </c>
      <c r="E699" s="92">
        <v>6213308.6869473653</v>
      </c>
      <c r="F699" s="90" t="s">
        <v>707</v>
      </c>
      <c r="G699" s="25">
        <f t="shared" si="20"/>
        <v>3.8198632891033313E-3</v>
      </c>
      <c r="I699" s="91">
        <v>447.63115883046652</v>
      </c>
      <c r="J699" s="91">
        <v>453.73807378582285</v>
      </c>
      <c r="K699" s="91">
        <v>447.20310404387612</v>
      </c>
      <c r="L699" s="91">
        <v>452.59659435491517</v>
      </c>
      <c r="M699" s="92">
        <v>826116.33154888218</v>
      </c>
      <c r="N699" s="90" t="s">
        <v>707</v>
      </c>
      <c r="O699" s="25">
        <f t="shared" si="21"/>
        <v>-1.0970996216897899E-2</v>
      </c>
    </row>
    <row r="700" spans="1:15">
      <c r="A700" s="91">
        <v>381.00993586125594</v>
      </c>
      <c r="B700" s="91">
        <v>381.13469933512431</v>
      </c>
      <c r="C700" s="91">
        <v>377.29398671671998</v>
      </c>
      <c r="D700" s="91">
        <v>377.30361352797524</v>
      </c>
      <c r="E700" s="92">
        <v>4936384.3062740862</v>
      </c>
      <c r="F700" s="90" t="s">
        <v>708</v>
      </c>
      <c r="G700" s="25">
        <f t="shared" si="20"/>
        <v>9.8231827111983083E-3</v>
      </c>
      <c r="I700" s="91">
        <v>452.56805736914242</v>
      </c>
      <c r="J700" s="91">
        <v>452.88196421264206</v>
      </c>
      <c r="K700" s="91">
        <v>441.07716443133796</v>
      </c>
      <c r="L700" s="91">
        <v>442.62767399165426</v>
      </c>
      <c r="M700" s="92">
        <v>1422777.8057362814</v>
      </c>
      <c r="N700" s="90" t="s">
        <v>708</v>
      </c>
      <c r="O700" s="25">
        <f t="shared" si="21"/>
        <v>2.2457663543367978E-2</v>
      </c>
    </row>
    <row r="701" spans="1:15">
      <c r="A701" s="91">
        <v>373.9053491548633</v>
      </c>
      <c r="B701" s="91">
        <v>374.55997232022202</v>
      </c>
      <c r="C701" s="91">
        <v>370.26641450036959</v>
      </c>
      <c r="D701" s="91">
        <v>370.71887462936746</v>
      </c>
      <c r="E701" s="92">
        <v>5764275.265041274</v>
      </c>
      <c r="F701" s="90" t="s">
        <v>709</v>
      </c>
      <c r="G701" s="25">
        <f t="shared" si="20"/>
        <v>8.5953932846865033E-3</v>
      </c>
      <c r="I701" s="91">
        <v>445.4242985973782</v>
      </c>
      <c r="J701" s="91">
        <v>451.59779985287088</v>
      </c>
      <c r="K701" s="91">
        <v>444.36043976777222</v>
      </c>
      <c r="L701" s="91">
        <v>451.59779985287088</v>
      </c>
      <c r="M701" s="92">
        <v>884264.02847866178</v>
      </c>
      <c r="N701" s="90" t="s">
        <v>709</v>
      </c>
      <c r="O701" s="25">
        <f t="shared" si="21"/>
        <v>-1.3670352817272358E-2</v>
      </c>
    </row>
    <row r="702" spans="1:15">
      <c r="A702" s="91">
        <v>369.83320799388224</v>
      </c>
      <c r="B702" s="91">
        <v>370.13163914279573</v>
      </c>
      <c r="C702" s="91">
        <v>366.35792913072811</v>
      </c>
      <c r="D702" s="91">
        <v>368.08112834542226</v>
      </c>
      <c r="E702" s="92">
        <v>4698502.8376054978</v>
      </c>
      <c r="F702" s="90" t="s">
        <v>710</v>
      </c>
      <c r="G702" s="25">
        <f t="shared" si="20"/>
        <v>4.7600366156663743E-3</v>
      </c>
      <c r="I702" s="91">
        <v>448.43970676069284</v>
      </c>
      <c r="J702" s="91">
        <v>448.88678620446501</v>
      </c>
      <c r="K702" s="91">
        <v>441.21984936020141</v>
      </c>
      <c r="L702" s="91">
        <v>447.39335061569403</v>
      </c>
      <c r="M702" s="92">
        <v>1145514.4653462407</v>
      </c>
      <c r="N702" s="90" t="s">
        <v>710</v>
      </c>
      <c r="O702" s="25">
        <f t="shared" si="21"/>
        <v>2.3387834073949065E-3</v>
      </c>
    </row>
    <row r="703" spans="1:15">
      <c r="A703" s="91">
        <v>367.60941459391381</v>
      </c>
      <c r="B703" s="91">
        <v>368.51433485190961</v>
      </c>
      <c r="C703" s="91">
        <v>364.57696904850229</v>
      </c>
      <c r="D703" s="91">
        <v>365.73218639913529</v>
      </c>
      <c r="E703" s="92">
        <v>6020436.9300628938</v>
      </c>
      <c r="F703" s="90" t="s">
        <v>711</v>
      </c>
      <c r="G703" s="25">
        <f t="shared" si="20"/>
        <v>5.1327946092494248E-3</v>
      </c>
      <c r="I703" s="91">
        <v>445.82381639819596</v>
      </c>
      <c r="J703" s="91">
        <v>451.83560806764331</v>
      </c>
      <c r="K703" s="91">
        <v>444.60623833856101</v>
      </c>
      <c r="L703" s="91">
        <v>450.57046836505396</v>
      </c>
      <c r="M703" s="92">
        <v>1085612.2032917901</v>
      </c>
      <c r="N703" s="90" t="s">
        <v>711</v>
      </c>
      <c r="O703" s="25">
        <f t="shared" si="21"/>
        <v>-1.0534760487259098E-2</v>
      </c>
    </row>
    <row r="704" spans="1:15">
      <c r="A704" s="91">
        <v>363.23884228401914</v>
      </c>
      <c r="B704" s="91">
        <v>366.67561390215218</v>
      </c>
      <c r="C704" s="91">
        <v>361.91515573641891</v>
      </c>
      <c r="D704" s="91">
        <v>366.32904869696227</v>
      </c>
      <c r="E704" s="92">
        <v>5857341.3880016794</v>
      </c>
      <c r="F704" s="90" t="s">
        <v>712</v>
      </c>
      <c r="G704" s="25">
        <f t="shared" si="20"/>
        <v>-8.4356029747982841E-3</v>
      </c>
      <c r="I704" s="91">
        <v>449.99972864960006</v>
      </c>
      <c r="J704" s="91">
        <v>455.18394773163931</v>
      </c>
      <c r="K704" s="91">
        <v>446.03308762719564</v>
      </c>
      <c r="L704" s="91">
        <v>451.82609573905245</v>
      </c>
      <c r="M704" s="92">
        <v>847038.6533650608</v>
      </c>
      <c r="N704" s="90" t="s">
        <v>712</v>
      </c>
      <c r="O704" s="25">
        <f t="shared" si="21"/>
        <v>-4.0421903619024535E-3</v>
      </c>
    </row>
    <row r="705" spans="1:15">
      <c r="A705" s="91">
        <v>364.85614657490527</v>
      </c>
      <c r="B705" s="91">
        <v>369.08915175196205</v>
      </c>
      <c r="C705" s="91">
        <v>364.03786761820692</v>
      </c>
      <c r="D705" s="91">
        <v>368.35067906056992</v>
      </c>
      <c r="E705" s="92">
        <v>7229186.0881628199</v>
      </c>
      <c r="F705" s="90" t="s">
        <v>713</v>
      </c>
      <c r="G705" s="25">
        <f t="shared" si="20"/>
        <v>-9.4869717481640414E-3</v>
      </c>
      <c r="I705" s="91">
        <v>454.48003541591288</v>
      </c>
      <c r="J705" s="91">
        <v>468.00656667216947</v>
      </c>
      <c r="K705" s="91">
        <v>450.89388753714445</v>
      </c>
      <c r="L705" s="91">
        <v>462.77478594717576</v>
      </c>
      <c r="M705" s="92">
        <v>1624937.558905459</v>
      </c>
      <c r="N705" s="90" t="s">
        <v>713</v>
      </c>
      <c r="O705" s="25">
        <f t="shared" si="21"/>
        <v>-1.7923946557040105E-2</v>
      </c>
    </row>
    <row r="706" spans="1:15">
      <c r="A706" s="91">
        <v>369.39037467613957</v>
      </c>
      <c r="B706" s="91">
        <v>373.21221874448361</v>
      </c>
      <c r="C706" s="91">
        <v>368.82239281207842</v>
      </c>
      <c r="D706" s="91">
        <v>373.13520425444142</v>
      </c>
      <c r="E706" s="92">
        <v>5683308.6833423823</v>
      </c>
      <c r="F706" s="90" t="s">
        <v>714</v>
      </c>
      <c r="G706" s="25">
        <f t="shared" si="20"/>
        <v>-1.0036119711042457E-2</v>
      </c>
      <c r="I706" s="91">
        <v>459.69279148372487</v>
      </c>
      <c r="J706" s="91">
        <v>462.58453937535779</v>
      </c>
      <c r="K706" s="91">
        <v>456.62982167745582</v>
      </c>
      <c r="L706" s="91">
        <v>458.88424355349855</v>
      </c>
      <c r="M706" s="92">
        <v>1116503.6929193859</v>
      </c>
      <c r="N706" s="90" t="s">
        <v>714</v>
      </c>
      <c r="O706" s="25">
        <f t="shared" si="21"/>
        <v>1.7619866918181515E-3</v>
      </c>
    </row>
    <row r="707" spans="1:15">
      <c r="A707" s="91">
        <v>374.6754940552853</v>
      </c>
      <c r="B707" s="91">
        <v>375.69593604834438</v>
      </c>
      <c r="C707" s="91">
        <v>372.12438907263754</v>
      </c>
      <c r="D707" s="91">
        <v>373.78982741980002</v>
      </c>
      <c r="E707" s="92">
        <v>4624078.4014135618</v>
      </c>
      <c r="F707" s="90" t="s">
        <v>715</v>
      </c>
      <c r="G707" s="25">
        <f t="shared" si="20"/>
        <v>2.3694241269187621E-3</v>
      </c>
      <c r="I707" s="91">
        <v>455.10784910291216</v>
      </c>
      <c r="J707" s="91">
        <v>463.38357497699315</v>
      </c>
      <c r="K707" s="91">
        <v>454.67028198773085</v>
      </c>
      <c r="L707" s="91">
        <v>460.59646269986013</v>
      </c>
      <c r="M707" s="92">
        <v>811512.12620920001</v>
      </c>
      <c r="N707" s="90" t="s">
        <v>715</v>
      </c>
      <c r="O707" s="25">
        <f t="shared" si="21"/>
        <v>-1.1916317300344814E-2</v>
      </c>
    </row>
    <row r="708" spans="1:15">
      <c r="A708" s="91">
        <v>371.89334560251098</v>
      </c>
      <c r="B708" s="91">
        <v>375.38787808817563</v>
      </c>
      <c r="C708" s="91">
        <v>369.52515003371343</v>
      </c>
      <c r="D708" s="91">
        <v>371.0943202683232</v>
      </c>
      <c r="E708" s="92">
        <v>5751780.9928663522</v>
      </c>
      <c r="F708" s="90" t="s">
        <v>716</v>
      </c>
      <c r="G708" s="25">
        <f t="shared" si="20"/>
        <v>2.1531596970010281E-3</v>
      </c>
      <c r="I708" s="91">
        <v>457.16251207854606</v>
      </c>
      <c r="J708" s="91">
        <v>464.1065119499014</v>
      </c>
      <c r="K708" s="91">
        <v>457.01126605395075</v>
      </c>
      <c r="L708" s="91">
        <v>462.55600238958505</v>
      </c>
      <c r="M708" s="92">
        <v>843141.60548180412</v>
      </c>
      <c r="N708" s="90" t="s">
        <v>716</v>
      </c>
      <c r="O708" s="25">
        <f t="shared" si="21"/>
        <v>-1.1660188784008763E-2</v>
      </c>
    </row>
    <row r="709" spans="1:15">
      <c r="A709" s="91">
        <v>372.54796876786963</v>
      </c>
      <c r="B709" s="91">
        <v>377.19771860416722</v>
      </c>
      <c r="C709" s="91">
        <v>372.40356659904052</v>
      </c>
      <c r="D709" s="91">
        <v>376.77413890893519</v>
      </c>
      <c r="E709" s="92">
        <v>7842279.0265712896</v>
      </c>
      <c r="F709" s="90" t="s">
        <v>717</v>
      </c>
      <c r="G709" s="25">
        <f t="shared" si="20"/>
        <v>-1.1216720322959839E-2</v>
      </c>
      <c r="I709" s="91">
        <v>462.0137996599039</v>
      </c>
      <c r="J709" s="91">
        <v>470.64148169184813</v>
      </c>
      <c r="K709" s="91">
        <v>461.91867637399497</v>
      </c>
      <c r="L709" s="91">
        <v>468.13022694385114</v>
      </c>
      <c r="M709" s="92">
        <v>967568.55191136338</v>
      </c>
      <c r="N709" s="90" t="s">
        <v>717</v>
      </c>
      <c r="O709" s="25">
        <f t="shared" si="21"/>
        <v>-1.306565338426835E-2</v>
      </c>
    </row>
    <row r="710" spans="1:15">
      <c r="A710" s="91">
        <v>377.24585266044363</v>
      </c>
      <c r="B710" s="91">
        <v>382.76201550971598</v>
      </c>
      <c r="C710" s="91">
        <v>376.53828203318091</v>
      </c>
      <c r="D710" s="91">
        <v>381.19284527510621</v>
      </c>
      <c r="E710" s="92">
        <v>6968977.3925132072</v>
      </c>
      <c r="F710" s="90" t="s">
        <v>718</v>
      </c>
      <c r="G710" s="25">
        <f t="shared" si="20"/>
        <v>-1.0354319771699871E-2</v>
      </c>
      <c r="I710" s="91">
        <v>466.04702698244455</v>
      </c>
      <c r="J710" s="91">
        <v>469.36682966066786</v>
      </c>
      <c r="K710" s="91">
        <v>463.84967907794714</v>
      </c>
      <c r="L710" s="91">
        <v>464.75335029408245</v>
      </c>
      <c r="M710" s="92">
        <v>706403.2676951316</v>
      </c>
      <c r="N710" s="90" t="s">
        <v>718</v>
      </c>
      <c r="O710" s="25">
        <f t="shared" si="21"/>
        <v>2.7835768963118124E-3</v>
      </c>
    </row>
    <row r="711" spans="1:15">
      <c r="A711" s="91">
        <v>380.47083443096062</v>
      </c>
      <c r="B711" s="91">
        <v>384.88954079713159</v>
      </c>
      <c r="C711" s="91">
        <v>379.50815330543315</v>
      </c>
      <c r="D711" s="91">
        <v>384.00387416164631</v>
      </c>
      <c r="E711" s="92">
        <v>7613383.9187761014</v>
      </c>
      <c r="F711" s="90" t="s">
        <v>719</v>
      </c>
      <c r="G711" s="25">
        <f t="shared" si="20"/>
        <v>-9.2005314748424549E-3</v>
      </c>
      <c r="I711" s="91">
        <v>466.82703792689819</v>
      </c>
      <c r="J711" s="91">
        <v>471.8019857799377</v>
      </c>
      <c r="K711" s="91">
        <v>464.47749276494648</v>
      </c>
      <c r="L711" s="91">
        <v>468.9577995312593</v>
      </c>
      <c r="M711" s="92">
        <v>778123.87674272258</v>
      </c>
      <c r="N711" s="90" t="s">
        <v>719</v>
      </c>
      <c r="O711" s="25">
        <f t="shared" si="21"/>
        <v>-4.5436105476673871E-3</v>
      </c>
    </row>
    <row r="712" spans="1:15">
      <c r="A712" s="91">
        <v>385.63080526378775</v>
      </c>
      <c r="B712" s="91">
        <v>387.47915302480044</v>
      </c>
      <c r="C712" s="91">
        <v>382.48043128049915</v>
      </c>
      <c r="D712" s="91">
        <v>382.79089594348176</v>
      </c>
      <c r="E712" s="92">
        <v>4377990.6848083353</v>
      </c>
      <c r="F712" s="90" t="s">
        <v>720</v>
      </c>
      <c r="G712" s="25">
        <f t="shared" si="20"/>
        <v>7.4189573221337124E-3</v>
      </c>
      <c r="I712" s="91">
        <v>465.15286809490016</v>
      </c>
      <c r="J712" s="91">
        <v>472.65809535311848</v>
      </c>
      <c r="K712" s="91">
        <v>460.2920681849514</v>
      </c>
      <c r="L712" s="91">
        <v>464.02090099258334</v>
      </c>
      <c r="M712" s="92">
        <v>1235752.0966262792</v>
      </c>
      <c r="N712" s="90" t="s">
        <v>720</v>
      </c>
      <c r="O712" s="25">
        <f t="shared" si="21"/>
        <v>2.4394743855189471E-3</v>
      </c>
    </row>
    <row r="713" spans="1:15">
      <c r="A713" s="91">
        <v>385.62117845253249</v>
      </c>
      <c r="B713" s="91">
        <v>386.61274001182579</v>
      </c>
      <c r="C713" s="91">
        <v>383.47439954260625</v>
      </c>
      <c r="D713" s="91">
        <v>383.69581620147756</v>
      </c>
      <c r="E713" s="92">
        <v>5350620.1206321474</v>
      </c>
      <c r="F713" s="90" t="s">
        <v>721</v>
      </c>
      <c r="G713" s="25">
        <f t="shared" si="20"/>
        <v>5.0179391323983413E-3</v>
      </c>
      <c r="I713" s="91">
        <v>465.21945439503645</v>
      </c>
      <c r="J713" s="91">
        <v>470.86026524943884</v>
      </c>
      <c r="K713" s="91">
        <v>459.04595313954377</v>
      </c>
      <c r="L713" s="91">
        <v>468.17778858680566</v>
      </c>
      <c r="M713" s="92">
        <v>1009209.2496874079</v>
      </c>
      <c r="N713" s="90" t="s">
        <v>721</v>
      </c>
      <c r="O713" s="25">
        <f t="shared" si="21"/>
        <v>-6.3188264456093268E-3</v>
      </c>
    </row>
    <row r="714" spans="1:15">
      <c r="A714" s="91">
        <v>381.62605178159356</v>
      </c>
      <c r="B714" s="91">
        <v>385.99662409148817</v>
      </c>
      <c r="C714" s="91">
        <v>380.22053733832342</v>
      </c>
      <c r="D714" s="91">
        <v>384.88954079713159</v>
      </c>
      <c r="E714" s="92">
        <v>3918451.1880122246</v>
      </c>
      <c r="F714" s="90" t="s">
        <v>722</v>
      </c>
      <c r="G714" s="25">
        <f t="shared" si="20"/>
        <v>-8.4790275380804969E-3</v>
      </c>
      <c r="I714" s="91">
        <v>466.24678588285337</v>
      </c>
      <c r="J714" s="91">
        <v>467.04582148448884</v>
      </c>
      <c r="K714" s="91">
        <v>456.92479898705955</v>
      </c>
      <c r="L714" s="91">
        <v>458.86521889631672</v>
      </c>
      <c r="M714" s="92">
        <v>1540492.4104516259</v>
      </c>
      <c r="N714" s="90" t="s">
        <v>722</v>
      </c>
      <c r="O714" s="25">
        <f t="shared" si="21"/>
        <v>1.6086568958726399E-2</v>
      </c>
    </row>
    <row r="715" spans="1:15">
      <c r="A715" s="91">
        <v>383.64768214520114</v>
      </c>
      <c r="B715" s="91">
        <v>386.80527623693126</v>
      </c>
      <c r="C715" s="91">
        <v>381.41426193397746</v>
      </c>
      <c r="D715" s="91">
        <v>386.49721827676245</v>
      </c>
      <c r="E715" s="92">
        <v>4023065.2677209349</v>
      </c>
      <c r="F715" s="90" t="s">
        <v>723</v>
      </c>
      <c r="G715" s="25">
        <f t="shared" si="20"/>
        <v>-7.3727209325497034E-3</v>
      </c>
      <c r="I715" s="91">
        <v>454.03295597214071</v>
      </c>
      <c r="J715" s="91">
        <v>456.04005730482015</v>
      </c>
      <c r="K715" s="91">
        <v>448.09726293142052</v>
      </c>
      <c r="L715" s="91">
        <v>450.88437520855354</v>
      </c>
      <c r="M715" s="92">
        <v>1140044.7215813138</v>
      </c>
      <c r="N715" s="90" t="s">
        <v>723</v>
      </c>
      <c r="O715" s="25">
        <f t="shared" si="21"/>
        <v>6.9831223628691319E-3</v>
      </c>
    </row>
    <row r="716" spans="1:15">
      <c r="A716" s="91">
        <v>385.96774365772234</v>
      </c>
      <c r="B716" s="91">
        <v>386.12177263780671</v>
      </c>
      <c r="C716" s="91">
        <v>383.13746114867166</v>
      </c>
      <c r="D716" s="91">
        <v>385.3323741148742</v>
      </c>
      <c r="E716" s="92">
        <v>4343893.2052488243</v>
      </c>
      <c r="F716" s="90" t="s">
        <v>724</v>
      </c>
      <c r="G716" s="25">
        <f t="shared" si="20"/>
        <v>1.6488870012740797E-3</v>
      </c>
      <c r="I716" s="91">
        <v>450.28509850732701</v>
      </c>
      <c r="J716" s="91">
        <v>451.49316423837098</v>
      </c>
      <c r="K716" s="91">
        <v>443.56939452215317</v>
      </c>
      <c r="L716" s="91">
        <v>444.46355340969757</v>
      </c>
      <c r="M716" s="92">
        <v>910194.58771481202</v>
      </c>
      <c r="N716" s="90" t="s">
        <v>724</v>
      </c>
      <c r="O716" s="25">
        <f t="shared" si="21"/>
        <v>1.3097913322632548E-2</v>
      </c>
    </row>
    <row r="717" spans="1:15">
      <c r="A717" s="91">
        <v>384.34081255558095</v>
      </c>
      <c r="B717" s="91">
        <v>386.68975450186792</v>
      </c>
      <c r="C717" s="91">
        <v>382.55744577054134</v>
      </c>
      <c r="D717" s="91">
        <v>382.92567130105556</v>
      </c>
      <c r="E717" s="92">
        <v>3417164.7420609822</v>
      </c>
      <c r="F717" s="90" t="s">
        <v>725</v>
      </c>
      <c r="G717" s="25">
        <f t="shared" si="20"/>
        <v>3.6956029866506146E-3</v>
      </c>
      <c r="I717" s="91">
        <v>442.43742741983635</v>
      </c>
      <c r="J717" s="91">
        <v>451.81658341046153</v>
      </c>
      <c r="K717" s="91">
        <v>440.06885760070281</v>
      </c>
      <c r="L717" s="91">
        <v>450.75120260828101</v>
      </c>
      <c r="M717" s="92">
        <v>1454555.5136982675</v>
      </c>
      <c r="N717" s="90" t="s">
        <v>725</v>
      </c>
      <c r="O717" s="25">
        <f t="shared" si="21"/>
        <v>-1.844426623897355E-2</v>
      </c>
    </row>
    <row r="718" spans="1:15">
      <c r="A718" s="91">
        <v>382.36731624824967</v>
      </c>
      <c r="B718" s="91">
        <v>382.84865681101337</v>
      </c>
      <c r="C718" s="91">
        <v>377.66943235567572</v>
      </c>
      <c r="D718" s="91">
        <v>378.14114610718417</v>
      </c>
      <c r="E718" s="92">
        <v>3074228.7570855655</v>
      </c>
      <c r="F718" s="90" t="s">
        <v>726</v>
      </c>
      <c r="G718" s="25">
        <f t="shared" si="20"/>
        <v>1.1176171079429587E-2</v>
      </c>
      <c r="I718" s="91">
        <v>448.61092867532898</v>
      </c>
      <c r="J718" s="91">
        <v>451.34096698091662</v>
      </c>
      <c r="K718" s="91">
        <v>426.84672085935495</v>
      </c>
      <c r="L718" s="91">
        <v>426.91330715949118</v>
      </c>
      <c r="M718" s="92">
        <v>3011185.9284811243</v>
      </c>
      <c r="N718" s="90" t="s">
        <v>726</v>
      </c>
      <c r="O718" s="25">
        <f t="shared" si="21"/>
        <v>5.0824420677361815E-2</v>
      </c>
    </row>
    <row r="719" spans="1:15">
      <c r="A719" s="91">
        <v>379.83546488811248</v>
      </c>
      <c r="B719" s="91">
        <v>381.30355360454183</v>
      </c>
      <c r="C719" s="91">
        <v>371.98999878751391</v>
      </c>
      <c r="D719" s="91">
        <v>373.22184555573887</v>
      </c>
      <c r="E719" s="92">
        <v>5087062.4448119365</v>
      </c>
      <c r="F719" s="90" t="s">
        <v>727</v>
      </c>
      <c r="G719" s="25">
        <f t="shared" si="20"/>
        <v>1.7720343573473629E-2</v>
      </c>
      <c r="I719" s="91">
        <v>402.59979528115656</v>
      </c>
      <c r="J719" s="91">
        <v>404.57835962806325</v>
      </c>
      <c r="K719" s="91">
        <v>394.34309406425729</v>
      </c>
      <c r="L719" s="91">
        <v>398.56656795861591</v>
      </c>
      <c r="M719" s="92">
        <v>996335.43032448331</v>
      </c>
      <c r="N719" s="90" t="s">
        <v>727</v>
      </c>
      <c r="O719" s="25">
        <f t="shared" si="21"/>
        <v>1.0119331742243443E-2</v>
      </c>
    </row>
    <row r="720" spans="1:15">
      <c r="A720" s="91">
        <v>375.35899765440985</v>
      </c>
      <c r="B720" s="91">
        <v>376.20509809563589</v>
      </c>
      <c r="C720" s="91">
        <v>372.50946152284854</v>
      </c>
      <c r="D720" s="91">
        <v>375.33974403189922</v>
      </c>
      <c r="E720" s="92">
        <v>3458145.0822316534</v>
      </c>
      <c r="F720" s="90" t="s">
        <v>728</v>
      </c>
      <c r="G720" s="25">
        <f t="shared" si="20"/>
        <v>5.1296519531396356E-5</v>
      </c>
      <c r="I720" s="91">
        <v>399.58438711784197</v>
      </c>
      <c r="J720" s="91">
        <v>403.5700527974281</v>
      </c>
      <c r="K720" s="91">
        <v>399.38462821743309</v>
      </c>
      <c r="L720" s="91">
        <v>401.57246379333958</v>
      </c>
      <c r="M720" s="92">
        <v>832726.70033494045</v>
      </c>
      <c r="N720" s="90" t="s">
        <v>728</v>
      </c>
      <c r="O720" s="25">
        <f t="shared" si="21"/>
        <v>-4.9507295812013519E-3</v>
      </c>
    </row>
    <row r="721" spans="1:15">
      <c r="A721" s="91">
        <v>375.67668242583386</v>
      </c>
      <c r="B721" s="91">
        <v>376.26391791240565</v>
      </c>
      <c r="C721" s="91">
        <v>371.97998690380842</v>
      </c>
      <c r="D721" s="91">
        <v>373.26035280075996</v>
      </c>
      <c r="E721" s="92">
        <v>4501739.8649272751</v>
      </c>
      <c r="F721" s="90" t="s">
        <v>729</v>
      </c>
      <c r="G721" s="25">
        <f t="shared" si="20"/>
        <v>6.4735769736672388E-3</v>
      </c>
      <c r="I721" s="91">
        <v>401.69612406502125</v>
      </c>
      <c r="J721" s="91">
        <v>410.6947869120105</v>
      </c>
      <c r="K721" s="91">
        <v>399.63194876079643</v>
      </c>
      <c r="L721" s="91">
        <v>409.78160336728439</v>
      </c>
      <c r="M721" s="92">
        <v>946329.7986377097</v>
      </c>
      <c r="N721" s="90" t="s">
        <v>729</v>
      </c>
      <c r="O721" s="25">
        <f t="shared" si="21"/>
        <v>-1.9731191531837E-2</v>
      </c>
    </row>
    <row r="722" spans="1:15">
      <c r="A722" s="91">
        <v>372.93304121808063</v>
      </c>
      <c r="B722" s="91">
        <v>377.30361352797524</v>
      </c>
      <c r="C722" s="91">
        <v>371.62379488736326</v>
      </c>
      <c r="D722" s="91">
        <v>376.00399400851319</v>
      </c>
      <c r="E722" s="92">
        <v>7153628.3587431777</v>
      </c>
      <c r="F722" s="90" t="s">
        <v>730</v>
      </c>
      <c r="G722" s="25">
        <f t="shared" si="20"/>
        <v>-8.167340877669016E-3</v>
      </c>
      <c r="I722" s="91">
        <v>413.12994303128033</v>
      </c>
      <c r="J722" s="91">
        <v>421.93835930645167</v>
      </c>
      <c r="K722" s="91">
        <v>412.51164167287203</v>
      </c>
      <c r="L722" s="91">
        <v>420.64468261808958</v>
      </c>
      <c r="M722" s="92">
        <v>887835.1834987381</v>
      </c>
      <c r="N722" s="90" t="s">
        <v>730</v>
      </c>
      <c r="O722" s="25">
        <f t="shared" si="21"/>
        <v>-1.7864815359218467E-2</v>
      </c>
    </row>
    <row r="723" spans="1:15">
      <c r="A723" s="91">
        <v>378.01599756086557</v>
      </c>
      <c r="B723" s="91">
        <v>379.06522371957794</v>
      </c>
      <c r="C723" s="91">
        <v>375.41675852194146</v>
      </c>
      <c r="D723" s="91">
        <v>377.27473309420941</v>
      </c>
      <c r="E723" s="92">
        <v>6114333.0267070178</v>
      </c>
      <c r="F723" s="90" t="s">
        <v>731</v>
      </c>
      <c r="G723" s="25">
        <f t="shared" si="20"/>
        <v>1.9647869354426639E-3</v>
      </c>
      <c r="I723" s="91">
        <v>420.65419494668049</v>
      </c>
      <c r="J723" s="91">
        <v>424.01204693926741</v>
      </c>
      <c r="K723" s="91">
        <v>418.932463471728</v>
      </c>
      <c r="L723" s="91">
        <v>418.932463471728</v>
      </c>
      <c r="M723" s="92">
        <v>934947.72757431073</v>
      </c>
      <c r="N723" s="90" t="s">
        <v>731</v>
      </c>
      <c r="O723" s="25">
        <f t="shared" si="21"/>
        <v>4.1098067709635089E-3</v>
      </c>
    </row>
    <row r="724" spans="1:15">
      <c r="A724" s="91">
        <v>378.04487799463141</v>
      </c>
      <c r="B724" s="91">
        <v>381.93410974176231</v>
      </c>
      <c r="C724" s="91">
        <v>376.697124418893</v>
      </c>
      <c r="D724" s="91">
        <v>381.81858800669903</v>
      </c>
      <c r="E724" s="92">
        <v>5990129.9060376603</v>
      </c>
      <c r="F724" s="90" t="s">
        <v>732</v>
      </c>
      <c r="G724" s="25">
        <f t="shared" si="20"/>
        <v>-9.8835157077303837E-3</v>
      </c>
      <c r="I724" s="91">
        <v>418.7231922427282</v>
      </c>
      <c r="J724" s="91">
        <v>420.9490771329983</v>
      </c>
      <c r="K724" s="91">
        <v>416.78267721018506</v>
      </c>
      <c r="L724" s="91">
        <v>418.44733471359217</v>
      </c>
      <c r="M724" s="92">
        <v>830645.19107978849</v>
      </c>
      <c r="N724" s="90" t="s">
        <v>732</v>
      </c>
      <c r="O724" s="25">
        <f t="shared" si="21"/>
        <v>6.5924073653111925E-4</v>
      </c>
    </row>
    <row r="725" spans="1:15">
      <c r="A725" s="91">
        <v>378.9497982526272</v>
      </c>
      <c r="B725" s="91">
        <v>380.51896848723692</v>
      </c>
      <c r="C725" s="91">
        <v>375.76332372713131</v>
      </c>
      <c r="D725" s="91">
        <v>376.28317153491616</v>
      </c>
      <c r="E725" s="92">
        <v>4223387.0512131993</v>
      </c>
      <c r="F725" s="90" t="s">
        <v>733</v>
      </c>
      <c r="G725" s="25">
        <f t="shared" si="20"/>
        <v>7.0867551871465206E-3</v>
      </c>
      <c r="I725" s="91">
        <v>418.0668415699563</v>
      </c>
      <c r="J725" s="91">
        <v>421.61494013436118</v>
      </c>
      <c r="K725" s="91">
        <v>417.22500048966185</v>
      </c>
      <c r="L725" s="91">
        <v>419.86467167363594</v>
      </c>
      <c r="M725" s="92">
        <v>1048530.8517983689</v>
      </c>
      <c r="N725" s="90" t="s">
        <v>733</v>
      </c>
      <c r="O725" s="25">
        <f t="shared" si="21"/>
        <v>-4.2819275470671325E-3</v>
      </c>
    </row>
    <row r="726" spans="1:15">
      <c r="A726" s="91">
        <v>376.75247857783472</v>
      </c>
      <c r="B726" s="91">
        <v>378.22937514652466</v>
      </c>
      <c r="C726" s="91">
        <v>373.49179784176584</v>
      </c>
      <c r="D726" s="91">
        <v>377.70191208627824</v>
      </c>
      <c r="E726" s="92">
        <v>5044398.55704193</v>
      </c>
      <c r="F726" s="90" t="s">
        <v>734</v>
      </c>
      <c r="G726" s="25">
        <f t="shared" si="20"/>
        <v>-2.5137111517365973E-3</v>
      </c>
      <c r="I726" s="91">
        <v>415.91705530841341</v>
      </c>
      <c r="J726" s="91">
        <v>416.67804159568522</v>
      </c>
      <c r="K726" s="91">
        <v>406.21448014569768</v>
      </c>
      <c r="L726" s="91">
        <v>406.47131301765194</v>
      </c>
      <c r="M726" s="92">
        <v>1037659.6966430526</v>
      </c>
      <c r="N726" s="90" t="s">
        <v>734</v>
      </c>
      <c r="O726" s="25">
        <f t="shared" si="21"/>
        <v>2.3238398352484202E-2</v>
      </c>
    </row>
    <row r="727" spans="1:15">
      <c r="A727" s="91">
        <v>376.66616644070348</v>
      </c>
      <c r="B727" s="91">
        <v>380.1186519259528</v>
      </c>
      <c r="C727" s="91">
        <v>375.8989474439814</v>
      </c>
      <c r="D727" s="91">
        <v>379.5048767285752</v>
      </c>
      <c r="E727" s="92">
        <v>5979762.2577141635</v>
      </c>
      <c r="F727" s="90" t="s">
        <v>735</v>
      </c>
      <c r="G727" s="25">
        <f t="shared" si="20"/>
        <v>-7.4800363893663402E-3</v>
      </c>
      <c r="I727" s="91">
        <v>405.77691303051637</v>
      </c>
      <c r="J727" s="91">
        <v>406.08130754542509</v>
      </c>
      <c r="K727" s="91">
        <v>401.05879804943112</v>
      </c>
      <c r="L727" s="91">
        <v>403.30370759688299</v>
      </c>
      <c r="M727" s="92">
        <v>649118.66121912969</v>
      </c>
      <c r="N727" s="90" t="s">
        <v>735</v>
      </c>
      <c r="O727" s="25">
        <f t="shared" si="21"/>
        <v>6.132364734185547E-3</v>
      </c>
    </row>
    <row r="728" spans="1:15">
      <c r="A728" s="91">
        <v>382.27645535423369</v>
      </c>
      <c r="B728" s="91">
        <v>382.304458847614</v>
      </c>
      <c r="C728" s="91">
        <v>379.16921841750923</v>
      </c>
      <c r="D728" s="91">
        <v>379.54323767841123</v>
      </c>
      <c r="E728" s="92">
        <v>3365818.639831516</v>
      </c>
      <c r="F728" s="90" t="s">
        <v>736</v>
      </c>
      <c r="G728" s="25">
        <f t="shared" si="20"/>
        <v>7.2013341419043808E-3</v>
      </c>
      <c r="I728" s="91">
        <v>404.81616784283568</v>
      </c>
      <c r="J728" s="91">
        <v>408.0456033994455</v>
      </c>
      <c r="K728" s="91">
        <v>399.63194876079643</v>
      </c>
      <c r="L728" s="91">
        <v>402.67589390988371</v>
      </c>
      <c r="M728" s="92">
        <v>711336.86513676192</v>
      </c>
      <c r="N728" s="90" t="s">
        <v>736</v>
      </c>
      <c r="O728" s="25">
        <f t="shared" si="21"/>
        <v>5.3151280355285824E-3</v>
      </c>
    </row>
    <row r="729" spans="1:15">
      <c r="A729" s="91">
        <v>380.69406617349432</v>
      </c>
      <c r="B729" s="91">
        <v>383.92214010220255</v>
      </c>
      <c r="C729" s="91">
        <v>380.30566155640383</v>
      </c>
      <c r="D729" s="91">
        <v>382.45387474722565</v>
      </c>
      <c r="E729" s="92">
        <v>7514441.671324309</v>
      </c>
      <c r="F729" s="90" t="s">
        <v>737</v>
      </c>
      <c r="G729" s="25">
        <f t="shared" si="20"/>
        <v>-4.6013616018256709E-3</v>
      </c>
      <c r="I729" s="91">
        <v>404.17884182724555</v>
      </c>
      <c r="J729" s="91">
        <v>414.7684416310625</v>
      </c>
      <c r="K729" s="91">
        <v>403.70322539770063</v>
      </c>
      <c r="L729" s="91">
        <v>413.32970193168921</v>
      </c>
      <c r="M729" s="92">
        <v>894078.65999689326</v>
      </c>
      <c r="N729" s="90" t="s">
        <v>737</v>
      </c>
      <c r="O729" s="25">
        <f t="shared" si="21"/>
        <v>-2.2139372180797312E-2</v>
      </c>
    </row>
    <row r="730" spans="1:15">
      <c r="A730" s="91">
        <v>381.61472896956087</v>
      </c>
      <c r="B730" s="91">
        <v>385.5754970401386</v>
      </c>
      <c r="C730" s="91">
        <v>381.39415350800328</v>
      </c>
      <c r="D730" s="91">
        <v>385.33574110366294</v>
      </c>
      <c r="E730" s="92">
        <v>4831099.3547291895</v>
      </c>
      <c r="F730" s="90" t="s">
        <v>738</v>
      </c>
      <c r="G730" s="25">
        <f t="shared" si="20"/>
        <v>-9.6565455450472459E-3</v>
      </c>
      <c r="I730" s="91">
        <v>415.79339503673174</v>
      </c>
      <c r="J730" s="91">
        <v>419.56027715872722</v>
      </c>
      <c r="K730" s="91">
        <v>415.46046353605027</v>
      </c>
      <c r="L730" s="91">
        <v>418.2570881417742</v>
      </c>
      <c r="M730" s="92">
        <v>807482.61864607001</v>
      </c>
      <c r="N730" s="90" t="s">
        <v>738</v>
      </c>
      <c r="O730" s="25">
        <f t="shared" si="21"/>
        <v>-5.8903798044119826E-3</v>
      </c>
    </row>
    <row r="731" spans="1:15">
      <c r="A731" s="91">
        <v>387.97305640489509</v>
      </c>
      <c r="B731" s="91">
        <v>393.04629202071976</v>
      </c>
      <c r="C731" s="91">
        <v>387.76207118079651</v>
      </c>
      <c r="D731" s="91">
        <v>392.68186299727677</v>
      </c>
      <c r="E731" s="92">
        <v>4180725.4691347559</v>
      </c>
      <c r="F731" s="90" t="s">
        <v>739</v>
      </c>
      <c r="G731" s="25">
        <f t="shared" si="20"/>
        <v>-1.1991403311678583E-2</v>
      </c>
      <c r="I731" s="91">
        <v>418.71367991413734</v>
      </c>
      <c r="J731" s="91">
        <v>422.21421683558771</v>
      </c>
      <c r="K731" s="91">
        <v>414.39508273386974</v>
      </c>
      <c r="L731" s="91">
        <v>416.09778955164046</v>
      </c>
      <c r="M731" s="92">
        <v>454868.64321952948</v>
      </c>
      <c r="N731" s="90" t="s">
        <v>739</v>
      </c>
      <c r="O731" s="25">
        <f t="shared" si="21"/>
        <v>6.286720160940007E-3</v>
      </c>
    </row>
    <row r="732" spans="1:15">
      <c r="A732" s="91">
        <v>391.63652711424299</v>
      </c>
      <c r="B732" s="91">
        <v>392.05370244371062</v>
      </c>
      <c r="C732" s="91">
        <v>389.08552395014203</v>
      </c>
      <c r="D732" s="91">
        <v>391.49267355235764</v>
      </c>
      <c r="E732" s="92">
        <v>3784862.4869906632</v>
      </c>
      <c r="F732" s="90" t="s">
        <v>740</v>
      </c>
      <c r="G732" s="25">
        <f t="shared" si="20"/>
        <v>3.6744892459927847E-4</v>
      </c>
      <c r="I732" s="91">
        <v>414.70898957736938</v>
      </c>
      <c r="J732" s="91">
        <v>420.11674838129471</v>
      </c>
      <c r="K732" s="91">
        <v>414.30947177655167</v>
      </c>
      <c r="L732" s="91">
        <v>418.7897785428645</v>
      </c>
      <c r="M732" s="92">
        <v>628165.85265123413</v>
      </c>
      <c r="N732" s="90" t="s">
        <v>740</v>
      </c>
      <c r="O732" s="25">
        <f t="shared" si="21"/>
        <v>-9.7442420387952033E-3</v>
      </c>
    </row>
    <row r="733" spans="1:15">
      <c r="A733" s="91">
        <v>392.42292658588309</v>
      </c>
      <c r="B733" s="91">
        <v>393.52580389367108</v>
      </c>
      <c r="C733" s="91">
        <v>391.43513212760348</v>
      </c>
      <c r="D733" s="91">
        <v>391.83792210088251</v>
      </c>
      <c r="E733" s="92">
        <v>3143374.7213034895</v>
      </c>
      <c r="F733" s="90" t="s">
        <v>741</v>
      </c>
      <c r="G733" s="25">
        <f t="shared" si="20"/>
        <v>1.4929756718391474E-3</v>
      </c>
      <c r="I733" s="91">
        <v>419.03709908622784</v>
      </c>
      <c r="J733" s="91">
        <v>421.01566343313459</v>
      </c>
      <c r="K733" s="91">
        <v>413.81292822410683</v>
      </c>
      <c r="L733" s="91">
        <v>414.6138662914604</v>
      </c>
      <c r="M733" s="92">
        <v>728261.21740882809</v>
      </c>
      <c r="N733" s="90" t="s">
        <v>741</v>
      </c>
      <c r="O733" s="25">
        <f t="shared" si="21"/>
        <v>1.0668318535343113E-2</v>
      </c>
    </row>
    <row r="734" spans="1:15">
      <c r="A734" s="91">
        <v>391.99136590022698</v>
      </c>
      <c r="B734" s="91">
        <v>395.76032922162415</v>
      </c>
      <c r="C734" s="91">
        <v>391.74201972629231</v>
      </c>
      <c r="D734" s="91">
        <v>395.44385138547625</v>
      </c>
      <c r="E734" s="92">
        <v>4175110.3839786192</v>
      </c>
      <c r="F734" s="90" t="s">
        <v>742</v>
      </c>
      <c r="G734" s="25">
        <f t="shared" si="20"/>
        <v>-8.7306591647667853E-3</v>
      </c>
      <c r="I734" s="91">
        <v>412.34993208682675</v>
      </c>
      <c r="J734" s="91">
        <v>414.49020601977873</v>
      </c>
      <c r="K734" s="91">
        <v>410.42844171146544</v>
      </c>
      <c r="L734" s="91">
        <v>411.37016224196424</v>
      </c>
      <c r="M734" s="92">
        <v>1087255.3340825995</v>
      </c>
      <c r="N734" s="90" t="s">
        <v>742</v>
      </c>
      <c r="O734" s="25">
        <f t="shared" si="21"/>
        <v>2.3817231651483972E-3</v>
      </c>
    </row>
    <row r="735" spans="1:15">
      <c r="A735" s="91">
        <v>396.93992842908432</v>
      </c>
      <c r="B735" s="91">
        <v>397.5249329140849</v>
      </c>
      <c r="C735" s="91">
        <v>394.5615495392459</v>
      </c>
      <c r="D735" s="91">
        <v>395.76032922162415</v>
      </c>
      <c r="E735" s="92">
        <v>3817320.4945561625</v>
      </c>
      <c r="F735" s="90" t="s">
        <v>743</v>
      </c>
      <c r="G735" s="25">
        <f t="shared" si="20"/>
        <v>2.9805898175296885E-3</v>
      </c>
      <c r="I735" s="91">
        <v>411.23698964169171</v>
      </c>
      <c r="J735" s="91">
        <v>411.34638142048703</v>
      </c>
      <c r="K735" s="91">
        <v>403.49395416870095</v>
      </c>
      <c r="L735" s="91">
        <v>404.26445278456367</v>
      </c>
      <c r="M735" s="92">
        <v>571850.51462636853</v>
      </c>
      <c r="N735" s="90" t="s">
        <v>743</v>
      </c>
      <c r="O735" s="25">
        <f t="shared" si="21"/>
        <v>1.724746464622684E-2</v>
      </c>
    </row>
    <row r="736" spans="1:15">
      <c r="A736" s="91">
        <v>393.53539413113015</v>
      </c>
      <c r="B736" s="91">
        <v>394.54236906432783</v>
      </c>
      <c r="C736" s="91">
        <v>392.23112183670258</v>
      </c>
      <c r="D736" s="91">
        <v>393.22850653244126</v>
      </c>
      <c r="E736" s="92">
        <v>2637836.6654718234</v>
      </c>
      <c r="F736" s="90" t="s">
        <v>744</v>
      </c>
      <c r="G736" s="25">
        <f t="shared" ref="G736:G799" si="22">A736/D736-1</f>
        <v>7.8043070019284677E-4</v>
      </c>
      <c r="I736" s="91">
        <v>405.52008015856217</v>
      </c>
      <c r="J736" s="91">
        <v>410.86600882664669</v>
      </c>
      <c r="K736" s="91">
        <v>403.80786101220053</v>
      </c>
      <c r="L736" s="91">
        <v>405.2251979722443</v>
      </c>
      <c r="M736" s="92">
        <v>496882.54088728043</v>
      </c>
      <c r="N736" s="90" t="s">
        <v>744</v>
      </c>
      <c r="O736" s="25">
        <f t="shared" ref="O736:O799" si="23">I736/L736-1</f>
        <v>7.2769953051654568E-4</v>
      </c>
    </row>
    <row r="737" spans="1:15">
      <c r="A737" s="91">
        <v>393.0750627330969</v>
      </c>
      <c r="B737" s="91">
        <v>395.26163687375475</v>
      </c>
      <c r="C737" s="91">
        <v>392.5188289604734</v>
      </c>
      <c r="D737" s="91">
        <v>393.871052442196</v>
      </c>
      <c r="E737" s="92">
        <v>7919820.5805129511</v>
      </c>
      <c r="F737" s="90" t="s">
        <v>745</v>
      </c>
      <c r="G737" s="25">
        <f t="shared" si="22"/>
        <v>-2.020939858777604E-3</v>
      </c>
      <c r="I737" s="91">
        <v>403.39883088279191</v>
      </c>
      <c r="J737" s="91">
        <v>405.4202007083577</v>
      </c>
      <c r="K737" s="91">
        <v>401.20623914258999</v>
      </c>
      <c r="L737" s="91">
        <v>402.86614048170168</v>
      </c>
      <c r="M737" s="92">
        <v>611428.62595867156</v>
      </c>
      <c r="N737" s="90" t="s">
        <v>745</v>
      </c>
      <c r="O737" s="25">
        <f t="shared" si="23"/>
        <v>1.3222516055910738E-3</v>
      </c>
    </row>
    <row r="738" spans="1:15">
      <c r="A738" s="91">
        <v>395.19450521154158</v>
      </c>
      <c r="B738" s="91">
        <v>395.4822123353124</v>
      </c>
      <c r="C738" s="91">
        <v>393.47785270637598</v>
      </c>
      <c r="D738" s="91">
        <v>395.00270046236108</v>
      </c>
      <c r="E738" s="92">
        <v>3489551.7595868763</v>
      </c>
      <c r="F738" s="90" t="s">
        <v>746</v>
      </c>
      <c r="G738" s="25">
        <f t="shared" si="22"/>
        <v>4.8557832378359755E-4</v>
      </c>
      <c r="I738" s="91">
        <v>404.27396511315453</v>
      </c>
      <c r="J738" s="91">
        <v>404.37860072765443</v>
      </c>
      <c r="K738" s="91">
        <v>396.38824471130027</v>
      </c>
      <c r="L738" s="91">
        <v>402.6663815812928</v>
      </c>
      <c r="M738" s="92">
        <v>886535.81711521896</v>
      </c>
      <c r="N738" s="90" t="s">
        <v>746</v>
      </c>
      <c r="O738" s="25">
        <f t="shared" si="23"/>
        <v>3.9923460348207929E-3</v>
      </c>
    </row>
    <row r="739" spans="1:15">
      <c r="A739" s="91">
        <v>392.6147313350636</v>
      </c>
      <c r="B739" s="91">
        <v>394.00531576662235</v>
      </c>
      <c r="C739" s="91">
        <v>391.75160996375132</v>
      </c>
      <c r="D739" s="91">
        <v>392.06808779989916</v>
      </c>
      <c r="E739" s="92">
        <v>4301481.6031666677</v>
      </c>
      <c r="F739" s="90" t="s">
        <v>747</v>
      </c>
      <c r="G739" s="25">
        <f t="shared" si="22"/>
        <v>1.3942566410645174E-3</v>
      </c>
      <c r="I739" s="91">
        <v>402.10515419442987</v>
      </c>
      <c r="J739" s="91">
        <v>409.81965268164794</v>
      </c>
      <c r="K739" s="91">
        <v>400.42147203384093</v>
      </c>
      <c r="L739" s="91">
        <v>409.81965268164794</v>
      </c>
      <c r="M739" s="92">
        <v>807465.79836926074</v>
      </c>
      <c r="N739" s="90" t="s">
        <v>747</v>
      </c>
      <c r="O739" s="25">
        <f t="shared" si="23"/>
        <v>-1.8824130167351405E-2</v>
      </c>
    </row>
    <row r="740" spans="1:15">
      <c r="A740" s="91">
        <v>392.07767803735817</v>
      </c>
      <c r="B740" s="91">
        <v>392.65309228489974</v>
      </c>
      <c r="C740" s="91">
        <v>390.18360613920055</v>
      </c>
      <c r="D740" s="91">
        <v>390.4856986191599</v>
      </c>
      <c r="E740" s="92">
        <v>2341713.6536972602</v>
      </c>
      <c r="F740" s="90" t="s">
        <v>748</v>
      </c>
      <c r="G740" s="25">
        <f t="shared" si="22"/>
        <v>4.0769211877100808E-3</v>
      </c>
      <c r="I740" s="91">
        <v>409.9718499391023</v>
      </c>
      <c r="J740" s="91">
        <v>410.39990472569269</v>
      </c>
      <c r="K740" s="91">
        <v>404.88275414297198</v>
      </c>
      <c r="L740" s="91">
        <v>404.88275414297198</v>
      </c>
      <c r="M740" s="92">
        <v>755358.68334862404</v>
      </c>
      <c r="N740" s="90" t="s">
        <v>748</v>
      </c>
      <c r="O740" s="25">
        <f t="shared" si="23"/>
        <v>1.2569307395921436E-2</v>
      </c>
    </row>
    <row r="741" spans="1:15">
      <c r="A741" s="91">
        <v>393.24768700735933</v>
      </c>
      <c r="B741" s="91">
        <v>395.24245639883674</v>
      </c>
      <c r="C741" s="91">
        <v>391.11865429145558</v>
      </c>
      <c r="D741" s="91">
        <v>395.21368568645971</v>
      </c>
      <c r="E741" s="92">
        <v>3904040.9749982045</v>
      </c>
      <c r="F741" s="90" t="s">
        <v>749</v>
      </c>
      <c r="G741" s="25">
        <f t="shared" si="22"/>
        <v>-4.9745207473915753E-3</v>
      </c>
      <c r="I741" s="91">
        <v>402.98028842479243</v>
      </c>
      <c r="J741" s="91">
        <v>410.95637594826019</v>
      </c>
      <c r="K741" s="91">
        <v>402.79004185297447</v>
      </c>
      <c r="L741" s="91">
        <v>410.54258965455614</v>
      </c>
      <c r="M741" s="92">
        <v>633373.83085831627</v>
      </c>
      <c r="N741" s="90" t="s">
        <v>749</v>
      </c>
      <c r="O741" s="25">
        <f t="shared" si="23"/>
        <v>-1.8420259968952024E-2</v>
      </c>
    </row>
    <row r="742" spans="1:15">
      <c r="A742" s="91">
        <v>395.98090468318173</v>
      </c>
      <c r="B742" s="91">
        <v>397.48657196424887</v>
      </c>
      <c r="C742" s="91">
        <v>395.8562315962144</v>
      </c>
      <c r="D742" s="91">
        <v>397.22763555285513</v>
      </c>
      <c r="E742" s="92">
        <v>4615826.2701136507</v>
      </c>
      <c r="F742" s="90" t="s">
        <v>750</v>
      </c>
      <c r="G742" s="25">
        <f t="shared" si="22"/>
        <v>-3.1385803959440572E-3</v>
      </c>
      <c r="I742" s="91">
        <v>410.05746089642037</v>
      </c>
      <c r="J742" s="91">
        <v>414.64240327723309</v>
      </c>
      <c r="K742" s="91">
        <v>409.98136226769321</v>
      </c>
      <c r="L742" s="91">
        <v>413.79580603264321</v>
      </c>
      <c r="M742" s="92">
        <v>494553.98381649179</v>
      </c>
      <c r="N742" s="90" t="s">
        <v>750</v>
      </c>
      <c r="O742" s="25">
        <f t="shared" si="23"/>
        <v>-9.0342750741363442E-3</v>
      </c>
    </row>
    <row r="743" spans="1:15">
      <c r="A743" s="91">
        <v>397.71673766326541</v>
      </c>
      <c r="B743" s="91">
        <v>399.79781919187405</v>
      </c>
      <c r="C743" s="91">
        <v>396.2782020444115</v>
      </c>
      <c r="D743" s="91">
        <v>399.39502921859497</v>
      </c>
      <c r="E743" s="92">
        <v>3741274.4109095465</v>
      </c>
      <c r="F743" s="90" t="s">
        <v>751</v>
      </c>
      <c r="G743" s="25">
        <f t="shared" si="22"/>
        <v>-4.2020842337799902E-3</v>
      </c>
      <c r="I743" s="91">
        <v>414.37605807668797</v>
      </c>
      <c r="J743" s="91">
        <v>415.79339503673174</v>
      </c>
      <c r="K743" s="91">
        <v>413.6578772680752</v>
      </c>
      <c r="L743" s="91">
        <v>414.00507726164295</v>
      </c>
      <c r="M743" s="92">
        <v>445590.15802459465</v>
      </c>
      <c r="N743" s="90" t="s">
        <v>751</v>
      </c>
      <c r="O743" s="25">
        <f t="shared" si="23"/>
        <v>8.9607793580404049E-4</v>
      </c>
    </row>
    <row r="744" spans="1:15">
      <c r="A744" s="91">
        <v>396.87279676687115</v>
      </c>
      <c r="B744" s="91">
        <v>399.06896114498812</v>
      </c>
      <c r="C744" s="91">
        <v>396.70976273006772</v>
      </c>
      <c r="D744" s="91">
        <v>397.97759212215095</v>
      </c>
      <c r="E744" s="92">
        <v>4954132.8046350107</v>
      </c>
      <c r="F744" s="90" t="s">
        <v>752</v>
      </c>
      <c r="G744" s="25">
        <f t="shared" si="22"/>
        <v>-2.7760240203189568E-3</v>
      </c>
      <c r="I744" s="91">
        <v>411.96943894319082</v>
      </c>
      <c r="J744" s="91">
        <v>416.10730188023132</v>
      </c>
      <c r="K744" s="91">
        <v>411.94090195741813</v>
      </c>
      <c r="L744" s="91">
        <v>414.73752656314207</v>
      </c>
      <c r="M744" s="92">
        <v>529433.9815824948</v>
      </c>
      <c r="N744" s="90" t="s">
        <v>752</v>
      </c>
      <c r="O744" s="25">
        <f t="shared" si="23"/>
        <v>-6.6743119266055029E-3</v>
      </c>
    </row>
    <row r="745" spans="1:15">
      <c r="A745" s="91">
        <v>397.38107935219955</v>
      </c>
      <c r="B745" s="91">
        <v>398.02285804295758</v>
      </c>
      <c r="C745" s="91">
        <v>395.50139281023041</v>
      </c>
      <c r="D745" s="91">
        <v>396.10557777014907</v>
      </c>
      <c r="E745" s="92">
        <v>3132890.1008308893</v>
      </c>
      <c r="F745" s="90" t="s">
        <v>753</v>
      </c>
      <c r="G745" s="25">
        <f t="shared" si="22"/>
        <v>3.2201050771130113E-3</v>
      </c>
      <c r="I745" s="91">
        <v>413.59604713223433</v>
      </c>
      <c r="J745" s="91">
        <v>414.73752656314207</v>
      </c>
      <c r="K745" s="91">
        <v>409.97660610339773</v>
      </c>
      <c r="L745" s="91">
        <v>410.19063349669295</v>
      </c>
      <c r="M745" s="92">
        <v>503213.27257138392</v>
      </c>
      <c r="N745" s="90" t="s">
        <v>753</v>
      </c>
      <c r="O745" s="25">
        <f t="shared" si="23"/>
        <v>8.3020268076618997E-3</v>
      </c>
    </row>
    <row r="746" spans="1:15">
      <c r="A746" s="91">
        <v>395.73155850924707</v>
      </c>
      <c r="B746" s="91">
        <v>396.05762658285397</v>
      </c>
      <c r="C746" s="91">
        <v>389.91028437161833</v>
      </c>
      <c r="D746" s="91">
        <v>390.11167935825785</v>
      </c>
      <c r="E746" s="92">
        <v>3631467.9536138629</v>
      </c>
      <c r="F746" s="90" t="s">
        <v>754</v>
      </c>
      <c r="G746" s="25">
        <f t="shared" si="22"/>
        <v>1.4405821328482338E-2</v>
      </c>
      <c r="I746" s="91">
        <v>409.08720338014882</v>
      </c>
      <c r="J746" s="91">
        <v>410.16209651092026</v>
      </c>
      <c r="K746" s="91">
        <v>405.2251979722443</v>
      </c>
      <c r="L746" s="91">
        <v>408.94451845128538</v>
      </c>
      <c r="M746" s="92">
        <v>568930.09406535234</v>
      </c>
      <c r="N746" s="90" t="s">
        <v>754</v>
      </c>
      <c r="O746" s="25">
        <f t="shared" si="23"/>
        <v>3.4891023702621204E-4</v>
      </c>
    </row>
    <row r="747" spans="1:15">
      <c r="A747" s="91">
        <v>390.18840125793008</v>
      </c>
      <c r="B747" s="91">
        <v>390.74463503055358</v>
      </c>
      <c r="C747" s="91">
        <v>388.50051946514151</v>
      </c>
      <c r="D747" s="91">
        <v>389.70888938497876</v>
      </c>
      <c r="E747" s="92">
        <v>3375006.1078557908</v>
      </c>
      <c r="F747" s="90" t="s">
        <v>755</v>
      </c>
      <c r="G747" s="25">
        <f t="shared" si="22"/>
        <v>1.2304360665420511E-3</v>
      </c>
      <c r="I747" s="91">
        <v>410.12404719655666</v>
      </c>
      <c r="J747" s="91">
        <v>410.29051294689737</v>
      </c>
      <c r="K747" s="91">
        <v>407.62230477715053</v>
      </c>
      <c r="L747" s="91">
        <v>408.40231572160417</v>
      </c>
      <c r="M747" s="92">
        <v>531187.49543986516</v>
      </c>
      <c r="N747" s="90" t="s">
        <v>755</v>
      </c>
      <c r="O747" s="25">
        <f t="shared" si="23"/>
        <v>4.2157730470022692E-3</v>
      </c>
    </row>
    <row r="748" spans="1:15">
      <c r="A748" s="91">
        <v>387.63739809382918</v>
      </c>
      <c r="B748" s="91">
        <v>389.17183608727333</v>
      </c>
      <c r="C748" s="91">
        <v>383.33138147472647</v>
      </c>
      <c r="D748" s="91">
        <v>386.56329149841827</v>
      </c>
      <c r="E748" s="92">
        <v>4606596.0502803884</v>
      </c>
      <c r="F748" s="90" t="s">
        <v>756</v>
      </c>
      <c r="G748" s="25">
        <f t="shared" si="22"/>
        <v>2.7786047434752437E-3</v>
      </c>
      <c r="I748" s="91">
        <v>408.61158695060391</v>
      </c>
      <c r="J748" s="91">
        <v>412.12163620064518</v>
      </c>
      <c r="K748" s="91">
        <v>407.60328011996876</v>
      </c>
      <c r="L748" s="91">
        <v>411.37016224196424</v>
      </c>
      <c r="M748" s="92">
        <v>458865.56149634143</v>
      </c>
      <c r="N748" s="90" t="s">
        <v>756</v>
      </c>
      <c r="O748" s="25">
        <f t="shared" si="23"/>
        <v>-6.7058225038153507E-3</v>
      </c>
    </row>
    <row r="749" spans="1:15">
      <c r="A749" s="91">
        <v>385.08639492972827</v>
      </c>
      <c r="B749" s="91">
        <v>392.31647495008792</v>
      </c>
      <c r="C749" s="91">
        <v>384.95213160530187</v>
      </c>
      <c r="D749" s="91">
        <v>391.85710257580058</v>
      </c>
      <c r="E749" s="92">
        <v>3606574.9307851819</v>
      </c>
      <c r="F749" s="90" t="s">
        <v>757</v>
      </c>
      <c r="G749" s="25">
        <f t="shared" si="22"/>
        <v>-1.7278511992168344E-2</v>
      </c>
      <c r="I749" s="91">
        <v>409.32501160657955</v>
      </c>
      <c r="J749" s="91">
        <v>414.54362610505763</v>
      </c>
      <c r="K749" s="91">
        <v>409.2681845884473</v>
      </c>
      <c r="L749" s="91">
        <v>411.24765905338722</v>
      </c>
      <c r="M749" s="92">
        <v>547313.60226607497</v>
      </c>
      <c r="N749" s="90" t="s">
        <v>757</v>
      </c>
      <c r="O749" s="25">
        <f t="shared" si="23"/>
        <v>-4.6751571820086157E-3</v>
      </c>
    </row>
    <row r="750" spans="1:15">
      <c r="A750" s="91">
        <v>390.27471339506127</v>
      </c>
      <c r="B750" s="91">
        <v>390.96521049211117</v>
      </c>
      <c r="C750" s="91">
        <v>386.93731075932027</v>
      </c>
      <c r="D750" s="91">
        <v>387.02362289645151</v>
      </c>
      <c r="E750" s="92">
        <v>3388825.3694294724</v>
      </c>
      <c r="F750" s="90" t="s">
        <v>758</v>
      </c>
      <c r="G750" s="25">
        <f t="shared" si="22"/>
        <v>8.4002378828424984E-3</v>
      </c>
      <c r="I750" s="91">
        <v>411.5412653137372</v>
      </c>
      <c r="J750" s="91">
        <v>416.74093747283786</v>
      </c>
      <c r="K750" s="91">
        <v>410.45208079953579</v>
      </c>
      <c r="L750" s="91">
        <v>415.73699348583483</v>
      </c>
      <c r="M750" s="92">
        <v>589891.23662952532</v>
      </c>
      <c r="N750" s="90" t="s">
        <v>758</v>
      </c>
      <c r="O750" s="25">
        <f t="shared" si="23"/>
        <v>-1.0092265633899089E-2</v>
      </c>
    </row>
    <row r="751" spans="1:15">
      <c r="A751" s="91">
        <v>386.11255033784403</v>
      </c>
      <c r="B751" s="91">
        <v>388.78822658891227</v>
      </c>
      <c r="C751" s="91">
        <v>385.58508727759761</v>
      </c>
      <c r="D751" s="91">
        <v>388.74027540161717</v>
      </c>
      <c r="E751" s="92">
        <v>2761194.4034897257</v>
      </c>
      <c r="F751" s="90" t="s">
        <v>759</v>
      </c>
      <c r="G751" s="25">
        <f t="shared" si="22"/>
        <v>-6.7595904773652959E-3</v>
      </c>
      <c r="I751" s="91">
        <v>414.58151078381246</v>
      </c>
      <c r="J751" s="91">
        <v>415.04086251371479</v>
      </c>
      <c r="K751" s="91">
        <v>411.0582356596131</v>
      </c>
      <c r="L751" s="91">
        <v>411.52232297435978</v>
      </c>
      <c r="M751" s="92">
        <v>631390.86264389358</v>
      </c>
      <c r="N751" s="90" t="s">
        <v>759</v>
      </c>
      <c r="O751" s="25">
        <f t="shared" si="23"/>
        <v>7.4338319907940598E-3</v>
      </c>
    </row>
    <row r="752" spans="1:15">
      <c r="A752" s="91">
        <v>387.196247170714</v>
      </c>
      <c r="B752" s="91">
        <v>387.81961260555062</v>
      </c>
      <c r="C752" s="91">
        <v>383.59990812357927</v>
      </c>
      <c r="D752" s="91">
        <v>385.66180917726979</v>
      </c>
      <c r="E752" s="92">
        <v>3433109.9871789827</v>
      </c>
      <c r="F752" s="90" t="s">
        <v>760</v>
      </c>
      <c r="G752" s="25">
        <f t="shared" si="22"/>
        <v>3.9787138807381162E-3</v>
      </c>
      <c r="I752" s="91">
        <v>410.75515822957448</v>
      </c>
      <c r="J752" s="91">
        <v>411.73068870751138</v>
      </c>
      <c r="K752" s="91">
        <v>406.37947783339138</v>
      </c>
      <c r="L752" s="91">
        <v>406.47418953027847</v>
      </c>
      <c r="M752" s="92">
        <v>572757.13331032498</v>
      </c>
      <c r="N752" s="90" t="s">
        <v>760</v>
      </c>
      <c r="O752" s="25">
        <f t="shared" si="23"/>
        <v>1.0531957033343531E-2</v>
      </c>
    </row>
    <row r="753" spans="1:15">
      <c r="A753" s="91">
        <v>384.65483424407205</v>
      </c>
      <c r="B753" s="91">
        <v>385.54672632776146</v>
      </c>
      <c r="C753" s="91">
        <v>381.5475973073477</v>
      </c>
      <c r="D753" s="91">
        <v>381.85448490603653</v>
      </c>
      <c r="E753" s="92">
        <v>4335311.8395279841</v>
      </c>
      <c r="F753" s="90" t="s">
        <v>761</v>
      </c>
      <c r="G753" s="25">
        <f t="shared" si="22"/>
        <v>7.3335509958056821E-3</v>
      </c>
      <c r="I753" s="91">
        <v>407.4213064991493</v>
      </c>
      <c r="J753" s="91">
        <v>414.40155855972705</v>
      </c>
      <c r="K753" s="91">
        <v>405.47971671296415</v>
      </c>
      <c r="L753" s="91">
        <v>405.48918788265286</v>
      </c>
      <c r="M753" s="92">
        <v>756441.94280900608</v>
      </c>
      <c r="N753" s="90" t="s">
        <v>761</v>
      </c>
      <c r="O753" s="25">
        <f t="shared" si="23"/>
        <v>4.7649078550908719E-3</v>
      </c>
    </row>
    <row r="754" spans="1:15">
      <c r="A754" s="91">
        <v>384.29999545808818</v>
      </c>
      <c r="B754" s="91">
        <v>388.96085086317476</v>
      </c>
      <c r="C754" s="91">
        <v>383.96433714702221</v>
      </c>
      <c r="D754" s="91">
        <v>388.7210949266991</v>
      </c>
      <c r="E754" s="92">
        <v>7405973.0328318421</v>
      </c>
      <c r="F754" s="90" t="s">
        <v>762</v>
      </c>
      <c r="G754" s="25">
        <f t="shared" si="22"/>
        <v>-1.137344879480906E-2</v>
      </c>
      <c r="I754" s="91">
        <v>406.47418953027847</v>
      </c>
      <c r="J754" s="91">
        <v>409.39130979440051</v>
      </c>
      <c r="K754" s="91">
        <v>405.46077437358673</v>
      </c>
      <c r="L754" s="91">
        <v>405.52707256140769</v>
      </c>
      <c r="M754" s="92">
        <v>608373.6422619262</v>
      </c>
      <c r="N754" s="90" t="s">
        <v>762</v>
      </c>
      <c r="O754" s="25">
        <f t="shared" si="23"/>
        <v>2.3355209379452013E-3</v>
      </c>
    </row>
    <row r="755" spans="1:15">
      <c r="A755" s="91">
        <v>387.43600310718961</v>
      </c>
      <c r="B755" s="91">
        <v>391.38718094030833</v>
      </c>
      <c r="C755" s="91">
        <v>387.32092025768134</v>
      </c>
      <c r="D755" s="91">
        <v>389.92946484653635</v>
      </c>
      <c r="E755" s="92">
        <v>3496944.6943606939</v>
      </c>
      <c r="F755" s="90" t="s">
        <v>763</v>
      </c>
      <c r="G755" s="25">
        <f t="shared" si="22"/>
        <v>-6.3946481713765824E-3</v>
      </c>
      <c r="I755" s="91">
        <v>404.69360962880137</v>
      </c>
      <c r="J755" s="91">
        <v>405.88224142473422</v>
      </c>
      <c r="K755" s="91">
        <v>400.13797700853286</v>
      </c>
      <c r="L755" s="91">
        <v>400.13797700853286</v>
      </c>
      <c r="M755" s="92">
        <v>547093.98842022871</v>
      </c>
      <c r="N755" s="90" t="s">
        <v>763</v>
      </c>
      <c r="O755" s="25">
        <f t="shared" si="23"/>
        <v>1.1385154326831959E-2</v>
      </c>
    </row>
    <row r="756" spans="1:15">
      <c r="A756" s="91">
        <v>390.32266458235642</v>
      </c>
      <c r="B756" s="91">
        <v>394.84206398492239</v>
      </c>
      <c r="C756" s="91">
        <v>389.75684057227392</v>
      </c>
      <c r="D756" s="91">
        <v>393.28604795719542</v>
      </c>
      <c r="E756" s="92">
        <v>4886343.0337583646</v>
      </c>
      <c r="F756" s="90" t="s">
        <v>764</v>
      </c>
      <c r="G756" s="25">
        <f t="shared" si="22"/>
        <v>-7.5349313565313825E-3</v>
      </c>
      <c r="I756" s="91">
        <v>400.79148771705371</v>
      </c>
      <c r="J756" s="91">
        <v>405.76385180362541</v>
      </c>
      <c r="K756" s="91">
        <v>399.42763928187981</v>
      </c>
      <c r="L756" s="91">
        <v>405.16716811323681</v>
      </c>
      <c r="M756" s="92">
        <v>616260.7356680407</v>
      </c>
      <c r="N756" s="90" t="s">
        <v>764</v>
      </c>
      <c r="O756" s="25">
        <f t="shared" si="23"/>
        <v>-1.0799691437387571E-2</v>
      </c>
    </row>
    <row r="757" spans="1:15">
      <c r="A757" s="91">
        <v>394.84925666301672</v>
      </c>
      <c r="B757" s="91">
        <v>394.86843713793473</v>
      </c>
      <c r="C757" s="91">
        <v>391.57898568948883</v>
      </c>
      <c r="D757" s="91">
        <v>391.81874162596449</v>
      </c>
      <c r="E757" s="92">
        <v>2891390.3454916477</v>
      </c>
      <c r="F757" s="90" t="s">
        <v>765</v>
      </c>
      <c r="G757" s="25">
        <f t="shared" si="22"/>
        <v>7.7344820834148731E-3</v>
      </c>
      <c r="I757" s="91">
        <v>406.73938228156226</v>
      </c>
      <c r="J757" s="91">
        <v>409.99746465447782</v>
      </c>
      <c r="K757" s="91">
        <v>406.32265081525912</v>
      </c>
      <c r="L757" s="91">
        <v>408.42525048615232</v>
      </c>
      <c r="M757" s="92">
        <v>545559.85900669661</v>
      </c>
      <c r="N757" s="90" t="s">
        <v>765</v>
      </c>
      <c r="O757" s="25">
        <f t="shared" si="23"/>
        <v>-4.1277276627322834E-3</v>
      </c>
    </row>
    <row r="758" spans="1:15">
      <c r="A758" s="91">
        <v>392.63391180998173</v>
      </c>
      <c r="B758" s="91">
        <v>393.59293555588431</v>
      </c>
      <c r="C758" s="91">
        <v>390.64873265596327</v>
      </c>
      <c r="D758" s="91">
        <v>391.23373714096391</v>
      </c>
      <c r="E758" s="92">
        <v>3043576.3582192445</v>
      </c>
      <c r="F758" s="90" t="s">
        <v>766</v>
      </c>
      <c r="G758" s="25">
        <f t="shared" si="22"/>
        <v>3.5788699595540319E-3</v>
      </c>
      <c r="I758" s="91">
        <v>408.25476943175556</v>
      </c>
      <c r="J758" s="91">
        <v>409.77489216679317</v>
      </c>
      <c r="K758" s="91">
        <v>406.94774801471385</v>
      </c>
      <c r="L758" s="91">
        <v>407.51601819603633</v>
      </c>
      <c r="M758" s="92">
        <v>775025.70867795136</v>
      </c>
      <c r="N758" s="90" t="s">
        <v>766</v>
      </c>
      <c r="O758" s="25">
        <f t="shared" si="23"/>
        <v>1.8128152090548522E-3</v>
      </c>
    </row>
    <row r="759" spans="1:15">
      <c r="A759" s="91">
        <v>392.99834083342466</v>
      </c>
      <c r="B759" s="91">
        <v>398.04280573687231</v>
      </c>
      <c r="C759" s="91">
        <v>391.87628305071865</v>
      </c>
      <c r="D759" s="91">
        <v>394.9259785626889</v>
      </c>
      <c r="E759" s="92">
        <v>4784371.6275050594</v>
      </c>
      <c r="F759" s="90" t="s">
        <v>767</v>
      </c>
      <c r="G759" s="25">
        <f t="shared" si="22"/>
        <v>-4.8810101991257904E-3</v>
      </c>
      <c r="I759" s="91">
        <v>407.51601819603633</v>
      </c>
      <c r="J759" s="91">
        <v>411.74489546204444</v>
      </c>
      <c r="K759" s="91">
        <v>406.91933450564773</v>
      </c>
      <c r="L759" s="91">
        <v>411.38025542902921</v>
      </c>
      <c r="M759" s="92">
        <v>845335.92609428044</v>
      </c>
      <c r="N759" s="90" t="s">
        <v>767</v>
      </c>
      <c r="O759" s="25">
        <f t="shared" si="23"/>
        <v>-9.3933463796478378E-3</v>
      </c>
    </row>
    <row r="760" spans="1:15">
      <c r="A760" s="91">
        <v>392.76817513440807</v>
      </c>
      <c r="B760" s="91">
        <v>395.81787064637831</v>
      </c>
      <c r="C760" s="91">
        <v>392.09685851227624</v>
      </c>
      <c r="D760" s="91">
        <v>395.75073898416514</v>
      </c>
      <c r="E760" s="92">
        <v>3280350.4745747144</v>
      </c>
      <c r="F760" s="90" t="s">
        <v>768</v>
      </c>
      <c r="G760" s="25">
        <f t="shared" si="22"/>
        <v>-7.5364707022730348E-3</v>
      </c>
      <c r="I760" s="91">
        <v>412.51679579167416</v>
      </c>
      <c r="J760" s="91">
        <v>414.42997206879312</v>
      </c>
      <c r="K760" s="91">
        <v>409.59020435786334</v>
      </c>
      <c r="L760" s="91">
        <v>410.10164752105362</v>
      </c>
      <c r="M760" s="92">
        <v>1634312.3931624582</v>
      </c>
      <c r="N760" s="90" t="s">
        <v>768</v>
      </c>
      <c r="O760" s="25">
        <f t="shared" si="23"/>
        <v>5.8891454965357415E-3</v>
      </c>
    </row>
    <row r="761" spans="1:15">
      <c r="A761" s="91">
        <v>395.39590019818115</v>
      </c>
      <c r="B761" s="91">
        <v>395.82746088383732</v>
      </c>
      <c r="C761" s="91">
        <v>392.36059004239945</v>
      </c>
      <c r="D761" s="91">
        <v>394.88761761285275</v>
      </c>
      <c r="E761" s="92">
        <v>3941597.9178308365</v>
      </c>
      <c r="F761" s="90" t="s">
        <v>769</v>
      </c>
      <c r="G761" s="25">
        <f t="shared" si="22"/>
        <v>1.2871575675150737E-3</v>
      </c>
      <c r="I761" s="91">
        <v>410.00693582416653</v>
      </c>
      <c r="J761" s="91">
        <v>415.23502149233332</v>
      </c>
      <c r="K761" s="91">
        <v>409.44813681253277</v>
      </c>
      <c r="L761" s="91">
        <v>412.942998427666</v>
      </c>
      <c r="M761" s="92">
        <v>701910.13554809545</v>
      </c>
      <c r="N761" s="90" t="s">
        <v>769</v>
      </c>
      <c r="O761" s="25">
        <f t="shared" si="23"/>
        <v>-7.1100917431192734E-3</v>
      </c>
    </row>
    <row r="762" spans="1:15">
      <c r="A762" s="91">
        <v>397.11255270334681</v>
      </c>
      <c r="B762" s="91">
        <v>397.26599650269122</v>
      </c>
      <c r="C762" s="91">
        <v>394.77253476334448</v>
      </c>
      <c r="D762" s="91">
        <v>395.39590019818115</v>
      </c>
      <c r="E762" s="92">
        <v>2708980.8892634725</v>
      </c>
      <c r="F762" s="90" t="s">
        <v>770</v>
      </c>
      <c r="G762" s="25">
        <f t="shared" si="22"/>
        <v>4.341604210628569E-3</v>
      </c>
      <c r="I762" s="91">
        <v>413.56809562712073</v>
      </c>
      <c r="J762" s="91">
        <v>416.12531144307189</v>
      </c>
      <c r="K762" s="91">
        <v>410.20583038762942</v>
      </c>
      <c r="L762" s="91">
        <v>414.71410715945439</v>
      </c>
      <c r="M762" s="92">
        <v>1361302.8193731888</v>
      </c>
      <c r="N762" s="90" t="s">
        <v>770</v>
      </c>
      <c r="O762" s="25">
        <f t="shared" si="23"/>
        <v>-2.7633772580902827E-3</v>
      </c>
    </row>
    <row r="763" spans="1:15">
      <c r="A763" s="91">
        <v>393.56416484350717</v>
      </c>
      <c r="B763" s="91">
        <v>399.07711284682824</v>
      </c>
      <c r="C763" s="91">
        <v>393.22850653244126</v>
      </c>
      <c r="D763" s="91">
        <v>397.17968436555998</v>
      </c>
      <c r="E763" s="92">
        <v>5961547.9016310833</v>
      </c>
      <c r="F763" s="90" t="s">
        <v>771</v>
      </c>
      <c r="G763" s="25">
        <f t="shared" si="22"/>
        <v>-9.1029820113486259E-3</v>
      </c>
      <c r="I763" s="91">
        <v>415.34867552859782</v>
      </c>
      <c r="J763" s="91">
        <v>421.24921424466282</v>
      </c>
      <c r="K763" s="91">
        <v>414.52468376568021</v>
      </c>
      <c r="L763" s="91">
        <v>420.53887651800972</v>
      </c>
      <c r="M763" s="92">
        <v>616607.04980956751</v>
      </c>
      <c r="N763" s="90" t="s">
        <v>771</v>
      </c>
      <c r="O763" s="25">
        <f t="shared" si="23"/>
        <v>-1.2341786406017574E-2</v>
      </c>
    </row>
    <row r="764" spans="1:15">
      <c r="A764" s="91">
        <v>395.50139281023041</v>
      </c>
      <c r="B764" s="91">
        <v>397.21804531539607</v>
      </c>
      <c r="C764" s="91">
        <v>394.24507170309801</v>
      </c>
      <c r="D764" s="91">
        <v>394.81089571318057</v>
      </c>
      <c r="E764" s="92">
        <v>3157585.0055203559</v>
      </c>
      <c r="F764" s="90" t="s">
        <v>772</v>
      </c>
      <c r="G764" s="25">
        <f t="shared" si="22"/>
        <v>1.748931208705784E-3</v>
      </c>
      <c r="I764" s="91">
        <v>419.20344159190194</v>
      </c>
      <c r="J764" s="91">
        <v>424.2989308844268</v>
      </c>
      <c r="K764" s="91">
        <v>418.25632462303116</v>
      </c>
      <c r="L764" s="91">
        <v>423.54123730933014</v>
      </c>
      <c r="M764" s="92">
        <v>800866.2339820005</v>
      </c>
      <c r="N764" s="90" t="s">
        <v>772</v>
      </c>
      <c r="O764" s="25">
        <f t="shared" si="23"/>
        <v>-1.0241731702408274E-2</v>
      </c>
    </row>
    <row r="765" spans="1:15">
      <c r="A765" s="91">
        <v>396.62345059293648</v>
      </c>
      <c r="B765" s="91">
        <v>399.62519491761162</v>
      </c>
      <c r="C765" s="91">
        <v>395.96172420826366</v>
      </c>
      <c r="D765" s="91">
        <v>399.39502921859497</v>
      </c>
      <c r="E765" s="92">
        <v>5191808.8798874272</v>
      </c>
      <c r="F765" s="90" t="s">
        <v>773</v>
      </c>
      <c r="G765" s="25">
        <f t="shared" si="22"/>
        <v>-6.9394419632137216E-3</v>
      </c>
      <c r="I765" s="91">
        <v>423.80643006061399</v>
      </c>
      <c r="J765" s="91">
        <v>424.72513352041864</v>
      </c>
      <c r="K765" s="91">
        <v>420.87036745711453</v>
      </c>
      <c r="L765" s="91">
        <v>424.20421918753971</v>
      </c>
      <c r="M765" s="92">
        <v>877126.08611632884</v>
      </c>
      <c r="N765" s="90" t="s">
        <v>773</v>
      </c>
      <c r="O765" s="25">
        <f t="shared" si="23"/>
        <v>-9.3773024626575552E-4</v>
      </c>
    </row>
    <row r="766" spans="1:15">
      <c r="A766" s="91">
        <v>402.19537855663054</v>
      </c>
      <c r="B766" s="91">
        <v>402.86669517876237</v>
      </c>
      <c r="C766" s="91">
        <v>401.39938884753144</v>
      </c>
      <c r="D766" s="91">
        <v>402.08029570712222</v>
      </c>
      <c r="E766" s="92">
        <v>3271321.5010618111</v>
      </c>
      <c r="F766" s="90" t="s">
        <v>774</v>
      </c>
      <c r="G766" s="25">
        <f t="shared" si="22"/>
        <v>2.8621857558563946E-4</v>
      </c>
      <c r="I766" s="91">
        <v>424.45046959944608</v>
      </c>
      <c r="J766" s="91">
        <v>425.88061622244106</v>
      </c>
      <c r="K766" s="91">
        <v>421.46705114750313</v>
      </c>
      <c r="L766" s="91">
        <v>422.3099852497981</v>
      </c>
      <c r="M766" s="92">
        <v>608949.0727714753</v>
      </c>
      <c r="N766" s="90" t="s">
        <v>774</v>
      </c>
      <c r="O766" s="25">
        <f t="shared" si="23"/>
        <v>5.0685146560811578E-3</v>
      </c>
    </row>
    <row r="767" spans="1:15">
      <c r="A767" s="91">
        <v>403.44210942630394</v>
      </c>
      <c r="B767" s="91">
        <v>403.72022631261569</v>
      </c>
      <c r="C767" s="91">
        <v>401.8789007204827</v>
      </c>
      <c r="D767" s="91">
        <v>403.09686087777902</v>
      </c>
      <c r="E767" s="92">
        <v>3602139.1699208915</v>
      </c>
      <c r="F767" s="90" t="s">
        <v>775</v>
      </c>
      <c r="G767" s="25">
        <f t="shared" si="22"/>
        <v>8.5649029311007929E-4</v>
      </c>
      <c r="I767" s="91">
        <v>421.46705114750313</v>
      </c>
      <c r="J767" s="91">
        <v>426.67619447629249</v>
      </c>
      <c r="K767" s="91">
        <v>419.09925872532614</v>
      </c>
      <c r="L767" s="91">
        <v>426.67619447629249</v>
      </c>
      <c r="M767" s="92">
        <v>1088619.4988452969</v>
      </c>
      <c r="N767" s="90" t="s">
        <v>775</v>
      </c>
      <c r="O767" s="25">
        <f t="shared" si="23"/>
        <v>-1.220865704772478E-2</v>
      </c>
    </row>
    <row r="768" spans="1:15">
      <c r="A768" s="91">
        <v>402.66530019212286</v>
      </c>
      <c r="B768" s="91">
        <v>403.38456800154978</v>
      </c>
      <c r="C768" s="91">
        <v>401.02536958662944</v>
      </c>
      <c r="D768" s="91">
        <v>401.76381787097438</v>
      </c>
      <c r="E768" s="92">
        <v>2818208.6330472422</v>
      </c>
      <c r="F768" s="90" t="s">
        <v>776</v>
      </c>
      <c r="G768" s="25">
        <f t="shared" si="22"/>
        <v>2.2438116153058463E-3</v>
      </c>
      <c r="I768" s="91">
        <v>425.89955856181842</v>
      </c>
      <c r="J768" s="91">
        <v>428.47571671714701</v>
      </c>
      <c r="K768" s="91">
        <v>421.94060963193851</v>
      </c>
      <c r="L768" s="91">
        <v>422.28157174073203</v>
      </c>
      <c r="M768" s="92">
        <v>1189968.1211959699</v>
      </c>
      <c r="N768" s="90" t="s">
        <v>776</v>
      </c>
      <c r="O768" s="25">
        <f t="shared" si="23"/>
        <v>8.5677118377964767E-3</v>
      </c>
    </row>
    <row r="769" spans="1:15">
      <c r="A769" s="91">
        <v>398.78125402121731</v>
      </c>
      <c r="B769" s="91">
        <v>404.85187433278071</v>
      </c>
      <c r="C769" s="91">
        <v>397.91813264990498</v>
      </c>
      <c r="D769" s="91">
        <v>404.50662578425585</v>
      </c>
      <c r="E769" s="92">
        <v>4326736.4522811752</v>
      </c>
      <c r="F769" s="90" t="s">
        <v>777</v>
      </c>
      <c r="G769" s="25">
        <f t="shared" si="22"/>
        <v>-1.4153962872519577E-2</v>
      </c>
      <c r="I769" s="91">
        <v>421.7606574078531</v>
      </c>
      <c r="J769" s="91">
        <v>423.34707833071167</v>
      </c>
      <c r="K769" s="91">
        <v>408.78041934947885</v>
      </c>
      <c r="L769" s="91">
        <v>419.30762445847773</v>
      </c>
      <c r="M769" s="92">
        <v>1815867.5818579085</v>
      </c>
      <c r="N769" s="90" t="s">
        <v>777</v>
      </c>
      <c r="O769" s="25">
        <f t="shared" si="23"/>
        <v>5.8501987712324954E-3</v>
      </c>
    </row>
    <row r="770" spans="1:15">
      <c r="A770" s="91">
        <v>401.5048814595807</v>
      </c>
      <c r="B770" s="91">
        <v>402.68448066704087</v>
      </c>
      <c r="C770" s="91">
        <v>399.5101120681033</v>
      </c>
      <c r="D770" s="91">
        <v>400.50749676384197</v>
      </c>
      <c r="E770" s="92">
        <v>6401131.386191451</v>
      </c>
      <c r="F770" s="90" t="s">
        <v>778</v>
      </c>
      <c r="G770" s="25">
        <f t="shared" si="22"/>
        <v>2.4903021885924748E-3</v>
      </c>
      <c r="I770" s="91">
        <v>432.98399348897198</v>
      </c>
      <c r="J770" s="91">
        <v>435.50332462616831</v>
      </c>
      <c r="K770" s="91">
        <v>430.01004620671767</v>
      </c>
      <c r="L770" s="91">
        <v>432.99346465866068</v>
      </c>
      <c r="M770" s="92">
        <v>946275.93999138346</v>
      </c>
      <c r="N770" s="90" t="s">
        <v>778</v>
      </c>
      <c r="O770" s="25">
        <f t="shared" si="23"/>
        <v>-2.1873701248953381E-5</v>
      </c>
    </row>
    <row r="771" spans="1:15">
      <c r="A771" s="91">
        <v>401.40897908499045</v>
      </c>
      <c r="B771" s="91">
        <v>402.45431496802422</v>
      </c>
      <c r="C771" s="91">
        <v>399.97754024185622</v>
      </c>
      <c r="D771" s="91">
        <v>399.98962394105456</v>
      </c>
      <c r="E771" s="92">
        <v>4118050.2744309693</v>
      </c>
      <c r="F771" s="90" t="s">
        <v>779</v>
      </c>
      <c r="G771" s="25">
        <f t="shared" si="22"/>
        <v>3.548479907931501E-3</v>
      </c>
      <c r="I771" s="91">
        <v>433.0124069980381</v>
      </c>
      <c r="J771" s="91">
        <v>433.10711869492519</v>
      </c>
      <c r="K771" s="91">
        <v>420.5672900270759</v>
      </c>
      <c r="L771" s="91">
        <v>421.90272495318368</v>
      </c>
      <c r="M771" s="92">
        <v>893552.77945131273</v>
      </c>
      <c r="N771" s="90" t="s">
        <v>779</v>
      </c>
      <c r="O771" s="25">
        <f t="shared" si="23"/>
        <v>2.6332330624522893E-2</v>
      </c>
    </row>
    <row r="772" spans="1:15">
      <c r="A772" s="91">
        <v>400.22937987753022</v>
      </c>
      <c r="B772" s="91">
        <v>400.96782816187527</v>
      </c>
      <c r="C772" s="91">
        <v>398.96826365166834</v>
      </c>
      <c r="D772" s="91">
        <v>399.5101120681033</v>
      </c>
      <c r="E772" s="92">
        <v>3619436.9689283469</v>
      </c>
      <c r="F772" s="90" t="s">
        <v>780</v>
      </c>
      <c r="G772" s="25">
        <f t="shared" si="22"/>
        <v>1.8003744778913866E-3</v>
      </c>
      <c r="I772" s="91">
        <v>428.29576449306154</v>
      </c>
      <c r="J772" s="91">
        <v>431.25076943593842</v>
      </c>
      <c r="K772" s="91">
        <v>427.52859974827618</v>
      </c>
      <c r="L772" s="91">
        <v>429.90586334014193</v>
      </c>
      <c r="M772" s="92">
        <v>582256.48797897447</v>
      </c>
      <c r="N772" s="90" t="s">
        <v>780</v>
      </c>
      <c r="O772" s="25">
        <f t="shared" si="23"/>
        <v>-3.7452358397039864E-3</v>
      </c>
    </row>
    <row r="773" spans="1:15">
      <c r="A773" s="91">
        <v>398.54149808474165</v>
      </c>
      <c r="B773" s="91">
        <v>400.2006091651532</v>
      </c>
      <c r="C773" s="91">
        <v>398.45518594761046</v>
      </c>
      <c r="D773" s="91">
        <v>400.0183946534317</v>
      </c>
      <c r="E773" s="92">
        <v>3312444.5704002897</v>
      </c>
      <c r="F773" s="90" t="s">
        <v>781</v>
      </c>
      <c r="G773" s="25">
        <f t="shared" si="22"/>
        <v>-3.6920716357796701E-3</v>
      </c>
      <c r="I773" s="91">
        <v>429.4417760253952</v>
      </c>
      <c r="J773" s="91">
        <v>432.88928179208489</v>
      </c>
      <c r="K773" s="91">
        <v>428.0022529444085</v>
      </c>
      <c r="L773" s="91">
        <v>430.09528673391605</v>
      </c>
      <c r="M773" s="92">
        <v>626479.11451467732</v>
      </c>
      <c r="N773" s="90" t="s">
        <v>781</v>
      </c>
      <c r="O773" s="25">
        <f t="shared" si="23"/>
        <v>-1.5194556385017544E-3</v>
      </c>
    </row>
    <row r="774" spans="1:15">
      <c r="A774" s="91">
        <v>398.49354689744655</v>
      </c>
      <c r="B774" s="91">
        <v>401.02536958662944</v>
      </c>
      <c r="C774" s="91">
        <v>397.82223027531472</v>
      </c>
      <c r="D774" s="91">
        <v>400.2006091651532</v>
      </c>
      <c r="E774" s="92">
        <v>4259536.8649139758</v>
      </c>
      <c r="F774" s="90" t="s">
        <v>782</v>
      </c>
      <c r="G774" s="25">
        <f t="shared" si="22"/>
        <v>-4.2655164150492419E-3</v>
      </c>
      <c r="I774" s="91">
        <v>430.33206597613378</v>
      </c>
      <c r="J774" s="91">
        <v>431.08975955123043</v>
      </c>
      <c r="K774" s="91">
        <v>419.75276943384699</v>
      </c>
      <c r="L774" s="91">
        <v>423.86325707874619</v>
      </c>
      <c r="M774" s="92">
        <v>1032860.8103878796</v>
      </c>
      <c r="N774" s="90" t="s">
        <v>782</v>
      </c>
      <c r="O774" s="25">
        <f t="shared" si="23"/>
        <v>1.5261546711952345E-2</v>
      </c>
    </row>
    <row r="775" spans="1:15">
      <c r="A775" s="91">
        <v>401.11168172376063</v>
      </c>
      <c r="B775" s="91">
        <v>402.18578831917154</v>
      </c>
      <c r="C775" s="91">
        <v>400.38282367687469</v>
      </c>
      <c r="D775" s="91">
        <v>400.93905744949814</v>
      </c>
      <c r="E775" s="92">
        <v>3644243.4454120025</v>
      </c>
      <c r="F775" s="90" t="s">
        <v>783</v>
      </c>
      <c r="G775" s="25">
        <f t="shared" si="22"/>
        <v>4.3054990791024927E-4</v>
      </c>
      <c r="I775" s="91">
        <v>418.89089299217454</v>
      </c>
      <c r="J775" s="91">
        <v>422.25315823166585</v>
      </c>
      <c r="K775" s="91">
        <v>415.44812281032921</v>
      </c>
      <c r="L775" s="91">
        <v>419.02348936781652</v>
      </c>
      <c r="M775" s="92">
        <v>985847.60983981262</v>
      </c>
      <c r="N775" s="90" t="s">
        <v>783</v>
      </c>
      <c r="O775" s="25">
        <f t="shared" si="23"/>
        <v>-3.1644139053399467E-4</v>
      </c>
    </row>
    <row r="776" spans="1:15">
      <c r="A776" s="91">
        <v>400.24856035244829</v>
      </c>
      <c r="B776" s="91">
        <v>400.80479412507179</v>
      </c>
      <c r="C776" s="91">
        <v>396.5946798805594</v>
      </c>
      <c r="D776" s="91">
        <v>396.94951866654338</v>
      </c>
      <c r="E776" s="92">
        <v>3750985.3279121644</v>
      </c>
      <c r="F776" s="90" t="s">
        <v>784</v>
      </c>
      <c r="G776" s="25">
        <f t="shared" si="22"/>
        <v>8.3109854799352512E-3</v>
      </c>
      <c r="I776" s="91">
        <v>419.2697397797229</v>
      </c>
      <c r="J776" s="91">
        <v>436.27996054064232</v>
      </c>
      <c r="K776" s="91">
        <v>417.20502478758453</v>
      </c>
      <c r="L776" s="91">
        <v>432.53884851360272</v>
      </c>
      <c r="M776" s="92">
        <v>1333664.2057062732</v>
      </c>
      <c r="N776" s="90" t="s">
        <v>784</v>
      </c>
      <c r="O776" s="25">
        <f t="shared" si="23"/>
        <v>-3.0677264665309067E-2</v>
      </c>
    </row>
    <row r="777" spans="1:15">
      <c r="A777" s="91">
        <v>397.23722579031414</v>
      </c>
      <c r="B777" s="91">
        <v>398.23413097417989</v>
      </c>
      <c r="C777" s="91">
        <v>395.72196827178806</v>
      </c>
      <c r="D777" s="91">
        <v>395.74114874670607</v>
      </c>
      <c r="E777" s="92">
        <v>3095092.2880500555</v>
      </c>
      <c r="F777" s="90" t="s">
        <v>785</v>
      </c>
      <c r="G777" s="25">
        <f t="shared" si="22"/>
        <v>3.7804434751000926E-3</v>
      </c>
      <c r="I777" s="91">
        <v>430.21841193986927</v>
      </c>
      <c r="J777" s="91">
        <v>432.83245477395263</v>
      </c>
      <c r="K777" s="91">
        <v>425.5855892866378</v>
      </c>
      <c r="L777" s="91">
        <v>427.9737447236455</v>
      </c>
      <c r="M777" s="92">
        <v>909598.31606345763</v>
      </c>
      <c r="N777" s="90" t="s">
        <v>785</v>
      </c>
      <c r="O777" s="25">
        <f t="shared" si="23"/>
        <v>5.2448713125456958E-3</v>
      </c>
    </row>
    <row r="778" spans="1:15">
      <c r="A778" s="91">
        <v>395.8562315962144</v>
      </c>
      <c r="B778" s="91">
        <v>397.71673766326541</v>
      </c>
      <c r="C778" s="91">
        <v>395.19450521154158</v>
      </c>
      <c r="D778" s="91">
        <v>396.97828937892046</v>
      </c>
      <c r="E778" s="92">
        <v>3838220.9155161623</v>
      </c>
      <c r="F778" s="90" t="s">
        <v>786</v>
      </c>
      <c r="G778" s="25">
        <f t="shared" si="22"/>
        <v>-2.8264965937092601E-3</v>
      </c>
      <c r="I778" s="91">
        <v>426.80879085193442</v>
      </c>
      <c r="J778" s="91">
        <v>432.11264587761087</v>
      </c>
      <c r="K778" s="91">
        <v>425.96585674963939</v>
      </c>
      <c r="L778" s="91">
        <v>431.83798195663832</v>
      </c>
      <c r="M778" s="92">
        <v>638048.96318190661</v>
      </c>
      <c r="N778" s="90" t="s">
        <v>786</v>
      </c>
      <c r="O778" s="25">
        <f t="shared" si="23"/>
        <v>-1.1646013817304457E-2</v>
      </c>
    </row>
    <row r="779" spans="1:15">
      <c r="A779" s="91">
        <v>396.1727094323623</v>
      </c>
      <c r="B779" s="91">
        <v>396.85361629195313</v>
      </c>
      <c r="C779" s="91">
        <v>394.28343265293415</v>
      </c>
      <c r="D779" s="91">
        <v>394.67663238875423</v>
      </c>
      <c r="E779" s="92">
        <v>3413290.8741682703</v>
      </c>
      <c r="F779" s="90" t="s">
        <v>787</v>
      </c>
      <c r="G779" s="25">
        <f t="shared" si="22"/>
        <v>3.7906400349905223E-3</v>
      </c>
      <c r="I779" s="91">
        <v>432.86086828301876</v>
      </c>
      <c r="J779" s="91">
        <v>433.74168706406857</v>
      </c>
      <c r="K779" s="91">
        <v>426.92244488819887</v>
      </c>
      <c r="L779" s="91">
        <v>428.37153385057121</v>
      </c>
      <c r="M779" s="92">
        <v>583688.20132016484</v>
      </c>
      <c r="N779" s="90" t="s">
        <v>787</v>
      </c>
      <c r="O779" s="25">
        <f t="shared" si="23"/>
        <v>1.0480001768776726E-2</v>
      </c>
    </row>
    <row r="780" spans="1:15">
      <c r="A780" s="91">
        <v>392.96957012104758</v>
      </c>
      <c r="B780" s="91">
        <v>394.28343265293415</v>
      </c>
      <c r="C780" s="91">
        <v>392.03931708752208</v>
      </c>
      <c r="D780" s="91">
        <v>393.38195033178573</v>
      </c>
      <c r="E780" s="92">
        <v>4427793.3869129522</v>
      </c>
      <c r="F780" s="90" t="s">
        <v>788</v>
      </c>
      <c r="G780" s="25">
        <f t="shared" si="22"/>
        <v>-1.0482946927035108E-3</v>
      </c>
      <c r="I780" s="91">
        <v>429.37547783757429</v>
      </c>
      <c r="J780" s="91">
        <v>437.08974554902687</v>
      </c>
      <c r="K780" s="91">
        <v>429.21446795286624</v>
      </c>
      <c r="L780" s="91">
        <v>437.03765411573897</v>
      </c>
      <c r="M780" s="92">
        <v>729659.61197373155</v>
      </c>
      <c r="N780" s="90" t="s">
        <v>788</v>
      </c>
      <c r="O780" s="25">
        <f t="shared" si="23"/>
        <v>-1.75320735090152E-2</v>
      </c>
    </row>
    <row r="781" spans="1:15">
      <c r="A781" s="91">
        <v>389.90069413415927</v>
      </c>
      <c r="B781" s="91">
        <v>390.32266458235642</v>
      </c>
      <c r="C781" s="91">
        <v>387.22501788309103</v>
      </c>
      <c r="D781" s="91">
        <v>388.18404162899361</v>
      </c>
      <c r="E781" s="92">
        <v>3317822.9565164181</v>
      </c>
      <c r="F781" s="90" t="s">
        <v>789</v>
      </c>
      <c r="G781" s="25">
        <f t="shared" si="22"/>
        <v>4.4222644958866741E-3</v>
      </c>
      <c r="I781" s="91">
        <v>436.38414340721812</v>
      </c>
      <c r="J781" s="91">
        <v>437.56803961830661</v>
      </c>
      <c r="K781" s="91">
        <v>429.20499678317753</v>
      </c>
      <c r="L781" s="91">
        <v>429.90586334014193</v>
      </c>
      <c r="M781" s="92">
        <v>726588.18563927547</v>
      </c>
      <c r="N781" s="90" t="s">
        <v>789</v>
      </c>
      <c r="O781" s="25">
        <f t="shared" si="23"/>
        <v>1.506906655504392E-2</v>
      </c>
    </row>
    <row r="782" spans="1:15">
      <c r="A782" s="91">
        <v>387.41682263227159</v>
      </c>
      <c r="B782" s="91">
        <v>387.55108595669793</v>
      </c>
      <c r="C782" s="91">
        <v>385.58508727759761</v>
      </c>
      <c r="D782" s="91">
        <v>386.1317308127621</v>
      </c>
      <c r="E782" s="92">
        <v>3505937.1724268999</v>
      </c>
      <c r="F782" s="90" t="s">
        <v>790</v>
      </c>
      <c r="G782" s="25">
        <f t="shared" si="22"/>
        <v>3.3281176266051204E-3</v>
      </c>
      <c r="I782" s="91">
        <v>428.65566894123242</v>
      </c>
      <c r="J782" s="91">
        <v>431.45439958424566</v>
      </c>
      <c r="K782" s="91">
        <v>427.4907150695214</v>
      </c>
      <c r="L782" s="91">
        <v>428.65566894123242</v>
      </c>
      <c r="M782" s="92">
        <v>522290.29386916547</v>
      </c>
      <c r="N782" s="90" t="s">
        <v>790</v>
      </c>
      <c r="O782" s="25">
        <f t="shared" si="23"/>
        <v>0</v>
      </c>
    </row>
    <row r="783" spans="1:15">
      <c r="A783" s="91">
        <v>386.38107698669677</v>
      </c>
      <c r="B783" s="91">
        <v>390.01481795992169</v>
      </c>
      <c r="C783" s="91">
        <v>386.20845271243428</v>
      </c>
      <c r="D783" s="91">
        <v>386.51534031112311</v>
      </c>
      <c r="E783" s="92">
        <v>3830196.0881509576</v>
      </c>
      <c r="F783" s="90" t="s">
        <v>791</v>
      </c>
      <c r="G783" s="25">
        <f t="shared" si="22"/>
        <v>-3.4736868223206319E-4</v>
      </c>
      <c r="I783" s="91">
        <v>428.52307256559055</v>
      </c>
      <c r="J783" s="91">
        <v>431.73379909006252</v>
      </c>
      <c r="K783" s="91">
        <v>426.92718047304322</v>
      </c>
      <c r="L783" s="91">
        <v>430.92874966652238</v>
      </c>
      <c r="M783" s="92">
        <v>609720.88873932941</v>
      </c>
      <c r="N783" s="90" t="s">
        <v>791</v>
      </c>
      <c r="O783" s="25">
        <f t="shared" si="23"/>
        <v>-5.5825402756104481E-3</v>
      </c>
    </row>
    <row r="784" spans="1:15">
      <c r="A784" s="91">
        <v>387.28255930784519</v>
      </c>
      <c r="B784" s="91">
        <v>387.78125165571458</v>
      </c>
      <c r="C784" s="91">
        <v>385.10557540464629</v>
      </c>
      <c r="D784" s="91">
        <v>387.23460812055004</v>
      </c>
      <c r="E784" s="92">
        <v>6298353.9519296605</v>
      </c>
      <c r="F784" s="90" t="s">
        <v>792</v>
      </c>
      <c r="G784" s="25">
        <f t="shared" si="22"/>
        <v>1.2382980831149304E-4</v>
      </c>
      <c r="I784" s="91">
        <v>431.86639546570444</v>
      </c>
      <c r="J784" s="91">
        <v>436.31784521939716</v>
      </c>
      <c r="K784" s="91">
        <v>430.02898854609515</v>
      </c>
      <c r="L784" s="91">
        <v>434.20577437881531</v>
      </c>
      <c r="M784" s="92">
        <v>711450.66781284125</v>
      </c>
      <c r="N784" s="90" t="s">
        <v>792</v>
      </c>
      <c r="O784" s="25">
        <f t="shared" si="23"/>
        <v>-5.3877194895844971E-3</v>
      </c>
    </row>
    <row r="785" spans="1:15">
      <c r="A785" s="91">
        <v>390.46651814424177</v>
      </c>
      <c r="B785" s="91">
        <v>391.12824452891459</v>
      </c>
      <c r="C785" s="91">
        <v>389.37323107391285</v>
      </c>
      <c r="D785" s="91">
        <v>389.37323107391285</v>
      </c>
      <c r="E785" s="92">
        <v>4415035.6214746358</v>
      </c>
      <c r="F785" s="90" t="s">
        <v>793</v>
      </c>
      <c r="G785" s="25">
        <f t="shared" si="22"/>
        <v>2.8078126154527094E-3</v>
      </c>
      <c r="I785" s="91">
        <v>434.77404456013778</v>
      </c>
      <c r="J785" s="91">
        <v>435.32337240208284</v>
      </c>
      <c r="K785" s="91">
        <v>429.15764093473399</v>
      </c>
      <c r="L785" s="91">
        <v>433.61856185811541</v>
      </c>
      <c r="M785" s="92">
        <v>389893.76406197279</v>
      </c>
      <c r="N785" s="90" t="s">
        <v>793</v>
      </c>
      <c r="O785" s="25">
        <f t="shared" si="23"/>
        <v>2.6647445558394267E-3</v>
      </c>
    </row>
    <row r="786" spans="1:15">
      <c r="A786" s="91">
        <v>391.33922975301317</v>
      </c>
      <c r="B786" s="91">
        <v>391.33922975301317</v>
      </c>
      <c r="C786" s="91">
        <v>390.01577698366759</v>
      </c>
      <c r="D786" s="91">
        <v>390.24594268268424</v>
      </c>
      <c r="E786" s="92">
        <v>2473368.3708400237</v>
      </c>
      <c r="F786" s="90" t="s">
        <v>794</v>
      </c>
      <c r="G786" s="25">
        <f t="shared" si="22"/>
        <v>2.8015334709523554E-3</v>
      </c>
      <c r="I786" s="91">
        <v>433.93111045784281</v>
      </c>
      <c r="J786" s="91">
        <v>434.5751499966749</v>
      </c>
      <c r="K786" s="91">
        <v>428.30523566275031</v>
      </c>
      <c r="L786" s="91">
        <v>429.14816976504528</v>
      </c>
      <c r="M786" s="92">
        <v>252956.08449042955</v>
      </c>
      <c r="N786" s="90" t="s">
        <v>794</v>
      </c>
      <c r="O786" s="25">
        <f t="shared" si="23"/>
        <v>1.114519653064372E-2</v>
      </c>
    </row>
    <row r="787" spans="1:15">
      <c r="A787" s="91">
        <v>390.59119123120911</v>
      </c>
      <c r="B787" s="91">
        <v>391.49267355235764</v>
      </c>
      <c r="C787" s="91">
        <v>388.68273397686301</v>
      </c>
      <c r="D787" s="91">
        <v>388.78822658891227</v>
      </c>
      <c r="E787" s="92">
        <v>5394748.5889733871</v>
      </c>
      <c r="F787" s="90" t="s">
        <v>795</v>
      </c>
      <c r="G787" s="25">
        <f t="shared" si="22"/>
        <v>4.6373951652687317E-3</v>
      </c>
      <c r="I787" s="91">
        <v>431.69591441130774</v>
      </c>
      <c r="J787" s="91">
        <v>435.20971836581833</v>
      </c>
      <c r="K787" s="91">
        <v>426.11265987981437</v>
      </c>
      <c r="L787" s="91">
        <v>429.18605444380006</v>
      </c>
      <c r="M787" s="92">
        <v>809815.49820023694</v>
      </c>
      <c r="N787" s="90" t="s">
        <v>795</v>
      </c>
      <c r="O787" s="25">
        <f t="shared" si="23"/>
        <v>5.8479532163744352E-3</v>
      </c>
    </row>
    <row r="788" spans="1:15">
      <c r="A788" s="91">
        <v>386.01664796325377</v>
      </c>
      <c r="B788" s="91">
        <v>386.17009176259819</v>
      </c>
      <c r="C788" s="91">
        <v>383.79171287275977</v>
      </c>
      <c r="D788" s="91">
        <v>384.18491260857985</v>
      </c>
      <c r="E788" s="92">
        <v>4082118.9430669388</v>
      </c>
      <c r="F788" s="90" t="s">
        <v>796</v>
      </c>
      <c r="G788" s="25">
        <f t="shared" si="22"/>
        <v>4.7678482276585221E-3</v>
      </c>
      <c r="I788" s="91">
        <v>427.35811869387948</v>
      </c>
      <c r="J788" s="91">
        <v>427.56648442703101</v>
      </c>
      <c r="K788" s="91">
        <v>419.00454702843905</v>
      </c>
      <c r="L788" s="91">
        <v>419.34550913723257</v>
      </c>
      <c r="M788" s="92">
        <v>560826.18880040606</v>
      </c>
      <c r="N788" s="90" t="s">
        <v>796</v>
      </c>
      <c r="O788" s="25">
        <f t="shared" si="23"/>
        <v>1.9107417110850067E-2</v>
      </c>
    </row>
    <row r="789" spans="1:15">
      <c r="A789" s="91">
        <v>384.54339570117833</v>
      </c>
      <c r="B789" s="91">
        <v>385.43657189042341</v>
      </c>
      <c r="C789" s="91">
        <v>382.78570138223614</v>
      </c>
      <c r="D789" s="91">
        <v>383.39707331925956</v>
      </c>
      <c r="E789" s="92">
        <v>4522991.5090040136</v>
      </c>
      <c r="F789" s="90" t="s">
        <v>797</v>
      </c>
      <c r="G789" s="25">
        <f t="shared" si="22"/>
        <v>2.9899090569327491E-3</v>
      </c>
      <c r="I789" s="91">
        <v>419.25079744034548</v>
      </c>
      <c r="J789" s="91">
        <v>426.74249266411346</v>
      </c>
      <c r="K789" s="91">
        <v>417.36603467229259</v>
      </c>
      <c r="L789" s="91">
        <v>425.05662445952345</v>
      </c>
      <c r="M789" s="92">
        <v>653469.44500202744</v>
      </c>
      <c r="N789" s="90" t="s">
        <v>797</v>
      </c>
      <c r="O789" s="25">
        <f t="shared" si="23"/>
        <v>-1.3658949620089622E-2</v>
      </c>
    </row>
    <row r="790" spans="1:15">
      <c r="A790" s="91">
        <v>384.37144734389051</v>
      </c>
      <c r="B790" s="91">
        <v>384.90639778878597</v>
      </c>
      <c r="C790" s="91">
        <v>380.56947811052646</v>
      </c>
      <c r="D790" s="91">
        <v>380.96113825768208</v>
      </c>
      <c r="E790" s="92">
        <v>4503823.079296465</v>
      </c>
      <c r="F790" s="90" t="s">
        <v>798</v>
      </c>
      <c r="G790" s="25">
        <f t="shared" si="22"/>
        <v>8.9518555667000843E-3</v>
      </c>
      <c r="I790" s="91">
        <v>424.72513352041864</v>
      </c>
      <c r="J790" s="91">
        <v>427.56648442703101</v>
      </c>
      <c r="K790" s="91">
        <v>421.78907091691917</v>
      </c>
      <c r="L790" s="91">
        <v>424.53571012664452</v>
      </c>
      <c r="M790" s="92">
        <v>565041.08530337922</v>
      </c>
      <c r="N790" s="90" t="s">
        <v>798</v>
      </c>
      <c r="O790" s="25">
        <f t="shared" si="23"/>
        <v>4.4618954131703248E-4</v>
      </c>
    </row>
    <row r="791" spans="1:15">
      <c r="A791" s="91">
        <v>380.15871259033889</v>
      </c>
      <c r="B791" s="91">
        <v>382.92899167997604</v>
      </c>
      <c r="C791" s="91">
        <v>379.93900080047115</v>
      </c>
      <c r="D791" s="91">
        <v>381.19040273406586</v>
      </c>
      <c r="E791" s="92">
        <v>3402917.0689928201</v>
      </c>
      <c r="F791" s="90" t="s">
        <v>799</v>
      </c>
      <c r="G791" s="25">
        <f t="shared" si="22"/>
        <v>-2.7064955894147147E-3</v>
      </c>
      <c r="I791" s="91">
        <v>424.32734439349292</v>
      </c>
      <c r="J791" s="91">
        <v>426.13453828179524</v>
      </c>
      <c r="K791" s="91">
        <v>419.3833938159874</v>
      </c>
      <c r="L791" s="91">
        <v>425.81431803462004</v>
      </c>
      <c r="M791" s="92">
        <v>785804.73633297451</v>
      </c>
      <c r="N791" s="90" t="s">
        <v>799</v>
      </c>
      <c r="O791" s="25">
        <f t="shared" si="23"/>
        <v>-3.4920705531705787E-3</v>
      </c>
    </row>
    <row r="792" spans="1:15">
      <c r="A792" s="91">
        <v>381.73490586547729</v>
      </c>
      <c r="B792" s="91">
        <v>383.33020451364757</v>
      </c>
      <c r="C792" s="91">
        <v>381.08532318238997</v>
      </c>
      <c r="D792" s="91">
        <v>381.46743064302956</v>
      </c>
      <c r="E792" s="92">
        <v>4412692.6942950496</v>
      </c>
      <c r="F792" s="90" t="s">
        <v>800</v>
      </c>
      <c r="G792" s="25">
        <f t="shared" si="22"/>
        <v>7.0117446723272359E-4</v>
      </c>
      <c r="I792" s="91">
        <v>430.0384597157838</v>
      </c>
      <c r="J792" s="91">
        <v>435.77798854714081</v>
      </c>
      <c r="K792" s="91">
        <v>428.69355361998726</v>
      </c>
      <c r="L792" s="91">
        <v>433.91216811846533</v>
      </c>
      <c r="M792" s="92">
        <v>585943.46658327861</v>
      </c>
      <c r="N792" s="90" t="s">
        <v>800</v>
      </c>
      <c r="O792" s="25">
        <f t="shared" si="23"/>
        <v>-8.9274021041602092E-3</v>
      </c>
    </row>
    <row r="793" spans="1:15">
      <c r="A793" s="91">
        <v>384.61981719330623</v>
      </c>
      <c r="B793" s="91">
        <v>384.70579137195017</v>
      </c>
      <c r="C793" s="91">
        <v>382.05969720702092</v>
      </c>
      <c r="D793" s="91">
        <v>382.37493586204857</v>
      </c>
      <c r="E793" s="92">
        <v>3288102.2471974948</v>
      </c>
      <c r="F793" s="90" t="s">
        <v>801</v>
      </c>
      <c r="G793" s="25">
        <f t="shared" si="22"/>
        <v>5.8708903767363818E-3</v>
      </c>
      <c r="I793" s="91">
        <v>433.83639876095572</v>
      </c>
      <c r="J793" s="91">
        <v>436.60671589490278</v>
      </c>
      <c r="K793" s="91">
        <v>431.70538558099639</v>
      </c>
      <c r="L793" s="91">
        <v>436.5735668009923</v>
      </c>
      <c r="M793" s="92">
        <v>479770.73047456873</v>
      </c>
      <c r="N793" s="90" t="s">
        <v>801</v>
      </c>
      <c r="O793" s="25">
        <f t="shared" si="23"/>
        <v>-6.2696604837834125E-3</v>
      </c>
    </row>
    <row r="794" spans="1:15">
      <c r="A794" s="91">
        <v>383.22512496197174</v>
      </c>
      <c r="B794" s="91">
        <v>385.03058271349386</v>
      </c>
      <c r="C794" s="91">
        <v>382.74749063617224</v>
      </c>
      <c r="D794" s="91">
        <v>384.31413122479461</v>
      </c>
      <c r="E794" s="92">
        <v>3583853.6041870629</v>
      </c>
      <c r="F794" s="90" t="s">
        <v>802</v>
      </c>
      <c r="G794" s="25">
        <f t="shared" si="22"/>
        <v>-2.8336357535233558E-3</v>
      </c>
      <c r="I794" s="91">
        <v>438.01318459367593</v>
      </c>
      <c r="J794" s="91">
        <v>438.16472330869522</v>
      </c>
      <c r="K794" s="91">
        <v>430.15467096786426</v>
      </c>
      <c r="L794" s="91">
        <v>430.20894077018056</v>
      </c>
      <c r="M794" s="92">
        <v>523049.43980745145</v>
      </c>
      <c r="N794" s="90" t="s">
        <v>802</v>
      </c>
      <c r="O794" s="25">
        <f t="shared" si="23"/>
        <v>1.8140589569161092E-2</v>
      </c>
    </row>
    <row r="795" spans="1:15">
      <c r="A795" s="91">
        <v>385.33626868200548</v>
      </c>
      <c r="B795" s="91">
        <v>386.23422121450858</v>
      </c>
      <c r="C795" s="91">
        <v>383.31109914061562</v>
      </c>
      <c r="D795" s="91">
        <v>385.44134823368142</v>
      </c>
      <c r="E795" s="92">
        <v>4445745.1763870232</v>
      </c>
      <c r="F795" s="90" t="s">
        <v>803</v>
      </c>
      <c r="G795" s="25">
        <f t="shared" si="22"/>
        <v>-2.7262137847294809E-4</v>
      </c>
      <c r="I795" s="91">
        <v>430.3131236367563</v>
      </c>
      <c r="J795" s="91">
        <v>436.32731638908587</v>
      </c>
      <c r="K795" s="91">
        <v>430.07634439453864</v>
      </c>
      <c r="L795" s="91">
        <v>434.67933286325069</v>
      </c>
      <c r="M795" s="92">
        <v>538832.07330605923</v>
      </c>
      <c r="N795" s="90" t="s">
        <v>803</v>
      </c>
      <c r="O795" s="25">
        <f t="shared" si="23"/>
        <v>-1.0044667175073574E-2</v>
      </c>
    </row>
    <row r="796" spans="1:15">
      <c r="A796" s="91">
        <v>387.12262106049565</v>
      </c>
      <c r="B796" s="91">
        <v>390.47561402760812</v>
      </c>
      <c r="C796" s="91">
        <v>386.77872434592001</v>
      </c>
      <c r="D796" s="91">
        <v>390.40874522199618</v>
      </c>
      <c r="E796" s="92">
        <v>5382658.5760907335</v>
      </c>
      <c r="F796" s="90" t="s">
        <v>804</v>
      </c>
      <c r="G796" s="25">
        <f t="shared" si="22"/>
        <v>-8.4171376838189094E-3</v>
      </c>
      <c r="I796" s="91">
        <v>434.11106268192827</v>
      </c>
      <c r="J796" s="91">
        <v>434.64144818449591</v>
      </c>
      <c r="K796" s="91">
        <v>428.66514011092119</v>
      </c>
      <c r="L796" s="91">
        <v>429.13869859535657</v>
      </c>
      <c r="M796" s="92">
        <v>1244911.7044178422</v>
      </c>
      <c r="N796" s="90" t="s">
        <v>804</v>
      </c>
      <c r="O796" s="25">
        <f t="shared" si="23"/>
        <v>1.1586846170823284E-2</v>
      </c>
    </row>
    <row r="797" spans="1:15">
      <c r="A797" s="91">
        <v>388.55552403789414</v>
      </c>
      <c r="B797" s="91">
        <v>389.68274104678096</v>
      </c>
      <c r="C797" s="91">
        <v>382.95764973952396</v>
      </c>
      <c r="D797" s="91">
        <v>383.0627292911999</v>
      </c>
      <c r="E797" s="92">
        <v>5532458.3206552286</v>
      </c>
      <c r="F797" s="90" t="s">
        <v>805</v>
      </c>
      <c r="G797" s="25">
        <f t="shared" si="22"/>
        <v>1.4339152119700715E-2</v>
      </c>
      <c r="I797" s="91">
        <v>428.92086169251627</v>
      </c>
      <c r="J797" s="91">
        <v>430.72985510305949</v>
      </c>
      <c r="K797" s="91">
        <v>423.13397701271572</v>
      </c>
      <c r="L797" s="91">
        <v>425.90902973150713</v>
      </c>
      <c r="M797" s="92">
        <v>574965.94179835601</v>
      </c>
      <c r="N797" s="90" t="s">
        <v>805</v>
      </c>
      <c r="O797" s="25">
        <f t="shared" si="23"/>
        <v>7.0715381707397995E-3</v>
      </c>
    </row>
    <row r="798" spans="1:15">
      <c r="A798" s="91">
        <v>383.63589048215931</v>
      </c>
      <c r="B798" s="91">
        <v>385.389763726495</v>
      </c>
      <c r="C798" s="91">
        <v>380.63634691613839</v>
      </c>
      <c r="D798" s="91">
        <v>383.64544316867529</v>
      </c>
      <c r="E798" s="92">
        <v>5402959.6714606471</v>
      </c>
      <c r="F798" s="90" t="s">
        <v>806</v>
      </c>
      <c r="G798" s="25">
        <f t="shared" si="22"/>
        <v>-2.4899778391929139E-5</v>
      </c>
      <c r="I798" s="91">
        <v>424.21369035722842</v>
      </c>
      <c r="J798" s="91">
        <v>429.45996067119756</v>
      </c>
      <c r="K798" s="91">
        <v>422.5657068313933</v>
      </c>
      <c r="L798" s="91">
        <v>427.04557009415208</v>
      </c>
      <c r="M798" s="92">
        <v>538665.25125007983</v>
      </c>
      <c r="N798" s="90" t="s">
        <v>806</v>
      </c>
      <c r="O798" s="25">
        <f t="shared" si="23"/>
        <v>-6.6313291490164294E-3</v>
      </c>
    </row>
    <row r="799" spans="1:15">
      <c r="A799" s="91">
        <v>383.3397572001636</v>
      </c>
      <c r="B799" s="91">
        <v>383.87470764505906</v>
      </c>
      <c r="C799" s="91">
        <v>381.53429944864143</v>
      </c>
      <c r="D799" s="91">
        <v>382.12561074398127</v>
      </c>
      <c r="E799" s="92">
        <v>4096318.8663733257</v>
      </c>
      <c r="F799" s="90" t="s">
        <v>807</v>
      </c>
      <c r="G799" s="25">
        <f t="shared" si="22"/>
        <v>3.1773490759188228E-3</v>
      </c>
      <c r="I799" s="91">
        <v>427.29182050605851</v>
      </c>
      <c r="J799" s="91">
        <v>429.83009398263221</v>
      </c>
      <c r="K799" s="91">
        <v>421.61858986252247</v>
      </c>
      <c r="L799" s="91">
        <v>426.37311704625387</v>
      </c>
      <c r="M799" s="92">
        <v>643903.5726781456</v>
      </c>
      <c r="N799" s="90" t="s">
        <v>807</v>
      </c>
      <c r="O799" s="25">
        <f t="shared" si="23"/>
        <v>2.1546936780842962E-3</v>
      </c>
    </row>
    <row r="800" spans="1:15">
      <c r="A800" s="91">
        <v>380.82740064645822</v>
      </c>
      <c r="B800" s="91">
        <v>380.85128236274818</v>
      </c>
      <c r="C800" s="91">
        <v>377.61769797708558</v>
      </c>
      <c r="D800" s="91">
        <v>378.2672806601729</v>
      </c>
      <c r="E800" s="92">
        <v>3975054.5499885073</v>
      </c>
      <c r="F800" s="90" t="s">
        <v>808</v>
      </c>
      <c r="G800" s="25">
        <f t="shared" ref="G800:G863" si="24">A800/D800-1</f>
        <v>6.7680185867973197E-3</v>
      </c>
      <c r="I800" s="91">
        <v>429.52701655259358</v>
      </c>
      <c r="J800" s="91">
        <v>429.95321918858542</v>
      </c>
      <c r="K800" s="91">
        <v>424.53097454180016</v>
      </c>
      <c r="L800" s="91">
        <v>429.95321918858542</v>
      </c>
      <c r="M800" s="92">
        <v>825503.10647708422</v>
      </c>
      <c r="N800" s="90" t="s">
        <v>808</v>
      </c>
      <c r="O800" s="25">
        <f t="shared" ref="O800:O863" si="25">I800/L800-1</f>
        <v>-9.9127676447263724E-4</v>
      </c>
    </row>
    <row r="801" spans="1:15">
      <c r="A801" s="91">
        <v>377.35977544115383</v>
      </c>
      <c r="B801" s="91">
        <v>379.17478587919197</v>
      </c>
      <c r="C801" s="91">
        <v>376.45227022213476</v>
      </c>
      <c r="D801" s="91">
        <v>377.37888081418583</v>
      </c>
      <c r="E801" s="92">
        <v>3206289.6598492325</v>
      </c>
      <c r="F801" s="90" t="s">
        <v>809</v>
      </c>
      <c r="G801" s="25">
        <f t="shared" si="24"/>
        <v>-5.0626502974382426E-5</v>
      </c>
      <c r="I801" s="91">
        <v>430.23735427924669</v>
      </c>
      <c r="J801" s="91">
        <v>435.39914175959251</v>
      </c>
      <c r="K801" s="91">
        <v>430.17105609142573</v>
      </c>
      <c r="L801" s="91">
        <v>432.3115404410737</v>
      </c>
      <c r="M801" s="92">
        <v>676648.20826098754</v>
      </c>
      <c r="N801" s="90" t="s">
        <v>809</v>
      </c>
      <c r="O801" s="25">
        <f t="shared" si="25"/>
        <v>-4.797896812356206E-3</v>
      </c>
    </row>
    <row r="802" spans="1:15">
      <c r="A802" s="91">
        <v>376.72929813109852</v>
      </c>
      <c r="B802" s="91">
        <v>377.07319484567415</v>
      </c>
      <c r="C802" s="91">
        <v>373.78707068417361</v>
      </c>
      <c r="D802" s="91">
        <v>374.4271006807449</v>
      </c>
      <c r="E802" s="92">
        <v>3622385.1732261893</v>
      </c>
      <c r="F802" s="90" t="s">
        <v>810</v>
      </c>
      <c r="G802" s="25">
        <f t="shared" si="24"/>
        <v>6.1485865904684633E-3</v>
      </c>
      <c r="I802" s="91">
        <v>431.38336581158035</v>
      </c>
      <c r="J802" s="91">
        <v>433.62803302780412</v>
      </c>
      <c r="K802" s="91">
        <v>428.47571671714701</v>
      </c>
      <c r="L802" s="91">
        <v>429.74485345543388</v>
      </c>
      <c r="M802" s="92">
        <v>665531.31315081625</v>
      </c>
      <c r="N802" s="90" t="s">
        <v>810</v>
      </c>
      <c r="O802" s="25">
        <f t="shared" si="25"/>
        <v>3.8127562039933505E-3</v>
      </c>
    </row>
    <row r="803" spans="1:15">
      <c r="A803" s="91">
        <v>374.4844167998408</v>
      </c>
      <c r="B803" s="91">
        <v>377.10185290522207</v>
      </c>
      <c r="C803" s="91">
        <v>374.02588784707336</v>
      </c>
      <c r="D803" s="91">
        <v>376.06061007497919</v>
      </c>
      <c r="E803" s="92">
        <v>4127522.653862955</v>
      </c>
      <c r="F803" s="90" t="s">
        <v>811</v>
      </c>
      <c r="G803" s="25">
        <f t="shared" si="24"/>
        <v>-4.1913277618310651E-3</v>
      </c>
      <c r="I803" s="91">
        <v>429.37547783757429</v>
      </c>
      <c r="J803" s="91">
        <v>430.46466235177564</v>
      </c>
      <c r="K803" s="91">
        <v>420.75671342085002</v>
      </c>
      <c r="L803" s="91">
        <v>424.20421918753971</v>
      </c>
      <c r="M803" s="92">
        <v>859808.26736839174</v>
      </c>
      <c r="N803" s="90" t="s">
        <v>811</v>
      </c>
      <c r="O803" s="25">
        <f t="shared" si="25"/>
        <v>1.2190493201455821E-2</v>
      </c>
    </row>
    <row r="804" spans="1:15">
      <c r="A804" s="91">
        <v>375.71671336040356</v>
      </c>
      <c r="B804" s="91">
        <v>376.17524231317111</v>
      </c>
      <c r="C804" s="91">
        <v>373.90170292236547</v>
      </c>
      <c r="D804" s="91">
        <v>374.51307485938884</v>
      </c>
      <c r="E804" s="92">
        <v>3030208.3033444993</v>
      </c>
      <c r="F804" s="90" t="s">
        <v>812</v>
      </c>
      <c r="G804" s="25">
        <f t="shared" si="24"/>
        <v>3.2138757811503993E-3</v>
      </c>
      <c r="I804" s="91">
        <v>424.40311375100259</v>
      </c>
      <c r="J804" s="91">
        <v>425.60595230146851</v>
      </c>
      <c r="K804" s="91">
        <v>420.68567964818476</v>
      </c>
      <c r="L804" s="91">
        <v>423.83484356968012</v>
      </c>
      <c r="M804" s="92">
        <v>734925.06509505596</v>
      </c>
      <c r="N804" s="90" t="s">
        <v>812</v>
      </c>
      <c r="O804" s="25">
        <f t="shared" si="25"/>
        <v>1.3407821229050043E-3</v>
      </c>
    </row>
    <row r="805" spans="1:15">
      <c r="A805" s="91">
        <v>374.94294575260835</v>
      </c>
      <c r="B805" s="91">
        <v>377.11140559173811</v>
      </c>
      <c r="C805" s="91">
        <v>374.26470500997311</v>
      </c>
      <c r="D805" s="91">
        <v>375.93642515027136</v>
      </c>
      <c r="E805" s="92">
        <v>4199633.2584396834</v>
      </c>
      <c r="F805" s="90" t="s">
        <v>813</v>
      </c>
      <c r="G805" s="25">
        <f t="shared" si="24"/>
        <v>-2.64267927021411E-3</v>
      </c>
      <c r="I805" s="91">
        <v>421.98796548038206</v>
      </c>
      <c r="J805" s="91">
        <v>423.35181391555602</v>
      </c>
      <c r="K805" s="91">
        <v>418.6730560893343</v>
      </c>
      <c r="L805" s="91">
        <v>423.35181391555602</v>
      </c>
      <c r="M805" s="92">
        <v>927194.87546189188</v>
      </c>
      <c r="N805" s="90" t="s">
        <v>813</v>
      </c>
      <c r="O805" s="25">
        <f t="shared" si="25"/>
        <v>-3.2215485805051625E-3</v>
      </c>
    </row>
    <row r="806" spans="1:15">
      <c r="A806" s="91">
        <v>375.66894992782358</v>
      </c>
      <c r="B806" s="91">
        <v>376.3376379839429</v>
      </c>
      <c r="C806" s="91">
        <v>372.11535054387537</v>
      </c>
      <c r="D806" s="91">
        <v>372.63119561573876</v>
      </c>
      <c r="E806" s="92">
        <v>7713957.7308073118</v>
      </c>
      <c r="F806" s="90" t="s">
        <v>814</v>
      </c>
      <c r="G806" s="25">
        <f t="shared" si="24"/>
        <v>8.152173913043459E-3</v>
      </c>
      <c r="I806" s="91">
        <v>420.3589242939243</v>
      </c>
      <c r="J806" s="91">
        <v>423.48441029119789</v>
      </c>
      <c r="K806" s="91">
        <v>415.53809892237194</v>
      </c>
      <c r="L806" s="91">
        <v>418.54993088338108</v>
      </c>
      <c r="M806" s="92">
        <v>1082364.727581867</v>
      </c>
      <c r="N806" s="90" t="s">
        <v>814</v>
      </c>
      <c r="O806" s="25">
        <f t="shared" si="25"/>
        <v>4.3220492396813803E-3</v>
      </c>
    </row>
    <row r="807" spans="1:15">
      <c r="A807" s="91">
        <v>370.23347130022529</v>
      </c>
      <c r="B807" s="91">
        <v>371.18873995182429</v>
      </c>
      <c r="C807" s="91">
        <v>365.83923550286988</v>
      </c>
      <c r="D807" s="91">
        <v>367.01421594433663</v>
      </c>
      <c r="E807" s="92">
        <v>3730421.79708823</v>
      </c>
      <c r="F807" s="90" t="s">
        <v>815</v>
      </c>
      <c r="G807" s="25">
        <f t="shared" si="24"/>
        <v>8.7714731910464305E-3</v>
      </c>
      <c r="I807" s="91">
        <v>415.3202620195317</v>
      </c>
      <c r="J807" s="91">
        <v>416.00218623711868</v>
      </c>
      <c r="K807" s="91">
        <v>410.60361951455508</v>
      </c>
      <c r="L807" s="91">
        <v>413.67227849369647</v>
      </c>
      <c r="M807" s="92">
        <v>836776.26528526156</v>
      </c>
      <c r="N807" s="90" t="s">
        <v>815</v>
      </c>
      <c r="O807" s="25">
        <f t="shared" si="25"/>
        <v>3.9837900954737826E-3</v>
      </c>
    </row>
    <row r="808" spans="1:15">
      <c r="A808" s="91">
        <v>366.71808266234092</v>
      </c>
      <c r="B808" s="91">
        <v>367.93127384987173</v>
      </c>
      <c r="C808" s="91">
        <v>365.31383774449046</v>
      </c>
      <c r="D808" s="91">
        <v>367.11929549601251</v>
      </c>
      <c r="E808" s="92">
        <v>4402267.3548019864</v>
      </c>
      <c r="F808" s="90" t="s">
        <v>816</v>
      </c>
      <c r="G808" s="25">
        <f t="shared" si="24"/>
        <v>-1.0928677369832496E-3</v>
      </c>
      <c r="I808" s="91">
        <v>412.4599687735419</v>
      </c>
      <c r="J808" s="91">
        <v>418.01954538081344</v>
      </c>
      <c r="K808" s="91">
        <v>411.63597701062429</v>
      </c>
      <c r="L808" s="91">
        <v>414.65728014132213</v>
      </c>
      <c r="M808" s="92">
        <v>1584630.0397187208</v>
      </c>
      <c r="N808" s="90" t="s">
        <v>816</v>
      </c>
      <c r="O808" s="25">
        <f t="shared" si="25"/>
        <v>-5.2991023503345946E-3</v>
      </c>
    </row>
    <row r="809" spans="1:15">
      <c r="A809" s="91">
        <v>368.72414683069888</v>
      </c>
      <c r="B809" s="91">
        <v>370.89260666982858</v>
      </c>
      <c r="C809" s="91">
        <v>367.54916638923208</v>
      </c>
      <c r="D809" s="91">
        <v>370.41497234402908</v>
      </c>
      <c r="E809" s="92">
        <v>4154277.4311261037</v>
      </c>
      <c r="F809" s="90" t="s">
        <v>817</v>
      </c>
      <c r="G809" s="25">
        <f t="shared" si="24"/>
        <v>-4.5646791829997424E-3</v>
      </c>
      <c r="I809" s="91">
        <v>414.98877108042694</v>
      </c>
      <c r="J809" s="91">
        <v>417.79223730828448</v>
      </c>
      <c r="K809" s="91">
        <v>409.46707915191018</v>
      </c>
      <c r="L809" s="91">
        <v>411.89169859221937</v>
      </c>
      <c r="M809" s="92">
        <v>924900.54427427659</v>
      </c>
      <c r="N809" s="90" t="s">
        <v>817</v>
      </c>
      <c r="O809" s="25">
        <f t="shared" si="25"/>
        <v>7.5191427717355985E-3</v>
      </c>
    </row>
    <row r="810" spans="1:15">
      <c r="A810" s="91">
        <v>368.60951459250697</v>
      </c>
      <c r="B810" s="91">
        <v>369.27820264862629</v>
      </c>
      <c r="C810" s="91">
        <v>364.46842498782536</v>
      </c>
      <c r="D810" s="91">
        <v>364.56872819624317</v>
      </c>
      <c r="E810" s="92">
        <v>3185273.5823652754</v>
      </c>
      <c r="F810" s="90" t="s">
        <v>818</v>
      </c>
      <c r="G810" s="25">
        <f t="shared" si="24"/>
        <v>1.1083743842364546E-2</v>
      </c>
      <c r="I810" s="91">
        <v>415.14030979544623</v>
      </c>
      <c r="J810" s="91">
        <v>418.16161292614407</v>
      </c>
      <c r="K810" s="91">
        <v>409.74174307288268</v>
      </c>
      <c r="L810" s="91">
        <v>409.74174307288268</v>
      </c>
      <c r="M810" s="92">
        <v>913323.30475646595</v>
      </c>
      <c r="N810" s="90" t="s">
        <v>818</v>
      </c>
      <c r="O810" s="25">
        <f t="shared" si="25"/>
        <v>1.3175535111645376E-2</v>
      </c>
    </row>
    <row r="811" spans="1:15">
      <c r="A811" s="91">
        <v>363.88093476709196</v>
      </c>
      <c r="B811" s="91">
        <v>365.18010013326654</v>
      </c>
      <c r="C811" s="91">
        <v>361.9703974638939</v>
      </c>
      <c r="D811" s="91">
        <v>363.94780357270383</v>
      </c>
      <c r="E811" s="92">
        <v>3471140.8088705079</v>
      </c>
      <c r="F811" s="90" t="s">
        <v>819</v>
      </c>
      <c r="G811" s="25">
        <f t="shared" si="24"/>
        <v>-1.8373185647901913E-4</v>
      </c>
      <c r="I811" s="91">
        <v>408.81356843651326</v>
      </c>
      <c r="J811" s="91">
        <v>414.88669104206133</v>
      </c>
      <c r="K811" s="91">
        <v>404.65479969575756</v>
      </c>
      <c r="L811" s="91">
        <v>413.35898007606943</v>
      </c>
      <c r="M811" s="92">
        <v>965617.83795418206</v>
      </c>
      <c r="N811" s="90" t="s">
        <v>819</v>
      </c>
      <c r="O811" s="25">
        <f t="shared" si="25"/>
        <v>-1.0996281340542535E-2</v>
      </c>
    </row>
    <row r="812" spans="1:15">
      <c r="A812" s="91">
        <v>360.7381009033312</v>
      </c>
      <c r="B812" s="91">
        <v>362.28563611892156</v>
      </c>
      <c r="C812" s="91">
        <v>359.72551613263624</v>
      </c>
      <c r="D812" s="91">
        <v>361.96084477737793</v>
      </c>
      <c r="E812" s="92">
        <v>3780708.1745586847</v>
      </c>
      <c r="F812" s="90" t="s">
        <v>820</v>
      </c>
      <c r="G812" s="25">
        <f t="shared" si="24"/>
        <v>-3.3781108970467599E-3</v>
      </c>
      <c r="I812" s="91">
        <v>416.2918079181897</v>
      </c>
      <c r="J812" s="91">
        <v>420.92209238918991</v>
      </c>
      <c r="K812" s="91">
        <v>416.2352260305604</v>
      </c>
      <c r="L812" s="91">
        <v>417.79122794036692</v>
      </c>
      <c r="M812" s="92">
        <v>704787.7275011352</v>
      </c>
      <c r="N812" s="90" t="s">
        <v>820</v>
      </c>
      <c r="O812" s="25">
        <f t="shared" si="25"/>
        <v>-3.5889217434484921E-3</v>
      </c>
    </row>
    <row r="813" spans="1:15">
      <c r="A813" s="91">
        <v>363.46061656038836</v>
      </c>
      <c r="B813" s="91">
        <v>366.92824176569275</v>
      </c>
      <c r="C813" s="91">
        <v>363.07850909974877</v>
      </c>
      <c r="D813" s="91">
        <v>366.04939460622165</v>
      </c>
      <c r="E813" s="92">
        <v>3022462.8382466808</v>
      </c>
      <c r="F813" s="90" t="s">
        <v>821</v>
      </c>
      <c r="G813" s="25">
        <f t="shared" si="24"/>
        <v>-7.0722096088102759E-3</v>
      </c>
      <c r="I813" s="91">
        <v>417.79122794036692</v>
      </c>
      <c r="J813" s="91">
        <v>420.46943728815523</v>
      </c>
      <c r="K813" s="91">
        <v>415.17903079481289</v>
      </c>
      <c r="L813" s="91">
        <v>416.03718942385774</v>
      </c>
      <c r="M813" s="92">
        <v>613442.94887058157</v>
      </c>
      <c r="N813" s="90" t="s">
        <v>821</v>
      </c>
      <c r="O813" s="25">
        <f t="shared" si="25"/>
        <v>4.216061835573548E-3</v>
      </c>
    </row>
    <row r="814" spans="1:15">
      <c r="A814" s="91">
        <v>367.56827176226403</v>
      </c>
      <c r="B814" s="91">
        <v>368.95341130708266</v>
      </c>
      <c r="C814" s="91">
        <v>366.31686982866938</v>
      </c>
      <c r="D814" s="91">
        <v>367.45363952407223</v>
      </c>
      <c r="E814" s="92">
        <v>2914375.9667397295</v>
      </c>
      <c r="F814" s="90" t="s">
        <v>822</v>
      </c>
      <c r="G814" s="25">
        <f t="shared" si="24"/>
        <v>3.1196381219755764E-4</v>
      </c>
      <c r="I814" s="91">
        <v>417.82894919878652</v>
      </c>
      <c r="J814" s="91">
        <v>419.81874558041795</v>
      </c>
      <c r="K814" s="91">
        <v>413.45799837942076</v>
      </c>
      <c r="L814" s="91">
        <v>416.90477836750745</v>
      </c>
      <c r="M814" s="92">
        <v>539472.98824610654</v>
      </c>
      <c r="N814" s="90" t="s">
        <v>822</v>
      </c>
      <c r="O814" s="25">
        <f t="shared" si="25"/>
        <v>2.2167431970865348E-3</v>
      </c>
    </row>
    <row r="815" spans="1:15">
      <c r="A815" s="91">
        <v>367.36766534542829</v>
      </c>
      <c r="B815" s="91">
        <v>369.24954458907831</v>
      </c>
      <c r="C815" s="91">
        <v>366.2882117691214</v>
      </c>
      <c r="D815" s="91">
        <v>368.75280489024681</v>
      </c>
      <c r="E815" s="92">
        <v>3819912.8526744293</v>
      </c>
      <c r="F815" s="90" t="s">
        <v>823</v>
      </c>
      <c r="G815" s="25">
        <f t="shared" si="24"/>
        <v>-3.7562820579243317E-3</v>
      </c>
      <c r="I815" s="91">
        <v>418.05527674930386</v>
      </c>
      <c r="J815" s="91">
        <v>420.87494081616546</v>
      </c>
      <c r="K815" s="91">
        <v>415.67883746887202</v>
      </c>
      <c r="L815" s="91">
        <v>419.98849124330593</v>
      </c>
      <c r="M815" s="92">
        <v>491804.37708789756</v>
      </c>
      <c r="N815" s="90" t="s">
        <v>823</v>
      </c>
      <c r="O815" s="25">
        <f t="shared" si="25"/>
        <v>-4.6030177833661368E-3</v>
      </c>
    </row>
    <row r="816" spans="1:15">
      <c r="A816" s="91">
        <v>367.95037922290368</v>
      </c>
      <c r="B816" s="91">
        <v>368.32293399702729</v>
      </c>
      <c r="C816" s="91">
        <v>363.95735625921986</v>
      </c>
      <c r="D816" s="91">
        <v>364.20572610863559</v>
      </c>
      <c r="E816" s="92">
        <v>3497047.6571257864</v>
      </c>
      <c r="F816" s="90" t="s">
        <v>824</v>
      </c>
      <c r="G816" s="25">
        <f t="shared" si="24"/>
        <v>1.0281697529245237E-2</v>
      </c>
      <c r="I816" s="91">
        <v>418.32875587284559</v>
      </c>
      <c r="J816" s="91">
        <v>421.45962032166852</v>
      </c>
      <c r="K816" s="91">
        <v>412.81202182898591</v>
      </c>
      <c r="L816" s="91">
        <v>420.65804358025298</v>
      </c>
      <c r="M816" s="92">
        <v>549948.77873021096</v>
      </c>
      <c r="N816" s="90" t="s">
        <v>824</v>
      </c>
      <c r="O816" s="25">
        <f t="shared" si="25"/>
        <v>-5.5372475172057456E-3</v>
      </c>
    </row>
    <row r="817" spans="1:15">
      <c r="A817" s="91">
        <v>364.38722715243938</v>
      </c>
      <c r="B817" s="91">
        <v>364.99859908946274</v>
      </c>
      <c r="C817" s="91">
        <v>360.40375687527154</v>
      </c>
      <c r="D817" s="91">
        <v>361.90352865828203</v>
      </c>
      <c r="E817" s="92">
        <v>3373548.3673683722</v>
      </c>
      <c r="F817" s="90" t="s">
        <v>825</v>
      </c>
      <c r="G817" s="25">
        <f t="shared" si="24"/>
        <v>6.8628744885836923E-3</v>
      </c>
      <c r="I817" s="91">
        <v>421.85569353507378</v>
      </c>
      <c r="J817" s="91">
        <v>422.85530688319193</v>
      </c>
      <c r="K817" s="91">
        <v>412.65170648070279</v>
      </c>
      <c r="L817" s="91">
        <v>413.99081115459694</v>
      </c>
      <c r="M817" s="92">
        <v>804210.70958425559</v>
      </c>
      <c r="N817" s="90" t="s">
        <v>825</v>
      </c>
      <c r="O817" s="25">
        <f t="shared" si="25"/>
        <v>1.8997722095671854E-2</v>
      </c>
    </row>
    <row r="818" spans="1:15">
      <c r="A818" s="91">
        <v>360.08851822024388</v>
      </c>
      <c r="B818" s="91">
        <v>362.31429417846954</v>
      </c>
      <c r="C818" s="91">
        <v>360.05030747417993</v>
      </c>
      <c r="D818" s="91">
        <v>361.46410507854642</v>
      </c>
      <c r="E818" s="92">
        <v>2384267.5002341499</v>
      </c>
      <c r="F818" s="90" t="s">
        <v>826</v>
      </c>
      <c r="G818" s="25">
        <f t="shared" si="24"/>
        <v>-3.8055973995083647E-3</v>
      </c>
      <c r="I818" s="91">
        <v>410.81279513274961</v>
      </c>
      <c r="J818" s="91">
        <v>415.25871695322417</v>
      </c>
      <c r="K818" s="91">
        <v>410.64304946986158</v>
      </c>
      <c r="L818" s="91">
        <v>414.92441230048092</v>
      </c>
      <c r="M818" s="92">
        <v>476014.87204605987</v>
      </c>
      <c r="N818" s="90" t="s">
        <v>826</v>
      </c>
      <c r="O818" s="25">
        <f t="shared" si="25"/>
        <v>-9.9093161208209102E-3</v>
      </c>
    </row>
    <row r="819" spans="1:15">
      <c r="A819" s="91">
        <v>362.48624253575736</v>
      </c>
      <c r="B819" s="91">
        <v>362.849244623365</v>
      </c>
      <c r="C819" s="91">
        <v>360.05030747417993</v>
      </c>
      <c r="D819" s="91">
        <v>361.79844910660609</v>
      </c>
      <c r="E819" s="92">
        <v>4064365.5515137762</v>
      </c>
      <c r="F819" s="90" t="s">
        <v>827</v>
      </c>
      <c r="G819" s="25">
        <f t="shared" si="24"/>
        <v>1.9010402914927393E-3</v>
      </c>
      <c r="I819" s="91">
        <v>414.33973279497786</v>
      </c>
      <c r="J819" s="91">
        <v>415.00928513192491</v>
      </c>
      <c r="K819" s="91">
        <v>411.16171677313048</v>
      </c>
      <c r="L819" s="91">
        <v>413.75505328947474</v>
      </c>
      <c r="M819" s="92">
        <v>520689.94574737776</v>
      </c>
      <c r="N819" s="90" t="s">
        <v>827</v>
      </c>
      <c r="O819" s="25">
        <f t="shared" si="25"/>
        <v>1.4131054131054643E-3</v>
      </c>
    </row>
    <row r="820" spans="1:15">
      <c r="A820" s="91">
        <v>361.23484060216265</v>
      </c>
      <c r="B820" s="91">
        <v>363.01164029413684</v>
      </c>
      <c r="C820" s="91">
        <v>359.02339367371098</v>
      </c>
      <c r="D820" s="91">
        <v>362.85879730988103</v>
      </c>
      <c r="E820" s="92">
        <v>2649532.1455000038</v>
      </c>
      <c r="F820" s="90" t="s">
        <v>828</v>
      </c>
      <c r="G820" s="25">
        <f t="shared" si="24"/>
        <v>-4.4754508358564316E-3</v>
      </c>
      <c r="I820" s="91">
        <v>413.76448360407966</v>
      </c>
      <c r="J820" s="91">
        <v>416.64063525542457</v>
      </c>
      <c r="K820" s="91">
        <v>410.00178807672921</v>
      </c>
      <c r="L820" s="91">
        <v>412.18962106506325</v>
      </c>
      <c r="M820" s="92">
        <v>794775.1813194959</v>
      </c>
      <c r="N820" s="90" t="s">
        <v>828</v>
      </c>
      <c r="O820" s="25">
        <f t="shared" si="25"/>
        <v>3.8207234208058605E-3</v>
      </c>
    </row>
    <row r="821" spans="1:15">
      <c r="A821" s="91">
        <v>361.72202761447818</v>
      </c>
      <c r="B821" s="91">
        <v>361.93218671782995</v>
      </c>
      <c r="C821" s="91">
        <v>359.82104299779616</v>
      </c>
      <c r="D821" s="91">
        <v>361.54052657067439</v>
      </c>
      <c r="E821" s="92">
        <v>2801957.3295110897</v>
      </c>
      <c r="F821" s="90" t="s">
        <v>829</v>
      </c>
      <c r="G821" s="25">
        <f t="shared" si="24"/>
        <v>5.0202129627185954E-4</v>
      </c>
      <c r="I821" s="91">
        <v>411.02026205405718</v>
      </c>
      <c r="J821" s="91">
        <v>415.22618236783734</v>
      </c>
      <c r="K821" s="91">
        <v>408.50236805455199</v>
      </c>
      <c r="L821" s="91">
        <v>413.89650800854804</v>
      </c>
      <c r="M821" s="92">
        <v>741244.62362862891</v>
      </c>
      <c r="N821" s="90" t="s">
        <v>829</v>
      </c>
      <c r="O821" s="25">
        <f t="shared" si="25"/>
        <v>-6.9491911597172606E-3</v>
      </c>
    </row>
    <row r="822" spans="1:15">
      <c r="A822" s="91">
        <v>362.22831999982566</v>
      </c>
      <c r="B822" s="91">
        <v>363.79496058844802</v>
      </c>
      <c r="C822" s="91">
        <v>358.83711628664918</v>
      </c>
      <c r="D822" s="91">
        <v>363.26956283006854</v>
      </c>
      <c r="E822" s="92">
        <v>3677444.0301372381</v>
      </c>
      <c r="F822" s="90" t="s">
        <v>830</v>
      </c>
      <c r="G822" s="25">
        <f t="shared" si="24"/>
        <v>-2.8663090354474896E-3</v>
      </c>
      <c r="I822" s="91">
        <v>417.79122794036692</v>
      </c>
      <c r="J822" s="91">
        <v>419.64899991752998</v>
      </c>
      <c r="K822" s="91">
        <v>413.70790171645029</v>
      </c>
      <c r="L822" s="91">
        <v>417.8572401426012</v>
      </c>
      <c r="M822" s="92">
        <v>593411.80379064102</v>
      </c>
      <c r="N822" s="90" t="s">
        <v>830</v>
      </c>
      <c r="O822" s="25">
        <f t="shared" si="25"/>
        <v>-1.5797788309646066E-4</v>
      </c>
    </row>
    <row r="823" spans="1:15">
      <c r="A823" s="91">
        <v>360.65212672468732</v>
      </c>
      <c r="B823" s="91">
        <v>361.64560612235022</v>
      </c>
      <c r="C823" s="91">
        <v>360.45152030785147</v>
      </c>
      <c r="D823" s="91">
        <v>360.81452239545911</v>
      </c>
      <c r="E823" s="92">
        <v>2377392.994314786</v>
      </c>
      <c r="F823" s="90" t="s">
        <v>831</v>
      </c>
      <c r="G823" s="25">
        <f t="shared" si="24"/>
        <v>-4.500807497814785E-4</v>
      </c>
      <c r="I823" s="91">
        <v>417.11224528881502</v>
      </c>
      <c r="J823" s="91">
        <v>419.73387274897391</v>
      </c>
      <c r="K823" s="91">
        <v>415.75427998571109</v>
      </c>
      <c r="L823" s="91">
        <v>417.7629369965523</v>
      </c>
      <c r="M823" s="92">
        <v>490157.56034310418</v>
      </c>
      <c r="N823" s="90" t="s">
        <v>831</v>
      </c>
      <c r="O823" s="25">
        <f t="shared" si="25"/>
        <v>-1.557562076749397E-3</v>
      </c>
    </row>
    <row r="824" spans="1:15">
      <c r="A824" s="91">
        <v>362.21876731330968</v>
      </c>
      <c r="B824" s="91">
        <v>362.63908552001323</v>
      </c>
      <c r="C824" s="91">
        <v>360.97691806623095</v>
      </c>
      <c r="D824" s="91">
        <v>362.43847910317743</v>
      </c>
      <c r="E824" s="92">
        <v>3096111.230122868</v>
      </c>
      <c r="F824" s="90" t="s">
        <v>832</v>
      </c>
      <c r="G824" s="25">
        <f t="shared" si="24"/>
        <v>-6.0620436994274218E-4</v>
      </c>
      <c r="I824" s="91">
        <v>417.0462330865808</v>
      </c>
      <c r="J824" s="91">
        <v>425.26003710743851</v>
      </c>
      <c r="K824" s="91">
        <v>416.69731144619993</v>
      </c>
      <c r="L824" s="91">
        <v>422.78929468095777</v>
      </c>
      <c r="M824" s="92">
        <v>443419.98917325877</v>
      </c>
      <c r="N824" s="90" t="s">
        <v>832</v>
      </c>
      <c r="O824" s="25">
        <f t="shared" si="25"/>
        <v>-1.3583744117056651E-2</v>
      </c>
    </row>
    <row r="825" spans="1:15">
      <c r="A825" s="91">
        <v>362.01816089647389</v>
      </c>
      <c r="B825" s="91">
        <v>363.08806178626475</v>
      </c>
      <c r="C825" s="91">
        <v>358.63650986981338</v>
      </c>
      <c r="D825" s="91">
        <v>358.93264315180909</v>
      </c>
      <c r="E825" s="92">
        <v>3286399.0614002049</v>
      </c>
      <c r="F825" s="90" t="s">
        <v>833</v>
      </c>
      <c r="G825" s="25">
        <f t="shared" si="24"/>
        <v>8.5963698302018443E-3</v>
      </c>
      <c r="I825" s="91">
        <v>421.35588686101477</v>
      </c>
      <c r="J825" s="91">
        <v>422.90245845621644</v>
      </c>
      <c r="K825" s="91">
        <v>416.75389333382924</v>
      </c>
      <c r="L825" s="91">
        <v>418.19673146837715</v>
      </c>
      <c r="M825" s="92">
        <v>503428.59161231836</v>
      </c>
      <c r="N825" s="90" t="s">
        <v>833</v>
      </c>
      <c r="O825" s="25">
        <f t="shared" si="25"/>
        <v>7.5542326252651115E-3</v>
      </c>
    </row>
    <row r="826" spans="1:15">
      <c r="A826" s="91">
        <v>355.49367600605268</v>
      </c>
      <c r="B826" s="91">
        <v>357.3755552497027</v>
      </c>
      <c r="C826" s="91">
        <v>354.32824825110191</v>
      </c>
      <c r="D826" s="91">
        <v>357.11763271377094</v>
      </c>
      <c r="E826" s="92">
        <v>4628524.1252279971</v>
      </c>
      <c r="F826" s="90" t="s">
        <v>834</v>
      </c>
      <c r="G826" s="25">
        <f t="shared" si="24"/>
        <v>-4.5473999572008816E-3</v>
      </c>
      <c r="I826" s="91">
        <v>417.03680277197589</v>
      </c>
      <c r="J826" s="91">
        <v>419.90833356916437</v>
      </c>
      <c r="K826" s="91">
        <v>410.40729160473938</v>
      </c>
      <c r="L826" s="91">
        <v>418.02698580548912</v>
      </c>
      <c r="M826" s="92">
        <v>684687.65577057551</v>
      </c>
      <c r="N826" s="90" t="s">
        <v>834</v>
      </c>
      <c r="O826" s="25">
        <f t="shared" si="25"/>
        <v>-2.3687060097454804E-3</v>
      </c>
    </row>
    <row r="827" spans="1:15">
      <c r="A827" s="91">
        <v>358.11111211143395</v>
      </c>
      <c r="B827" s="91">
        <v>363.19314133794063</v>
      </c>
      <c r="C827" s="91">
        <v>357.84363688898623</v>
      </c>
      <c r="D827" s="91">
        <v>361.00557612577893</v>
      </c>
      <c r="E827" s="92">
        <v>5771192.2094081603</v>
      </c>
      <c r="F827" s="90" t="s">
        <v>835</v>
      </c>
      <c r="G827" s="25">
        <f t="shared" si="24"/>
        <v>-8.0177820115900911E-3</v>
      </c>
      <c r="I827" s="91">
        <v>418.43248933349935</v>
      </c>
      <c r="J827" s="91">
        <v>426.51426894988862</v>
      </c>
      <c r="K827" s="91">
        <v>418.30046492903091</v>
      </c>
      <c r="L827" s="91">
        <v>422.03486951256667</v>
      </c>
      <c r="M827" s="92">
        <v>551588.17260493769</v>
      </c>
      <c r="N827" s="90" t="s">
        <v>835</v>
      </c>
      <c r="O827" s="25">
        <f t="shared" si="25"/>
        <v>-8.5357406207404729E-3</v>
      </c>
    </row>
    <row r="828" spans="1:15">
      <c r="A828" s="91">
        <v>360.62346866513934</v>
      </c>
      <c r="B828" s="91">
        <v>364.06243581089575</v>
      </c>
      <c r="C828" s="91">
        <v>357.91050569459816</v>
      </c>
      <c r="D828" s="91">
        <v>364.01467237831577</v>
      </c>
      <c r="E828" s="92">
        <v>4513484.2358565088</v>
      </c>
      <c r="F828" s="90" t="s">
        <v>836</v>
      </c>
      <c r="G828" s="25">
        <f t="shared" si="24"/>
        <v>-9.3161181966093798E-3</v>
      </c>
      <c r="I828" s="91">
        <v>423.24194978199239</v>
      </c>
      <c r="J828" s="91">
        <v>434.58661825167303</v>
      </c>
      <c r="K828" s="91">
        <v>423.02505254607996</v>
      </c>
      <c r="L828" s="91">
        <v>434.57718793706812</v>
      </c>
      <c r="M828" s="92">
        <v>816906.9986283069</v>
      </c>
      <c r="N828" s="90" t="s">
        <v>836</v>
      </c>
      <c r="O828" s="25">
        <f t="shared" si="25"/>
        <v>-2.6083371308291525E-2</v>
      </c>
    </row>
    <row r="829" spans="1:15">
      <c r="A829" s="91">
        <v>364.71201849398307</v>
      </c>
      <c r="B829" s="91">
        <v>366.47926549944117</v>
      </c>
      <c r="C829" s="91">
        <v>364.45409595805131</v>
      </c>
      <c r="D829" s="91">
        <v>364.65470237488711</v>
      </c>
      <c r="E829" s="92">
        <v>3213019.7037894777</v>
      </c>
      <c r="F829" s="90" t="s">
        <v>837</v>
      </c>
      <c r="G829" s="25">
        <f t="shared" si="24"/>
        <v>1.5717915804369653E-4</v>
      </c>
      <c r="I829" s="91">
        <v>436.3595173973921</v>
      </c>
      <c r="J829" s="91">
        <v>439.480857228464</v>
      </c>
      <c r="K829" s="91">
        <v>433.407828926062</v>
      </c>
      <c r="L829" s="91">
        <v>435.63338317281563</v>
      </c>
      <c r="M829" s="92">
        <v>668389.15392416541</v>
      </c>
      <c r="N829" s="90" t="s">
        <v>837</v>
      </c>
      <c r="O829" s="25">
        <f t="shared" si="25"/>
        <v>1.6668470613705466E-3</v>
      </c>
    </row>
    <row r="830" spans="1:15">
      <c r="A830" s="91">
        <v>364.96038834339879</v>
      </c>
      <c r="B830" s="91">
        <v>365.02725714901072</v>
      </c>
      <c r="C830" s="91">
        <v>361.09155030442281</v>
      </c>
      <c r="D830" s="91">
        <v>361.12976105048682</v>
      </c>
      <c r="E830" s="92">
        <v>3545502.0892088674</v>
      </c>
      <c r="F830" s="90" t="s">
        <v>838</v>
      </c>
      <c r="G830" s="25">
        <f t="shared" si="24"/>
        <v>1.0607343138292258E-2</v>
      </c>
      <c r="I830" s="91">
        <v>434.9921217796832</v>
      </c>
      <c r="J830" s="91">
        <v>435.27503121782991</v>
      </c>
      <c r="K830" s="91">
        <v>429.5744060391749</v>
      </c>
      <c r="L830" s="91">
        <v>434.14339346524332</v>
      </c>
      <c r="M830" s="92">
        <v>751618.61475181882</v>
      </c>
      <c r="N830" s="90" t="s">
        <v>838</v>
      </c>
      <c r="O830" s="25">
        <f t="shared" si="25"/>
        <v>1.9549492799268986E-3</v>
      </c>
    </row>
    <row r="831" spans="1:15">
      <c r="A831" s="91">
        <v>361.86531791221802</v>
      </c>
      <c r="B831" s="91">
        <v>362.1710038807297</v>
      </c>
      <c r="C831" s="91">
        <v>356.95523704299916</v>
      </c>
      <c r="D831" s="91">
        <v>357.16539614635093</v>
      </c>
      <c r="E831" s="92">
        <v>4503839.8285114355</v>
      </c>
      <c r="F831" s="90" t="s">
        <v>839</v>
      </c>
      <c r="G831" s="25">
        <f t="shared" si="24"/>
        <v>1.3158950493460608E-2</v>
      </c>
      <c r="I831" s="91">
        <v>431.60663883652836</v>
      </c>
      <c r="J831" s="91">
        <v>433.48798660020356</v>
      </c>
      <c r="K831" s="91">
        <v>417.7629369965523</v>
      </c>
      <c r="L831" s="91">
        <v>426.70287524198642</v>
      </c>
      <c r="M831" s="92">
        <v>1453820.0022397209</v>
      </c>
      <c r="N831" s="90" t="s">
        <v>839</v>
      </c>
      <c r="O831" s="25">
        <f t="shared" si="25"/>
        <v>1.1492220650636487E-2</v>
      </c>
    </row>
    <row r="832" spans="1:15">
      <c r="A832" s="91">
        <v>354.82498794993336</v>
      </c>
      <c r="B832" s="91">
        <v>357.92005838111413</v>
      </c>
      <c r="C832" s="91">
        <v>354.38556437019787</v>
      </c>
      <c r="D832" s="91">
        <v>356.94568435648318</v>
      </c>
      <c r="E832" s="92">
        <v>3943284.4296676954</v>
      </c>
      <c r="F832" s="90" t="s">
        <v>840</v>
      </c>
      <c r="G832" s="25">
        <f t="shared" si="24"/>
        <v>-5.9412299951828729E-3</v>
      </c>
      <c r="I832" s="91">
        <v>423.50599859092927</v>
      </c>
      <c r="J832" s="91">
        <v>437.87600628900412</v>
      </c>
      <c r="K832" s="91">
        <v>423.4871379617195</v>
      </c>
      <c r="L832" s="91">
        <v>436.33122645357736</v>
      </c>
      <c r="M832" s="92">
        <v>1498359.3434598194</v>
      </c>
      <c r="N832" s="90" t="s">
        <v>840</v>
      </c>
      <c r="O832" s="25">
        <f t="shared" si="25"/>
        <v>-2.9393330307549315E-2</v>
      </c>
    </row>
    <row r="833" spans="1:15">
      <c r="A833" s="91">
        <v>356.41073391158773</v>
      </c>
      <c r="B833" s="91">
        <v>360.80496970894313</v>
      </c>
      <c r="C833" s="91">
        <v>356.33431241945976</v>
      </c>
      <c r="D833" s="91">
        <v>360.30823001011169</v>
      </c>
      <c r="E833" s="92">
        <v>3973152.4672634453</v>
      </c>
      <c r="F833" s="90" t="s">
        <v>841</v>
      </c>
      <c r="G833" s="25">
        <f t="shared" si="24"/>
        <v>-1.081711649610273E-2</v>
      </c>
      <c r="I833" s="91">
        <v>438.95285391373636</v>
      </c>
      <c r="J833" s="91">
        <v>443.32851989040449</v>
      </c>
      <c r="K833" s="91">
        <v>437.96267088022307</v>
      </c>
      <c r="L833" s="91">
        <v>443.32851989040449</v>
      </c>
      <c r="M833" s="92">
        <v>733186.56796624302</v>
      </c>
      <c r="N833" s="90" t="s">
        <v>841</v>
      </c>
      <c r="O833" s="25">
        <f t="shared" si="25"/>
        <v>-9.870030418412612E-3</v>
      </c>
    </row>
    <row r="834" spans="1:15">
      <c r="A834" s="91">
        <v>362.13279313466575</v>
      </c>
      <c r="B834" s="91">
        <v>362.49579522227339</v>
      </c>
      <c r="C834" s="91">
        <v>360.35599344269161</v>
      </c>
      <c r="D834" s="91">
        <v>361.55007925719036</v>
      </c>
      <c r="E834" s="92">
        <v>2418558.3774079885</v>
      </c>
      <c r="F834" s="90" t="s">
        <v>842</v>
      </c>
      <c r="G834" s="25">
        <f t="shared" si="24"/>
        <v>1.6117099978862903E-3</v>
      </c>
      <c r="I834" s="91">
        <v>444.0923753734005</v>
      </c>
      <c r="J834" s="91">
        <v>445.70543068656661</v>
      </c>
      <c r="K834" s="91">
        <v>439.92417631803983</v>
      </c>
      <c r="L834" s="91">
        <v>444.31870292391778</v>
      </c>
      <c r="M834" s="92">
        <v>629453.01919440064</v>
      </c>
      <c r="N834" s="90" t="s">
        <v>842</v>
      </c>
      <c r="O834" s="25">
        <f t="shared" si="25"/>
        <v>-5.0938110196108166E-4</v>
      </c>
    </row>
    <row r="835" spans="1:15">
      <c r="A835" s="91">
        <v>361.65515880886625</v>
      </c>
      <c r="B835" s="91">
        <v>362.14234582118178</v>
      </c>
      <c r="C835" s="91">
        <v>359.96433329553599</v>
      </c>
      <c r="D835" s="91">
        <v>361.74113298751018</v>
      </c>
      <c r="E835" s="92">
        <v>2891653.5629806751</v>
      </c>
      <c r="F835" s="90" t="s">
        <v>843</v>
      </c>
      <c r="G835" s="25">
        <f t="shared" si="24"/>
        <v>-2.3766768775757008E-4</v>
      </c>
      <c r="I835" s="91">
        <v>445.1014190361235</v>
      </c>
      <c r="J835" s="91">
        <v>448.6189263837469</v>
      </c>
      <c r="K835" s="91">
        <v>442.12143962097878</v>
      </c>
      <c r="L835" s="91">
        <v>448.6189263837469</v>
      </c>
      <c r="M835" s="92">
        <v>1611248.4722539068</v>
      </c>
      <c r="N835" s="90" t="s">
        <v>843</v>
      </c>
      <c r="O835" s="25">
        <f t="shared" si="25"/>
        <v>-7.8407466576979612E-3</v>
      </c>
    </row>
    <row r="836" spans="1:15">
      <c r="A836" s="91">
        <v>361.44499970551448</v>
      </c>
      <c r="B836" s="91">
        <v>363.06895641323274</v>
      </c>
      <c r="C836" s="91">
        <v>360.07896553372791</v>
      </c>
      <c r="D836" s="91">
        <v>360.88139120107104</v>
      </c>
      <c r="E836" s="92">
        <v>3091458.0888389372</v>
      </c>
      <c r="F836" s="90" t="s">
        <v>844</v>
      </c>
      <c r="G836" s="25">
        <f t="shared" si="24"/>
        <v>1.5617555190852173E-3</v>
      </c>
      <c r="I836" s="91">
        <v>447.16665793459407</v>
      </c>
      <c r="J836" s="91">
        <v>451.14625069785689</v>
      </c>
      <c r="K836" s="91">
        <v>445.17686155296263</v>
      </c>
      <c r="L836" s="91">
        <v>451.14625069785689</v>
      </c>
      <c r="M836" s="92">
        <v>542596.95613416925</v>
      </c>
      <c r="N836" s="90" t="s">
        <v>844</v>
      </c>
      <c r="O836" s="25">
        <f t="shared" si="25"/>
        <v>-8.8210702341136038E-3</v>
      </c>
    </row>
    <row r="837" spans="1:15">
      <c r="A837" s="91">
        <v>363.49882730645231</v>
      </c>
      <c r="B837" s="91">
        <v>364.27259491424752</v>
      </c>
      <c r="C837" s="91">
        <v>361.73158030099415</v>
      </c>
      <c r="D837" s="91">
        <v>361.78889642009011</v>
      </c>
      <c r="E837" s="92">
        <v>2796397.636966893</v>
      </c>
      <c r="F837" s="90" t="s">
        <v>845</v>
      </c>
      <c r="G837" s="25">
        <f t="shared" si="24"/>
        <v>4.7263221820292856E-3</v>
      </c>
      <c r="I837" s="91">
        <v>449.89201885540677</v>
      </c>
      <c r="J837" s="91">
        <v>455.28700753771733</v>
      </c>
      <c r="K837" s="91">
        <v>449.07158148478146</v>
      </c>
      <c r="L837" s="91">
        <v>453.08889550646387</v>
      </c>
      <c r="M837" s="92">
        <v>511977.6171091146</v>
      </c>
      <c r="N837" s="90" t="s">
        <v>845</v>
      </c>
      <c r="O837" s="25">
        <f t="shared" si="25"/>
        <v>-7.0557382508428246E-3</v>
      </c>
    </row>
    <row r="838" spans="1:15">
      <c r="A838" s="91">
        <v>363.51793267948432</v>
      </c>
      <c r="B838" s="91">
        <v>364.83142707543294</v>
      </c>
      <c r="C838" s="91">
        <v>362.27608343240558</v>
      </c>
      <c r="D838" s="91">
        <v>364.75978192656299</v>
      </c>
      <c r="E838" s="92">
        <v>3160648.0490552234</v>
      </c>
      <c r="F838" s="90" t="s">
        <v>846</v>
      </c>
      <c r="G838" s="25">
        <f t="shared" si="24"/>
        <v>-3.4045673580556102E-3</v>
      </c>
      <c r="I838" s="91">
        <v>452.15529436058</v>
      </c>
      <c r="J838" s="91">
        <v>455.86140800030108</v>
      </c>
      <c r="K838" s="91">
        <v>448.63778701295666</v>
      </c>
      <c r="L838" s="91">
        <v>448.63778701295666</v>
      </c>
      <c r="M838" s="92">
        <v>801907.49904356583</v>
      </c>
      <c r="N838" s="90" t="s">
        <v>846</v>
      </c>
      <c r="O838" s="25">
        <f t="shared" si="25"/>
        <v>7.8404170345145463E-3</v>
      </c>
    </row>
    <row r="839" spans="1:15">
      <c r="A839" s="91">
        <v>363.26956283006854</v>
      </c>
      <c r="B839" s="91">
        <v>363.30777357613249</v>
      </c>
      <c r="C839" s="91">
        <v>360.78586433591119</v>
      </c>
      <c r="D839" s="91">
        <v>361.893975971766</v>
      </c>
      <c r="E839" s="92">
        <v>2848417.5581867718</v>
      </c>
      <c r="F839" s="90" t="s">
        <v>847</v>
      </c>
      <c r="G839" s="25">
        <f t="shared" si="24"/>
        <v>3.8010769718086479E-3</v>
      </c>
      <c r="I839" s="91">
        <v>447.74190712549228</v>
      </c>
      <c r="J839" s="91">
        <v>450.46726804630498</v>
      </c>
      <c r="K839" s="91">
        <v>444.5261698452253</v>
      </c>
      <c r="L839" s="91">
        <v>446.04445049661234</v>
      </c>
      <c r="M839" s="92">
        <v>634575.85995041928</v>
      </c>
      <c r="N839" s="90" t="s">
        <v>847</v>
      </c>
      <c r="O839" s="25">
        <f t="shared" si="25"/>
        <v>3.8055772849321379E-3</v>
      </c>
    </row>
    <row r="840" spans="1:15">
      <c r="A840" s="91">
        <v>362.03726626950584</v>
      </c>
      <c r="B840" s="91">
        <v>364.27259491424752</v>
      </c>
      <c r="C840" s="91">
        <v>359.86880643037614</v>
      </c>
      <c r="D840" s="91">
        <v>362.30474149195356</v>
      </c>
      <c r="E840" s="92">
        <v>3121271.6914860336</v>
      </c>
      <c r="F840" s="90" t="s">
        <v>848</v>
      </c>
      <c r="G840" s="25">
        <f t="shared" si="24"/>
        <v>-7.3826034223645198E-4</v>
      </c>
      <c r="I840" s="91">
        <v>445.64837728320703</v>
      </c>
      <c r="J840" s="91">
        <v>446.13875364266119</v>
      </c>
      <c r="K840" s="91">
        <v>442.06014257604704</v>
      </c>
      <c r="L840" s="91">
        <v>443.74345373301958</v>
      </c>
      <c r="M840" s="92">
        <v>532260.07936131267</v>
      </c>
      <c r="N840" s="90" t="s">
        <v>848</v>
      </c>
      <c r="O840" s="25">
        <f t="shared" si="25"/>
        <v>4.292848793964632E-3</v>
      </c>
    </row>
    <row r="841" spans="1:15">
      <c r="A841" s="91">
        <v>362.78237581775306</v>
      </c>
      <c r="B841" s="91">
        <v>363.16448327839271</v>
      </c>
      <c r="C841" s="91">
        <v>358.65064784585707</v>
      </c>
      <c r="D841" s="91">
        <v>359.09503882258093</v>
      </c>
      <c r="E841" s="92">
        <v>2806404.2460856992</v>
      </c>
      <c r="F841" s="90" t="s">
        <v>849</v>
      </c>
      <c r="G841" s="25">
        <f t="shared" si="24"/>
        <v>1.0268415312175705E-2</v>
      </c>
      <c r="I841" s="91">
        <v>447.1477973053843</v>
      </c>
      <c r="J841" s="91">
        <v>448.94427223761551</v>
      </c>
      <c r="K841" s="91">
        <v>442.91358604778941</v>
      </c>
      <c r="L841" s="91">
        <v>445.11084935072842</v>
      </c>
      <c r="M841" s="92">
        <v>572626.70719392772</v>
      </c>
      <c r="N841" s="90" t="s">
        <v>849</v>
      </c>
      <c r="O841" s="25">
        <f t="shared" si="25"/>
        <v>4.5762711864407724E-3</v>
      </c>
    </row>
    <row r="842" spans="1:15">
      <c r="A842" s="91">
        <v>358.13977017098193</v>
      </c>
      <c r="B842" s="91">
        <v>361.68381686841423</v>
      </c>
      <c r="C842" s="91">
        <v>357.5761616665385</v>
      </c>
      <c r="D842" s="91">
        <v>361.4736577650624</v>
      </c>
      <c r="E842" s="92">
        <v>3793878.2916550022</v>
      </c>
      <c r="F842" s="90" t="s">
        <v>850</v>
      </c>
      <c r="G842" s="25">
        <f t="shared" si="24"/>
        <v>-9.2230443974629095E-3</v>
      </c>
      <c r="I842" s="91">
        <v>445.83698357530477</v>
      </c>
      <c r="J842" s="91">
        <v>447.68523093471686</v>
      </c>
      <c r="K842" s="91">
        <v>439.48095153161006</v>
      </c>
      <c r="L842" s="91">
        <v>440.80119557629445</v>
      </c>
      <c r="M842" s="92">
        <v>609670.01005668903</v>
      </c>
      <c r="N842" s="90" t="s">
        <v>850</v>
      </c>
      <c r="O842" s="25">
        <f t="shared" si="25"/>
        <v>1.1424170464026551E-2</v>
      </c>
    </row>
    <row r="843" spans="1:15">
      <c r="A843" s="91">
        <v>359.57267314838043</v>
      </c>
      <c r="B843" s="91">
        <v>360.86228582803909</v>
      </c>
      <c r="C843" s="91">
        <v>358.88487971922916</v>
      </c>
      <c r="D843" s="91">
        <v>360.0407547876639</v>
      </c>
      <c r="E843" s="92">
        <v>3212709.8433125275</v>
      </c>
      <c r="F843" s="90" t="s">
        <v>851</v>
      </c>
      <c r="G843" s="25">
        <f t="shared" si="24"/>
        <v>-1.3000795967098577E-3</v>
      </c>
      <c r="I843" s="91">
        <v>441.59334200310502</v>
      </c>
      <c r="J843" s="91">
        <v>448.99613896794239</v>
      </c>
      <c r="K843" s="91">
        <v>440.89078356504086</v>
      </c>
      <c r="L843" s="91">
        <v>448.99613896794239</v>
      </c>
      <c r="M843" s="92">
        <v>696790.11520929227</v>
      </c>
      <c r="N843" s="90" t="s">
        <v>851</v>
      </c>
      <c r="O843" s="25">
        <f t="shared" si="25"/>
        <v>-1.6487440141141008E-2</v>
      </c>
    </row>
    <row r="844" spans="1:15">
      <c r="A844" s="91">
        <v>359.5249097158005</v>
      </c>
      <c r="B844" s="91">
        <v>359.55356777534843</v>
      </c>
      <c r="C844" s="91">
        <v>356.27699630036386</v>
      </c>
      <c r="D844" s="91">
        <v>356.8406048048073</v>
      </c>
      <c r="E844" s="92">
        <v>2796194.5527353785</v>
      </c>
      <c r="F844" s="90" t="s">
        <v>852</v>
      </c>
      <c r="G844" s="25">
        <f t="shared" si="24"/>
        <v>7.5224200240930905E-3</v>
      </c>
      <c r="I844" s="91">
        <v>449.3922121813477</v>
      </c>
      <c r="J844" s="91">
        <v>450.92935346194452</v>
      </c>
      <c r="K844" s="91">
        <v>444.14895726102981</v>
      </c>
      <c r="L844" s="91">
        <v>444.14895726102981</v>
      </c>
      <c r="M844" s="92">
        <v>630753.08186607913</v>
      </c>
      <c r="N844" s="90" t="s">
        <v>852</v>
      </c>
      <c r="O844" s="25">
        <f t="shared" si="25"/>
        <v>1.1805172194148339E-2</v>
      </c>
    </row>
    <row r="845" spans="1:15">
      <c r="A845" s="91">
        <v>359.13324956864489</v>
      </c>
      <c r="B845" s="91">
        <v>359.35773770177065</v>
      </c>
      <c r="C845" s="91">
        <v>356.04773182398014</v>
      </c>
      <c r="D845" s="91">
        <v>356.95523704299916</v>
      </c>
      <c r="E845" s="92">
        <v>3220270.0202197372</v>
      </c>
      <c r="F845" s="90" t="s">
        <v>853</v>
      </c>
      <c r="G845" s="25">
        <f t="shared" si="24"/>
        <v>6.1016404849199013E-3</v>
      </c>
      <c r="I845" s="91">
        <v>443.59256869934137</v>
      </c>
      <c r="J845" s="91">
        <v>449.12816337241082</v>
      </c>
      <c r="K845" s="91">
        <v>441.61220263231485</v>
      </c>
      <c r="L845" s="91">
        <v>447.63817366483846</v>
      </c>
      <c r="M845" s="92">
        <v>610649.82890549081</v>
      </c>
      <c r="N845" s="90" t="s">
        <v>853</v>
      </c>
      <c r="O845" s="25">
        <f t="shared" si="25"/>
        <v>-9.0376674812505664E-3</v>
      </c>
    </row>
    <row r="846" spans="1:15">
      <c r="A846" s="91">
        <v>357.76721539685826</v>
      </c>
      <c r="B846" s="91">
        <v>358.62695718329741</v>
      </c>
      <c r="C846" s="91">
        <v>356.21012749475193</v>
      </c>
      <c r="D846" s="91">
        <v>357.94871644066211</v>
      </c>
      <c r="E846" s="92">
        <v>3378876.7113807919</v>
      </c>
      <c r="F846" s="90" t="s">
        <v>854</v>
      </c>
      <c r="G846" s="25">
        <f t="shared" si="24"/>
        <v>-5.0705879213264193E-4</v>
      </c>
      <c r="I846" s="91">
        <v>444.08294505879559</v>
      </c>
      <c r="J846" s="91">
        <v>446.61969968751055</v>
      </c>
      <c r="K846" s="91">
        <v>440.60315896959179</v>
      </c>
      <c r="L846" s="91">
        <v>440.60315896959179</v>
      </c>
      <c r="M846" s="92">
        <v>749742.74944496783</v>
      </c>
      <c r="N846" s="90" t="s">
        <v>854</v>
      </c>
      <c r="O846" s="25">
        <f t="shared" si="25"/>
        <v>7.8977783485296715E-3</v>
      </c>
    </row>
    <row r="847" spans="1:15">
      <c r="A847" s="91">
        <v>358.63650986981338</v>
      </c>
      <c r="B847" s="91">
        <v>361.4736577650624</v>
      </c>
      <c r="C847" s="91">
        <v>357.3946606227347</v>
      </c>
      <c r="D847" s="91">
        <v>361.27305134822666</v>
      </c>
      <c r="E847" s="92">
        <v>2840329.7810079986</v>
      </c>
      <c r="F847" s="90" t="s">
        <v>855</v>
      </c>
      <c r="G847" s="25">
        <f t="shared" si="24"/>
        <v>-7.2979190354055534E-3</v>
      </c>
      <c r="I847" s="91">
        <v>441.43302665482196</v>
      </c>
      <c r="J847" s="91">
        <v>445.05426746309905</v>
      </c>
      <c r="K847" s="91">
        <v>438.5096291273066</v>
      </c>
      <c r="L847" s="91">
        <v>442.02713647492993</v>
      </c>
      <c r="M847" s="92">
        <v>525193.50705783337</v>
      </c>
      <c r="N847" s="90" t="s">
        <v>855</v>
      </c>
      <c r="O847" s="25">
        <f t="shared" si="25"/>
        <v>-1.3440573464468253E-3</v>
      </c>
    </row>
    <row r="848" spans="1:15">
      <c r="A848" s="91">
        <v>360.67123209771927</v>
      </c>
      <c r="B848" s="91">
        <v>361.00557612577893</v>
      </c>
      <c r="C848" s="91">
        <v>358.43590345297764</v>
      </c>
      <c r="D848" s="91">
        <v>358.79890554058522</v>
      </c>
      <c r="E848" s="92">
        <v>3690371.2836164865</v>
      </c>
      <c r="F848" s="90" t="s">
        <v>856</v>
      </c>
      <c r="G848" s="25">
        <f t="shared" si="24"/>
        <v>5.2183173588924436E-3</v>
      </c>
      <c r="I848" s="91">
        <v>442.46093094675479</v>
      </c>
      <c r="J848" s="91">
        <v>444.68648519350842</v>
      </c>
      <c r="K848" s="91">
        <v>436.29350519515782</v>
      </c>
      <c r="L848" s="91">
        <v>436.90647564447556</v>
      </c>
      <c r="M848" s="92">
        <v>612454.64674170362</v>
      </c>
      <c r="N848" s="90" t="s">
        <v>856</v>
      </c>
      <c r="O848" s="25">
        <f t="shared" si="25"/>
        <v>1.2713144830563294E-2</v>
      </c>
    </row>
    <row r="849" spans="1:15">
      <c r="A849" s="91">
        <v>359.24788180683674</v>
      </c>
      <c r="B849" s="91">
        <v>359.50580434276844</v>
      </c>
      <c r="C849" s="91">
        <v>355.02559436676916</v>
      </c>
      <c r="D849" s="91">
        <v>355.14977929147699</v>
      </c>
      <c r="E849" s="92">
        <v>4354632.5874265134</v>
      </c>
      <c r="F849" s="90" t="s">
        <v>857</v>
      </c>
      <c r="G849" s="25">
        <f t="shared" si="24"/>
        <v>1.153908225294531E-2</v>
      </c>
      <c r="I849" s="91">
        <v>435.41648593690326</v>
      </c>
      <c r="J849" s="91">
        <v>436.92533627368533</v>
      </c>
      <c r="K849" s="91">
        <v>433.27580452159356</v>
      </c>
      <c r="L849" s="91">
        <v>436.60470557711915</v>
      </c>
      <c r="M849" s="92">
        <v>679312.43743228971</v>
      </c>
      <c r="N849" s="90" t="s">
        <v>857</v>
      </c>
      <c r="O849" s="25">
        <f t="shared" si="25"/>
        <v>-2.7214998488054309E-3</v>
      </c>
    </row>
    <row r="850" spans="1:15">
      <c r="A850" s="91">
        <v>354.29959019155393</v>
      </c>
      <c r="B850" s="91">
        <v>354.86319869599737</v>
      </c>
      <c r="C850" s="91">
        <v>352.59156984249489</v>
      </c>
      <c r="D850" s="91">
        <v>354.62438153309762</v>
      </c>
      <c r="E850" s="92">
        <v>3472051.5474345167</v>
      </c>
      <c r="F850" s="90" t="s">
        <v>858</v>
      </c>
      <c r="G850" s="25">
        <f t="shared" si="24"/>
        <v>-9.1587425585226701E-4</v>
      </c>
      <c r="I850" s="91">
        <v>434.71864265614147</v>
      </c>
      <c r="J850" s="91">
        <v>436.54812368948984</v>
      </c>
      <c r="K850" s="91">
        <v>432.37992463412917</v>
      </c>
      <c r="L850" s="91">
        <v>434.22826629668725</v>
      </c>
      <c r="M850" s="92">
        <v>574231.10753834003</v>
      </c>
      <c r="N850" s="90" t="s">
        <v>858</v>
      </c>
      <c r="O850" s="25">
        <f t="shared" si="25"/>
        <v>1.1293054771315258E-3</v>
      </c>
    </row>
    <row r="851" spans="1:15">
      <c r="A851" s="91">
        <v>352.19799915803611</v>
      </c>
      <c r="B851" s="91">
        <v>352.43681632093586</v>
      </c>
      <c r="C851" s="91">
        <v>349.90535439419853</v>
      </c>
      <c r="D851" s="91">
        <v>350.96570259747341</v>
      </c>
      <c r="E851" s="92">
        <v>3806331.3329854044</v>
      </c>
      <c r="F851" s="90" t="s">
        <v>859</v>
      </c>
      <c r="G851" s="25">
        <f t="shared" si="24"/>
        <v>3.5111594991834583E-3</v>
      </c>
      <c r="I851" s="91">
        <v>435.27503121782991</v>
      </c>
      <c r="J851" s="91">
        <v>436.2274929929236</v>
      </c>
      <c r="K851" s="91">
        <v>431.4321780163379</v>
      </c>
      <c r="L851" s="91">
        <v>433.20979231935934</v>
      </c>
      <c r="M851" s="92">
        <v>619515.91699513525</v>
      </c>
      <c r="N851" s="90" t="s">
        <v>859</v>
      </c>
      <c r="O851" s="25">
        <f t="shared" si="25"/>
        <v>4.7672950498498512E-3</v>
      </c>
    </row>
    <row r="852" spans="1:15">
      <c r="A852" s="91">
        <v>347.25926022926927</v>
      </c>
      <c r="B852" s="91">
        <v>347.90884291235659</v>
      </c>
      <c r="C852" s="91">
        <v>345.50347644763031</v>
      </c>
      <c r="D852" s="91">
        <v>347.27836560230128</v>
      </c>
      <c r="E852" s="92">
        <v>2526674.560041138</v>
      </c>
      <c r="F852" s="90" t="s">
        <v>860</v>
      </c>
      <c r="G852" s="25">
        <f t="shared" si="24"/>
        <v>-5.5014578863477048E-5</v>
      </c>
      <c r="I852" s="91">
        <v>432.85144036437362</v>
      </c>
      <c r="J852" s="91">
        <v>435.20901901559569</v>
      </c>
      <c r="K852" s="91">
        <v>431.52176600508432</v>
      </c>
      <c r="L852" s="91">
        <v>432.20074865663628</v>
      </c>
      <c r="M852" s="92">
        <v>505635.30484214134</v>
      </c>
      <c r="N852" s="90" t="s">
        <v>860</v>
      </c>
      <c r="O852" s="25">
        <f t="shared" si="25"/>
        <v>1.505531190678866E-3</v>
      </c>
    </row>
    <row r="853" spans="1:15">
      <c r="A853" s="91">
        <v>347.87063216629269</v>
      </c>
      <c r="B853" s="91">
        <v>350.03909200542239</v>
      </c>
      <c r="C853" s="91">
        <v>347.14462799107736</v>
      </c>
      <c r="D853" s="91">
        <v>349.36562760604511</v>
      </c>
      <c r="E853" s="92">
        <v>4338878.9039210314</v>
      </c>
      <c r="F853" s="90" t="s">
        <v>861</v>
      </c>
      <c r="G853" s="25">
        <f t="shared" si="24"/>
        <v>-4.2791715086470949E-3</v>
      </c>
      <c r="I853" s="91">
        <v>432.14416676900697</v>
      </c>
      <c r="J853" s="91">
        <v>433.60586553276465</v>
      </c>
      <c r="K853" s="91">
        <v>429.24906018530623</v>
      </c>
      <c r="L853" s="91">
        <v>432.93631319581755</v>
      </c>
      <c r="M853" s="92">
        <v>664622.57757033012</v>
      </c>
      <c r="N853" s="90" t="s">
        <v>861</v>
      </c>
      <c r="O853" s="25">
        <f t="shared" si="25"/>
        <v>-1.829706593478253E-3</v>
      </c>
    </row>
    <row r="854" spans="1:15">
      <c r="A854" s="91">
        <v>347.29747097533323</v>
      </c>
      <c r="B854" s="91">
        <v>347.36433978094516</v>
      </c>
      <c r="C854" s="91">
        <v>341.7187020499951</v>
      </c>
      <c r="D854" s="91">
        <v>343.87760920260882</v>
      </c>
      <c r="E854" s="92">
        <v>3916114.0625080965</v>
      </c>
      <c r="F854" s="90" t="s">
        <v>862</v>
      </c>
      <c r="G854" s="25">
        <f t="shared" si="24"/>
        <v>9.9449969442746422E-3</v>
      </c>
      <c r="I854" s="91">
        <v>429.31507238754045</v>
      </c>
      <c r="J854" s="91">
        <v>430.21095227500484</v>
      </c>
      <c r="K854" s="91">
        <v>417.7629369965523</v>
      </c>
      <c r="L854" s="91">
        <v>419.72444243436905</v>
      </c>
      <c r="M854" s="92">
        <v>1067196.6335866682</v>
      </c>
      <c r="N854" s="90" t="s">
        <v>862</v>
      </c>
      <c r="O854" s="25">
        <f t="shared" si="25"/>
        <v>2.2849824750606595E-2</v>
      </c>
    </row>
    <row r="855" spans="1:15">
      <c r="A855" s="91">
        <v>344.99775720687506</v>
      </c>
      <c r="B855" s="91">
        <v>350.36908231494374</v>
      </c>
      <c r="C855" s="91">
        <v>342.60035386427273</v>
      </c>
      <c r="D855" s="91">
        <v>346.74824218718794</v>
      </c>
      <c r="E855" s="92">
        <v>5031996.9717339501</v>
      </c>
      <c r="F855" s="90" t="s">
        <v>863</v>
      </c>
      <c r="G855" s="25">
        <f t="shared" si="24"/>
        <v>-5.0482879719052631E-3</v>
      </c>
      <c r="I855" s="91">
        <v>419.12090229965622</v>
      </c>
      <c r="J855" s="91">
        <v>420.64861326564812</v>
      </c>
      <c r="K855" s="91">
        <v>415.60339495203283</v>
      </c>
      <c r="L855" s="91">
        <v>418.71539877164599</v>
      </c>
      <c r="M855" s="92">
        <v>1191792.6888859195</v>
      </c>
      <c r="N855" s="90" t="s">
        <v>863</v>
      </c>
      <c r="O855" s="25">
        <f t="shared" si="25"/>
        <v>9.6844665660689166E-4</v>
      </c>
    </row>
    <row r="856" spans="1:15">
      <c r="A856" s="91">
        <v>344.17959574868536</v>
      </c>
      <c r="B856" s="91">
        <v>353.15939342758372</v>
      </c>
      <c r="C856" s="91">
        <v>344.06543368475195</v>
      </c>
      <c r="D856" s="91">
        <v>349.88769894535767</v>
      </c>
      <c r="E856" s="92">
        <v>4304238.9307753099</v>
      </c>
      <c r="F856" s="90" t="s">
        <v>864</v>
      </c>
      <c r="G856" s="25">
        <f t="shared" si="24"/>
        <v>-1.631410082114304E-2</v>
      </c>
      <c r="I856" s="91">
        <v>418.32875587284559</v>
      </c>
      <c r="J856" s="91">
        <v>426.62743272514729</v>
      </c>
      <c r="K856" s="91">
        <v>417.8430946706938</v>
      </c>
      <c r="L856" s="91">
        <v>424.57162414128169</v>
      </c>
      <c r="M856" s="92">
        <v>770094.13834778522</v>
      </c>
      <c r="N856" s="90" t="s">
        <v>864</v>
      </c>
      <c r="O856" s="25">
        <f t="shared" si="25"/>
        <v>-1.4703922526764779E-2</v>
      </c>
    </row>
    <row r="857" spans="1:15">
      <c r="A857" s="91">
        <v>349.98283399863556</v>
      </c>
      <c r="B857" s="91">
        <v>350.4870497810083</v>
      </c>
      <c r="C857" s="91">
        <v>347.12878240029943</v>
      </c>
      <c r="D857" s="91">
        <v>348.59386222077865</v>
      </c>
      <c r="E857" s="92">
        <v>4328193.2979773106</v>
      </c>
      <c r="F857" s="90" t="s">
        <v>865</v>
      </c>
      <c r="G857" s="25">
        <f t="shared" si="24"/>
        <v>3.9844986627366463E-3</v>
      </c>
      <c r="I857" s="91">
        <v>424.34529659076435</v>
      </c>
      <c r="J857" s="91">
        <v>428.75868382585207</v>
      </c>
      <c r="K857" s="91">
        <v>421.60107504074182</v>
      </c>
      <c r="L857" s="91">
        <v>427.93824645522682</v>
      </c>
      <c r="M857" s="92">
        <v>721214.53895869781</v>
      </c>
      <c r="N857" s="90" t="s">
        <v>865</v>
      </c>
      <c r="O857" s="25">
        <f t="shared" si="25"/>
        <v>-8.3959540756738393E-3</v>
      </c>
    </row>
    <row r="858" spans="1:15">
      <c r="A858" s="91">
        <v>345.46391896793665</v>
      </c>
      <c r="B858" s="91">
        <v>345.89202670768708</v>
      </c>
      <c r="C858" s="91">
        <v>342.31494870443908</v>
      </c>
      <c r="D858" s="91">
        <v>342.93332655074528</v>
      </c>
      <c r="E858" s="92">
        <v>3258265.9001053912</v>
      </c>
      <c r="F858" s="90" t="s">
        <v>866</v>
      </c>
      <c r="G858" s="25">
        <f t="shared" si="24"/>
        <v>7.3792548617082065E-3</v>
      </c>
      <c r="I858" s="91">
        <v>423.66631393921239</v>
      </c>
      <c r="J858" s="91">
        <v>426.5425598937033</v>
      </c>
      <c r="K858" s="91">
        <v>419.65371507483241</v>
      </c>
      <c r="L858" s="91">
        <v>419.90361841186194</v>
      </c>
      <c r="M858" s="92">
        <v>702451.64425015007</v>
      </c>
      <c r="N858" s="90" t="s">
        <v>866</v>
      </c>
      <c r="O858" s="25">
        <f t="shared" si="25"/>
        <v>8.9608552114448514E-3</v>
      </c>
    </row>
    <row r="859" spans="1:15">
      <c r="A859" s="91">
        <v>342.37202973640581</v>
      </c>
      <c r="B859" s="91">
        <v>346.09181031957064</v>
      </c>
      <c r="C859" s="91">
        <v>340.98315309360214</v>
      </c>
      <c r="D859" s="91">
        <v>345.11191927080853</v>
      </c>
      <c r="E859" s="92">
        <v>5455304.6655066609</v>
      </c>
      <c r="F859" s="90" t="s">
        <v>867</v>
      </c>
      <c r="G859" s="25">
        <f t="shared" si="24"/>
        <v>-7.9391333112801554E-3</v>
      </c>
      <c r="I859" s="91">
        <v>418.32875587284559</v>
      </c>
      <c r="J859" s="91">
        <v>424.51504225365233</v>
      </c>
      <c r="K859" s="91">
        <v>416.16449867102375</v>
      </c>
      <c r="L859" s="91">
        <v>424.18498124248123</v>
      </c>
      <c r="M859" s="92">
        <v>1695913.728234458</v>
      </c>
      <c r="N859" s="90" t="s">
        <v>867</v>
      </c>
      <c r="O859" s="25">
        <f t="shared" si="25"/>
        <v>-1.3805829127853997E-2</v>
      </c>
    </row>
    <row r="860" spans="1:15">
      <c r="A860" s="91">
        <v>346.15840485686516</v>
      </c>
      <c r="B860" s="91">
        <v>346.53894506997659</v>
      </c>
      <c r="C860" s="91">
        <v>337.71992563111786</v>
      </c>
      <c r="D860" s="91">
        <v>338.24316842414618</v>
      </c>
      <c r="E860" s="92">
        <v>5308077.1240547253</v>
      </c>
      <c r="F860" s="90" t="s">
        <v>868</v>
      </c>
      <c r="G860" s="25">
        <f t="shared" si="24"/>
        <v>2.3401023794791032E-2</v>
      </c>
      <c r="I860" s="91">
        <v>424.50561193904741</v>
      </c>
      <c r="J860" s="91">
        <v>429.99405503909247</v>
      </c>
      <c r="K860" s="91">
        <v>422.47809429899644</v>
      </c>
      <c r="L860" s="91">
        <v>423.52485922013904</v>
      </c>
      <c r="M860" s="92">
        <v>1145873.7542434279</v>
      </c>
      <c r="N860" s="90" t="s">
        <v>868</v>
      </c>
      <c r="O860" s="25">
        <f t="shared" si="25"/>
        <v>2.315691033377032E-3</v>
      </c>
    </row>
    <row r="861" spans="1:15">
      <c r="A861" s="91">
        <v>340.33613959625939</v>
      </c>
      <c r="B861" s="91">
        <v>340.46932867084837</v>
      </c>
      <c r="C861" s="91">
        <v>335.41290058912949</v>
      </c>
      <c r="D861" s="91">
        <v>337.21570984874512</v>
      </c>
      <c r="E861" s="92">
        <v>6948430.4388754126</v>
      </c>
      <c r="F861" s="90" t="s">
        <v>869</v>
      </c>
      <c r="G861" s="25">
        <f t="shared" si="24"/>
        <v>9.2535123850365775E-3</v>
      </c>
      <c r="I861" s="91">
        <v>423.32682261343638</v>
      </c>
      <c r="J861" s="91">
        <v>430.38069793789288</v>
      </c>
      <c r="K861" s="91">
        <v>414.81124852522225</v>
      </c>
      <c r="L861" s="91">
        <v>423.39283481567065</v>
      </c>
      <c r="M861" s="92">
        <v>1604687.7155249713</v>
      </c>
      <c r="N861" s="90" t="s">
        <v>869</v>
      </c>
      <c r="O861" s="25">
        <f t="shared" si="25"/>
        <v>-1.5591242176549169E-4</v>
      </c>
    </row>
    <row r="862" spans="1:15">
      <c r="A862" s="91">
        <v>342.44813777902812</v>
      </c>
      <c r="B862" s="91">
        <v>343.92273110483512</v>
      </c>
      <c r="C862" s="91">
        <v>338.32878997209627</v>
      </c>
      <c r="D862" s="91">
        <v>341.42067920362712</v>
      </c>
      <c r="E862" s="92">
        <v>5044209.0845143637</v>
      </c>
      <c r="F862" s="90" t="s">
        <v>870</v>
      </c>
      <c r="G862" s="25">
        <f t="shared" si="24"/>
        <v>3.0093624609897063E-3</v>
      </c>
      <c r="I862" s="91">
        <v>427.81565236536323</v>
      </c>
      <c r="J862" s="91">
        <v>433.77561119565269</v>
      </c>
      <c r="K862" s="91">
        <v>423.63802299539771</v>
      </c>
      <c r="L862" s="91">
        <v>431.81410575783588</v>
      </c>
      <c r="M862" s="92">
        <v>1890696.2012441964</v>
      </c>
      <c r="N862" s="90" t="s">
        <v>870</v>
      </c>
      <c r="O862" s="25">
        <f t="shared" si="25"/>
        <v>-9.2596636820266864E-3</v>
      </c>
    </row>
    <row r="863" spans="1:15">
      <c r="A863" s="91">
        <v>336.85419664628921</v>
      </c>
      <c r="B863" s="91">
        <v>341.22089559174356</v>
      </c>
      <c r="C863" s="91">
        <v>332.74436234468516</v>
      </c>
      <c r="D863" s="91">
        <v>333.6957128774639</v>
      </c>
      <c r="E863" s="92">
        <v>6809995.6606708653</v>
      </c>
      <c r="F863" s="90" t="s">
        <v>871</v>
      </c>
      <c r="G863" s="25">
        <f t="shared" si="24"/>
        <v>9.4651613638954135E-3</v>
      </c>
      <c r="I863" s="91">
        <v>431.66322072415767</v>
      </c>
      <c r="J863" s="91">
        <v>436.50097211646539</v>
      </c>
      <c r="K863" s="91">
        <v>427.86751909569011</v>
      </c>
      <c r="L863" s="91">
        <v>428.7869747696667</v>
      </c>
      <c r="M863" s="92">
        <v>1311988.0426456388</v>
      </c>
      <c r="N863" s="90" t="s">
        <v>871</v>
      </c>
      <c r="O863" s="25">
        <f t="shared" si="25"/>
        <v>6.7078668983264755E-3</v>
      </c>
    </row>
    <row r="864" spans="1:15">
      <c r="A864" s="91">
        <v>337.42500696595647</v>
      </c>
      <c r="B864" s="91">
        <v>343.66586646098489</v>
      </c>
      <c r="C864" s="91">
        <v>335.95992714547725</v>
      </c>
      <c r="D864" s="91">
        <v>341.84878694337749</v>
      </c>
      <c r="E864" s="92">
        <v>8787930.1182297152</v>
      </c>
      <c r="F864" s="90" t="s">
        <v>872</v>
      </c>
      <c r="G864" s="25">
        <f t="shared" ref="G864:G927" si="26">A864/D864-1</f>
        <v>-1.2940750841844428E-2</v>
      </c>
      <c r="I864" s="91">
        <v>433.58700490355483</v>
      </c>
      <c r="J864" s="91">
        <v>436.80274218382181</v>
      </c>
      <c r="K864" s="91">
        <v>431.14455342088883</v>
      </c>
      <c r="L864" s="91">
        <v>432.40821557794379</v>
      </c>
      <c r="M864" s="92">
        <v>818947.22748663439</v>
      </c>
      <c r="N864" s="90" t="s">
        <v>872</v>
      </c>
      <c r="O864" s="25">
        <f t="shared" ref="O864:O927" si="27">I864/L864-1</f>
        <v>2.7261029812661874E-3</v>
      </c>
    </row>
    <row r="865" spans="1:15">
      <c r="A865" s="91">
        <v>342.33397571509465</v>
      </c>
      <c r="B865" s="91">
        <v>350.9341845314143</v>
      </c>
      <c r="C865" s="91">
        <v>341.39213868764375</v>
      </c>
      <c r="D865" s="91">
        <v>349.47861821626287</v>
      </c>
      <c r="E865" s="92">
        <v>4635125.3802531473</v>
      </c>
      <c r="F865" s="90" t="s">
        <v>873</v>
      </c>
      <c r="G865" s="25">
        <f t="shared" si="26"/>
        <v>-2.0443718524567944E-2</v>
      </c>
      <c r="I865" s="91">
        <v>432.88916162279315</v>
      </c>
      <c r="J865" s="91">
        <v>442.87586478936987</v>
      </c>
      <c r="K865" s="91">
        <v>432.09701519598252</v>
      </c>
      <c r="L865" s="91">
        <v>442.87586478936987</v>
      </c>
      <c r="M865" s="92">
        <v>885378.73335339106</v>
      </c>
      <c r="N865" s="90" t="s">
        <v>873</v>
      </c>
      <c r="O865" s="25">
        <f t="shared" si="27"/>
        <v>-2.2549666758937881E-2</v>
      </c>
    </row>
    <row r="866" spans="1:15">
      <c r="A866" s="91">
        <v>348.7175377900399</v>
      </c>
      <c r="B866" s="91">
        <v>349.42981393393131</v>
      </c>
      <c r="C866" s="91">
        <v>346.71018816587679</v>
      </c>
      <c r="D866" s="91">
        <v>348.29894355561726</v>
      </c>
      <c r="E866" s="92">
        <v>3054876.0944205858</v>
      </c>
      <c r="F866" s="90" t="s">
        <v>874</v>
      </c>
      <c r="G866" s="25">
        <f t="shared" si="26"/>
        <v>1.201824588238587E-3</v>
      </c>
      <c r="I866" s="91">
        <v>438.74538699242879</v>
      </c>
      <c r="J866" s="91">
        <v>448.53405355230285</v>
      </c>
      <c r="K866" s="91">
        <v>434.66206076851216</v>
      </c>
      <c r="L866" s="91">
        <v>445.11084935072842</v>
      </c>
      <c r="M866" s="92">
        <v>1154839.5208739678</v>
      </c>
      <c r="N866" s="90" t="s">
        <v>874</v>
      </c>
      <c r="O866" s="25">
        <f t="shared" si="27"/>
        <v>-1.4300847457627164E-2</v>
      </c>
    </row>
    <row r="867" spans="1:15">
      <c r="A867" s="91">
        <v>348.175267986356</v>
      </c>
      <c r="B867" s="91">
        <v>353.79774963507822</v>
      </c>
      <c r="C867" s="91">
        <v>347.60921441935267</v>
      </c>
      <c r="D867" s="91">
        <v>353.55039849655577</v>
      </c>
      <c r="E867" s="92">
        <v>3727480.9629237014</v>
      </c>
      <c r="F867" s="90" t="s">
        <v>875</v>
      </c>
      <c r="G867" s="25">
        <f t="shared" si="26"/>
        <v>-1.5203293598471612E-2</v>
      </c>
      <c r="I867" s="91">
        <v>445.29945564282616</v>
      </c>
      <c r="J867" s="91">
        <v>448.85468424886909</v>
      </c>
      <c r="K867" s="91">
        <v>443.86604782288316</v>
      </c>
      <c r="L867" s="91">
        <v>444.03579348577114</v>
      </c>
      <c r="M867" s="92">
        <v>979058.53482492035</v>
      </c>
      <c r="N867" s="90" t="s">
        <v>875</v>
      </c>
      <c r="O867" s="25">
        <f t="shared" si="27"/>
        <v>2.8458565178608453E-3</v>
      </c>
    </row>
    <row r="868" spans="1:15">
      <c r="A868" s="91">
        <v>353.64553354983366</v>
      </c>
      <c r="B868" s="91">
        <v>356.22369349366397</v>
      </c>
      <c r="C868" s="91">
        <v>353.2364528207388</v>
      </c>
      <c r="D868" s="91">
        <v>354.14974933220634</v>
      </c>
      <c r="E868" s="92">
        <v>2773241.7327753389</v>
      </c>
      <c r="F868" s="90" t="s">
        <v>876</v>
      </c>
      <c r="G868" s="25">
        <f t="shared" si="26"/>
        <v>-1.4237360984257208E-3</v>
      </c>
      <c r="I868" s="91">
        <v>443.43225335105831</v>
      </c>
      <c r="J868" s="91">
        <v>447.37412485590158</v>
      </c>
      <c r="K868" s="91">
        <v>439.41493932937584</v>
      </c>
      <c r="L868" s="91">
        <v>440.0373400932985</v>
      </c>
      <c r="M868" s="92">
        <v>807262.56959167065</v>
      </c>
      <c r="N868" s="90" t="s">
        <v>876</v>
      </c>
      <c r="O868" s="25">
        <f t="shared" si="27"/>
        <v>7.7150572200077594E-3</v>
      </c>
    </row>
    <row r="869" spans="1:15">
      <c r="A869" s="91">
        <v>353.21742581008317</v>
      </c>
      <c r="B869" s="91">
        <v>353.58845251786693</v>
      </c>
      <c r="C869" s="91">
        <v>348.86024036995667</v>
      </c>
      <c r="D869" s="91">
        <v>349.42153718429614</v>
      </c>
      <c r="E869" s="92">
        <v>5164867.0292413458</v>
      </c>
      <c r="F869" s="90" t="s">
        <v>877</v>
      </c>
      <c r="G869" s="25">
        <f t="shared" si="26"/>
        <v>1.0863350485991852E-2</v>
      </c>
      <c r="I869" s="91">
        <v>440.75404400327</v>
      </c>
      <c r="J869" s="91">
        <v>443.88321099546403</v>
      </c>
      <c r="K869" s="91">
        <v>438.05697402627192</v>
      </c>
      <c r="L869" s="91">
        <v>443.39453209263871</v>
      </c>
      <c r="M869" s="92">
        <v>770778.10280392924</v>
      </c>
      <c r="N869" s="90" t="s">
        <v>877</v>
      </c>
      <c r="O869" s="25">
        <f t="shared" si="27"/>
        <v>-5.9551661065974093E-3</v>
      </c>
    </row>
    <row r="870" spans="1:15">
      <c r="A870" s="91">
        <v>347.70910622529442</v>
      </c>
      <c r="B870" s="91">
        <v>348.53678118881191</v>
      </c>
      <c r="C870" s="91">
        <v>342.99040758271195</v>
      </c>
      <c r="D870" s="91">
        <v>343.25678573189003</v>
      </c>
      <c r="E870" s="92">
        <v>2870460.3675616747</v>
      </c>
      <c r="F870" s="90" t="s">
        <v>878</v>
      </c>
      <c r="G870" s="25">
        <f t="shared" si="26"/>
        <v>1.2970815664754332E-2</v>
      </c>
      <c r="I870" s="91">
        <v>441.59334200310502</v>
      </c>
      <c r="J870" s="91">
        <v>442.16859119400323</v>
      </c>
      <c r="K870" s="91">
        <v>434.10567220682373</v>
      </c>
      <c r="L870" s="91">
        <v>434.10567220682373</v>
      </c>
      <c r="M870" s="92">
        <v>582507.60766268813</v>
      </c>
      <c r="N870" s="90" t="s">
        <v>878</v>
      </c>
      <c r="O870" s="25">
        <f t="shared" si="27"/>
        <v>1.7248495644428985E-2</v>
      </c>
    </row>
    <row r="871" spans="1:15">
      <c r="A871" s="91">
        <v>345.13094628146411</v>
      </c>
      <c r="B871" s="91">
        <v>346.77678270317131</v>
      </c>
      <c r="C871" s="91">
        <v>343.86565007286839</v>
      </c>
      <c r="D871" s="91">
        <v>345.66370257982015</v>
      </c>
      <c r="E871" s="92">
        <v>3957241.700389795</v>
      </c>
      <c r="F871" s="90" t="s">
        <v>879</v>
      </c>
      <c r="G871" s="25">
        <f t="shared" si="26"/>
        <v>-1.5412561237407862E-3</v>
      </c>
      <c r="I871" s="91">
        <v>436.19920204910898</v>
      </c>
      <c r="J871" s="91">
        <v>439.14146020583411</v>
      </c>
      <c r="K871" s="91">
        <v>433.08719822949581</v>
      </c>
      <c r="L871" s="91">
        <v>435.65224380202545</v>
      </c>
      <c r="M871" s="92">
        <v>624422.43410921062</v>
      </c>
      <c r="N871" s="90" t="s">
        <v>879</v>
      </c>
      <c r="O871" s="25">
        <f t="shared" si="27"/>
        <v>1.2554927809165228E-3</v>
      </c>
    </row>
    <row r="872" spans="1:15">
      <c r="A872" s="91">
        <v>346.39624249005982</v>
      </c>
      <c r="B872" s="91">
        <v>349.01245645520129</v>
      </c>
      <c r="C872" s="91">
        <v>346.33916145809309</v>
      </c>
      <c r="D872" s="91">
        <v>347.25245796956062</v>
      </c>
      <c r="E872" s="92">
        <v>3176747.0515549183</v>
      </c>
      <c r="F872" s="90" t="s">
        <v>880</v>
      </c>
      <c r="G872" s="25">
        <f t="shared" si="26"/>
        <v>-2.4656858716198826E-3</v>
      </c>
      <c r="I872" s="91">
        <v>437.67033112747151</v>
      </c>
      <c r="J872" s="91">
        <v>444.86566117100131</v>
      </c>
      <c r="K872" s="91">
        <v>436.91590595908048</v>
      </c>
      <c r="L872" s="91">
        <v>443.68687184539027</v>
      </c>
      <c r="M872" s="92">
        <v>810650.5795721052</v>
      </c>
      <c r="N872" s="90" t="s">
        <v>880</v>
      </c>
      <c r="O872" s="25">
        <f t="shared" si="27"/>
        <v>-1.3560330719037617E-2</v>
      </c>
    </row>
    <row r="873" spans="1:15">
      <c r="A873" s="91">
        <v>347.70910622529442</v>
      </c>
      <c r="B873" s="91">
        <v>350.82953597280863</v>
      </c>
      <c r="C873" s="91">
        <v>346.85631560771157</v>
      </c>
      <c r="D873" s="91">
        <v>349.61180729085186</v>
      </c>
      <c r="E873" s="92">
        <v>3468908.5529398653</v>
      </c>
      <c r="F873" s="90" t="s">
        <v>881</v>
      </c>
      <c r="G873" s="25">
        <f t="shared" si="26"/>
        <v>-5.4423249612234326E-3</v>
      </c>
      <c r="I873" s="91">
        <v>443.29079863198496</v>
      </c>
      <c r="J873" s="91">
        <v>447.09121541775494</v>
      </c>
      <c r="K873" s="91">
        <v>440.74461368866514</v>
      </c>
      <c r="L873" s="91">
        <v>443.81889624985871</v>
      </c>
      <c r="M873" s="92">
        <v>722719.26076221478</v>
      </c>
      <c r="N873" s="90" t="s">
        <v>881</v>
      </c>
      <c r="O873" s="25">
        <f t="shared" si="27"/>
        <v>-1.1898943968723374E-3</v>
      </c>
    </row>
    <row r="874" spans="1:15">
      <c r="A874" s="91">
        <v>346.51040455399328</v>
      </c>
      <c r="B874" s="91">
        <v>347.2714849802162</v>
      </c>
      <c r="C874" s="91">
        <v>344.13202822204647</v>
      </c>
      <c r="D874" s="91">
        <v>345.63516206383684</v>
      </c>
      <c r="E874" s="92">
        <v>4262368.9799763598</v>
      </c>
      <c r="F874" s="90" t="s">
        <v>882</v>
      </c>
      <c r="G874" s="25">
        <f t="shared" si="26"/>
        <v>2.5322727147616408E-3</v>
      </c>
      <c r="I874" s="91">
        <v>444.08294505879559</v>
      </c>
      <c r="J874" s="91">
        <v>450.7690381136614</v>
      </c>
      <c r="K874" s="91">
        <v>441.85739081204196</v>
      </c>
      <c r="L874" s="91">
        <v>445.7238198000461</v>
      </c>
      <c r="M874" s="92">
        <v>667310.71694447775</v>
      </c>
      <c r="N874" s="90" t="s">
        <v>882</v>
      </c>
      <c r="O874" s="25">
        <f t="shared" si="27"/>
        <v>-3.68137099333532E-3</v>
      </c>
    </row>
    <row r="875" spans="1:15">
      <c r="A875" s="91">
        <v>350.25872565314143</v>
      </c>
      <c r="B875" s="91">
        <v>351.5906163990316</v>
      </c>
      <c r="C875" s="91">
        <v>346.4152695007154</v>
      </c>
      <c r="D875" s="91">
        <v>351.11494113264223</v>
      </c>
      <c r="E875" s="92">
        <v>3013813.4170435118</v>
      </c>
      <c r="F875" s="90" t="s">
        <v>883</v>
      </c>
      <c r="G875" s="25">
        <f t="shared" si="26"/>
        <v>-2.4385617904461032E-3</v>
      </c>
      <c r="I875" s="91">
        <v>447.4967189275439</v>
      </c>
      <c r="J875" s="91">
        <v>453.20952296542123</v>
      </c>
      <c r="K875" s="91">
        <v>444.15641985605475</v>
      </c>
      <c r="L875" s="91">
        <v>448.70881057373828</v>
      </c>
      <c r="M875" s="92">
        <v>1059391.9973226874</v>
      </c>
      <c r="N875" s="90" t="s">
        <v>883</v>
      </c>
      <c r="O875" s="25">
        <f t="shared" si="27"/>
        <v>-2.7012878232646198E-3</v>
      </c>
    </row>
    <row r="876" spans="1:15">
      <c r="A876" s="91">
        <v>348.50824067282855</v>
      </c>
      <c r="B876" s="91">
        <v>350.66780638223628</v>
      </c>
      <c r="C876" s="91">
        <v>347.09072837898822</v>
      </c>
      <c r="D876" s="91">
        <v>349.31688862569047</v>
      </c>
      <c r="E876" s="92">
        <v>4070007.7065081233</v>
      </c>
      <c r="F876" s="90" t="s">
        <v>884</v>
      </c>
      <c r="G876" s="25">
        <f t="shared" si="26"/>
        <v>-2.3149409009205479E-3</v>
      </c>
      <c r="I876" s="91">
        <v>449.81754556793157</v>
      </c>
      <c r="J876" s="91">
        <v>452.42025398650401</v>
      </c>
      <c r="K876" s="91">
        <v>445.3262292355214</v>
      </c>
      <c r="L876" s="91">
        <v>445.33562529479423</v>
      </c>
      <c r="M876" s="92">
        <v>1372029.4461408374</v>
      </c>
      <c r="N876" s="90" t="s">
        <v>884</v>
      </c>
      <c r="O876" s="25">
        <f t="shared" si="27"/>
        <v>1.0064140433792002E-2</v>
      </c>
    </row>
    <row r="877" spans="1:15">
      <c r="A877" s="91">
        <v>348.94586191790677</v>
      </c>
      <c r="B877" s="91">
        <v>353.26975008938604</v>
      </c>
      <c r="C877" s="91">
        <v>348.65094325274538</v>
      </c>
      <c r="D877" s="91">
        <v>352.38023734123794</v>
      </c>
      <c r="E877" s="92">
        <v>3268170.7665823954</v>
      </c>
      <c r="F877" s="90" t="s">
        <v>885</v>
      </c>
      <c r="G877" s="25">
        <f t="shared" si="26"/>
        <v>-9.7462203023758187E-3</v>
      </c>
      <c r="I877" s="91">
        <v>445.3262292355214</v>
      </c>
      <c r="J877" s="91">
        <v>450.21218005739019</v>
      </c>
      <c r="K877" s="91">
        <v>440.27114934674177</v>
      </c>
      <c r="L877" s="91">
        <v>446.10610215516584</v>
      </c>
      <c r="M877" s="92">
        <v>1354629.5984756732</v>
      </c>
      <c r="N877" s="90" t="s">
        <v>885</v>
      </c>
      <c r="O877" s="25">
        <f t="shared" si="27"/>
        <v>-1.7481781035426636E-3</v>
      </c>
    </row>
    <row r="878" spans="1:15">
      <c r="A878" s="91">
        <v>356.01439637645268</v>
      </c>
      <c r="B878" s="91">
        <v>356.23320699899176</v>
      </c>
      <c r="C878" s="91">
        <v>353.25547983139438</v>
      </c>
      <c r="D878" s="91">
        <v>355.02404047183001</v>
      </c>
      <c r="E878" s="92">
        <v>3453329.6474898304</v>
      </c>
      <c r="F878" s="90" t="s">
        <v>886</v>
      </c>
      <c r="G878" s="25">
        <f t="shared" si="26"/>
        <v>2.7895460355487067E-3</v>
      </c>
      <c r="I878" s="91">
        <v>442.20673755694366</v>
      </c>
      <c r="J878" s="91">
        <v>442.24432179403499</v>
      </c>
      <c r="K878" s="91">
        <v>434.83083102777636</v>
      </c>
      <c r="L878" s="91">
        <v>437.33018279434771</v>
      </c>
      <c r="M878" s="92">
        <v>883477.82394358376</v>
      </c>
      <c r="N878" s="90" t="s">
        <v>886</v>
      </c>
      <c r="O878" s="25">
        <f t="shared" si="27"/>
        <v>1.1150739085596495E-2</v>
      </c>
    </row>
    <row r="879" spans="1:15">
      <c r="A879" s="91">
        <v>356.937206393248</v>
      </c>
      <c r="B879" s="91">
        <v>360.97093265222981</v>
      </c>
      <c r="C879" s="91">
        <v>356.84207133997012</v>
      </c>
      <c r="D879" s="91">
        <v>357.38434114365407</v>
      </c>
      <c r="E879" s="92">
        <v>3234875.9936163435</v>
      </c>
      <c r="F879" s="90" t="s">
        <v>887</v>
      </c>
      <c r="G879" s="25">
        <f t="shared" si="26"/>
        <v>-1.2511313421712522E-3</v>
      </c>
      <c r="I879" s="91">
        <v>437.24561826089229</v>
      </c>
      <c r="J879" s="91">
        <v>440.23356510965044</v>
      </c>
      <c r="K879" s="91">
        <v>428.80795703389578</v>
      </c>
      <c r="L879" s="91">
        <v>430.53683194009551</v>
      </c>
      <c r="M879" s="92">
        <v>1030394.7345246533</v>
      </c>
      <c r="N879" s="90" t="s">
        <v>887</v>
      </c>
      <c r="O879" s="25">
        <f t="shared" si="27"/>
        <v>1.5582374893607698E-2</v>
      </c>
    </row>
    <row r="880" spans="1:15">
      <c r="A880" s="91">
        <v>361.9698507116475</v>
      </c>
      <c r="B880" s="91">
        <v>362.01741823828638</v>
      </c>
      <c r="C880" s="91">
        <v>358.02174600061574</v>
      </c>
      <c r="D880" s="91">
        <v>358.80185343749429</v>
      </c>
      <c r="E880" s="92">
        <v>2976422.3621437992</v>
      </c>
      <c r="F880" s="90" t="s">
        <v>888</v>
      </c>
      <c r="G880" s="25">
        <f t="shared" si="26"/>
        <v>8.8293782314730063E-3</v>
      </c>
      <c r="I880" s="91">
        <v>433.10195612157662</v>
      </c>
      <c r="J880" s="91">
        <v>439.82013850164617</v>
      </c>
      <c r="K880" s="91">
        <v>431.21334820773887</v>
      </c>
      <c r="L880" s="91">
        <v>437.7811936394433</v>
      </c>
      <c r="M880" s="92">
        <v>881364.17188761604</v>
      </c>
      <c r="N880" s="90" t="s">
        <v>888</v>
      </c>
      <c r="O880" s="25">
        <f t="shared" si="27"/>
        <v>-1.0688530219780334E-2</v>
      </c>
    </row>
    <row r="881" spans="1:15">
      <c r="A881" s="91">
        <v>360.76163553501846</v>
      </c>
      <c r="B881" s="91">
        <v>362.86412021245945</v>
      </c>
      <c r="C881" s="91">
        <v>357.18455753177045</v>
      </c>
      <c r="D881" s="91">
        <v>359.57244736904505</v>
      </c>
      <c r="E881" s="92">
        <v>4959304.5228234436</v>
      </c>
      <c r="F881" s="90" t="s">
        <v>889</v>
      </c>
      <c r="G881" s="25">
        <f t="shared" si="26"/>
        <v>3.3072282781245743E-3</v>
      </c>
      <c r="I881" s="91">
        <v>439.27516706382238</v>
      </c>
      <c r="J881" s="91">
        <v>442.47922327585559</v>
      </c>
      <c r="K881" s="91">
        <v>437.73421334307915</v>
      </c>
      <c r="L881" s="91">
        <v>439.62282125691689</v>
      </c>
      <c r="M881" s="92">
        <v>1333584.6056485306</v>
      </c>
      <c r="N881" s="90" t="s">
        <v>889</v>
      </c>
      <c r="O881" s="25">
        <f t="shared" si="27"/>
        <v>-7.9080106010087636E-4</v>
      </c>
    </row>
    <row r="882" spans="1:15">
      <c r="A882" s="91">
        <v>360.8948246096075</v>
      </c>
      <c r="B882" s="91">
        <v>360.98044615755759</v>
      </c>
      <c r="C882" s="91">
        <v>356.94671989857579</v>
      </c>
      <c r="D882" s="91">
        <v>357.37387628779345</v>
      </c>
      <c r="E882" s="92">
        <v>3133019.7412032923</v>
      </c>
      <c r="F882" s="90" t="s">
        <v>890</v>
      </c>
      <c r="G882" s="25">
        <f t="shared" si="26"/>
        <v>9.852282316737071E-3</v>
      </c>
      <c r="I882" s="91">
        <v>436.24023991870001</v>
      </c>
      <c r="J882" s="91">
        <v>442.54499569076535</v>
      </c>
      <c r="K882" s="91">
        <v>431.26972456337586</v>
      </c>
      <c r="L882" s="91">
        <v>439.55704884200713</v>
      </c>
      <c r="M882" s="92">
        <v>981465.71155332471</v>
      </c>
      <c r="N882" s="90" t="s">
        <v>890</v>
      </c>
      <c r="O882" s="25">
        <f t="shared" si="27"/>
        <v>-7.5457985079413481E-3</v>
      </c>
    </row>
    <row r="883" spans="1:15">
      <c r="A883" s="91">
        <v>356.7754768026756</v>
      </c>
      <c r="B883" s="91">
        <v>357.12747649980378</v>
      </c>
      <c r="C883" s="91">
        <v>354.09266830023961</v>
      </c>
      <c r="D883" s="91">
        <v>354.85374872646264</v>
      </c>
      <c r="E883" s="92">
        <v>3423243.99660319</v>
      </c>
      <c r="F883" s="90" t="s">
        <v>891</v>
      </c>
      <c r="G883" s="25">
        <f t="shared" si="26"/>
        <v>5.4155495978551738E-3</v>
      </c>
      <c r="I883" s="91">
        <v>435.8456054292414</v>
      </c>
      <c r="J883" s="91">
        <v>436.28722021506417</v>
      </c>
      <c r="K883" s="91">
        <v>428.86433338953276</v>
      </c>
      <c r="L883" s="91">
        <v>429.51266147935763</v>
      </c>
      <c r="M883" s="92">
        <v>1030247.8644422145</v>
      </c>
      <c r="N883" s="90" t="s">
        <v>891</v>
      </c>
      <c r="O883" s="25">
        <f t="shared" si="27"/>
        <v>1.4744487224361169E-2</v>
      </c>
    </row>
    <row r="884" spans="1:15">
      <c r="A884" s="91">
        <v>355.90974781784701</v>
      </c>
      <c r="B884" s="91">
        <v>362.46455298869239</v>
      </c>
      <c r="C884" s="91">
        <v>354.80484930907778</v>
      </c>
      <c r="D884" s="91">
        <v>362.43601247270902</v>
      </c>
      <c r="E884" s="92">
        <v>3497885.2540086941</v>
      </c>
      <c r="F884" s="90" t="s">
        <v>892</v>
      </c>
      <c r="G884" s="25">
        <f t="shared" si="26"/>
        <v>-1.8006667191642345E-2</v>
      </c>
      <c r="I884" s="91">
        <v>426.440150097144</v>
      </c>
      <c r="J884" s="91">
        <v>434.02276993031347</v>
      </c>
      <c r="K884" s="91">
        <v>425.07772150258438</v>
      </c>
      <c r="L884" s="91">
        <v>428.28177771461759</v>
      </c>
      <c r="M884" s="92">
        <v>1013073.6432805072</v>
      </c>
      <c r="N884" s="90" t="s">
        <v>892</v>
      </c>
      <c r="O884" s="25">
        <f t="shared" si="27"/>
        <v>-4.3000372962418432E-3</v>
      </c>
    </row>
    <row r="885" spans="1:15">
      <c r="A885" s="91">
        <v>358.98261003872227</v>
      </c>
      <c r="B885" s="91">
        <v>362.39795845139787</v>
      </c>
      <c r="C885" s="91">
        <v>358.40228621372728</v>
      </c>
      <c r="D885" s="91">
        <v>361.21828379075225</v>
      </c>
      <c r="E885" s="92">
        <v>3070900.6820722814</v>
      </c>
      <c r="F885" s="90" t="s">
        <v>893</v>
      </c>
      <c r="G885" s="25">
        <f t="shared" si="26"/>
        <v>-6.1892596591955895E-3</v>
      </c>
      <c r="I885" s="91">
        <v>428.51667919643825</v>
      </c>
      <c r="J885" s="91">
        <v>429.29655211608264</v>
      </c>
      <c r="K885" s="91">
        <v>423.15152935165543</v>
      </c>
      <c r="L885" s="91">
        <v>423.76227320438898</v>
      </c>
      <c r="M885" s="92">
        <v>1023416.2770568889</v>
      </c>
      <c r="N885" s="90" t="s">
        <v>893</v>
      </c>
      <c r="O885" s="25">
        <f t="shared" si="27"/>
        <v>1.1219512195121961E-2</v>
      </c>
    </row>
    <row r="886" spans="1:15">
      <c r="A886" s="91">
        <v>362.95925526573728</v>
      </c>
      <c r="B886" s="91">
        <v>364.12637209935025</v>
      </c>
      <c r="C886" s="91">
        <v>356.39493658956417</v>
      </c>
      <c r="D886" s="91">
        <v>357.50801671291526</v>
      </c>
      <c r="E886" s="92">
        <v>4734987.6252686735</v>
      </c>
      <c r="F886" s="90" t="s">
        <v>894</v>
      </c>
      <c r="G886" s="25">
        <f t="shared" si="26"/>
        <v>1.5247877804092536E-2</v>
      </c>
      <c r="I886" s="91">
        <v>424.84282002076378</v>
      </c>
      <c r="J886" s="91">
        <v>426.70323975678309</v>
      </c>
      <c r="K886" s="91">
        <v>416.70583269049774</v>
      </c>
      <c r="L886" s="91">
        <v>420.9434554225416</v>
      </c>
      <c r="M886" s="92">
        <v>1169136.9414592537</v>
      </c>
      <c r="N886" s="90" t="s">
        <v>894</v>
      </c>
      <c r="O886" s="25">
        <f t="shared" si="27"/>
        <v>9.2633928571428381E-3</v>
      </c>
    </row>
    <row r="887" spans="1:15">
      <c r="A887" s="91">
        <v>358.33569167643276</v>
      </c>
      <c r="B887" s="91">
        <v>359.54390685306174</v>
      </c>
      <c r="C887" s="91">
        <v>356.7754768026756</v>
      </c>
      <c r="D887" s="91">
        <v>358.25482688114653</v>
      </c>
      <c r="E887" s="92">
        <v>3027378.3434879286</v>
      </c>
      <c r="F887" s="90" t="s">
        <v>895</v>
      </c>
      <c r="G887" s="25">
        <f t="shared" si="26"/>
        <v>2.2571864834364241E-4</v>
      </c>
      <c r="I887" s="91">
        <v>421.84547711273274</v>
      </c>
      <c r="J887" s="91">
        <v>426.33679344514292</v>
      </c>
      <c r="K887" s="91">
        <v>416.21723760831088</v>
      </c>
      <c r="L887" s="91">
        <v>416.31119820103908</v>
      </c>
      <c r="M887" s="92">
        <v>1406254.4324529264</v>
      </c>
      <c r="N887" s="90" t="s">
        <v>895</v>
      </c>
      <c r="O887" s="25">
        <f t="shared" si="27"/>
        <v>1.3293610490441532E-2</v>
      </c>
    </row>
    <row r="888" spans="1:15">
      <c r="A888" s="91">
        <v>360.41914934321818</v>
      </c>
      <c r="B888" s="91">
        <v>364.55752416080554</v>
      </c>
      <c r="C888" s="91">
        <v>359.4107177784727</v>
      </c>
      <c r="D888" s="91">
        <v>359.82931201289534</v>
      </c>
      <c r="E888" s="92">
        <v>6803495.4278051332</v>
      </c>
      <c r="F888" s="90" t="s">
        <v>896</v>
      </c>
      <c r="G888" s="25">
        <f t="shared" si="26"/>
        <v>1.6392142347250171E-3</v>
      </c>
      <c r="I888" s="91">
        <v>414.02795579774272</v>
      </c>
      <c r="J888" s="91">
        <v>427.00879960433531</v>
      </c>
      <c r="K888" s="91">
        <v>413.44540012282755</v>
      </c>
      <c r="L888" s="91">
        <v>423.76227320438898</v>
      </c>
      <c r="M888" s="92">
        <v>1477652.4494854787</v>
      </c>
      <c r="N888" s="90" t="s">
        <v>896</v>
      </c>
      <c r="O888" s="25">
        <f t="shared" si="27"/>
        <v>-2.2971175166297098E-2</v>
      </c>
    </row>
    <row r="889" spans="1:15">
      <c r="A889" s="91">
        <v>364.3101730222831</v>
      </c>
      <c r="B889" s="91">
        <v>365.70865830546785</v>
      </c>
      <c r="C889" s="91">
        <v>360.94239213624638</v>
      </c>
      <c r="D889" s="91">
        <v>362.70239062188705</v>
      </c>
      <c r="E889" s="92">
        <v>5474245.1079399772</v>
      </c>
      <c r="F889" s="90" t="s">
        <v>897</v>
      </c>
      <c r="G889" s="25">
        <f t="shared" si="26"/>
        <v>4.432786885245843E-3</v>
      </c>
      <c r="I889" s="91">
        <v>414.23466910174488</v>
      </c>
      <c r="J889" s="91">
        <v>417.81926571432746</v>
      </c>
      <c r="K889" s="91">
        <v>409.66818429515212</v>
      </c>
      <c r="L889" s="91">
        <v>412.90042868500376</v>
      </c>
      <c r="M889" s="92">
        <v>1316223.0719179159</v>
      </c>
      <c r="N889" s="90" t="s">
        <v>897</v>
      </c>
      <c r="O889" s="25">
        <f t="shared" si="27"/>
        <v>3.2313853995995512E-3</v>
      </c>
    </row>
    <row r="890" spans="1:15">
      <c r="A890" s="91">
        <v>359.1633666399502</v>
      </c>
      <c r="B890" s="91">
        <v>361.66541854115826</v>
      </c>
      <c r="C890" s="91">
        <v>351.77137300025959</v>
      </c>
      <c r="D890" s="91">
        <v>354.32099242810654</v>
      </c>
      <c r="E890" s="92">
        <v>5194396.6285131788</v>
      </c>
      <c r="F890" s="90" t="s">
        <v>898</v>
      </c>
      <c r="G890" s="25">
        <f t="shared" si="26"/>
        <v>1.3666630866716822E-2</v>
      </c>
      <c r="I890" s="91">
        <v>415.86018735594348</v>
      </c>
      <c r="J890" s="91">
        <v>421.90185346836972</v>
      </c>
      <c r="K890" s="91">
        <v>415.41857257012077</v>
      </c>
      <c r="L890" s="91">
        <v>418.54746030797133</v>
      </c>
      <c r="M890" s="92">
        <v>959219.15116767876</v>
      </c>
      <c r="N890" s="90" t="s">
        <v>898</v>
      </c>
      <c r="O890" s="25">
        <f t="shared" si="27"/>
        <v>-6.4204736783028959E-3</v>
      </c>
    </row>
    <row r="891" spans="1:15">
      <c r="A891" s="91">
        <v>355.27234296088528</v>
      </c>
      <c r="B891" s="91">
        <v>355.36747801416317</v>
      </c>
      <c r="C891" s="91">
        <v>350.41094173838599</v>
      </c>
      <c r="D891" s="91">
        <v>350.67731988756407</v>
      </c>
      <c r="E891" s="92">
        <v>4395525.9979579384</v>
      </c>
      <c r="F891" s="90" t="s">
        <v>899</v>
      </c>
      <c r="G891" s="25">
        <f t="shared" si="26"/>
        <v>1.3103279889313812E-2</v>
      </c>
      <c r="I891" s="91">
        <v>420.98103965963293</v>
      </c>
      <c r="J891" s="91">
        <v>421.00922783745136</v>
      </c>
      <c r="K891" s="91">
        <v>409.3205301020576</v>
      </c>
      <c r="L891" s="91">
        <v>414.76084842102307</v>
      </c>
      <c r="M891" s="92">
        <v>1405425.3614803187</v>
      </c>
      <c r="N891" s="90" t="s">
        <v>899</v>
      </c>
      <c r="O891" s="25">
        <f t="shared" si="27"/>
        <v>1.4997054958995948E-2</v>
      </c>
    </row>
    <row r="892" spans="1:15">
      <c r="A892" s="91">
        <v>350.29677967445252</v>
      </c>
      <c r="B892" s="91">
        <v>354.17828984818976</v>
      </c>
      <c r="C892" s="91">
        <v>349.96380698798004</v>
      </c>
      <c r="D892" s="91">
        <v>352.14239970804323</v>
      </c>
      <c r="E892" s="92">
        <v>3448354.6148000648</v>
      </c>
      <c r="F892" s="90" t="s">
        <v>900</v>
      </c>
      <c r="G892" s="25">
        <f t="shared" si="26"/>
        <v>-5.2411184654869158E-3</v>
      </c>
      <c r="I892" s="91">
        <v>412.75009173663852</v>
      </c>
      <c r="J892" s="91">
        <v>421.55419927527521</v>
      </c>
      <c r="K892" s="91">
        <v>410.12859119952054</v>
      </c>
      <c r="L892" s="91">
        <v>418.13403369996706</v>
      </c>
      <c r="M892" s="92">
        <v>1629603.3853559375</v>
      </c>
      <c r="N892" s="90" t="s">
        <v>900</v>
      </c>
      <c r="O892" s="25">
        <f t="shared" si="27"/>
        <v>-1.2876115143480082E-2</v>
      </c>
    </row>
    <row r="893" spans="1:15">
      <c r="A893" s="91">
        <v>354.73007315720139</v>
      </c>
      <c r="B893" s="91">
        <v>356.83255783464233</v>
      </c>
      <c r="C893" s="91">
        <v>352.72272353303828</v>
      </c>
      <c r="D893" s="91">
        <v>352.84639910229953</v>
      </c>
      <c r="E893" s="92">
        <v>5833309.3941629119</v>
      </c>
      <c r="F893" s="90" t="s">
        <v>901</v>
      </c>
      <c r="G893" s="25">
        <f t="shared" si="26"/>
        <v>5.3385100703713384E-3</v>
      </c>
      <c r="I893" s="91">
        <v>411.21853407516812</v>
      </c>
      <c r="J893" s="91">
        <v>417.17516585117534</v>
      </c>
      <c r="K893" s="91">
        <v>404.90908027346643</v>
      </c>
      <c r="L893" s="91">
        <v>407.01849558021559</v>
      </c>
      <c r="M893" s="92">
        <v>2281417.0683233603</v>
      </c>
      <c r="N893" s="90" t="s">
        <v>901</v>
      </c>
      <c r="O893" s="25">
        <f t="shared" si="27"/>
        <v>1.0319035966572576E-2</v>
      </c>
    </row>
    <row r="894" spans="1:15">
      <c r="A894" s="91">
        <v>353.72164159245597</v>
      </c>
      <c r="B894" s="91">
        <v>353.95947922565063</v>
      </c>
      <c r="C894" s="91">
        <v>349.72596935478532</v>
      </c>
      <c r="D894" s="91">
        <v>352.43731837320468</v>
      </c>
      <c r="E894" s="92">
        <v>3637916.7097234363</v>
      </c>
      <c r="F894" s="90" t="s">
        <v>902</v>
      </c>
      <c r="G894" s="25">
        <f t="shared" si="26"/>
        <v>3.6441181234141418E-3</v>
      </c>
      <c r="I894" s="91">
        <v>416.68704057195208</v>
      </c>
      <c r="J894" s="91">
        <v>444.62528321376874</v>
      </c>
      <c r="K894" s="91">
        <v>412.47760601772666</v>
      </c>
      <c r="L894" s="91">
        <v>430.33951469536618</v>
      </c>
      <c r="M894" s="92">
        <v>3319661.9023267739</v>
      </c>
      <c r="N894" s="90" t="s">
        <v>902</v>
      </c>
      <c r="O894" s="25">
        <f t="shared" si="27"/>
        <v>-3.1724890829694208E-2</v>
      </c>
    </row>
    <row r="895" spans="1:15">
      <c r="A895" s="91">
        <v>349.98283399863556</v>
      </c>
      <c r="B895" s="91">
        <v>350.24921214781364</v>
      </c>
      <c r="C895" s="91">
        <v>344.06543368475195</v>
      </c>
      <c r="D895" s="91">
        <v>346.0822968142428</v>
      </c>
      <c r="E895" s="92">
        <v>3218249.1043100446</v>
      </c>
      <c r="F895" s="90" t="s">
        <v>903</v>
      </c>
      <c r="G895" s="25">
        <f t="shared" si="26"/>
        <v>1.1270548133487379E-2</v>
      </c>
      <c r="I895" s="91">
        <v>435.31003005069044</v>
      </c>
      <c r="J895" s="91">
        <v>437.85636211362589</v>
      </c>
      <c r="K895" s="91">
        <v>430.02944473936299</v>
      </c>
      <c r="L895" s="91">
        <v>430.1421974506369</v>
      </c>
      <c r="M895" s="92">
        <v>1215057.2562925054</v>
      </c>
      <c r="N895" s="90" t="s">
        <v>903</v>
      </c>
      <c r="O895" s="25">
        <f t="shared" si="27"/>
        <v>1.2014242338190151E-2</v>
      </c>
    </row>
    <row r="896" spans="1:15">
      <c r="A896" s="91">
        <v>349.85915842937436</v>
      </c>
      <c r="B896" s="91">
        <v>350.67731988756407</v>
      </c>
      <c r="C896" s="91">
        <v>347.64251168799996</v>
      </c>
      <c r="D896" s="91">
        <v>348.73656480069542</v>
      </c>
      <c r="E896" s="92">
        <v>2840572.330481431</v>
      </c>
      <c r="F896" s="90" t="s">
        <v>904</v>
      </c>
      <c r="G896" s="25">
        <f t="shared" si="26"/>
        <v>3.2190304716699369E-3</v>
      </c>
      <c r="I896" s="91">
        <v>431.57039846010622</v>
      </c>
      <c r="J896" s="91">
        <v>435.02814827250569</v>
      </c>
      <c r="K896" s="91">
        <v>420.9434554225416</v>
      </c>
      <c r="L896" s="91">
        <v>424.89919637640077</v>
      </c>
      <c r="M896" s="92">
        <v>1190982.2698080919</v>
      </c>
      <c r="N896" s="90" t="s">
        <v>904</v>
      </c>
      <c r="O896" s="25">
        <f t="shared" si="27"/>
        <v>1.5700670042679166E-2</v>
      </c>
    </row>
    <row r="897" spans="1:15">
      <c r="A897" s="91">
        <v>350.230185137158</v>
      </c>
      <c r="B897" s="91">
        <v>351.99969712812646</v>
      </c>
      <c r="C897" s="91">
        <v>345.95862124498154</v>
      </c>
      <c r="D897" s="91">
        <v>346.77678270317131</v>
      </c>
      <c r="E897" s="92">
        <v>3409135.6321911821</v>
      </c>
      <c r="F897" s="90" t="s">
        <v>905</v>
      </c>
      <c r="G897" s="25">
        <f t="shared" si="26"/>
        <v>9.9585745247041668E-3</v>
      </c>
      <c r="I897" s="91">
        <v>423.64012443384229</v>
      </c>
      <c r="J897" s="91">
        <v>427.03210183133194</v>
      </c>
      <c r="K897" s="91">
        <v>421.25634419632672</v>
      </c>
      <c r="L897" s="91">
        <v>424.673690953853</v>
      </c>
      <c r="M897" s="92">
        <v>1122849.4514199048</v>
      </c>
      <c r="N897" s="90" t="s">
        <v>905</v>
      </c>
      <c r="O897" s="25">
        <f t="shared" si="27"/>
        <v>-2.4337898533088875E-3</v>
      </c>
    </row>
    <row r="898" spans="1:15">
      <c r="A898" s="91">
        <v>346.01570227694828</v>
      </c>
      <c r="B898" s="91">
        <v>346.2059723835041</v>
      </c>
      <c r="C898" s="91">
        <v>339.51797813806962</v>
      </c>
      <c r="D898" s="91">
        <v>341.01159847453221</v>
      </c>
      <c r="E898" s="92">
        <v>3432028.3507524338</v>
      </c>
      <c r="F898" s="90" t="s">
        <v>906</v>
      </c>
      <c r="G898" s="25">
        <f t="shared" si="26"/>
        <v>1.4674292090947061E-2</v>
      </c>
      <c r="I898" s="91">
        <v>423.53676778184121</v>
      </c>
      <c r="J898" s="91">
        <v>424.98376090985619</v>
      </c>
      <c r="K898" s="91">
        <v>413.51117253773731</v>
      </c>
      <c r="L898" s="91">
        <v>419.05484750870386</v>
      </c>
      <c r="M898" s="92">
        <v>2267909.2778428257</v>
      </c>
      <c r="N898" s="90" t="s">
        <v>906</v>
      </c>
      <c r="O898" s="25">
        <f t="shared" si="27"/>
        <v>1.0695307069665372E-2</v>
      </c>
    </row>
    <row r="899" spans="1:15">
      <c r="A899" s="91">
        <v>339.76532927659213</v>
      </c>
      <c r="B899" s="91">
        <v>341.87257070669699</v>
      </c>
      <c r="C899" s="91">
        <v>338.53808708930757</v>
      </c>
      <c r="D899" s="91">
        <v>340.35516660691491</v>
      </c>
      <c r="E899" s="92">
        <v>3694618.2073748251</v>
      </c>
      <c r="F899" s="90" t="s">
        <v>907</v>
      </c>
      <c r="G899" s="25">
        <f t="shared" si="26"/>
        <v>-1.7330053667262701E-3</v>
      </c>
      <c r="I899" s="91">
        <v>415.59709769630444</v>
      </c>
      <c r="J899" s="91">
        <v>425.650787157634</v>
      </c>
      <c r="K899" s="91">
        <v>415.50313710357614</v>
      </c>
      <c r="L899" s="91">
        <v>421.08439631163395</v>
      </c>
      <c r="M899" s="92">
        <v>1465311.1054567771</v>
      </c>
      <c r="N899" s="90" t="s">
        <v>907</v>
      </c>
      <c r="O899" s="25">
        <f t="shared" si="27"/>
        <v>-1.3031351110119216E-2</v>
      </c>
    </row>
    <row r="900" spans="1:15">
      <c r="A900" s="91">
        <v>342.22932715648903</v>
      </c>
      <c r="B900" s="91">
        <v>349.77353688142426</v>
      </c>
      <c r="C900" s="91">
        <v>342.08662457657221</v>
      </c>
      <c r="D900" s="91">
        <v>348.83169985397336</v>
      </c>
      <c r="E900" s="92">
        <v>4132864.6640013177</v>
      </c>
      <c r="F900" s="90" t="s">
        <v>908</v>
      </c>
      <c r="G900" s="25">
        <f t="shared" si="26"/>
        <v>-1.8927100662721297E-2</v>
      </c>
      <c r="I900" s="91">
        <v>419.12061992361362</v>
      </c>
      <c r="J900" s="91">
        <v>426.65625946041894</v>
      </c>
      <c r="K900" s="91">
        <v>418.60393062420104</v>
      </c>
      <c r="L900" s="91">
        <v>426.32739738587014</v>
      </c>
      <c r="M900" s="92">
        <v>2051284.4204532101</v>
      </c>
      <c r="N900" s="90" t="s">
        <v>908</v>
      </c>
      <c r="O900" s="25">
        <f t="shared" si="27"/>
        <v>-1.6904326361492639E-2</v>
      </c>
    </row>
    <row r="901" spans="1:15">
      <c r="A901" s="91">
        <v>347.88034932119461</v>
      </c>
      <c r="B901" s="91">
        <v>349.83061791339099</v>
      </c>
      <c r="C901" s="91">
        <v>347.11926889497164</v>
      </c>
      <c r="D901" s="91">
        <v>348.37505159823951</v>
      </c>
      <c r="E901" s="92">
        <v>5194723.5322035477</v>
      </c>
      <c r="F901" s="90" t="s">
        <v>909</v>
      </c>
      <c r="G901" s="25">
        <f t="shared" si="26"/>
        <v>-1.4200278543924361E-3</v>
      </c>
      <c r="I901" s="91">
        <v>428.05627229206982</v>
      </c>
      <c r="J901" s="91">
        <v>437.13286554961837</v>
      </c>
      <c r="K901" s="91">
        <v>426.32739738587014</v>
      </c>
      <c r="L901" s="91">
        <v>435.35701034705448</v>
      </c>
      <c r="M901" s="92">
        <v>2059095.1417214614</v>
      </c>
      <c r="N901" s="90" t="s">
        <v>909</v>
      </c>
      <c r="O901" s="25">
        <f t="shared" si="27"/>
        <v>-1.6769542884274902E-2</v>
      </c>
    </row>
    <row r="902" spans="1:15">
      <c r="A902" s="91">
        <v>348.41310561955072</v>
      </c>
      <c r="B902" s="91">
        <v>348.88849548078019</v>
      </c>
      <c r="C902" s="91">
        <v>343.88467708352402</v>
      </c>
      <c r="D902" s="91">
        <v>344.08512664078046</v>
      </c>
      <c r="E902" s="92">
        <v>3169347.0451877201</v>
      </c>
      <c r="F902" s="90" t="s">
        <v>910</v>
      </c>
      <c r="G902" s="25">
        <f t="shared" si="26"/>
        <v>1.2578221619234942E-2</v>
      </c>
      <c r="I902" s="91">
        <v>433.56236302594505</v>
      </c>
      <c r="J902" s="91">
        <v>445.7490519027985</v>
      </c>
      <c r="K902" s="91">
        <v>427.31868163915311</v>
      </c>
      <c r="L902" s="91">
        <v>445.7490519027985</v>
      </c>
      <c r="M902" s="92">
        <v>2776629.9937523874</v>
      </c>
      <c r="N902" s="90" t="s">
        <v>910</v>
      </c>
      <c r="O902" s="25">
        <f t="shared" si="27"/>
        <v>-2.7339797639122976E-2</v>
      </c>
    </row>
    <row r="903" spans="1:15">
      <c r="A903" s="91">
        <v>347.06218786300491</v>
      </c>
      <c r="B903" s="91">
        <v>348.33699757692835</v>
      </c>
      <c r="C903" s="91">
        <v>343.05700212000653</v>
      </c>
      <c r="D903" s="91">
        <v>346.74824218718794</v>
      </c>
      <c r="E903" s="92">
        <v>4986027.5855895355</v>
      </c>
      <c r="F903" s="90" t="s">
        <v>911</v>
      </c>
      <c r="G903" s="25">
        <f t="shared" si="26"/>
        <v>9.0539947322199055E-4</v>
      </c>
      <c r="I903" s="91">
        <v>458.50890039529435</v>
      </c>
      <c r="J903" s="91">
        <v>464.1653280775347</v>
      </c>
      <c r="K903" s="91">
        <v>456.54512400727396</v>
      </c>
      <c r="L903" s="91">
        <v>462.01363050405786</v>
      </c>
      <c r="M903" s="92">
        <v>1168381.3055278654</v>
      </c>
      <c r="N903" s="90" t="s">
        <v>911</v>
      </c>
      <c r="O903" s="25">
        <f t="shared" si="27"/>
        <v>-7.5857721014417345E-3</v>
      </c>
    </row>
    <row r="904" spans="1:15">
      <c r="A904" s="91">
        <v>345.76835113842583</v>
      </c>
      <c r="B904" s="91">
        <v>345.82543217039256</v>
      </c>
      <c r="C904" s="91">
        <v>342.16273261919451</v>
      </c>
      <c r="D904" s="91">
        <v>342.87624551877855</v>
      </c>
      <c r="E904" s="92">
        <v>6002553.0056945309</v>
      </c>
      <c r="F904" s="90" t="s">
        <v>912</v>
      </c>
      <c r="G904" s="25">
        <f t="shared" si="26"/>
        <v>8.4348381010515006E-3</v>
      </c>
      <c r="I904" s="91">
        <v>463.15994973534248</v>
      </c>
      <c r="J904" s="91">
        <v>469.19691781813231</v>
      </c>
      <c r="K904" s="91">
        <v>459.92770534549084</v>
      </c>
      <c r="L904" s="91">
        <v>466.23246111755611</v>
      </c>
      <c r="M904" s="92">
        <v>1004680.7630622991</v>
      </c>
      <c r="N904" s="90" t="s">
        <v>912</v>
      </c>
      <c r="O904" s="25">
        <f t="shared" si="27"/>
        <v>-6.5900846432890292E-3</v>
      </c>
    </row>
    <row r="905" spans="1:15">
      <c r="A905" s="91">
        <v>341.41116569829933</v>
      </c>
      <c r="B905" s="91">
        <v>341.48727374092158</v>
      </c>
      <c r="C905" s="91">
        <v>337.69138511513449</v>
      </c>
      <c r="D905" s="91">
        <v>338.52857358397978</v>
      </c>
      <c r="E905" s="92">
        <v>3674480.5195931797</v>
      </c>
      <c r="F905" s="90" t="s">
        <v>913</v>
      </c>
      <c r="G905" s="25">
        <f t="shared" si="26"/>
        <v>8.5150629496404395E-3</v>
      </c>
      <c r="I905" s="91">
        <v>465.84722268737033</v>
      </c>
      <c r="J905" s="91">
        <v>471.97345333325194</v>
      </c>
      <c r="K905" s="91">
        <v>461.29952999932323</v>
      </c>
      <c r="L905" s="91">
        <v>466.95595768156363</v>
      </c>
      <c r="M905" s="92">
        <v>960241.92036495218</v>
      </c>
      <c r="N905" s="90" t="s">
        <v>913</v>
      </c>
      <c r="O905" s="25">
        <f t="shared" si="27"/>
        <v>-2.3743887961044097E-3</v>
      </c>
    </row>
    <row r="906" spans="1:15">
      <c r="A906" s="91">
        <v>338.99473534504136</v>
      </c>
      <c r="B906" s="91">
        <v>344.13202822204647</v>
      </c>
      <c r="C906" s="91">
        <v>338.8914186771816</v>
      </c>
      <c r="D906" s="91">
        <v>341.27797662371029</v>
      </c>
      <c r="E906" s="92">
        <v>3968381.6531567788</v>
      </c>
      <c r="F906" s="90" t="s">
        <v>914</v>
      </c>
      <c r="G906" s="25">
        <f t="shared" si="26"/>
        <v>-6.6902684470214746E-3</v>
      </c>
      <c r="I906" s="91">
        <v>465.49017243500299</v>
      </c>
      <c r="J906" s="91">
        <v>486.74405851013216</v>
      </c>
      <c r="K906" s="91">
        <v>458.64044522511387</v>
      </c>
      <c r="L906" s="91">
        <v>486.74405851013216</v>
      </c>
      <c r="M906" s="92">
        <v>1972294.9230001054</v>
      </c>
      <c r="N906" s="90" t="s">
        <v>914</v>
      </c>
      <c r="O906" s="25">
        <f t="shared" si="27"/>
        <v>-4.3665424782348472E-2</v>
      </c>
    </row>
    <row r="907" spans="1:15">
      <c r="A907" s="91">
        <v>339.24208648356381</v>
      </c>
      <c r="B907" s="91">
        <v>340.26954505896487</v>
      </c>
      <c r="C907" s="91">
        <v>331.77388966619759</v>
      </c>
      <c r="D907" s="91">
        <v>334.48533381967019</v>
      </c>
      <c r="E907" s="92">
        <v>3641956.2302446216</v>
      </c>
      <c r="F907" s="90" t="s">
        <v>915</v>
      </c>
      <c r="G907" s="25">
        <f t="shared" si="26"/>
        <v>1.4221109815410138E-2</v>
      </c>
      <c r="I907" s="91">
        <v>489.92932260361971</v>
      </c>
      <c r="J907" s="91">
        <v>508.18116774108154</v>
      </c>
      <c r="K907" s="91">
        <v>474.54797357400588</v>
      </c>
      <c r="L907" s="91">
        <v>497.81261633351954</v>
      </c>
      <c r="M907" s="92">
        <v>1154455.2545951679</v>
      </c>
      <c r="N907" s="90" t="s">
        <v>915</v>
      </c>
      <c r="O907" s="25">
        <f t="shared" si="27"/>
        <v>-1.5835865687699346E-2</v>
      </c>
    </row>
    <row r="908" spans="1:15">
      <c r="A908" s="91">
        <v>331.69787675862858</v>
      </c>
      <c r="B908" s="91">
        <v>333.73376689877506</v>
      </c>
      <c r="C908" s="91">
        <v>331.12706643896132</v>
      </c>
      <c r="D908" s="91">
        <v>333.66717236148054</v>
      </c>
      <c r="E908" s="92">
        <v>3381022.9659567052</v>
      </c>
      <c r="F908" s="90" t="s">
        <v>916</v>
      </c>
      <c r="G908" s="25">
        <f t="shared" si="26"/>
        <v>-5.9019758788811938E-3</v>
      </c>
      <c r="I908" s="91">
        <v>496.60052468732516</v>
      </c>
      <c r="J908" s="91">
        <v>501.4769854893284</v>
      </c>
      <c r="K908" s="91">
        <v>491.35752361308914</v>
      </c>
      <c r="L908" s="91">
        <v>494.73070889203308</v>
      </c>
      <c r="M908" s="92">
        <v>815931.42160919216</v>
      </c>
      <c r="N908" s="90" t="s">
        <v>916</v>
      </c>
      <c r="O908" s="25">
        <f t="shared" si="27"/>
        <v>3.7794617590640733E-3</v>
      </c>
    </row>
    <row r="909" spans="1:15">
      <c r="A909" s="91">
        <v>335.36057630982663</v>
      </c>
      <c r="B909" s="91">
        <v>337.31417462888771</v>
      </c>
      <c r="C909" s="91">
        <v>332.21160604632905</v>
      </c>
      <c r="D909" s="91">
        <v>334.97052259138741</v>
      </c>
      <c r="E909" s="92">
        <v>3278588.5880462164</v>
      </c>
      <c r="F909" s="90" t="s">
        <v>917</v>
      </c>
      <c r="G909" s="25">
        <f t="shared" si="26"/>
        <v>1.1644419199090539E-3</v>
      </c>
      <c r="I909" s="91">
        <v>494.65554041785055</v>
      </c>
      <c r="J909" s="91">
        <v>507.7160628070767</v>
      </c>
      <c r="K909" s="91">
        <v>490.82232407690901</v>
      </c>
      <c r="L909" s="91">
        <v>503.50662825285127</v>
      </c>
      <c r="M909" s="92">
        <v>1000199.096995995</v>
      </c>
      <c r="N909" s="90" t="s">
        <v>917</v>
      </c>
      <c r="O909" s="25">
        <f t="shared" si="27"/>
        <v>-1.7578890402522918E-2</v>
      </c>
    </row>
    <row r="910" spans="1:15">
      <c r="A910" s="91">
        <v>332.9631729672243</v>
      </c>
      <c r="B910" s="91">
        <v>337.76968126398219</v>
      </c>
      <c r="C910" s="91">
        <v>330.29939147544383</v>
      </c>
      <c r="D910" s="91">
        <v>335.99893251732118</v>
      </c>
      <c r="E910" s="92">
        <v>5210838.5176602975</v>
      </c>
      <c r="F910" s="90" t="s">
        <v>918</v>
      </c>
      <c r="G910" s="25">
        <f t="shared" si="26"/>
        <v>-9.0350273655717128E-3</v>
      </c>
      <c r="I910" s="91">
        <v>507.69727068853109</v>
      </c>
      <c r="J910" s="91">
        <v>514.716126965331</v>
      </c>
      <c r="K910" s="91">
        <v>505.41402828523462</v>
      </c>
      <c r="L910" s="91">
        <v>512.01006189475754</v>
      </c>
      <c r="M910" s="92">
        <v>654785.1414469101</v>
      </c>
      <c r="N910" s="90" t="s">
        <v>918</v>
      </c>
      <c r="O910" s="25">
        <f t="shared" si="27"/>
        <v>-8.423254789693857E-3</v>
      </c>
    </row>
    <row r="911" spans="1:15">
      <c r="A911" s="91">
        <v>334.24749618647553</v>
      </c>
      <c r="B911" s="91">
        <v>334.39019876639236</v>
      </c>
      <c r="C911" s="91">
        <v>330.84499100599248</v>
      </c>
      <c r="D911" s="91">
        <v>332.77290286066852</v>
      </c>
      <c r="E911" s="92">
        <v>5597775.8108205898</v>
      </c>
      <c r="F911" s="90" t="s">
        <v>919</v>
      </c>
      <c r="G911" s="25">
        <f t="shared" si="26"/>
        <v>4.4312301666713516E-3</v>
      </c>
      <c r="I911" s="91">
        <v>512.65838998458241</v>
      </c>
      <c r="J911" s="91">
        <v>513.8422934529583</v>
      </c>
      <c r="K911" s="91">
        <v>506.92679382815942</v>
      </c>
      <c r="L911" s="91">
        <v>510.1402460994654</v>
      </c>
      <c r="M911" s="92">
        <v>601179.68990865187</v>
      </c>
      <c r="N911" s="90" t="s">
        <v>919</v>
      </c>
      <c r="O911" s="25">
        <f t="shared" si="27"/>
        <v>4.9361796179987483E-3</v>
      </c>
    </row>
    <row r="912" spans="1:15">
      <c r="A912" s="91">
        <v>335.17030620327091</v>
      </c>
      <c r="B912" s="91">
        <v>335.94565688748554</v>
      </c>
      <c r="C912" s="91">
        <v>331.51712015740065</v>
      </c>
      <c r="D912" s="91">
        <v>331.9357143918233</v>
      </c>
      <c r="E912" s="92">
        <v>4295551.2812547283</v>
      </c>
      <c r="F912" s="90" t="s">
        <v>920</v>
      </c>
      <c r="G912" s="25">
        <f t="shared" si="26"/>
        <v>9.7446332865207541E-3</v>
      </c>
      <c r="I912" s="91">
        <v>509.26641258709276</v>
      </c>
      <c r="J912" s="91">
        <v>511.35233774565984</v>
      </c>
      <c r="K912" s="91">
        <v>505.70060809305585</v>
      </c>
      <c r="L912" s="91">
        <v>507.59391403653001</v>
      </c>
      <c r="M912" s="92">
        <v>518524.8260503342</v>
      </c>
      <c r="N912" s="90" t="s">
        <v>920</v>
      </c>
      <c r="O912" s="25">
        <f t="shared" si="27"/>
        <v>3.2949539076672085E-3</v>
      </c>
    </row>
    <row r="913" spans="1:15">
      <c r="A913" s="91">
        <v>329.32901393200956</v>
      </c>
      <c r="B913" s="91">
        <v>335.06565764466524</v>
      </c>
      <c r="C913" s="91">
        <v>329.07214928815927</v>
      </c>
      <c r="D913" s="91">
        <v>333.37225369631915</v>
      </c>
      <c r="E913" s="92">
        <v>4692953.6970559051</v>
      </c>
      <c r="F913" s="90" t="s">
        <v>921</v>
      </c>
      <c r="G913" s="25">
        <f t="shared" si="26"/>
        <v>-1.2128303179042343E-2</v>
      </c>
      <c r="I913" s="91">
        <v>507.77243916271362</v>
      </c>
      <c r="J913" s="91">
        <v>512.43288456203459</v>
      </c>
      <c r="K913" s="91">
        <v>507.61270615507561</v>
      </c>
      <c r="L913" s="91">
        <v>510.62884118165238</v>
      </c>
      <c r="M913" s="92">
        <v>764269.33797334938</v>
      </c>
      <c r="N913" s="90" t="s">
        <v>921</v>
      </c>
      <c r="O913" s="25">
        <f t="shared" si="27"/>
        <v>-5.5938908823259803E-3</v>
      </c>
    </row>
    <row r="914" spans="1:15">
      <c r="A914" s="91">
        <v>333.41982122295809</v>
      </c>
      <c r="B914" s="91">
        <v>334.91344155942068</v>
      </c>
      <c r="C914" s="91">
        <v>331.87863335985656</v>
      </c>
      <c r="D914" s="91">
        <v>334.64706341024259</v>
      </c>
      <c r="E914" s="92">
        <v>4523269.6590089668</v>
      </c>
      <c r="F914" s="90" t="s">
        <v>922</v>
      </c>
      <c r="G914" s="25">
        <f t="shared" si="26"/>
        <v>-3.6672731407776382E-3</v>
      </c>
      <c r="I914" s="91">
        <v>508.50533178599403</v>
      </c>
      <c r="J914" s="91">
        <v>511.18320867874894</v>
      </c>
      <c r="K914" s="91">
        <v>504.56838295068047</v>
      </c>
      <c r="L914" s="91">
        <v>505.50798887796293</v>
      </c>
      <c r="M914" s="92">
        <v>483753.86617091805</v>
      </c>
      <c r="N914" s="90" t="s">
        <v>922</v>
      </c>
      <c r="O914" s="25">
        <f t="shared" si="27"/>
        <v>5.9293680297398677E-3</v>
      </c>
    </row>
    <row r="915" spans="1:15">
      <c r="A915" s="91">
        <v>334.75171196884827</v>
      </c>
      <c r="B915" s="91">
        <v>334.82582217535173</v>
      </c>
      <c r="C915" s="91">
        <v>330.4516075606885</v>
      </c>
      <c r="D915" s="91">
        <v>331.95474140247882</v>
      </c>
      <c r="E915" s="92">
        <v>4805779.6179985134</v>
      </c>
      <c r="F915" s="90" t="s">
        <v>923</v>
      </c>
      <c r="G915" s="25">
        <f t="shared" si="26"/>
        <v>8.4257587481730845E-3</v>
      </c>
      <c r="I915" s="91">
        <v>502.47306173284056</v>
      </c>
      <c r="J915" s="91">
        <v>503.86367850521862</v>
      </c>
      <c r="K915" s="91">
        <v>497.87369071879294</v>
      </c>
      <c r="L915" s="91">
        <v>499.59786759535626</v>
      </c>
      <c r="M915" s="92">
        <v>506410.17280104908</v>
      </c>
      <c r="N915" s="90" t="s">
        <v>923</v>
      </c>
      <c r="O915" s="25">
        <f t="shared" si="27"/>
        <v>5.7550168324838058E-3</v>
      </c>
    </row>
    <row r="916" spans="1:15">
      <c r="A916" s="91">
        <v>332.88706492460199</v>
      </c>
      <c r="B916" s="91">
        <v>335.11322517130418</v>
      </c>
      <c r="C916" s="91">
        <v>327.58804245702447</v>
      </c>
      <c r="D916" s="91">
        <v>334.85636052745394</v>
      </c>
      <c r="E916" s="92">
        <v>6792693.9412384667</v>
      </c>
      <c r="F916" s="90" t="s">
        <v>924</v>
      </c>
      <c r="G916" s="25">
        <f t="shared" si="26"/>
        <v>-5.8810159668163386E-3</v>
      </c>
      <c r="I916" s="91">
        <v>499.27840158008024</v>
      </c>
      <c r="J916" s="91">
        <v>509.36037317982101</v>
      </c>
      <c r="K916" s="91">
        <v>494.58976800294073</v>
      </c>
      <c r="L916" s="91">
        <v>506.44759480524539</v>
      </c>
      <c r="M916" s="92">
        <v>462533.26781042467</v>
      </c>
      <c r="N916" s="90" t="s">
        <v>924</v>
      </c>
      <c r="O916" s="25">
        <f t="shared" si="27"/>
        <v>-1.4155844155844144E-2</v>
      </c>
    </row>
    <row r="917" spans="1:15">
      <c r="A917" s="91">
        <v>337.63430408316776</v>
      </c>
      <c r="B917" s="91">
        <v>338.63474430343786</v>
      </c>
      <c r="C917" s="91">
        <v>334.58998237827586</v>
      </c>
      <c r="D917" s="91">
        <v>335.06565764466524</v>
      </c>
      <c r="E917" s="92">
        <v>4028428.9207324279</v>
      </c>
      <c r="F917" s="90" t="s">
        <v>925</v>
      </c>
      <c r="G917" s="25">
        <f t="shared" si="26"/>
        <v>7.6660988074956915E-3</v>
      </c>
      <c r="I917" s="91">
        <v>506.250277560516</v>
      </c>
      <c r="J917" s="91">
        <v>507.91338005180597</v>
      </c>
      <c r="K917" s="91">
        <v>497.78442815570105</v>
      </c>
      <c r="L917" s="91">
        <v>498.93074738698573</v>
      </c>
      <c r="M917" s="92">
        <v>551975.01946376043</v>
      </c>
      <c r="N917" s="90" t="s">
        <v>925</v>
      </c>
      <c r="O917" s="25">
        <f t="shared" si="27"/>
        <v>1.4670433145009154E-2</v>
      </c>
    </row>
    <row r="918" spans="1:15">
      <c r="A918" s="91">
        <v>332.65874079673512</v>
      </c>
      <c r="B918" s="91">
        <v>334.08100984323931</v>
      </c>
      <c r="C918" s="91">
        <v>330.31651578503391</v>
      </c>
      <c r="D918" s="91">
        <v>331.49809314674502</v>
      </c>
      <c r="E918" s="92">
        <v>5327384.4133945974</v>
      </c>
      <c r="F918" s="90" t="s">
        <v>926</v>
      </c>
      <c r="G918" s="25">
        <f t="shared" si="26"/>
        <v>3.5012196871861967E-3</v>
      </c>
      <c r="I918" s="91">
        <v>497.58711091097183</v>
      </c>
      <c r="J918" s="91">
        <v>508.14828153362657</v>
      </c>
      <c r="K918" s="91">
        <v>496.27166261277631</v>
      </c>
      <c r="L918" s="91">
        <v>501.40191097573859</v>
      </c>
      <c r="M918" s="92">
        <v>683326.89413419191</v>
      </c>
      <c r="N918" s="90" t="s">
        <v>926</v>
      </c>
      <c r="O918" s="25">
        <f t="shared" si="27"/>
        <v>-7.6082679009800147E-3</v>
      </c>
    </row>
    <row r="919" spans="1:15">
      <c r="A919" s="91">
        <v>332.15290773408259</v>
      </c>
      <c r="B919" s="91">
        <v>335.49517210596849</v>
      </c>
      <c r="C919" s="91">
        <v>330.6758730541556</v>
      </c>
      <c r="D919" s="91">
        <v>335.29634051443986</v>
      </c>
      <c r="E919" s="92">
        <v>5849586.984936188</v>
      </c>
      <c r="F919" s="90" t="s">
        <v>927</v>
      </c>
      <c r="G919" s="25">
        <f t="shared" si="26"/>
        <v>-9.3750882444298966E-3</v>
      </c>
      <c r="I919" s="91">
        <v>500.35894839645505</v>
      </c>
      <c r="J919" s="91">
        <v>505.50798887796293</v>
      </c>
      <c r="K919" s="91">
        <v>494.66493647712338</v>
      </c>
      <c r="L919" s="91">
        <v>497.59650697024466</v>
      </c>
      <c r="M919" s="92">
        <v>834120.96203645493</v>
      </c>
      <c r="N919" s="90" t="s">
        <v>927</v>
      </c>
      <c r="O919" s="25">
        <f t="shared" si="27"/>
        <v>5.5515691680199097E-3</v>
      </c>
    </row>
    <row r="920" spans="1:15">
      <c r="A920" s="91">
        <v>335.04069989676026</v>
      </c>
      <c r="B920" s="91">
        <v>337.85274669123652</v>
      </c>
      <c r="C920" s="91">
        <v>333.08078849454949</v>
      </c>
      <c r="D920" s="91">
        <v>336.7345556931636</v>
      </c>
      <c r="E920" s="92">
        <v>4787697.6323601305</v>
      </c>
      <c r="F920" s="90" t="s">
        <v>928</v>
      </c>
      <c r="G920" s="25">
        <f t="shared" si="26"/>
        <v>-5.0302404899210673E-3</v>
      </c>
      <c r="I920" s="91">
        <v>497.86899268915653</v>
      </c>
      <c r="J920" s="91">
        <v>500.22740356663547</v>
      </c>
      <c r="K920" s="91">
        <v>490.10784772980344</v>
      </c>
      <c r="L920" s="91">
        <v>495.33205668549385</v>
      </c>
      <c r="M920" s="92">
        <v>1520992.9593924133</v>
      </c>
      <c r="N920" s="90" t="s">
        <v>928</v>
      </c>
      <c r="O920" s="25">
        <f t="shared" si="27"/>
        <v>5.1216875011856899E-3</v>
      </c>
    </row>
    <row r="921" spans="1:15">
      <c r="A921" s="91">
        <v>339.08360892450895</v>
      </c>
      <c r="B921" s="91">
        <v>343.92184431837222</v>
      </c>
      <c r="C921" s="91">
        <v>337.50242436330512</v>
      </c>
      <c r="D921" s="91">
        <v>343.19279514943395</v>
      </c>
      <c r="E921" s="92">
        <v>5414722.6390077826</v>
      </c>
      <c r="F921" s="90" t="s">
        <v>929</v>
      </c>
      <c r="G921" s="25">
        <f t="shared" si="26"/>
        <v>-1.1973404695561185E-2</v>
      </c>
      <c r="I921" s="91">
        <v>496.57233650950673</v>
      </c>
      <c r="J921" s="91">
        <v>501.15761343464516</v>
      </c>
      <c r="K921" s="91">
        <v>491.0474536570859</v>
      </c>
      <c r="L921" s="91">
        <v>500.55626564118438</v>
      </c>
      <c r="M921" s="92">
        <v>514316.67890567344</v>
      </c>
      <c r="N921" s="90" t="s">
        <v>929</v>
      </c>
      <c r="O921" s="25">
        <f t="shared" si="27"/>
        <v>-7.959003622848404E-3</v>
      </c>
    </row>
    <row r="922" spans="1:15">
      <c r="A922" s="91">
        <v>347.6333673602399</v>
      </c>
      <c r="B922" s="91">
        <v>352.97341581843727</v>
      </c>
      <c r="C922" s="91">
        <v>344.87812959191461</v>
      </c>
      <c r="D922" s="91">
        <v>349.47019253912339</v>
      </c>
      <c r="E922" s="92">
        <v>4971514.5485705407</v>
      </c>
      <c r="F922" s="90" t="s">
        <v>930</v>
      </c>
      <c r="G922" s="25">
        <f t="shared" si="26"/>
        <v>-5.2560281766458328E-3</v>
      </c>
      <c r="I922" s="91">
        <v>499.66364001026602</v>
      </c>
      <c r="J922" s="91">
        <v>505.19791892195968</v>
      </c>
      <c r="K922" s="91">
        <v>493.24613152692689</v>
      </c>
      <c r="L922" s="91">
        <v>496.81663405060016</v>
      </c>
      <c r="M922" s="92">
        <v>612936.74643547728</v>
      </c>
      <c r="N922" s="90" t="s">
        <v>930</v>
      </c>
      <c r="O922" s="25">
        <f t="shared" si="27"/>
        <v>5.7304964539006686E-3</v>
      </c>
    </row>
    <row r="923" spans="1:15">
      <c r="A923" s="91">
        <v>349.74476949885337</v>
      </c>
      <c r="B923" s="91">
        <v>357.12994289848808</v>
      </c>
      <c r="C923" s="91">
        <v>347.29346002043616</v>
      </c>
      <c r="D923" s="91">
        <v>357.05419753028673</v>
      </c>
      <c r="E923" s="92">
        <v>6507935.8871082766</v>
      </c>
      <c r="F923" s="90" t="s">
        <v>931</v>
      </c>
      <c r="G923" s="25">
        <f t="shared" si="26"/>
        <v>-2.0471480469889558E-2</v>
      </c>
      <c r="I923" s="91">
        <v>493.84747932038761</v>
      </c>
      <c r="J923" s="91">
        <v>504.62475930631734</v>
      </c>
      <c r="K923" s="91">
        <v>491.73336598400209</v>
      </c>
      <c r="L923" s="91">
        <v>504.57777900995325</v>
      </c>
      <c r="M923" s="92">
        <v>908548.97272627801</v>
      </c>
      <c r="N923" s="90" t="s">
        <v>931</v>
      </c>
      <c r="O923" s="25">
        <f t="shared" si="27"/>
        <v>-2.1265898214185897E-2</v>
      </c>
    </row>
    <row r="924" spans="1:15">
      <c r="A924" s="91">
        <v>347.17889515103161</v>
      </c>
      <c r="B924" s="91">
        <v>347.17889515103161</v>
      </c>
      <c r="C924" s="91">
        <v>342.3501279281935</v>
      </c>
      <c r="D924" s="91">
        <v>343.01289989995558</v>
      </c>
      <c r="E924" s="92">
        <v>3111705.5154232061</v>
      </c>
      <c r="F924" s="90" t="s">
        <v>932</v>
      </c>
      <c r="G924" s="25">
        <f t="shared" si="26"/>
        <v>1.2145301976371981E-2</v>
      </c>
      <c r="I924" s="91">
        <v>502.85830016302634</v>
      </c>
      <c r="J924" s="91">
        <v>503.52542037139693</v>
      </c>
      <c r="K924" s="91">
        <v>494.1575492763908</v>
      </c>
      <c r="L924" s="91">
        <v>498.46094442334447</v>
      </c>
      <c r="M924" s="92">
        <v>575262.44173799467</v>
      </c>
      <c r="N924" s="90" t="s">
        <v>932</v>
      </c>
      <c r="O924" s="25">
        <f t="shared" si="27"/>
        <v>8.8218661639960505E-3</v>
      </c>
    </row>
    <row r="925" spans="1:15">
      <c r="A925" s="91">
        <v>342.29331890204247</v>
      </c>
      <c r="B925" s="91">
        <v>346.00503130733068</v>
      </c>
      <c r="C925" s="91">
        <v>342.12317586872018</v>
      </c>
      <c r="D925" s="91">
        <v>343.69460821376805</v>
      </c>
      <c r="E925" s="92">
        <v>4511277.8261439381</v>
      </c>
      <c r="F925" s="90" t="s">
        <v>933</v>
      </c>
      <c r="G925" s="25">
        <f t="shared" si="26"/>
        <v>-4.077134986225972E-3</v>
      </c>
      <c r="I925" s="91">
        <v>496.99515917678389</v>
      </c>
      <c r="J925" s="91">
        <v>512.77114269585638</v>
      </c>
      <c r="K925" s="91">
        <v>496.8918025247828</v>
      </c>
      <c r="L925" s="91">
        <v>506.44759480524539</v>
      </c>
      <c r="M925" s="92">
        <v>627515.19853147189</v>
      </c>
      <c r="N925" s="90" t="s">
        <v>933</v>
      </c>
      <c r="O925" s="25">
        <f t="shared" si="27"/>
        <v>-1.8664192949907177E-2</v>
      </c>
    </row>
    <row r="926" spans="1:15">
      <c r="A926" s="91">
        <v>344.81185239473842</v>
      </c>
      <c r="B926" s="91">
        <v>345.73026498418017</v>
      </c>
      <c r="C926" s="91">
        <v>342.36906427024388</v>
      </c>
      <c r="D926" s="91">
        <v>343.81769443709527</v>
      </c>
      <c r="E926" s="92">
        <v>3806982.3521531322</v>
      </c>
      <c r="F926" s="90" t="s">
        <v>934</v>
      </c>
      <c r="G926" s="25">
        <f t="shared" si="26"/>
        <v>2.8915264505824378E-3</v>
      </c>
      <c r="I926" s="91">
        <v>507.90398399253314</v>
      </c>
      <c r="J926" s="91">
        <v>513.72954074168445</v>
      </c>
      <c r="K926" s="91">
        <v>506.69189234633882</v>
      </c>
      <c r="L926" s="91">
        <v>512.08523036894007</v>
      </c>
      <c r="M926" s="92">
        <v>403143.47643118742</v>
      </c>
      <c r="N926" s="90" t="s">
        <v>934</v>
      </c>
      <c r="O926" s="25">
        <f t="shared" si="27"/>
        <v>-8.1651376146788524E-3</v>
      </c>
    </row>
    <row r="927" spans="1:15">
      <c r="A927" s="91">
        <v>342.11342365256422</v>
      </c>
      <c r="B927" s="91">
        <v>344.27216664630362</v>
      </c>
      <c r="C927" s="91">
        <v>341.14767020799661</v>
      </c>
      <c r="D927" s="91">
        <v>341.8483148638594</v>
      </c>
      <c r="E927" s="92">
        <v>3525471.8056163592</v>
      </c>
      <c r="F927" s="90" t="s">
        <v>935</v>
      </c>
      <c r="G927" s="25">
        <f t="shared" si="26"/>
        <v>7.7551585652946287E-4</v>
      </c>
      <c r="I927" s="91">
        <v>507.58451797725718</v>
      </c>
      <c r="J927" s="91">
        <v>508.27043030417337</v>
      </c>
      <c r="K927" s="91">
        <v>497.89530165512048</v>
      </c>
      <c r="L927" s="91">
        <v>500.03948238117897</v>
      </c>
      <c r="M927" s="92">
        <v>620535.67678774777</v>
      </c>
      <c r="N927" s="90" t="s">
        <v>935</v>
      </c>
      <c r="O927" s="25">
        <f t="shared" si="27"/>
        <v>1.5088879702356506E-2</v>
      </c>
    </row>
    <row r="928" spans="1:15">
      <c r="A928" s="91">
        <v>342.77619562432625</v>
      </c>
      <c r="B928" s="91">
        <v>348.05943505637265</v>
      </c>
      <c r="C928" s="91">
        <v>340.78882652614254</v>
      </c>
      <c r="D928" s="91">
        <v>347.56709016306365</v>
      </c>
      <c r="E928" s="92">
        <v>4130723.8637767141</v>
      </c>
      <c r="F928" s="90" t="s">
        <v>936</v>
      </c>
      <c r="G928" s="25">
        <f t="shared" ref="G928:G991" si="28">A928/D928-1</f>
        <v>-1.3784085646571742E-2</v>
      </c>
      <c r="I928" s="91">
        <v>499.69182818808446</v>
      </c>
      <c r="J928" s="91">
        <v>510.95770325620111</v>
      </c>
      <c r="K928" s="91">
        <v>496.45018773896004</v>
      </c>
      <c r="L928" s="91">
        <v>510.95770325620111</v>
      </c>
      <c r="M928" s="92">
        <v>613727.50347353565</v>
      </c>
      <c r="N928" s="90" t="s">
        <v>936</v>
      </c>
      <c r="O928" s="25">
        <f t="shared" ref="O928:O991" si="29">I928/L928-1</f>
        <v>-2.2048547260022033E-2</v>
      </c>
    </row>
    <row r="929" spans="1:15">
      <c r="A929" s="91">
        <v>347.80379443869299</v>
      </c>
      <c r="B929" s="91">
        <v>352.39585738590176</v>
      </c>
      <c r="C929" s="91">
        <v>346.52559135029469</v>
      </c>
      <c r="D929" s="91">
        <v>351.53425382261099</v>
      </c>
      <c r="E929" s="92">
        <v>3915215.5048154029</v>
      </c>
      <c r="F929" s="90" t="s">
        <v>937</v>
      </c>
      <c r="G929" s="25">
        <f t="shared" si="28"/>
        <v>-1.061193708252528E-2</v>
      </c>
      <c r="I929" s="91">
        <v>508.73083720854169</v>
      </c>
      <c r="J929" s="91">
        <v>510.38454364055895</v>
      </c>
      <c r="K929" s="91">
        <v>501.60392625010434</v>
      </c>
      <c r="L929" s="91">
        <v>506.93618988743225</v>
      </c>
      <c r="M929" s="92">
        <v>714248.36786736676</v>
      </c>
      <c r="N929" s="90" t="s">
        <v>937</v>
      </c>
      <c r="O929" s="25">
        <f t="shared" si="29"/>
        <v>3.5401838671409447E-3</v>
      </c>
    </row>
    <row r="930" spans="1:15">
      <c r="A930" s="91">
        <v>354.10959634145797</v>
      </c>
      <c r="B930" s="91">
        <v>354.9427953916732</v>
      </c>
      <c r="C930" s="91">
        <v>350.00041011653309</v>
      </c>
      <c r="D930" s="91">
        <v>350.00041011653309</v>
      </c>
      <c r="E930" s="92">
        <v>3797971.1080835899</v>
      </c>
      <c r="F930" s="90" t="s">
        <v>938</v>
      </c>
      <c r="G930" s="25">
        <f t="shared" si="28"/>
        <v>1.1740518314126369E-2</v>
      </c>
      <c r="I930" s="91">
        <v>512.64899392530958</v>
      </c>
      <c r="J930" s="91">
        <v>516.66111123480573</v>
      </c>
      <c r="K930" s="91">
        <v>495.53876998949602</v>
      </c>
      <c r="L930" s="91">
        <v>496.6569010429622</v>
      </c>
      <c r="M930" s="92">
        <v>897875.34912642906</v>
      </c>
      <c r="N930" s="90" t="s">
        <v>938</v>
      </c>
      <c r="O930" s="25">
        <f t="shared" si="29"/>
        <v>3.2199477846305058E-2</v>
      </c>
    </row>
    <row r="931" spans="1:15">
      <c r="A931" s="91">
        <v>354.62087757681735</v>
      </c>
      <c r="B931" s="91">
        <v>356.95004764900978</v>
      </c>
      <c r="C931" s="91">
        <v>352.26330299154932</v>
      </c>
      <c r="D931" s="91">
        <v>355.88014432316527</v>
      </c>
      <c r="E931" s="92">
        <v>4867495.5149703277</v>
      </c>
      <c r="F931" s="90" t="s">
        <v>939</v>
      </c>
      <c r="G931" s="25">
        <f t="shared" si="28"/>
        <v>-3.5384574453932727E-3</v>
      </c>
      <c r="I931" s="91">
        <v>498.27302323788791</v>
      </c>
      <c r="J931" s="91">
        <v>503.08380558557411</v>
      </c>
      <c r="K931" s="91">
        <v>490.09845167053061</v>
      </c>
      <c r="L931" s="91">
        <v>502.33212084374821</v>
      </c>
      <c r="M931" s="92">
        <v>604779.07120436325</v>
      </c>
      <c r="N931" s="90" t="s">
        <v>939</v>
      </c>
      <c r="O931" s="25">
        <f t="shared" si="29"/>
        <v>-8.0805057798063462E-3</v>
      </c>
    </row>
    <row r="932" spans="1:15">
      <c r="A932" s="91">
        <v>354.57353672169148</v>
      </c>
      <c r="B932" s="91">
        <v>354.66821843194316</v>
      </c>
      <c r="C932" s="91">
        <v>342.41640512536969</v>
      </c>
      <c r="D932" s="91">
        <v>344.1206759099008</v>
      </c>
      <c r="E932" s="92">
        <v>5015574.8004281474</v>
      </c>
      <c r="F932" s="90" t="s">
        <v>940</v>
      </c>
      <c r="G932" s="25">
        <f t="shared" si="28"/>
        <v>3.037556747833281E-2</v>
      </c>
      <c r="I932" s="91">
        <v>501.08244496046251</v>
      </c>
      <c r="J932" s="91">
        <v>502.58581444411448</v>
      </c>
      <c r="K932" s="91">
        <v>492.78572462255846</v>
      </c>
      <c r="L932" s="91">
        <v>496.06494930877426</v>
      </c>
      <c r="M932" s="92">
        <v>837125.41307069303</v>
      </c>
      <c r="N932" s="90" t="s">
        <v>940</v>
      </c>
      <c r="O932" s="25">
        <f t="shared" si="29"/>
        <v>1.0114594185055337E-2</v>
      </c>
    </row>
    <row r="933" spans="1:15">
      <c r="A933" s="91">
        <v>343.98812151554841</v>
      </c>
      <c r="B933" s="91">
        <v>345.75866949725571</v>
      </c>
      <c r="C933" s="91">
        <v>342.25544621794182</v>
      </c>
      <c r="D933" s="91">
        <v>344.57514811910914</v>
      </c>
      <c r="E933" s="92">
        <v>2648631.9198635994</v>
      </c>
      <c r="F933" s="90" t="s">
        <v>941</v>
      </c>
      <c r="G933" s="25">
        <f t="shared" si="28"/>
        <v>-1.7036243233589099E-3</v>
      </c>
      <c r="I933" s="91">
        <v>496.44079167968721</v>
      </c>
      <c r="J933" s="91">
        <v>497.70925968151857</v>
      </c>
      <c r="K933" s="91">
        <v>491.60182115418257</v>
      </c>
      <c r="L933" s="91">
        <v>493.17096305274424</v>
      </c>
      <c r="M933" s="92">
        <v>410463.56648201612</v>
      </c>
      <c r="N933" s="90" t="s">
        <v>941</v>
      </c>
      <c r="O933" s="25">
        <f t="shared" si="29"/>
        <v>6.6302131956483823E-3</v>
      </c>
    </row>
    <row r="934" spans="1:15">
      <c r="A934" s="91">
        <v>344.59408446115947</v>
      </c>
      <c r="B934" s="91">
        <v>348.78848422531092</v>
      </c>
      <c r="C934" s="91">
        <v>343.83663077914559</v>
      </c>
      <c r="D934" s="91">
        <v>347.3493222294847</v>
      </c>
      <c r="E934" s="92">
        <v>3756798.4255281552</v>
      </c>
      <c r="F934" s="90" t="s">
        <v>942</v>
      </c>
      <c r="G934" s="25">
        <f t="shared" si="28"/>
        <v>-7.932181213541889E-3</v>
      </c>
      <c r="I934" s="91">
        <v>493.18035911201707</v>
      </c>
      <c r="J934" s="91">
        <v>498.48913260116291</v>
      </c>
      <c r="K934" s="91">
        <v>490.88772064944789</v>
      </c>
      <c r="L934" s="91">
        <v>493.03002216365189</v>
      </c>
      <c r="M934" s="92">
        <v>522167.84266039333</v>
      </c>
      <c r="N934" s="90" t="s">
        <v>942</v>
      </c>
      <c r="O934" s="25">
        <f t="shared" si="29"/>
        <v>3.0492453117858531E-4</v>
      </c>
    </row>
    <row r="935" spans="1:15">
      <c r="A935" s="91">
        <v>350.13296451088547</v>
      </c>
      <c r="B935" s="91">
        <v>350.64424574624479</v>
      </c>
      <c r="C935" s="91">
        <v>349.43231985502268</v>
      </c>
      <c r="D935" s="91">
        <v>349.74476949885337</v>
      </c>
      <c r="E935" s="92">
        <v>1503399.1213461845</v>
      </c>
      <c r="F935" s="90" t="s">
        <v>943</v>
      </c>
      <c r="G935" s="25">
        <f t="shared" si="28"/>
        <v>1.109938005901645E-3</v>
      </c>
      <c r="I935" s="91">
        <v>495.95219659750035</v>
      </c>
      <c r="J935" s="91">
        <v>497.79382421497388</v>
      </c>
      <c r="K935" s="91">
        <v>490.5494625156262</v>
      </c>
      <c r="L935" s="91">
        <v>495.05017490730916</v>
      </c>
      <c r="M935" s="92">
        <v>270706.04028186027</v>
      </c>
      <c r="N935" s="90" t="s">
        <v>943</v>
      </c>
      <c r="O935" s="25">
        <f t="shared" si="29"/>
        <v>1.8220813483402765E-3</v>
      </c>
    </row>
    <row r="936" spans="1:15">
      <c r="A936" s="91">
        <v>350.17083719498612</v>
      </c>
      <c r="B936" s="91">
        <v>350.66308740658485</v>
      </c>
      <c r="C936" s="91">
        <v>347.50318000864377</v>
      </c>
      <c r="D936" s="91">
        <v>347.68070821536571</v>
      </c>
      <c r="E936" s="92">
        <v>2736388.04486292</v>
      </c>
      <c r="F936" s="90" t="s">
        <v>944</v>
      </c>
      <c r="G936" s="25">
        <f t="shared" si="28"/>
        <v>7.1621143215054861E-3</v>
      </c>
      <c r="I936" s="91">
        <v>489.16824179833031</v>
      </c>
      <c r="J936" s="91">
        <v>492.38041599400412</v>
      </c>
      <c r="K936" s="91">
        <v>485.45036087797314</v>
      </c>
      <c r="L936" s="91">
        <v>491.13487906098783</v>
      </c>
      <c r="M936" s="92">
        <v>591192.29665613815</v>
      </c>
      <c r="N936" s="90" t="s">
        <v>944</v>
      </c>
      <c r="O936" s="25">
        <f t="shared" si="29"/>
        <v>-4.0042712226375787E-3</v>
      </c>
    </row>
    <row r="937" spans="1:15">
      <c r="A937" s="91">
        <v>347.99315785919646</v>
      </c>
      <c r="B937" s="91">
        <v>348.1257122535489</v>
      </c>
      <c r="C937" s="91">
        <v>343.89343980529668</v>
      </c>
      <c r="D937" s="91">
        <v>345.12430203856911</v>
      </c>
      <c r="E937" s="92">
        <v>2446052.1402102187</v>
      </c>
      <c r="F937" s="90" t="s">
        <v>945</v>
      </c>
      <c r="G937" s="25">
        <f t="shared" si="28"/>
        <v>8.3125291487202713E-3</v>
      </c>
      <c r="I937" s="91">
        <v>491.33154278725351</v>
      </c>
      <c r="J937" s="91">
        <v>499.87236747079442</v>
      </c>
      <c r="K937" s="91">
        <v>490.18902018704296</v>
      </c>
      <c r="L937" s="91">
        <v>496.2575008832431</v>
      </c>
      <c r="M937" s="92">
        <v>678469.95749332977</v>
      </c>
      <c r="N937" s="90" t="s">
        <v>945</v>
      </c>
      <c r="O937" s="25">
        <f t="shared" si="29"/>
        <v>-9.9262138853767334E-3</v>
      </c>
    </row>
    <row r="938" spans="1:15">
      <c r="A938" s="91">
        <v>343.42003125403801</v>
      </c>
      <c r="B938" s="91">
        <v>344.39392732568734</v>
      </c>
      <c r="C938" s="91">
        <v>341.67788778540626</v>
      </c>
      <c r="D938" s="91">
        <v>343.47684028018904</v>
      </c>
      <c r="E938" s="92">
        <v>2532564.0967245512</v>
      </c>
      <c r="F938" s="90" t="s">
        <v>946</v>
      </c>
      <c r="G938" s="25">
        <f t="shared" si="28"/>
        <v>-1.6539405132731666E-4</v>
      </c>
      <c r="I938" s="91">
        <v>494.34705325666158</v>
      </c>
      <c r="J938" s="91">
        <v>498.62683053777812</v>
      </c>
      <c r="K938" s="91">
        <v>487.43572801932254</v>
      </c>
      <c r="L938" s="91">
        <v>488.57825061953309</v>
      </c>
      <c r="M938" s="92">
        <v>920043.33201488748</v>
      </c>
      <c r="N938" s="90" t="s">
        <v>946</v>
      </c>
      <c r="O938" s="25">
        <f t="shared" si="29"/>
        <v>1.1807325909029887E-2</v>
      </c>
    </row>
    <row r="939" spans="1:15">
      <c r="A939" s="91">
        <v>344.63195714526017</v>
      </c>
      <c r="B939" s="91">
        <v>346.14686450928775</v>
      </c>
      <c r="C939" s="91">
        <v>342.01874194231249</v>
      </c>
      <c r="D939" s="91">
        <v>346.02377828596053</v>
      </c>
      <c r="E939" s="92">
        <v>2718972.8545836555</v>
      </c>
      <c r="F939" s="90" t="s">
        <v>947</v>
      </c>
      <c r="G939" s="25">
        <f t="shared" si="28"/>
        <v>-4.0223280249547244E-3</v>
      </c>
      <c r="I939" s="91">
        <v>487.37017344390063</v>
      </c>
      <c r="J939" s="91">
        <v>491.46265193809728</v>
      </c>
      <c r="K939" s="91">
        <v>483.07166628409226</v>
      </c>
      <c r="L939" s="91">
        <v>485.89051302723459</v>
      </c>
      <c r="M939" s="92">
        <v>922098.87122222339</v>
      </c>
      <c r="N939" s="90" t="s">
        <v>947</v>
      </c>
      <c r="O939" s="25">
        <f t="shared" si="29"/>
        <v>3.0452547991672851E-3</v>
      </c>
    </row>
    <row r="940" spans="1:15">
      <c r="A940" s="91">
        <v>343.11704978123248</v>
      </c>
      <c r="B940" s="91">
        <v>343.68514004274289</v>
      </c>
      <c r="C940" s="91">
        <v>339.49547436410398</v>
      </c>
      <c r="D940" s="91">
        <v>339.71797638319555</v>
      </c>
      <c r="E940" s="92">
        <v>3468910.7233781735</v>
      </c>
      <c r="F940" s="90" t="s">
        <v>948</v>
      </c>
      <c r="G940" s="25">
        <f t="shared" si="28"/>
        <v>1.0005574136008777E-2</v>
      </c>
      <c r="I940" s="91">
        <v>485.89987796658056</v>
      </c>
      <c r="J940" s="91">
        <v>486.78018226510335</v>
      </c>
      <c r="K940" s="91">
        <v>472.76086806415958</v>
      </c>
      <c r="L940" s="91">
        <v>472.87324733631141</v>
      </c>
      <c r="M940" s="92">
        <v>1015475.8774891824</v>
      </c>
      <c r="N940" s="90" t="s">
        <v>948</v>
      </c>
      <c r="O940" s="25">
        <f t="shared" si="29"/>
        <v>2.7547827464649233E-2</v>
      </c>
    </row>
    <row r="941" spans="1:15">
      <c r="A941" s="91">
        <v>344.11120773887563</v>
      </c>
      <c r="B941" s="91">
        <v>346.08058731211156</v>
      </c>
      <c r="C941" s="91">
        <v>343.5525856483905</v>
      </c>
      <c r="D941" s="91">
        <v>345.30419728804742</v>
      </c>
      <c r="E941" s="92">
        <v>2909878.7851160029</v>
      </c>
      <c r="F941" s="90" t="s">
        <v>949</v>
      </c>
      <c r="G941" s="25">
        <f t="shared" si="28"/>
        <v>-3.4548944337812193E-3</v>
      </c>
      <c r="I941" s="91">
        <v>473.05118118388521</v>
      </c>
      <c r="J941" s="91">
        <v>475.4345582474391</v>
      </c>
      <c r="K941" s="91">
        <v>464.53845131838222</v>
      </c>
      <c r="L941" s="91">
        <v>467.31047336479463</v>
      </c>
      <c r="M941" s="92">
        <v>1139412.6118469175</v>
      </c>
      <c r="N941" s="90" t="s">
        <v>949</v>
      </c>
      <c r="O941" s="25">
        <f t="shared" si="29"/>
        <v>1.2284569138276469E-2</v>
      </c>
    </row>
    <row r="942" spans="1:15">
      <c r="A942" s="91">
        <v>346.7433592838737</v>
      </c>
      <c r="B942" s="91">
        <v>350.07804911893948</v>
      </c>
      <c r="C942" s="91">
        <v>343.30641320173595</v>
      </c>
      <c r="D942" s="91">
        <v>349.04412484299058</v>
      </c>
      <c r="E942" s="92">
        <v>4856059.3041422684</v>
      </c>
      <c r="F942" s="90" t="s">
        <v>950</v>
      </c>
      <c r="G942" s="25">
        <f t="shared" si="28"/>
        <v>-6.5916180659160162E-3</v>
      </c>
      <c r="I942" s="91">
        <v>468.92124293230455</v>
      </c>
      <c r="J942" s="91">
        <v>477.61190664538128</v>
      </c>
      <c r="K942" s="91">
        <v>449.44525952263393</v>
      </c>
      <c r="L942" s="91">
        <v>454.19955828041162</v>
      </c>
      <c r="M942" s="92">
        <v>2031789.9878499277</v>
      </c>
      <c r="N942" s="90" t="s">
        <v>950</v>
      </c>
      <c r="O942" s="25">
        <f t="shared" si="29"/>
        <v>3.2412371134020512E-2</v>
      </c>
    </row>
    <row r="943" spans="1:15">
      <c r="A943" s="91">
        <v>343.9029079763219</v>
      </c>
      <c r="B943" s="91">
        <v>348.22986213482579</v>
      </c>
      <c r="C943" s="91">
        <v>343.59045833249115</v>
      </c>
      <c r="D943" s="91">
        <v>345.18111106472014</v>
      </c>
      <c r="E943" s="92">
        <v>5570571.1123905377</v>
      </c>
      <c r="F943" s="90" t="s">
        <v>951</v>
      </c>
      <c r="G943" s="25">
        <f t="shared" si="28"/>
        <v>-3.7029925665851282E-3</v>
      </c>
      <c r="I943" s="91">
        <v>451.14658805361955</v>
      </c>
      <c r="J943" s="91">
        <v>468.31252187481533</v>
      </c>
      <c r="K943" s="91">
        <v>448.07488794813554</v>
      </c>
      <c r="L943" s="91">
        <v>464.50099156099827</v>
      </c>
      <c r="M943" s="92">
        <v>2334716.669507015</v>
      </c>
      <c r="N943" s="90" t="s">
        <v>951</v>
      </c>
      <c r="O943" s="25">
        <f t="shared" si="29"/>
        <v>-2.8750000000000053E-2</v>
      </c>
    </row>
    <row r="944" spans="1:15">
      <c r="A944" s="91">
        <v>346.68655025772262</v>
      </c>
      <c r="B944" s="91">
        <v>347.50081296588746</v>
      </c>
      <c r="C944" s="91">
        <v>342.50161866459632</v>
      </c>
      <c r="D944" s="91">
        <v>344.34791201450497</v>
      </c>
      <c r="E944" s="92">
        <v>5151348.6469907211</v>
      </c>
      <c r="F944" s="90" t="s">
        <v>952</v>
      </c>
      <c r="G944" s="25">
        <f t="shared" si="28"/>
        <v>6.7914982540075997E-3</v>
      </c>
      <c r="I944" s="91">
        <v>461.41056157682226</v>
      </c>
      <c r="J944" s="91">
        <v>485.88114808788862</v>
      </c>
      <c r="K944" s="91">
        <v>459.06932674032527</v>
      </c>
      <c r="L944" s="91">
        <v>485.07576330413366</v>
      </c>
      <c r="M944" s="92">
        <v>2421202.013413379</v>
      </c>
      <c r="N944" s="90" t="s">
        <v>952</v>
      </c>
      <c r="O944" s="25">
        <f t="shared" si="29"/>
        <v>-4.8786609263084868E-2</v>
      </c>
    </row>
    <row r="945" spans="1:15">
      <c r="A945" s="91">
        <v>343.40109491198768</v>
      </c>
      <c r="B945" s="91">
        <v>343.70407638479321</v>
      </c>
      <c r="C945" s="91">
        <v>335.56144930314474</v>
      </c>
      <c r="D945" s="91">
        <v>337.55923338945615</v>
      </c>
      <c r="E945" s="92">
        <v>4862218.8886961322</v>
      </c>
      <c r="F945" s="90" t="s">
        <v>953</v>
      </c>
      <c r="G945" s="25">
        <f t="shared" si="28"/>
        <v>1.7306181981375568E-2</v>
      </c>
      <c r="I945" s="91">
        <v>497.83081069336913</v>
      </c>
      <c r="J945" s="91">
        <v>506.43718995233189</v>
      </c>
      <c r="K945" s="91">
        <v>490.46060342807664</v>
      </c>
      <c r="L945" s="91">
        <v>506.43718995233189</v>
      </c>
      <c r="M945" s="92">
        <v>1302818.9024232263</v>
      </c>
      <c r="N945" s="90" t="s">
        <v>953</v>
      </c>
      <c r="O945" s="25">
        <f t="shared" si="29"/>
        <v>-1.6993971670549723E-2</v>
      </c>
    </row>
    <row r="946" spans="1:15">
      <c r="A946" s="91">
        <v>325.58199704261273</v>
      </c>
      <c r="B946" s="91">
        <v>331.5942856435974</v>
      </c>
      <c r="C946" s="91">
        <v>325.09732136783413</v>
      </c>
      <c r="D946" s="91">
        <v>330.51491414672768</v>
      </c>
      <c r="E946" s="92">
        <v>3771365.1248023147</v>
      </c>
      <c r="F946" s="90" t="s">
        <v>954</v>
      </c>
      <c r="G946" s="25">
        <f t="shared" si="28"/>
        <v>-1.4924945571215709E-2</v>
      </c>
      <c r="I946" s="91">
        <v>499.2823762919972</v>
      </c>
      <c r="J946" s="91">
        <v>508.69414033471509</v>
      </c>
      <c r="K946" s="91">
        <v>498.97333329357957</v>
      </c>
      <c r="L946" s="91">
        <v>506.32481068018006</v>
      </c>
      <c r="M946" s="92">
        <v>642479.33464488608</v>
      </c>
      <c r="N946" s="90" t="s">
        <v>954</v>
      </c>
      <c r="O946" s="25">
        <f t="shared" si="29"/>
        <v>-1.390892612732586E-2</v>
      </c>
    </row>
    <row r="947" spans="1:15">
      <c r="A947" s="91">
        <v>332.37067566766154</v>
      </c>
      <c r="B947" s="91">
        <v>335.05016806778542</v>
      </c>
      <c r="C947" s="91">
        <v>328.62127994169316</v>
      </c>
      <c r="D947" s="91">
        <v>331.58481747257218</v>
      </c>
      <c r="E947" s="92">
        <v>3419029.917598011</v>
      </c>
      <c r="F947" s="90" t="s">
        <v>955</v>
      </c>
      <c r="G947" s="25">
        <f t="shared" si="28"/>
        <v>2.3700065674880921E-3</v>
      </c>
      <c r="I947" s="91">
        <v>506.57766404252169</v>
      </c>
      <c r="J947" s="91">
        <v>507.70613923371332</v>
      </c>
      <c r="K947" s="91">
        <v>498.52381620497221</v>
      </c>
      <c r="L947" s="91">
        <v>499.46967507891702</v>
      </c>
      <c r="M947" s="92">
        <v>696821.3844113939</v>
      </c>
      <c r="N947" s="90" t="s">
        <v>955</v>
      </c>
      <c r="O947" s="25">
        <f t="shared" si="29"/>
        <v>1.4231072111598353E-2</v>
      </c>
    </row>
    <row r="948" spans="1:15">
      <c r="A948" s="91">
        <v>330.57172317287871</v>
      </c>
      <c r="B948" s="91">
        <v>331.11140892131357</v>
      </c>
      <c r="C948" s="91">
        <v>326.74658207870897</v>
      </c>
      <c r="D948" s="91">
        <v>328.60234359964284</v>
      </c>
      <c r="E948" s="92">
        <v>3502890.8869329537</v>
      </c>
      <c r="F948" s="90" t="s">
        <v>956</v>
      </c>
      <c r="G948" s="25">
        <f t="shared" si="28"/>
        <v>5.9932000230507043E-3</v>
      </c>
      <c r="I948" s="91">
        <v>500.8088614053932</v>
      </c>
      <c r="J948" s="91">
        <v>503.44040936161588</v>
      </c>
      <c r="K948" s="91">
        <v>487.50165719231825</v>
      </c>
      <c r="L948" s="91">
        <v>489.83315249189542</v>
      </c>
      <c r="M948" s="92">
        <v>859147.04866156029</v>
      </c>
      <c r="N948" s="90" t="s">
        <v>956</v>
      </c>
      <c r="O948" s="25">
        <f t="shared" si="29"/>
        <v>2.240703565624691E-2</v>
      </c>
    </row>
    <row r="949" spans="1:15">
      <c r="A949" s="91">
        <v>327.42829039252138</v>
      </c>
      <c r="B949" s="91">
        <v>329.51128801805936</v>
      </c>
      <c r="C949" s="91">
        <v>321.91781485587092</v>
      </c>
      <c r="D949" s="91">
        <v>327.98691248300662</v>
      </c>
      <c r="E949" s="92">
        <v>3860770.9876399646</v>
      </c>
      <c r="F949" s="90" t="s">
        <v>957</v>
      </c>
      <c r="G949" s="25">
        <f t="shared" si="28"/>
        <v>-1.703184088219345E-3</v>
      </c>
      <c r="I949" s="91">
        <v>489.57093419020777</v>
      </c>
      <c r="J949" s="91">
        <v>493.68214256309642</v>
      </c>
      <c r="K949" s="91">
        <v>477.62127158472725</v>
      </c>
      <c r="L949" s="91">
        <v>492.59580959896186</v>
      </c>
      <c r="M949" s="92">
        <v>1326213.6081341461</v>
      </c>
      <c r="N949" s="90" t="s">
        <v>957</v>
      </c>
      <c r="O949" s="25">
        <f t="shared" si="29"/>
        <v>-6.1406844106464131E-3</v>
      </c>
    </row>
    <row r="950" spans="1:15">
      <c r="A950" s="91">
        <v>322.70367305096022</v>
      </c>
      <c r="B950" s="91">
        <v>325.5251880164617</v>
      </c>
      <c r="C950" s="91">
        <v>320.87631604310189</v>
      </c>
      <c r="D950" s="91">
        <v>323.186549773244</v>
      </c>
      <c r="E950" s="92">
        <v>4789493.1216848167</v>
      </c>
      <c r="F950" s="90" t="s">
        <v>958</v>
      </c>
      <c r="G950" s="25">
        <f t="shared" si="28"/>
        <v>-1.494111443135826E-3</v>
      </c>
      <c r="I950" s="91">
        <v>492.13692757100847</v>
      </c>
      <c r="J950" s="91">
        <v>497.60136967939241</v>
      </c>
      <c r="K950" s="91">
        <v>492.09946781362453</v>
      </c>
      <c r="L950" s="91">
        <v>494.50625722554338</v>
      </c>
      <c r="M950" s="92">
        <v>1281352.6662231886</v>
      </c>
      <c r="N950" s="90" t="s">
        <v>958</v>
      </c>
      <c r="O950" s="25">
        <f t="shared" si="29"/>
        <v>-4.7913036891144012E-3</v>
      </c>
    </row>
    <row r="951" spans="1:15">
      <c r="A951" s="91">
        <v>326.17849181719862</v>
      </c>
      <c r="B951" s="91">
        <v>338.13205773647911</v>
      </c>
      <c r="C951" s="91">
        <v>326.0932782779721</v>
      </c>
      <c r="D951" s="91">
        <v>334.01813742604156</v>
      </c>
      <c r="E951" s="92">
        <v>5304651.7502131863</v>
      </c>
      <c r="F951" s="90" t="s">
        <v>959</v>
      </c>
      <c r="G951" s="25">
        <f t="shared" si="28"/>
        <v>-2.3470718294687831E-2</v>
      </c>
      <c r="I951" s="91">
        <v>496.62273351773661</v>
      </c>
      <c r="J951" s="91">
        <v>505.40704662427322</v>
      </c>
      <c r="K951" s="91">
        <v>496.18258136847527</v>
      </c>
      <c r="L951" s="91">
        <v>500.13458577248207</v>
      </c>
      <c r="M951" s="92">
        <v>1187356.3286625908</v>
      </c>
      <c r="N951" s="90" t="s">
        <v>959</v>
      </c>
      <c r="O951" s="25">
        <f t="shared" si="29"/>
        <v>-7.0218144368504598E-3</v>
      </c>
    </row>
    <row r="952" spans="1:15">
      <c r="A952" s="91">
        <v>334.71878208190435</v>
      </c>
      <c r="B952" s="91">
        <v>339.6848377846074</v>
      </c>
      <c r="C952" s="91">
        <v>333.55419704580817</v>
      </c>
      <c r="D952" s="91">
        <v>339.46233576551583</v>
      </c>
      <c r="E952" s="92">
        <v>8464442.5820918679</v>
      </c>
      <c r="F952" s="90" t="s">
        <v>960</v>
      </c>
      <c r="G952" s="25">
        <f t="shared" si="28"/>
        <v>-1.3973726048029378E-2</v>
      </c>
      <c r="I952" s="91">
        <v>501.8483696727979</v>
      </c>
      <c r="J952" s="91">
        <v>515.17467836213859</v>
      </c>
      <c r="K952" s="91">
        <v>500.33124949874787</v>
      </c>
      <c r="L952" s="91">
        <v>514.71579633418526</v>
      </c>
      <c r="M952" s="92">
        <v>1391468.7024196004</v>
      </c>
      <c r="N952" s="90" t="s">
        <v>960</v>
      </c>
      <c r="O952" s="25">
        <f t="shared" si="29"/>
        <v>-2.4999090280557468E-2</v>
      </c>
    </row>
    <row r="953" spans="1:15">
      <c r="A953" s="91">
        <v>336.07273053850406</v>
      </c>
      <c r="B953" s="91">
        <v>337.93796023046309</v>
      </c>
      <c r="C953" s="91">
        <v>335.22059514623851</v>
      </c>
      <c r="D953" s="91">
        <v>336.27156213003269</v>
      </c>
      <c r="E953" s="92">
        <v>6792189.3076310549</v>
      </c>
      <c r="F953" s="90" t="s">
        <v>961</v>
      </c>
      <c r="G953" s="25">
        <f t="shared" si="28"/>
        <v>-5.9128280211739881E-4</v>
      </c>
      <c r="I953" s="91">
        <v>514.14453503407992</v>
      </c>
      <c r="J953" s="91">
        <v>518.49923182996429</v>
      </c>
      <c r="K953" s="91">
        <v>509.42039138099642</v>
      </c>
      <c r="L953" s="91">
        <v>510.20189556941904</v>
      </c>
      <c r="M953" s="92">
        <v>1162828.6738093421</v>
      </c>
      <c r="N953" s="90" t="s">
        <v>961</v>
      </c>
      <c r="O953" s="25">
        <f t="shared" si="29"/>
        <v>7.7276064610867223E-3</v>
      </c>
    </row>
    <row r="954" spans="1:15">
      <c r="A954" s="91">
        <v>338.373496097621</v>
      </c>
      <c r="B954" s="91">
        <v>338.94158635913141</v>
      </c>
      <c r="C954" s="91">
        <v>330.39182792340046</v>
      </c>
      <c r="D954" s="91">
        <v>330.47704146262703</v>
      </c>
      <c r="E954" s="92">
        <v>4634557.1793470783</v>
      </c>
      <c r="F954" s="90" t="s">
        <v>962</v>
      </c>
      <c r="G954" s="25">
        <f t="shared" si="28"/>
        <v>2.3894109557643706E-2</v>
      </c>
      <c r="I954" s="91">
        <v>513.30169049294102</v>
      </c>
      <c r="J954" s="91">
        <v>520.94348099926708</v>
      </c>
      <c r="K954" s="91">
        <v>497.2782792719558</v>
      </c>
      <c r="L954" s="91">
        <v>505.78164419811282</v>
      </c>
      <c r="M954" s="92">
        <v>1406033.6659458657</v>
      </c>
      <c r="N954" s="90" t="s">
        <v>962</v>
      </c>
      <c r="O954" s="25">
        <f t="shared" si="29"/>
        <v>1.4868167678862232E-2</v>
      </c>
    </row>
    <row r="955" spans="1:15">
      <c r="A955" s="91">
        <v>330.65693671210528</v>
      </c>
      <c r="B955" s="91">
        <v>334.97442269958401</v>
      </c>
      <c r="C955" s="91">
        <v>330.05570785200683</v>
      </c>
      <c r="D955" s="91">
        <v>333.32696094120399</v>
      </c>
      <c r="E955" s="92">
        <v>4378103.2144213952</v>
      </c>
      <c r="F955" s="90" t="s">
        <v>963</v>
      </c>
      <c r="G955" s="25">
        <f t="shared" si="28"/>
        <v>-8.0102258201960597E-3</v>
      </c>
      <c r="I955" s="91">
        <v>501.50186691699633</v>
      </c>
      <c r="J955" s="91">
        <v>503.6558029665735</v>
      </c>
      <c r="K955" s="91">
        <v>475.73891877618371</v>
      </c>
      <c r="L955" s="91">
        <v>480.02806099664616</v>
      </c>
      <c r="M955" s="92">
        <v>1804155.8386855449</v>
      </c>
      <c r="N955" s="90" t="s">
        <v>963</v>
      </c>
      <c r="O955" s="25">
        <f t="shared" si="29"/>
        <v>4.4734480471340987E-2</v>
      </c>
    </row>
    <row r="956" spans="1:15">
      <c r="A956" s="91">
        <v>332.43695286483774</v>
      </c>
      <c r="B956" s="91">
        <v>337.22784740357514</v>
      </c>
      <c r="C956" s="91">
        <v>331.8025854061512</v>
      </c>
      <c r="D956" s="91">
        <v>332.04875785280564</v>
      </c>
      <c r="E956" s="92">
        <v>4517987.6753673088</v>
      </c>
      <c r="F956" s="90" t="s">
        <v>964</v>
      </c>
      <c r="G956" s="25">
        <f t="shared" si="28"/>
        <v>1.1690903906473871E-3</v>
      </c>
      <c r="I956" s="91">
        <v>497.26891433260982</v>
      </c>
      <c r="J956" s="91">
        <v>501.22073143782973</v>
      </c>
      <c r="K956" s="91">
        <v>491.54693639221125</v>
      </c>
      <c r="L956" s="91">
        <v>495.92972800613347</v>
      </c>
      <c r="M956" s="92">
        <v>1005281.4708333719</v>
      </c>
      <c r="N956" s="90" t="s">
        <v>964</v>
      </c>
      <c r="O956" s="25">
        <f t="shared" si="29"/>
        <v>2.7003550117079556E-3</v>
      </c>
    </row>
    <row r="957" spans="1:15">
      <c r="A957" s="91">
        <v>334.93655001548331</v>
      </c>
      <c r="B957" s="91">
        <v>335.20165880418813</v>
      </c>
      <c r="C957" s="91">
        <v>329.52075618908452</v>
      </c>
      <c r="D957" s="91">
        <v>329.5396925311349</v>
      </c>
      <c r="E957" s="92">
        <v>5495671.7471261611</v>
      </c>
      <c r="F957" s="90" t="s">
        <v>965</v>
      </c>
      <c r="G957" s="25">
        <f t="shared" si="28"/>
        <v>1.6376957333716247E-2</v>
      </c>
      <c r="I957" s="91">
        <v>493.29818004991097</v>
      </c>
      <c r="J957" s="91">
        <v>494.46879746815944</v>
      </c>
      <c r="K957" s="91">
        <v>484.58878645814229</v>
      </c>
      <c r="L957" s="91">
        <v>487.32334874717071</v>
      </c>
      <c r="M957" s="92">
        <v>815599.51621814747</v>
      </c>
      <c r="N957" s="90" t="s">
        <v>965</v>
      </c>
      <c r="O957" s="25">
        <f t="shared" si="29"/>
        <v>1.226050694698011E-2</v>
      </c>
    </row>
    <row r="958" spans="1:15">
      <c r="A958" s="91">
        <v>329.57756521523555</v>
      </c>
      <c r="B958" s="91">
        <v>330.65693671210528</v>
      </c>
      <c r="C958" s="91">
        <v>324.63517994009544</v>
      </c>
      <c r="D958" s="91">
        <v>327.07796806458998</v>
      </c>
      <c r="E958" s="92">
        <v>5956184.1299726125</v>
      </c>
      <c r="F958" s="90" t="s">
        <v>966</v>
      </c>
      <c r="G958" s="25">
        <f t="shared" si="28"/>
        <v>7.642205818497505E-3</v>
      </c>
      <c r="I958" s="91">
        <v>492.55834984157798</v>
      </c>
      <c r="J958" s="91">
        <v>500.6871171938954</v>
      </c>
      <c r="K958" s="91">
        <v>490.98035756177893</v>
      </c>
      <c r="L958" s="91">
        <v>494.1129297730119</v>
      </c>
      <c r="M958" s="92">
        <v>925468.88770967885</v>
      </c>
      <c r="N958" s="90" t="s">
        <v>966</v>
      </c>
      <c r="O958" s="25">
        <f t="shared" si="29"/>
        <v>-3.146203707213413E-3</v>
      </c>
    </row>
    <row r="959" spans="1:15">
      <c r="A959" s="91">
        <v>325.61040155568821</v>
      </c>
      <c r="B959" s="91">
        <v>326.07481534447294</v>
      </c>
      <c r="C959" s="91">
        <v>316.35999846409453</v>
      </c>
      <c r="D959" s="91">
        <v>317.65713789454321</v>
      </c>
      <c r="E959" s="92">
        <v>4607468.5262885196</v>
      </c>
      <c r="F959" s="90" t="s">
        <v>967</v>
      </c>
      <c r="G959" s="25">
        <f t="shared" si="28"/>
        <v>2.50372578241429E-2</v>
      </c>
      <c r="I959" s="91">
        <v>489.46791985740191</v>
      </c>
      <c r="J959" s="91">
        <v>491.9870885414727</v>
      </c>
      <c r="K959" s="91">
        <v>477.14365967808186</v>
      </c>
      <c r="L959" s="91">
        <v>480.0093311179541</v>
      </c>
      <c r="M959" s="92">
        <v>1125761.6958850571</v>
      </c>
      <c r="N959" s="90" t="s">
        <v>967</v>
      </c>
      <c r="O959" s="25">
        <f t="shared" si="29"/>
        <v>1.9705010145153912E-2</v>
      </c>
    </row>
    <row r="960" spans="1:15">
      <c r="A960" s="91">
        <v>317.9695875383739</v>
      </c>
      <c r="B960" s="91">
        <v>324.20911224396269</v>
      </c>
      <c r="C960" s="91">
        <v>317.23107019841046</v>
      </c>
      <c r="D960" s="91">
        <v>320.18513955826432</v>
      </c>
      <c r="E960" s="92">
        <v>3653355.0046820329</v>
      </c>
      <c r="F960" s="90" t="s">
        <v>968</v>
      </c>
      <c r="G960" s="25">
        <f t="shared" si="28"/>
        <v>-6.9195966525712471E-3</v>
      </c>
      <c r="I960" s="91">
        <v>479.89695184580239</v>
      </c>
      <c r="J960" s="91">
        <v>483.68975228092739</v>
      </c>
      <c r="K960" s="91">
        <v>476.82150576457991</v>
      </c>
      <c r="L960" s="91">
        <v>479.26013597027514</v>
      </c>
      <c r="M960" s="92">
        <v>937620.59481590311</v>
      </c>
      <c r="N960" s="90" t="s">
        <v>968</v>
      </c>
      <c r="O960" s="25">
        <f t="shared" si="29"/>
        <v>1.3287478505550343E-3</v>
      </c>
    </row>
    <row r="961" spans="1:15">
      <c r="A961" s="91">
        <v>320.60173908337191</v>
      </c>
      <c r="B961" s="91">
        <v>323.49899941707474</v>
      </c>
      <c r="C961" s="91">
        <v>318.03586473555009</v>
      </c>
      <c r="D961" s="91">
        <v>321.00887043745433</v>
      </c>
      <c r="E961" s="92">
        <v>4650563.4385915594</v>
      </c>
      <c r="F961" s="90" t="s">
        <v>969</v>
      </c>
      <c r="G961" s="25">
        <f t="shared" si="28"/>
        <v>-1.2682869277961251E-3</v>
      </c>
      <c r="I961" s="91">
        <v>478.46411612586621</v>
      </c>
      <c r="J961" s="91">
        <v>483.97070046130699</v>
      </c>
      <c r="K961" s="91">
        <v>469.66772224757324</v>
      </c>
      <c r="L961" s="91">
        <v>472.77959794285152</v>
      </c>
      <c r="M961" s="92">
        <v>1433759.4194619565</v>
      </c>
      <c r="N961" s="90" t="s">
        <v>969</v>
      </c>
      <c r="O961" s="25">
        <f t="shared" si="29"/>
        <v>1.202361144124886E-2</v>
      </c>
    </row>
    <row r="962" spans="1:15">
      <c r="A962" s="91">
        <v>322.83622744531266</v>
      </c>
      <c r="B962" s="91">
        <v>326.65190036845723</v>
      </c>
      <c r="C962" s="91">
        <v>319.80167863174478</v>
      </c>
      <c r="D962" s="91">
        <v>326.34891889565171</v>
      </c>
      <c r="E962" s="92">
        <v>5178696.061746073</v>
      </c>
      <c r="F962" s="90" t="s">
        <v>970</v>
      </c>
      <c r="G962" s="25">
        <f t="shared" si="28"/>
        <v>-1.0763606823720462E-2</v>
      </c>
      <c r="I962" s="91">
        <v>474.61512605466515</v>
      </c>
      <c r="J962" s="91">
        <v>477.50889231257543</v>
      </c>
      <c r="K962" s="91">
        <v>448.5618647941269</v>
      </c>
      <c r="L962" s="91">
        <v>449.51708860741769</v>
      </c>
      <c r="M962" s="92">
        <v>1978859.5863078863</v>
      </c>
      <c r="N962" s="90" t="s">
        <v>970</v>
      </c>
      <c r="O962" s="25">
        <f t="shared" si="29"/>
        <v>5.5833333333333179E-2</v>
      </c>
    </row>
    <row r="963" spans="1:15">
      <c r="A963" s="91">
        <v>319.07736354831911</v>
      </c>
      <c r="B963" s="91">
        <v>320.11886236108813</v>
      </c>
      <c r="C963" s="91">
        <v>316.67244810792522</v>
      </c>
      <c r="D963" s="91">
        <v>316.77659798920212</v>
      </c>
      <c r="E963" s="92">
        <v>4107990.8565858058</v>
      </c>
      <c r="F963" s="90" t="s">
        <v>971</v>
      </c>
      <c r="G963" s="25">
        <f t="shared" si="28"/>
        <v>7.2630540694025303E-3</v>
      </c>
      <c r="I963" s="91">
        <v>444.91890338853761</v>
      </c>
      <c r="J963" s="91">
        <v>448.29964649243925</v>
      </c>
      <c r="K963" s="91">
        <v>436.64966194603034</v>
      </c>
      <c r="L963" s="91">
        <v>437.53933118389915</v>
      </c>
      <c r="M963" s="92">
        <v>1198747.7532152447</v>
      </c>
      <c r="N963" s="90" t="s">
        <v>971</v>
      </c>
      <c r="O963" s="25">
        <f t="shared" si="29"/>
        <v>1.6866077352796438E-2</v>
      </c>
    </row>
    <row r="964" spans="1:15">
      <c r="A964" s="91">
        <v>311.17144074229992</v>
      </c>
      <c r="B964" s="91">
        <v>322.09771010534917</v>
      </c>
      <c r="C964" s="91">
        <v>310.57968005322658</v>
      </c>
      <c r="D964" s="91">
        <v>320.61120725439707</v>
      </c>
      <c r="E964" s="92">
        <v>5158333.1004637498</v>
      </c>
      <c r="F964" s="90" t="s">
        <v>972</v>
      </c>
      <c r="G964" s="25">
        <f t="shared" si="28"/>
        <v>-2.9443033488866566E-2</v>
      </c>
      <c r="I964" s="91">
        <v>434.71111950141085</v>
      </c>
      <c r="J964" s="91">
        <v>465.4140731472321</v>
      </c>
      <c r="K964" s="91">
        <v>433.69970605204418</v>
      </c>
      <c r="L964" s="91">
        <v>464.22004338061862</v>
      </c>
      <c r="M964" s="92">
        <v>1754420.3323686197</v>
      </c>
      <c r="N964" s="90" t="s">
        <v>972</v>
      </c>
      <c r="O964" s="25">
        <f t="shared" si="29"/>
        <v>-6.3566673391163953E-2</v>
      </c>
    </row>
    <row r="965" spans="1:15">
      <c r="A965" s="91">
        <v>318.33884620835568</v>
      </c>
      <c r="B965" s="91">
        <v>319.71646509251826</v>
      </c>
      <c r="C965" s="91">
        <v>302.85838658219831</v>
      </c>
      <c r="D965" s="91">
        <v>303.77679917164005</v>
      </c>
      <c r="E965" s="92">
        <v>6756205.5892239632</v>
      </c>
      <c r="F965" s="90" t="s">
        <v>973</v>
      </c>
      <c r="G965" s="25">
        <f t="shared" si="28"/>
        <v>4.7936666251091165E-2</v>
      </c>
      <c r="I965" s="91">
        <v>469.59551856521568</v>
      </c>
      <c r="J965" s="91">
        <v>471.10327379991975</v>
      </c>
      <c r="K965" s="91">
        <v>455.49191991015795</v>
      </c>
      <c r="L965" s="91">
        <v>457.09332453832184</v>
      </c>
      <c r="M965" s="92">
        <v>984538.1437467715</v>
      </c>
      <c r="N965" s="90" t="s">
        <v>973</v>
      </c>
      <c r="O965" s="25">
        <f t="shared" si="29"/>
        <v>2.7351513040627884E-2</v>
      </c>
    </row>
    <row r="966" spans="1:15">
      <c r="A966" s="91">
        <v>310.21515546875747</v>
      </c>
      <c r="B966" s="91">
        <v>312.99879775015825</v>
      </c>
      <c r="C966" s="91">
        <v>310.025792048254</v>
      </c>
      <c r="D966" s="91">
        <v>311.64484929355854</v>
      </c>
      <c r="E966" s="92">
        <v>3416776.0504104341</v>
      </c>
      <c r="F966" s="90" t="s">
        <v>974</v>
      </c>
      <c r="G966" s="25">
        <f t="shared" si="28"/>
        <v>-4.5875740543824817E-3</v>
      </c>
      <c r="I966" s="91">
        <v>461.11088351775066</v>
      </c>
      <c r="J966" s="91">
        <v>475.86534545735452</v>
      </c>
      <c r="K966" s="91">
        <v>460.94231460952284</v>
      </c>
      <c r="L966" s="91">
        <v>475.86534545735452</v>
      </c>
      <c r="M966" s="92">
        <v>1038694.3941251877</v>
      </c>
      <c r="N966" s="90" t="s">
        <v>974</v>
      </c>
      <c r="O966" s="25">
        <f t="shared" si="29"/>
        <v>-3.1005539866373999E-2</v>
      </c>
    </row>
    <row r="967" spans="1:15">
      <c r="A967" s="91">
        <v>311.18090891332514</v>
      </c>
      <c r="B967" s="91">
        <v>315.82031271565972</v>
      </c>
      <c r="C967" s="91">
        <v>309.46716995776887</v>
      </c>
      <c r="D967" s="91">
        <v>311.6921901486844</v>
      </c>
      <c r="E967" s="92">
        <v>5247167.5752280736</v>
      </c>
      <c r="F967" s="90" t="s">
        <v>975</v>
      </c>
      <c r="G967" s="25">
        <f t="shared" si="28"/>
        <v>-1.6403402187118443E-3</v>
      </c>
      <c r="I967" s="91">
        <v>475.09273796131055</v>
      </c>
      <c r="J967" s="91">
        <v>481.88231898715168</v>
      </c>
      <c r="K967" s="91">
        <v>471.29993752618543</v>
      </c>
      <c r="L967" s="91">
        <v>472.11468724928642</v>
      </c>
      <c r="M967" s="92">
        <v>893207.06637397117</v>
      </c>
      <c r="N967" s="90" t="s">
        <v>975</v>
      </c>
      <c r="O967" s="25">
        <f t="shared" si="29"/>
        <v>6.3078967726577506E-3</v>
      </c>
    </row>
    <row r="968" spans="1:15">
      <c r="A968" s="91">
        <v>313.24497019681269</v>
      </c>
      <c r="B968" s="91">
        <v>316.87127969945391</v>
      </c>
      <c r="C968" s="91">
        <v>311.18090891332514</v>
      </c>
      <c r="D968" s="91">
        <v>316.68191627895044</v>
      </c>
      <c r="E968" s="92">
        <v>4154825.6675351481</v>
      </c>
      <c r="F968" s="90" t="s">
        <v>976</v>
      </c>
      <c r="G968" s="25">
        <f t="shared" si="28"/>
        <v>-1.0852991299668324E-2</v>
      </c>
      <c r="I968" s="91">
        <v>471.83373906890677</v>
      </c>
      <c r="J968" s="91">
        <v>476.6754127107825</v>
      </c>
      <c r="K968" s="91">
        <v>466.37397943019585</v>
      </c>
      <c r="L968" s="91">
        <v>467.14190445656686</v>
      </c>
      <c r="M968" s="92">
        <v>1468965.2000675991</v>
      </c>
      <c r="N968" s="90" t="s">
        <v>976</v>
      </c>
      <c r="O968" s="25">
        <f t="shared" si="29"/>
        <v>1.0043703139408944E-2</v>
      </c>
    </row>
    <row r="969" spans="1:15">
      <c r="A969" s="91">
        <v>315.60254478208071</v>
      </c>
      <c r="B969" s="91">
        <v>321.29291556820948</v>
      </c>
      <c r="C969" s="91">
        <v>314.01189204985172</v>
      </c>
      <c r="D969" s="91">
        <v>321.04674312155498</v>
      </c>
      <c r="E969" s="92">
        <v>5458367.8159803292</v>
      </c>
      <c r="F969" s="90" t="s">
        <v>977</v>
      </c>
      <c r="G969" s="25">
        <f t="shared" si="28"/>
        <v>-1.6957650112067846E-2</v>
      </c>
      <c r="I969" s="91">
        <v>464.58527601511213</v>
      </c>
      <c r="J969" s="91">
        <v>464.98796840698964</v>
      </c>
      <c r="K969" s="91">
        <v>452.34530028990599</v>
      </c>
      <c r="L969" s="91">
        <v>454.34939730994745</v>
      </c>
      <c r="M969" s="92">
        <v>1172112.2363384734</v>
      </c>
      <c r="N969" s="90" t="s">
        <v>977</v>
      </c>
      <c r="O969" s="25">
        <f t="shared" si="29"/>
        <v>2.2528650342155121E-2</v>
      </c>
    </row>
    <row r="970" spans="1:15">
      <c r="A970" s="91">
        <v>324.72039347932201</v>
      </c>
      <c r="B970" s="91">
        <v>329.47341533395871</v>
      </c>
      <c r="C970" s="91">
        <v>324.27538944113888</v>
      </c>
      <c r="D970" s="91">
        <v>326.82232744691038</v>
      </c>
      <c r="E970" s="92">
        <v>4097530.5470142229</v>
      </c>
      <c r="F970" s="90" t="s">
        <v>978</v>
      </c>
      <c r="G970" s="25">
        <f t="shared" si="28"/>
        <v>-6.4314270815227781E-3</v>
      </c>
      <c r="I970" s="91">
        <v>454.41495188536936</v>
      </c>
      <c r="J970" s="91">
        <v>455.41700039539006</v>
      </c>
      <c r="K970" s="91">
        <v>450.44421760267051</v>
      </c>
      <c r="L970" s="91">
        <v>453.00084604412518</v>
      </c>
      <c r="M970" s="92">
        <v>645957.20020244073</v>
      </c>
      <c r="N970" s="90" t="s">
        <v>978</v>
      </c>
      <c r="O970" s="25">
        <f t="shared" si="29"/>
        <v>3.1216406185397005E-3</v>
      </c>
    </row>
    <row r="971" spans="1:15">
      <c r="A971" s="91">
        <v>328.17627590351003</v>
      </c>
      <c r="B971" s="91">
        <v>330.09831462162009</v>
      </c>
      <c r="C971" s="91">
        <v>322.73207756403576</v>
      </c>
      <c r="D971" s="91">
        <v>324.87188421572478</v>
      </c>
      <c r="E971" s="92">
        <v>5022904.6215536306</v>
      </c>
      <c r="F971" s="90" t="s">
        <v>979</v>
      </c>
      <c r="G971" s="25">
        <f t="shared" si="28"/>
        <v>1.0171368617393206E-2</v>
      </c>
      <c r="I971" s="91">
        <v>453.68448661638229</v>
      </c>
      <c r="J971" s="91">
        <v>458.41378098610613</v>
      </c>
      <c r="K971" s="91">
        <v>450.15390448294488</v>
      </c>
      <c r="L971" s="91">
        <v>456.0725461496092</v>
      </c>
      <c r="M971" s="92">
        <v>662996.28546553571</v>
      </c>
      <c r="N971" s="90" t="s">
        <v>979</v>
      </c>
      <c r="O971" s="25">
        <f t="shared" si="29"/>
        <v>-5.2361396303901575E-3</v>
      </c>
    </row>
    <row r="972" spans="1:15">
      <c r="A972" s="91">
        <v>328.74436616502038</v>
      </c>
      <c r="B972" s="91">
        <v>328.85798421732244</v>
      </c>
      <c r="C972" s="91">
        <v>323.93453528423265</v>
      </c>
      <c r="D972" s="91">
        <v>323.94400345525781</v>
      </c>
      <c r="E972" s="92">
        <v>5396984.2606500741</v>
      </c>
      <c r="F972" s="90" t="s">
        <v>980</v>
      </c>
      <c r="G972" s="25">
        <f t="shared" si="28"/>
        <v>1.4818495352779681E-2</v>
      </c>
      <c r="I972" s="91">
        <v>459.14424625509321</v>
      </c>
      <c r="J972" s="91">
        <v>465.54986476774889</v>
      </c>
      <c r="K972" s="91">
        <v>456.08191108895517</v>
      </c>
      <c r="L972" s="91">
        <v>457.40236753673946</v>
      </c>
      <c r="M972" s="92">
        <v>1052598.3816673798</v>
      </c>
      <c r="N972" s="90" t="s">
        <v>980</v>
      </c>
      <c r="O972" s="25">
        <f t="shared" si="29"/>
        <v>3.8081978624953106E-3</v>
      </c>
    </row>
    <row r="973" spans="1:15">
      <c r="A973" s="91">
        <v>319.05842720626879</v>
      </c>
      <c r="B973" s="91">
        <v>320.64907993849778</v>
      </c>
      <c r="C973" s="91">
        <v>312.54432554094996</v>
      </c>
      <c r="D973" s="91">
        <v>314.14444644420416</v>
      </c>
      <c r="E973" s="92">
        <v>6061357.5575915799</v>
      </c>
      <c r="F973" s="90" t="s">
        <v>981</v>
      </c>
      <c r="G973" s="25">
        <f t="shared" si="28"/>
        <v>1.5642424425088119E-2</v>
      </c>
      <c r="I973" s="91">
        <v>454.86446897397673</v>
      </c>
      <c r="J973" s="91">
        <v>458.81647337798364</v>
      </c>
      <c r="K973" s="91">
        <v>443.89812499982497</v>
      </c>
      <c r="L973" s="91">
        <v>446.18317020024597</v>
      </c>
      <c r="M973" s="92">
        <v>972346.92757526331</v>
      </c>
      <c r="N973" s="90" t="s">
        <v>981</v>
      </c>
      <c r="O973" s="25">
        <f t="shared" si="29"/>
        <v>1.9456804634371494E-2</v>
      </c>
    </row>
    <row r="974" spans="1:15">
      <c r="A974" s="91">
        <v>310.84005475641891</v>
      </c>
      <c r="B974" s="91">
        <v>318.31044169528013</v>
      </c>
      <c r="C974" s="91">
        <v>310.66962767796576</v>
      </c>
      <c r="D974" s="91">
        <v>314.8829637841676</v>
      </c>
      <c r="E974" s="92">
        <v>8171199.0409033671</v>
      </c>
      <c r="F974" s="90" t="s">
        <v>982</v>
      </c>
      <c r="G974" s="25">
        <f t="shared" si="28"/>
        <v>-1.2839402231109132E-2</v>
      </c>
      <c r="I974" s="91">
        <v>440.45182732050142</v>
      </c>
      <c r="J974" s="91">
        <v>443.89812499982497</v>
      </c>
      <c r="K974" s="91">
        <v>436.87442049033405</v>
      </c>
      <c r="L974" s="91">
        <v>436.87442049033405</v>
      </c>
      <c r="M974" s="92">
        <v>1211497.4353636031</v>
      </c>
      <c r="N974" s="90" t="s">
        <v>982</v>
      </c>
      <c r="O974" s="25">
        <f t="shared" si="29"/>
        <v>8.1886387995713239E-3</v>
      </c>
    </row>
    <row r="975" spans="1:15">
      <c r="A975" s="91">
        <v>315.64988563720658</v>
      </c>
      <c r="B975" s="91">
        <v>319.36140867907432</v>
      </c>
      <c r="C975" s="91">
        <v>312.95145689503238</v>
      </c>
      <c r="D975" s="91">
        <v>319.21938611369666</v>
      </c>
      <c r="E975" s="92">
        <v>7636238.2774640918</v>
      </c>
      <c r="F975" s="90" t="s">
        <v>983</v>
      </c>
      <c r="G975" s="25">
        <f t="shared" si="28"/>
        <v>-1.1181966483760908E-2</v>
      </c>
      <c r="I975" s="91">
        <v>440.60166635003725</v>
      </c>
      <c r="J975" s="91">
        <v>451.48372587007515</v>
      </c>
      <c r="K975" s="91">
        <v>435.01079756048244</v>
      </c>
      <c r="L975" s="91">
        <v>450.13517460425288</v>
      </c>
      <c r="M975" s="92">
        <v>972717.45853887149</v>
      </c>
      <c r="N975" s="90" t="s">
        <v>983</v>
      </c>
      <c r="O975" s="25">
        <f t="shared" si="29"/>
        <v>-2.1179211916947493E-2</v>
      </c>
    </row>
    <row r="976" spans="1:15">
      <c r="A976" s="91">
        <v>322.37228706507921</v>
      </c>
      <c r="B976" s="91">
        <v>323.90613077115717</v>
      </c>
      <c r="C976" s="91">
        <v>315.46052221670317</v>
      </c>
      <c r="D976" s="91">
        <v>316.99436592278113</v>
      </c>
      <c r="E976" s="92">
        <v>9171728.073893372</v>
      </c>
      <c r="F976" s="90" t="s">
        <v>984</v>
      </c>
      <c r="G976" s="25">
        <f t="shared" si="28"/>
        <v>1.6965352449223481E-2</v>
      </c>
      <c r="I976" s="91">
        <v>452.97275122608721</v>
      </c>
      <c r="J976" s="91">
        <v>454.99557812482061</v>
      </c>
      <c r="K976" s="91">
        <v>434.7954039555247</v>
      </c>
      <c r="L976" s="91">
        <v>445.32627825008808</v>
      </c>
      <c r="M976" s="92">
        <v>1012606.6650995141</v>
      </c>
      <c r="N976" s="90" t="s">
        <v>984</v>
      </c>
      <c r="O976" s="25">
        <f t="shared" si="29"/>
        <v>1.7170495767835581E-2</v>
      </c>
    </row>
    <row r="977" spans="1:15">
      <c r="A977" s="91">
        <v>316.16192431721436</v>
      </c>
      <c r="B977" s="91">
        <v>322.24214260591117</v>
      </c>
      <c r="C977" s="91">
        <v>313.98435776730895</v>
      </c>
      <c r="D977" s="91">
        <v>320.30967012655793</v>
      </c>
      <c r="E977" s="92">
        <v>6148134.618701661</v>
      </c>
      <c r="F977" s="90" t="s">
        <v>985</v>
      </c>
      <c r="G977" s="25">
        <f t="shared" si="28"/>
        <v>-1.2949174490126225E-2</v>
      </c>
      <c r="I977" s="91">
        <v>444.0292341506688</v>
      </c>
      <c r="J977" s="91">
        <v>448.75852852039264</v>
      </c>
      <c r="K977" s="91">
        <v>441.31340174033232</v>
      </c>
      <c r="L977" s="91">
        <v>447.02601474138487</v>
      </c>
      <c r="M977" s="92">
        <v>1093185.9376522291</v>
      </c>
      <c r="N977" s="90" t="s">
        <v>985</v>
      </c>
      <c r="O977" s="25">
        <f t="shared" si="29"/>
        <v>-6.7038169857961405E-3</v>
      </c>
    </row>
    <row r="978" spans="1:15">
      <c r="A978" s="91">
        <v>317.05746034423169</v>
      </c>
      <c r="B978" s="91">
        <v>322.07246209552898</v>
      </c>
      <c r="C978" s="91">
        <v>315.86027007653485</v>
      </c>
      <c r="D978" s="91">
        <v>318.83910570324525</v>
      </c>
      <c r="E978" s="92">
        <v>5734444.5617713025</v>
      </c>
      <c r="F978" s="90" t="s">
        <v>986</v>
      </c>
      <c r="G978" s="25">
        <f t="shared" si="28"/>
        <v>-5.5879135499514732E-3</v>
      </c>
      <c r="I978" s="91">
        <v>444.24462775562654</v>
      </c>
      <c r="J978" s="91">
        <v>451.40880635530721</v>
      </c>
      <c r="K978" s="91">
        <v>442.36227494708294</v>
      </c>
      <c r="L978" s="91">
        <v>447.06347449876887</v>
      </c>
      <c r="M978" s="92">
        <v>701741.86475809698</v>
      </c>
      <c r="N978" s="90" t="s">
        <v>986</v>
      </c>
      <c r="O978" s="25">
        <f t="shared" si="29"/>
        <v>-6.3052494867820164E-3</v>
      </c>
    </row>
    <row r="979" spans="1:15">
      <c r="A979" s="91">
        <v>320.15884300621815</v>
      </c>
      <c r="B979" s="91">
        <v>322.46838328642082</v>
      </c>
      <c r="C979" s="91">
        <v>316.08651075704449</v>
      </c>
      <c r="D979" s="91">
        <v>322.46838328642082</v>
      </c>
      <c r="E979" s="92">
        <v>11129553.864176085</v>
      </c>
      <c r="F979" s="90" t="s">
        <v>987</v>
      </c>
      <c r="G979" s="25">
        <f t="shared" si="28"/>
        <v>-7.1620673526660017E-3</v>
      </c>
      <c r="I979" s="91">
        <v>448.41202576459108</v>
      </c>
      <c r="J979" s="91">
        <v>460.64263655045124</v>
      </c>
      <c r="K979" s="91">
        <v>443.97304451459286</v>
      </c>
      <c r="L979" s="91">
        <v>460.64263655045124</v>
      </c>
      <c r="M979" s="92">
        <v>937246.86041456938</v>
      </c>
      <c r="N979" s="90" t="s">
        <v>987</v>
      </c>
      <c r="O979" s="25">
        <f t="shared" si="29"/>
        <v>-2.6551191347483183E-2</v>
      </c>
    </row>
    <row r="980" spans="1:15">
      <c r="A980" s="91">
        <v>325.56976594840728</v>
      </c>
      <c r="B980" s="91">
        <v>328.55802827013895</v>
      </c>
      <c r="C980" s="91">
        <v>324.90989729692086</v>
      </c>
      <c r="D980" s="91">
        <v>327.62478546303663</v>
      </c>
      <c r="E980" s="92">
        <v>5893499.2460081857</v>
      </c>
      <c r="F980" s="90" t="s">
        <v>988</v>
      </c>
      <c r="G980" s="25">
        <f t="shared" si="28"/>
        <v>-6.2724787800317872E-3</v>
      </c>
      <c r="I980" s="91">
        <v>464.9317787709137</v>
      </c>
      <c r="J980" s="91">
        <v>468.83695847819064</v>
      </c>
      <c r="K980" s="91">
        <v>451.63356489961092</v>
      </c>
      <c r="L980" s="91">
        <v>461.47611615224417</v>
      </c>
      <c r="M980" s="92">
        <v>1288609.5204845157</v>
      </c>
      <c r="N980" s="90" t="s">
        <v>988</v>
      </c>
      <c r="O980" s="25">
        <f t="shared" si="29"/>
        <v>7.4882805365585892E-3</v>
      </c>
    </row>
    <row r="981" spans="1:15">
      <c r="A981" s="91">
        <v>328.3412142846505</v>
      </c>
      <c r="B981" s="91">
        <v>338.70115211298821</v>
      </c>
      <c r="C981" s="91">
        <v>328.3412142846505</v>
      </c>
      <c r="D981" s="91">
        <v>335.94855716678745</v>
      </c>
      <c r="E981" s="92">
        <v>5412715.6850899253</v>
      </c>
      <c r="F981" s="90" t="s">
        <v>989</v>
      </c>
      <c r="G981" s="25">
        <f t="shared" si="28"/>
        <v>-2.2644368370840051E-2</v>
      </c>
      <c r="I981" s="91">
        <v>461.56976554570406</v>
      </c>
      <c r="J981" s="91">
        <v>482.75316469693519</v>
      </c>
      <c r="K981" s="91">
        <v>461.3262771227084</v>
      </c>
      <c r="L981" s="91">
        <v>473.38831900034074</v>
      </c>
      <c r="M981" s="92">
        <v>1331350.8544336227</v>
      </c>
      <c r="N981" s="90" t="s">
        <v>989</v>
      </c>
      <c r="O981" s="25">
        <f t="shared" si="29"/>
        <v>-2.4965874695839663E-2</v>
      </c>
    </row>
    <row r="982" spans="1:15">
      <c r="A982" s="91">
        <v>334.2234719779014</v>
      </c>
      <c r="B982" s="91">
        <v>335.94855716678745</v>
      </c>
      <c r="C982" s="91">
        <v>331.66242747453214</v>
      </c>
      <c r="D982" s="91">
        <v>335.00588766466393</v>
      </c>
      <c r="E982" s="92">
        <v>3844361.1380620059</v>
      </c>
      <c r="F982" s="90" t="s">
        <v>990</v>
      </c>
      <c r="G982" s="25">
        <f t="shared" si="28"/>
        <v>-2.3355281670324191E-3</v>
      </c>
      <c r="I982" s="91">
        <v>462.6280036918007</v>
      </c>
      <c r="J982" s="91">
        <v>464.57591107576616</v>
      </c>
      <c r="K982" s="91">
        <v>450.48167736005439</v>
      </c>
      <c r="L982" s="91">
        <v>457.06522972028392</v>
      </c>
      <c r="M982" s="92">
        <v>935148.608704224</v>
      </c>
      <c r="N982" s="90" t="s">
        <v>990</v>
      </c>
      <c r="O982" s="25">
        <f t="shared" si="29"/>
        <v>1.2170634758021492E-2</v>
      </c>
    </row>
    <row r="983" spans="1:15">
      <c r="A983" s="91">
        <v>338.03185676648047</v>
      </c>
      <c r="B983" s="91">
        <v>338.03185676648047</v>
      </c>
      <c r="C983" s="91">
        <v>332.52666687407901</v>
      </c>
      <c r="D983" s="91">
        <v>332.57380034918521</v>
      </c>
      <c r="E983" s="92">
        <v>3620192.4346893304</v>
      </c>
      <c r="F983" s="90" t="s">
        <v>991</v>
      </c>
      <c r="G983" s="25">
        <f t="shared" si="28"/>
        <v>1.641156462585025E-2</v>
      </c>
      <c r="I983" s="91">
        <v>457.07459465962989</v>
      </c>
      <c r="J983" s="91">
        <v>461.28881736532441</v>
      </c>
      <c r="K983" s="91">
        <v>450.50040723874639</v>
      </c>
      <c r="L983" s="91">
        <v>452.50450425878779</v>
      </c>
      <c r="M983" s="92">
        <v>900183.08592801006</v>
      </c>
      <c r="N983" s="90" t="s">
        <v>991</v>
      </c>
      <c r="O983" s="25">
        <f t="shared" si="29"/>
        <v>1.0099546762143419E-2</v>
      </c>
    </row>
    <row r="984" spans="1:15">
      <c r="A984" s="91">
        <v>335.45836902568328</v>
      </c>
      <c r="B984" s="91">
        <v>336.04282411699984</v>
      </c>
      <c r="C984" s="91">
        <v>332.47010670395161</v>
      </c>
      <c r="D984" s="91">
        <v>334.23289867292266</v>
      </c>
      <c r="E984" s="92">
        <v>4723042.3705979949</v>
      </c>
      <c r="F984" s="90" t="s">
        <v>992</v>
      </c>
      <c r="G984" s="25">
        <f t="shared" si="28"/>
        <v>3.6665162454874167E-3</v>
      </c>
      <c r="I984" s="91">
        <v>454.38685706733133</v>
      </c>
      <c r="J984" s="91">
        <v>456.86762950008352</v>
      </c>
      <c r="K984" s="91">
        <v>449.79803678779734</v>
      </c>
      <c r="L984" s="91">
        <v>452.66370822766959</v>
      </c>
      <c r="M984" s="92">
        <v>1191181.2333070983</v>
      </c>
      <c r="N984" s="90" t="s">
        <v>992</v>
      </c>
      <c r="O984" s="25">
        <f t="shared" si="29"/>
        <v>3.8066865276398243E-3</v>
      </c>
    </row>
    <row r="985" spans="1:15">
      <c r="A985" s="91">
        <v>338.11669702167165</v>
      </c>
      <c r="B985" s="91">
        <v>343.10341868790516</v>
      </c>
      <c r="C985" s="91">
        <v>336.9100800589535</v>
      </c>
      <c r="D985" s="91">
        <v>340.45451738693805</v>
      </c>
      <c r="E985" s="92">
        <v>4039018.9683902771</v>
      </c>
      <c r="F985" s="90" t="s">
        <v>993</v>
      </c>
      <c r="G985" s="25">
        <f t="shared" si="28"/>
        <v>-6.8667626536715876E-3</v>
      </c>
      <c r="I985" s="91">
        <v>454.27447779517951</v>
      </c>
      <c r="J985" s="91">
        <v>456.78428153990427</v>
      </c>
      <c r="K985" s="91">
        <v>448.14980746290348</v>
      </c>
      <c r="L985" s="91">
        <v>452.07371704887237</v>
      </c>
      <c r="M985" s="92">
        <v>809382.71140510379</v>
      </c>
      <c r="N985" s="90" t="s">
        <v>993</v>
      </c>
      <c r="O985" s="25">
        <f t="shared" si="29"/>
        <v>4.8681457543553464E-3</v>
      </c>
    </row>
    <row r="986" spans="1:15">
      <c r="A986" s="91">
        <v>341.93450850527199</v>
      </c>
      <c r="B986" s="91">
        <v>343.29195258832988</v>
      </c>
      <c r="C986" s="91">
        <v>338.9179660984766</v>
      </c>
      <c r="D986" s="91">
        <v>341.79310807995341</v>
      </c>
      <c r="E986" s="92">
        <v>3771746.0806682971</v>
      </c>
      <c r="F986" s="90" t="s">
        <v>994</v>
      </c>
      <c r="G986" s="25">
        <f t="shared" si="28"/>
        <v>4.1370180374000753E-4</v>
      </c>
      <c r="I986" s="91">
        <v>454.08717900825974</v>
      </c>
      <c r="J986" s="91">
        <v>454.38685706733133</v>
      </c>
      <c r="K986" s="91">
        <v>441.88147896105994</v>
      </c>
      <c r="L986" s="91">
        <v>442.78369721765239</v>
      </c>
      <c r="M986" s="92">
        <v>1235909.766458726</v>
      </c>
      <c r="N986" s="90" t="s">
        <v>994</v>
      </c>
      <c r="O986" s="25">
        <f t="shared" si="29"/>
        <v>2.5528224868340388E-2</v>
      </c>
    </row>
    <row r="987" spans="1:15">
      <c r="A987" s="91">
        <v>340.66190467740518</v>
      </c>
      <c r="B987" s="91">
        <v>349.28733062183557</v>
      </c>
      <c r="C987" s="91">
        <v>339.62506249201948</v>
      </c>
      <c r="D987" s="91">
        <v>348.16555391430853</v>
      </c>
      <c r="E987" s="92">
        <v>5886659.096851483</v>
      </c>
      <c r="F987" s="90" t="s">
        <v>995</v>
      </c>
      <c r="G987" s="25">
        <f t="shared" si="28"/>
        <v>-2.1551957545892564E-2</v>
      </c>
      <c r="I987" s="91">
        <v>439.15010075140913</v>
      </c>
      <c r="J987" s="91">
        <v>456.44246125377566</v>
      </c>
      <c r="K987" s="91">
        <v>435.70380307208558</v>
      </c>
      <c r="L987" s="91">
        <v>449.11439621554018</v>
      </c>
      <c r="M987" s="92">
        <v>893289.28794226458</v>
      </c>
      <c r="N987" s="90" t="s">
        <v>995</v>
      </c>
      <c r="O987" s="25">
        <f t="shared" si="29"/>
        <v>-2.218654211064075E-2</v>
      </c>
    </row>
    <row r="988" spans="1:15">
      <c r="A988" s="91">
        <v>356.19709807240116</v>
      </c>
      <c r="B988" s="91">
        <v>356.80983324878144</v>
      </c>
      <c r="C988" s="91">
        <v>353.98182474241082</v>
      </c>
      <c r="D988" s="91">
        <v>354.27405228806913</v>
      </c>
      <c r="E988" s="92">
        <v>3141455.1901053251</v>
      </c>
      <c r="F988" s="90" t="s">
        <v>996</v>
      </c>
      <c r="G988" s="25">
        <f t="shared" si="28"/>
        <v>5.4281304879995051E-3</v>
      </c>
      <c r="I988" s="91">
        <v>451.67102465699492</v>
      </c>
      <c r="J988" s="91">
        <v>459.9215362208102</v>
      </c>
      <c r="K988" s="91">
        <v>450.87968728225889</v>
      </c>
      <c r="L988" s="91">
        <v>459.86534658473425</v>
      </c>
      <c r="M988" s="92">
        <v>980735.66316634405</v>
      </c>
      <c r="N988" s="90" t="s">
        <v>996</v>
      </c>
      <c r="O988" s="25">
        <f t="shared" si="29"/>
        <v>-1.7818959372772558E-2</v>
      </c>
    </row>
    <row r="989" spans="1:15">
      <c r="A989" s="91">
        <v>352.32272641867337</v>
      </c>
      <c r="B989" s="91">
        <v>353.13342219049963</v>
      </c>
      <c r="C989" s="91">
        <v>348.76886239566767</v>
      </c>
      <c r="D989" s="91">
        <v>349.01395646621978</v>
      </c>
      <c r="E989" s="92">
        <v>2780996.939112212</v>
      </c>
      <c r="F989" s="90" t="s">
        <v>997</v>
      </c>
      <c r="G989" s="25">
        <f t="shared" si="28"/>
        <v>9.4803370786515906E-3</v>
      </c>
      <c r="I989" s="91">
        <v>460.20248440118985</v>
      </c>
      <c r="J989" s="91">
        <v>463.92036532154702</v>
      </c>
      <c r="K989" s="91">
        <v>455.38890557735203</v>
      </c>
      <c r="L989" s="91">
        <v>458.38568616806822</v>
      </c>
      <c r="M989" s="92">
        <v>752377.5370759489</v>
      </c>
      <c r="N989" s="90" t="s">
        <v>997</v>
      </c>
      <c r="O989" s="25">
        <f t="shared" si="29"/>
        <v>3.9634706927900165E-3</v>
      </c>
    </row>
    <row r="990" spans="1:15">
      <c r="A990" s="91">
        <v>346.96836364661169</v>
      </c>
      <c r="B990" s="91">
        <v>347.35485814248233</v>
      </c>
      <c r="C990" s="91">
        <v>341.50088053429511</v>
      </c>
      <c r="D990" s="91">
        <v>342.54253033414165</v>
      </c>
      <c r="E990" s="92">
        <v>3916576.2673800206</v>
      </c>
      <c r="F990" s="90" t="s">
        <v>998</v>
      </c>
      <c r="G990" s="25">
        <f t="shared" si="28"/>
        <v>1.2920536635707025E-2</v>
      </c>
      <c r="I990" s="91">
        <v>458.62917459106387</v>
      </c>
      <c r="J990" s="91">
        <v>458.71345904517773</v>
      </c>
      <c r="K990" s="91">
        <v>450.73752750298684</v>
      </c>
      <c r="L990" s="91">
        <v>456.13810072503111</v>
      </c>
      <c r="M990" s="92">
        <v>624567.84650782053</v>
      </c>
      <c r="N990" s="90" t="s">
        <v>998</v>
      </c>
      <c r="O990" s="25">
        <f t="shared" si="29"/>
        <v>5.4612273389862409E-3</v>
      </c>
    </row>
    <row r="991" spans="1:15">
      <c r="A991" s="91">
        <v>344.71538353653642</v>
      </c>
      <c r="B991" s="91">
        <v>345.37053884051227</v>
      </c>
      <c r="C991" s="91">
        <v>338.12650078449371</v>
      </c>
      <c r="D991" s="91">
        <v>338.2863775320539</v>
      </c>
      <c r="E991" s="92">
        <v>4388548.6808268828</v>
      </c>
      <c r="F991" s="90" t="s">
        <v>999</v>
      </c>
      <c r="G991" s="25">
        <f t="shared" si="28"/>
        <v>1.9004625759349025E-2</v>
      </c>
      <c r="I991" s="91">
        <v>456.80301141859621</v>
      </c>
      <c r="J991" s="91">
        <v>457.21506874981975</v>
      </c>
      <c r="K991" s="91">
        <v>445.74301805098457</v>
      </c>
      <c r="L991" s="91">
        <v>447.45680195130035</v>
      </c>
      <c r="M991" s="92">
        <v>547092.70511132653</v>
      </c>
      <c r="N991" s="90" t="s">
        <v>999</v>
      </c>
      <c r="O991" s="25">
        <f t="shared" si="29"/>
        <v>2.0887400586019123E-2</v>
      </c>
    </row>
    <row r="992" spans="1:15">
      <c r="A992" s="91">
        <v>338.64459194286081</v>
      </c>
      <c r="B992" s="91">
        <v>341.51030722931637</v>
      </c>
      <c r="C992" s="91">
        <v>336.53301225810407</v>
      </c>
      <c r="D992" s="91">
        <v>340.64305128736271</v>
      </c>
      <c r="E992" s="92">
        <v>6025773.6006140262</v>
      </c>
      <c r="F992" s="90" t="s">
        <v>1000</v>
      </c>
      <c r="G992" s="25">
        <f t="shared" ref="G992:G1055" si="30">A992/D992-1</f>
        <v>-5.8667257029001441E-3</v>
      </c>
      <c r="I992" s="91">
        <v>449.27360018442198</v>
      </c>
      <c r="J992" s="91">
        <v>453.44099819338658</v>
      </c>
      <c r="K992" s="91">
        <v>446.44538850193368</v>
      </c>
      <c r="L992" s="91">
        <v>446.52030801670156</v>
      </c>
      <c r="M992" s="92">
        <v>607865.12220592599</v>
      </c>
      <c r="N992" s="90" t="s">
        <v>1000</v>
      </c>
      <c r="O992" s="25">
        <f t="shared" ref="O992:O1055" si="31">I992/L992-1</f>
        <v>6.166107382550301E-3</v>
      </c>
    </row>
    <row r="993" spans="1:15">
      <c r="A993" s="91">
        <v>339.78522204043026</v>
      </c>
      <c r="B993" s="91">
        <v>347.96759331886261</v>
      </c>
      <c r="C993" s="91">
        <v>338.21096397188393</v>
      </c>
      <c r="D993" s="91">
        <v>346.85524330635684</v>
      </c>
      <c r="E993" s="92">
        <v>4820589.8141005738</v>
      </c>
      <c r="F993" s="90" t="s">
        <v>1001</v>
      </c>
      <c r="G993" s="25">
        <f t="shared" si="30"/>
        <v>-2.0383204239706521E-2</v>
      </c>
      <c r="I993" s="91">
        <v>446.66078210689136</v>
      </c>
      <c r="J993" s="91">
        <v>454.54606103621319</v>
      </c>
      <c r="K993" s="91">
        <v>444.59113051142805</v>
      </c>
      <c r="L993" s="91">
        <v>453.25369940646686</v>
      </c>
      <c r="M993" s="92">
        <v>546848.17603159673</v>
      </c>
      <c r="N993" s="90" t="s">
        <v>1001</v>
      </c>
      <c r="O993" s="25">
        <f t="shared" si="31"/>
        <v>-1.4545755077584377E-2</v>
      </c>
    </row>
    <row r="994" spans="1:15">
      <c r="A994" s="91">
        <v>343.38621953854221</v>
      </c>
      <c r="B994" s="91">
        <v>343.79156742445531</v>
      </c>
      <c r="C994" s="91">
        <v>337.95644320631061</v>
      </c>
      <c r="D994" s="91">
        <v>340.3979572168106</v>
      </c>
      <c r="E994" s="92">
        <v>6499454.9905328872</v>
      </c>
      <c r="F994" s="90" t="s">
        <v>1002</v>
      </c>
      <c r="G994" s="25">
        <f t="shared" si="30"/>
        <v>8.7787316532816906E-3</v>
      </c>
      <c r="I994" s="91">
        <v>449.81676666648929</v>
      </c>
      <c r="J994" s="91">
        <v>450.8656398732399</v>
      </c>
      <c r="K994" s="91">
        <v>444.83461893442376</v>
      </c>
      <c r="L994" s="91">
        <v>445.73365311163855</v>
      </c>
      <c r="M994" s="92">
        <v>602319.97150270781</v>
      </c>
      <c r="N994" s="90" t="s">
        <v>1002</v>
      </c>
      <c r="O994" s="25">
        <f t="shared" si="31"/>
        <v>9.1604336498867234E-3</v>
      </c>
    </row>
    <row r="995" spans="1:15">
      <c r="A995" s="91">
        <v>342.33042969616383</v>
      </c>
      <c r="B995" s="91">
        <v>347.64708568814063</v>
      </c>
      <c r="C995" s="91">
        <v>342.2927229160789</v>
      </c>
      <c r="D995" s="91">
        <v>346.53473567563486</v>
      </c>
      <c r="E995" s="92">
        <v>4309611.1530588027</v>
      </c>
      <c r="F995" s="90" t="s">
        <v>1003</v>
      </c>
      <c r="G995" s="25">
        <f t="shared" si="30"/>
        <v>-1.2132422948233246E-2</v>
      </c>
      <c r="I995" s="91">
        <v>447.63473579887415</v>
      </c>
      <c r="J995" s="91">
        <v>451.94260789802848</v>
      </c>
      <c r="K995" s="91">
        <v>446.67885643982913</v>
      </c>
      <c r="L995" s="91">
        <v>450.57532675351428</v>
      </c>
      <c r="M995" s="92">
        <v>774240.99955397542</v>
      </c>
      <c r="N995" s="90" t="s">
        <v>1003</v>
      </c>
      <c r="O995" s="25">
        <f t="shared" si="31"/>
        <v>-6.5263026624818865E-3</v>
      </c>
    </row>
    <row r="996" spans="1:15">
      <c r="A996" s="91">
        <v>345.0453178622796</v>
      </c>
      <c r="B996" s="91">
        <v>350.14987321627859</v>
      </c>
      <c r="C996" s="91">
        <v>343.1505521630113</v>
      </c>
      <c r="D996" s="91">
        <v>350.0131861384707</v>
      </c>
      <c r="E996" s="92">
        <v>5351330.4383309651</v>
      </c>
      <c r="F996" s="90" t="s">
        <v>1004</v>
      </c>
      <c r="G996" s="25">
        <f t="shared" si="30"/>
        <v>-1.4193374629679623E-2</v>
      </c>
      <c r="I996" s="91">
        <v>450.38802796659456</v>
      </c>
      <c r="J996" s="91">
        <v>455.83842266595951</v>
      </c>
      <c r="K996" s="91">
        <v>448.24345685636331</v>
      </c>
      <c r="L996" s="91">
        <v>455.69794857576971</v>
      </c>
      <c r="M996" s="92">
        <v>612621.15941604227</v>
      </c>
      <c r="N996" s="90" t="s">
        <v>1004</v>
      </c>
      <c r="O996" s="25">
        <f t="shared" si="31"/>
        <v>-1.1652281134402087E-2</v>
      </c>
    </row>
    <row r="997" spans="1:15">
      <c r="A997" s="91">
        <v>348.83484926081627</v>
      </c>
      <c r="B997" s="91">
        <v>351.66285776718689</v>
      </c>
      <c r="C997" s="91">
        <v>347.63765899311937</v>
      </c>
      <c r="D997" s="91">
        <v>348.57090180022169</v>
      </c>
      <c r="E997" s="92">
        <v>5254396.147156639</v>
      </c>
      <c r="F997" s="90" t="s">
        <v>1005</v>
      </c>
      <c r="G997" s="25">
        <f t="shared" si="30"/>
        <v>7.5722746572193245E-4</v>
      </c>
      <c r="I997" s="91">
        <v>454.95811836743661</v>
      </c>
      <c r="J997" s="91">
        <v>458.10473798768857</v>
      </c>
      <c r="K997" s="91">
        <v>446.80125619708122</v>
      </c>
      <c r="L997" s="91">
        <v>449.5639133041476</v>
      </c>
      <c r="M997" s="92">
        <v>533337.14351709269</v>
      </c>
      <c r="N997" s="90" t="s">
        <v>1005</v>
      </c>
      <c r="O997" s="25">
        <f t="shared" si="31"/>
        <v>1.1998750130194802E-2</v>
      </c>
    </row>
    <row r="998" spans="1:15">
      <c r="A998" s="91">
        <v>351.1538162360402</v>
      </c>
      <c r="B998" s="91">
        <v>363.91756129479296</v>
      </c>
      <c r="C998" s="91">
        <v>351.1538162360402</v>
      </c>
      <c r="D998" s="91">
        <v>363.4462265437312</v>
      </c>
      <c r="E998" s="92">
        <v>5466560.6433554236</v>
      </c>
      <c r="F998" s="90" t="s">
        <v>1006</v>
      </c>
      <c r="G998" s="25">
        <f t="shared" si="30"/>
        <v>-3.3821812994423661E-2</v>
      </c>
      <c r="I998" s="91">
        <v>454.32130249190942</v>
      </c>
      <c r="J998" s="91">
        <v>465.20336201194738</v>
      </c>
      <c r="K998" s="91">
        <v>453.92329256970493</v>
      </c>
      <c r="L998" s="91">
        <v>462.03801251300348</v>
      </c>
      <c r="M998" s="92">
        <v>478991.89031285915</v>
      </c>
      <c r="N998" s="90" t="s">
        <v>1006</v>
      </c>
      <c r="O998" s="25">
        <f t="shared" si="31"/>
        <v>-1.6701461377870652E-2</v>
      </c>
    </row>
    <row r="999" spans="1:15">
      <c r="A999" s="91">
        <v>363.61590705411345</v>
      </c>
      <c r="B999" s="91">
        <v>363.61590705411345</v>
      </c>
      <c r="C999" s="91">
        <v>358.874279458432</v>
      </c>
      <c r="D999" s="91">
        <v>359.87350913068292</v>
      </c>
      <c r="E999" s="92">
        <v>2791317.6294263504</v>
      </c>
      <c r="F999" s="90" t="s">
        <v>1007</v>
      </c>
      <c r="G999" s="25">
        <f t="shared" si="30"/>
        <v>1.0399203688181258E-2</v>
      </c>
      <c r="I999" s="91">
        <v>461.45738628188332</v>
      </c>
      <c r="J999" s="91">
        <v>461.56937238112658</v>
      </c>
      <c r="K999" s="91">
        <v>454.27161158043828</v>
      </c>
      <c r="L999" s="91">
        <v>456.3340222415024</v>
      </c>
      <c r="M999" s="92">
        <v>402199.91860012524</v>
      </c>
      <c r="N999" s="90" t="s">
        <v>1007</v>
      </c>
      <c r="O999" s="25">
        <f t="shared" si="31"/>
        <v>1.1227223460602564E-2</v>
      </c>
    </row>
    <row r="1000" spans="1:15">
      <c r="A1000" s="91">
        <v>358.39351801234898</v>
      </c>
      <c r="B1000" s="91">
        <v>359.70382862030067</v>
      </c>
      <c r="C1000" s="91">
        <v>356.49875231308067</v>
      </c>
      <c r="D1000" s="91">
        <v>357.17747435460961</v>
      </c>
      <c r="E1000" s="92">
        <v>2377551.1936592548</v>
      </c>
      <c r="F1000" s="90" t="s">
        <v>1008</v>
      </c>
      <c r="G1000" s="25">
        <f t="shared" si="30"/>
        <v>3.4045922406966689E-3</v>
      </c>
      <c r="I1000" s="91">
        <v>456.24070049213299</v>
      </c>
      <c r="J1000" s="91">
        <v>457.5518710707733</v>
      </c>
      <c r="K1000" s="91">
        <v>452.21853309431117</v>
      </c>
      <c r="L1000" s="91">
        <v>452.79712794040154</v>
      </c>
      <c r="M1000" s="92">
        <v>656486.83628383256</v>
      </c>
      <c r="N1000" s="90" t="s">
        <v>1008</v>
      </c>
      <c r="O1000" s="25">
        <f t="shared" si="31"/>
        <v>7.6051112943116284E-3</v>
      </c>
    </row>
    <row r="1001" spans="1:15">
      <c r="A1001" s="91">
        <v>357.30944808490693</v>
      </c>
      <c r="B1001" s="91">
        <v>359.97720277591657</v>
      </c>
      <c r="C1001" s="91">
        <v>356.8223707531597</v>
      </c>
      <c r="D1001" s="91">
        <v>357.79963622601116</v>
      </c>
      <c r="E1001" s="92">
        <v>3043679.6709097112</v>
      </c>
      <c r="F1001" s="90" t="s">
        <v>1009</v>
      </c>
      <c r="G1001" s="25">
        <f t="shared" si="30"/>
        <v>-1.3700073769628007E-3</v>
      </c>
      <c r="I1001" s="91">
        <v>450.63206335503111</v>
      </c>
      <c r="J1001" s="91">
        <v>453.18907928775309</v>
      </c>
      <c r="K1001" s="91">
        <v>447.63176911280448</v>
      </c>
      <c r="L1001" s="91">
        <v>450.59473465528333</v>
      </c>
      <c r="M1001" s="92">
        <v>483855.05313725624</v>
      </c>
      <c r="N1001" s="90" t="s">
        <v>1009</v>
      </c>
      <c r="O1001" s="25">
        <f t="shared" si="31"/>
        <v>8.2843177864333484E-5</v>
      </c>
    </row>
    <row r="1002" spans="1:15">
      <c r="A1002" s="91">
        <v>358.15785063681813</v>
      </c>
      <c r="B1002" s="91">
        <v>361.55146084446289</v>
      </c>
      <c r="C1002" s="91">
        <v>357.35658156001307</v>
      </c>
      <c r="D1002" s="91">
        <v>361.44776719922925</v>
      </c>
      <c r="E1002" s="92">
        <v>4406335.4024320999</v>
      </c>
      <c r="F1002" s="90" t="s">
        <v>1010</v>
      </c>
      <c r="G1002" s="25">
        <f t="shared" si="30"/>
        <v>-9.1020525258846963E-3</v>
      </c>
      <c r="I1002" s="91">
        <v>451.85457827177049</v>
      </c>
      <c r="J1002" s="91">
        <v>460.20687484033311</v>
      </c>
      <c r="K1002" s="91">
        <v>451.43463039960812</v>
      </c>
      <c r="L1002" s="91">
        <v>455.41013692274521</v>
      </c>
      <c r="M1002" s="92">
        <v>651199.75151169789</v>
      </c>
      <c r="N1002" s="90" t="s">
        <v>1010</v>
      </c>
      <c r="O1002" s="25">
        <f t="shared" si="31"/>
        <v>-7.8073770491803307E-3</v>
      </c>
    </row>
    <row r="1003" spans="1:15">
      <c r="A1003" s="91">
        <v>365.86888716418866</v>
      </c>
      <c r="B1003" s="91">
        <v>368.5366418551983</v>
      </c>
      <c r="C1003" s="91">
        <v>365.0487646973412</v>
      </c>
      <c r="D1003" s="91">
        <v>368.30097447966739</v>
      </c>
      <c r="E1003" s="92">
        <v>3075340.8203717084</v>
      </c>
      <c r="F1003" s="90" t="s">
        <v>1011</v>
      </c>
      <c r="G1003" s="25">
        <f t="shared" si="30"/>
        <v>-6.6035321218326226E-3</v>
      </c>
      <c r="I1003" s="91">
        <v>457.97648503040409</v>
      </c>
      <c r="J1003" s="91">
        <v>460.30019658970252</v>
      </c>
      <c r="K1003" s="91">
        <v>455.26082212375411</v>
      </c>
      <c r="L1003" s="91">
        <v>459.26432517170201</v>
      </c>
      <c r="M1003" s="92">
        <v>650006.03192593425</v>
      </c>
      <c r="N1003" s="90" t="s">
        <v>1011</v>
      </c>
      <c r="O1003" s="25">
        <f t="shared" si="31"/>
        <v>-2.8041371182411234E-3</v>
      </c>
    </row>
    <row r="1004" spans="1:15">
      <c r="A1004" s="91">
        <v>370.98758256071949</v>
      </c>
      <c r="B1004" s="91">
        <v>371.43063722671752</v>
      </c>
      <c r="C1004" s="91">
        <v>368.74402914566548</v>
      </c>
      <c r="D1004" s="91">
        <v>369.92236602331991</v>
      </c>
      <c r="E1004" s="92">
        <v>3456228.2885577162</v>
      </c>
      <c r="F1004" s="90" t="s">
        <v>1012</v>
      </c>
      <c r="G1004" s="25">
        <f t="shared" si="30"/>
        <v>2.8795678099995392E-3</v>
      </c>
      <c r="I1004" s="91">
        <v>459.96423829197261</v>
      </c>
      <c r="J1004" s="91">
        <v>463.99573786473138</v>
      </c>
      <c r="K1004" s="91">
        <v>457.67925525866252</v>
      </c>
      <c r="L1004" s="91">
        <v>461.00010970997317</v>
      </c>
      <c r="M1004" s="92">
        <v>634318.37058340257</v>
      </c>
      <c r="N1004" s="90" t="s">
        <v>1012</v>
      </c>
      <c r="O1004" s="25">
        <f t="shared" si="31"/>
        <v>-2.2470090487662908E-3</v>
      </c>
    </row>
    <row r="1005" spans="1:15">
      <c r="A1005" s="91">
        <v>369.84695246314999</v>
      </c>
      <c r="B1005" s="91">
        <v>372.21305291348011</v>
      </c>
      <c r="C1005" s="91">
        <v>367.91740225925332</v>
      </c>
      <c r="D1005" s="91">
        <v>369.11167025149365</v>
      </c>
      <c r="E1005" s="92">
        <v>3418297.7095801923</v>
      </c>
      <c r="F1005" s="90" t="s">
        <v>1013</v>
      </c>
      <c r="G1005" s="25">
        <f t="shared" si="30"/>
        <v>1.9920318725099584E-3</v>
      </c>
      <c r="I1005" s="91">
        <v>459.61894781930579</v>
      </c>
      <c r="J1005" s="91">
        <v>463.15948166863205</v>
      </c>
      <c r="K1005" s="91">
        <v>450.39875898160761</v>
      </c>
      <c r="L1005" s="91">
        <v>450.48274855604012</v>
      </c>
      <c r="M1005" s="92">
        <v>913009.03139653732</v>
      </c>
      <c r="N1005" s="90" t="s">
        <v>1013</v>
      </c>
      <c r="O1005" s="25">
        <f t="shared" si="31"/>
        <v>2.0280908186940616E-2</v>
      </c>
    </row>
    <row r="1006" spans="1:15">
      <c r="A1006" s="91">
        <v>372.39216011888357</v>
      </c>
      <c r="B1006" s="91">
        <v>374.13609869781209</v>
      </c>
      <c r="C1006" s="91">
        <v>369.94121941336238</v>
      </c>
      <c r="D1006" s="91">
        <v>370.69535501506118</v>
      </c>
      <c r="E1006" s="92">
        <v>4099898.2053558524</v>
      </c>
      <c r="F1006" s="90" t="s">
        <v>1014</v>
      </c>
      <c r="G1006" s="25">
        <f t="shared" si="30"/>
        <v>4.5773573390295308E-3</v>
      </c>
      <c r="I1006" s="91">
        <v>453.07709318850982</v>
      </c>
      <c r="J1006" s="91">
        <v>455.97006741896172</v>
      </c>
      <c r="K1006" s="91">
        <v>450.95878279957344</v>
      </c>
      <c r="L1006" s="91">
        <v>452.91844621458176</v>
      </c>
      <c r="M1006" s="92">
        <v>536634.81812539813</v>
      </c>
      <c r="N1006" s="90" t="s">
        <v>1014</v>
      </c>
      <c r="O1006" s="25">
        <f t="shared" si="31"/>
        <v>3.5027713102442348E-4</v>
      </c>
    </row>
    <row r="1007" spans="1:15">
      <c r="A1007" s="91">
        <v>371.74171816241835</v>
      </c>
      <c r="B1007" s="91">
        <v>372.12821265828899</v>
      </c>
      <c r="C1007" s="91">
        <v>368.07473379915774</v>
      </c>
      <c r="D1007" s="91">
        <v>368.10301388422147</v>
      </c>
      <c r="E1007" s="92">
        <v>3398787.1600624998</v>
      </c>
      <c r="F1007" s="90" t="s">
        <v>1015</v>
      </c>
      <c r="G1007" s="25">
        <f t="shared" si="30"/>
        <v>9.8850162616199722E-3</v>
      </c>
      <c r="I1007" s="91">
        <v>454.35560115487078</v>
      </c>
      <c r="J1007" s="91">
        <v>456.7353057637909</v>
      </c>
      <c r="K1007" s="91">
        <v>443.36229907915367</v>
      </c>
      <c r="L1007" s="91">
        <v>446.04996546099289</v>
      </c>
      <c r="M1007" s="92">
        <v>628117.24379452073</v>
      </c>
      <c r="N1007" s="90" t="s">
        <v>1015</v>
      </c>
      <c r="O1007" s="25">
        <f t="shared" si="31"/>
        <v>1.8620415507249355E-2</v>
      </c>
    </row>
    <row r="1008" spans="1:15">
      <c r="A1008" s="91">
        <v>370.15803339885082</v>
      </c>
      <c r="B1008" s="91">
        <v>370.20516687395695</v>
      </c>
      <c r="C1008" s="91">
        <v>364.89793757700141</v>
      </c>
      <c r="D1008" s="91">
        <v>365.70863334882768</v>
      </c>
      <c r="E1008" s="92">
        <v>3887212.8479232062</v>
      </c>
      <c r="F1008" s="90" t="s">
        <v>1016</v>
      </c>
      <c r="G1008" s="25">
        <f t="shared" si="30"/>
        <v>1.2166516303647512E-2</v>
      </c>
      <c r="I1008" s="91">
        <v>447.55244562584045</v>
      </c>
      <c r="J1008" s="91">
        <v>447.72042477470541</v>
      </c>
      <c r="K1008" s="91">
        <v>437.88431239116909</v>
      </c>
      <c r="L1008" s="91">
        <v>439.0974951329714</v>
      </c>
      <c r="M1008" s="92">
        <v>751955.4709826149</v>
      </c>
      <c r="N1008" s="90" t="s">
        <v>1016</v>
      </c>
      <c r="O1008" s="25">
        <f t="shared" si="31"/>
        <v>1.9255292017342551E-2</v>
      </c>
    </row>
    <row r="1009" spans="1:15">
      <c r="A1009" s="91">
        <v>363.92698798981417</v>
      </c>
      <c r="B1009" s="91">
        <v>368.2538410045612</v>
      </c>
      <c r="C1009" s="91">
        <v>363.30482611841262</v>
      </c>
      <c r="D1009" s="91">
        <v>366.57588929078133</v>
      </c>
      <c r="E1009" s="92">
        <v>3792813.9098016904</v>
      </c>
      <c r="F1009" s="90" t="s">
        <v>1017</v>
      </c>
      <c r="G1009" s="25">
        <f t="shared" si="30"/>
        <v>-7.226065266027204E-3</v>
      </c>
      <c r="I1009" s="91">
        <v>438.90151945929568</v>
      </c>
      <c r="J1009" s="91">
        <v>442.64372160900922</v>
      </c>
      <c r="K1009" s="91">
        <v>436.57780789999725</v>
      </c>
      <c r="L1009" s="91">
        <v>442.34509201102708</v>
      </c>
      <c r="M1009" s="92">
        <v>739854.32620520983</v>
      </c>
      <c r="N1009" s="90" t="s">
        <v>1017</v>
      </c>
      <c r="O1009" s="25">
        <f t="shared" si="31"/>
        <v>-7.7848101265822756E-3</v>
      </c>
    </row>
    <row r="1010" spans="1:15">
      <c r="A1010" s="91">
        <v>363.92698798981417</v>
      </c>
      <c r="B1010" s="91">
        <v>364.08724180517521</v>
      </c>
      <c r="C1010" s="91">
        <v>361.13668626352853</v>
      </c>
      <c r="D1010" s="91">
        <v>362.91833162254198</v>
      </c>
      <c r="E1010" s="92">
        <v>3873035.02635383</v>
      </c>
      <c r="F1010" s="90" t="s">
        <v>1018</v>
      </c>
      <c r="G1010" s="25">
        <f t="shared" si="30"/>
        <v>2.779292968648539E-3</v>
      </c>
      <c r="I1010" s="91">
        <v>441.54252496645012</v>
      </c>
      <c r="J1010" s="91">
        <v>443.27830950472122</v>
      </c>
      <c r="K1010" s="91">
        <v>438.18760807661965</v>
      </c>
      <c r="L1010" s="91">
        <v>442.80236858293722</v>
      </c>
      <c r="M1010" s="92">
        <v>762209.24361831741</v>
      </c>
      <c r="N1010" s="90" t="s">
        <v>1018</v>
      </c>
      <c r="O1010" s="25">
        <f t="shared" si="31"/>
        <v>-2.8451600665978516E-3</v>
      </c>
    </row>
    <row r="1011" spans="1:15">
      <c r="A1011" s="91">
        <v>356.46104553299574</v>
      </c>
      <c r="B1011" s="91">
        <v>357.65823580069264</v>
      </c>
      <c r="C1011" s="91">
        <v>355.48066925078729</v>
      </c>
      <c r="D1011" s="91">
        <v>357.29059469486441</v>
      </c>
      <c r="E1011" s="92">
        <v>2504084.4057036685</v>
      </c>
      <c r="F1011" s="90" t="s">
        <v>1019</v>
      </c>
      <c r="G1011" s="25">
        <f t="shared" si="30"/>
        <v>-2.3217772149225491E-3</v>
      </c>
      <c r="I1011" s="91">
        <v>442.09312328772967</v>
      </c>
      <c r="J1011" s="91">
        <v>449.97881110944525</v>
      </c>
      <c r="K1011" s="91">
        <v>441.42120669226989</v>
      </c>
      <c r="L1011" s="91">
        <v>442.33575983609018</v>
      </c>
      <c r="M1011" s="92">
        <v>715261.98823997064</v>
      </c>
      <c r="N1011" s="90" t="s">
        <v>1019</v>
      </c>
      <c r="O1011" s="25">
        <f t="shared" si="31"/>
        <v>-5.4853477921479321E-4</v>
      </c>
    </row>
    <row r="1012" spans="1:15">
      <c r="A1012" s="91">
        <v>357.87504978618102</v>
      </c>
      <c r="B1012" s="91">
        <v>361.89723201784176</v>
      </c>
      <c r="C1012" s="91">
        <v>356.86639341890884</v>
      </c>
      <c r="D1012" s="91">
        <v>359.89236252072538</v>
      </c>
      <c r="E1012" s="92">
        <v>3665492.5105948341</v>
      </c>
      <c r="F1012" s="90" t="s">
        <v>1020</v>
      </c>
      <c r="G1012" s="25">
        <f t="shared" si="30"/>
        <v>-5.605322437005511E-3</v>
      </c>
      <c r="I1012" s="91">
        <v>438.65888291093518</v>
      </c>
      <c r="J1012" s="91">
        <v>448.01905437268749</v>
      </c>
      <c r="K1012" s="91">
        <v>434.66937812539265</v>
      </c>
      <c r="L1012" s="91">
        <v>446.96451860481312</v>
      </c>
      <c r="M1012" s="92">
        <v>658145.61358972325</v>
      </c>
      <c r="N1012" s="90" t="s">
        <v>1020</v>
      </c>
      <c r="O1012" s="25">
        <f t="shared" si="31"/>
        <v>-1.8582315481783129E-2</v>
      </c>
    </row>
    <row r="1013" spans="1:15">
      <c r="A1013" s="91">
        <v>358.19555741690306</v>
      </c>
      <c r="B1013" s="91">
        <v>358.874279458432</v>
      </c>
      <c r="C1013" s="91">
        <v>354.95277432959807</v>
      </c>
      <c r="D1013" s="91">
        <v>355.05646797483166</v>
      </c>
      <c r="E1013" s="92">
        <v>3025546.0620876453</v>
      </c>
      <c r="F1013" s="90" t="s">
        <v>1021</v>
      </c>
      <c r="G1013" s="25">
        <f t="shared" si="30"/>
        <v>8.8410991636798109E-3</v>
      </c>
      <c r="I1013" s="91">
        <v>445.69534281338906</v>
      </c>
      <c r="J1013" s="91">
        <v>446.43258463340743</v>
      </c>
      <c r="K1013" s="91">
        <v>438.03829327762855</v>
      </c>
      <c r="L1013" s="91">
        <v>443.91289740043328</v>
      </c>
      <c r="M1013" s="92">
        <v>559743.04332018597</v>
      </c>
      <c r="N1013" s="90" t="s">
        <v>1021</v>
      </c>
      <c r="O1013" s="25">
        <f t="shared" si="31"/>
        <v>4.0153044063235832E-3</v>
      </c>
    </row>
    <row r="1014" spans="1:15">
      <c r="A1014" s="91">
        <v>358.9402663235806</v>
      </c>
      <c r="B1014" s="91">
        <v>359.65669514519453</v>
      </c>
      <c r="C1014" s="91">
        <v>357.45084851022546</v>
      </c>
      <c r="D1014" s="91">
        <v>359.04395996881425</v>
      </c>
      <c r="E1014" s="92">
        <v>3618055.9488950372</v>
      </c>
      <c r="F1014" s="90" t="s">
        <v>1022</v>
      </c>
      <c r="G1014" s="25">
        <f t="shared" si="30"/>
        <v>-2.8880487292604062E-4</v>
      </c>
      <c r="I1014" s="91">
        <v>446.11529068555149</v>
      </c>
      <c r="J1014" s="91">
        <v>453.68825732513011</v>
      </c>
      <c r="K1014" s="91">
        <v>445.62535150136199</v>
      </c>
      <c r="L1014" s="91">
        <v>449.81083196058029</v>
      </c>
      <c r="M1014" s="92">
        <v>701789.24465666118</v>
      </c>
      <c r="N1014" s="90" t="s">
        <v>1022</v>
      </c>
      <c r="O1014" s="25">
        <f t="shared" si="31"/>
        <v>-8.2157676348546538E-3</v>
      </c>
    </row>
    <row r="1015" spans="1:15">
      <c r="A1015" s="91">
        <v>359.2230671742177</v>
      </c>
      <c r="B1015" s="91">
        <v>360.19401676140495</v>
      </c>
      <c r="C1015" s="91">
        <v>355.30156204538378</v>
      </c>
      <c r="D1015" s="91">
        <v>355.56550950597835</v>
      </c>
      <c r="E1015" s="92">
        <v>4089215.7763843886</v>
      </c>
      <c r="F1015" s="90" t="s">
        <v>1023</v>
      </c>
      <c r="G1015" s="25">
        <f t="shared" si="30"/>
        <v>1.0286592963758334E-2</v>
      </c>
      <c r="I1015" s="91">
        <v>449.57752758715674</v>
      </c>
      <c r="J1015" s="91">
        <v>451.77992087227494</v>
      </c>
      <c r="K1015" s="91">
        <v>439.5641038798185</v>
      </c>
      <c r="L1015" s="91">
        <v>447.944396973192</v>
      </c>
      <c r="M1015" s="92">
        <v>905578.82349017705</v>
      </c>
      <c r="N1015" s="90" t="s">
        <v>1023</v>
      </c>
      <c r="O1015" s="25">
        <f t="shared" si="31"/>
        <v>3.6458333333333481E-3</v>
      </c>
    </row>
    <row r="1016" spans="1:15">
      <c r="A1016" s="91">
        <v>353.69902389177372</v>
      </c>
      <c r="B1016" s="91">
        <v>357.86279508265346</v>
      </c>
      <c r="C1016" s="91">
        <v>352.51126031909808</v>
      </c>
      <c r="D1016" s="91">
        <v>354.54742644368497</v>
      </c>
      <c r="E1016" s="92">
        <v>4383920.3354840335</v>
      </c>
      <c r="F1016" s="90" t="s">
        <v>1024</v>
      </c>
      <c r="G1016" s="25">
        <f t="shared" si="30"/>
        <v>-2.3929169657814775E-3</v>
      </c>
      <c r="I1016" s="91">
        <v>448.92427534157088</v>
      </c>
      <c r="J1016" s="91">
        <v>455.74609522047507</v>
      </c>
      <c r="K1016" s="91">
        <v>440.66063443490913</v>
      </c>
      <c r="L1016" s="91">
        <v>449.66151716158919</v>
      </c>
      <c r="M1016" s="92">
        <v>736845.38132475701</v>
      </c>
      <c r="N1016" s="90" t="s">
        <v>1024</v>
      </c>
      <c r="O1016" s="25">
        <f t="shared" si="31"/>
        <v>-1.6395483978082215E-3</v>
      </c>
    </row>
    <row r="1017" spans="1:15">
      <c r="A1017" s="91">
        <v>355.99913747695518</v>
      </c>
      <c r="B1017" s="91">
        <v>358.22383750196673</v>
      </c>
      <c r="C1017" s="91">
        <v>353.91583787726216</v>
      </c>
      <c r="D1017" s="91">
        <v>354.55685313870617</v>
      </c>
      <c r="E1017" s="92">
        <v>4690264.1806487134</v>
      </c>
      <c r="F1017" s="90" t="s">
        <v>1025</v>
      </c>
      <c r="G1017" s="25">
        <f t="shared" si="30"/>
        <v>4.0678506859512797E-3</v>
      </c>
      <c r="I1017" s="91">
        <v>443.86623652574855</v>
      </c>
      <c r="J1017" s="91">
        <v>455.56878389667321</v>
      </c>
      <c r="K1017" s="91">
        <v>440.68396487225152</v>
      </c>
      <c r="L1017" s="91">
        <v>449.22290493955296</v>
      </c>
      <c r="M1017" s="92">
        <v>1000230.9282748194</v>
      </c>
      <c r="N1017" s="90" t="s">
        <v>1025</v>
      </c>
      <c r="O1017" s="25">
        <f t="shared" si="31"/>
        <v>-1.1924299395475346E-2</v>
      </c>
    </row>
    <row r="1018" spans="1:15">
      <c r="A1018" s="91">
        <v>357.07378070937608</v>
      </c>
      <c r="B1018" s="91">
        <v>357.89390317622355</v>
      </c>
      <c r="C1018" s="91">
        <v>352.49240692905562</v>
      </c>
      <c r="D1018" s="91">
        <v>353.24654253075448</v>
      </c>
      <c r="E1018" s="92">
        <v>5565485.0275536282</v>
      </c>
      <c r="F1018" s="90" t="s">
        <v>1026</v>
      </c>
      <c r="G1018" s="25">
        <f t="shared" si="30"/>
        <v>1.0834467483254784E-2</v>
      </c>
      <c r="I1018" s="91">
        <v>446.91785773012839</v>
      </c>
      <c r="J1018" s="91">
        <v>447.75775347445318</v>
      </c>
      <c r="K1018" s="91">
        <v>425.60317017415406</v>
      </c>
      <c r="L1018" s="91">
        <v>427.15231121368635</v>
      </c>
      <c r="M1018" s="92">
        <v>1284929.8347947556</v>
      </c>
      <c r="N1018" s="90" t="s">
        <v>1026</v>
      </c>
      <c r="O1018" s="25">
        <f t="shared" si="31"/>
        <v>4.6272830551428612E-2</v>
      </c>
    </row>
    <row r="1019" spans="1:15">
      <c r="A1019" s="91">
        <v>351.91737853276027</v>
      </c>
      <c r="B1019" s="91">
        <v>352.47355353901315</v>
      </c>
      <c r="C1019" s="91">
        <v>344.99818438717347</v>
      </c>
      <c r="D1019" s="91">
        <v>348.24096747447845</v>
      </c>
      <c r="E1019" s="92">
        <v>4609606.0074196877</v>
      </c>
      <c r="F1019" s="90" t="s">
        <v>1027</v>
      </c>
      <c r="G1019" s="25">
        <f t="shared" si="30"/>
        <v>1.0557089491635585E-2</v>
      </c>
      <c r="I1019" s="91">
        <v>424.11002218424335</v>
      </c>
      <c r="J1019" s="91">
        <v>425.4351910252891</v>
      </c>
      <c r="K1019" s="91">
        <v>404.89507398908086</v>
      </c>
      <c r="L1019" s="91">
        <v>409.11321706057839</v>
      </c>
      <c r="M1019" s="92">
        <v>1089492.0068153171</v>
      </c>
      <c r="N1019" s="90" t="s">
        <v>1027</v>
      </c>
      <c r="O1019" s="25">
        <f t="shared" si="31"/>
        <v>3.665685804876917E-2</v>
      </c>
    </row>
    <row r="1020" spans="1:15">
      <c r="A1020" s="91">
        <v>347.52453865286458</v>
      </c>
      <c r="B1020" s="91">
        <v>349.09879672141085</v>
      </c>
      <c r="C1020" s="91">
        <v>341.45421839394004</v>
      </c>
      <c r="D1020" s="91">
        <v>341.70826782476234</v>
      </c>
      <c r="E1020" s="92">
        <v>4773957.3518208731</v>
      </c>
      <c r="F1020" s="90" t="s">
        <v>1028</v>
      </c>
      <c r="G1020" s="25">
        <f t="shared" si="30"/>
        <v>1.7021159204391845E-2</v>
      </c>
      <c r="I1020" s="91">
        <v>416.03769086378901</v>
      </c>
      <c r="J1020" s="91">
        <v>417.77347540206011</v>
      </c>
      <c r="K1020" s="91">
        <v>411.92220171659778</v>
      </c>
      <c r="L1020" s="91">
        <v>415.82305084023932</v>
      </c>
      <c r="M1020" s="92">
        <v>797927.60533488903</v>
      </c>
      <c r="N1020" s="90" t="s">
        <v>1028</v>
      </c>
      <c r="O1020" s="25">
        <f t="shared" si="31"/>
        <v>5.1618115714369139E-4</v>
      </c>
    </row>
    <row r="1021" spans="1:15">
      <c r="A1021" s="91">
        <v>338.65401863788202</v>
      </c>
      <c r="B1021" s="91">
        <v>341.44432036416771</v>
      </c>
      <c r="C1021" s="91">
        <v>337.89997730313343</v>
      </c>
      <c r="D1021" s="91">
        <v>341.35948010897658</v>
      </c>
      <c r="E1021" s="92">
        <v>3168862.4626879208</v>
      </c>
      <c r="F1021" s="90" t="s">
        <v>1029</v>
      </c>
      <c r="G1021" s="25">
        <f t="shared" si="30"/>
        <v>-7.925549541588417E-3</v>
      </c>
      <c r="I1021" s="91">
        <v>414.95515857110377</v>
      </c>
      <c r="J1021" s="91">
        <v>424.71661355514459</v>
      </c>
      <c r="K1021" s="91">
        <v>414.63786462324776</v>
      </c>
      <c r="L1021" s="91">
        <v>422.88750726750402</v>
      </c>
      <c r="M1021" s="92">
        <v>752841.65239861724</v>
      </c>
      <c r="N1021" s="90" t="s">
        <v>1029</v>
      </c>
      <c r="O1021" s="25">
        <f t="shared" si="31"/>
        <v>-1.8757585788370279E-2</v>
      </c>
    </row>
    <row r="1022" spans="1:15">
      <c r="A1022" s="91">
        <v>342.76405766714072</v>
      </c>
      <c r="B1022" s="91">
        <v>343.5464733539032</v>
      </c>
      <c r="C1022" s="91">
        <v>340.72789154255383</v>
      </c>
      <c r="D1022" s="91">
        <v>342.98087165262905</v>
      </c>
      <c r="E1022" s="92">
        <v>4139552.6122458517</v>
      </c>
      <c r="F1022" s="90" t="s">
        <v>1030</v>
      </c>
      <c r="G1022" s="25">
        <f t="shared" si="30"/>
        <v>-6.3214599824068518E-4</v>
      </c>
      <c r="I1022" s="91">
        <v>423.04615424143208</v>
      </c>
      <c r="J1022" s="91">
        <v>429.03741055094849</v>
      </c>
      <c r="K1022" s="91">
        <v>420.98374358036801</v>
      </c>
      <c r="L1022" s="91">
        <v>421.71165322544942</v>
      </c>
      <c r="M1022" s="92">
        <v>885690.64080456307</v>
      </c>
      <c r="N1022" s="90" t="s">
        <v>1030</v>
      </c>
      <c r="O1022" s="25">
        <f t="shared" si="31"/>
        <v>3.1644869326605818E-3</v>
      </c>
    </row>
    <row r="1023" spans="1:15">
      <c r="A1023" s="91">
        <v>342.42469664637622</v>
      </c>
      <c r="B1023" s="91">
        <v>346.75154966112325</v>
      </c>
      <c r="C1023" s="91">
        <v>340.31311696161947</v>
      </c>
      <c r="D1023" s="91">
        <v>345.6674797336812</v>
      </c>
      <c r="E1023" s="92">
        <v>4809598.6873306297</v>
      </c>
      <c r="F1023" s="90" t="s">
        <v>1031</v>
      </c>
      <c r="G1023" s="25">
        <f t="shared" si="30"/>
        <v>-9.3812211950148328E-3</v>
      </c>
      <c r="I1023" s="91">
        <v>421.67432452570171</v>
      </c>
      <c r="J1023" s="91">
        <v>432.32233612875189</v>
      </c>
      <c r="K1023" s="91">
        <v>419.9572043373044</v>
      </c>
      <c r="L1023" s="91">
        <v>426.82568509089339</v>
      </c>
      <c r="M1023" s="92">
        <v>926659.65419998742</v>
      </c>
      <c r="N1023" s="90" t="s">
        <v>1031</v>
      </c>
      <c r="O1023" s="25">
        <f t="shared" si="31"/>
        <v>-1.2069003214027929E-2</v>
      </c>
    </row>
    <row r="1024" spans="1:15">
      <c r="A1024" s="91">
        <v>345.57321278346882</v>
      </c>
      <c r="B1024" s="91">
        <v>345.60149286853255</v>
      </c>
      <c r="C1024" s="91">
        <v>339.37044745949595</v>
      </c>
      <c r="D1024" s="91">
        <v>341.58572078948629</v>
      </c>
      <c r="E1024" s="92">
        <v>4883980.0053238906</v>
      </c>
      <c r="F1024" s="90" t="s">
        <v>1032</v>
      </c>
      <c r="G1024" s="25">
        <f t="shared" si="30"/>
        <v>1.1673473893365482E-2</v>
      </c>
      <c r="I1024" s="91">
        <v>423.49409863840526</v>
      </c>
      <c r="J1024" s="91">
        <v>424.74461007995541</v>
      </c>
      <c r="K1024" s="91">
        <v>418.82801116993454</v>
      </c>
      <c r="L1024" s="91">
        <v>423.97937173512622</v>
      </c>
      <c r="M1024" s="92">
        <v>566314.93041128898</v>
      </c>
      <c r="N1024" s="90" t="s">
        <v>1032</v>
      </c>
      <c r="O1024" s="25">
        <f t="shared" si="31"/>
        <v>-1.1445677055820225E-3</v>
      </c>
    </row>
    <row r="1025" spans="1:15">
      <c r="A1025" s="91">
        <v>342.11361571067545</v>
      </c>
      <c r="B1025" s="91">
        <v>343.35784518652827</v>
      </c>
      <c r="C1025" s="91">
        <v>338.84255253830673</v>
      </c>
      <c r="D1025" s="91">
        <v>340.02088941596116</v>
      </c>
      <c r="E1025" s="92">
        <v>4530364.0251218341</v>
      </c>
      <c r="F1025" s="90" t="s">
        <v>1033</v>
      </c>
      <c r="G1025" s="25">
        <f t="shared" si="30"/>
        <v>6.1546991960077513E-3</v>
      </c>
      <c r="I1025" s="91">
        <v>425.61250234909096</v>
      </c>
      <c r="J1025" s="91">
        <v>429.99862456945345</v>
      </c>
      <c r="K1025" s="91">
        <v>421.94495759887297</v>
      </c>
      <c r="L1025" s="91">
        <v>427.41361211192071</v>
      </c>
      <c r="M1025" s="92">
        <v>636529.00209635636</v>
      </c>
      <c r="N1025" s="90" t="s">
        <v>1033</v>
      </c>
      <c r="O1025" s="25">
        <f t="shared" si="31"/>
        <v>-4.2139737991266912E-3</v>
      </c>
    </row>
    <row r="1026" spans="1:15">
      <c r="A1026" s="91">
        <v>339.9360491607701</v>
      </c>
      <c r="B1026" s="91">
        <v>340.38853052178933</v>
      </c>
      <c r="C1026" s="91">
        <v>333.94067112726435</v>
      </c>
      <c r="D1026" s="91">
        <v>334.60053977875083</v>
      </c>
      <c r="E1026" s="92">
        <v>3840319.4246179862</v>
      </c>
      <c r="F1026" s="90" t="s">
        <v>1034</v>
      </c>
      <c r="G1026" s="25">
        <f t="shared" si="30"/>
        <v>1.5945907874348686E-2</v>
      </c>
      <c r="I1026" s="91">
        <v>426.84434944076725</v>
      </c>
      <c r="J1026" s="91">
        <v>427.65624866028116</v>
      </c>
      <c r="K1026" s="91">
        <v>413.53666798068866</v>
      </c>
      <c r="L1026" s="91">
        <v>414.44188894957205</v>
      </c>
      <c r="M1026" s="92">
        <v>805183.14870580996</v>
      </c>
      <c r="N1026" s="90" t="s">
        <v>1034</v>
      </c>
      <c r="O1026" s="25">
        <f t="shared" si="31"/>
        <v>2.9925692411618909E-2</v>
      </c>
    </row>
    <row r="1027" spans="1:15">
      <c r="A1027" s="91">
        <v>330.95240880553268</v>
      </c>
      <c r="B1027" s="91">
        <v>337.11746734942068</v>
      </c>
      <c r="C1027" s="91">
        <v>329.85891218306944</v>
      </c>
      <c r="D1027" s="91">
        <v>336.5047321730404</v>
      </c>
      <c r="E1027" s="92">
        <v>3760469.5940777645</v>
      </c>
      <c r="F1027" s="90" t="s">
        <v>1035</v>
      </c>
      <c r="G1027" s="25">
        <f t="shared" si="30"/>
        <v>-1.6499985993220889E-2</v>
      </c>
      <c r="I1027" s="91">
        <v>419.25729121703381</v>
      </c>
      <c r="J1027" s="91">
        <v>433.37687189662631</v>
      </c>
      <c r="K1027" s="91">
        <v>418.26808067371803</v>
      </c>
      <c r="L1027" s="91">
        <v>432.07969958039143</v>
      </c>
      <c r="M1027" s="92">
        <v>756737.85025663942</v>
      </c>
      <c r="N1027" s="90" t="s">
        <v>1035</v>
      </c>
      <c r="O1027" s="25">
        <f t="shared" si="31"/>
        <v>-2.9676025917926618E-2</v>
      </c>
    </row>
    <row r="1028" spans="1:15">
      <c r="A1028" s="91">
        <v>333.7144304467547</v>
      </c>
      <c r="B1028" s="91">
        <v>333.80869739696703</v>
      </c>
      <c r="C1028" s="91">
        <v>329.74579184281458</v>
      </c>
      <c r="D1028" s="91">
        <v>331.56514398191302</v>
      </c>
      <c r="E1028" s="92">
        <v>4795397.5277833613</v>
      </c>
      <c r="F1028" s="90" t="s">
        <v>1036</v>
      </c>
      <c r="G1028" s="25">
        <f t="shared" si="30"/>
        <v>6.4822449037613694E-3</v>
      </c>
      <c r="I1028" s="91">
        <v>430.39990809174196</v>
      </c>
      <c r="J1028" s="91">
        <v>432.24506572027406</v>
      </c>
      <c r="K1028" s="91">
        <v>424.62329180577518</v>
      </c>
      <c r="L1028" s="91">
        <v>432.07969958039143</v>
      </c>
      <c r="M1028" s="92">
        <v>1555809.8833452049</v>
      </c>
      <c r="N1028" s="90" t="s">
        <v>1036</v>
      </c>
      <c r="O1028" s="25">
        <f t="shared" si="31"/>
        <v>-3.8876889848812324E-3</v>
      </c>
    </row>
    <row r="1029" spans="1:15">
      <c r="A1029" s="91">
        <v>327.52109181780304</v>
      </c>
      <c r="B1029" s="91">
        <v>328.00185326388601</v>
      </c>
      <c r="C1029" s="91">
        <v>321.49272035172299</v>
      </c>
      <c r="D1029" s="91">
        <v>323.72213372424517</v>
      </c>
      <c r="E1029" s="92">
        <v>4906109.7124513686</v>
      </c>
      <c r="F1029" s="90" t="s">
        <v>1037</v>
      </c>
      <c r="G1029" s="25">
        <f t="shared" si="30"/>
        <v>1.1735243586383559E-2</v>
      </c>
      <c r="I1029" s="91">
        <v>428.3374974306779</v>
      </c>
      <c r="J1029" s="91">
        <v>430.91317771327374</v>
      </c>
      <c r="K1029" s="91">
        <v>424.37132308247777</v>
      </c>
      <c r="L1029" s="91">
        <v>428.24417568130849</v>
      </c>
      <c r="M1029" s="92">
        <v>612305.28131020395</v>
      </c>
      <c r="N1029" s="90" t="s">
        <v>1037</v>
      </c>
      <c r="O1029" s="25">
        <f t="shared" si="31"/>
        <v>2.1791714790042604E-4</v>
      </c>
    </row>
    <row r="1030" spans="1:15">
      <c r="A1030" s="91">
        <v>328.3883477597567</v>
      </c>
      <c r="B1030" s="91">
        <v>330.87699524536282</v>
      </c>
      <c r="C1030" s="91">
        <v>324.62709644628376</v>
      </c>
      <c r="D1030" s="91">
        <v>324.97588416206946</v>
      </c>
      <c r="E1030" s="92">
        <v>5944327.2402225574</v>
      </c>
      <c r="F1030" s="90" t="s">
        <v>1038</v>
      </c>
      <c r="G1030" s="25">
        <f t="shared" si="30"/>
        <v>1.0500667169461186E-2</v>
      </c>
      <c r="I1030" s="91">
        <v>434.13277806651854</v>
      </c>
      <c r="J1030" s="91">
        <v>445.05851519569222</v>
      </c>
      <c r="K1030" s="91">
        <v>433.01291707408558</v>
      </c>
      <c r="L1030" s="91">
        <v>433.91813804296896</v>
      </c>
      <c r="M1030" s="92">
        <v>569538.18760516425</v>
      </c>
      <c r="N1030" s="90" t="s">
        <v>1038</v>
      </c>
      <c r="O1030" s="25">
        <f t="shared" si="31"/>
        <v>4.9465556917627218E-4</v>
      </c>
    </row>
    <row r="1031" spans="1:15">
      <c r="A1031" s="91">
        <v>329.92489904821809</v>
      </c>
      <c r="B1031" s="91">
        <v>334.55340630364464</v>
      </c>
      <c r="C1031" s="91">
        <v>328.40720114979916</v>
      </c>
      <c r="D1031" s="91">
        <v>332.38526644876055</v>
      </c>
      <c r="E1031" s="92">
        <v>4328421.5632397356</v>
      </c>
      <c r="F1031" s="90" t="s">
        <v>1039</v>
      </c>
      <c r="G1031" s="25">
        <f t="shared" si="30"/>
        <v>-7.4021554169030335E-3</v>
      </c>
      <c r="I1031" s="91">
        <v>437.56701844331303</v>
      </c>
      <c r="J1031" s="91">
        <v>446.4605811582183</v>
      </c>
      <c r="K1031" s="91">
        <v>436.26051395214125</v>
      </c>
      <c r="L1031" s="91">
        <v>444.84611489412742</v>
      </c>
      <c r="M1031" s="92">
        <v>573128.99041655939</v>
      </c>
      <c r="N1031" s="90" t="s">
        <v>1039</v>
      </c>
      <c r="O1031" s="25">
        <f t="shared" si="31"/>
        <v>-1.6363178652345489E-2</v>
      </c>
    </row>
    <row r="1032" spans="1:15">
      <c r="A1032" s="91">
        <v>332.99800162514077</v>
      </c>
      <c r="B1032" s="91">
        <v>335.18499487006738</v>
      </c>
      <c r="C1032" s="91">
        <v>332.30042619356936</v>
      </c>
      <c r="D1032" s="91">
        <v>334.49684613351718</v>
      </c>
      <c r="E1032" s="92">
        <v>3704050.0325239105</v>
      </c>
      <c r="F1032" s="90" t="s">
        <v>1040</v>
      </c>
      <c r="G1032" s="25">
        <f t="shared" si="30"/>
        <v>-4.4808927967534551E-3</v>
      </c>
      <c r="I1032" s="91">
        <v>443.75425042650522</v>
      </c>
      <c r="J1032" s="91">
        <v>449.5961919370306</v>
      </c>
      <c r="K1032" s="91">
        <v>441.0385875198553</v>
      </c>
      <c r="L1032" s="91">
        <v>446.65655683189408</v>
      </c>
      <c r="M1032" s="92">
        <v>532762.19462185237</v>
      </c>
      <c r="N1032" s="90" t="s">
        <v>1040</v>
      </c>
      <c r="O1032" s="25">
        <f t="shared" si="31"/>
        <v>-6.4978479796081734E-3</v>
      </c>
    </row>
    <row r="1033" spans="1:15">
      <c r="A1033" s="91">
        <v>336.80638641371991</v>
      </c>
      <c r="B1033" s="91">
        <v>338.46548473745736</v>
      </c>
      <c r="C1033" s="91">
        <v>334.14900108723367</v>
      </c>
      <c r="D1033" s="91">
        <v>335.5015432888805</v>
      </c>
      <c r="E1033" s="92">
        <v>5082736.8332237341</v>
      </c>
      <c r="F1033" s="90" t="s">
        <v>1041</v>
      </c>
      <c r="G1033" s="25">
        <f t="shared" si="30"/>
        <v>3.8892313640295217E-3</v>
      </c>
      <c r="I1033" s="91">
        <v>448.34568049548045</v>
      </c>
      <c r="J1033" s="91">
        <v>450.93993180620083</v>
      </c>
      <c r="K1033" s="91">
        <v>446.64722465695712</v>
      </c>
      <c r="L1033" s="91">
        <v>448.54165616915623</v>
      </c>
      <c r="M1033" s="92">
        <v>408185.66151401744</v>
      </c>
      <c r="N1033" s="90" t="s">
        <v>1041</v>
      </c>
      <c r="O1033" s="25">
        <f t="shared" si="31"/>
        <v>-4.369174434087908E-4</v>
      </c>
    </row>
    <row r="1034" spans="1:15">
      <c r="A1034" s="91">
        <v>337.00434700916583</v>
      </c>
      <c r="B1034" s="91">
        <v>337.75848261086469</v>
      </c>
      <c r="C1034" s="91">
        <v>333.70500375173344</v>
      </c>
      <c r="D1034" s="91">
        <v>333.7144304467547</v>
      </c>
      <c r="E1034" s="92">
        <v>3964780.8607158987</v>
      </c>
      <c r="F1034" s="90" t="s">
        <v>1042</v>
      </c>
      <c r="G1034" s="25">
        <f t="shared" si="30"/>
        <v>9.8584785740514214E-3</v>
      </c>
      <c r="I1034" s="91">
        <v>447.36580212710163</v>
      </c>
      <c r="J1034" s="91">
        <v>454.34626897993388</v>
      </c>
      <c r="K1034" s="91">
        <v>446.54923682011923</v>
      </c>
      <c r="L1034" s="91">
        <v>447.944396973192</v>
      </c>
      <c r="M1034" s="92">
        <v>656554.34466256073</v>
      </c>
      <c r="N1034" s="90" t="s">
        <v>1042</v>
      </c>
      <c r="O1034" s="25">
        <f t="shared" si="31"/>
        <v>-1.2916666666666909E-3</v>
      </c>
    </row>
    <row r="1035" spans="1:15">
      <c r="A1035" s="91">
        <v>332.13074568318711</v>
      </c>
      <c r="B1035" s="91">
        <v>334.34601901317745</v>
      </c>
      <c r="C1035" s="91">
        <v>328.92566937596712</v>
      </c>
      <c r="D1035" s="91">
        <v>331.09380923085126</v>
      </c>
      <c r="E1035" s="92">
        <v>5782438.0524889762</v>
      </c>
      <c r="F1035" s="90" t="s">
        <v>1043</v>
      </c>
      <c r="G1035" s="25">
        <f t="shared" si="30"/>
        <v>3.1318509238957848E-3</v>
      </c>
      <c r="I1035" s="91">
        <v>449.68951368640006</v>
      </c>
      <c r="J1035" s="91">
        <v>452.57315574191495</v>
      </c>
      <c r="K1035" s="91">
        <v>432.5323100648331</v>
      </c>
      <c r="L1035" s="91">
        <v>433.84348064347336</v>
      </c>
      <c r="M1035" s="92">
        <v>964044.29415341944</v>
      </c>
      <c r="N1035" s="90" t="s">
        <v>1043</v>
      </c>
      <c r="O1035" s="25">
        <f t="shared" si="31"/>
        <v>3.6524769300264603E-2</v>
      </c>
    </row>
    <row r="1036" spans="1:15">
      <c r="A1036" s="91">
        <v>330.93355541549028</v>
      </c>
      <c r="B1036" s="91">
        <v>330.97126219557521</v>
      </c>
      <c r="C1036" s="91">
        <v>323.12825193790729</v>
      </c>
      <c r="D1036" s="91">
        <v>325.67345959364093</v>
      </c>
      <c r="E1036" s="92">
        <v>6556448.454179449</v>
      </c>
      <c r="F1036" s="90" t="s">
        <v>1044</v>
      </c>
      <c r="G1036" s="25">
        <f t="shared" si="30"/>
        <v>1.6151441472733508E-2</v>
      </c>
      <c r="I1036" s="91">
        <v>433.3488753718155</v>
      </c>
      <c r="J1036" s="91">
        <v>448.13150708067764</v>
      </c>
      <c r="K1036" s="91">
        <v>425.03857359046907</v>
      </c>
      <c r="L1036" s="91">
        <v>447.06717252911949</v>
      </c>
      <c r="M1036" s="92">
        <v>1344193.6188254971</v>
      </c>
      <c r="N1036" s="90" t="s">
        <v>1044</v>
      </c>
      <c r="O1036" s="25">
        <f t="shared" si="31"/>
        <v>-3.0685091637790651E-2</v>
      </c>
    </row>
    <row r="1037" spans="1:15">
      <c r="A1037" s="91">
        <v>330.34910032417366</v>
      </c>
      <c r="B1037" s="91">
        <v>330.71674143000183</v>
      </c>
      <c r="C1037" s="91">
        <v>323.89181423462736</v>
      </c>
      <c r="D1037" s="91">
        <v>326.31447485508494</v>
      </c>
      <c r="E1037" s="92">
        <v>7936482.4926939458</v>
      </c>
      <c r="F1037" s="90" t="s">
        <v>1045</v>
      </c>
      <c r="G1037" s="25">
        <f t="shared" si="30"/>
        <v>1.2364224636006282E-2</v>
      </c>
      <c r="I1037" s="91">
        <v>453.88899240802374</v>
      </c>
      <c r="J1037" s="91">
        <v>455.31214908590727</v>
      </c>
      <c r="K1037" s="91">
        <v>441.99980153836026</v>
      </c>
      <c r="L1037" s="91">
        <v>446.60989595720935</v>
      </c>
      <c r="M1037" s="92">
        <v>650556.81457143021</v>
      </c>
      <c r="N1037" s="90" t="s">
        <v>1045</v>
      </c>
      <c r="O1037" s="25">
        <f t="shared" si="31"/>
        <v>1.629855611509301E-2</v>
      </c>
    </row>
    <row r="1038" spans="1:15">
      <c r="A1038" s="91">
        <v>326.99319689661382</v>
      </c>
      <c r="B1038" s="91">
        <v>329.78349862289951</v>
      </c>
      <c r="C1038" s="91">
        <v>322.81717100220652</v>
      </c>
      <c r="D1038" s="91">
        <v>326.0505273944903</v>
      </c>
      <c r="E1038" s="92">
        <v>7595025.5989736095</v>
      </c>
      <c r="F1038" s="90" t="s">
        <v>1046</v>
      </c>
      <c r="G1038" s="25">
        <f t="shared" si="30"/>
        <v>2.8911761304497574E-3</v>
      </c>
      <c r="I1038" s="91">
        <v>446.60989595720935</v>
      </c>
      <c r="J1038" s="91">
        <v>447.99105784787668</v>
      </c>
      <c r="K1038" s="91">
        <v>427.51626603622708</v>
      </c>
      <c r="L1038" s="91">
        <v>427.51626603622708</v>
      </c>
      <c r="M1038" s="92">
        <v>1451913.4169210803</v>
      </c>
      <c r="N1038" s="90" t="s">
        <v>1046</v>
      </c>
      <c r="O1038" s="25">
        <f t="shared" si="31"/>
        <v>4.4661762458797938E-2</v>
      </c>
    </row>
    <row r="1039" spans="1:15">
      <c r="A1039" s="91">
        <v>329.5949647224748</v>
      </c>
      <c r="B1039" s="91">
        <v>331.21635626612732</v>
      </c>
      <c r="C1039" s="91">
        <v>327.86987953358874</v>
      </c>
      <c r="D1039" s="91">
        <v>330.3396736291524</v>
      </c>
      <c r="E1039" s="92">
        <v>4005498.2064171601</v>
      </c>
      <c r="F1039" s="90" t="s">
        <v>1047</v>
      </c>
      <c r="G1039" s="25">
        <f t="shared" si="30"/>
        <v>-2.2543731986416349E-3</v>
      </c>
      <c r="I1039" s="91">
        <v>430.96917076289537</v>
      </c>
      <c r="J1039" s="91">
        <v>436.74578704886221</v>
      </c>
      <c r="K1039" s="91">
        <v>428.64545920359694</v>
      </c>
      <c r="L1039" s="91">
        <v>436.74578704886221</v>
      </c>
      <c r="M1039" s="92">
        <v>628906.98466948292</v>
      </c>
      <c r="N1039" s="90" t="s">
        <v>1047</v>
      </c>
      <c r="O1039" s="25">
        <f t="shared" si="31"/>
        <v>-1.3226495726495813E-2</v>
      </c>
    </row>
    <row r="1040" spans="1:15">
      <c r="A1040" s="91">
        <v>329.43273130801254</v>
      </c>
      <c r="B1040" s="91">
        <v>340.63757499043243</v>
      </c>
      <c r="C1040" s="91">
        <v>329.43273130801254</v>
      </c>
      <c r="D1040" s="91">
        <v>338.05111966198109</v>
      </c>
      <c r="E1040" s="92">
        <v>9375342.2428212725</v>
      </c>
      <c r="F1040" s="90" t="s">
        <v>1048</v>
      </c>
      <c r="G1040" s="25">
        <f t="shared" si="30"/>
        <v>-2.5494334592312873E-2</v>
      </c>
      <c r="I1040" s="91">
        <v>433.63817279486068</v>
      </c>
      <c r="J1040" s="91">
        <v>442.17711286216212</v>
      </c>
      <c r="K1040" s="91">
        <v>433.17156404801358</v>
      </c>
      <c r="L1040" s="91">
        <v>436.86710532304244</v>
      </c>
      <c r="M1040" s="92">
        <v>624953.99404840369</v>
      </c>
      <c r="N1040" s="90" t="s">
        <v>1048</v>
      </c>
      <c r="O1040" s="25">
        <f t="shared" si="31"/>
        <v>-7.3911093072437373E-3</v>
      </c>
    </row>
    <row r="1041" spans="1:15">
      <c r="A1041" s="91">
        <v>336.70860382906437</v>
      </c>
      <c r="B1041" s="91">
        <v>339.05565948101662</v>
      </c>
      <c r="C1041" s="91">
        <v>335.69467578742103</v>
      </c>
      <c r="D1041" s="91">
        <v>338.91483614189951</v>
      </c>
      <c r="E1041" s="92">
        <v>4908905.7562042773</v>
      </c>
      <c r="F1041" s="90" t="s">
        <v>1049</v>
      </c>
      <c r="G1041" s="25">
        <f t="shared" si="30"/>
        <v>-6.5096952908588746E-3</v>
      </c>
      <c r="I1041" s="91">
        <v>435.64459040630311</v>
      </c>
      <c r="J1041" s="91">
        <v>437.56851159130292</v>
      </c>
      <c r="K1041" s="91">
        <v>430.46989940376898</v>
      </c>
      <c r="L1041" s="91">
        <v>430.56788724060692</v>
      </c>
      <c r="M1041" s="92">
        <v>581435.73568481789</v>
      </c>
      <c r="N1041" s="90" t="s">
        <v>1049</v>
      </c>
      <c r="O1041" s="25">
        <f t="shared" si="31"/>
        <v>1.179071481208549E-2</v>
      </c>
    </row>
    <row r="1042" spans="1:15">
      <c r="A1042" s="91">
        <v>337.9760138811186</v>
      </c>
      <c r="B1042" s="91">
        <v>337.99479032633423</v>
      </c>
      <c r="C1042" s="91">
        <v>330.43727112704812</v>
      </c>
      <c r="D1042" s="91">
        <v>330.49360046269493</v>
      </c>
      <c r="E1042" s="92">
        <v>5814262.430739264</v>
      </c>
      <c r="F1042" s="90" t="s">
        <v>1050</v>
      </c>
      <c r="G1042" s="25">
        <f t="shared" si="30"/>
        <v>2.2640115899213109E-2</v>
      </c>
      <c r="I1042" s="91">
        <v>432.73295182597735</v>
      </c>
      <c r="J1042" s="91">
        <v>433.39553624650023</v>
      </c>
      <c r="K1042" s="91">
        <v>425.17389012705473</v>
      </c>
      <c r="L1042" s="91">
        <v>429.280047099309</v>
      </c>
      <c r="M1042" s="92">
        <v>865640.65232231515</v>
      </c>
      <c r="N1042" s="90" t="s">
        <v>1050</v>
      </c>
      <c r="O1042" s="25">
        <f t="shared" si="31"/>
        <v>8.0434782608695965E-3</v>
      </c>
    </row>
    <row r="1043" spans="1:15">
      <c r="A1043" s="91">
        <v>327.77101590643036</v>
      </c>
      <c r="B1043" s="91">
        <v>328.22165059160523</v>
      </c>
      <c r="C1043" s="91">
        <v>323.08629282513374</v>
      </c>
      <c r="D1043" s="91">
        <v>326.36278251525908</v>
      </c>
      <c r="E1043" s="92">
        <v>7145946.8743528053</v>
      </c>
      <c r="F1043" s="90" t="s">
        <v>1051</v>
      </c>
      <c r="G1043" s="25">
        <f t="shared" si="30"/>
        <v>4.3149325432210173E-3</v>
      </c>
      <c r="I1043" s="91">
        <v>425.77114932301902</v>
      </c>
      <c r="J1043" s="91">
        <v>429.88747836595451</v>
      </c>
      <c r="K1043" s="91">
        <v>419.43460254083567</v>
      </c>
      <c r="L1043" s="91">
        <v>427.83355998408302</v>
      </c>
      <c r="M1043" s="92">
        <v>658432.79208970943</v>
      </c>
      <c r="N1043" s="90" t="s">
        <v>1051</v>
      </c>
      <c r="O1043" s="25">
        <f t="shared" si="31"/>
        <v>-4.820591122259632E-3</v>
      </c>
    </row>
    <row r="1044" spans="1:15">
      <c r="A1044" s="91">
        <v>324.36309109979578</v>
      </c>
      <c r="B1044" s="91">
        <v>328.12776836552712</v>
      </c>
      <c r="C1044" s="91">
        <v>320.73435529742551</v>
      </c>
      <c r="D1044" s="91">
        <v>321.15231896792517</v>
      </c>
      <c r="E1044" s="92">
        <v>5193805.2639955888</v>
      </c>
      <c r="F1044" s="90" t="s">
        <v>1052</v>
      </c>
      <c r="G1044" s="25">
        <f t="shared" si="30"/>
        <v>9.9976613657624114E-3</v>
      </c>
      <c r="I1044" s="91">
        <v>427.98287478307412</v>
      </c>
      <c r="J1044" s="91">
        <v>433.02224924902254</v>
      </c>
      <c r="K1044" s="91">
        <v>422.75685681838689</v>
      </c>
      <c r="L1044" s="91">
        <v>423.88604998575681</v>
      </c>
      <c r="M1044" s="92">
        <v>578584.3103547307</v>
      </c>
      <c r="N1044" s="90" t="s">
        <v>1052</v>
      </c>
      <c r="O1044" s="25">
        <f t="shared" si="31"/>
        <v>9.6649200827791937E-3</v>
      </c>
    </row>
    <row r="1045" spans="1:15">
      <c r="A1045" s="91">
        <v>325.04843135016586</v>
      </c>
      <c r="B1045" s="91">
        <v>326.24073562135754</v>
      </c>
      <c r="C1045" s="91">
        <v>322.11930589652945</v>
      </c>
      <c r="D1045" s="91">
        <v>322.19441167739194</v>
      </c>
      <c r="E1045" s="92">
        <v>5995115.6199880727</v>
      </c>
      <c r="F1045" s="90" t="s">
        <v>1053</v>
      </c>
      <c r="G1045" s="25">
        <f t="shared" si="30"/>
        <v>8.8580669599931383E-3</v>
      </c>
      <c r="I1045" s="91">
        <v>432.79827705053589</v>
      </c>
      <c r="J1045" s="91">
        <v>433.74082671916699</v>
      </c>
      <c r="K1045" s="91">
        <v>418.6553659336011</v>
      </c>
      <c r="L1045" s="91">
        <v>418.67869637094344</v>
      </c>
      <c r="M1045" s="92">
        <v>836362.3756240916</v>
      </c>
      <c r="N1045" s="90" t="s">
        <v>1053</v>
      </c>
      <c r="O1045" s="25">
        <f t="shared" si="31"/>
        <v>3.3724144079885665E-2</v>
      </c>
    </row>
    <row r="1046" spans="1:15">
      <c r="A1046" s="91">
        <v>317.2749830309001</v>
      </c>
      <c r="B1046" s="91">
        <v>320.01634403238029</v>
      </c>
      <c r="C1046" s="91">
        <v>313.79195244340303</v>
      </c>
      <c r="D1046" s="91">
        <v>316.67413678400032</v>
      </c>
      <c r="E1046" s="92">
        <v>7545603.9933562614</v>
      </c>
      <c r="F1046" s="90" t="s">
        <v>1054</v>
      </c>
      <c r="G1046" s="25">
        <f t="shared" si="30"/>
        <v>1.8973644422044522E-3</v>
      </c>
      <c r="I1046" s="91">
        <v>414.28324197564399</v>
      </c>
      <c r="J1046" s="91">
        <v>421.57167060139534</v>
      </c>
      <c r="K1046" s="91">
        <v>406.94815247520796</v>
      </c>
      <c r="L1046" s="91">
        <v>417.14821968128501</v>
      </c>
      <c r="M1046" s="92">
        <v>1466601.3113214958</v>
      </c>
      <c r="N1046" s="90" t="s">
        <v>1054</v>
      </c>
      <c r="O1046" s="25">
        <f t="shared" si="31"/>
        <v>-6.8680089485457785E-3</v>
      </c>
    </row>
    <row r="1047" spans="1:15">
      <c r="A1047" s="91">
        <v>316.44881944141292</v>
      </c>
      <c r="B1047" s="91">
        <v>319.98817936455686</v>
      </c>
      <c r="C1047" s="91">
        <v>314.10176378946068</v>
      </c>
      <c r="D1047" s="91">
        <v>319.65020335067578</v>
      </c>
      <c r="E1047" s="92">
        <v>9396740.3293805867</v>
      </c>
      <c r="F1047" s="90" t="s">
        <v>1055</v>
      </c>
      <c r="G1047" s="25">
        <f t="shared" si="30"/>
        <v>-1.0015272556391119E-2</v>
      </c>
      <c r="I1047" s="91">
        <v>419.03331901854722</v>
      </c>
      <c r="J1047" s="91">
        <v>428.10419305725435</v>
      </c>
      <c r="K1047" s="91">
        <v>417.68015365269071</v>
      </c>
      <c r="L1047" s="91">
        <v>424.28733350804526</v>
      </c>
      <c r="M1047" s="92">
        <v>1130723.5527946842</v>
      </c>
      <c r="N1047" s="90" t="s">
        <v>1055</v>
      </c>
      <c r="O1047" s="25">
        <f t="shared" si="31"/>
        <v>-1.2383151875068665E-2</v>
      </c>
    </row>
    <row r="1048" spans="1:15">
      <c r="A1048" s="91">
        <v>327.19833432735402</v>
      </c>
      <c r="B1048" s="91">
        <v>331.25404649392743</v>
      </c>
      <c r="C1048" s="91">
        <v>321.04904851923931</v>
      </c>
      <c r="D1048" s="91">
        <v>325.60233648402652</v>
      </c>
      <c r="E1048" s="92">
        <v>8401615.8643695805</v>
      </c>
      <c r="F1048" s="90" t="s">
        <v>1056</v>
      </c>
      <c r="G1048" s="25">
        <f t="shared" si="30"/>
        <v>4.9016781039155077E-3</v>
      </c>
      <c r="I1048" s="91">
        <v>427.83355998408302</v>
      </c>
      <c r="J1048" s="91">
        <v>431.75307345759848</v>
      </c>
      <c r="K1048" s="91">
        <v>417.79213975193397</v>
      </c>
      <c r="L1048" s="91">
        <v>425.78981367289288</v>
      </c>
      <c r="M1048" s="92">
        <v>936971.29116031411</v>
      </c>
      <c r="N1048" s="90" t="s">
        <v>1056</v>
      </c>
      <c r="O1048" s="25">
        <f t="shared" si="31"/>
        <v>4.7998947968261874E-3</v>
      </c>
    </row>
    <row r="1049" spans="1:15">
      <c r="A1049" s="91">
        <v>322.57932880431213</v>
      </c>
      <c r="B1049" s="91">
        <v>326.07174761441701</v>
      </c>
      <c r="C1049" s="91">
        <v>319.73469735414602</v>
      </c>
      <c r="D1049" s="91">
        <v>325.17986646667515</v>
      </c>
      <c r="E1049" s="92">
        <v>8078408.7860163134</v>
      </c>
      <c r="F1049" s="90" t="s">
        <v>1057</v>
      </c>
      <c r="G1049" s="25">
        <f t="shared" si="30"/>
        <v>-7.9972283973784863E-3</v>
      </c>
      <c r="I1049" s="91">
        <v>424.11002218424335</v>
      </c>
      <c r="J1049" s="91">
        <v>432.04237088064366</v>
      </c>
      <c r="K1049" s="91">
        <v>418.58976074379439</v>
      </c>
      <c r="L1049" s="91">
        <v>429.25205057449818</v>
      </c>
      <c r="M1049" s="92">
        <v>877124.57763706322</v>
      </c>
      <c r="N1049" s="90" t="s">
        <v>1057</v>
      </c>
      <c r="O1049" s="25">
        <f t="shared" si="31"/>
        <v>-1.1979042111442184E-2</v>
      </c>
    </row>
    <row r="1050" spans="1:15">
      <c r="A1050" s="91">
        <v>323.38671594858363</v>
      </c>
      <c r="B1050" s="91">
        <v>329.37198950774007</v>
      </c>
      <c r="C1050" s="91">
        <v>322.0723647834904</v>
      </c>
      <c r="D1050" s="91">
        <v>327.7522394612148</v>
      </c>
      <c r="E1050" s="92">
        <v>11077398.176892212</v>
      </c>
      <c r="F1050" s="90" t="s">
        <v>1058</v>
      </c>
      <c r="G1050" s="25">
        <f t="shared" si="30"/>
        <v>-1.3319584085245473E-2</v>
      </c>
      <c r="I1050" s="91">
        <v>429.914634995021</v>
      </c>
      <c r="J1050" s="91">
        <v>434.65537986298727</v>
      </c>
      <c r="K1050" s="91">
        <v>427.00299641469525</v>
      </c>
      <c r="L1050" s="91">
        <v>429.06540707575931</v>
      </c>
      <c r="M1050" s="92">
        <v>1423050.9061108965</v>
      </c>
      <c r="N1050" s="90" t="s">
        <v>1058</v>
      </c>
      <c r="O1050" s="25">
        <f t="shared" si="31"/>
        <v>1.9792504948126233E-3</v>
      </c>
    </row>
    <row r="1051" spans="1:15">
      <c r="A1051" s="91">
        <v>336.35185136996768</v>
      </c>
      <c r="B1051" s="91">
        <v>341.44026802340005</v>
      </c>
      <c r="C1051" s="91">
        <v>336.31429847953649</v>
      </c>
      <c r="D1051" s="91">
        <v>340.7267631052066</v>
      </c>
      <c r="E1051" s="92">
        <v>8126876.9592807088</v>
      </c>
      <c r="F1051" s="90" t="s">
        <v>1059</v>
      </c>
      <c r="G1051" s="25">
        <f t="shared" si="30"/>
        <v>-1.2839941586531789E-2</v>
      </c>
      <c r="I1051" s="91">
        <v>432.84493792522062</v>
      </c>
      <c r="J1051" s="91">
        <v>434.73003726248282</v>
      </c>
      <c r="K1051" s="91">
        <v>422.74752464344994</v>
      </c>
      <c r="L1051" s="91">
        <v>428.67345572840782</v>
      </c>
      <c r="M1051" s="92">
        <v>1033866.1743049236</v>
      </c>
      <c r="N1051" s="90" t="s">
        <v>1059</v>
      </c>
      <c r="O1051" s="25">
        <f t="shared" si="31"/>
        <v>9.7311418308478892E-3</v>
      </c>
    </row>
    <row r="1052" spans="1:15">
      <c r="A1052" s="91">
        <v>346.51929645422467</v>
      </c>
      <c r="B1052" s="91">
        <v>355.28789636991814</v>
      </c>
      <c r="C1052" s="91">
        <v>346.44419067336219</v>
      </c>
      <c r="D1052" s="91">
        <v>353.22248739620022</v>
      </c>
      <c r="E1052" s="92">
        <v>3218904.2870440735</v>
      </c>
      <c r="F1052" s="90" t="s">
        <v>1060</v>
      </c>
      <c r="G1052" s="25">
        <f t="shared" si="30"/>
        <v>-1.897724856474603E-2</v>
      </c>
      <c r="I1052" s="91">
        <v>432.00504218089594</v>
      </c>
      <c r="J1052" s="91">
        <v>439.77874390336819</v>
      </c>
      <c r="K1052" s="91">
        <v>431.5477656089858</v>
      </c>
      <c r="L1052" s="91">
        <v>438.85485858461095</v>
      </c>
      <c r="M1052" s="92">
        <v>903987.55456301442</v>
      </c>
      <c r="N1052" s="90" t="s">
        <v>1060</v>
      </c>
      <c r="O1052" s="25">
        <f t="shared" si="31"/>
        <v>-1.5608386849827682E-2</v>
      </c>
    </row>
    <row r="1053" spans="1:15">
      <c r="A1053" s="91">
        <v>354.86542635256677</v>
      </c>
      <c r="B1053" s="91">
        <v>358.8460327382777</v>
      </c>
      <c r="C1053" s="91">
        <v>354.1800861021967</v>
      </c>
      <c r="D1053" s="91">
        <v>357.22187022712677</v>
      </c>
      <c r="E1053" s="92">
        <v>3660376.5628029173</v>
      </c>
      <c r="F1053" s="90" t="s">
        <v>1061</v>
      </c>
      <c r="G1053" s="25">
        <f t="shared" si="30"/>
        <v>-6.5965834428383108E-3</v>
      </c>
      <c r="I1053" s="91">
        <v>440.89860489580116</v>
      </c>
      <c r="J1053" s="91">
        <v>458.71344688517433</v>
      </c>
      <c r="K1053" s="91">
        <v>440.53465007326042</v>
      </c>
      <c r="L1053" s="91">
        <v>455.24215777388025</v>
      </c>
      <c r="M1053" s="92">
        <v>914159.88851961645</v>
      </c>
      <c r="N1053" s="90" t="s">
        <v>1061</v>
      </c>
      <c r="O1053" s="25">
        <f t="shared" si="31"/>
        <v>-3.1507523266778747E-2</v>
      </c>
    </row>
    <row r="1054" spans="1:15">
      <c r="A1054" s="91">
        <v>358.78970340263083</v>
      </c>
      <c r="B1054" s="91">
        <v>359.20278519737445</v>
      </c>
      <c r="C1054" s="91">
        <v>351.7860893372054</v>
      </c>
      <c r="D1054" s="91">
        <v>352.20855935455688</v>
      </c>
      <c r="E1054" s="92">
        <v>2822533.2000499498</v>
      </c>
      <c r="F1054" s="90" t="s">
        <v>1062</v>
      </c>
      <c r="G1054" s="25">
        <f t="shared" si="30"/>
        <v>1.868536091267714E-2</v>
      </c>
      <c r="I1054" s="91">
        <v>459.19899994714342</v>
      </c>
      <c r="J1054" s="91">
        <v>459.42297214563001</v>
      </c>
      <c r="K1054" s="91">
        <v>444.85675357355552</v>
      </c>
      <c r="L1054" s="91">
        <v>446.82453598075904</v>
      </c>
      <c r="M1054" s="92">
        <v>796141.31220251194</v>
      </c>
      <c r="N1054" s="90" t="s">
        <v>1062</v>
      </c>
      <c r="O1054" s="25">
        <f t="shared" si="31"/>
        <v>2.7694235588972216E-2</v>
      </c>
    </row>
    <row r="1055" spans="1:15">
      <c r="A1055" s="91">
        <v>355.31606103774158</v>
      </c>
      <c r="B1055" s="91">
        <v>359.53137298864772</v>
      </c>
      <c r="C1055" s="91">
        <v>354.32090944131386</v>
      </c>
      <c r="D1055" s="91">
        <v>358.0010927035749</v>
      </c>
      <c r="E1055" s="92">
        <v>2832785.4068861981</v>
      </c>
      <c r="F1055" s="90" t="s">
        <v>1063</v>
      </c>
      <c r="G1055" s="25">
        <f t="shared" si="30"/>
        <v>-7.5000655600135913E-3</v>
      </c>
      <c r="I1055" s="91">
        <v>446.88052903038067</v>
      </c>
      <c r="J1055" s="91">
        <v>451.62127389834694</v>
      </c>
      <c r="K1055" s="91">
        <v>445.57402453920884</v>
      </c>
      <c r="L1055" s="91">
        <v>447.26314820279526</v>
      </c>
      <c r="M1055" s="92">
        <v>628672.31268628512</v>
      </c>
      <c r="N1055" s="90" t="s">
        <v>1063</v>
      </c>
      <c r="O1055" s="25">
        <f t="shared" si="31"/>
        <v>-8.5546769044586579E-4</v>
      </c>
    </row>
    <row r="1056" spans="1:15">
      <c r="A1056" s="91">
        <v>354.34907410913723</v>
      </c>
      <c r="B1056" s="91">
        <v>357.31575245320488</v>
      </c>
      <c r="C1056" s="91">
        <v>353.44780473878762</v>
      </c>
      <c r="D1056" s="91">
        <v>355.91690728464135</v>
      </c>
      <c r="E1056" s="92">
        <v>2928709.8472856986</v>
      </c>
      <c r="F1056" s="90" t="s">
        <v>1064</v>
      </c>
      <c r="G1056" s="25">
        <f t="shared" ref="G1056:G1119" si="32">A1056/D1056-1</f>
        <v>-4.4050539421277568E-3</v>
      </c>
      <c r="I1056" s="91">
        <v>446.42325245847053</v>
      </c>
      <c r="J1056" s="91">
        <v>446.63789248202022</v>
      </c>
      <c r="K1056" s="91">
        <v>431.30512906062529</v>
      </c>
      <c r="L1056" s="91">
        <v>431.30512906062529</v>
      </c>
      <c r="M1056" s="92">
        <v>934913.89295145753</v>
      </c>
      <c r="N1056" s="90" t="s">
        <v>1064</v>
      </c>
      <c r="O1056" s="25">
        <f t="shared" ref="O1056:O1119" si="33">I1056/L1056-1</f>
        <v>3.5052037129194913E-2</v>
      </c>
    </row>
    <row r="1057" spans="1:15">
      <c r="A1057" s="91">
        <v>360.17916034858655</v>
      </c>
      <c r="B1057" s="91">
        <v>360.26365435205685</v>
      </c>
      <c r="C1057" s="91">
        <v>351.30728998420716</v>
      </c>
      <c r="D1057" s="91">
        <v>353.38208718053295</v>
      </c>
      <c r="E1057" s="92">
        <v>3487050.8899916946</v>
      </c>
      <c r="F1057" s="90" t="s">
        <v>1065</v>
      </c>
      <c r="G1057" s="25">
        <f t="shared" si="32"/>
        <v>1.9234345527483265E-2</v>
      </c>
      <c r="I1057" s="91">
        <v>431.95838130621121</v>
      </c>
      <c r="J1057" s="91">
        <v>435.81256955516801</v>
      </c>
      <c r="K1057" s="91">
        <v>419.65857473932232</v>
      </c>
      <c r="L1057" s="91">
        <v>434.94467728603246</v>
      </c>
      <c r="M1057" s="92">
        <v>1233848.4948904875</v>
      </c>
      <c r="N1057" s="90" t="s">
        <v>1065</v>
      </c>
      <c r="O1057" s="25">
        <f t="shared" si="33"/>
        <v>-6.8659214281115988E-3</v>
      </c>
    </row>
    <row r="1058" spans="1:15">
      <c r="A1058" s="91">
        <v>353.46658118400325</v>
      </c>
      <c r="B1058" s="91">
        <v>359.23094986519783</v>
      </c>
      <c r="C1058" s="91">
        <v>351.21340775812911</v>
      </c>
      <c r="D1058" s="91">
        <v>358.26396293659354</v>
      </c>
      <c r="E1058" s="92">
        <v>4522493.9558510808</v>
      </c>
      <c r="F1058" s="90" t="s">
        <v>1066</v>
      </c>
      <c r="G1058" s="25">
        <f t="shared" si="32"/>
        <v>-1.3390634417337011E-2</v>
      </c>
      <c r="I1058" s="91">
        <v>433.24622144750913</v>
      </c>
      <c r="J1058" s="91">
        <v>440.39466744920634</v>
      </c>
      <c r="K1058" s="91">
        <v>428.1201510763965</v>
      </c>
      <c r="L1058" s="91">
        <v>436.54047920024942</v>
      </c>
      <c r="M1058" s="92">
        <v>855756.56842726655</v>
      </c>
      <c r="N1058" s="90" t="s">
        <v>1066</v>
      </c>
      <c r="O1058" s="25">
        <f t="shared" si="33"/>
        <v>-7.5462824404632922E-3</v>
      </c>
    </row>
    <row r="1059" spans="1:15">
      <c r="A1059" s="91">
        <v>356.45203597328646</v>
      </c>
      <c r="B1059" s="91">
        <v>359.42810253996186</v>
      </c>
      <c r="C1059" s="91">
        <v>353.86088653353119</v>
      </c>
      <c r="D1059" s="91">
        <v>356.96838821671594</v>
      </c>
      <c r="E1059" s="92">
        <v>5343411.8571362058</v>
      </c>
      <c r="F1059" s="90" t="s">
        <v>1067</v>
      </c>
      <c r="G1059" s="25">
        <f t="shared" si="32"/>
        <v>-1.4464929121846826E-3</v>
      </c>
      <c r="I1059" s="91">
        <v>436.7177905240514</v>
      </c>
      <c r="J1059" s="91">
        <v>437.38970711951117</v>
      </c>
      <c r="K1059" s="91">
        <v>426.33107981923547</v>
      </c>
      <c r="L1059" s="91">
        <v>434.85135553666311</v>
      </c>
      <c r="M1059" s="92">
        <v>1888759.0641090972</v>
      </c>
      <c r="N1059" s="90" t="s">
        <v>1067</v>
      </c>
      <c r="O1059" s="25">
        <f t="shared" si="33"/>
        <v>4.2921218104170489E-3</v>
      </c>
    </row>
    <row r="1060" spans="1:15">
      <c r="A1060" s="91">
        <v>358.44233916614189</v>
      </c>
      <c r="B1060" s="91">
        <v>358.49866850178876</v>
      </c>
      <c r="C1060" s="91">
        <v>351.87058334067575</v>
      </c>
      <c r="D1060" s="91">
        <v>352.00201845718505</v>
      </c>
      <c r="E1060" s="92">
        <v>4166699.2394772223</v>
      </c>
      <c r="F1060" s="90" t="s">
        <v>1068</v>
      </c>
      <c r="G1060" s="25">
        <f t="shared" si="32"/>
        <v>1.8296260735050973E-2</v>
      </c>
      <c r="I1060" s="91">
        <v>439.32146733145805</v>
      </c>
      <c r="J1060" s="91">
        <v>439.59210040462938</v>
      </c>
      <c r="K1060" s="91">
        <v>431.68774823303988</v>
      </c>
      <c r="L1060" s="91">
        <v>435.01933468552801</v>
      </c>
      <c r="M1060" s="92">
        <v>692231.98703958199</v>
      </c>
      <c r="N1060" s="90" t="s">
        <v>1068</v>
      </c>
      <c r="O1060" s="25">
        <f t="shared" si="33"/>
        <v>9.8895205405984399E-3</v>
      </c>
    </row>
    <row r="1061" spans="1:15">
      <c r="A1061" s="91">
        <v>349.67373925044842</v>
      </c>
      <c r="B1061" s="91">
        <v>351.24157242595254</v>
      </c>
      <c r="C1061" s="91">
        <v>343.86242945621473</v>
      </c>
      <c r="D1061" s="91">
        <v>344.02672335185139</v>
      </c>
      <c r="E1061" s="92">
        <v>4525087.6310351081</v>
      </c>
      <c r="F1061" s="90" t="s">
        <v>1069</v>
      </c>
      <c r="G1061" s="25">
        <f t="shared" si="32"/>
        <v>1.6414468747015354E-2</v>
      </c>
      <c r="I1061" s="91">
        <v>434.59938682780535</v>
      </c>
      <c r="J1061" s="91">
        <v>443.02304479725512</v>
      </c>
      <c r="K1061" s="91">
        <v>433.85557596957574</v>
      </c>
      <c r="L1061" s="91">
        <v>437.66760661800231</v>
      </c>
      <c r="M1061" s="92">
        <v>817910.08193676942</v>
      </c>
      <c r="N1061" s="90" t="s">
        <v>1069</v>
      </c>
      <c r="O1061" s="25">
        <f t="shared" si="33"/>
        <v>-7.0103881205787477E-3</v>
      </c>
    </row>
    <row r="1062" spans="1:15">
      <c r="A1062" s="91">
        <v>342.8578896371792</v>
      </c>
      <c r="B1062" s="91">
        <v>344.69798126830977</v>
      </c>
      <c r="C1062" s="91">
        <v>338.22949589152944</v>
      </c>
      <c r="D1062" s="91">
        <v>338.48297790194033</v>
      </c>
      <c r="E1062" s="92">
        <v>6076336.5317467861</v>
      </c>
      <c r="F1062" s="90" t="s">
        <v>1070</v>
      </c>
      <c r="G1062" s="25">
        <f t="shared" si="32"/>
        <v>1.2925056859155459E-2</v>
      </c>
      <c r="I1062" s="91">
        <v>434.77604190663487</v>
      </c>
      <c r="J1062" s="91">
        <v>441.10140944501904</v>
      </c>
      <c r="K1062" s="91">
        <v>434.34835066315287</v>
      </c>
      <c r="L1062" s="91">
        <v>438.04880968284493</v>
      </c>
      <c r="M1062" s="92">
        <v>639260.36402825674</v>
      </c>
      <c r="N1062" s="90" t="s">
        <v>1070</v>
      </c>
      <c r="O1062" s="25">
        <f t="shared" si="33"/>
        <v>-7.4712399711338584E-3</v>
      </c>
    </row>
    <row r="1063" spans="1:15">
      <c r="A1063" s="91">
        <v>340.02264640962096</v>
      </c>
      <c r="B1063" s="91">
        <v>340.98963333822525</v>
      </c>
      <c r="C1063" s="91">
        <v>333.93907815976081</v>
      </c>
      <c r="D1063" s="91">
        <v>338.77401280278241</v>
      </c>
      <c r="E1063" s="92">
        <v>5930090.5321197659</v>
      </c>
      <c r="F1063" s="90" t="s">
        <v>1071</v>
      </c>
      <c r="G1063" s="25">
        <f t="shared" si="32"/>
        <v>3.6857419980600437E-3</v>
      </c>
      <c r="I1063" s="91">
        <v>438.01161913993349</v>
      </c>
      <c r="J1063" s="91">
        <v>439.25750232746799</v>
      </c>
      <c r="K1063" s="91">
        <v>423.58168849027993</v>
      </c>
      <c r="L1063" s="91">
        <v>423.58168849027993</v>
      </c>
      <c r="M1063" s="92">
        <v>854070.88774164894</v>
      </c>
      <c r="N1063" s="90" t="s">
        <v>1071</v>
      </c>
      <c r="O1063" s="25">
        <f t="shared" si="33"/>
        <v>3.4066464726283163E-2</v>
      </c>
    </row>
    <row r="1064" spans="1:15">
      <c r="A1064" s="91">
        <v>342.49174895547469</v>
      </c>
      <c r="B1064" s="91">
        <v>343.20525387366814</v>
      </c>
      <c r="C1064" s="91">
        <v>336.89636828122065</v>
      </c>
      <c r="D1064" s="91">
        <v>338.99933014536975</v>
      </c>
      <c r="E1064" s="92">
        <v>5597348.1025355263</v>
      </c>
      <c r="F1064" s="90" t="s">
        <v>1072</v>
      </c>
      <c r="G1064" s="25">
        <f t="shared" si="32"/>
        <v>1.0302140740535704E-2</v>
      </c>
      <c r="I1064" s="91">
        <v>424.68810714189641</v>
      </c>
      <c r="J1064" s="91">
        <v>426.08275250107681</v>
      </c>
      <c r="K1064" s="91">
        <v>414.95348253481706</v>
      </c>
      <c r="L1064" s="91">
        <v>415.27889978529242</v>
      </c>
      <c r="M1064" s="92">
        <v>603964.29418801609</v>
      </c>
      <c r="N1064" s="90" t="s">
        <v>1072</v>
      </c>
      <c r="O1064" s="25">
        <f t="shared" si="33"/>
        <v>2.2657561849322772E-2</v>
      </c>
    </row>
    <row r="1065" spans="1:15">
      <c r="A1065" s="91">
        <v>336.11714580477246</v>
      </c>
      <c r="B1065" s="91">
        <v>339.80671728964131</v>
      </c>
      <c r="C1065" s="91">
        <v>328.36247393072233</v>
      </c>
      <c r="D1065" s="91">
        <v>339.2997532688197</v>
      </c>
      <c r="E1065" s="92">
        <v>9326425.6353669483</v>
      </c>
      <c r="F1065" s="90" t="s">
        <v>1073</v>
      </c>
      <c r="G1065" s="25">
        <f t="shared" si="32"/>
        <v>-9.3799286129327974E-3</v>
      </c>
      <c r="I1065" s="91">
        <v>412.19208472363977</v>
      </c>
      <c r="J1065" s="91">
        <v>419.217378279618</v>
      </c>
      <c r="K1065" s="91">
        <v>406.79015836574757</v>
      </c>
      <c r="L1065" s="91">
        <v>418.56096519723042</v>
      </c>
      <c r="M1065" s="92">
        <v>685089.21906962723</v>
      </c>
      <c r="N1065" s="90" t="s">
        <v>1073</v>
      </c>
      <c r="O1065" s="25">
        <f t="shared" si="33"/>
        <v>-1.521613576791514E-2</v>
      </c>
    </row>
    <row r="1066" spans="1:15">
      <c r="A1066" s="91">
        <v>336.03265180130217</v>
      </c>
      <c r="B1066" s="91">
        <v>340.06958752266002</v>
      </c>
      <c r="C1066" s="91">
        <v>334.07990149887797</v>
      </c>
      <c r="D1066" s="91">
        <v>335.31914688310871</v>
      </c>
      <c r="E1066" s="92">
        <v>6773888.1635703566</v>
      </c>
      <c r="F1066" s="90" t="s">
        <v>1074</v>
      </c>
      <c r="G1066" s="25">
        <f t="shared" si="32"/>
        <v>2.1278382842904175E-3</v>
      </c>
      <c r="I1066" s="91">
        <v>416.99896239494831</v>
      </c>
      <c r="J1066" s="91">
        <v>421.5455062658765</v>
      </c>
      <c r="K1066" s="91">
        <v>408.35216116802962</v>
      </c>
      <c r="L1066" s="91">
        <v>417.81715433900081</v>
      </c>
      <c r="M1066" s="92">
        <v>815987.01240346802</v>
      </c>
      <c r="N1066" s="90" t="s">
        <v>1074</v>
      </c>
      <c r="O1066" s="25">
        <f t="shared" si="33"/>
        <v>-1.9582535938403867E-3</v>
      </c>
    </row>
    <row r="1067" spans="1:15">
      <c r="A1067" s="91">
        <v>338.29521344978411</v>
      </c>
      <c r="B1067" s="91">
        <v>348.4532703114333</v>
      </c>
      <c r="C1067" s="91">
        <v>337.03719162033775</v>
      </c>
      <c r="D1067" s="91">
        <v>348.28428230449276</v>
      </c>
      <c r="E1067" s="92">
        <v>7332133.3414851567</v>
      </c>
      <c r="F1067" s="90" t="s">
        <v>1075</v>
      </c>
      <c r="G1067" s="25">
        <f t="shared" si="32"/>
        <v>-2.8680791417327156E-2</v>
      </c>
      <c r="I1067" s="91">
        <v>422.9215563536012</v>
      </c>
      <c r="J1067" s="91">
        <v>429.8111044279525</v>
      </c>
      <c r="K1067" s="91">
        <v>419.56510985584032</v>
      </c>
      <c r="L1067" s="91">
        <v>426.97532553095232</v>
      </c>
      <c r="M1067" s="92">
        <v>815353.51802141301</v>
      </c>
      <c r="N1067" s="90" t="s">
        <v>1075</v>
      </c>
      <c r="O1067" s="25">
        <f t="shared" si="33"/>
        <v>-9.4941532565381292E-3</v>
      </c>
    </row>
    <row r="1068" spans="1:15">
      <c r="A1068" s="91">
        <v>352.24611224498807</v>
      </c>
      <c r="B1068" s="91">
        <v>352.5840882588692</v>
      </c>
      <c r="C1068" s="91">
        <v>347.4393422697899</v>
      </c>
      <c r="D1068" s="91">
        <v>350.80032596338555</v>
      </c>
      <c r="E1068" s="92">
        <v>4807415.832093671</v>
      </c>
      <c r="F1068" s="90" t="s">
        <v>1076</v>
      </c>
      <c r="G1068" s="25">
        <f t="shared" si="32"/>
        <v>4.1213937804420731E-3</v>
      </c>
      <c r="I1068" s="91">
        <v>427.02181370959164</v>
      </c>
      <c r="J1068" s="91">
        <v>429.74602097785743</v>
      </c>
      <c r="K1068" s="91">
        <v>421.62453616956344</v>
      </c>
      <c r="L1068" s="91">
        <v>426.37097920864079</v>
      </c>
      <c r="M1068" s="92">
        <v>624812.60505687143</v>
      </c>
      <c r="N1068" s="90" t="s">
        <v>1076</v>
      </c>
      <c r="O1068" s="25">
        <f t="shared" si="33"/>
        <v>1.5264512189803181E-3</v>
      </c>
    </row>
    <row r="1069" spans="1:15">
      <c r="A1069" s="91">
        <v>345.33638040564074</v>
      </c>
      <c r="B1069" s="91">
        <v>348.63164654098171</v>
      </c>
      <c r="C1069" s="91">
        <v>343.09259520237441</v>
      </c>
      <c r="D1069" s="91">
        <v>345.2143335117392</v>
      </c>
      <c r="E1069" s="92">
        <v>5027405.2897661105</v>
      </c>
      <c r="F1069" s="90" t="s">
        <v>1077</v>
      </c>
      <c r="G1069" s="25">
        <f t="shared" si="32"/>
        <v>3.5353947404215269E-4</v>
      </c>
      <c r="I1069" s="91">
        <v>425.90609742224729</v>
      </c>
      <c r="J1069" s="91">
        <v>428.91853139807705</v>
      </c>
      <c r="K1069" s="91">
        <v>421.13641029385025</v>
      </c>
      <c r="L1069" s="91">
        <v>421.80584006625685</v>
      </c>
      <c r="M1069" s="92">
        <v>630927.06271728419</v>
      </c>
      <c r="N1069" s="90" t="s">
        <v>1077</v>
      </c>
      <c r="O1069" s="25">
        <f t="shared" si="33"/>
        <v>9.7207221107853403E-3</v>
      </c>
    </row>
    <row r="1070" spans="1:15">
      <c r="A1070" s="91">
        <v>346.57562578987154</v>
      </c>
      <c r="B1070" s="91">
        <v>347.90875340018039</v>
      </c>
      <c r="C1070" s="91">
        <v>341.39482902597825</v>
      </c>
      <c r="D1070" s="91">
        <v>342.4166431746122</v>
      </c>
      <c r="E1070" s="92">
        <v>5727854.168612496</v>
      </c>
      <c r="F1070" s="90" t="s">
        <v>1078</v>
      </c>
      <c r="G1070" s="25">
        <f t="shared" si="32"/>
        <v>1.2145970992240906E-2</v>
      </c>
      <c r="I1070" s="91">
        <v>421.02483866511579</v>
      </c>
      <c r="J1070" s="91">
        <v>422.53105565303065</v>
      </c>
      <c r="K1070" s="91">
        <v>415.9204366505154</v>
      </c>
      <c r="L1070" s="91">
        <v>420.0020987350502</v>
      </c>
      <c r="M1070" s="92">
        <v>620468.48993103008</v>
      </c>
      <c r="N1070" s="90" t="s">
        <v>1078</v>
      </c>
      <c r="O1070" s="25">
        <f t="shared" si="33"/>
        <v>2.4350829035042487E-3</v>
      </c>
    </row>
    <row r="1071" spans="1:15">
      <c r="A1071" s="91">
        <v>338.58624835062619</v>
      </c>
      <c r="B1071" s="91">
        <v>341.49659735904692</v>
      </c>
      <c r="C1071" s="91">
        <v>332.36185676164888</v>
      </c>
      <c r="D1071" s="91">
        <v>335.94346368652799</v>
      </c>
      <c r="E1071" s="92">
        <v>8179649.4616698101</v>
      </c>
      <c r="F1071" s="90" t="s">
        <v>1079</v>
      </c>
      <c r="G1071" s="25">
        <f t="shared" si="32"/>
        <v>7.866754230301698E-3</v>
      </c>
      <c r="I1071" s="91">
        <v>419.11882334090257</v>
      </c>
      <c r="J1071" s="91">
        <v>419.23969260536489</v>
      </c>
      <c r="K1071" s="91">
        <v>411.60633367278399</v>
      </c>
      <c r="L1071" s="91">
        <v>416.64565223728926</v>
      </c>
      <c r="M1071" s="92">
        <v>1013214.5715025368</v>
      </c>
      <c r="N1071" s="90" t="s">
        <v>1079</v>
      </c>
      <c r="O1071" s="25">
        <f t="shared" si="33"/>
        <v>5.9359100241007656E-3</v>
      </c>
    </row>
    <row r="1072" spans="1:15">
      <c r="A1072" s="91">
        <v>338.84911858364484</v>
      </c>
      <c r="B1072" s="91">
        <v>348.64103476358946</v>
      </c>
      <c r="C1072" s="91">
        <v>338.22949589152944</v>
      </c>
      <c r="D1072" s="91">
        <v>343.58078277798052</v>
      </c>
      <c r="E1072" s="92">
        <v>8550014.5611411277</v>
      </c>
      <c r="F1072" s="90" t="s">
        <v>1080</v>
      </c>
      <c r="G1072" s="25">
        <f t="shared" si="32"/>
        <v>-1.3771620624641434E-2</v>
      </c>
      <c r="I1072" s="91">
        <v>415.12083997791871</v>
      </c>
      <c r="J1072" s="91">
        <v>426.17572885835557</v>
      </c>
      <c r="K1072" s="91">
        <v>413.80987334028907</v>
      </c>
      <c r="L1072" s="91">
        <v>418.09608341083691</v>
      </c>
      <c r="M1072" s="92">
        <v>866153.52931721241</v>
      </c>
      <c r="N1072" s="90" t="s">
        <v>1080</v>
      </c>
      <c r="O1072" s="25">
        <f t="shared" si="33"/>
        <v>-7.1161714997330927E-3</v>
      </c>
    </row>
    <row r="1073" spans="1:15">
      <c r="A1073" s="91">
        <v>344.39755814485983</v>
      </c>
      <c r="B1073" s="91">
        <v>350.38724416864193</v>
      </c>
      <c r="C1073" s="91">
        <v>340.70798665999104</v>
      </c>
      <c r="D1073" s="91">
        <v>349.14799878441113</v>
      </c>
      <c r="E1073" s="92">
        <v>8383642.2811846612</v>
      </c>
      <c r="F1073" s="90" t="s">
        <v>1081</v>
      </c>
      <c r="G1073" s="25">
        <f t="shared" si="32"/>
        <v>-1.3605808012906784E-2</v>
      </c>
      <c r="I1073" s="91">
        <v>418.36571484694514</v>
      </c>
      <c r="J1073" s="91">
        <v>424.29760644132591</v>
      </c>
      <c r="K1073" s="91">
        <v>415.72983511809412</v>
      </c>
      <c r="L1073" s="91">
        <v>420.67152850745674</v>
      </c>
      <c r="M1073" s="92">
        <v>993768.76772060816</v>
      </c>
      <c r="N1073" s="90" t="s">
        <v>1081</v>
      </c>
      <c r="O1073" s="25">
        <f t="shared" si="33"/>
        <v>-5.4812686484693174E-3</v>
      </c>
    </row>
    <row r="1074" spans="1:15">
      <c r="A1074" s="91">
        <v>343.51506521972584</v>
      </c>
      <c r="B1074" s="91">
        <v>350.70644373730744</v>
      </c>
      <c r="C1074" s="91">
        <v>342.20071405463261</v>
      </c>
      <c r="D1074" s="91">
        <v>349.57985702437037</v>
      </c>
      <c r="E1074" s="92">
        <v>11496563.780904071</v>
      </c>
      <c r="F1074" s="90" t="s">
        <v>1082</v>
      </c>
      <c r="G1074" s="25">
        <f t="shared" si="32"/>
        <v>-1.7348802234396832E-2</v>
      </c>
      <c r="I1074" s="91">
        <v>422.09406677382083</v>
      </c>
      <c r="J1074" s="91">
        <v>434.12520740568402</v>
      </c>
      <c r="K1074" s="91">
        <v>420.5785521501781</v>
      </c>
      <c r="L1074" s="91">
        <v>433.23263437580852</v>
      </c>
      <c r="M1074" s="92">
        <v>947370.95083185704</v>
      </c>
      <c r="N1074" s="90" t="s">
        <v>1082</v>
      </c>
      <c r="O1074" s="25">
        <f t="shared" si="33"/>
        <v>-2.5710361404412407E-2</v>
      </c>
    </row>
    <row r="1075" spans="1:15">
      <c r="A1075" s="91">
        <v>354.96869680125263</v>
      </c>
      <c r="B1075" s="91">
        <v>357.95415159053584</v>
      </c>
      <c r="C1075" s="91">
        <v>350.13376215823109</v>
      </c>
      <c r="D1075" s="91">
        <v>354.88420279778234</v>
      </c>
      <c r="E1075" s="92">
        <v>8478332.1961064246</v>
      </c>
      <c r="F1075" s="90" t="s">
        <v>1083</v>
      </c>
      <c r="G1075" s="25">
        <f t="shared" si="32"/>
        <v>2.3808893944599063E-4</v>
      </c>
      <c r="I1075" s="91">
        <v>435.78018656524478</v>
      </c>
      <c r="J1075" s="91">
        <v>436.48680688056282</v>
      </c>
      <c r="K1075" s="91">
        <v>425.53419199313254</v>
      </c>
      <c r="L1075" s="91">
        <v>431.76360793080511</v>
      </c>
      <c r="M1075" s="92">
        <v>995351.96590462362</v>
      </c>
      <c r="N1075" s="90" t="s">
        <v>1083</v>
      </c>
      <c r="O1075" s="25">
        <f t="shared" si="33"/>
        <v>9.3027262155993551E-3</v>
      </c>
    </row>
    <row r="1076" spans="1:15">
      <c r="A1076" s="91">
        <v>357.21248200451896</v>
      </c>
      <c r="B1076" s="91">
        <v>366.43171660538724</v>
      </c>
      <c r="C1076" s="91">
        <v>353.32575784488608</v>
      </c>
      <c r="D1076" s="91">
        <v>366.347222601917</v>
      </c>
      <c r="E1076" s="92">
        <v>11159996.346151108</v>
      </c>
      <c r="F1076" s="90" t="s">
        <v>1084</v>
      </c>
      <c r="G1076" s="25">
        <f t="shared" si="32"/>
        <v>-2.4934652247450173E-2</v>
      </c>
      <c r="I1076" s="91">
        <v>433.88346887675942</v>
      </c>
      <c r="J1076" s="91">
        <v>437.19807601374487</v>
      </c>
      <c r="K1076" s="91">
        <v>425.03676848169152</v>
      </c>
      <c r="L1076" s="91">
        <v>430.70367745782801</v>
      </c>
      <c r="M1076" s="92">
        <v>1677569.4871812337</v>
      </c>
      <c r="N1076" s="90" t="s">
        <v>1084</v>
      </c>
      <c r="O1076" s="25">
        <f t="shared" si="33"/>
        <v>7.3827821431655671E-3</v>
      </c>
    </row>
    <row r="1077" spans="1:15">
      <c r="A1077" s="91">
        <v>370.21517031633419</v>
      </c>
      <c r="B1077" s="91">
        <v>370.76438133889104</v>
      </c>
      <c r="C1077" s="91">
        <v>357.01532932975493</v>
      </c>
      <c r="D1077" s="91">
        <v>359.89751367035228</v>
      </c>
      <c r="E1077" s="92">
        <v>7847648.3864708198</v>
      </c>
      <c r="F1077" s="90" t="s">
        <v>1085</v>
      </c>
      <c r="G1077" s="25">
        <f t="shared" si="32"/>
        <v>2.866831876874909E-2</v>
      </c>
      <c r="I1077" s="91">
        <v>430.08073586406073</v>
      </c>
      <c r="J1077" s="91">
        <v>431.41029777314606</v>
      </c>
      <c r="K1077" s="91">
        <v>418.64464391878118</v>
      </c>
      <c r="L1077" s="91">
        <v>421.71286370897815</v>
      </c>
      <c r="M1077" s="92">
        <v>852065.00145551527</v>
      </c>
      <c r="N1077" s="90" t="s">
        <v>1085</v>
      </c>
      <c r="O1077" s="25">
        <f t="shared" si="33"/>
        <v>1.9842582181361257E-2</v>
      </c>
    </row>
    <row r="1078" spans="1:15">
      <c r="A1078" s="91">
        <v>359.31544386866813</v>
      </c>
      <c r="B1078" s="91">
        <v>361.4987689183402</v>
      </c>
      <c r="C1078" s="91">
        <v>356.75245909673629</v>
      </c>
      <c r="D1078" s="91">
        <v>358.27335115920135</v>
      </c>
      <c r="E1078" s="92">
        <v>5973117.8459016103</v>
      </c>
      <c r="F1078" s="90" t="s">
        <v>1086</v>
      </c>
      <c r="G1078" s="25">
        <f t="shared" si="32"/>
        <v>2.9086525863424306E-3</v>
      </c>
      <c r="I1078" s="91">
        <v>419.55581222011244</v>
      </c>
      <c r="J1078" s="91">
        <v>421.39209527636666</v>
      </c>
      <c r="K1078" s="91">
        <v>408.80774531869525</v>
      </c>
      <c r="L1078" s="91">
        <v>413.23341992516117</v>
      </c>
      <c r="M1078" s="92">
        <v>1157535.1320486823</v>
      </c>
      <c r="N1078" s="90" t="s">
        <v>1086</v>
      </c>
      <c r="O1078" s="25">
        <f t="shared" si="33"/>
        <v>1.5299808752390565E-2</v>
      </c>
    </row>
    <row r="1079" spans="1:15">
      <c r="A1079" s="91">
        <v>357.76638713837968</v>
      </c>
      <c r="B1079" s="91">
        <v>358.88358562870889</v>
      </c>
      <c r="C1079" s="91">
        <v>349.55169235654694</v>
      </c>
      <c r="D1079" s="91">
        <v>355.61648416119147</v>
      </c>
      <c r="E1079" s="92">
        <v>11436689.827816034</v>
      </c>
      <c r="F1079" s="90" t="s">
        <v>1087</v>
      </c>
      <c r="G1079" s="25">
        <f t="shared" si="32"/>
        <v>6.0455661448295395E-3</v>
      </c>
      <c r="I1079" s="91">
        <v>407.81289829581323</v>
      </c>
      <c r="J1079" s="91">
        <v>413.40077736826282</v>
      </c>
      <c r="K1079" s="91">
        <v>401.58348235814066</v>
      </c>
      <c r="L1079" s="91">
        <v>406.41825293663277</v>
      </c>
      <c r="M1079" s="92">
        <v>817324.98695572023</v>
      </c>
      <c r="N1079" s="90" t="s">
        <v>1087</v>
      </c>
      <c r="O1079" s="25">
        <f t="shared" si="33"/>
        <v>3.4315519765739655E-3</v>
      </c>
    </row>
    <row r="1080" spans="1:15">
      <c r="A1080" s="91">
        <v>355.53199015772117</v>
      </c>
      <c r="B1080" s="91">
        <v>367.50197398267744</v>
      </c>
      <c r="C1080" s="91">
        <v>354.87481457517453</v>
      </c>
      <c r="D1080" s="91">
        <v>365.59616479329225</v>
      </c>
      <c r="E1080" s="92">
        <v>8757721.6087326538</v>
      </c>
      <c r="F1080" s="90" t="s">
        <v>1088</v>
      </c>
      <c r="G1080" s="25">
        <f t="shared" si="32"/>
        <v>-2.7528118740691276E-2</v>
      </c>
      <c r="I1080" s="91">
        <v>408.53811388258703</v>
      </c>
      <c r="J1080" s="91">
        <v>417.77996379608931</v>
      </c>
      <c r="K1080" s="91">
        <v>407.2643377878689</v>
      </c>
      <c r="L1080" s="91">
        <v>416.17147281516793</v>
      </c>
      <c r="M1080" s="92">
        <v>1017094.0523787213</v>
      </c>
      <c r="N1080" s="90" t="s">
        <v>1088</v>
      </c>
      <c r="O1080" s="25">
        <f t="shared" si="33"/>
        <v>-1.8341860101427687E-2</v>
      </c>
    </row>
    <row r="1081" spans="1:15">
      <c r="A1081" s="91">
        <v>369.08858360339713</v>
      </c>
      <c r="B1081" s="91">
        <v>370.74091078237149</v>
      </c>
      <c r="C1081" s="91">
        <v>360.38570124595833</v>
      </c>
      <c r="D1081" s="91">
        <v>364.47896630296304</v>
      </c>
      <c r="E1081" s="92">
        <v>7494700.8543954855</v>
      </c>
      <c r="F1081" s="90" t="s">
        <v>1089</v>
      </c>
      <c r="G1081" s="25">
        <f t="shared" si="32"/>
        <v>1.2647142157999003E-2</v>
      </c>
      <c r="I1081" s="91">
        <v>413.90284969756777</v>
      </c>
      <c r="J1081" s="91">
        <v>418.18441095025167</v>
      </c>
      <c r="K1081" s="91">
        <v>402.02047123735048</v>
      </c>
      <c r="L1081" s="91">
        <v>406.30668130789837</v>
      </c>
      <c r="M1081" s="92">
        <v>1196998.9280866538</v>
      </c>
      <c r="N1081" s="90" t="s">
        <v>1089</v>
      </c>
      <c r="O1081" s="25">
        <f t="shared" si="33"/>
        <v>1.8695652173913002E-2</v>
      </c>
    </row>
    <row r="1082" spans="1:15">
      <c r="A1082" s="91">
        <v>360.06650167729282</v>
      </c>
      <c r="B1082" s="91">
        <v>364.96715387856904</v>
      </c>
      <c r="C1082" s="91">
        <v>358.16069248790762</v>
      </c>
      <c r="D1082" s="91">
        <v>360.03833700946939</v>
      </c>
      <c r="E1082" s="92">
        <v>6833777.0289592473</v>
      </c>
      <c r="F1082" s="90" t="s">
        <v>1090</v>
      </c>
      <c r="G1082" s="25">
        <f t="shared" si="32"/>
        <v>7.8226857887830903E-5</v>
      </c>
      <c r="I1082" s="91">
        <v>408.8821264045182</v>
      </c>
      <c r="J1082" s="91">
        <v>419.03514461935174</v>
      </c>
      <c r="K1082" s="91">
        <v>408.8821264045182</v>
      </c>
      <c r="L1082" s="91">
        <v>412.9823837605087</v>
      </c>
      <c r="M1082" s="92">
        <v>901722.78688757529</v>
      </c>
      <c r="N1082" s="90" t="s">
        <v>1090</v>
      </c>
      <c r="O1082" s="25">
        <f t="shared" si="33"/>
        <v>-9.9284074024045266E-3</v>
      </c>
    </row>
    <row r="1083" spans="1:15">
      <c r="A1083" s="91">
        <v>359.13706763911978</v>
      </c>
      <c r="B1083" s="91">
        <v>367.63340909918674</v>
      </c>
      <c r="C1083" s="91">
        <v>359.04318541304167</v>
      </c>
      <c r="D1083" s="91">
        <v>367.45503286963839</v>
      </c>
      <c r="E1083" s="92">
        <v>9046423.7532414105</v>
      </c>
      <c r="F1083" s="90" t="s">
        <v>1091</v>
      </c>
      <c r="G1083" s="25">
        <f t="shared" si="32"/>
        <v>-2.2636688809402061E-2</v>
      </c>
      <c r="I1083" s="91">
        <v>411.42967859395446</v>
      </c>
      <c r="J1083" s="91">
        <v>420.69942141464043</v>
      </c>
      <c r="K1083" s="91">
        <v>409.47717509110191</v>
      </c>
      <c r="L1083" s="91">
        <v>413.44726554690214</v>
      </c>
      <c r="M1083" s="92">
        <v>660666.88132204686</v>
      </c>
      <c r="N1083" s="90" t="s">
        <v>1091</v>
      </c>
      <c r="O1083" s="25">
        <f t="shared" si="33"/>
        <v>-4.8799136457676751E-3</v>
      </c>
    </row>
    <row r="1084" spans="1:15">
      <c r="A1084" s="91">
        <v>369.70820629551253</v>
      </c>
      <c r="B1084" s="91">
        <v>369.95079796769829</v>
      </c>
      <c r="C1084" s="91">
        <v>361.44657040064072</v>
      </c>
      <c r="D1084" s="91">
        <v>365.59616479329225</v>
      </c>
      <c r="E1084" s="92">
        <v>8671696.805770671</v>
      </c>
      <c r="F1084" s="90" t="s">
        <v>1092</v>
      </c>
      <c r="G1084" s="25">
        <f t="shared" si="32"/>
        <v>1.1247496276513891E-2</v>
      </c>
      <c r="I1084" s="91">
        <v>412.83362158886274</v>
      </c>
      <c r="J1084" s="91">
        <v>413.74014107233006</v>
      </c>
      <c r="K1084" s="91">
        <v>403.65685512545554</v>
      </c>
      <c r="L1084" s="91">
        <v>412.80572868167917</v>
      </c>
      <c r="M1084" s="92">
        <v>654153.39748889639</v>
      </c>
      <c r="N1084" s="90" t="s">
        <v>1092</v>
      </c>
      <c r="O1084" s="25">
        <f t="shared" si="33"/>
        <v>6.756908939387074E-5</v>
      </c>
    </row>
    <row r="1085" spans="1:15">
      <c r="A1085" s="91">
        <v>367.69912665744147</v>
      </c>
      <c r="B1085" s="91">
        <v>377.298584273926</v>
      </c>
      <c r="C1085" s="91">
        <v>367.17338619140418</v>
      </c>
      <c r="D1085" s="91">
        <v>377.09673748785809</v>
      </c>
      <c r="E1085" s="92">
        <v>6738695.1335579259</v>
      </c>
      <c r="F1085" s="90" t="s">
        <v>1093</v>
      </c>
      <c r="G1085" s="25">
        <f t="shared" si="32"/>
        <v>-2.4920955012821433E-2</v>
      </c>
      <c r="I1085" s="91">
        <v>415.97622246488265</v>
      </c>
      <c r="J1085" s="91">
        <v>424.58583314888989</v>
      </c>
      <c r="K1085" s="91">
        <v>412.50355552052343</v>
      </c>
      <c r="L1085" s="91">
        <v>412.57328778848245</v>
      </c>
      <c r="M1085" s="92">
        <v>782083.76976995287</v>
      </c>
      <c r="N1085" s="90" t="s">
        <v>1093</v>
      </c>
      <c r="O1085" s="25">
        <f t="shared" si="33"/>
        <v>8.248073196015504E-3</v>
      </c>
    </row>
    <row r="1086" spans="1:15">
      <c r="A1086" s="91">
        <v>378.01678330342332</v>
      </c>
      <c r="B1086" s="91">
        <v>388.37199283983654</v>
      </c>
      <c r="C1086" s="91">
        <v>377.21878438175963</v>
      </c>
      <c r="D1086" s="91">
        <v>387.15152390082136</v>
      </c>
      <c r="E1086" s="92">
        <v>4974480.4688754426</v>
      </c>
      <c r="F1086" s="90" t="s">
        <v>1094</v>
      </c>
      <c r="G1086" s="25">
        <f t="shared" si="32"/>
        <v>-2.3594742713031747E-2</v>
      </c>
      <c r="I1086" s="91">
        <v>412.30365635237422</v>
      </c>
      <c r="J1086" s="91">
        <v>432.83283603951008</v>
      </c>
      <c r="K1086" s="91">
        <v>411.90850683393973</v>
      </c>
      <c r="L1086" s="91">
        <v>432.01464409545758</v>
      </c>
      <c r="M1086" s="92">
        <v>1019464.5474857661</v>
      </c>
      <c r="N1086" s="90" t="s">
        <v>1094</v>
      </c>
      <c r="O1086" s="25">
        <f t="shared" si="33"/>
        <v>-4.5625739804153631E-2</v>
      </c>
    </row>
    <row r="1087" spans="1:15">
      <c r="A1087" s="91">
        <v>383.70604620375553</v>
      </c>
      <c r="B1087" s="91">
        <v>386.22208986264826</v>
      </c>
      <c r="C1087" s="91">
        <v>382.72967105254344</v>
      </c>
      <c r="D1087" s="91">
        <v>385.68696117400316</v>
      </c>
      <c r="E1087" s="92">
        <v>5397341.1280057393</v>
      </c>
      <c r="F1087" s="90" t="s">
        <v>1095</v>
      </c>
      <c r="G1087" s="25">
        <f t="shared" si="32"/>
        <v>-5.136069324764958E-3</v>
      </c>
      <c r="I1087" s="91">
        <v>430.85243962947391</v>
      </c>
      <c r="J1087" s="91">
        <v>436.17998490154315</v>
      </c>
      <c r="K1087" s="91">
        <v>429.99705714250996</v>
      </c>
      <c r="L1087" s="91">
        <v>433.18614619716919</v>
      </c>
      <c r="M1087" s="92">
        <v>649110.17990408093</v>
      </c>
      <c r="N1087" s="90" t="s">
        <v>1095</v>
      </c>
      <c r="O1087" s="25">
        <f t="shared" si="33"/>
        <v>-5.3873065613531113E-3</v>
      </c>
    </row>
    <row r="1088" spans="1:15">
      <c r="A1088" s="91">
        <v>383.99708110459756</v>
      </c>
      <c r="B1088" s="91">
        <v>384.70119780018325</v>
      </c>
      <c r="C1088" s="91">
        <v>377.74452484779692</v>
      </c>
      <c r="D1088" s="91">
        <v>377.95106574516871</v>
      </c>
      <c r="E1088" s="92">
        <v>4091839.4891965427</v>
      </c>
      <c r="F1088" s="90" t="s">
        <v>1096</v>
      </c>
      <c r="G1088" s="25">
        <f t="shared" si="32"/>
        <v>1.5996820507724996E-2</v>
      </c>
      <c r="I1088" s="91">
        <v>431.79150083798874</v>
      </c>
      <c r="J1088" s="91">
        <v>440.56893384688397</v>
      </c>
      <c r="K1088" s="91">
        <v>430.92682071529686</v>
      </c>
      <c r="L1088" s="91">
        <v>432.99089584688392</v>
      </c>
      <c r="M1088" s="92">
        <v>583490.27202027303</v>
      </c>
      <c r="N1088" s="90" t="s">
        <v>1096</v>
      </c>
      <c r="O1088" s="25">
        <f t="shared" si="33"/>
        <v>-2.7700236203564987E-3</v>
      </c>
    </row>
    <row r="1089" spans="1:15">
      <c r="A1089" s="91">
        <v>377.96045396777646</v>
      </c>
      <c r="B1089" s="91">
        <v>379.49073425284939</v>
      </c>
      <c r="C1089" s="91">
        <v>375.94198610709759</v>
      </c>
      <c r="D1089" s="91">
        <v>376.98407881656442</v>
      </c>
      <c r="E1089" s="92">
        <v>4586457.074865805</v>
      </c>
      <c r="F1089" s="90" t="s">
        <v>1097</v>
      </c>
      <c r="G1089" s="25">
        <f t="shared" si="32"/>
        <v>2.5899638899262722E-3</v>
      </c>
      <c r="I1089" s="91">
        <v>432.87932421814946</v>
      </c>
      <c r="J1089" s="91">
        <v>440.12218245015981</v>
      </c>
      <c r="K1089" s="91">
        <v>429.62199051724764</v>
      </c>
      <c r="L1089" s="91">
        <v>434.38554120606432</v>
      </c>
      <c r="M1089" s="92">
        <v>612339.54164652701</v>
      </c>
      <c r="N1089" s="90" t="s">
        <v>1097</v>
      </c>
      <c r="O1089" s="25">
        <f t="shared" si="33"/>
        <v>-3.4674657534246034E-3</v>
      </c>
    </row>
    <row r="1090" spans="1:15">
      <c r="A1090" s="91">
        <v>377.89473640952184</v>
      </c>
      <c r="B1090" s="91">
        <v>383.77176376201015</v>
      </c>
      <c r="C1090" s="91">
        <v>377.72574840258125</v>
      </c>
      <c r="D1090" s="91">
        <v>382.77661216558249</v>
      </c>
      <c r="E1090" s="92">
        <v>3979112.0812290614</v>
      </c>
      <c r="F1090" s="90" t="s">
        <v>1098</v>
      </c>
      <c r="G1090" s="25">
        <f t="shared" si="32"/>
        <v>-1.2753850681840651E-2</v>
      </c>
      <c r="I1090" s="91">
        <v>434.38554120606432</v>
      </c>
      <c r="J1090" s="91">
        <v>437.22132010306456</v>
      </c>
      <c r="K1090" s="91">
        <v>430.79200499724271</v>
      </c>
      <c r="L1090" s="91">
        <v>435.57563857923162</v>
      </c>
      <c r="M1090" s="92">
        <v>1204970.8472034489</v>
      </c>
      <c r="N1090" s="90" t="s">
        <v>1098</v>
      </c>
      <c r="O1090" s="25">
        <f t="shared" si="33"/>
        <v>-2.732240437158473E-3</v>
      </c>
    </row>
    <row r="1091" spans="1:15">
      <c r="A1091" s="91">
        <v>382.54190660038728</v>
      </c>
      <c r="B1091" s="91">
        <v>383.22724685075724</v>
      </c>
      <c r="C1091" s="91">
        <v>377.85718351909065</v>
      </c>
      <c r="D1091" s="91">
        <v>377.94167752256089</v>
      </c>
      <c r="E1091" s="92">
        <v>4642742.4892700687</v>
      </c>
      <c r="F1091" s="90" t="s">
        <v>1099</v>
      </c>
      <c r="G1091" s="25">
        <f t="shared" si="32"/>
        <v>1.2171796209355046E-2</v>
      </c>
      <c r="I1091" s="91">
        <v>431.89377483099526</v>
      </c>
      <c r="J1091" s="91">
        <v>437.04466502423503</v>
      </c>
      <c r="K1091" s="91">
        <v>427.99806546101797</v>
      </c>
      <c r="L1091" s="91">
        <v>435.12935206429387</v>
      </c>
      <c r="M1091" s="92">
        <v>605574.38092814584</v>
      </c>
      <c r="N1091" s="90" t="s">
        <v>1099</v>
      </c>
      <c r="O1091" s="25">
        <f t="shared" si="33"/>
        <v>-7.4358974358974539E-3</v>
      </c>
    </row>
    <row r="1092" spans="1:15">
      <c r="A1092" s="91">
        <v>378.27026531383422</v>
      </c>
      <c r="B1092" s="91">
        <v>384.64486846453639</v>
      </c>
      <c r="C1092" s="91">
        <v>376.81509080962383</v>
      </c>
      <c r="D1092" s="91">
        <v>382.41047148387787</v>
      </c>
      <c r="E1092" s="92">
        <v>7046928.1315263649</v>
      </c>
      <c r="F1092" s="90" t="s">
        <v>1100</v>
      </c>
      <c r="G1092" s="25">
        <f t="shared" si="32"/>
        <v>-1.082660250902201E-2</v>
      </c>
      <c r="I1092" s="91">
        <v>430.74086800073945</v>
      </c>
      <c r="J1092" s="91">
        <v>433.90206414821512</v>
      </c>
      <c r="K1092" s="91">
        <v>427.05435543463921</v>
      </c>
      <c r="L1092" s="91">
        <v>430.76876090792308</v>
      </c>
      <c r="M1092" s="92">
        <v>680361.1353624725</v>
      </c>
      <c r="N1092" s="90" t="s">
        <v>1100</v>
      </c>
      <c r="O1092" s="25">
        <f t="shared" si="33"/>
        <v>-6.4751462303891394E-5</v>
      </c>
    </row>
    <row r="1093" spans="1:15">
      <c r="A1093" s="91">
        <v>379.65972225978987</v>
      </c>
      <c r="B1093" s="91">
        <v>384.0338829372202</v>
      </c>
      <c r="C1093" s="91">
        <v>379.213781685919</v>
      </c>
      <c r="D1093" s="91">
        <v>383.50889352899156</v>
      </c>
      <c r="E1093" s="92">
        <v>3560614.3352625337</v>
      </c>
      <c r="F1093" s="90" t="s">
        <v>1101</v>
      </c>
      <c r="G1093" s="25">
        <f t="shared" si="32"/>
        <v>-1.0036719706242536E-2</v>
      </c>
      <c r="I1093" s="91">
        <v>429.68093752776235</v>
      </c>
      <c r="J1093" s="91">
        <v>437.87215460401541</v>
      </c>
      <c r="K1093" s="91">
        <v>429.2718415557361</v>
      </c>
      <c r="L1093" s="91">
        <v>433.62313507637901</v>
      </c>
      <c r="M1093" s="92">
        <v>934898.96296375734</v>
      </c>
      <c r="N1093" s="90" t="s">
        <v>1101</v>
      </c>
      <c r="O1093" s="25">
        <f t="shared" si="33"/>
        <v>-9.0912989407778699E-3</v>
      </c>
    </row>
    <row r="1094" spans="1:15">
      <c r="A1094" s="91">
        <v>386.35352497915761</v>
      </c>
      <c r="B1094" s="91">
        <v>388.87895686065821</v>
      </c>
      <c r="C1094" s="91">
        <v>384.89835047494728</v>
      </c>
      <c r="D1094" s="91">
        <v>386.6539481026075</v>
      </c>
      <c r="E1094" s="92">
        <v>5062525.8886029711</v>
      </c>
      <c r="F1094" s="90" t="s">
        <v>1102</v>
      </c>
      <c r="G1094" s="25">
        <f t="shared" si="32"/>
        <v>-7.7698191088992896E-4</v>
      </c>
      <c r="I1094" s="91">
        <v>431.09417815839856</v>
      </c>
      <c r="J1094" s="91">
        <v>443.73896274830105</v>
      </c>
      <c r="K1094" s="91">
        <v>427.08224834182283</v>
      </c>
      <c r="L1094" s="91">
        <v>439.55502667075979</v>
      </c>
      <c r="M1094" s="92">
        <v>978202.44481486408</v>
      </c>
      <c r="N1094" s="90" t="s">
        <v>1102</v>
      </c>
      <c r="O1094" s="25">
        <f t="shared" si="33"/>
        <v>-1.9248667399949126E-2</v>
      </c>
    </row>
    <row r="1095" spans="1:15">
      <c r="A1095" s="91">
        <v>387.29234723993847</v>
      </c>
      <c r="B1095" s="91">
        <v>388.95406264152069</v>
      </c>
      <c r="C1095" s="91">
        <v>382.79538861079806</v>
      </c>
      <c r="D1095" s="91">
        <v>384.54159801585052</v>
      </c>
      <c r="E1095" s="92">
        <v>5276880.6268817727</v>
      </c>
      <c r="F1095" s="90" t="s">
        <v>1103</v>
      </c>
      <c r="G1095" s="25">
        <f t="shared" si="32"/>
        <v>7.1533203124998224E-3</v>
      </c>
      <c r="I1095" s="91">
        <v>437.70479716091376</v>
      </c>
      <c r="J1095" s="91">
        <v>439.44345504202533</v>
      </c>
      <c r="K1095" s="91">
        <v>426.78937281639492</v>
      </c>
      <c r="L1095" s="91">
        <v>427.6912434819983</v>
      </c>
      <c r="M1095" s="92">
        <v>819174.91961639049</v>
      </c>
      <c r="N1095" s="90" t="s">
        <v>1103</v>
      </c>
      <c r="O1095" s="25">
        <f t="shared" si="33"/>
        <v>2.3413043478260898E-2</v>
      </c>
    </row>
    <row r="1096" spans="1:15">
      <c r="A1096" s="91">
        <v>385.34898516012208</v>
      </c>
      <c r="B1096" s="91">
        <v>387.41439413384006</v>
      </c>
      <c r="C1096" s="91">
        <v>382.70150638471995</v>
      </c>
      <c r="D1096" s="91">
        <v>385.63063183835635</v>
      </c>
      <c r="E1096" s="92">
        <v>5901773.1379647879</v>
      </c>
      <c r="F1096" s="90" t="s">
        <v>1104</v>
      </c>
      <c r="G1096" s="25">
        <f t="shared" si="32"/>
        <v>-7.3035349108974135E-4</v>
      </c>
      <c r="I1096" s="91">
        <v>429.0486982982672</v>
      </c>
      <c r="J1096" s="91">
        <v>433.65567680142658</v>
      </c>
      <c r="K1096" s="91">
        <v>422.93085398932908</v>
      </c>
      <c r="L1096" s="91">
        <v>423.04242561806353</v>
      </c>
      <c r="M1096" s="92">
        <v>867268.86662483739</v>
      </c>
      <c r="N1096" s="90" t="s">
        <v>1104</v>
      </c>
      <c r="O1096" s="25">
        <f t="shared" si="33"/>
        <v>1.4197802197801979E-2</v>
      </c>
    </row>
    <row r="1097" spans="1:15">
      <c r="A1097" s="91">
        <v>389.29203865540183</v>
      </c>
      <c r="B1097" s="91">
        <v>395.07518378181203</v>
      </c>
      <c r="C1097" s="91">
        <v>388.20300483289594</v>
      </c>
      <c r="D1097" s="91">
        <v>392.95344547244724</v>
      </c>
      <c r="E1097" s="92">
        <v>4379990.9437380945</v>
      </c>
      <c r="F1097" s="90" t="s">
        <v>1105</v>
      </c>
      <c r="G1097" s="25">
        <f t="shared" si="32"/>
        <v>-9.317660550458684E-3</v>
      </c>
      <c r="I1097" s="91">
        <v>422.1219596810044</v>
      </c>
      <c r="J1097" s="91">
        <v>430.94541598675261</v>
      </c>
      <c r="K1097" s="91">
        <v>418.84919190479434</v>
      </c>
      <c r="L1097" s="91">
        <v>418.84919190479434</v>
      </c>
      <c r="M1097" s="92">
        <v>619764.009760833</v>
      </c>
      <c r="N1097" s="90" t="s">
        <v>1105</v>
      </c>
      <c r="O1097" s="25">
        <f t="shared" si="33"/>
        <v>7.8137139559146807E-3</v>
      </c>
    </row>
    <row r="1098" spans="1:15">
      <c r="A1098" s="91">
        <v>394.16452618885461</v>
      </c>
      <c r="B1098" s="91">
        <v>394.26779663754047</v>
      </c>
      <c r="C1098" s="91">
        <v>390.28719025182954</v>
      </c>
      <c r="D1098" s="91">
        <v>390.97253050219956</v>
      </c>
      <c r="E1098" s="92">
        <v>5450667.5158550832</v>
      </c>
      <c r="F1098" s="90" t="s">
        <v>1106</v>
      </c>
      <c r="G1098" s="25">
        <f t="shared" si="32"/>
        <v>8.1642454076120696E-3</v>
      </c>
      <c r="I1098" s="91">
        <v>420.5227663358109</v>
      </c>
      <c r="J1098" s="91">
        <v>424.47891033801938</v>
      </c>
      <c r="K1098" s="91">
        <v>413.15439002147428</v>
      </c>
      <c r="L1098" s="91">
        <v>423.44222395436191</v>
      </c>
      <c r="M1098" s="92">
        <v>767143.41245055187</v>
      </c>
      <c r="N1098" s="90" t="s">
        <v>1106</v>
      </c>
      <c r="O1098" s="25">
        <f t="shared" si="33"/>
        <v>-6.8945831412071668E-3</v>
      </c>
    </row>
    <row r="1099" spans="1:15">
      <c r="A1099" s="91">
        <v>390.85048360829808</v>
      </c>
      <c r="B1099" s="91">
        <v>391.31801709416692</v>
      </c>
      <c r="C1099" s="91">
        <v>387.61154680860403</v>
      </c>
      <c r="D1099" s="91">
        <v>391.18845962217921</v>
      </c>
      <c r="E1099" s="92">
        <v>4966932.7143152701</v>
      </c>
      <c r="F1099" s="90" t="s">
        <v>1107</v>
      </c>
      <c r="G1099" s="25">
        <f t="shared" si="32"/>
        <v>-8.6397235288471208E-4</v>
      </c>
      <c r="I1099" s="91">
        <v>422.84717526777825</v>
      </c>
      <c r="J1099" s="91">
        <v>422.91225871787333</v>
      </c>
      <c r="K1099" s="91">
        <v>412.87081213177424</v>
      </c>
      <c r="L1099" s="91">
        <v>415.21381633519735</v>
      </c>
      <c r="M1099" s="92">
        <v>752057.85692813306</v>
      </c>
      <c r="N1099" s="90" t="s">
        <v>1107</v>
      </c>
      <c r="O1099" s="25">
        <f t="shared" si="33"/>
        <v>1.8384164091540312E-2</v>
      </c>
    </row>
    <row r="1100" spans="1:15">
      <c r="A1100" s="91">
        <v>389.77083800840006</v>
      </c>
      <c r="B1100" s="91">
        <v>395.87318270347583</v>
      </c>
      <c r="C1100" s="91">
        <v>389.65817933710633</v>
      </c>
      <c r="D1100" s="91">
        <v>395.21600712092919</v>
      </c>
      <c r="E1100" s="92">
        <v>6259586.3407754973</v>
      </c>
      <c r="F1100" s="90" t="s">
        <v>1108</v>
      </c>
      <c r="G1100" s="25">
        <f t="shared" si="32"/>
        <v>-1.3777703874385372E-2</v>
      </c>
      <c r="I1100" s="91">
        <v>415.80886502178106</v>
      </c>
      <c r="J1100" s="91">
        <v>425.76663288632926</v>
      </c>
      <c r="K1100" s="91">
        <v>415.3253879639318</v>
      </c>
      <c r="L1100" s="91">
        <v>418.36571484694514</v>
      </c>
      <c r="M1100" s="92">
        <v>697083.66618113546</v>
      </c>
      <c r="N1100" s="90" t="s">
        <v>1108</v>
      </c>
      <c r="O1100" s="25">
        <f t="shared" si="33"/>
        <v>-6.1115185456807053E-3</v>
      </c>
    </row>
    <row r="1101" spans="1:15">
      <c r="A1101" s="91">
        <v>395.85440625826016</v>
      </c>
      <c r="B1101" s="91">
        <v>398.07002679370305</v>
      </c>
      <c r="C1101" s="91">
        <v>393.92043240105153</v>
      </c>
      <c r="D1101" s="91">
        <v>397.36591009811741</v>
      </c>
      <c r="E1101" s="92">
        <v>5106753.6426034598</v>
      </c>
      <c r="F1101" s="90" t="s">
        <v>1109</v>
      </c>
      <c r="G1101" s="25">
        <f t="shared" si="32"/>
        <v>-3.8038085337618321E-3</v>
      </c>
      <c r="I1101" s="91">
        <v>421.4897204515093</v>
      </c>
      <c r="J1101" s="91">
        <v>424.42777334151606</v>
      </c>
      <c r="K1101" s="91">
        <v>416.98966475922043</v>
      </c>
      <c r="L1101" s="91">
        <v>417.91942833200739</v>
      </c>
      <c r="M1101" s="92">
        <v>671180.30676277436</v>
      </c>
      <c r="N1101" s="90" t="s">
        <v>1109</v>
      </c>
      <c r="O1101" s="25">
        <f t="shared" si="33"/>
        <v>8.5430154174732653E-3</v>
      </c>
    </row>
    <row r="1102" spans="1:15">
      <c r="A1102" s="91">
        <v>398.33289702672175</v>
      </c>
      <c r="B1102" s="91">
        <v>398.7365905988575</v>
      </c>
      <c r="C1102" s="91">
        <v>394.54005509316693</v>
      </c>
      <c r="D1102" s="91">
        <v>397.08426341988314</v>
      </c>
      <c r="E1102" s="92">
        <v>5869645.6509419382</v>
      </c>
      <c r="F1102" s="90" t="s">
        <v>1110</v>
      </c>
      <c r="G1102" s="25">
        <f t="shared" si="32"/>
        <v>3.1445053905807541E-3</v>
      </c>
      <c r="I1102" s="91">
        <v>414.96278017054487</v>
      </c>
      <c r="J1102" s="91">
        <v>418.96076353352879</v>
      </c>
      <c r="K1102" s="91">
        <v>401.08141002883571</v>
      </c>
      <c r="L1102" s="91">
        <v>404.15892745476049</v>
      </c>
      <c r="M1102" s="92">
        <v>961327.18699747138</v>
      </c>
      <c r="N1102" s="90" t="s">
        <v>1110</v>
      </c>
      <c r="O1102" s="25">
        <f t="shared" si="33"/>
        <v>2.6731693850790217E-2</v>
      </c>
    </row>
    <row r="1103" spans="1:15">
      <c r="A1103" s="91">
        <v>393.35713904458305</v>
      </c>
      <c r="B1103" s="91">
        <v>393.41346838022992</v>
      </c>
      <c r="C1103" s="91">
        <v>388.38138106244435</v>
      </c>
      <c r="D1103" s="91">
        <v>390.08064935445776</v>
      </c>
      <c r="E1103" s="92">
        <v>3616588.7216775836</v>
      </c>
      <c r="F1103" s="90" t="s">
        <v>1111</v>
      </c>
      <c r="G1103" s="25">
        <f t="shared" si="32"/>
        <v>8.3995186522263232E-3</v>
      </c>
      <c r="I1103" s="91">
        <v>415.4183643212105</v>
      </c>
      <c r="J1103" s="91">
        <v>423.78623647629308</v>
      </c>
      <c r="K1103" s="91">
        <v>413.3728844610792</v>
      </c>
      <c r="L1103" s="91">
        <v>421.98249514508638</v>
      </c>
      <c r="M1103" s="92">
        <v>711196.9315144578</v>
      </c>
      <c r="N1103" s="90" t="s">
        <v>1111</v>
      </c>
      <c r="O1103" s="25">
        <f t="shared" si="33"/>
        <v>-1.5555457630106129E-2</v>
      </c>
    </row>
    <row r="1104" spans="1:15">
      <c r="A1104" s="91">
        <v>390.66271915614186</v>
      </c>
      <c r="B1104" s="91">
        <v>390.88625273643379</v>
      </c>
      <c r="C1104" s="91">
        <v>386.9872300051847</v>
      </c>
      <c r="D1104" s="91">
        <v>389.41408554930331</v>
      </c>
      <c r="E1104" s="92">
        <v>3880665.3316567573</v>
      </c>
      <c r="F1104" s="90" t="s">
        <v>1112</v>
      </c>
      <c r="G1104" s="25">
        <f t="shared" si="32"/>
        <v>3.2064418139299278E-3</v>
      </c>
      <c r="I1104" s="91">
        <v>425.99907377952604</v>
      </c>
      <c r="J1104" s="91">
        <v>428.09104181829667</v>
      </c>
      <c r="K1104" s="91">
        <v>421.51761335869293</v>
      </c>
      <c r="L1104" s="91">
        <v>421.51761335869293</v>
      </c>
      <c r="M1104" s="92">
        <v>516804.50177209056</v>
      </c>
      <c r="N1104" s="90" t="s">
        <v>1112</v>
      </c>
      <c r="O1104" s="25">
        <f t="shared" si="33"/>
        <v>1.0631727545438618E-2</v>
      </c>
    </row>
    <row r="1105" spans="1:15">
      <c r="A1105" s="91">
        <v>388.69119240850199</v>
      </c>
      <c r="B1105" s="91">
        <v>388.76629818936453</v>
      </c>
      <c r="C1105" s="91">
        <v>383.79992842983364</v>
      </c>
      <c r="D1105" s="91">
        <v>384.81385647147698</v>
      </c>
      <c r="E1105" s="92">
        <v>3171331.9169951873</v>
      </c>
      <c r="F1105" s="90" t="s">
        <v>1113</v>
      </c>
      <c r="G1105" s="25">
        <f t="shared" si="32"/>
        <v>1.0075874014979558E-2</v>
      </c>
      <c r="I1105" s="91">
        <v>422.6426272817651</v>
      </c>
      <c r="J1105" s="91">
        <v>423.17259251825368</v>
      </c>
      <c r="K1105" s="91">
        <v>414.7489345488039</v>
      </c>
      <c r="L1105" s="91">
        <v>415.59501940004003</v>
      </c>
      <c r="M1105" s="92">
        <v>715311.95614220435</v>
      </c>
      <c r="N1105" s="90" t="s">
        <v>1113</v>
      </c>
      <c r="O1105" s="25">
        <f t="shared" si="33"/>
        <v>1.6957873777936783E-2</v>
      </c>
    </row>
    <row r="1106" spans="1:15">
      <c r="A1106" s="91">
        <v>382.99845584819263</v>
      </c>
      <c r="B1106" s="91">
        <v>387.01248701030818</v>
      </c>
      <c r="C1106" s="91">
        <v>382.96102898421026</v>
      </c>
      <c r="D1106" s="91">
        <v>385.64640647494952</v>
      </c>
      <c r="E1106" s="92">
        <v>3999868.1179989129</v>
      </c>
      <c r="F1106" s="90" t="s">
        <v>1114</v>
      </c>
      <c r="G1106" s="25">
        <f t="shared" si="32"/>
        <v>-6.8662655279503326E-3</v>
      </c>
      <c r="I1106" s="91">
        <v>415.52993594994496</v>
      </c>
      <c r="J1106" s="91">
        <v>420.25313489970267</v>
      </c>
      <c r="K1106" s="91">
        <v>411.43897622968234</v>
      </c>
      <c r="L1106" s="91">
        <v>416.53408060855486</v>
      </c>
      <c r="M1106" s="92">
        <v>631496.02456466481</v>
      </c>
      <c r="N1106" s="90" t="s">
        <v>1114</v>
      </c>
      <c r="O1106" s="25">
        <f t="shared" si="33"/>
        <v>-2.410714285714266E-3</v>
      </c>
    </row>
    <row r="1107" spans="1:15">
      <c r="A1107" s="91">
        <v>387.99494218984694</v>
      </c>
      <c r="B1107" s="91">
        <v>388.79026304947354</v>
      </c>
      <c r="C1107" s="91">
        <v>384.7481617393712</v>
      </c>
      <c r="D1107" s="91">
        <v>384.7481617393712</v>
      </c>
      <c r="E1107" s="92">
        <v>4522649.8292634673</v>
      </c>
      <c r="F1107" s="90" t="s">
        <v>1115</v>
      </c>
      <c r="G1107" s="25">
        <f t="shared" si="32"/>
        <v>8.438715953307474E-3</v>
      </c>
      <c r="I1107" s="91">
        <v>414.95348253481706</v>
      </c>
      <c r="J1107" s="91">
        <v>416.53408060855486</v>
      </c>
      <c r="K1107" s="91">
        <v>407.73851720999028</v>
      </c>
      <c r="L1107" s="91">
        <v>415.70659102877448</v>
      </c>
      <c r="M1107" s="92">
        <v>797326.35446007969</v>
      </c>
      <c r="N1107" s="90" t="s">
        <v>1115</v>
      </c>
      <c r="O1107" s="25">
        <f t="shared" si="33"/>
        <v>-1.8116347207621786E-3</v>
      </c>
    </row>
    <row r="1108" spans="1:15">
      <c r="A1108" s="91">
        <v>383.5411453759379</v>
      </c>
      <c r="B1108" s="91">
        <v>385.26278111912961</v>
      </c>
      <c r="C1108" s="91">
        <v>380.28500820946653</v>
      </c>
      <c r="D1108" s="91">
        <v>383.47564836396862</v>
      </c>
      <c r="E1108" s="92">
        <v>4445461.4225255614</v>
      </c>
      <c r="F1108" s="90" t="s">
        <v>1116</v>
      </c>
      <c r="G1108" s="25">
        <f t="shared" si="32"/>
        <v>1.7079836033584428E-4</v>
      </c>
      <c r="I1108" s="91">
        <v>415.2324116066531</v>
      </c>
      <c r="J1108" s="91">
        <v>416.78511677320728</v>
      </c>
      <c r="K1108" s="91">
        <v>401.76013743697018</v>
      </c>
      <c r="L1108" s="91">
        <v>404.67029741979331</v>
      </c>
      <c r="M1108" s="92">
        <v>1391239.7063725358</v>
      </c>
      <c r="N1108" s="90" t="s">
        <v>1116</v>
      </c>
      <c r="O1108" s="25">
        <f t="shared" si="33"/>
        <v>2.6100542229574586E-2</v>
      </c>
    </row>
    <row r="1109" spans="1:15">
      <c r="A1109" s="91">
        <v>383.52243194394663</v>
      </c>
      <c r="B1109" s="91">
        <v>383.88734386777531</v>
      </c>
      <c r="C1109" s="91">
        <v>377.30021580686781</v>
      </c>
      <c r="D1109" s="91">
        <v>377.99261279054275</v>
      </c>
      <c r="E1109" s="92">
        <v>6278894.2218168685</v>
      </c>
      <c r="F1109" s="90" t="s">
        <v>1117</v>
      </c>
      <c r="G1109" s="25">
        <f t="shared" si="32"/>
        <v>1.462943710084641E-2</v>
      </c>
      <c r="I1109" s="91">
        <v>397.89232097417641</v>
      </c>
      <c r="J1109" s="91">
        <v>402.96883008159324</v>
      </c>
      <c r="K1109" s="91">
        <v>394.5451721121434</v>
      </c>
      <c r="L1109" s="91">
        <v>397.9759996957273</v>
      </c>
      <c r="M1109" s="92">
        <v>1964020.8042635687</v>
      </c>
      <c r="N1109" s="90" t="s">
        <v>1117</v>
      </c>
      <c r="O1109" s="25">
        <f t="shared" si="33"/>
        <v>-2.1026072329699552E-4</v>
      </c>
    </row>
    <row r="1110" spans="1:15">
      <c r="A1110" s="91">
        <v>379.33062317791462</v>
      </c>
      <c r="B1110" s="91">
        <v>379.47097391784871</v>
      </c>
      <c r="C1110" s="91">
        <v>372.67799810503783</v>
      </c>
      <c r="D1110" s="91">
        <v>372.99612644888845</v>
      </c>
      <c r="E1110" s="92">
        <v>5533487.3928317456</v>
      </c>
      <c r="F1110" s="90" t="s">
        <v>1118</v>
      </c>
      <c r="G1110" s="25">
        <f t="shared" si="32"/>
        <v>1.6982741320489714E-2</v>
      </c>
      <c r="I1110" s="91">
        <v>398.68262001104534</v>
      </c>
      <c r="J1110" s="91">
        <v>404.43785652659659</v>
      </c>
      <c r="K1110" s="91">
        <v>394.79620827679588</v>
      </c>
      <c r="L1110" s="91">
        <v>400.76529041408816</v>
      </c>
      <c r="M1110" s="92">
        <v>1052350.3271559128</v>
      </c>
      <c r="N1110" s="90" t="s">
        <v>1118</v>
      </c>
      <c r="O1110" s="25">
        <f t="shared" si="33"/>
        <v>-5.1967334818114885E-3</v>
      </c>
    </row>
    <row r="1111" spans="1:15">
      <c r="A1111" s="91">
        <v>374.74583234006701</v>
      </c>
      <c r="B1111" s="91">
        <v>374.78325920404944</v>
      </c>
      <c r="C1111" s="91">
        <v>365.42654320844218</v>
      </c>
      <c r="D1111" s="91">
        <v>370.0581176262678</v>
      </c>
      <c r="E1111" s="92">
        <v>7916592.7484360328</v>
      </c>
      <c r="F1111" s="90" t="s">
        <v>1119</v>
      </c>
      <c r="G1111" s="25">
        <f t="shared" si="32"/>
        <v>1.2667509481668615E-2</v>
      </c>
      <c r="I1111" s="91">
        <v>394.61955319796635</v>
      </c>
      <c r="J1111" s="91">
        <v>411.98753673762667</v>
      </c>
      <c r="K1111" s="91">
        <v>386.99549190111338</v>
      </c>
      <c r="L1111" s="91">
        <v>400.1888369989602</v>
      </c>
      <c r="M1111" s="92">
        <v>2020021.0623118915</v>
      </c>
      <c r="N1111" s="90" t="s">
        <v>1119</v>
      </c>
      <c r="O1111" s="25">
        <f t="shared" si="33"/>
        <v>-1.391663956135869E-2</v>
      </c>
    </row>
    <row r="1112" spans="1:15">
      <c r="A1112" s="91">
        <v>366.54934912791504</v>
      </c>
      <c r="B1112" s="91">
        <v>367.12946551964274</v>
      </c>
      <c r="C1112" s="91">
        <v>359.88736733904267</v>
      </c>
      <c r="D1112" s="91">
        <v>361.03824340650237</v>
      </c>
      <c r="E1112" s="92">
        <v>6133948.0675639547</v>
      </c>
      <c r="F1112" s="90" t="s">
        <v>1120</v>
      </c>
      <c r="G1112" s="25">
        <f t="shared" si="32"/>
        <v>1.5264603742289884E-2</v>
      </c>
      <c r="I1112" s="91">
        <v>416.36672316545315</v>
      </c>
      <c r="J1112" s="91">
        <v>416.87809313048604</v>
      </c>
      <c r="K1112" s="91">
        <v>406.18581204343604</v>
      </c>
      <c r="L1112" s="91">
        <v>412.38733507392504</v>
      </c>
      <c r="M1112" s="92">
        <v>890004.75413292309</v>
      </c>
      <c r="N1112" s="90" t="s">
        <v>1120</v>
      </c>
      <c r="O1112" s="25">
        <f t="shared" si="33"/>
        <v>9.6496370113179353E-3</v>
      </c>
    </row>
    <row r="1113" spans="1:15">
      <c r="A1113" s="91">
        <v>358.68035097560931</v>
      </c>
      <c r="B1113" s="91">
        <v>365.16268381736603</v>
      </c>
      <c r="C1113" s="91">
        <v>357.66046893208812</v>
      </c>
      <c r="D1113" s="91">
        <v>362.17040604197086</v>
      </c>
      <c r="E1113" s="92">
        <v>6898762.3467789721</v>
      </c>
      <c r="F1113" s="90" t="s">
        <v>1121</v>
      </c>
      <c r="G1113" s="25">
        <f t="shared" si="32"/>
        <v>-9.6364998579069328E-3</v>
      </c>
      <c r="I1113" s="91">
        <v>410.41623629961668</v>
      </c>
      <c r="J1113" s="91">
        <v>411.55984549414461</v>
      </c>
      <c r="K1113" s="91">
        <v>400.93729667505374</v>
      </c>
      <c r="L1113" s="91">
        <v>408.44513752530838</v>
      </c>
      <c r="M1113" s="92">
        <v>982879.9780365238</v>
      </c>
      <c r="N1113" s="90" t="s">
        <v>1121</v>
      </c>
      <c r="O1113" s="25">
        <f t="shared" si="33"/>
        <v>4.8258593216479184E-3</v>
      </c>
    </row>
    <row r="1114" spans="1:15">
      <c r="A1114" s="91">
        <v>361.31894488637062</v>
      </c>
      <c r="B1114" s="91">
        <v>368.83229426368331</v>
      </c>
      <c r="C1114" s="91">
        <v>360.86982251858143</v>
      </c>
      <c r="D1114" s="91">
        <v>368.2990550190936</v>
      </c>
      <c r="E1114" s="92">
        <v>6276560.0695341388</v>
      </c>
      <c r="F1114" s="90" t="s">
        <v>1122</v>
      </c>
      <c r="G1114" s="25">
        <f t="shared" si="32"/>
        <v>-1.8952289009704693E-2</v>
      </c>
      <c r="I1114" s="91">
        <v>405.65584680694752</v>
      </c>
      <c r="J1114" s="91">
        <v>418.26344085393856</v>
      </c>
      <c r="K1114" s="91">
        <v>405.08869102754744</v>
      </c>
      <c r="L1114" s="91">
        <v>416.236556265263</v>
      </c>
      <c r="M1114" s="92">
        <v>1264757.0139526783</v>
      </c>
      <c r="N1114" s="90" t="s">
        <v>1122</v>
      </c>
      <c r="O1114" s="25">
        <f t="shared" si="33"/>
        <v>-2.5419942816297225E-2</v>
      </c>
    </row>
    <row r="1115" spans="1:15">
      <c r="A1115" s="91">
        <v>365.98794616817861</v>
      </c>
      <c r="B1115" s="91">
        <v>366.79262374380085</v>
      </c>
      <c r="C1115" s="91">
        <v>361.66514337820803</v>
      </c>
      <c r="D1115" s="91">
        <v>363.45227613336903</v>
      </c>
      <c r="E1115" s="92">
        <v>6834436.3588701198</v>
      </c>
      <c r="F1115" s="90" t="s">
        <v>1123</v>
      </c>
      <c r="G1115" s="25">
        <f t="shared" si="32"/>
        <v>6.9766244465039318E-3</v>
      </c>
      <c r="I1115" s="91">
        <v>413.38218209680707</v>
      </c>
      <c r="J1115" s="91">
        <v>430.59210582909355</v>
      </c>
      <c r="K1115" s="91">
        <v>410.80208818232325</v>
      </c>
      <c r="L1115" s="91">
        <v>418.84919190479434</v>
      </c>
      <c r="M1115" s="92">
        <v>1551951.5307260151</v>
      </c>
      <c r="N1115" s="90" t="s">
        <v>1123</v>
      </c>
      <c r="O1115" s="25">
        <f t="shared" si="33"/>
        <v>-1.3052453994539248E-2</v>
      </c>
    </row>
    <row r="1116" spans="1:15">
      <c r="A1116" s="91">
        <v>367.62537146740988</v>
      </c>
      <c r="B1116" s="91">
        <v>369.44993108655331</v>
      </c>
      <c r="C1116" s="91">
        <v>363.71426418124605</v>
      </c>
      <c r="D1116" s="91">
        <v>365.73531483629722</v>
      </c>
      <c r="E1116" s="92">
        <v>6212220.1878616987</v>
      </c>
      <c r="F1116" s="90" t="s">
        <v>1124</v>
      </c>
      <c r="G1116" s="25">
        <f t="shared" si="32"/>
        <v>5.1678264428980381E-3</v>
      </c>
      <c r="I1116" s="91">
        <v>418.31922666830582</v>
      </c>
      <c r="J1116" s="91">
        <v>424.75319059199148</v>
      </c>
      <c r="K1116" s="91">
        <v>406.7250749156525</v>
      </c>
      <c r="L1116" s="91">
        <v>410.50921265689539</v>
      </c>
      <c r="M1116" s="92">
        <v>1861561.4234185538</v>
      </c>
      <c r="N1116" s="90" t="s">
        <v>1124</v>
      </c>
      <c r="O1116" s="25">
        <f t="shared" si="33"/>
        <v>1.9025185722051141E-2</v>
      </c>
    </row>
    <row r="1117" spans="1:15">
      <c r="A1117" s="91">
        <v>358.08152115189046</v>
      </c>
      <c r="B1117" s="91">
        <v>367.47566401148021</v>
      </c>
      <c r="C1117" s="91">
        <v>357.08970925635612</v>
      </c>
      <c r="D1117" s="91">
        <v>360.94467624654629</v>
      </c>
      <c r="E1117" s="92">
        <v>9999314.93527475</v>
      </c>
      <c r="F1117" s="90" t="s">
        <v>1125</v>
      </c>
      <c r="G1117" s="25">
        <f t="shared" si="32"/>
        <v>-7.9323931978432238E-3</v>
      </c>
      <c r="I1117" s="91">
        <v>417.65909453162703</v>
      </c>
      <c r="J1117" s="91">
        <v>444.23173744187818</v>
      </c>
      <c r="K1117" s="91">
        <v>416.7200333231122</v>
      </c>
      <c r="L1117" s="91">
        <v>442.71622281823545</v>
      </c>
      <c r="M1117" s="92">
        <v>2633114.5590718659</v>
      </c>
      <c r="N1117" s="90" t="s">
        <v>1125</v>
      </c>
      <c r="O1117" s="25">
        <f t="shared" si="33"/>
        <v>-5.6598622311827995E-2</v>
      </c>
    </row>
    <row r="1118" spans="1:15">
      <c r="A1118" s="91">
        <v>360.8043255066122</v>
      </c>
      <c r="B1118" s="91">
        <v>371.4616250256089</v>
      </c>
      <c r="C1118" s="91">
        <v>360.75754192663413</v>
      </c>
      <c r="D1118" s="91">
        <v>371.20899369372751</v>
      </c>
      <c r="E1118" s="92">
        <v>8989781.2479816228</v>
      </c>
      <c r="F1118" s="90" t="s">
        <v>1126</v>
      </c>
      <c r="G1118" s="25">
        <f t="shared" si="32"/>
        <v>-2.8029138204824444E-2</v>
      </c>
      <c r="I1118" s="91">
        <v>444.38049961352408</v>
      </c>
      <c r="J1118" s="91">
        <v>456.34795144065134</v>
      </c>
      <c r="K1118" s="91">
        <v>438.80191817680236</v>
      </c>
      <c r="L1118" s="91">
        <v>439.23890705601224</v>
      </c>
      <c r="M1118" s="92">
        <v>2583273.9314582283</v>
      </c>
      <c r="N1118" s="90" t="s">
        <v>1126</v>
      </c>
      <c r="O1118" s="25">
        <f t="shared" si="33"/>
        <v>1.1705685618728978E-2</v>
      </c>
    </row>
    <row r="1119" spans="1:15">
      <c r="A1119" s="91">
        <v>371.77975336945951</v>
      </c>
      <c r="B1119" s="91">
        <v>372.79626699522231</v>
      </c>
      <c r="C1119" s="91">
        <v>368.06513711920343</v>
      </c>
      <c r="D1119" s="91">
        <v>371.39612801363961</v>
      </c>
      <c r="E1119" s="92">
        <v>6757154.9707912812</v>
      </c>
      <c r="F1119" s="90" t="s">
        <v>1127</v>
      </c>
      <c r="G1119" s="25">
        <f t="shared" si="32"/>
        <v>1.0329277202529852E-3</v>
      </c>
      <c r="I1119" s="91">
        <v>435.65931730078245</v>
      </c>
      <c r="J1119" s="91">
        <v>439.72238411386144</v>
      </c>
      <c r="K1119" s="91">
        <v>418.40299836621392</v>
      </c>
      <c r="L1119" s="91">
        <v>422.24282894546673</v>
      </c>
      <c r="M1119" s="92">
        <v>1814029.9850040199</v>
      </c>
      <c r="N1119" s="90" t="s">
        <v>1127</v>
      </c>
      <c r="O1119" s="25">
        <f t="shared" si="33"/>
        <v>3.1774342713700499E-2</v>
      </c>
    </row>
    <row r="1120" spans="1:15">
      <c r="A1120" s="91">
        <v>374.8113293520363</v>
      </c>
      <c r="B1120" s="91">
        <v>379.45226048585749</v>
      </c>
      <c r="C1120" s="91">
        <v>373.22068763278304</v>
      </c>
      <c r="D1120" s="91">
        <v>378.96571125408587</v>
      </c>
      <c r="E1120" s="92">
        <v>9346514.3156056739</v>
      </c>
      <c r="F1120" s="90" t="s">
        <v>1128</v>
      </c>
      <c r="G1120" s="25">
        <f t="shared" ref="G1120:G1183" si="34">A1120/D1120-1</f>
        <v>-1.0962421608809336E-2</v>
      </c>
      <c r="I1120" s="91">
        <v>418.10538104656479</v>
      </c>
      <c r="J1120" s="91">
        <v>423.1261043396143</v>
      </c>
      <c r="K1120" s="91">
        <v>410.36974812097736</v>
      </c>
      <c r="L1120" s="91">
        <v>420.62504032881742</v>
      </c>
      <c r="M1120" s="92">
        <v>1533843.7014963385</v>
      </c>
      <c r="N1120" s="90" t="s">
        <v>1128</v>
      </c>
      <c r="O1120" s="25">
        <f t="shared" ref="O1120:O1183" si="35">I1120/L1120-1</f>
        <v>-5.9902740937223253E-3</v>
      </c>
    </row>
    <row r="1121" spans="1:15">
      <c r="A1121" s="91">
        <v>376.70138598314895</v>
      </c>
      <c r="B1121" s="91">
        <v>378.10489338249005</v>
      </c>
      <c r="C1121" s="91">
        <v>371.25577727370552</v>
      </c>
      <c r="D1121" s="91">
        <v>372.13530857729262</v>
      </c>
      <c r="E1121" s="92">
        <v>8747906.8551858515</v>
      </c>
      <c r="F1121" s="90" t="s">
        <v>1129</v>
      </c>
      <c r="G1121" s="25">
        <f t="shared" si="34"/>
        <v>1.2269938650306678E-2</v>
      </c>
      <c r="I1121" s="91">
        <v>421.5455062658765</v>
      </c>
      <c r="J1121" s="91">
        <v>425.40393211658505</v>
      </c>
      <c r="K1121" s="91">
        <v>405.43270354947862</v>
      </c>
      <c r="L1121" s="91">
        <v>420.03928927796164</v>
      </c>
      <c r="M1121" s="92">
        <v>1919380.4234024542</v>
      </c>
      <c r="N1121" s="90" t="s">
        <v>1129</v>
      </c>
      <c r="O1121" s="25">
        <f t="shared" si="35"/>
        <v>3.5858954777874263E-3</v>
      </c>
    </row>
    <row r="1122" spans="1:15">
      <c r="A1122" s="91">
        <v>369.90841017033807</v>
      </c>
      <c r="B1122" s="91">
        <v>376.06512929544766</v>
      </c>
      <c r="C1122" s="91">
        <v>367.52244759145822</v>
      </c>
      <c r="D1122" s="91">
        <v>374.27799654028667</v>
      </c>
      <c r="E1122" s="92">
        <v>9751724.861889217</v>
      </c>
      <c r="F1122" s="90" t="s">
        <v>1130</v>
      </c>
      <c r="G1122" s="25">
        <f t="shared" si="34"/>
        <v>-1.1674708132296652E-2</v>
      </c>
      <c r="I1122" s="91">
        <v>424.06516554812919</v>
      </c>
      <c r="J1122" s="91">
        <v>424.98563148518821</v>
      </c>
      <c r="K1122" s="91">
        <v>412.5500436991627</v>
      </c>
      <c r="L1122" s="91">
        <v>413.12184829642672</v>
      </c>
      <c r="M1122" s="92">
        <v>2405474.9674651749</v>
      </c>
      <c r="N1122" s="90" t="s">
        <v>1130</v>
      </c>
      <c r="O1122" s="25">
        <f t="shared" si="35"/>
        <v>2.6489321000157551E-2</v>
      </c>
    </row>
    <row r="1123" spans="1:15">
      <c r="A1123" s="91">
        <v>375.54115319969367</v>
      </c>
      <c r="B1123" s="91">
        <v>376.93530388303918</v>
      </c>
      <c r="C1123" s="91">
        <v>370.52595342604815</v>
      </c>
      <c r="D1123" s="91">
        <v>371.63004591352984</v>
      </c>
      <c r="E1123" s="92">
        <v>12671050.404400477</v>
      </c>
      <c r="F1123" s="90" t="s">
        <v>1131</v>
      </c>
      <c r="G1123" s="25">
        <f t="shared" si="34"/>
        <v>1.0524195578830664E-2</v>
      </c>
      <c r="I1123" s="91">
        <v>411.08566607202329</v>
      </c>
      <c r="J1123" s="91">
        <v>411.82947693025284</v>
      </c>
      <c r="K1123" s="91">
        <v>384.85703568370337</v>
      </c>
      <c r="L1123" s="91">
        <v>385.21034584136243</v>
      </c>
      <c r="M1123" s="92">
        <v>2800485.0654615136</v>
      </c>
      <c r="N1123" s="90" t="s">
        <v>1131</v>
      </c>
      <c r="O1123" s="25">
        <f t="shared" si="35"/>
        <v>6.7171924404431316E-2</v>
      </c>
    </row>
    <row r="1124" spans="1:15">
      <c r="A1124" s="91">
        <v>376.48618151525</v>
      </c>
      <c r="B1124" s="91">
        <v>376.62653225518409</v>
      </c>
      <c r="C1124" s="91">
        <v>368.08899674499224</v>
      </c>
      <c r="D1124" s="91">
        <v>369.54349824650939</v>
      </c>
      <c r="E1124" s="92">
        <v>12467223.548814036</v>
      </c>
      <c r="F1124" s="90" t="s">
        <v>1132</v>
      </c>
      <c r="G1124" s="25">
        <f t="shared" si="34"/>
        <v>1.8787188251677467E-2</v>
      </c>
      <c r="I1124" s="91">
        <v>380.89624286363096</v>
      </c>
      <c r="J1124" s="91">
        <v>382.20720950126054</v>
      </c>
      <c r="K1124" s="91">
        <v>365.71320372001998</v>
      </c>
      <c r="L1124" s="91">
        <v>365.71320372001998</v>
      </c>
      <c r="M1124" s="92">
        <v>1355180.0015386464</v>
      </c>
      <c r="N1124" s="90" t="s">
        <v>1132</v>
      </c>
      <c r="O1124" s="25">
        <f t="shared" si="35"/>
        <v>4.1516245487364767E-2</v>
      </c>
    </row>
    <row r="1125" spans="1:15">
      <c r="A1125" s="91">
        <v>368.43940575902769</v>
      </c>
      <c r="B1125" s="91">
        <v>368.81367439885202</v>
      </c>
      <c r="C1125" s="91">
        <v>353.21602883417467</v>
      </c>
      <c r="D1125" s="91">
        <v>353.45930345006047</v>
      </c>
      <c r="E1125" s="92">
        <v>22740051.114075787</v>
      </c>
      <c r="F1125" s="90" t="s">
        <v>1133</v>
      </c>
      <c r="G1125" s="25">
        <f t="shared" si="34"/>
        <v>4.2381406183820358E-2</v>
      </c>
      <c r="I1125" s="91">
        <v>366.25246660440706</v>
      </c>
      <c r="J1125" s="91">
        <v>373.11466483328422</v>
      </c>
      <c r="K1125" s="91">
        <v>361.15554803327416</v>
      </c>
      <c r="L1125" s="91">
        <v>366.3728560470189</v>
      </c>
      <c r="M1125" s="92">
        <v>1671909.8920401151</v>
      </c>
      <c r="N1125" s="90" t="s">
        <v>1133</v>
      </c>
      <c r="O1125" s="25">
        <f t="shared" si="35"/>
        <v>-3.2859814973951185E-4</v>
      </c>
    </row>
    <row r="1126" spans="1:15">
      <c r="A1126" s="91">
        <v>362.8628030256458</v>
      </c>
      <c r="B1126" s="91">
        <v>372.69671153702905</v>
      </c>
      <c r="C1126" s="91">
        <v>362.46046423783469</v>
      </c>
      <c r="D1126" s="91">
        <v>372.15402200928384</v>
      </c>
      <c r="E1126" s="92">
        <v>12990515.054327153</v>
      </c>
      <c r="F1126" s="90" t="s">
        <v>1134</v>
      </c>
      <c r="G1126" s="25">
        <f t="shared" si="34"/>
        <v>-2.4966058228993782E-2</v>
      </c>
      <c r="I1126" s="91">
        <v>357.53812310457778</v>
      </c>
      <c r="J1126" s="91">
        <v>365.42826195883339</v>
      </c>
      <c r="K1126" s="91">
        <v>356.38979303658749</v>
      </c>
      <c r="L1126" s="91">
        <v>363.39090216078614</v>
      </c>
      <c r="M1126" s="92">
        <v>719348.54187499359</v>
      </c>
      <c r="N1126" s="90" t="s">
        <v>1134</v>
      </c>
      <c r="O1126" s="25">
        <f t="shared" si="35"/>
        <v>-1.6106014271151881E-2</v>
      </c>
    </row>
    <row r="1127" spans="1:15">
      <c r="A1127" s="91">
        <v>369.51542809852259</v>
      </c>
      <c r="B1127" s="91">
        <v>374.61483831612856</v>
      </c>
      <c r="C1127" s="91">
        <v>366.32010958602268</v>
      </c>
      <c r="D1127" s="91">
        <v>371.50840860558691</v>
      </c>
      <c r="E1127" s="92">
        <v>11130759.985543469</v>
      </c>
      <c r="F1127" s="90" t="s">
        <v>1135</v>
      </c>
      <c r="G1127" s="25">
        <f t="shared" si="34"/>
        <v>-5.3645636569700228E-3</v>
      </c>
      <c r="I1127" s="91">
        <v>361.84436085954127</v>
      </c>
      <c r="J1127" s="91">
        <v>367.19706069259257</v>
      </c>
      <c r="K1127" s="91">
        <v>358.27898121295857</v>
      </c>
      <c r="L1127" s="91">
        <v>365.67830157041192</v>
      </c>
      <c r="M1127" s="92">
        <v>776625.90648768994</v>
      </c>
      <c r="N1127" s="90" t="s">
        <v>1135</v>
      </c>
      <c r="O1127" s="25">
        <f t="shared" si="35"/>
        <v>-1.0484463241066555E-2</v>
      </c>
    </row>
    <row r="1128" spans="1:15">
      <c r="A1128" s="91">
        <v>373.60431298860294</v>
      </c>
      <c r="B1128" s="91">
        <v>377.3657128188371</v>
      </c>
      <c r="C1128" s="91">
        <v>371.4616250256089</v>
      </c>
      <c r="D1128" s="91">
        <v>376.28033376334662</v>
      </c>
      <c r="E1128" s="92">
        <v>11297587.748695929</v>
      </c>
      <c r="F1128" s="90" t="s">
        <v>1136</v>
      </c>
      <c r="G1128" s="25">
        <f t="shared" si="34"/>
        <v>-7.1117742136018736E-3</v>
      </c>
      <c r="I1128" s="91">
        <v>362.32591862998873</v>
      </c>
      <c r="J1128" s="91">
        <v>369.9382356936016</v>
      </c>
      <c r="K1128" s="91">
        <v>362.15922555560309</v>
      </c>
      <c r="L1128" s="91">
        <v>368.11387260171381</v>
      </c>
      <c r="M1128" s="92">
        <v>1589805.1012415863</v>
      </c>
      <c r="N1128" s="90" t="s">
        <v>1136</v>
      </c>
      <c r="O1128" s="25">
        <f t="shared" si="35"/>
        <v>-1.5723270440251569E-2</v>
      </c>
    </row>
    <row r="1129" spans="1:15">
      <c r="A1129" s="91">
        <v>376.00898899947401</v>
      </c>
      <c r="B1129" s="91">
        <v>381.73529918878569</v>
      </c>
      <c r="C1129" s="91">
        <v>375.41951589175079</v>
      </c>
      <c r="D1129" s="91">
        <v>381.27682010500092</v>
      </c>
      <c r="E1129" s="92">
        <v>8059442.0131382532</v>
      </c>
      <c r="F1129" s="90" t="s">
        <v>1137</v>
      </c>
      <c r="G1129" s="25">
        <f t="shared" si="34"/>
        <v>-1.3816289970306039E-2</v>
      </c>
      <c r="I1129" s="91">
        <v>368.67877690935421</v>
      </c>
      <c r="J1129" s="91">
        <v>371.68851297465125</v>
      </c>
      <c r="K1129" s="91">
        <v>362.46945988848751</v>
      </c>
      <c r="L1129" s="91">
        <v>363.73354903591229</v>
      </c>
      <c r="M1129" s="92">
        <v>958881.58874661394</v>
      </c>
      <c r="N1129" s="90" t="s">
        <v>1137</v>
      </c>
      <c r="O1129" s="25">
        <f t="shared" si="35"/>
        <v>1.3595743055732523E-2</v>
      </c>
    </row>
    <row r="1130" spans="1:15">
      <c r="A1130" s="91">
        <v>384.17740206363914</v>
      </c>
      <c r="B1130" s="91">
        <v>385.39377514306813</v>
      </c>
      <c r="C1130" s="91">
        <v>380.18208433351487</v>
      </c>
      <c r="D1130" s="91">
        <v>381.94114694068901</v>
      </c>
      <c r="E1130" s="92">
        <v>8276155.8688277882</v>
      </c>
      <c r="F1130" s="90" t="s">
        <v>1138</v>
      </c>
      <c r="G1130" s="25">
        <f t="shared" si="34"/>
        <v>5.8549730524253274E-3</v>
      </c>
      <c r="I1130" s="91">
        <v>364.55775368148596</v>
      </c>
      <c r="J1130" s="91">
        <v>365.11330465550799</v>
      </c>
      <c r="K1130" s="91">
        <v>356.35275013116848</v>
      </c>
      <c r="L1130" s="91">
        <v>356.52870393190892</v>
      </c>
      <c r="M1130" s="92">
        <v>1172773.0184379639</v>
      </c>
      <c r="N1130" s="90" t="s">
        <v>1138</v>
      </c>
      <c r="O1130" s="25">
        <f t="shared" si="35"/>
        <v>2.252006545624563E-2</v>
      </c>
    </row>
    <row r="1131" spans="1:15">
      <c r="A1131" s="91">
        <v>383.71892297985443</v>
      </c>
      <c r="B1131" s="91">
        <v>383.89670058377095</v>
      </c>
      <c r="C1131" s="91">
        <v>381.24874995701407</v>
      </c>
      <c r="D1131" s="91">
        <v>381.92243350869779</v>
      </c>
      <c r="E1131" s="92">
        <v>7291333.8432019111</v>
      </c>
      <c r="F1131" s="90" t="s">
        <v>1139</v>
      </c>
      <c r="G1131" s="25">
        <f t="shared" si="34"/>
        <v>4.7038071439071683E-3</v>
      </c>
      <c r="I1131" s="91">
        <v>356.3249679521042</v>
      </c>
      <c r="J1131" s="91">
        <v>360.16353902615231</v>
      </c>
      <c r="K1131" s="91">
        <v>352.18542327152647</v>
      </c>
      <c r="L1131" s="91">
        <v>358.55680300360143</v>
      </c>
      <c r="M1131" s="92">
        <v>850569.35042154742</v>
      </c>
      <c r="N1131" s="90" t="s">
        <v>1139</v>
      </c>
      <c r="O1131" s="25">
        <f t="shared" si="35"/>
        <v>-6.2244950668940424E-3</v>
      </c>
    </row>
    <row r="1132" spans="1:15">
      <c r="A1132" s="91">
        <v>377.65577101470092</v>
      </c>
      <c r="B1132" s="91">
        <v>379.87331270565983</v>
      </c>
      <c r="C1132" s="91">
        <v>374.49320100818562</v>
      </c>
      <c r="D1132" s="91">
        <v>378.41366501034508</v>
      </c>
      <c r="E1132" s="92">
        <v>10866616.027218742</v>
      </c>
      <c r="F1132" s="90" t="s">
        <v>1140</v>
      </c>
      <c r="G1132" s="25">
        <f t="shared" si="34"/>
        <v>-2.0028187819893795E-3</v>
      </c>
      <c r="I1132" s="91">
        <v>361.72397141692937</v>
      </c>
      <c r="J1132" s="91">
        <v>367.96570098003764</v>
      </c>
      <c r="K1132" s="91">
        <v>354.48208340750693</v>
      </c>
      <c r="L1132" s="91">
        <v>367.65083628397582</v>
      </c>
      <c r="M1132" s="92">
        <v>1846486.9109549432</v>
      </c>
      <c r="N1132" s="90" t="s">
        <v>1140</v>
      </c>
      <c r="O1132" s="25">
        <f t="shared" si="35"/>
        <v>-1.6120906801007528E-2</v>
      </c>
    </row>
    <row r="1133" spans="1:15">
      <c r="A1133" s="91">
        <v>378.89085752612107</v>
      </c>
      <c r="B1133" s="91">
        <v>388.49084813761414</v>
      </c>
      <c r="C1133" s="91">
        <v>377.60898743472285</v>
      </c>
      <c r="D1133" s="91">
        <v>386.57272135851463</v>
      </c>
      <c r="E1133" s="92">
        <v>11177624.718875749</v>
      </c>
      <c r="F1133" s="90" t="s">
        <v>1141</v>
      </c>
      <c r="G1133" s="25">
        <f t="shared" si="34"/>
        <v>-1.9871717293960978E-2</v>
      </c>
      <c r="I1133" s="91">
        <v>369.79932479828017</v>
      </c>
      <c r="J1133" s="91">
        <v>371.55886280568461</v>
      </c>
      <c r="K1133" s="91">
        <v>352.15273290749417</v>
      </c>
      <c r="L1133" s="91">
        <v>354.67655866095691</v>
      </c>
      <c r="M1133" s="92">
        <v>1914085.280242491</v>
      </c>
      <c r="N1133" s="90" t="s">
        <v>1141</v>
      </c>
      <c r="O1133" s="25">
        <f t="shared" si="35"/>
        <v>4.263818898665761E-2</v>
      </c>
    </row>
    <row r="1134" spans="1:15">
      <c r="A1134" s="91">
        <v>386.60079150650148</v>
      </c>
      <c r="B1134" s="91">
        <v>393.73060909515419</v>
      </c>
      <c r="C1134" s="91">
        <v>384.69202144339755</v>
      </c>
      <c r="D1134" s="91">
        <v>388.23821680573275</v>
      </c>
      <c r="E1134" s="92">
        <v>9897128.4415894803</v>
      </c>
      <c r="F1134" s="90" t="s">
        <v>1142</v>
      </c>
      <c r="G1134" s="25">
        <f t="shared" si="34"/>
        <v>-4.2175788687248694E-3</v>
      </c>
      <c r="I1134" s="91">
        <v>353.77826820454516</v>
      </c>
      <c r="J1134" s="91">
        <v>357.77890198980151</v>
      </c>
      <c r="K1134" s="91">
        <v>351.84277639640032</v>
      </c>
      <c r="L1134" s="91">
        <v>354.4635619547974</v>
      </c>
      <c r="M1134" s="92">
        <v>978573.34865983773</v>
      </c>
      <c r="N1134" s="90" t="s">
        <v>1142</v>
      </c>
      <c r="O1134" s="25">
        <f t="shared" si="35"/>
        <v>-1.9333263663914302E-3</v>
      </c>
    </row>
    <row r="1135" spans="1:15">
      <c r="A1135" s="91">
        <v>393.51540462725524</v>
      </c>
      <c r="B1135" s="91">
        <v>393.79610610712348</v>
      </c>
      <c r="C1135" s="91">
        <v>391.43353531823266</v>
      </c>
      <c r="D1135" s="91">
        <v>391.62534799614258</v>
      </c>
      <c r="E1135" s="92">
        <v>6716522.124803598</v>
      </c>
      <c r="F1135" s="90" t="s">
        <v>1143</v>
      </c>
      <c r="G1135" s="25">
        <f t="shared" si="34"/>
        <v>4.8261856409030912E-3</v>
      </c>
      <c r="I1135" s="91">
        <v>355.94527817155904</v>
      </c>
      <c r="J1135" s="91">
        <v>356.23236068855664</v>
      </c>
      <c r="K1135" s="91">
        <v>351.55106351622538</v>
      </c>
      <c r="L1135" s="91">
        <v>352.00946947078603</v>
      </c>
      <c r="M1135" s="92">
        <v>758881.07809034362</v>
      </c>
      <c r="N1135" s="90" t="s">
        <v>1143</v>
      </c>
      <c r="O1135" s="25">
        <f t="shared" si="35"/>
        <v>1.1180973928599514E-2</v>
      </c>
    </row>
    <row r="1136" spans="1:15">
      <c r="A1136" s="91">
        <v>387.82652130192599</v>
      </c>
      <c r="B1136" s="91">
        <v>388.73412275349989</v>
      </c>
      <c r="C1136" s="91">
        <v>383.01716928018391</v>
      </c>
      <c r="D1136" s="91">
        <v>384.29903937158207</v>
      </c>
      <c r="E1136" s="92">
        <v>5948331.6610367754</v>
      </c>
      <c r="F1136" s="90" t="s">
        <v>1144</v>
      </c>
      <c r="G1136" s="25">
        <f t="shared" si="34"/>
        <v>9.179002726918517E-3</v>
      </c>
      <c r="I1136" s="91">
        <v>351.27787208875998</v>
      </c>
      <c r="J1136" s="91">
        <v>351.90760148088367</v>
      </c>
      <c r="K1136" s="91">
        <v>344.18415570101376</v>
      </c>
      <c r="L1136" s="91">
        <v>346.61972673231566</v>
      </c>
      <c r="M1136" s="92">
        <v>655982.02206649398</v>
      </c>
      <c r="N1136" s="90" t="s">
        <v>1144</v>
      </c>
      <c r="O1136" s="25">
        <f t="shared" si="35"/>
        <v>1.3438777418579129E-2</v>
      </c>
    </row>
    <row r="1137" spans="1:15">
      <c r="A1137" s="91">
        <v>384.71073487538882</v>
      </c>
      <c r="B1137" s="91">
        <v>387.94815860986893</v>
      </c>
      <c r="C1137" s="91">
        <v>383.53178865994226</v>
      </c>
      <c r="D1137" s="91">
        <v>386.64757508647949</v>
      </c>
      <c r="E1137" s="92">
        <v>6007355.5750103621</v>
      </c>
      <c r="F1137" s="90" t="s">
        <v>1145</v>
      </c>
      <c r="G1137" s="25">
        <f t="shared" si="34"/>
        <v>-5.0093168453402281E-3</v>
      </c>
      <c r="I1137" s="91">
        <v>345.57326465422778</v>
      </c>
      <c r="J1137" s="91">
        <v>347.83288188478923</v>
      </c>
      <c r="K1137" s="91">
        <v>340.98457474544409</v>
      </c>
      <c r="L1137" s="91">
        <v>343.14695434928063</v>
      </c>
      <c r="M1137" s="92">
        <v>582865.72707393556</v>
      </c>
      <c r="N1137" s="90" t="s">
        <v>1145</v>
      </c>
      <c r="O1137" s="25">
        <f t="shared" si="35"/>
        <v>7.0707615911913546E-3</v>
      </c>
    </row>
    <row r="1138" spans="1:15">
      <c r="A1138" s="91">
        <v>385.98324825079135</v>
      </c>
      <c r="B1138" s="91">
        <v>389.46394660115726</v>
      </c>
      <c r="C1138" s="91">
        <v>381.81015291675055</v>
      </c>
      <c r="D1138" s="91">
        <v>383.94348416374896</v>
      </c>
      <c r="E1138" s="92">
        <v>8774471.7311654892</v>
      </c>
      <c r="F1138" s="90" t="s">
        <v>1146</v>
      </c>
      <c r="G1138" s="25">
        <f t="shared" si="34"/>
        <v>5.3126675439878479E-3</v>
      </c>
      <c r="I1138" s="91">
        <v>342.41535696725452</v>
      </c>
      <c r="J1138" s="91">
        <v>347.20315249266554</v>
      </c>
      <c r="K1138" s="91">
        <v>339.86865721969554</v>
      </c>
      <c r="L1138" s="91">
        <v>344.77684218771839</v>
      </c>
      <c r="M1138" s="92">
        <v>574971.09794882149</v>
      </c>
      <c r="N1138" s="90" t="s">
        <v>1146</v>
      </c>
      <c r="O1138" s="25">
        <f t="shared" si="35"/>
        <v>-6.8493150684932891E-3</v>
      </c>
    </row>
    <row r="1139" spans="1:15">
      <c r="A1139" s="91">
        <v>384.17740206363914</v>
      </c>
      <c r="B1139" s="91">
        <v>389.64172420507384</v>
      </c>
      <c r="C1139" s="91">
        <v>383.4288647839906</v>
      </c>
      <c r="D1139" s="91">
        <v>387.92008846188207</v>
      </c>
      <c r="E1139" s="92">
        <v>8184785.1357200006</v>
      </c>
      <c r="F1139" s="90" t="s">
        <v>1147</v>
      </c>
      <c r="G1139" s="25">
        <f t="shared" si="34"/>
        <v>-9.6480860609277075E-3</v>
      </c>
      <c r="I1139" s="91">
        <v>346.17521186728715</v>
      </c>
      <c r="J1139" s="91">
        <v>347.08739341323104</v>
      </c>
      <c r="K1139" s="91">
        <v>340.79472985517151</v>
      </c>
      <c r="L1139" s="91">
        <v>344.96205671481357</v>
      </c>
      <c r="M1139" s="92">
        <v>730031.28923305043</v>
      </c>
      <c r="N1139" s="90" t="s">
        <v>1147</v>
      </c>
      <c r="O1139" s="25">
        <f t="shared" si="35"/>
        <v>3.5167785234899718E-3</v>
      </c>
    </row>
    <row r="1140" spans="1:15">
      <c r="A1140" s="91">
        <v>393.3189135913475</v>
      </c>
      <c r="B1140" s="91">
        <v>394.0861643029873</v>
      </c>
      <c r="C1140" s="91">
        <v>389.7446480810255</v>
      </c>
      <c r="D1140" s="91">
        <v>392.0276867839537</v>
      </c>
      <c r="E1140" s="92">
        <v>7188928.2555523729</v>
      </c>
      <c r="F1140" s="90" t="s">
        <v>1148</v>
      </c>
      <c r="G1140" s="25">
        <f t="shared" si="34"/>
        <v>3.2937133037376221E-3</v>
      </c>
      <c r="I1140" s="91">
        <v>343.55442630889007</v>
      </c>
      <c r="J1140" s="91">
        <v>344.4249345862375</v>
      </c>
      <c r="K1140" s="91">
        <v>338.24803010761252</v>
      </c>
      <c r="L1140" s="91">
        <v>340.2390862738859</v>
      </c>
      <c r="M1140" s="92">
        <v>825831.55003483745</v>
      </c>
      <c r="N1140" s="90" t="s">
        <v>1148</v>
      </c>
      <c r="O1140" s="25">
        <f t="shared" si="35"/>
        <v>9.7441480675015679E-3</v>
      </c>
    </row>
    <row r="1141" spans="1:15">
      <c r="A1141" s="91">
        <v>389.60429734109135</v>
      </c>
      <c r="B1141" s="91">
        <v>390.21248388080591</v>
      </c>
      <c r="C1141" s="91">
        <v>384.46746025950296</v>
      </c>
      <c r="D1141" s="91">
        <v>387.68617056199184</v>
      </c>
      <c r="E1141" s="92">
        <v>8715548.2797901519</v>
      </c>
      <c r="F1141" s="90" t="s">
        <v>1149</v>
      </c>
      <c r="G1141" s="25">
        <f t="shared" si="34"/>
        <v>4.9476275522517543E-3</v>
      </c>
      <c r="I1141" s="91">
        <v>343.18399725469965</v>
      </c>
      <c r="J1141" s="91">
        <v>344.43419531259224</v>
      </c>
      <c r="K1141" s="91">
        <v>337.66460434726264</v>
      </c>
      <c r="L1141" s="91">
        <v>342.54500713622116</v>
      </c>
      <c r="M1141" s="92">
        <v>970086.97329473437</v>
      </c>
      <c r="N1141" s="90" t="s">
        <v>1149</v>
      </c>
      <c r="O1141" s="25">
        <f t="shared" si="35"/>
        <v>1.8654194490255183E-3</v>
      </c>
    </row>
    <row r="1142" spans="1:15">
      <c r="A1142" s="91">
        <v>387.07798402227741</v>
      </c>
      <c r="B1142" s="91">
        <v>387.33997207015443</v>
      </c>
      <c r="C1142" s="91">
        <v>378.33881128238022</v>
      </c>
      <c r="D1142" s="91">
        <v>379.57389779380043</v>
      </c>
      <c r="E1142" s="92">
        <v>9832974.5225989055</v>
      </c>
      <c r="F1142" s="90" t="s">
        <v>1150</v>
      </c>
      <c r="G1142" s="25">
        <f t="shared" si="34"/>
        <v>1.9769763600956392E-2</v>
      </c>
      <c r="I1142" s="91">
        <v>342.55426786257595</v>
      </c>
      <c r="J1142" s="91">
        <v>350.18510637889824</v>
      </c>
      <c r="K1142" s="91">
        <v>339.75752850343838</v>
      </c>
      <c r="L1142" s="91">
        <v>348.90712614194138</v>
      </c>
      <c r="M1142" s="92">
        <v>1233027.4713419937</v>
      </c>
      <c r="N1142" s="90" t="s">
        <v>1150</v>
      </c>
      <c r="O1142" s="25">
        <f t="shared" si="35"/>
        <v>-1.8207877694022656E-2</v>
      </c>
    </row>
    <row r="1143" spans="1:15">
      <c r="A1143" s="91">
        <v>380.12594403754122</v>
      </c>
      <c r="B1143" s="91">
        <v>380.19144104951044</v>
      </c>
      <c r="C1143" s="91">
        <v>367.9996401072342</v>
      </c>
      <c r="D1143" s="91">
        <v>372.22887573724864</v>
      </c>
      <c r="E1143" s="92">
        <v>12928475.124903996</v>
      </c>
      <c r="F1143" s="90" t="s">
        <v>1151</v>
      </c>
      <c r="G1143" s="25">
        <f t="shared" si="34"/>
        <v>2.1215625157106288E-2</v>
      </c>
      <c r="I1143" s="91">
        <v>352.09281600797885</v>
      </c>
      <c r="J1143" s="91">
        <v>352.59289523113591</v>
      </c>
      <c r="K1143" s="91">
        <v>342.03566718670936</v>
      </c>
      <c r="L1143" s="91">
        <v>343.06360781208775</v>
      </c>
      <c r="M1143" s="92">
        <v>994500.82500991737</v>
      </c>
      <c r="N1143" s="90" t="s">
        <v>1151</v>
      </c>
      <c r="O1143" s="25">
        <f t="shared" si="35"/>
        <v>2.6319341341611624E-2</v>
      </c>
    </row>
    <row r="1144" spans="1:15">
      <c r="A1144" s="91">
        <v>371.03121608981098</v>
      </c>
      <c r="B1144" s="91">
        <v>379.85459927366861</v>
      </c>
      <c r="C1144" s="91">
        <v>369.42186093856651</v>
      </c>
      <c r="D1144" s="91">
        <v>377.01015761100399</v>
      </c>
      <c r="E1144" s="92">
        <v>13311535.805775648</v>
      </c>
      <c r="F1144" s="90" t="s">
        <v>1152</v>
      </c>
      <c r="G1144" s="25">
        <f t="shared" si="34"/>
        <v>-1.5858834040652137E-2</v>
      </c>
      <c r="I1144" s="91">
        <v>346.34190494167285</v>
      </c>
      <c r="J1144" s="91">
        <v>362.2795223909514</v>
      </c>
      <c r="K1144" s="91">
        <v>343.90633391037096</v>
      </c>
      <c r="L1144" s="91">
        <v>360.93680967677471</v>
      </c>
      <c r="M1144" s="92">
        <v>1941431.9472638988</v>
      </c>
      <c r="N1144" s="90" t="s">
        <v>1152</v>
      </c>
      <c r="O1144" s="25">
        <f t="shared" si="35"/>
        <v>-4.0436177036561771E-2</v>
      </c>
    </row>
    <row r="1145" spans="1:15">
      <c r="A1145" s="91">
        <v>372.92127272092364</v>
      </c>
      <c r="B1145" s="91">
        <v>381.93684285133105</v>
      </c>
      <c r="C1145" s="91">
        <v>368.97273857077732</v>
      </c>
      <c r="D1145" s="91">
        <v>379.56454107780479</v>
      </c>
      <c r="E1145" s="92">
        <v>15365803.564786805</v>
      </c>
      <c r="F1145" s="90" t="s">
        <v>1153</v>
      </c>
      <c r="G1145" s="25">
        <f t="shared" si="34"/>
        <v>-1.7502341862643545E-2</v>
      </c>
      <c r="I1145" s="91">
        <v>373.42026880299136</v>
      </c>
      <c r="J1145" s="91">
        <v>378.53218975081893</v>
      </c>
      <c r="K1145" s="91">
        <v>369.67893535566827</v>
      </c>
      <c r="L1145" s="91">
        <v>372.76275723180339</v>
      </c>
      <c r="M1145" s="92">
        <v>1199913.4381384994</v>
      </c>
      <c r="N1145" s="90" t="s">
        <v>1153</v>
      </c>
      <c r="O1145" s="25">
        <f t="shared" si="35"/>
        <v>1.7638875086951611E-3</v>
      </c>
    </row>
    <row r="1146" spans="1:15">
      <c r="A1146" s="91">
        <v>373.76337716052825</v>
      </c>
      <c r="B1146" s="91">
        <v>378.25460083841978</v>
      </c>
      <c r="C1146" s="91">
        <v>367.46864647448348</v>
      </c>
      <c r="D1146" s="91">
        <v>372.55636079709495</v>
      </c>
      <c r="E1146" s="92">
        <v>17993841.009927198</v>
      </c>
      <c r="F1146" s="90" t="s">
        <v>1154</v>
      </c>
      <c r="G1146" s="25">
        <f t="shared" si="34"/>
        <v>3.2398221865030941E-3</v>
      </c>
      <c r="I1146" s="91">
        <v>373.37396517121755</v>
      </c>
      <c r="J1146" s="91">
        <v>375.58264840682784</v>
      </c>
      <c r="K1146" s="91">
        <v>363.95580646842654</v>
      </c>
      <c r="L1146" s="91">
        <v>370.1604931261158</v>
      </c>
      <c r="M1146" s="92">
        <v>1066648.5134746099</v>
      </c>
      <c r="N1146" s="90" t="s">
        <v>1154</v>
      </c>
      <c r="O1146" s="25">
        <f t="shared" si="35"/>
        <v>8.6812939381051279E-3</v>
      </c>
    </row>
    <row r="1147" spans="1:15">
      <c r="A1147" s="91">
        <v>378.35752471437144</v>
      </c>
      <c r="B1147" s="91">
        <v>378.83471723014742</v>
      </c>
      <c r="C1147" s="91">
        <v>361.95520157407185</v>
      </c>
      <c r="D1147" s="91">
        <v>371.70489964149465</v>
      </c>
      <c r="E1147" s="92">
        <v>24578961.262473777</v>
      </c>
      <c r="F1147" s="90" t="s">
        <v>1155</v>
      </c>
      <c r="G1147" s="25">
        <f t="shared" si="34"/>
        <v>1.7897598550068006E-2</v>
      </c>
      <c r="I1147" s="91">
        <v>373.26283645496045</v>
      </c>
      <c r="J1147" s="91">
        <v>374.82789920891486</v>
      </c>
      <c r="K1147" s="91">
        <v>365.54865140144528</v>
      </c>
      <c r="L1147" s="91">
        <v>368.5769089194518</v>
      </c>
      <c r="M1147" s="92">
        <v>1407386.3648179935</v>
      </c>
      <c r="N1147" s="90" t="s">
        <v>1155</v>
      </c>
      <c r="O1147" s="25">
        <f t="shared" si="35"/>
        <v>1.2713567839196083E-2</v>
      </c>
    </row>
    <row r="1148" spans="1:15">
      <c r="A1148" s="91">
        <v>376.7855964271094</v>
      </c>
      <c r="B1148" s="91">
        <v>385.42792715645203</v>
      </c>
      <c r="C1148" s="91">
        <v>376.7575262791226</v>
      </c>
      <c r="D1148" s="91">
        <v>383.35401105602568</v>
      </c>
      <c r="E1148" s="92">
        <v>17341477.509435609</v>
      </c>
      <c r="F1148" s="90" t="s">
        <v>1156</v>
      </c>
      <c r="G1148" s="25">
        <f t="shared" si="34"/>
        <v>-1.7134070440067317E-2</v>
      </c>
      <c r="I1148" s="91">
        <v>369.32702775418738</v>
      </c>
      <c r="J1148" s="91">
        <v>377.46711361275794</v>
      </c>
      <c r="K1148" s="91">
        <v>368.41021584506615</v>
      </c>
      <c r="L1148" s="91">
        <v>370.20679675788961</v>
      </c>
      <c r="M1148" s="92">
        <v>1002182.7278407286</v>
      </c>
      <c r="N1148" s="90" t="s">
        <v>1156</v>
      </c>
      <c r="O1148" s="25">
        <f t="shared" si="35"/>
        <v>-2.3764258555133422E-3</v>
      </c>
    </row>
    <row r="1149" spans="1:15">
      <c r="A1149" s="91">
        <v>384.3364662355645</v>
      </c>
      <c r="B1149" s="91">
        <v>394.61949711473687</v>
      </c>
      <c r="C1149" s="91">
        <v>383.89670058377095</v>
      </c>
      <c r="D1149" s="91">
        <v>390.33412118874878</v>
      </c>
      <c r="E1149" s="92">
        <v>9520010.0165291727</v>
      </c>
      <c r="F1149" s="90" t="s">
        <v>1157</v>
      </c>
      <c r="G1149" s="25">
        <f t="shared" si="34"/>
        <v>-1.5365438550231314E-2</v>
      </c>
      <c r="I1149" s="91">
        <v>368.03052606452098</v>
      </c>
      <c r="J1149" s="91">
        <v>374.50553332450568</v>
      </c>
      <c r="K1149" s="91">
        <v>367.63231483126629</v>
      </c>
      <c r="L1149" s="91">
        <v>371.80890241726308</v>
      </c>
      <c r="M1149" s="92">
        <v>911508.41485140449</v>
      </c>
      <c r="N1149" s="90" t="s">
        <v>1157</v>
      </c>
      <c r="O1149" s="25">
        <f t="shared" si="35"/>
        <v>-1.0162146006127082E-2</v>
      </c>
    </row>
    <row r="1150" spans="1:15">
      <c r="A1150" s="91">
        <v>388.61248544555701</v>
      </c>
      <c r="B1150" s="91">
        <v>395.35399932039206</v>
      </c>
      <c r="C1150" s="91">
        <v>388.3692108296712</v>
      </c>
      <c r="D1150" s="91">
        <v>394.07680758699166</v>
      </c>
      <c r="E1150" s="92">
        <v>8746771.8415758424</v>
      </c>
      <c r="F1150" s="90" t="s">
        <v>1158</v>
      </c>
      <c r="G1150" s="25">
        <f t="shared" si="34"/>
        <v>-1.3866134814920383E-2</v>
      </c>
      <c r="I1150" s="91">
        <v>371.95707403893925</v>
      </c>
      <c r="J1150" s="91">
        <v>378.73592573062365</v>
      </c>
      <c r="K1150" s="91">
        <v>371.79964169090835</v>
      </c>
      <c r="L1150" s="91">
        <v>373.25357572860565</v>
      </c>
      <c r="M1150" s="92">
        <v>615670.92921057402</v>
      </c>
      <c r="N1150" s="90" t="s">
        <v>1158</v>
      </c>
      <c r="O1150" s="25">
        <f t="shared" si="35"/>
        <v>-3.4735144523011519E-3</v>
      </c>
    </row>
    <row r="1151" spans="1:15">
      <c r="A1151" s="91">
        <v>392.73879719961985</v>
      </c>
      <c r="B1151" s="91">
        <v>397.64171638131808</v>
      </c>
      <c r="C1151" s="91">
        <v>390.48382864467845</v>
      </c>
      <c r="D1151" s="91">
        <v>395.43353140635475</v>
      </c>
      <c r="E1151" s="92">
        <v>11433478.375342814</v>
      </c>
      <c r="F1151" s="90" t="s">
        <v>1159</v>
      </c>
      <c r="G1151" s="25">
        <f t="shared" si="34"/>
        <v>-6.8146325304055955E-3</v>
      </c>
      <c r="I1151" s="91">
        <v>371.93855258622972</v>
      </c>
      <c r="J1151" s="91">
        <v>374.13334473230788</v>
      </c>
      <c r="K1151" s="91">
        <v>366.62289565859743</v>
      </c>
      <c r="L1151" s="91">
        <v>373.51750642971632</v>
      </c>
      <c r="M1151" s="92">
        <v>836620.120625593</v>
      </c>
      <c r="N1151" s="90" t="s">
        <v>1159</v>
      </c>
      <c r="O1151" s="25">
        <f t="shared" si="35"/>
        <v>-4.2272552592758084E-3</v>
      </c>
    </row>
    <row r="1152" spans="1:15">
      <c r="A1152" s="91">
        <v>399.74697748032969</v>
      </c>
      <c r="B1152" s="91">
        <v>400.07436897301596</v>
      </c>
      <c r="C1152" s="91">
        <v>395.61130901027127</v>
      </c>
      <c r="D1152" s="91">
        <v>396.67329627577266</v>
      </c>
      <c r="E1152" s="92">
        <v>10645630.373601519</v>
      </c>
      <c r="F1152" s="90" t="s">
        <v>1160</v>
      </c>
      <c r="G1152" s="25">
        <f t="shared" si="34"/>
        <v>7.7486466404841359E-3</v>
      </c>
      <c r="I1152" s="91">
        <v>373.62400478279608</v>
      </c>
      <c r="J1152" s="91">
        <v>374.13334473230788</v>
      </c>
      <c r="K1152" s="91">
        <v>366.61363493224269</v>
      </c>
      <c r="L1152" s="91">
        <v>367.91013662190909</v>
      </c>
      <c r="M1152" s="92">
        <v>1010868.8715532736</v>
      </c>
      <c r="N1152" s="90" t="s">
        <v>1160</v>
      </c>
      <c r="O1152" s="25">
        <f t="shared" si="35"/>
        <v>1.5530608135320145E-2</v>
      </c>
    </row>
    <row r="1153" spans="1:15">
      <c r="A1153" s="91">
        <v>399.62534017238681</v>
      </c>
      <c r="B1153" s="91">
        <v>406.75515776103953</v>
      </c>
      <c r="C1153" s="91">
        <v>398.68031185683043</v>
      </c>
      <c r="D1153" s="91">
        <v>406.16568465331625</v>
      </c>
      <c r="E1153" s="92">
        <v>8038370.5175309731</v>
      </c>
      <c r="F1153" s="90" t="s">
        <v>1161</v>
      </c>
      <c r="G1153" s="25">
        <f t="shared" si="34"/>
        <v>-1.6102651523877465E-2</v>
      </c>
      <c r="I1153" s="91">
        <v>368.21574059161617</v>
      </c>
      <c r="J1153" s="91">
        <v>370.30866474779197</v>
      </c>
      <c r="K1153" s="91">
        <v>365.21526525267393</v>
      </c>
      <c r="L1153" s="91">
        <v>366.28950950982608</v>
      </c>
      <c r="M1153" s="92">
        <v>718453.36371267389</v>
      </c>
      <c r="N1153" s="90" t="s">
        <v>1161</v>
      </c>
      <c r="O1153" s="25">
        <f t="shared" si="35"/>
        <v>5.2587667180745701E-3</v>
      </c>
    </row>
    <row r="1154" spans="1:15">
      <c r="A1154" s="91">
        <v>405.21129962176434</v>
      </c>
      <c r="B1154" s="91">
        <v>407.05457267289898</v>
      </c>
      <c r="C1154" s="91">
        <v>403.40545343461213</v>
      </c>
      <c r="D1154" s="91">
        <v>405.66977870554911</v>
      </c>
      <c r="E1154" s="92">
        <v>8838925.9691997655</v>
      </c>
      <c r="F1154" s="90" t="s">
        <v>1162</v>
      </c>
      <c r="G1154" s="25">
        <f t="shared" si="34"/>
        <v>-1.1301780607066991E-3</v>
      </c>
      <c r="I1154" s="91">
        <v>366.28950950982608</v>
      </c>
      <c r="J1154" s="91">
        <v>372.49419616751538</v>
      </c>
      <c r="K1154" s="91">
        <v>364.54849295513117</v>
      </c>
      <c r="L1154" s="91">
        <v>371.65147006923218</v>
      </c>
      <c r="M1154" s="92">
        <v>771909.21383025625</v>
      </c>
      <c r="N1154" s="90" t="s">
        <v>1162</v>
      </c>
      <c r="O1154" s="25">
        <f t="shared" si="35"/>
        <v>-1.4427389614272923E-2</v>
      </c>
    </row>
    <row r="1155" spans="1:15">
      <c r="A1155" s="91">
        <v>404.00428325833099</v>
      </c>
      <c r="B1155" s="91">
        <v>404.16334743025629</v>
      </c>
      <c r="C1155" s="91">
        <v>397.45458206140586</v>
      </c>
      <c r="D1155" s="91">
        <v>400.16802970013202</v>
      </c>
      <c r="E1155" s="92">
        <v>7783117.4991513137</v>
      </c>
      <c r="F1155" s="90" t="s">
        <v>1163</v>
      </c>
      <c r="G1155" s="25">
        <f t="shared" si="34"/>
        <v>9.5866068088290568E-3</v>
      </c>
      <c r="I1155" s="91">
        <v>370.98469777168947</v>
      </c>
      <c r="J1155" s="91">
        <v>371.99411694435827</v>
      </c>
      <c r="K1155" s="91">
        <v>366.2617273307618</v>
      </c>
      <c r="L1155" s="91">
        <v>368.29908712880899</v>
      </c>
      <c r="M1155" s="92">
        <v>653328.88244668755</v>
      </c>
      <c r="N1155" s="90" t="s">
        <v>1163</v>
      </c>
      <c r="O1155" s="25">
        <f t="shared" si="35"/>
        <v>7.2919285893890962E-3</v>
      </c>
    </row>
    <row r="1156" spans="1:15">
      <c r="A1156" s="91">
        <v>400.49551475997822</v>
      </c>
      <c r="B1156" s="91">
        <v>400.64522221590795</v>
      </c>
      <c r="C1156" s="91">
        <v>392.76686734760665</v>
      </c>
      <c r="D1156" s="91">
        <v>398.01598502114234</v>
      </c>
      <c r="E1156" s="92">
        <v>11202150.417861134</v>
      </c>
      <c r="F1156" s="90" t="s">
        <v>1164</v>
      </c>
      <c r="G1156" s="25">
        <f t="shared" si="34"/>
        <v>6.2297240114719266E-3</v>
      </c>
      <c r="I1156" s="91">
        <v>372.49419616751538</v>
      </c>
      <c r="J1156" s="91">
        <v>376.76339101705975</v>
      </c>
      <c r="K1156" s="91">
        <v>369.72523898744208</v>
      </c>
      <c r="L1156" s="91">
        <v>375.05941736778391</v>
      </c>
      <c r="M1156" s="92">
        <v>1099399.724165994</v>
      </c>
      <c r="N1156" s="90" t="s">
        <v>1164</v>
      </c>
      <c r="O1156" s="25">
        <f t="shared" si="35"/>
        <v>-6.8395061728394602E-3</v>
      </c>
    </row>
    <row r="1157" spans="1:15">
      <c r="A1157" s="91">
        <v>401.01949085573222</v>
      </c>
      <c r="B1157" s="91">
        <v>403.6113011865155</v>
      </c>
      <c r="C1157" s="91">
        <v>399.71890733234284</v>
      </c>
      <c r="D1157" s="91">
        <v>402.53527884702061</v>
      </c>
      <c r="E1157" s="92">
        <v>6580873.0358929299</v>
      </c>
      <c r="F1157" s="90" t="s">
        <v>1165</v>
      </c>
      <c r="G1157" s="25">
        <f t="shared" si="34"/>
        <v>-3.7656028451221735E-3</v>
      </c>
      <c r="I1157" s="91">
        <v>370.81800469730376</v>
      </c>
      <c r="J1157" s="91">
        <v>371.49403772120121</v>
      </c>
      <c r="K1157" s="91">
        <v>366.79884945933787</v>
      </c>
      <c r="L1157" s="91">
        <v>368.87325216280414</v>
      </c>
      <c r="M1157" s="92">
        <v>981188.69426796609</v>
      </c>
      <c r="N1157" s="90" t="s">
        <v>1165</v>
      </c>
      <c r="O1157" s="25">
        <f t="shared" si="35"/>
        <v>5.272143000602636E-3</v>
      </c>
    </row>
    <row r="1158" spans="1:15">
      <c r="A1158" s="91">
        <v>402.41364153907773</v>
      </c>
      <c r="B1158" s="91">
        <v>404.98673843786975</v>
      </c>
      <c r="C1158" s="91">
        <v>400.37387745203534</v>
      </c>
      <c r="D1158" s="91">
        <v>402.52592213102503</v>
      </c>
      <c r="E1158" s="92">
        <v>8519599.1881579217</v>
      </c>
      <c r="F1158" s="90" t="s">
        <v>1166</v>
      </c>
      <c r="G1158" s="25">
        <f t="shared" si="34"/>
        <v>-2.7894002789408123E-4</v>
      </c>
      <c r="I1158" s="91">
        <v>367.90087589555429</v>
      </c>
      <c r="J1158" s="91">
        <v>370.27162184237289</v>
      </c>
      <c r="K1158" s="91">
        <v>365.24304743173815</v>
      </c>
      <c r="L1158" s="91">
        <v>368.16943695984236</v>
      </c>
      <c r="M1158" s="92">
        <v>825360.74463221815</v>
      </c>
      <c r="N1158" s="90" t="s">
        <v>1166</v>
      </c>
      <c r="O1158" s="25">
        <f t="shared" si="35"/>
        <v>-7.2944964282128932E-4</v>
      </c>
    </row>
    <row r="1159" spans="1:15">
      <c r="A1159" s="91">
        <v>402.956331066823</v>
      </c>
      <c r="B1159" s="91">
        <v>411.14345756297934</v>
      </c>
      <c r="C1159" s="91">
        <v>402.83001540088225</v>
      </c>
      <c r="D1159" s="91">
        <v>410.55398445525606</v>
      </c>
      <c r="E1159" s="92">
        <v>8057962.8616916882</v>
      </c>
      <c r="F1159" s="90" t="s">
        <v>1167</v>
      </c>
      <c r="G1159" s="25">
        <f t="shared" si="34"/>
        <v>-1.8505857149368587E-2</v>
      </c>
      <c r="I1159" s="91">
        <v>365.78943028666902</v>
      </c>
      <c r="J1159" s="91">
        <v>370.02621259397176</v>
      </c>
      <c r="K1159" s="91">
        <v>361.33502091002941</v>
      </c>
      <c r="L1159" s="91">
        <v>362.13144337653881</v>
      </c>
      <c r="M1159" s="92">
        <v>1158265.5170980778</v>
      </c>
      <c r="N1159" s="90" t="s">
        <v>1167</v>
      </c>
      <c r="O1159" s="25">
        <f t="shared" si="35"/>
        <v>1.0101268412438635E-2</v>
      </c>
    </row>
    <row r="1160" spans="1:15">
      <c r="A1160" s="91">
        <v>410.82532921912866</v>
      </c>
      <c r="B1160" s="91">
        <v>412.87445002216668</v>
      </c>
      <c r="C1160" s="91">
        <v>409.09433675994137</v>
      </c>
      <c r="D1160" s="91">
        <v>412.23819333446539</v>
      </c>
      <c r="E1160" s="92">
        <v>6692772.3390770331</v>
      </c>
      <c r="F1160" s="90" t="s">
        <v>1168</v>
      </c>
      <c r="G1160" s="25">
        <f t="shared" si="34"/>
        <v>-3.4273003767761878E-3</v>
      </c>
      <c r="I1160" s="91">
        <v>367.64157555762108</v>
      </c>
      <c r="J1160" s="91">
        <v>368.43799802413042</v>
      </c>
      <c r="K1160" s="91">
        <v>358.89018915237278</v>
      </c>
      <c r="L1160" s="91">
        <v>358.89018915237278</v>
      </c>
      <c r="M1160" s="92">
        <v>799815.23222450074</v>
      </c>
      <c r="N1160" s="90" t="s">
        <v>1168</v>
      </c>
      <c r="O1160" s="25">
        <f t="shared" si="35"/>
        <v>2.4384579656293592E-2</v>
      </c>
    </row>
    <row r="1161" spans="1:15">
      <c r="A1161" s="91">
        <v>410.99375010704961</v>
      </c>
      <c r="B1161" s="91">
        <v>411.01246353904082</v>
      </c>
      <c r="C1161" s="91">
        <v>407.61597563263535</v>
      </c>
      <c r="D1161" s="91">
        <v>409.75866359562946</v>
      </c>
      <c r="E1161" s="92">
        <v>6430998.8705705721</v>
      </c>
      <c r="F1161" s="90" t="s">
        <v>1169</v>
      </c>
      <c r="G1161" s="25">
        <f t="shared" si="34"/>
        <v>3.0141803484575735E-3</v>
      </c>
      <c r="I1161" s="91">
        <v>357.02878315506598</v>
      </c>
      <c r="J1161" s="91">
        <v>359.38100764917505</v>
      </c>
      <c r="K1161" s="91">
        <v>354.44504050208792</v>
      </c>
      <c r="L1161" s="91">
        <v>358.34380629744192</v>
      </c>
      <c r="M1161" s="92">
        <v>715000.07087419566</v>
      </c>
      <c r="N1161" s="90" t="s">
        <v>1169</v>
      </c>
      <c r="O1161" s="25">
        <f t="shared" si="35"/>
        <v>-3.669724770642202E-3</v>
      </c>
    </row>
    <row r="1162" spans="1:15">
      <c r="A1162" s="91">
        <v>408.48615022022688</v>
      </c>
      <c r="B1162" s="91">
        <v>410.17971581543179</v>
      </c>
      <c r="C1162" s="91">
        <v>408.31772933230593</v>
      </c>
      <c r="D1162" s="91">
        <v>409.10369347593695</v>
      </c>
      <c r="E1162" s="92">
        <v>5542123.9700280549</v>
      </c>
      <c r="F1162" s="90" t="s">
        <v>1170</v>
      </c>
      <c r="G1162" s="25">
        <f t="shared" si="34"/>
        <v>-1.5095030075703564E-3</v>
      </c>
      <c r="I1162" s="91">
        <v>358.45493501369901</v>
      </c>
      <c r="J1162" s="91">
        <v>359.51065781814168</v>
      </c>
      <c r="K1162" s="91">
        <v>355.59800093325555</v>
      </c>
      <c r="L1162" s="91">
        <v>355.62115274914242</v>
      </c>
      <c r="M1162" s="92">
        <v>447171.18737359322</v>
      </c>
      <c r="N1162" s="90" t="s">
        <v>1170</v>
      </c>
      <c r="O1162" s="25">
        <f t="shared" si="35"/>
        <v>7.9685424858728648E-3</v>
      </c>
    </row>
    <row r="1163" spans="1:15">
      <c r="A1163" s="91">
        <v>409.60895613969973</v>
      </c>
      <c r="B1163" s="91">
        <v>412.03234558256202</v>
      </c>
      <c r="C1163" s="91">
        <v>409.18790391989739</v>
      </c>
      <c r="D1163" s="91">
        <v>411.12474413098812</v>
      </c>
      <c r="E1163" s="92">
        <v>4009773.302685881</v>
      </c>
      <c r="F1163" s="90" t="s">
        <v>1171</v>
      </c>
      <c r="G1163" s="25">
        <f t="shared" si="34"/>
        <v>-3.6869296069551583E-3</v>
      </c>
      <c r="I1163" s="91">
        <v>356.10271051958995</v>
      </c>
      <c r="J1163" s="91">
        <v>359.06614295311323</v>
      </c>
      <c r="K1163" s="91">
        <v>355.79710654988287</v>
      </c>
      <c r="L1163" s="91">
        <v>357.2325191348707</v>
      </c>
      <c r="M1163" s="92">
        <v>405932.52148820081</v>
      </c>
      <c r="N1163" s="90" t="s">
        <v>1171</v>
      </c>
      <c r="O1163" s="25">
        <f t="shared" si="35"/>
        <v>-3.1626701231367571E-3</v>
      </c>
    </row>
    <row r="1164" spans="1:15">
      <c r="A1164" s="91">
        <v>410.76918892315501</v>
      </c>
      <c r="B1164" s="91">
        <v>411.64872022674211</v>
      </c>
      <c r="C1164" s="91">
        <v>409.39375167180077</v>
      </c>
      <c r="D1164" s="91">
        <v>410.29199640737909</v>
      </c>
      <c r="E1164" s="92">
        <v>4912712.9669833081</v>
      </c>
      <c r="F1164" s="90" t="s">
        <v>1172</v>
      </c>
      <c r="G1164" s="25">
        <f t="shared" si="34"/>
        <v>1.1630558722917073E-3</v>
      </c>
      <c r="I1164" s="91">
        <v>356.52870393190892</v>
      </c>
      <c r="J1164" s="91">
        <v>358.15646180328514</v>
      </c>
      <c r="K1164" s="91">
        <v>355.8156280025924</v>
      </c>
      <c r="L1164" s="91">
        <v>356.84356862797074</v>
      </c>
      <c r="M1164" s="92">
        <v>394515.49047468271</v>
      </c>
      <c r="N1164" s="90" t="s">
        <v>1172</v>
      </c>
      <c r="O1164" s="25">
        <f t="shared" si="35"/>
        <v>-8.8236057405333135E-4</v>
      </c>
    </row>
    <row r="1165" spans="1:15">
      <c r="A1165" s="91">
        <v>410.27328297538787</v>
      </c>
      <c r="B1165" s="91">
        <v>411.87328141063671</v>
      </c>
      <c r="C1165" s="91">
        <v>409.50135390575025</v>
      </c>
      <c r="D1165" s="91">
        <v>411.0218202550364</v>
      </c>
      <c r="E1165" s="92">
        <v>5200375.8608088363</v>
      </c>
      <c r="F1165" s="90" t="s">
        <v>1173</v>
      </c>
      <c r="G1165" s="25">
        <f t="shared" si="34"/>
        <v>-1.8211619012928892E-3</v>
      </c>
      <c r="I1165" s="91">
        <v>356.84356862797074</v>
      </c>
      <c r="J1165" s="91">
        <v>359.26524856974055</v>
      </c>
      <c r="K1165" s="91">
        <v>353.76437711501302</v>
      </c>
      <c r="L1165" s="91">
        <v>354.40799759666885</v>
      </c>
      <c r="M1165" s="92">
        <v>332418.84945856914</v>
      </c>
      <c r="N1165" s="90" t="s">
        <v>1173</v>
      </c>
      <c r="O1165" s="25">
        <f t="shared" si="35"/>
        <v>6.8722236738960607E-3</v>
      </c>
    </row>
    <row r="1166" spans="1:15">
      <c r="A1166" s="91">
        <v>410.58205460324291</v>
      </c>
      <c r="B1166" s="91">
        <v>410.59141131923849</v>
      </c>
      <c r="C1166" s="91">
        <v>406.03469062937774</v>
      </c>
      <c r="D1166" s="91">
        <v>406.06276077736459</v>
      </c>
      <c r="E1166" s="92">
        <v>5329131.5054779267</v>
      </c>
      <c r="F1166" s="90" t="s">
        <v>1174</v>
      </c>
      <c r="G1166" s="25">
        <f t="shared" si="34"/>
        <v>1.1129545140329045E-2</v>
      </c>
      <c r="I1166" s="91">
        <v>355.80636727623761</v>
      </c>
      <c r="J1166" s="91">
        <v>356.37127158387801</v>
      </c>
      <c r="K1166" s="91">
        <v>353.00962791710009</v>
      </c>
      <c r="L1166" s="91">
        <v>353.28744970774289</v>
      </c>
      <c r="M1166" s="92">
        <v>391119.42856817425</v>
      </c>
      <c r="N1166" s="90" t="s">
        <v>1174</v>
      </c>
      <c r="O1166" s="25">
        <f t="shared" si="35"/>
        <v>7.1299378751734643E-3</v>
      </c>
    </row>
    <row r="1167" spans="1:15">
      <c r="A1167" s="91">
        <v>404.80896083395322</v>
      </c>
      <c r="B1167" s="91">
        <v>406.17157938439351</v>
      </c>
      <c r="C1167" s="91">
        <v>403.15282210273074</v>
      </c>
      <c r="D1167" s="91">
        <v>403.19024896671317</v>
      </c>
      <c r="E1167" s="92">
        <v>5378686.2851909883</v>
      </c>
      <c r="F1167" s="90" t="s">
        <v>1175</v>
      </c>
      <c r="G1167" s="25">
        <f t="shared" si="34"/>
        <v>4.0147594625328242E-3</v>
      </c>
      <c r="I1167" s="91">
        <v>352.99110646439061</v>
      </c>
      <c r="J1167" s="91">
        <v>355.76932437081859</v>
      </c>
      <c r="K1167" s="91">
        <v>351.91686220723841</v>
      </c>
      <c r="L1167" s="91">
        <v>352.38915925133114</v>
      </c>
      <c r="M1167" s="92">
        <v>659215.02980833384</v>
      </c>
      <c r="N1167" s="90" t="s">
        <v>1175</v>
      </c>
      <c r="O1167" s="25">
        <f t="shared" si="35"/>
        <v>1.7081887942818064E-3</v>
      </c>
    </row>
    <row r="1168" spans="1:15">
      <c r="A1168" s="91">
        <v>402.32943109511729</v>
      </c>
      <c r="B1168" s="91">
        <v>402.42299825507331</v>
      </c>
      <c r="C1168" s="91">
        <v>397.95984472516869</v>
      </c>
      <c r="D1168" s="91">
        <v>398.08148203311157</v>
      </c>
      <c r="E1168" s="92">
        <v>5335432.8616404599</v>
      </c>
      <c r="F1168" s="90" t="s">
        <v>1176</v>
      </c>
      <c r="G1168" s="25">
        <f t="shared" si="34"/>
        <v>1.0671054177929351E-2</v>
      </c>
      <c r="I1168" s="91">
        <v>351.73164768014323</v>
      </c>
      <c r="J1168" s="91">
        <v>352.83367411635965</v>
      </c>
      <c r="K1168" s="91">
        <v>350.50923180131485</v>
      </c>
      <c r="L1168" s="91">
        <v>350.50923180131485</v>
      </c>
      <c r="M1168" s="92">
        <v>772269.87668455637</v>
      </c>
      <c r="N1168" s="90" t="s">
        <v>1176</v>
      </c>
      <c r="O1168" s="25">
        <f t="shared" si="35"/>
        <v>3.4875426035034796E-3</v>
      </c>
    </row>
    <row r="1169" spans="1:15">
      <c r="A1169" s="91">
        <v>398.30604321700616</v>
      </c>
      <c r="B1169" s="91">
        <v>398.45575067293589</v>
      </c>
      <c r="C1169" s="91">
        <v>392.53294944771642</v>
      </c>
      <c r="D1169" s="91">
        <v>394.52592995478079</v>
      </c>
      <c r="E1169" s="92">
        <v>7392190.8105869461</v>
      </c>
      <c r="F1169" s="90" t="s">
        <v>1177</v>
      </c>
      <c r="G1169" s="25">
        <f t="shared" si="34"/>
        <v>9.5814063796988425E-3</v>
      </c>
      <c r="I1169" s="91">
        <v>350.50923180131485</v>
      </c>
      <c r="J1169" s="91">
        <v>352.08355528162411</v>
      </c>
      <c r="K1169" s="91">
        <v>343.55442630889007</v>
      </c>
      <c r="L1169" s="91">
        <v>343.97115899485425</v>
      </c>
      <c r="M1169" s="92">
        <v>862018.7763022182</v>
      </c>
      <c r="N1169" s="90" t="s">
        <v>1177</v>
      </c>
      <c r="O1169" s="25">
        <f t="shared" si="35"/>
        <v>1.9007619201464543E-2</v>
      </c>
    </row>
    <row r="1170" spans="1:15">
      <c r="A1170" s="91">
        <v>391.36064650637189</v>
      </c>
      <c r="B1170" s="91">
        <v>391.75219360387706</v>
      </c>
      <c r="C1170" s="91">
        <v>388.09775402716201</v>
      </c>
      <c r="D1170" s="91">
        <v>390.9784219588073</v>
      </c>
      <c r="E1170" s="92">
        <v>10623073.153913321</v>
      </c>
      <c r="F1170" s="90" t="s">
        <v>1178</v>
      </c>
      <c r="G1170" s="25">
        <f t="shared" si="34"/>
        <v>9.7761033882548531E-4</v>
      </c>
      <c r="I1170" s="91">
        <v>342.60057149434977</v>
      </c>
      <c r="J1170" s="91">
        <v>349.28681592248654</v>
      </c>
      <c r="K1170" s="91">
        <v>339.86865721969554</v>
      </c>
      <c r="L1170" s="91">
        <v>348.39778619242958</v>
      </c>
      <c r="M1170" s="92">
        <v>929532.91893516912</v>
      </c>
      <c r="N1170" s="90" t="s">
        <v>1178</v>
      </c>
      <c r="O1170" s="25">
        <f t="shared" si="35"/>
        <v>-1.6639642752717898E-2</v>
      </c>
    </row>
    <row r="1171" spans="1:15">
      <c r="A1171" s="91">
        <v>395.63969692910706</v>
      </c>
      <c r="B1171" s="91">
        <v>399.74161890297097</v>
      </c>
      <c r="C1171" s="91">
        <v>394.03621833932397</v>
      </c>
      <c r="D1171" s="91">
        <v>397.00078922043468</v>
      </c>
      <c r="E1171" s="92">
        <v>9528992.6646706983</v>
      </c>
      <c r="F1171" s="90" t="s">
        <v>1179</v>
      </c>
      <c r="G1171" s="25">
        <f t="shared" si="34"/>
        <v>-3.4284372431608867E-3</v>
      </c>
      <c r="I1171" s="91">
        <v>349.55537698677455</v>
      </c>
      <c r="J1171" s="91">
        <v>352.40768070404073</v>
      </c>
      <c r="K1171" s="91">
        <v>348.69412943578186</v>
      </c>
      <c r="L1171" s="91">
        <v>351.42604371043615</v>
      </c>
      <c r="M1171" s="92">
        <v>1230446.6802588282</v>
      </c>
      <c r="N1171" s="90" t="s">
        <v>1179</v>
      </c>
      <c r="O1171" s="25">
        <f t="shared" si="35"/>
        <v>-5.323073679772472E-3</v>
      </c>
    </row>
    <row r="1172" spans="1:15">
      <c r="A1172" s="91">
        <v>399.78823165267391</v>
      </c>
      <c r="B1172" s="91">
        <v>405.34447141727134</v>
      </c>
      <c r="C1172" s="91">
        <v>398.39917171152462</v>
      </c>
      <c r="D1172" s="91">
        <v>405.12073021869691</v>
      </c>
      <c r="E1172" s="92">
        <v>7679786.1589567494</v>
      </c>
      <c r="F1172" s="90" t="s">
        <v>1180</v>
      </c>
      <c r="G1172" s="25">
        <f t="shared" si="34"/>
        <v>-1.3162739322533201E-2</v>
      </c>
      <c r="I1172" s="91">
        <v>350.72222850747437</v>
      </c>
      <c r="J1172" s="91">
        <v>354.750644471795</v>
      </c>
      <c r="K1172" s="91">
        <v>349.61094134490315</v>
      </c>
      <c r="L1172" s="91">
        <v>352.08355528162411</v>
      </c>
      <c r="M1172" s="92">
        <v>779011.24853903404</v>
      </c>
      <c r="N1172" s="90" t="s">
        <v>1180</v>
      </c>
      <c r="O1172" s="25">
        <f t="shared" si="35"/>
        <v>-3.8664878087272259E-3</v>
      </c>
    </row>
    <row r="1173" spans="1:15">
      <c r="A1173" s="91">
        <v>403.43334867944839</v>
      </c>
      <c r="B1173" s="91">
        <v>403.64776732808218</v>
      </c>
      <c r="C1173" s="91">
        <v>394.96847333338394</v>
      </c>
      <c r="D1173" s="91">
        <v>397.24317551889027</v>
      </c>
      <c r="E1173" s="92">
        <v>7370572.4761803197</v>
      </c>
      <c r="F1173" s="90" t="s">
        <v>1181</v>
      </c>
      <c r="G1173" s="25">
        <f t="shared" si="34"/>
        <v>1.5582830724460761E-2</v>
      </c>
      <c r="I1173" s="91">
        <v>350.81483577102193</v>
      </c>
      <c r="J1173" s="91">
        <v>351.59273678482185</v>
      </c>
      <c r="K1173" s="91">
        <v>346.53638019512277</v>
      </c>
      <c r="L1173" s="91">
        <v>348.88860468923184</v>
      </c>
      <c r="M1173" s="92">
        <v>725693.61652130331</v>
      </c>
      <c r="N1173" s="90" t="s">
        <v>1181</v>
      </c>
      <c r="O1173" s="25">
        <f t="shared" si="35"/>
        <v>5.52104899930983E-3</v>
      </c>
    </row>
    <row r="1174" spans="1:15">
      <c r="A1174" s="91">
        <v>397.224530419009</v>
      </c>
      <c r="B1174" s="91">
        <v>399.22887865623795</v>
      </c>
      <c r="C1174" s="91">
        <v>394.53031348617571</v>
      </c>
      <c r="D1174" s="91">
        <v>396.95417647073168</v>
      </c>
      <c r="E1174" s="92">
        <v>6996933.287096398</v>
      </c>
      <c r="F1174" s="90" t="s">
        <v>1182</v>
      </c>
      <c r="G1174" s="25">
        <f t="shared" si="34"/>
        <v>6.8107092531688451E-4</v>
      </c>
      <c r="I1174" s="91">
        <v>348.40704691878437</v>
      </c>
      <c r="J1174" s="91">
        <v>354.05608999518796</v>
      </c>
      <c r="K1174" s="91">
        <v>347.72175316853208</v>
      </c>
      <c r="L1174" s="91">
        <v>348.80525815203902</v>
      </c>
      <c r="M1174" s="92">
        <v>979175.89318887808</v>
      </c>
      <c r="N1174" s="90" t="s">
        <v>1182</v>
      </c>
      <c r="O1174" s="25">
        <f t="shared" si="35"/>
        <v>-1.1416434355501215E-3</v>
      </c>
    </row>
    <row r="1175" spans="1:15">
      <c r="A1175" s="91">
        <v>399.94671500166413</v>
      </c>
      <c r="B1175" s="91">
        <v>403.34944572998302</v>
      </c>
      <c r="C1175" s="91">
        <v>399.70432870320855</v>
      </c>
      <c r="D1175" s="91">
        <v>403.06976923176501</v>
      </c>
      <c r="E1175" s="92">
        <v>6354353.731269991</v>
      </c>
      <c r="F1175" s="90" t="s">
        <v>1183</v>
      </c>
      <c r="G1175" s="25">
        <f t="shared" si="34"/>
        <v>-7.748172818947241E-3</v>
      </c>
      <c r="I1175" s="91">
        <v>349.43498754416271</v>
      </c>
      <c r="J1175" s="91">
        <v>350.93522521363383</v>
      </c>
      <c r="K1175" s="91">
        <v>343.48034049805193</v>
      </c>
      <c r="L1175" s="91">
        <v>343.77668374140433</v>
      </c>
      <c r="M1175" s="92">
        <v>977082.10494190827</v>
      </c>
      <c r="N1175" s="90" t="s">
        <v>1183</v>
      </c>
      <c r="O1175" s="25">
        <f t="shared" si="35"/>
        <v>1.6459242497710136E-2</v>
      </c>
    </row>
    <row r="1176" spans="1:15">
      <c r="A1176" s="91">
        <v>403.52657417885439</v>
      </c>
      <c r="B1176" s="91">
        <v>403.62912222820097</v>
      </c>
      <c r="C1176" s="91">
        <v>399.8907797020205</v>
      </c>
      <c r="D1176" s="91">
        <v>402.21209463722982</v>
      </c>
      <c r="E1176" s="92">
        <v>6691625.188117533</v>
      </c>
      <c r="F1176" s="90" t="s">
        <v>1184</v>
      </c>
      <c r="G1176" s="25">
        <f t="shared" si="34"/>
        <v>3.2681253476729566E-3</v>
      </c>
      <c r="I1176" s="91">
        <v>343.6285121197281</v>
      </c>
      <c r="J1176" s="91">
        <v>344.36473986493155</v>
      </c>
      <c r="K1176" s="91">
        <v>338.9425845842195</v>
      </c>
      <c r="L1176" s="91">
        <v>340.97994438226675</v>
      </c>
      <c r="M1176" s="92">
        <v>518643.98277260456</v>
      </c>
      <c r="N1176" s="90" t="s">
        <v>1184</v>
      </c>
      <c r="O1176" s="25">
        <f t="shared" si="35"/>
        <v>7.7675176534490742E-3</v>
      </c>
    </row>
    <row r="1177" spans="1:15">
      <c r="A1177" s="91">
        <v>399.71365125314912</v>
      </c>
      <c r="B1177" s="91">
        <v>402.10022403794261</v>
      </c>
      <c r="C1177" s="91">
        <v>399.57381300404018</v>
      </c>
      <c r="D1177" s="91">
        <v>401.29848474305106</v>
      </c>
      <c r="E1177" s="92">
        <v>5401340.8692730768</v>
      </c>
      <c r="F1177" s="90" t="s">
        <v>1185</v>
      </c>
      <c r="G1177" s="25">
        <f t="shared" si="34"/>
        <v>-3.9492635784974528E-3</v>
      </c>
      <c r="I1177" s="91">
        <v>340.66507968620488</v>
      </c>
      <c r="J1177" s="91">
        <v>341.11885527758818</v>
      </c>
      <c r="K1177" s="91">
        <v>334.2103534169371</v>
      </c>
      <c r="L1177" s="91">
        <v>335.7846768972463</v>
      </c>
      <c r="M1177" s="92">
        <v>813917.79772497795</v>
      </c>
      <c r="N1177" s="90" t="s">
        <v>1185</v>
      </c>
      <c r="O1177" s="25">
        <f t="shared" si="35"/>
        <v>1.4534322513031217E-2</v>
      </c>
    </row>
    <row r="1178" spans="1:15">
      <c r="A1178" s="91">
        <v>402.45448093568541</v>
      </c>
      <c r="B1178" s="91">
        <v>402.86467313307179</v>
      </c>
      <c r="C1178" s="91">
        <v>400.16113365029793</v>
      </c>
      <c r="D1178" s="91">
        <v>401.75528969014044</v>
      </c>
      <c r="E1178" s="92">
        <v>4801842.8740238789</v>
      </c>
      <c r="F1178" s="90" t="s">
        <v>1186</v>
      </c>
      <c r="G1178" s="25">
        <f t="shared" si="34"/>
        <v>1.7403411068568353E-3</v>
      </c>
      <c r="I1178" s="91">
        <v>337.17378585046032</v>
      </c>
      <c r="J1178" s="91">
        <v>340.16963082622522</v>
      </c>
      <c r="K1178" s="91">
        <v>335.57168019108684</v>
      </c>
      <c r="L1178" s="91">
        <v>336.66444590094852</v>
      </c>
      <c r="M1178" s="92">
        <v>504776.81997343694</v>
      </c>
      <c r="N1178" s="90" t="s">
        <v>1186</v>
      </c>
      <c r="O1178" s="25">
        <f t="shared" si="35"/>
        <v>1.5129009187433429E-3</v>
      </c>
    </row>
    <row r="1179" spans="1:15">
      <c r="A1179" s="91">
        <v>401.32645239287285</v>
      </c>
      <c r="B1179" s="91">
        <v>401.89512793924945</v>
      </c>
      <c r="C1179" s="91">
        <v>398.01694716396003</v>
      </c>
      <c r="D1179" s="91">
        <v>398.05423736372239</v>
      </c>
      <c r="E1179" s="92">
        <v>5075778.6551429816</v>
      </c>
      <c r="F1179" s="90" t="s">
        <v>1187</v>
      </c>
      <c r="G1179" s="25">
        <f t="shared" si="34"/>
        <v>8.2205255515481745E-3</v>
      </c>
      <c r="I1179" s="91">
        <v>335.85876270808444</v>
      </c>
      <c r="J1179" s="91">
        <v>338.08133703322682</v>
      </c>
      <c r="K1179" s="91">
        <v>334.08070324797046</v>
      </c>
      <c r="L1179" s="91">
        <v>336.28475612040336</v>
      </c>
      <c r="M1179" s="92">
        <v>992611.1244260096</v>
      </c>
      <c r="N1179" s="90" t="s">
        <v>1187</v>
      </c>
      <c r="O1179" s="25">
        <f t="shared" si="35"/>
        <v>-1.2667639688264121E-3</v>
      </c>
    </row>
    <row r="1180" spans="1:15">
      <c r="A1180" s="91">
        <v>393.243801594373</v>
      </c>
      <c r="B1180" s="91">
        <v>394.95915078344336</v>
      </c>
      <c r="C1180" s="91">
        <v>388.75033252300398</v>
      </c>
      <c r="D1180" s="91">
        <v>390.99706705868851</v>
      </c>
      <c r="E1180" s="92">
        <v>7819205.0956512745</v>
      </c>
      <c r="F1180" s="90" t="s">
        <v>1188</v>
      </c>
      <c r="G1180" s="25">
        <f t="shared" si="34"/>
        <v>5.7461672349252702E-3</v>
      </c>
      <c r="I1180" s="91">
        <v>337.05339640784842</v>
      </c>
      <c r="J1180" s="91">
        <v>340.20204336846689</v>
      </c>
      <c r="K1180" s="91">
        <v>333.3955021049818</v>
      </c>
      <c r="L1180" s="91">
        <v>334.51595738664423</v>
      </c>
      <c r="M1180" s="92">
        <v>1183582.1057779163</v>
      </c>
      <c r="N1180" s="90" t="s">
        <v>1188</v>
      </c>
      <c r="O1180" s="25">
        <f t="shared" si="35"/>
        <v>7.5854050163333131E-3</v>
      </c>
    </row>
    <row r="1181" spans="1:15">
      <c r="A1181" s="91">
        <v>388.60117172395439</v>
      </c>
      <c r="B1181" s="91">
        <v>394.52099093623514</v>
      </c>
      <c r="C1181" s="91">
        <v>384.80689389813034</v>
      </c>
      <c r="D1181" s="91">
        <v>393.52347809259101</v>
      </c>
      <c r="E1181" s="92">
        <v>10972245.861031115</v>
      </c>
      <c r="F1181" s="90" t="s">
        <v>1189</v>
      </c>
      <c r="G1181" s="25">
        <f t="shared" si="34"/>
        <v>-1.2508291481095446E-2</v>
      </c>
      <c r="I1181" s="91">
        <v>331.38583187873525</v>
      </c>
      <c r="J1181" s="91">
        <v>331.68486073273044</v>
      </c>
      <c r="K1181" s="91">
        <v>326.533211268841</v>
      </c>
      <c r="L1181" s="91">
        <v>326.533211268841</v>
      </c>
      <c r="M1181" s="92">
        <v>806012.37031081296</v>
      </c>
      <c r="N1181" s="90" t="s">
        <v>1189</v>
      </c>
      <c r="O1181" s="25">
        <f t="shared" si="35"/>
        <v>1.4861032331253465E-2</v>
      </c>
    </row>
    <row r="1182" spans="1:15">
      <c r="A1182" s="91">
        <v>392.06916030185744</v>
      </c>
      <c r="B1182" s="91">
        <v>393.46754279294737</v>
      </c>
      <c r="C1182" s="91">
        <v>385.9815351906459</v>
      </c>
      <c r="D1182" s="91">
        <v>386.34511463832928</v>
      </c>
      <c r="E1182" s="92">
        <v>11174702.271779889</v>
      </c>
      <c r="F1182" s="90" t="s">
        <v>1190</v>
      </c>
      <c r="G1182" s="25">
        <f t="shared" si="34"/>
        <v>1.4815887264128191E-2</v>
      </c>
      <c r="I1182" s="91">
        <v>326.50542908977673</v>
      </c>
      <c r="J1182" s="91">
        <v>329.49664370236422</v>
      </c>
      <c r="K1182" s="91">
        <v>322.15288770303948</v>
      </c>
      <c r="L1182" s="91">
        <v>322.68074910526076</v>
      </c>
      <c r="M1182" s="92">
        <v>756595.08029826789</v>
      </c>
      <c r="N1182" s="90" t="s">
        <v>1190</v>
      </c>
      <c r="O1182" s="25">
        <f t="shared" si="35"/>
        <v>1.1852829755481631E-2</v>
      </c>
    </row>
    <row r="1183" spans="1:15">
      <c r="A1183" s="91">
        <v>386.17730873939848</v>
      </c>
      <c r="B1183" s="91">
        <v>398.27909726828966</v>
      </c>
      <c r="C1183" s="91">
        <v>385.92559989100232</v>
      </c>
      <c r="D1183" s="91">
        <v>395.71427732863191</v>
      </c>
      <c r="E1183" s="92">
        <v>8978756.9423968345</v>
      </c>
      <c r="F1183" s="90" t="s">
        <v>1191</v>
      </c>
      <c r="G1183" s="25">
        <f t="shared" si="34"/>
        <v>-2.4100643154993384E-2</v>
      </c>
      <c r="I1183" s="91">
        <v>320.40261042198983</v>
      </c>
      <c r="J1183" s="91">
        <v>326.82955451219334</v>
      </c>
      <c r="K1183" s="91">
        <v>320.33778533750649</v>
      </c>
      <c r="L1183" s="91">
        <v>323.7735148151225</v>
      </c>
      <c r="M1183" s="92">
        <v>768825.22247731872</v>
      </c>
      <c r="N1183" s="90" t="s">
        <v>1191</v>
      </c>
      <c r="O1183" s="25">
        <f t="shared" si="35"/>
        <v>-1.0411303701161168E-2</v>
      </c>
    </row>
    <row r="1184" spans="1:15">
      <c r="A1184" s="91">
        <v>390.6707778107675</v>
      </c>
      <c r="B1184" s="91">
        <v>397.72794811580144</v>
      </c>
      <c r="C1184" s="91">
        <v>390.2699081633217</v>
      </c>
      <c r="D1184" s="91">
        <v>396.02192147667171</v>
      </c>
      <c r="E1184" s="92">
        <v>9286775.6731407233</v>
      </c>
      <c r="F1184" s="90" t="s">
        <v>1192</v>
      </c>
      <c r="G1184" s="25">
        <f t="shared" ref="G1184:G1247" si="36">A1184/D1184-1</f>
        <v>-1.3512241054614016E-2</v>
      </c>
      <c r="I1184" s="91">
        <v>323.01413525403217</v>
      </c>
      <c r="J1184" s="91">
        <v>328.56131034053345</v>
      </c>
      <c r="K1184" s="91">
        <v>322.5788811153584</v>
      </c>
      <c r="L1184" s="91">
        <v>327.93158094840976</v>
      </c>
      <c r="M1184" s="92">
        <v>1378164.0349884441</v>
      </c>
      <c r="N1184" s="90" t="s">
        <v>1192</v>
      </c>
      <c r="O1184" s="25">
        <f t="shared" ref="O1184:O1247" si="37">I1184/L1184-1</f>
        <v>-1.499534043093953E-2</v>
      </c>
    </row>
    <row r="1185" spans="1:15">
      <c r="A1185" s="91">
        <v>398.29662366217798</v>
      </c>
      <c r="B1185" s="91">
        <v>399.91874735184234</v>
      </c>
      <c r="C1185" s="91">
        <v>395.7888577281567</v>
      </c>
      <c r="D1185" s="91">
        <v>397.80252851532617</v>
      </c>
      <c r="E1185" s="92">
        <v>6758624.0246997727</v>
      </c>
      <c r="F1185" s="90" t="s">
        <v>1193</v>
      </c>
      <c r="G1185" s="25">
        <f t="shared" si="36"/>
        <v>1.242061353143864E-3</v>
      </c>
      <c r="I1185" s="91">
        <v>330.04302655729504</v>
      </c>
      <c r="J1185" s="91">
        <v>332.27486160879226</v>
      </c>
      <c r="K1185" s="91">
        <v>326.56099344790528</v>
      </c>
      <c r="L1185" s="91">
        <v>329.05212883733572</v>
      </c>
      <c r="M1185" s="92">
        <v>575380.35310385074</v>
      </c>
      <c r="N1185" s="90" t="s">
        <v>1193</v>
      </c>
      <c r="O1185" s="25">
        <f t="shared" si="37"/>
        <v>3.0113700326466208E-3</v>
      </c>
    </row>
    <row r="1186" spans="1:15">
      <c r="A1186" s="91">
        <v>393.54212319247216</v>
      </c>
      <c r="B1186" s="91">
        <v>397.6254000664548</v>
      </c>
      <c r="C1186" s="91">
        <v>392.38612699983781</v>
      </c>
      <c r="D1186" s="91">
        <v>396.38550092435509</v>
      </c>
      <c r="E1186" s="92">
        <v>8262200.8453457374</v>
      </c>
      <c r="F1186" s="90" t="s">
        <v>1194</v>
      </c>
      <c r="G1186" s="25">
        <f t="shared" si="36"/>
        <v>-7.173263717397016E-3</v>
      </c>
      <c r="I1186" s="91">
        <v>327.81119150579792</v>
      </c>
      <c r="J1186" s="91">
        <v>330.8764919292235</v>
      </c>
      <c r="K1186" s="91">
        <v>325.72752807597686</v>
      </c>
      <c r="L1186" s="91">
        <v>326.70916506958145</v>
      </c>
      <c r="M1186" s="92">
        <v>565999.87940533261</v>
      </c>
      <c r="N1186" s="90" t="s">
        <v>1194</v>
      </c>
      <c r="O1186" s="25">
        <f t="shared" si="37"/>
        <v>3.3731114827517672E-3</v>
      </c>
    </row>
    <row r="1187" spans="1:15">
      <c r="A1187" s="91">
        <v>402.29599758669519</v>
      </c>
      <c r="B1187" s="91">
        <v>402.50109368538841</v>
      </c>
      <c r="C1187" s="91">
        <v>398.73478350938615</v>
      </c>
      <c r="D1187" s="91">
        <v>399.52720025433712</v>
      </c>
      <c r="E1187" s="92">
        <v>4901650.3307742961</v>
      </c>
      <c r="F1187" s="90" t="s">
        <v>1195</v>
      </c>
      <c r="G1187" s="25">
        <f t="shared" si="36"/>
        <v>6.93018480492813E-3</v>
      </c>
      <c r="I1187" s="91">
        <v>333.20093423749682</v>
      </c>
      <c r="J1187" s="91">
        <v>339.59073547795913</v>
      </c>
      <c r="K1187" s="91">
        <v>332.67536617009949</v>
      </c>
      <c r="L1187" s="91">
        <v>335.98552294546164</v>
      </c>
      <c r="M1187" s="92">
        <v>658384.57749832049</v>
      </c>
      <c r="N1187" s="90" t="s">
        <v>1195</v>
      </c>
      <c r="O1187" s="25">
        <f t="shared" si="37"/>
        <v>-8.287823485825685E-3</v>
      </c>
    </row>
    <row r="1188" spans="1:15">
      <c r="A1188" s="91">
        <v>401.3078072929917</v>
      </c>
      <c r="B1188" s="91">
        <v>402.07225638812088</v>
      </c>
      <c r="C1188" s="91">
        <v>398.11017266336603</v>
      </c>
      <c r="D1188" s="91">
        <v>400.46877779833767</v>
      </c>
      <c r="E1188" s="92">
        <v>7295547.9384243954</v>
      </c>
      <c r="F1188" s="90" t="s">
        <v>1196</v>
      </c>
      <c r="G1188" s="25">
        <f t="shared" si="36"/>
        <v>2.0951183741881874E-3</v>
      </c>
      <c r="I1188" s="91">
        <v>335.81955408207295</v>
      </c>
      <c r="J1188" s="91">
        <v>339.5446330159067</v>
      </c>
      <c r="K1188" s="91">
        <v>333.79104575176751</v>
      </c>
      <c r="L1188" s="91">
        <v>335.24788355262325</v>
      </c>
      <c r="M1188" s="92">
        <v>841604.72722480888</v>
      </c>
      <c r="N1188" s="90" t="s">
        <v>1196</v>
      </c>
      <c r="O1188" s="25">
        <f t="shared" si="37"/>
        <v>1.7052174152203392E-3</v>
      </c>
    </row>
    <row r="1189" spans="1:15">
      <c r="A1189" s="91">
        <v>400.7857444963181</v>
      </c>
      <c r="B1189" s="91">
        <v>405.91314696364788</v>
      </c>
      <c r="C1189" s="91">
        <v>400.60861604744673</v>
      </c>
      <c r="D1189" s="91">
        <v>403.60115457837918</v>
      </c>
      <c r="E1189" s="92">
        <v>5230251.4130446007</v>
      </c>
      <c r="F1189" s="90" t="s">
        <v>1197</v>
      </c>
      <c r="G1189" s="25">
        <f t="shared" si="36"/>
        <v>-6.9757235580809596E-3</v>
      </c>
      <c r="I1189" s="91">
        <v>334.84218188656217</v>
      </c>
      <c r="J1189" s="91">
        <v>336.85778152749299</v>
      </c>
      <c r="K1189" s="91">
        <v>325.78765833947131</v>
      </c>
      <c r="L1189" s="91">
        <v>326.81113299703458</v>
      </c>
      <c r="M1189" s="92">
        <v>1022672.0635096378</v>
      </c>
      <c r="N1189" s="90" t="s">
        <v>1197</v>
      </c>
      <c r="O1189" s="25">
        <f t="shared" si="37"/>
        <v>2.4573975849226937E-2</v>
      </c>
    </row>
    <row r="1190" spans="1:15">
      <c r="A1190" s="91">
        <v>401.84851518954645</v>
      </c>
      <c r="B1190" s="91">
        <v>403.65708987802276</v>
      </c>
      <c r="C1190" s="91">
        <v>401.22371789252747</v>
      </c>
      <c r="D1190" s="91">
        <v>402.61296428467563</v>
      </c>
      <c r="E1190" s="92">
        <v>5241618.4747042544</v>
      </c>
      <c r="F1190" s="90" t="s">
        <v>1198</v>
      </c>
      <c r="G1190" s="25">
        <f t="shared" si="36"/>
        <v>-1.8987195220784292E-3</v>
      </c>
      <c r="I1190" s="91">
        <v>325.60324849126175</v>
      </c>
      <c r="J1190" s="91">
        <v>326.86645595149741</v>
      </c>
      <c r="K1190" s="91">
        <v>320.5873006199609</v>
      </c>
      <c r="L1190" s="91">
        <v>324.22017462968984</v>
      </c>
      <c r="M1190" s="92">
        <v>855690.7428319999</v>
      </c>
      <c r="N1190" s="90" t="s">
        <v>1198</v>
      </c>
      <c r="O1190" s="25">
        <f t="shared" si="37"/>
        <v>4.2658476239227916E-3</v>
      </c>
    </row>
    <row r="1191" spans="1:15">
      <c r="A1191" s="91">
        <v>402.60364173473505</v>
      </c>
      <c r="B1191" s="91">
        <v>402.89264078289364</v>
      </c>
      <c r="C1191" s="91">
        <v>399.75094145291155</v>
      </c>
      <c r="D1191" s="91">
        <v>402.21209463722982</v>
      </c>
      <c r="E1191" s="92">
        <v>5081037.9458212191</v>
      </c>
      <c r="F1191" s="90" t="s">
        <v>1199</v>
      </c>
      <c r="G1191" s="25">
        <f t="shared" si="36"/>
        <v>9.7348414611553302E-4</v>
      </c>
      <c r="I1191" s="91">
        <v>324.02654428906976</v>
      </c>
      <c r="J1191" s="91">
        <v>326.73736905775075</v>
      </c>
      <c r="K1191" s="91">
        <v>318.93683247848503</v>
      </c>
      <c r="L1191" s="91">
        <v>326.73736905775075</v>
      </c>
      <c r="M1191" s="92">
        <v>1560529.4554167702</v>
      </c>
      <c r="N1191" s="90" t="s">
        <v>1199</v>
      </c>
      <c r="O1191" s="25">
        <f t="shared" si="37"/>
        <v>-8.2966474771419829E-3</v>
      </c>
    </row>
    <row r="1192" spans="1:15">
      <c r="A1192" s="91">
        <v>401.21458179358569</v>
      </c>
      <c r="B1192" s="91">
        <v>402.16548188752682</v>
      </c>
      <c r="C1192" s="91">
        <v>400.72048664673389</v>
      </c>
      <c r="D1192" s="91">
        <v>402.02564363841782</v>
      </c>
      <c r="E1192" s="92">
        <v>4038440.1520919595</v>
      </c>
      <c r="F1192" s="90" t="s">
        <v>1200</v>
      </c>
      <c r="G1192" s="25">
        <f t="shared" si="36"/>
        <v>-2.0174380855206842E-3</v>
      </c>
      <c r="I1192" s="91">
        <v>326.36854936133153</v>
      </c>
      <c r="J1192" s="91">
        <v>328.9641179748815</v>
      </c>
      <c r="K1192" s="91">
        <v>326.18413951312192</v>
      </c>
      <c r="L1192" s="91">
        <v>327.73318223808252</v>
      </c>
      <c r="M1192" s="92">
        <v>851141.09427393344</v>
      </c>
      <c r="N1192" s="90" t="s">
        <v>1200</v>
      </c>
      <c r="O1192" s="25">
        <f t="shared" si="37"/>
        <v>-4.1638532523070593E-3</v>
      </c>
    </row>
    <row r="1193" spans="1:15">
      <c r="A1193" s="91">
        <v>402.18412698740804</v>
      </c>
      <c r="B1193" s="91">
        <v>403.28418788039875</v>
      </c>
      <c r="C1193" s="91">
        <v>400.37751003441923</v>
      </c>
      <c r="D1193" s="91">
        <v>400.42216504863467</v>
      </c>
      <c r="E1193" s="92">
        <v>3504403.8603346655</v>
      </c>
      <c r="F1193" s="90" t="s">
        <v>1201</v>
      </c>
      <c r="G1193" s="25">
        <f t="shared" si="36"/>
        <v>4.4002607561930418E-3</v>
      </c>
      <c r="I1193" s="91">
        <v>326.95866087560222</v>
      </c>
      <c r="J1193" s="91">
        <v>333.06723709754488</v>
      </c>
      <c r="K1193" s="91">
        <v>326.93099939837077</v>
      </c>
      <c r="L1193" s="91">
        <v>332.36186942814317</v>
      </c>
      <c r="M1193" s="92">
        <v>868778.98092466861</v>
      </c>
      <c r="N1193" s="90" t="s">
        <v>1201</v>
      </c>
      <c r="O1193" s="25">
        <f t="shared" si="37"/>
        <v>-1.6257004938134534E-2</v>
      </c>
    </row>
    <row r="1194" spans="1:15">
      <c r="A1194" s="91">
        <v>400.65522879714968</v>
      </c>
      <c r="B1194" s="91">
        <v>401.80656371481376</v>
      </c>
      <c r="C1194" s="91">
        <v>399.61110320380254</v>
      </c>
      <c r="D1194" s="91">
        <v>401.75528969014044</v>
      </c>
      <c r="E1194" s="92">
        <v>3349175.9442365379</v>
      </c>
      <c r="F1194" s="90" t="s">
        <v>1202</v>
      </c>
      <c r="G1194" s="25">
        <f t="shared" si="36"/>
        <v>-2.7381366747882829E-3</v>
      </c>
      <c r="I1194" s="91">
        <v>331.93772677726116</v>
      </c>
      <c r="J1194" s="91">
        <v>333.40378507052736</v>
      </c>
      <c r="K1194" s="91">
        <v>331.26463083129613</v>
      </c>
      <c r="L1194" s="91">
        <v>332.39875139778513</v>
      </c>
      <c r="M1194" s="92">
        <v>1042916.1016466741</v>
      </c>
      <c r="N1194" s="90" t="s">
        <v>1202</v>
      </c>
      <c r="O1194" s="25">
        <f t="shared" si="37"/>
        <v>-1.3869625520110951E-3</v>
      </c>
    </row>
    <row r="1195" spans="1:15">
      <c r="A1195" s="91">
        <v>400.46877779833767</v>
      </c>
      <c r="B1195" s="91">
        <v>401.02813079477369</v>
      </c>
      <c r="C1195" s="91">
        <v>397.82117361520744</v>
      </c>
      <c r="D1195" s="91">
        <v>398.6881707596832</v>
      </c>
      <c r="E1195" s="92">
        <v>3921132.1186710452</v>
      </c>
      <c r="F1195" s="90" t="s">
        <v>1203</v>
      </c>
      <c r="G1195" s="25">
        <f t="shared" si="36"/>
        <v>4.4661647102837154E-3</v>
      </c>
      <c r="I1195" s="91">
        <v>331.61500954289431</v>
      </c>
      <c r="J1195" s="91">
        <v>332.74968333892798</v>
      </c>
      <c r="K1195" s="91">
        <v>330.44400700676346</v>
      </c>
      <c r="L1195" s="91">
        <v>331.57812757325246</v>
      </c>
      <c r="M1195" s="92">
        <v>535382.46985480643</v>
      </c>
      <c r="N1195" s="90" t="s">
        <v>1203</v>
      </c>
      <c r="O1195" s="25">
        <f t="shared" si="37"/>
        <v>1.1123161202397647E-4</v>
      </c>
    </row>
    <row r="1196" spans="1:15">
      <c r="A1196" s="91">
        <v>397.51352946716759</v>
      </c>
      <c r="B1196" s="91">
        <v>398.83733155873279</v>
      </c>
      <c r="C1196" s="91">
        <v>397.50420691722701</v>
      </c>
      <c r="D1196" s="91">
        <v>398.72546095944557</v>
      </c>
      <c r="E1196" s="92">
        <v>3898751.9757563504</v>
      </c>
      <c r="F1196" s="90" t="s">
        <v>1204</v>
      </c>
      <c r="G1196" s="25">
        <f t="shared" si="36"/>
        <v>-3.0395136778116338E-3</v>
      </c>
      <c r="I1196" s="91">
        <v>331.88240382279827</v>
      </c>
      <c r="J1196" s="91">
        <v>333.41300556293788</v>
      </c>
      <c r="K1196" s="91">
        <v>329.17157905411727</v>
      </c>
      <c r="L1196" s="91">
        <v>332.90587848036148</v>
      </c>
      <c r="M1196" s="92">
        <v>515637.32047503133</v>
      </c>
      <c r="N1196" s="90" t="s">
        <v>1204</v>
      </c>
      <c r="O1196" s="25">
        <f t="shared" si="37"/>
        <v>-3.0743664312421481E-3</v>
      </c>
    </row>
    <row r="1197" spans="1:15">
      <c r="A1197" s="91">
        <v>397.38301376799922</v>
      </c>
      <c r="B1197" s="91">
        <v>400.61793859738731</v>
      </c>
      <c r="C1197" s="91">
        <v>396.03124402661228</v>
      </c>
      <c r="D1197" s="91">
        <v>399.08904040712895</v>
      </c>
      <c r="E1197" s="92">
        <v>6812146.934545177</v>
      </c>
      <c r="F1197" s="90" t="s">
        <v>1205</v>
      </c>
      <c r="G1197" s="25">
        <f t="shared" si="36"/>
        <v>-4.274802027610991E-3</v>
      </c>
      <c r="I1197" s="91">
        <v>333.87403018346185</v>
      </c>
      <c r="J1197" s="91">
        <v>338.29802244200988</v>
      </c>
      <c r="K1197" s="91">
        <v>333.20093423749682</v>
      </c>
      <c r="L1197" s="91">
        <v>335.43229340083286</v>
      </c>
      <c r="M1197" s="92">
        <v>610004.29799253179</v>
      </c>
      <c r="N1197" s="90" t="s">
        <v>1205</v>
      </c>
      <c r="O1197" s="25">
        <f t="shared" si="37"/>
        <v>-4.6455372605073153E-3</v>
      </c>
    </row>
    <row r="1198" spans="1:15">
      <c r="A1198" s="91">
        <v>400.60861604744673</v>
      </c>
      <c r="B1198" s="91">
        <v>402.50109368538841</v>
      </c>
      <c r="C1198" s="91">
        <v>399.3221041556439</v>
      </c>
      <c r="D1198" s="91">
        <v>402.32396523651704</v>
      </c>
      <c r="E1198" s="92">
        <v>5037274.1684642099</v>
      </c>
      <c r="F1198" s="90" t="s">
        <v>1206</v>
      </c>
      <c r="G1198" s="25">
        <f t="shared" si="36"/>
        <v>-4.2636018166650747E-3</v>
      </c>
      <c r="I1198" s="91">
        <v>336.10538934679784</v>
      </c>
      <c r="J1198" s="91">
        <v>337.42391976149639</v>
      </c>
      <c r="K1198" s="91">
        <v>332.51861779912133</v>
      </c>
      <c r="L1198" s="91">
        <v>335.34930896913852</v>
      </c>
      <c r="M1198" s="92">
        <v>597279.38106004242</v>
      </c>
      <c r="N1198" s="90" t="s">
        <v>1206</v>
      </c>
      <c r="O1198" s="25">
        <f t="shared" si="37"/>
        <v>2.2546054440473196E-3</v>
      </c>
    </row>
    <row r="1199" spans="1:15">
      <c r="A1199" s="91">
        <v>402.01632108847724</v>
      </c>
      <c r="B1199" s="91">
        <v>403.0511241318838</v>
      </c>
      <c r="C1199" s="91">
        <v>401.33577494281349</v>
      </c>
      <c r="D1199" s="91">
        <v>402.6222868346162</v>
      </c>
      <c r="E1199" s="92">
        <v>3766791.2989202365</v>
      </c>
      <c r="F1199" s="90" t="s">
        <v>1207</v>
      </c>
      <c r="G1199" s="25">
        <f t="shared" si="36"/>
        <v>-1.5050476984347361E-3</v>
      </c>
      <c r="I1199" s="91">
        <v>334.95282779548791</v>
      </c>
      <c r="J1199" s="91">
        <v>336.96750538717765</v>
      </c>
      <c r="K1199" s="91">
        <v>332.26966450403842</v>
      </c>
      <c r="L1199" s="91">
        <v>336.54797298250088</v>
      </c>
      <c r="M1199" s="92">
        <v>568221.28003113356</v>
      </c>
      <c r="N1199" s="90" t="s">
        <v>1207</v>
      </c>
      <c r="O1199" s="25">
        <f t="shared" si="37"/>
        <v>-4.7397260273973618E-3</v>
      </c>
    </row>
    <row r="1200" spans="1:15">
      <c r="A1200" s="91">
        <v>401.53154849156601</v>
      </c>
      <c r="B1200" s="91">
        <v>403.44267122938896</v>
      </c>
      <c r="C1200" s="91">
        <v>400.21706894994151</v>
      </c>
      <c r="D1200" s="91">
        <v>402.31464268657646</v>
      </c>
      <c r="E1200" s="92">
        <v>5302125.5251994673</v>
      </c>
      <c r="F1200" s="90" t="s">
        <v>1208</v>
      </c>
      <c r="G1200" s="25">
        <f t="shared" si="36"/>
        <v>-1.9464720194649621E-3</v>
      </c>
      <c r="I1200" s="91">
        <v>335.96708196064066</v>
      </c>
      <c r="J1200" s="91">
        <v>337.96783660879061</v>
      </c>
      <c r="K1200" s="91">
        <v>330.58231439292064</v>
      </c>
      <c r="L1200" s="91">
        <v>332.85977601830911</v>
      </c>
      <c r="M1200" s="92">
        <v>1199544.3960703665</v>
      </c>
      <c r="N1200" s="90" t="s">
        <v>1208</v>
      </c>
      <c r="O1200" s="25">
        <f t="shared" si="37"/>
        <v>9.3351800554015707E-3</v>
      </c>
    </row>
    <row r="1201" spans="1:15">
      <c r="A1201" s="91">
        <v>400.1704562002385</v>
      </c>
      <c r="B1201" s="91">
        <v>400.28232679952572</v>
      </c>
      <c r="C1201" s="91">
        <v>398.57630016039599</v>
      </c>
      <c r="D1201" s="91">
        <v>398.86529920855457</v>
      </c>
      <c r="E1201" s="92">
        <v>4598831.8939745435</v>
      </c>
      <c r="F1201" s="90" t="s">
        <v>1209</v>
      </c>
      <c r="G1201" s="25">
        <f t="shared" si="36"/>
        <v>3.2721748276265394E-3</v>
      </c>
      <c r="I1201" s="91">
        <v>328.858082312161</v>
      </c>
      <c r="J1201" s="91">
        <v>331.51266207713803</v>
      </c>
      <c r="K1201" s="91">
        <v>325.73233538500841</v>
      </c>
      <c r="L1201" s="91">
        <v>325.73233538500841</v>
      </c>
      <c r="M1201" s="92">
        <v>1072480.6832182806</v>
      </c>
      <c r="N1201" s="90" t="s">
        <v>1209</v>
      </c>
      <c r="O1201" s="25">
        <f t="shared" si="37"/>
        <v>9.5960596710733537E-3</v>
      </c>
    </row>
    <row r="1202" spans="1:15">
      <c r="A1202" s="91">
        <v>398.30594621211861</v>
      </c>
      <c r="B1202" s="91">
        <v>398.6881707596832</v>
      </c>
      <c r="C1202" s="91">
        <v>394.98711843326515</v>
      </c>
      <c r="D1202" s="91">
        <v>395.40663318059211</v>
      </c>
      <c r="E1202" s="92">
        <v>3821819.161819194</v>
      </c>
      <c r="F1202" s="90" t="s">
        <v>1210</v>
      </c>
      <c r="G1202" s="25">
        <f t="shared" si="36"/>
        <v>7.3324845569859853E-3</v>
      </c>
      <c r="I1202" s="91">
        <v>326.50685674748877</v>
      </c>
      <c r="J1202" s="91">
        <v>327.0969682617594</v>
      </c>
      <c r="K1202" s="91">
        <v>322.2562097462577</v>
      </c>
      <c r="L1202" s="91">
        <v>322.73567535160259</v>
      </c>
      <c r="M1202" s="92">
        <v>732457.62800305849</v>
      </c>
      <c r="N1202" s="90" t="s">
        <v>1210</v>
      </c>
      <c r="O1202" s="25">
        <f t="shared" si="37"/>
        <v>1.1685046568767676E-2</v>
      </c>
    </row>
    <row r="1203" spans="1:15">
      <c r="A1203" s="91">
        <v>395.91937342732507</v>
      </c>
      <c r="B1203" s="91">
        <v>396.17108227572123</v>
      </c>
      <c r="C1203" s="91">
        <v>394.35318503730434</v>
      </c>
      <c r="D1203" s="91">
        <v>394.48370073647271</v>
      </c>
      <c r="E1203" s="92">
        <v>3206433.8824102208</v>
      </c>
      <c r="F1203" s="90" t="s">
        <v>1211</v>
      </c>
      <c r="G1203" s="25">
        <f t="shared" si="36"/>
        <v>3.6393713813069883E-3</v>
      </c>
      <c r="I1203" s="91">
        <v>325.66779193813511</v>
      </c>
      <c r="J1203" s="91">
        <v>330.34258159024819</v>
      </c>
      <c r="K1203" s="91">
        <v>323.03073110873794</v>
      </c>
      <c r="L1203" s="91">
        <v>329.17157905411727</v>
      </c>
      <c r="M1203" s="92">
        <v>1012378.6869984082</v>
      </c>
      <c r="N1203" s="90" t="s">
        <v>1211</v>
      </c>
      <c r="O1203" s="25">
        <f t="shared" si="37"/>
        <v>-1.0644257703081084E-2</v>
      </c>
    </row>
    <row r="1204" spans="1:15">
      <c r="A1204" s="91">
        <v>394.39047523706677</v>
      </c>
      <c r="B1204" s="91">
        <v>394.87524783397794</v>
      </c>
      <c r="C1204" s="91">
        <v>392.74038389758061</v>
      </c>
      <c r="D1204" s="91">
        <v>394.52099093623514</v>
      </c>
      <c r="E1204" s="92">
        <v>4223431.3842106983</v>
      </c>
      <c r="F1204" s="90" t="s">
        <v>1212</v>
      </c>
      <c r="G1204" s="25">
        <f t="shared" si="36"/>
        <v>-3.3082067156586792E-4</v>
      </c>
      <c r="I1204" s="91">
        <v>327.18917318586421</v>
      </c>
      <c r="J1204" s="91">
        <v>332.67721026858163</v>
      </c>
      <c r="K1204" s="91">
        <v>325.40961815064168</v>
      </c>
      <c r="L1204" s="91">
        <v>329.17157905411727</v>
      </c>
      <c r="M1204" s="92">
        <v>843539.54797036084</v>
      </c>
      <c r="N1204" s="90" t="s">
        <v>1212</v>
      </c>
      <c r="O1204" s="25">
        <f t="shared" si="37"/>
        <v>-6.0224089635854128E-3</v>
      </c>
    </row>
    <row r="1205" spans="1:15">
      <c r="A1205" s="91">
        <v>393.56076829235343</v>
      </c>
      <c r="B1205" s="91">
        <v>393.89171881524464</v>
      </c>
      <c r="C1205" s="91">
        <v>390.49364936189613</v>
      </c>
      <c r="D1205" s="91">
        <v>390.75468076023287</v>
      </c>
      <c r="E1205" s="92">
        <v>4974755.8656700589</v>
      </c>
      <c r="F1205" s="90" t="s">
        <v>1213</v>
      </c>
      <c r="G1205" s="25">
        <f t="shared" si="36"/>
        <v>7.18120004771583E-3</v>
      </c>
      <c r="I1205" s="91">
        <v>329.37442988714787</v>
      </c>
      <c r="J1205" s="91">
        <v>331.62423003530483</v>
      </c>
      <c r="K1205" s="91">
        <v>324.56133284887756</v>
      </c>
      <c r="L1205" s="91">
        <v>324.56133284887756</v>
      </c>
      <c r="M1205" s="92">
        <v>1465278.5771662963</v>
      </c>
      <c r="N1205" s="90" t="s">
        <v>1213</v>
      </c>
      <c r="O1205" s="25">
        <f t="shared" si="37"/>
        <v>1.4829545454545512E-2</v>
      </c>
    </row>
    <row r="1206" spans="1:15">
      <c r="A1206" s="91">
        <v>392.86157704680846</v>
      </c>
      <c r="B1206" s="91">
        <v>392.8895446966302</v>
      </c>
      <c r="C1206" s="91">
        <v>390.38177876260892</v>
      </c>
      <c r="D1206" s="91">
        <v>390.40974641243071</v>
      </c>
      <c r="E1206" s="92">
        <v>3908330.9000387616</v>
      </c>
      <c r="F1206" s="90" t="s">
        <v>1214</v>
      </c>
      <c r="G1206" s="25">
        <f t="shared" si="36"/>
        <v>6.2801470939397586E-3</v>
      </c>
      <c r="I1206" s="91">
        <v>330.68373980943591</v>
      </c>
      <c r="J1206" s="91">
        <v>351.62532217211691</v>
      </c>
      <c r="K1206" s="91">
        <v>326.54373871713062</v>
      </c>
      <c r="L1206" s="91">
        <v>350.89505917320696</v>
      </c>
      <c r="M1206" s="92">
        <v>2181205.6346515841</v>
      </c>
      <c r="N1206" s="90" t="s">
        <v>1214</v>
      </c>
      <c r="O1206" s="25">
        <f t="shared" si="37"/>
        <v>-5.7599327307126469E-2</v>
      </c>
    </row>
    <row r="1207" spans="1:15">
      <c r="A1207" s="91">
        <v>389.05797667104378</v>
      </c>
      <c r="B1207" s="91">
        <v>391.81745145346127</v>
      </c>
      <c r="C1207" s="91">
        <v>389.01136392134077</v>
      </c>
      <c r="D1207" s="91">
        <v>391.23013080720352</v>
      </c>
      <c r="E1207" s="92">
        <v>3082326.2072170554</v>
      </c>
      <c r="F1207" s="90" t="s">
        <v>1215</v>
      </c>
      <c r="G1207" s="25">
        <f t="shared" si="36"/>
        <v>-5.5521136157843376E-3</v>
      </c>
      <c r="I1207" s="91">
        <v>357.89341291276082</v>
      </c>
      <c r="J1207" s="91">
        <v>365.16838142462922</v>
      </c>
      <c r="K1207" s="91">
        <v>357.26641942884828</v>
      </c>
      <c r="L1207" s="91">
        <v>364.35697809250701</v>
      </c>
      <c r="M1207" s="92">
        <v>1094577.1170018432</v>
      </c>
      <c r="N1207" s="90" t="s">
        <v>1215</v>
      </c>
      <c r="O1207" s="25">
        <f t="shared" si="37"/>
        <v>-1.7739649762121834E-2</v>
      </c>
    </row>
    <row r="1208" spans="1:15">
      <c r="A1208" s="91">
        <v>390.75468076023287</v>
      </c>
      <c r="B1208" s="91">
        <v>392.97288829309917</v>
      </c>
      <c r="C1208" s="91">
        <v>390.48432681195555</v>
      </c>
      <c r="D1208" s="91">
        <v>391.79880635358006</v>
      </c>
      <c r="E1208" s="92">
        <v>3309460.4155068323</v>
      </c>
      <c r="F1208" s="90" t="s">
        <v>1216</v>
      </c>
      <c r="G1208" s="25">
        <f t="shared" si="36"/>
        <v>-2.6649534822852372E-3</v>
      </c>
      <c r="I1208" s="91">
        <v>365.65706752238458</v>
      </c>
      <c r="J1208" s="91">
        <v>367.66713486786909</v>
      </c>
      <c r="K1208" s="91">
        <v>362.07029597470807</v>
      </c>
      <c r="L1208" s="91">
        <v>363.8498510099306</v>
      </c>
      <c r="M1208" s="92">
        <v>1724798.3396119948</v>
      </c>
      <c r="N1208" s="90" t="s">
        <v>1216</v>
      </c>
      <c r="O1208" s="25">
        <f t="shared" si="37"/>
        <v>4.9669293733052289E-3</v>
      </c>
    </row>
    <row r="1209" spans="1:15">
      <c r="A1209" s="91">
        <v>390.38177876260892</v>
      </c>
      <c r="B1209" s="91">
        <v>390.7453582102923</v>
      </c>
      <c r="C1209" s="91">
        <v>387.75281967935985</v>
      </c>
      <c r="D1209" s="91">
        <v>389.34697571920236</v>
      </c>
      <c r="E1209" s="92">
        <v>2693967.8693085825</v>
      </c>
      <c r="F1209" s="90" t="s">
        <v>1217</v>
      </c>
      <c r="G1209" s="25">
        <f t="shared" si="36"/>
        <v>2.6577913992913427E-3</v>
      </c>
      <c r="I1209" s="91">
        <v>374.92366239491645</v>
      </c>
      <c r="J1209" s="91">
        <v>376.22375182479402</v>
      </c>
      <c r="K1209" s="91">
        <v>372.11141220972019</v>
      </c>
      <c r="L1209" s="91">
        <v>374.0016131538685</v>
      </c>
      <c r="M1209" s="92">
        <v>513956.28227121662</v>
      </c>
      <c r="N1209" s="90" t="s">
        <v>1217</v>
      </c>
      <c r="O1209" s="25">
        <f t="shared" si="37"/>
        <v>2.4653616685568203E-3</v>
      </c>
    </row>
    <row r="1210" spans="1:15">
      <c r="A1210" s="91">
        <v>388.36810797543939</v>
      </c>
      <c r="B1210" s="91">
        <v>389.68258751706395</v>
      </c>
      <c r="C1210" s="91">
        <v>386.60614603666608</v>
      </c>
      <c r="D1210" s="91">
        <v>388.35878542549881</v>
      </c>
      <c r="E1210" s="92">
        <v>3914009.6038630712</v>
      </c>
      <c r="F1210" s="90" t="s">
        <v>1218</v>
      </c>
      <c r="G1210" s="25">
        <f t="shared" si="36"/>
        <v>2.4004993038451161E-5</v>
      </c>
      <c r="I1210" s="91">
        <v>374.54562220608676</v>
      </c>
      <c r="J1210" s="91">
        <v>374.63782713019157</v>
      </c>
      <c r="K1210" s="91">
        <v>369.1608546383668</v>
      </c>
      <c r="L1210" s="91">
        <v>372.22205811864598</v>
      </c>
      <c r="M1210" s="92">
        <v>568288.52155928616</v>
      </c>
      <c r="N1210" s="90" t="s">
        <v>1218</v>
      </c>
      <c r="O1210" s="25">
        <f t="shared" si="37"/>
        <v>6.242413733310137E-3</v>
      </c>
    </row>
    <row r="1211" spans="1:15">
      <c r="A1211" s="91">
        <v>388.75965507294455</v>
      </c>
      <c r="B1211" s="91">
        <v>388.97407372157841</v>
      </c>
      <c r="C1211" s="91">
        <v>386.8344552847114</v>
      </c>
      <c r="D1211" s="91">
        <v>387.24007943262683</v>
      </c>
      <c r="E1211" s="92">
        <v>2766893.1959983609</v>
      </c>
      <c r="F1211" s="90" t="s">
        <v>1219</v>
      </c>
      <c r="G1211" s="25">
        <f t="shared" si="36"/>
        <v>3.9241176753814777E-3</v>
      </c>
      <c r="I1211" s="91">
        <v>371.37377281688185</v>
      </c>
      <c r="J1211" s="91">
        <v>371.91778186910017</v>
      </c>
      <c r="K1211" s="91">
        <v>366.0258872188038</v>
      </c>
      <c r="L1211" s="91">
        <v>368.81969641917902</v>
      </c>
      <c r="M1211" s="92">
        <v>432543.05979007971</v>
      </c>
      <c r="N1211" s="90" t="s">
        <v>1219</v>
      </c>
      <c r="O1211" s="25">
        <f t="shared" si="37"/>
        <v>6.92500000000007E-3</v>
      </c>
    </row>
    <row r="1212" spans="1:15">
      <c r="A1212" s="91">
        <v>387.80875497900342</v>
      </c>
      <c r="B1212" s="91">
        <v>388.02317362763722</v>
      </c>
      <c r="C1212" s="91">
        <v>386.55953328696307</v>
      </c>
      <c r="D1212" s="91">
        <v>386.6434362364285</v>
      </c>
      <c r="E1212" s="92">
        <v>3441285.9361884575</v>
      </c>
      <c r="F1212" s="90" t="s">
        <v>1220</v>
      </c>
      <c r="G1212" s="25">
        <f t="shared" si="36"/>
        <v>3.0139364421082337E-3</v>
      </c>
      <c r="I1212" s="91">
        <v>369.63109975130124</v>
      </c>
      <c r="J1212" s="91">
        <v>370.67301539368543</v>
      </c>
      <c r="K1212" s="91">
        <v>366.52379380896963</v>
      </c>
      <c r="L1212" s="91">
        <v>367.65791437545863</v>
      </c>
      <c r="M1212" s="92">
        <v>369077.90262180107</v>
      </c>
      <c r="N1212" s="90" t="s">
        <v>1220</v>
      </c>
      <c r="O1212" s="25">
        <f t="shared" si="37"/>
        <v>5.3669057531222641E-3</v>
      </c>
    </row>
    <row r="1213" spans="1:15">
      <c r="A1213" s="91">
        <v>386.30782443856685</v>
      </c>
      <c r="B1213" s="91">
        <v>386.30782443856685</v>
      </c>
      <c r="C1213" s="91">
        <v>384.21957325187253</v>
      </c>
      <c r="D1213" s="91">
        <v>384.77892624830855</v>
      </c>
      <c r="E1213" s="92">
        <v>3044512.5186612261</v>
      </c>
      <c r="F1213" s="90" t="s">
        <v>1221</v>
      </c>
      <c r="G1213" s="25">
        <f t="shared" si="36"/>
        <v>3.9734457527740297E-3</v>
      </c>
      <c r="I1213" s="91">
        <v>368.1742619504455</v>
      </c>
      <c r="J1213" s="91">
        <v>368.20192342767689</v>
      </c>
      <c r="K1213" s="91">
        <v>362.20860336086525</v>
      </c>
      <c r="L1213" s="91">
        <v>364.73501828133664</v>
      </c>
      <c r="M1213" s="92">
        <v>483487.19369187998</v>
      </c>
      <c r="N1213" s="90" t="s">
        <v>1221</v>
      </c>
      <c r="O1213" s="25">
        <f t="shared" si="37"/>
        <v>9.4294309477462868E-3</v>
      </c>
    </row>
    <row r="1214" spans="1:15">
      <c r="A1214" s="91">
        <v>383.32460845757504</v>
      </c>
      <c r="B1214" s="91">
        <v>383.58563985591178</v>
      </c>
      <c r="C1214" s="91">
        <v>379.9218777292561</v>
      </c>
      <c r="D1214" s="91">
        <v>380.54648857527633</v>
      </c>
      <c r="E1214" s="92">
        <v>3649934.8586821775</v>
      </c>
      <c r="F1214" s="90" t="s">
        <v>1222</v>
      </c>
      <c r="G1214" s="25">
        <f t="shared" si="36"/>
        <v>7.3003429691327337E-3</v>
      </c>
      <c r="I1214" s="91">
        <v>363.18597555637609</v>
      </c>
      <c r="J1214" s="91">
        <v>365.88757983264657</v>
      </c>
      <c r="K1214" s="91">
        <v>361.94120908096136</v>
      </c>
      <c r="L1214" s="91">
        <v>363.19519604878656</v>
      </c>
      <c r="M1214" s="92">
        <v>458227.15446281584</v>
      </c>
      <c r="N1214" s="90" t="s">
        <v>1222</v>
      </c>
      <c r="O1214" s="25">
        <f t="shared" si="37"/>
        <v>-2.5387154099942855E-5</v>
      </c>
    </row>
    <row r="1215" spans="1:15">
      <c r="A1215" s="91">
        <v>382.15928971500006</v>
      </c>
      <c r="B1215" s="91">
        <v>382.46693386303986</v>
      </c>
      <c r="C1215" s="91">
        <v>380.6164076998308</v>
      </c>
      <c r="D1215" s="91">
        <v>381.2177121709995</v>
      </c>
      <c r="E1215" s="92">
        <v>3756074.2740035993</v>
      </c>
      <c r="F1215" s="90" t="s">
        <v>1223</v>
      </c>
      <c r="G1215" s="25">
        <f t="shared" si="36"/>
        <v>2.4699207668981149E-3</v>
      </c>
      <c r="I1215" s="91">
        <v>364.54138794071656</v>
      </c>
      <c r="J1215" s="91">
        <v>365.79537490854182</v>
      </c>
      <c r="K1215" s="91">
        <v>360.59501718903135</v>
      </c>
      <c r="L1215" s="91">
        <v>360.59501718903135</v>
      </c>
      <c r="M1215" s="92">
        <v>721194.67203749961</v>
      </c>
      <c r="N1215" s="90" t="s">
        <v>1223</v>
      </c>
      <c r="O1215" s="25">
        <f t="shared" si="37"/>
        <v>1.0944052367801937E-2</v>
      </c>
    </row>
    <row r="1216" spans="1:15">
      <c r="A1216" s="91">
        <v>379.20404138382997</v>
      </c>
      <c r="B1216" s="91">
        <v>379.38116983270135</v>
      </c>
      <c r="C1216" s="91">
        <v>375.90385870485773</v>
      </c>
      <c r="D1216" s="91">
        <v>376.35134110200647</v>
      </c>
      <c r="E1216" s="92">
        <v>4063684.318280343</v>
      </c>
      <c r="F1216" s="90" t="s">
        <v>1224</v>
      </c>
      <c r="G1216" s="25">
        <f t="shared" si="36"/>
        <v>7.5798860540006174E-3</v>
      </c>
      <c r="I1216" s="91">
        <v>359.54388105423669</v>
      </c>
      <c r="J1216" s="91">
        <v>362.19938286845479</v>
      </c>
      <c r="K1216" s="91">
        <v>358.62183181318875</v>
      </c>
      <c r="L1216" s="91">
        <v>359.87581878101395</v>
      </c>
      <c r="M1216" s="92">
        <v>558241.33580435719</v>
      </c>
      <c r="N1216" s="90" t="s">
        <v>1224</v>
      </c>
      <c r="O1216" s="25">
        <f t="shared" si="37"/>
        <v>-9.2236740968487663E-4</v>
      </c>
    </row>
    <row r="1217" spans="1:15">
      <c r="A1217" s="91">
        <v>372.93928782374707</v>
      </c>
      <c r="B1217" s="91">
        <v>373.7223820187574</v>
      </c>
      <c r="C1217" s="91">
        <v>369.87216889328977</v>
      </c>
      <c r="D1217" s="91">
        <v>372.56638582612305</v>
      </c>
      <c r="E1217" s="92">
        <v>6964149.3382897535</v>
      </c>
      <c r="F1217" s="90" t="s">
        <v>1225</v>
      </c>
      <c r="G1217" s="25">
        <f t="shared" si="36"/>
        <v>1.0009008107296768E-3</v>
      </c>
      <c r="I1217" s="91">
        <v>358.40053999533723</v>
      </c>
      <c r="J1217" s="91">
        <v>359.52544006941577</v>
      </c>
      <c r="K1217" s="91">
        <v>353.67964788117172</v>
      </c>
      <c r="L1217" s="91">
        <v>359.11973840335463</v>
      </c>
      <c r="M1217" s="92">
        <v>727949.191994505</v>
      </c>
      <c r="N1217" s="90" t="s">
        <v>1225</v>
      </c>
      <c r="O1217" s="25">
        <f t="shared" si="37"/>
        <v>-2.0026702269693164E-3</v>
      </c>
    </row>
    <row r="1218" spans="1:15">
      <c r="A1218" s="91">
        <v>371.74600143135029</v>
      </c>
      <c r="B1218" s="91">
        <v>373.75967221851982</v>
      </c>
      <c r="C1218" s="91">
        <v>370.9162944866369</v>
      </c>
      <c r="D1218" s="91">
        <v>373.4147378707176</v>
      </c>
      <c r="E1218" s="92">
        <v>6651896.7873731144</v>
      </c>
      <c r="F1218" s="90" t="s">
        <v>1226</v>
      </c>
      <c r="G1218" s="25">
        <f t="shared" si="36"/>
        <v>-4.4688553239294881E-3</v>
      </c>
      <c r="I1218" s="91">
        <v>359.66374745557295</v>
      </c>
      <c r="J1218" s="91">
        <v>363.88673297957251</v>
      </c>
      <c r="K1218" s="91">
        <v>358.76013919934593</v>
      </c>
      <c r="L1218" s="91">
        <v>362.01497302024518</v>
      </c>
      <c r="M1218" s="92">
        <v>775531.24948867573</v>
      </c>
      <c r="N1218" s="90" t="s">
        <v>1226</v>
      </c>
      <c r="O1218" s="25">
        <f t="shared" si="37"/>
        <v>-6.4948296062349309E-3</v>
      </c>
    </row>
    <row r="1219" spans="1:15">
      <c r="A1219" s="91">
        <v>372.49180542659826</v>
      </c>
      <c r="B1219" s="91">
        <v>377.32088629582887</v>
      </c>
      <c r="C1219" s="91">
        <v>372.49180542659826</v>
      </c>
      <c r="D1219" s="91">
        <v>374.68260466263916</v>
      </c>
      <c r="E1219" s="92">
        <v>3964228.6965987533</v>
      </c>
      <c r="F1219" s="90" t="s">
        <v>1227</v>
      </c>
      <c r="G1219" s="25">
        <f t="shared" si="36"/>
        <v>-5.8470801920827986E-3</v>
      </c>
      <c r="I1219" s="91">
        <v>362.51287961041112</v>
      </c>
      <c r="J1219" s="91">
        <v>365.66628801479504</v>
      </c>
      <c r="K1219" s="91">
        <v>357.607577648036</v>
      </c>
      <c r="L1219" s="91">
        <v>359.6360859783415</v>
      </c>
      <c r="M1219" s="92">
        <v>857057.26421058481</v>
      </c>
      <c r="N1219" s="90" t="s">
        <v>1227</v>
      </c>
      <c r="O1219" s="25">
        <f t="shared" si="37"/>
        <v>7.9991795713261205E-3</v>
      </c>
    </row>
    <row r="1220" spans="1:15">
      <c r="A1220" s="91">
        <v>375.22331255919397</v>
      </c>
      <c r="B1220" s="91">
        <v>376.99282576341915</v>
      </c>
      <c r="C1220" s="91">
        <v>374.71057231246095</v>
      </c>
      <c r="D1220" s="91">
        <v>376.66830779998691</v>
      </c>
      <c r="E1220" s="92">
        <v>4248750.6371515756</v>
      </c>
      <c r="F1220" s="90" t="s">
        <v>1228</v>
      </c>
      <c r="G1220" s="25">
        <f t="shared" si="36"/>
        <v>-3.8362538362538556E-3</v>
      </c>
      <c r="I1220" s="91">
        <v>359.34103022120615</v>
      </c>
      <c r="J1220" s="91">
        <v>360.4613200490794</v>
      </c>
      <c r="K1220" s="91">
        <v>352.24125106513691</v>
      </c>
      <c r="L1220" s="91">
        <v>353.34771015439452</v>
      </c>
      <c r="M1220" s="92">
        <v>748705.13337812223</v>
      </c>
      <c r="N1220" s="90" t="s">
        <v>1228</v>
      </c>
      <c r="O1220" s="25">
        <f t="shared" si="37"/>
        <v>1.696153645425591E-2</v>
      </c>
    </row>
    <row r="1221" spans="1:15">
      <c r="A1221" s="91">
        <v>375.93182635467952</v>
      </c>
      <c r="B1221" s="91">
        <v>378.54214033804743</v>
      </c>
      <c r="C1221" s="91">
        <v>375.55892435705556</v>
      </c>
      <c r="D1221" s="91">
        <v>375.76402045574872</v>
      </c>
      <c r="E1221" s="92">
        <v>4729601.9094496863</v>
      </c>
      <c r="F1221" s="90" t="s">
        <v>1229</v>
      </c>
      <c r="G1221" s="25">
        <f t="shared" si="36"/>
        <v>4.4657255563551601E-4</v>
      </c>
      <c r="I1221" s="91">
        <v>352.86824454904956</v>
      </c>
      <c r="J1221" s="91">
        <v>353.92860117625469</v>
      </c>
      <c r="K1221" s="91">
        <v>348.53461311612421</v>
      </c>
      <c r="L1221" s="91">
        <v>348.53461311612421</v>
      </c>
      <c r="M1221" s="92">
        <v>755044.2742176688</v>
      </c>
      <c r="N1221" s="90" t="s">
        <v>1229</v>
      </c>
      <c r="O1221" s="25">
        <f t="shared" si="37"/>
        <v>1.2433862433862464E-2</v>
      </c>
    </row>
    <row r="1222" spans="1:15">
      <c r="A1222" s="91">
        <v>372.72486917511327</v>
      </c>
      <c r="B1222" s="91">
        <v>372.9206427238658</v>
      </c>
      <c r="C1222" s="91">
        <v>366.43214796520851</v>
      </c>
      <c r="D1222" s="91">
        <v>367.91443340576382</v>
      </c>
      <c r="E1222" s="92">
        <v>7068828.8526091194</v>
      </c>
      <c r="F1222" s="90" t="s">
        <v>1230</v>
      </c>
      <c r="G1222" s="25">
        <f t="shared" si="36"/>
        <v>1.3074876472824126E-2</v>
      </c>
      <c r="I1222" s="91">
        <v>347.90761963221161</v>
      </c>
      <c r="J1222" s="91">
        <v>348.04592701836879</v>
      </c>
      <c r="K1222" s="91">
        <v>337.99098004474092</v>
      </c>
      <c r="L1222" s="91">
        <v>339.95955517437829</v>
      </c>
      <c r="M1222" s="92">
        <v>911037.02774624154</v>
      </c>
      <c r="N1222" s="90" t="s">
        <v>1230</v>
      </c>
      <c r="O1222" s="25">
        <f t="shared" si="37"/>
        <v>2.3379441280173552E-2</v>
      </c>
    </row>
    <row r="1223" spans="1:15">
      <c r="A1223" s="91">
        <v>371.07477783562712</v>
      </c>
      <c r="B1223" s="91">
        <v>373.23071073489018</v>
      </c>
      <c r="C1223" s="91">
        <v>368.04494910493224</v>
      </c>
      <c r="D1223" s="91">
        <v>368.76278545035842</v>
      </c>
      <c r="E1223" s="92">
        <v>5924606.502719095</v>
      </c>
      <c r="F1223" s="90" t="s">
        <v>1231</v>
      </c>
      <c r="G1223" s="25">
        <f t="shared" si="36"/>
        <v>6.2695924764890609E-3</v>
      </c>
      <c r="I1223" s="91">
        <v>341.04757327881487</v>
      </c>
      <c r="J1223" s="91">
        <v>342.32461147766628</v>
      </c>
      <c r="K1223" s="91">
        <v>335.44151389324333</v>
      </c>
      <c r="L1223" s="91">
        <v>336.89835169409912</v>
      </c>
      <c r="M1223" s="92">
        <v>617896.50122424786</v>
      </c>
      <c r="N1223" s="90" t="s">
        <v>1231</v>
      </c>
      <c r="O1223" s="25">
        <f t="shared" si="37"/>
        <v>1.2315945043516185E-2</v>
      </c>
    </row>
    <row r="1224" spans="1:15">
      <c r="A1224" s="91">
        <v>367.50424120837744</v>
      </c>
      <c r="B1224" s="91">
        <v>371.91380733028109</v>
      </c>
      <c r="C1224" s="91">
        <v>365.40666747174254</v>
      </c>
      <c r="D1224" s="91">
        <v>371.14935823515191</v>
      </c>
      <c r="E1224" s="92">
        <v>9461388.8433969393</v>
      </c>
      <c r="F1224" s="90" t="s">
        <v>1232</v>
      </c>
      <c r="G1224" s="25">
        <f t="shared" si="36"/>
        <v>-9.8211594494123089E-3</v>
      </c>
      <c r="I1224" s="91">
        <v>337.16574597400302</v>
      </c>
      <c r="J1224" s="91">
        <v>338.65485549829543</v>
      </c>
      <c r="K1224" s="91">
        <v>333.31158014642261</v>
      </c>
      <c r="L1224" s="91">
        <v>333.45910802499026</v>
      </c>
      <c r="M1224" s="92">
        <v>969416.7732127863</v>
      </c>
      <c r="N1224" s="90" t="s">
        <v>1232</v>
      </c>
      <c r="O1224" s="25">
        <f t="shared" si="37"/>
        <v>1.1115719618415731E-2</v>
      </c>
    </row>
    <row r="1225" spans="1:15">
      <c r="A1225" s="91">
        <v>372.08161322921188</v>
      </c>
      <c r="B1225" s="91">
        <v>373.69441436893561</v>
      </c>
      <c r="C1225" s="91">
        <v>366.16179401693108</v>
      </c>
      <c r="D1225" s="91">
        <v>369.38385372740117</v>
      </c>
      <c r="E1225" s="92">
        <v>9098579.3093583956</v>
      </c>
      <c r="F1225" s="90" t="s">
        <v>1233</v>
      </c>
      <c r="G1225" s="25">
        <f t="shared" si="36"/>
        <v>7.3034039647050797E-3</v>
      </c>
      <c r="I1225" s="91">
        <v>332.78601207902528</v>
      </c>
      <c r="J1225" s="91">
        <v>334.60244908388972</v>
      </c>
      <c r="K1225" s="91">
        <v>328.68750320256714</v>
      </c>
      <c r="L1225" s="91">
        <v>333.53287196427408</v>
      </c>
      <c r="M1225" s="92">
        <v>637494.15305839793</v>
      </c>
      <c r="N1225" s="90" t="s">
        <v>1233</v>
      </c>
      <c r="O1225" s="25">
        <f t="shared" si="37"/>
        <v>-2.239239211566546E-3</v>
      </c>
    </row>
    <row r="1226" spans="1:15">
      <c r="A1226" s="91">
        <v>367.68136965724881</v>
      </c>
      <c r="B1226" s="91">
        <v>374.31902521495579</v>
      </c>
      <c r="C1226" s="91">
        <v>367.62543435760523</v>
      </c>
      <c r="D1226" s="91">
        <v>373.69441436893561</v>
      </c>
      <c r="E1226" s="92">
        <v>10202310.591632243</v>
      </c>
      <c r="F1226" s="90" t="s">
        <v>1234</v>
      </c>
      <c r="G1226" s="25">
        <f t="shared" si="36"/>
        <v>-1.6090807035050614E-2</v>
      </c>
      <c r="I1226" s="91">
        <v>332.07603416341829</v>
      </c>
      <c r="J1226" s="91">
        <v>336.21603525572363</v>
      </c>
      <c r="K1226" s="91">
        <v>331.83630136074584</v>
      </c>
      <c r="L1226" s="91">
        <v>335.24788355262325</v>
      </c>
      <c r="M1226" s="92">
        <v>1064571.1273341381</v>
      </c>
      <c r="N1226" s="90" t="s">
        <v>1234</v>
      </c>
      <c r="O1226" s="25">
        <f t="shared" si="37"/>
        <v>-9.4612063038037597E-3</v>
      </c>
    </row>
    <row r="1227" spans="1:15">
      <c r="A1227" s="91">
        <v>372.39857992719226</v>
      </c>
      <c r="B1227" s="91">
        <v>374.57073406335201</v>
      </c>
      <c r="C1227" s="91">
        <v>371.8392269307563</v>
      </c>
      <c r="D1227" s="91">
        <v>372.99522312339064</v>
      </c>
      <c r="E1227" s="92">
        <v>5067461.1883024648</v>
      </c>
      <c r="F1227" s="90" t="s">
        <v>1235</v>
      </c>
      <c r="G1227" s="25">
        <f t="shared" si="36"/>
        <v>-1.5996000999750626E-3</v>
      </c>
      <c r="I1227" s="91">
        <v>334.68543351558407</v>
      </c>
      <c r="J1227" s="91">
        <v>337.47002222354882</v>
      </c>
      <c r="K1227" s="91">
        <v>328.07434045727024</v>
      </c>
      <c r="L1227" s="91">
        <v>330.81282670318262</v>
      </c>
      <c r="M1227" s="92">
        <v>826719.40506522334</v>
      </c>
      <c r="N1227" s="90" t="s">
        <v>1235</v>
      </c>
      <c r="O1227" s="25">
        <f t="shared" si="37"/>
        <v>1.1706338145939243E-2</v>
      </c>
    </row>
    <row r="1228" spans="1:15">
      <c r="A1228" s="91">
        <v>371.81275087048118</v>
      </c>
      <c r="B1228" s="91">
        <v>377.13710500275459</v>
      </c>
      <c r="C1228" s="91">
        <v>371.06009348005512</v>
      </c>
      <c r="D1228" s="91">
        <v>376.83975887320355</v>
      </c>
      <c r="E1228" s="92">
        <v>8861655.2163584903</v>
      </c>
      <c r="F1228" s="90" t="s">
        <v>1236</v>
      </c>
      <c r="G1228" s="25">
        <f t="shared" si="36"/>
        <v>-1.3339908765873654E-2</v>
      </c>
      <c r="I1228" s="91">
        <v>330.37024306747963</v>
      </c>
      <c r="J1228" s="91">
        <v>332.85977601830911</v>
      </c>
      <c r="K1228" s="91">
        <v>328.6183495094885</v>
      </c>
      <c r="L1228" s="91">
        <v>328.90418477421338</v>
      </c>
      <c r="M1228" s="92">
        <v>832094.38915432396</v>
      </c>
      <c r="N1228" s="90" t="s">
        <v>1236</v>
      </c>
      <c r="O1228" s="25">
        <f t="shared" si="37"/>
        <v>4.4574023716745792E-3</v>
      </c>
    </row>
    <row r="1229" spans="1:15">
      <c r="A1229" s="91">
        <v>379.39507717403279</v>
      </c>
      <c r="B1229" s="91">
        <v>380.57516962568849</v>
      </c>
      <c r="C1229" s="91">
        <v>378.73534044909138</v>
      </c>
      <c r="D1229" s="91">
        <v>379.50732533793831</v>
      </c>
      <c r="E1229" s="92">
        <v>3816804.3475581282</v>
      </c>
      <c r="F1229" s="90" t="s">
        <v>1237</v>
      </c>
      <c r="G1229" s="25">
        <f t="shared" si="36"/>
        <v>-2.9577337882891186E-4</v>
      </c>
      <c r="I1229" s="91">
        <v>329.36520939473735</v>
      </c>
      <c r="J1229" s="91">
        <v>333.16313021861384</v>
      </c>
      <c r="K1229" s="91">
        <v>328.83964132734002</v>
      </c>
      <c r="L1229" s="91">
        <v>328.83964132734002</v>
      </c>
      <c r="M1229" s="92">
        <v>664911.34389222832</v>
      </c>
      <c r="N1229" s="90" t="s">
        <v>1237</v>
      </c>
      <c r="O1229" s="25">
        <f t="shared" si="37"/>
        <v>1.598250336473761E-3</v>
      </c>
    </row>
    <row r="1230" spans="1:15">
      <c r="A1230" s="91">
        <v>380.47295689365529</v>
      </c>
      <c r="B1230" s="91">
        <v>381.09552535240283</v>
      </c>
      <c r="C1230" s="91">
        <v>378.14064818998935</v>
      </c>
      <c r="D1230" s="91">
        <v>378.34507365405568</v>
      </c>
      <c r="E1230" s="92">
        <v>3678070.945975651</v>
      </c>
      <c r="F1230" s="90" t="s">
        <v>1238</v>
      </c>
      <c r="G1230" s="25">
        <f t="shared" si="36"/>
        <v>5.624186457744873E-3</v>
      </c>
      <c r="I1230" s="91">
        <v>327.97291504075497</v>
      </c>
      <c r="J1230" s="91">
        <v>329.30066594786399</v>
      </c>
      <c r="K1230" s="91">
        <v>324.21095413727932</v>
      </c>
      <c r="L1230" s="91">
        <v>324.70886072744526</v>
      </c>
      <c r="M1230" s="92">
        <v>660179.49248368398</v>
      </c>
      <c r="N1230" s="90" t="s">
        <v>1238</v>
      </c>
      <c r="O1230" s="25">
        <f t="shared" si="37"/>
        <v>1.0052248977737266E-2</v>
      </c>
    </row>
    <row r="1231" spans="1:15">
      <c r="A1231" s="91">
        <v>379.84109636835933</v>
      </c>
      <c r="B1231" s="91">
        <v>381.27207461682372</v>
      </c>
      <c r="C1231" s="91">
        <v>376.7654223408158</v>
      </c>
      <c r="D1231" s="91">
        <v>376.98843193797904</v>
      </c>
      <c r="E1231" s="92">
        <v>4410260.0628433302</v>
      </c>
      <c r="F1231" s="90" t="s">
        <v>1239</v>
      </c>
      <c r="G1231" s="25">
        <f t="shared" si="36"/>
        <v>7.5669813413521414E-3</v>
      </c>
      <c r="I1231" s="91">
        <v>323.55629917613533</v>
      </c>
      <c r="J1231" s="91">
        <v>325.29897224171594</v>
      </c>
      <c r="K1231" s="91">
        <v>321.10364819494777</v>
      </c>
      <c r="L1231" s="91">
        <v>323.7222680395239</v>
      </c>
      <c r="M1231" s="92">
        <v>916699.41514115559</v>
      </c>
      <c r="N1231" s="90" t="s">
        <v>1239</v>
      </c>
      <c r="O1231" s="25">
        <f t="shared" si="37"/>
        <v>-5.1268905408852206E-4</v>
      </c>
    </row>
    <row r="1232" spans="1:15">
      <c r="A1232" s="91">
        <v>375.30656789270597</v>
      </c>
      <c r="B1232" s="91">
        <v>377.11852086965763</v>
      </c>
      <c r="C1232" s="91">
        <v>372.85346232390987</v>
      </c>
      <c r="D1232" s="91">
        <v>373.69904037982064</v>
      </c>
      <c r="E1232" s="92">
        <v>6462257.8504764186</v>
      </c>
      <c r="F1232" s="90" t="s">
        <v>1240</v>
      </c>
      <c r="G1232" s="25">
        <f t="shared" si="36"/>
        <v>4.3016634756445349E-3</v>
      </c>
      <c r="I1232" s="91">
        <v>321.35260149003068</v>
      </c>
      <c r="J1232" s="91">
        <v>323.14967546083312</v>
      </c>
      <c r="K1232" s="91">
        <v>318.86306853920121</v>
      </c>
      <c r="L1232" s="91">
        <v>319.97874812086923</v>
      </c>
      <c r="M1232" s="92">
        <v>635463.89272450039</v>
      </c>
      <c r="N1232" s="90" t="s">
        <v>1240</v>
      </c>
      <c r="O1232" s="25">
        <f t="shared" si="37"/>
        <v>4.293576924185194E-3</v>
      </c>
    </row>
    <row r="1233" spans="1:15">
      <c r="A1233" s="91">
        <v>371.71983020499653</v>
      </c>
      <c r="B1233" s="91">
        <v>375.30656789270597</v>
      </c>
      <c r="C1233" s="91">
        <v>371.16230621208831</v>
      </c>
      <c r="D1233" s="91">
        <v>374.15435164069572</v>
      </c>
      <c r="E1233" s="92">
        <v>6907100.7687269961</v>
      </c>
      <c r="F1233" s="90" t="s">
        <v>1241</v>
      </c>
      <c r="G1233" s="25">
        <f t="shared" si="36"/>
        <v>-6.506730243878267E-3</v>
      </c>
      <c r="I1233" s="91">
        <v>318.23607505528861</v>
      </c>
      <c r="J1233" s="91">
        <v>323.03995160114846</v>
      </c>
      <c r="K1233" s="91">
        <v>318.00556274502662</v>
      </c>
      <c r="L1233" s="91">
        <v>321.63843675475556</v>
      </c>
      <c r="M1233" s="92">
        <v>580463.57631801162</v>
      </c>
      <c r="N1233" s="90" t="s">
        <v>1241</v>
      </c>
      <c r="O1233" s="25">
        <f t="shared" si="37"/>
        <v>-1.0578218616518198E-2</v>
      </c>
    </row>
    <row r="1234" spans="1:15">
      <c r="A1234" s="91">
        <v>372.08222080038684</v>
      </c>
      <c r="B1234" s="91">
        <v>374.1357675075987</v>
      </c>
      <c r="C1234" s="91">
        <v>367.56627645783038</v>
      </c>
      <c r="D1234" s="91">
        <v>372.71408132568286</v>
      </c>
      <c r="E1234" s="92">
        <v>11776429.864034623</v>
      </c>
      <c r="F1234" s="90" t="s">
        <v>1242</v>
      </c>
      <c r="G1234" s="25">
        <f t="shared" si="36"/>
        <v>-1.6952955548354964E-3</v>
      </c>
      <c r="I1234" s="91">
        <v>321.61999576993463</v>
      </c>
      <c r="J1234" s="91">
        <v>324.23861561451076</v>
      </c>
      <c r="K1234" s="91">
        <v>318.25451604010959</v>
      </c>
      <c r="L1234" s="91">
        <v>319.92342516640639</v>
      </c>
      <c r="M1234" s="92">
        <v>688469.73864272132</v>
      </c>
      <c r="N1234" s="90" t="s">
        <v>1242</v>
      </c>
      <c r="O1234" s="25">
        <f t="shared" si="37"/>
        <v>5.3030521370724948E-3</v>
      </c>
    </row>
    <row r="1235" spans="1:15">
      <c r="A1235" s="91">
        <v>378.26144505511945</v>
      </c>
      <c r="B1235" s="91">
        <v>381.69950967805335</v>
      </c>
      <c r="C1235" s="91">
        <v>377.97339099211683</v>
      </c>
      <c r="D1235" s="91">
        <v>381.29995081646916</v>
      </c>
      <c r="E1235" s="92">
        <v>5807206.5797768785</v>
      </c>
      <c r="F1235" s="90" t="s">
        <v>1243</v>
      </c>
      <c r="G1235" s="25">
        <f t="shared" si="36"/>
        <v>-7.9688071158766638E-3</v>
      </c>
      <c r="I1235" s="91">
        <v>322.93852618463319</v>
      </c>
      <c r="J1235" s="91">
        <v>328.01901750280734</v>
      </c>
      <c r="K1235" s="91">
        <v>319.96952762845876</v>
      </c>
      <c r="L1235" s="91">
        <v>323.52863769890388</v>
      </c>
      <c r="M1235" s="92">
        <v>2062695.6949049737</v>
      </c>
      <c r="N1235" s="90" t="s">
        <v>1243</v>
      </c>
      <c r="O1235" s="25">
        <f t="shared" si="37"/>
        <v>-1.8239854081167906E-3</v>
      </c>
    </row>
    <row r="1236" spans="1:15">
      <c r="A1236" s="91">
        <v>382.00614787415287</v>
      </c>
      <c r="B1236" s="91">
        <v>383.00969106138763</v>
      </c>
      <c r="C1236" s="91">
        <v>379.33003270819353</v>
      </c>
      <c r="D1236" s="91">
        <v>382.15482093892837</v>
      </c>
      <c r="E1236" s="92">
        <v>3606839.2133414312</v>
      </c>
      <c r="F1236" s="90" t="s">
        <v>1244</v>
      </c>
      <c r="G1236" s="25">
        <f t="shared" si="36"/>
        <v>-3.8903883093821534E-4</v>
      </c>
      <c r="I1236" s="91">
        <v>322.4037376248254</v>
      </c>
      <c r="J1236" s="91">
        <v>329.2730044706326</v>
      </c>
      <c r="K1236" s="91">
        <v>322.03491792840617</v>
      </c>
      <c r="L1236" s="91">
        <v>328.95028723626581</v>
      </c>
      <c r="M1236" s="92">
        <v>633684.16131001012</v>
      </c>
      <c r="N1236" s="90" t="s">
        <v>1244</v>
      </c>
      <c r="O1236" s="25">
        <f t="shared" si="37"/>
        <v>-1.9901334230294832E-2</v>
      </c>
    </row>
    <row r="1237" spans="1:15">
      <c r="A1237" s="91">
        <v>382.66588459909423</v>
      </c>
      <c r="B1237" s="91">
        <v>383.07269127258627</v>
      </c>
      <c r="C1237" s="91">
        <v>378.83755318112458</v>
      </c>
      <c r="D1237" s="91">
        <v>379.85038843490787</v>
      </c>
      <c r="E1237" s="92">
        <v>4187858.5131751071</v>
      </c>
      <c r="F1237" s="90" t="s">
        <v>1245</v>
      </c>
      <c r="G1237" s="25">
        <f t="shared" si="36"/>
        <v>7.4121186917486259E-3</v>
      </c>
      <c r="I1237" s="91">
        <v>328.00979701039688</v>
      </c>
      <c r="J1237" s="91">
        <v>329.35598890232689</v>
      </c>
      <c r="K1237" s="91">
        <v>324.03115453527499</v>
      </c>
      <c r="L1237" s="91">
        <v>324.57055334128802</v>
      </c>
      <c r="M1237" s="92">
        <v>663233.55931074347</v>
      </c>
      <c r="N1237" s="90" t="s">
        <v>1245</v>
      </c>
      <c r="O1237" s="25">
        <f t="shared" si="37"/>
        <v>1.059628987812844E-2</v>
      </c>
    </row>
    <row r="1238" spans="1:15">
      <c r="A1238" s="91">
        <v>379.49728990606599</v>
      </c>
      <c r="B1238" s="91">
        <v>383.0003989948392</v>
      </c>
      <c r="C1238" s="91">
        <v>378.64241978360673</v>
      </c>
      <c r="D1238" s="91">
        <v>382.85172593006365</v>
      </c>
      <c r="E1238" s="92">
        <v>3936333.1944735511</v>
      </c>
      <c r="F1238" s="90" t="s">
        <v>1246</v>
      </c>
      <c r="G1238" s="25">
        <f t="shared" si="36"/>
        <v>-8.7617105965729358E-3</v>
      </c>
      <c r="I1238" s="91">
        <v>324.31237955379464</v>
      </c>
      <c r="J1238" s="91">
        <v>328.0835609496807</v>
      </c>
      <c r="K1238" s="91">
        <v>321.89670274717309</v>
      </c>
      <c r="L1238" s="91">
        <v>327.38280352648428</v>
      </c>
      <c r="M1238" s="92">
        <v>920371.6702109084</v>
      </c>
      <c r="N1238" s="90" t="s">
        <v>1246</v>
      </c>
      <c r="O1238" s="25">
        <f t="shared" si="37"/>
        <v>-9.3786965583281257E-3</v>
      </c>
    </row>
    <row r="1239" spans="1:15">
      <c r="A1239" s="91">
        <v>381.4765000808901</v>
      </c>
      <c r="B1239" s="91">
        <v>383.4928785219081</v>
      </c>
      <c r="C1239" s="91">
        <v>379.40436924058127</v>
      </c>
      <c r="D1239" s="91">
        <v>383.31632925748715</v>
      </c>
      <c r="E1239" s="92">
        <v>5099339.2861356176</v>
      </c>
      <c r="F1239" s="90" t="s">
        <v>1247</v>
      </c>
      <c r="G1239" s="25">
        <f t="shared" si="36"/>
        <v>-4.7997672840104366E-3</v>
      </c>
      <c r="I1239" s="91">
        <v>326.12881655865908</v>
      </c>
      <c r="J1239" s="91">
        <v>329.67870613669368</v>
      </c>
      <c r="K1239" s="91">
        <v>322.4960347538543</v>
      </c>
      <c r="L1239" s="91">
        <v>328.00979701039688</v>
      </c>
      <c r="M1239" s="92">
        <v>702693.49092854746</v>
      </c>
      <c r="N1239" s="90" t="s">
        <v>1247</v>
      </c>
      <c r="O1239" s="25">
        <f t="shared" si="37"/>
        <v>-5.7345252150446946E-3</v>
      </c>
    </row>
    <row r="1240" spans="1:15">
      <c r="A1240" s="91">
        <v>380.58446169223697</v>
      </c>
      <c r="B1240" s="91">
        <v>385.71368242699248</v>
      </c>
      <c r="C1240" s="91">
        <v>380.43114259418724</v>
      </c>
      <c r="D1240" s="91">
        <v>385.33270769850515</v>
      </c>
      <c r="E1240" s="92">
        <v>4342961.7932132054</v>
      </c>
      <c r="F1240" s="90" t="s">
        <v>1248</v>
      </c>
      <c r="G1240" s="25">
        <f t="shared" si="36"/>
        <v>-1.2322457739516235E-2</v>
      </c>
      <c r="I1240" s="91">
        <v>326.49763625507825</v>
      </c>
      <c r="J1240" s="91">
        <v>330.19505371168054</v>
      </c>
      <c r="K1240" s="91">
        <v>325.35429519617878</v>
      </c>
      <c r="L1240" s="91">
        <v>329.95532090900809</v>
      </c>
      <c r="M1240" s="92">
        <v>725886.39543730777</v>
      </c>
      <c r="N1240" s="90" t="s">
        <v>1248</v>
      </c>
      <c r="O1240" s="25">
        <f t="shared" si="37"/>
        <v>-1.0479251082856078E-2</v>
      </c>
    </row>
    <row r="1241" spans="1:15">
      <c r="A1241" s="91">
        <v>383.54863092119888</v>
      </c>
      <c r="B1241" s="91">
        <v>386.61501288219404</v>
      </c>
      <c r="C1241" s="91">
        <v>383.36278959022951</v>
      </c>
      <c r="D1241" s="91">
        <v>385.00748536930871</v>
      </c>
      <c r="E1241" s="92">
        <v>4184030.5164841176</v>
      </c>
      <c r="F1241" s="90" t="s">
        <v>1249</v>
      </c>
      <c r="G1241" s="25">
        <f t="shared" si="36"/>
        <v>-3.7891586619684947E-3</v>
      </c>
      <c r="I1241" s="91">
        <v>328.96872822108674</v>
      </c>
      <c r="J1241" s="91">
        <v>333.58819491873697</v>
      </c>
      <c r="K1241" s="91">
        <v>328.89496428180291</v>
      </c>
      <c r="L1241" s="91">
        <v>332.24200302680697</v>
      </c>
      <c r="M1241" s="92">
        <v>1365765.4536635694</v>
      </c>
      <c r="N1241" s="90" t="s">
        <v>1249</v>
      </c>
      <c r="O1241" s="25">
        <f t="shared" si="37"/>
        <v>-9.8520800377432938E-3</v>
      </c>
    </row>
    <row r="1242" spans="1:15">
      <c r="A1242" s="91">
        <v>385.27695529921436</v>
      </c>
      <c r="B1242" s="91">
        <v>385.86235549176797</v>
      </c>
      <c r="C1242" s="91">
        <v>383.4585907963442</v>
      </c>
      <c r="D1242" s="91">
        <v>385.1840346337296</v>
      </c>
      <c r="E1242" s="92">
        <v>4318311.732991918</v>
      </c>
      <c r="F1242" s="90" t="s">
        <v>1250</v>
      </c>
      <c r="G1242" s="25">
        <f t="shared" si="36"/>
        <v>2.4123706366263598E-4</v>
      </c>
      <c r="I1242" s="91">
        <v>332.30654647368027</v>
      </c>
      <c r="J1242" s="91">
        <v>334.23362938747056</v>
      </c>
      <c r="K1242" s="91">
        <v>330.45322749917392</v>
      </c>
      <c r="L1242" s="91">
        <v>330.80360621077216</v>
      </c>
      <c r="M1242" s="92">
        <v>607624.81552855147</v>
      </c>
      <c r="N1242" s="90" t="s">
        <v>1250</v>
      </c>
      <c r="O1242" s="25">
        <f t="shared" si="37"/>
        <v>4.5433007219108923E-3</v>
      </c>
    </row>
    <row r="1243" spans="1:15">
      <c r="A1243" s="91">
        <v>385.6486379611531</v>
      </c>
      <c r="B1243" s="91">
        <v>386.81943834626037</v>
      </c>
      <c r="C1243" s="91">
        <v>385.08182190169651</v>
      </c>
      <c r="D1243" s="91">
        <v>386.8008542131634</v>
      </c>
      <c r="E1243" s="92">
        <v>3812382.2957157679</v>
      </c>
      <c r="F1243" s="90" t="s">
        <v>1251</v>
      </c>
      <c r="G1243" s="25">
        <f t="shared" si="36"/>
        <v>-2.9788358517308655E-3</v>
      </c>
      <c r="I1243" s="91">
        <v>330.90503162728743</v>
      </c>
      <c r="J1243" s="91">
        <v>337.02282834164055</v>
      </c>
      <c r="K1243" s="91">
        <v>330.62057943642418</v>
      </c>
      <c r="L1243" s="91">
        <v>335.20178109057088</v>
      </c>
      <c r="M1243" s="92">
        <v>942651.39138572547</v>
      </c>
      <c r="N1243" s="90" t="s">
        <v>1251</v>
      </c>
      <c r="O1243" s="25">
        <f t="shared" si="37"/>
        <v>-1.2818396875171945E-2</v>
      </c>
    </row>
    <row r="1244" spans="1:15">
      <c r="A1244" s="91">
        <v>387.07961620961754</v>
      </c>
      <c r="B1244" s="91">
        <v>387.53427702583417</v>
      </c>
      <c r="C1244" s="91">
        <v>385.76943482628326</v>
      </c>
      <c r="D1244" s="91">
        <v>386.15970162131896</v>
      </c>
      <c r="E1244" s="92">
        <v>4029242.5591984675</v>
      </c>
      <c r="F1244" s="90" t="s">
        <v>1252</v>
      </c>
      <c r="G1244" s="25">
        <f t="shared" si="36"/>
        <v>2.3822128110111418E-3</v>
      </c>
      <c r="I1244" s="91">
        <v>337.40547877667547</v>
      </c>
      <c r="J1244" s="91">
        <v>339.56307400072762</v>
      </c>
      <c r="K1244" s="91">
        <v>336.94445415615149</v>
      </c>
      <c r="L1244" s="91">
        <v>339.09282888779319</v>
      </c>
      <c r="M1244" s="92">
        <v>411577.80203656806</v>
      </c>
      <c r="N1244" s="90" t="s">
        <v>1252</v>
      </c>
      <c r="O1244" s="25">
        <f t="shared" si="37"/>
        <v>-4.9760713508809618E-3</v>
      </c>
    </row>
    <row r="1245" spans="1:15">
      <c r="A1245" s="91">
        <v>387.22828927439309</v>
      </c>
      <c r="B1245" s="91">
        <v>387.88802599933445</v>
      </c>
      <c r="C1245" s="91">
        <v>386.08071905565703</v>
      </c>
      <c r="D1245" s="91">
        <v>387.29333374023236</v>
      </c>
      <c r="E1245" s="92">
        <v>3053059.2793344748</v>
      </c>
      <c r="F1245" s="90" t="s">
        <v>1253</v>
      </c>
      <c r="G1245" s="25">
        <f t="shared" si="36"/>
        <v>-1.6794625719762646E-4</v>
      </c>
      <c r="I1245" s="91">
        <v>339.59073547795913</v>
      </c>
      <c r="J1245" s="91">
        <v>339.68294040206388</v>
      </c>
      <c r="K1245" s="91">
        <v>336.54797298250088</v>
      </c>
      <c r="L1245" s="91">
        <v>336.54797298250088</v>
      </c>
      <c r="M1245" s="92">
        <v>721830.21293261927</v>
      </c>
      <c r="N1245" s="90" t="s">
        <v>1253</v>
      </c>
      <c r="O1245" s="25">
        <f t="shared" si="37"/>
        <v>9.0410958904110217E-3</v>
      </c>
    </row>
    <row r="1246" spans="1:15">
      <c r="A1246" s="91">
        <v>386.07607302238279</v>
      </c>
      <c r="B1246" s="91">
        <v>387.09820034271445</v>
      </c>
      <c r="C1246" s="91">
        <v>385.76943482628326</v>
      </c>
      <c r="D1246" s="91">
        <v>386.59642874909713</v>
      </c>
      <c r="E1246" s="92">
        <v>3504462.6327349748</v>
      </c>
      <c r="F1246" s="90" t="s">
        <v>1254</v>
      </c>
      <c r="G1246" s="25">
        <f t="shared" si="36"/>
        <v>-1.345992068261026E-3</v>
      </c>
      <c r="I1246" s="91">
        <v>336.52953199767995</v>
      </c>
      <c r="J1246" s="91">
        <v>339.21269528912944</v>
      </c>
      <c r="K1246" s="91">
        <v>336.17915328608171</v>
      </c>
      <c r="L1246" s="91">
        <v>339.21269528912944</v>
      </c>
      <c r="M1246" s="92">
        <v>551320.8811085237</v>
      </c>
      <c r="N1246" s="90" t="s">
        <v>1254</v>
      </c>
      <c r="O1246" s="25">
        <f t="shared" si="37"/>
        <v>-7.9099730897821408E-3</v>
      </c>
    </row>
    <row r="1247" spans="1:15">
      <c r="A1247" s="91">
        <v>385.66722209425012</v>
      </c>
      <c r="B1247" s="91">
        <v>386.56855254945168</v>
      </c>
      <c r="C1247" s="91">
        <v>385.23049496647201</v>
      </c>
      <c r="D1247" s="91">
        <v>386.23403815370676</v>
      </c>
      <c r="E1247" s="92">
        <v>6524830.5835672859</v>
      </c>
      <c r="F1247" s="90" t="s">
        <v>1255</v>
      </c>
      <c r="G1247" s="25">
        <f t="shared" si="36"/>
        <v>-1.4675455901457246E-3</v>
      </c>
      <c r="I1247" s="91">
        <v>339.03750593333035</v>
      </c>
      <c r="J1247" s="91">
        <v>339.23113627395043</v>
      </c>
      <c r="K1247" s="91">
        <v>335.75040038899442</v>
      </c>
      <c r="L1247" s="91">
        <v>338.73322968378454</v>
      </c>
      <c r="M1247" s="92">
        <v>848392.86794589052</v>
      </c>
      <c r="N1247" s="90" t="s">
        <v>1255</v>
      </c>
      <c r="O1247" s="25">
        <f t="shared" si="37"/>
        <v>8.9827694150312887E-4</v>
      </c>
    </row>
    <row r="1248" spans="1:15">
      <c r="A1248" s="91">
        <v>386.32695881919147</v>
      </c>
      <c r="B1248" s="91">
        <v>387.07032414306906</v>
      </c>
      <c r="C1248" s="91">
        <v>385.05394570205107</v>
      </c>
      <c r="D1248" s="91">
        <v>385.30483149885976</v>
      </c>
      <c r="E1248" s="92">
        <v>3026006.0938359927</v>
      </c>
      <c r="F1248" s="90" t="s">
        <v>1256</v>
      </c>
      <c r="G1248" s="25">
        <f t="shared" ref="G1248:G1311" si="38">A1248/D1248-1</f>
        <v>2.6527757680991915E-3</v>
      </c>
      <c r="I1248" s="91">
        <v>338.96374199404653</v>
      </c>
      <c r="J1248" s="91">
        <v>340.51278471900707</v>
      </c>
      <c r="K1248" s="91">
        <v>335.54293930975865</v>
      </c>
      <c r="L1248" s="91">
        <v>336.31746067223889</v>
      </c>
      <c r="M1248" s="92">
        <v>586946.96108085325</v>
      </c>
      <c r="N1248" s="90" t="s">
        <v>1256</v>
      </c>
      <c r="O1248" s="25">
        <f t="shared" ref="O1248:O1311" si="39">I1248/L1248-1</f>
        <v>7.8684030157643026E-3</v>
      </c>
    </row>
    <row r="1249" spans="1:15">
      <c r="A1249" s="91">
        <v>384.56146617498217</v>
      </c>
      <c r="B1249" s="91">
        <v>384.99819330276023</v>
      </c>
      <c r="C1249" s="91">
        <v>381.92251927521664</v>
      </c>
      <c r="D1249" s="91">
        <v>381.98756374105591</v>
      </c>
      <c r="E1249" s="92">
        <v>4177972.66060175</v>
      </c>
      <c r="F1249" s="90" t="s">
        <v>1257</v>
      </c>
      <c r="G1249" s="25">
        <f t="shared" si="38"/>
        <v>6.7381838526845428E-3</v>
      </c>
      <c r="I1249" s="91">
        <v>336.40044510393318</v>
      </c>
      <c r="J1249" s="91">
        <v>339.73605043834829</v>
      </c>
      <c r="K1249" s="91">
        <v>335.21100158298134</v>
      </c>
      <c r="L1249" s="91">
        <v>338.47505589629105</v>
      </c>
      <c r="M1249" s="92">
        <v>600743.40430067747</v>
      </c>
      <c r="N1249" s="90" t="s">
        <v>1257</v>
      </c>
      <c r="O1249" s="25">
        <f t="shared" si="39"/>
        <v>-6.1292870958075119E-3</v>
      </c>
    </row>
    <row r="1250" spans="1:15">
      <c r="A1250" s="91">
        <v>381.17915395133906</v>
      </c>
      <c r="B1250" s="91">
        <v>383.44641818916574</v>
      </c>
      <c r="C1250" s="91">
        <v>381.1605698182421</v>
      </c>
      <c r="D1250" s="91">
        <v>383.21411652545402</v>
      </c>
      <c r="E1250" s="92">
        <v>5066215.3305123467</v>
      </c>
      <c r="F1250" s="90" t="s">
        <v>1258</v>
      </c>
      <c r="G1250" s="25">
        <f t="shared" si="38"/>
        <v>-5.3102495089838442E-3</v>
      </c>
      <c r="I1250" s="91">
        <v>336.72316235244421</v>
      </c>
      <c r="J1250" s="91">
        <v>336.97747666145182</v>
      </c>
      <c r="K1250" s="91">
        <v>331.23291120491552</v>
      </c>
      <c r="L1250" s="91">
        <v>332.47234917300312</v>
      </c>
      <c r="M1250" s="92">
        <v>805623.81959356437</v>
      </c>
      <c r="N1250" s="90" t="s">
        <v>1258</v>
      </c>
      <c r="O1250" s="25">
        <f t="shared" si="39"/>
        <v>1.2785463783724138E-2</v>
      </c>
    </row>
    <row r="1251" spans="1:15">
      <c r="A1251" s="91">
        <v>383.41854198952035</v>
      </c>
      <c r="B1251" s="91">
        <v>383.9574818493316</v>
      </c>
      <c r="C1251" s="91">
        <v>382.52650360086722</v>
      </c>
      <c r="D1251" s="91">
        <v>382.88889419625752</v>
      </c>
      <c r="E1251" s="92">
        <v>3509888.7669255766</v>
      </c>
      <c r="F1251" s="90" t="s">
        <v>1259</v>
      </c>
      <c r="G1251" s="25">
        <f t="shared" si="38"/>
        <v>1.3832936950930463E-3</v>
      </c>
      <c r="I1251" s="91">
        <v>332.95894333825231</v>
      </c>
      <c r="J1251" s="91">
        <v>334.5747113975392</v>
      </c>
      <c r="K1251" s="91">
        <v>332.04084113966894</v>
      </c>
      <c r="L1251" s="91">
        <v>333.22519297584148</v>
      </c>
      <c r="M1251" s="92">
        <v>453812.22334820114</v>
      </c>
      <c r="N1251" s="90" t="s">
        <v>1259</v>
      </c>
      <c r="O1251" s="25">
        <f t="shared" si="39"/>
        <v>-7.9900812784128306E-4</v>
      </c>
    </row>
    <row r="1252" spans="1:15">
      <c r="A1252" s="91">
        <v>382.71234493183658</v>
      </c>
      <c r="B1252" s="91">
        <v>383.16765619271166</v>
      </c>
      <c r="C1252" s="91">
        <v>382.22915747131617</v>
      </c>
      <c r="D1252" s="91">
        <v>382.74022113148197</v>
      </c>
      <c r="E1252" s="92">
        <v>3235541.8294921881</v>
      </c>
      <c r="F1252" s="90" t="s">
        <v>1260</v>
      </c>
      <c r="G1252" s="25">
        <f t="shared" si="38"/>
        <v>-7.2833211944622889E-5</v>
      </c>
      <c r="I1252" s="91">
        <v>333.05993458009647</v>
      </c>
      <c r="J1252" s="91">
        <v>334.60234627371659</v>
      </c>
      <c r="K1252" s="91">
        <v>332.60088348080478</v>
      </c>
      <c r="L1252" s="91">
        <v>334.60234627371659</v>
      </c>
      <c r="M1252" s="92">
        <v>347206.44443707471</v>
      </c>
      <c r="N1252" s="90" t="s">
        <v>1260</v>
      </c>
      <c r="O1252" s="25">
        <f t="shared" si="39"/>
        <v>-4.6096858279600639E-3</v>
      </c>
    </row>
    <row r="1253" spans="1:15">
      <c r="A1253" s="91">
        <v>382.10836060618607</v>
      </c>
      <c r="B1253" s="91">
        <v>382.90747832935449</v>
      </c>
      <c r="C1253" s="91">
        <v>380.25923936304054</v>
      </c>
      <c r="D1253" s="91">
        <v>380.27782349613744</v>
      </c>
      <c r="E1253" s="92">
        <v>3507721.3265725677</v>
      </c>
      <c r="F1253" s="90" t="s">
        <v>1261</v>
      </c>
      <c r="G1253" s="25">
        <f t="shared" si="38"/>
        <v>4.8136835675016698E-3</v>
      </c>
      <c r="I1253" s="91">
        <v>333.19764990988403</v>
      </c>
      <c r="J1253" s="91">
        <v>335.26337985669664</v>
      </c>
      <c r="K1253" s="91">
        <v>332.95894333825231</v>
      </c>
      <c r="L1253" s="91">
        <v>335.10730248293743</v>
      </c>
      <c r="M1253" s="92">
        <v>516731.14467213606</v>
      </c>
      <c r="N1253" s="90" t="s">
        <v>1261</v>
      </c>
      <c r="O1253" s="25">
        <f t="shared" si="39"/>
        <v>-5.698630136986127E-3</v>
      </c>
    </row>
    <row r="1254" spans="1:15">
      <c r="A1254" s="91">
        <v>378.75392458218835</v>
      </c>
      <c r="B1254" s="91">
        <v>379.04197864519097</v>
      </c>
      <c r="C1254" s="91">
        <v>375.64108228845089</v>
      </c>
      <c r="D1254" s="91">
        <v>376.03134908348665</v>
      </c>
      <c r="E1254" s="92">
        <v>3512212.2543745073</v>
      </c>
      <c r="F1254" s="90" t="s">
        <v>1262</v>
      </c>
      <c r="G1254" s="25">
        <f t="shared" si="38"/>
        <v>7.2402886231095476E-3</v>
      </c>
      <c r="I1254" s="91">
        <v>333.27109808577069</v>
      </c>
      <c r="J1254" s="91">
        <v>334.80432875740496</v>
      </c>
      <c r="K1254" s="91">
        <v>329.83739586306876</v>
      </c>
      <c r="L1254" s="91">
        <v>330.70959295172298</v>
      </c>
      <c r="M1254" s="92">
        <v>540241.5992090113</v>
      </c>
      <c r="N1254" s="90" t="s">
        <v>1262</v>
      </c>
      <c r="O1254" s="25">
        <f t="shared" si="39"/>
        <v>7.7454818022821836E-3</v>
      </c>
    </row>
    <row r="1255" spans="1:15">
      <c r="A1255" s="91">
        <v>375.78046328667796</v>
      </c>
      <c r="B1255" s="91">
        <v>376.83975887320355</v>
      </c>
      <c r="C1255" s="91">
        <v>372.5477533344652</v>
      </c>
      <c r="D1255" s="91">
        <v>372.69549719258583</v>
      </c>
      <c r="E1255" s="92">
        <v>5925180.3366674269</v>
      </c>
      <c r="F1255" s="90" t="s">
        <v>1263</v>
      </c>
      <c r="G1255" s="25">
        <f t="shared" si="38"/>
        <v>8.2774439651949194E-3</v>
      </c>
      <c r="I1255" s="91">
        <v>331.51752288647634</v>
      </c>
      <c r="J1255" s="91">
        <v>335.10730248293743</v>
      </c>
      <c r="K1255" s="91">
        <v>330.40202871519756</v>
      </c>
      <c r="L1255" s="91">
        <v>332.49071121697477</v>
      </c>
      <c r="M1255" s="92">
        <v>509885.50155125296</v>
      </c>
      <c r="N1255" s="90" t="s">
        <v>1263</v>
      </c>
      <c r="O1255" s="25">
        <f t="shared" si="39"/>
        <v>-2.9269639652078627E-3</v>
      </c>
    </row>
    <row r="1256" spans="1:15">
      <c r="A1256" s="91">
        <v>375.25081549341513</v>
      </c>
      <c r="B1256" s="91">
        <v>379.81322016871394</v>
      </c>
      <c r="C1256" s="91">
        <v>374.97205349696105</v>
      </c>
      <c r="D1256" s="91">
        <v>378.39153398679804</v>
      </c>
      <c r="E1256" s="92">
        <v>5249937.6479424872</v>
      </c>
      <c r="F1256" s="90" t="s">
        <v>1264</v>
      </c>
      <c r="G1256" s="25">
        <f t="shared" si="38"/>
        <v>-8.3001817199548356E-3</v>
      </c>
      <c r="I1256" s="91">
        <v>333.41799443754405</v>
      </c>
      <c r="J1256" s="91">
        <v>337.43010104535341</v>
      </c>
      <c r="K1256" s="91">
        <v>333.29864115172813</v>
      </c>
      <c r="L1256" s="91">
        <v>336.50281782478419</v>
      </c>
      <c r="M1256" s="92">
        <v>448474.03767828102</v>
      </c>
      <c r="N1256" s="90" t="s">
        <v>1264</v>
      </c>
      <c r="O1256" s="25">
        <f t="shared" si="39"/>
        <v>-9.1673032849501901E-3</v>
      </c>
    </row>
    <row r="1257" spans="1:15">
      <c r="A1257" s="91">
        <v>379.33003270819353</v>
      </c>
      <c r="B1257" s="91">
        <v>380.09198216516808</v>
      </c>
      <c r="C1257" s="91">
        <v>376.61674927604025</v>
      </c>
      <c r="D1257" s="91">
        <v>379.49728990606599</v>
      </c>
      <c r="E1257" s="92">
        <v>5581375.2225589836</v>
      </c>
      <c r="F1257" s="90" t="s">
        <v>1265</v>
      </c>
      <c r="G1257" s="25">
        <f t="shared" si="38"/>
        <v>-4.4073357655294298E-4</v>
      </c>
      <c r="I1257" s="91">
        <v>338.44001346379514</v>
      </c>
      <c r="J1257" s="91">
        <v>341.31367334536117</v>
      </c>
      <c r="K1257" s="91">
        <v>335.94277548364835</v>
      </c>
      <c r="L1257" s="91">
        <v>338.80725434322846</v>
      </c>
      <c r="M1257" s="92">
        <v>1007184.1690683095</v>
      </c>
      <c r="N1257" s="90" t="s">
        <v>1265</v>
      </c>
      <c r="O1257" s="25">
        <f t="shared" si="39"/>
        <v>-1.0839227163101928E-3</v>
      </c>
    </row>
    <row r="1258" spans="1:15">
      <c r="A1258" s="91">
        <v>381.8481827428289</v>
      </c>
      <c r="B1258" s="91">
        <v>381.91322720866816</v>
      </c>
      <c r="C1258" s="91">
        <v>378.32648952095872</v>
      </c>
      <c r="D1258" s="91">
        <v>379.77605190252007</v>
      </c>
      <c r="E1258" s="92">
        <v>3643062.5871457676</v>
      </c>
      <c r="F1258" s="90" t="s">
        <v>1266</v>
      </c>
      <c r="G1258" s="25">
        <f t="shared" si="38"/>
        <v>5.4561914315773841E-3</v>
      </c>
      <c r="I1258" s="91">
        <v>338.43083244180934</v>
      </c>
      <c r="J1258" s="91">
        <v>338.61445288152601</v>
      </c>
      <c r="K1258" s="91">
        <v>330.10364550065799</v>
      </c>
      <c r="L1258" s="91">
        <v>332.77532289853559</v>
      </c>
      <c r="M1258" s="92">
        <v>741006.83023057505</v>
      </c>
      <c r="N1258" s="90" t="s">
        <v>1266</v>
      </c>
      <c r="O1258" s="25">
        <f t="shared" si="39"/>
        <v>1.6994978756276868E-2</v>
      </c>
    </row>
    <row r="1259" spans="1:15">
      <c r="A1259" s="91">
        <v>380.9375602210788</v>
      </c>
      <c r="B1259" s="91">
        <v>380.9375602210788</v>
      </c>
      <c r="C1259" s="91">
        <v>380.21277903029818</v>
      </c>
      <c r="D1259" s="91">
        <v>380.64021409152775</v>
      </c>
      <c r="E1259" s="92">
        <v>2425493.8212545244</v>
      </c>
      <c r="F1259" s="90" t="s">
        <v>1267</v>
      </c>
      <c r="G1259" s="25">
        <f t="shared" si="38"/>
        <v>7.8117371350461262E-4</v>
      </c>
      <c r="I1259" s="91">
        <v>333.37208932761484</v>
      </c>
      <c r="J1259" s="91">
        <v>335.3919141644983</v>
      </c>
      <c r="K1259" s="91">
        <v>333.02321049215317</v>
      </c>
      <c r="L1259" s="91">
        <v>334.07902802052405</v>
      </c>
      <c r="M1259" s="92">
        <v>405304.55168733763</v>
      </c>
      <c r="N1259" s="90" t="s">
        <v>1267</v>
      </c>
      <c r="O1259" s="25">
        <f t="shared" si="39"/>
        <v>-2.1160822249093325E-3</v>
      </c>
    </row>
    <row r="1260" spans="1:15">
      <c r="A1260" s="91">
        <v>380.18490283065273</v>
      </c>
      <c r="B1260" s="91">
        <v>380.35216002852519</v>
      </c>
      <c r="C1260" s="91">
        <v>378.15923232308631</v>
      </c>
      <c r="D1260" s="91">
        <v>378.9490579797062</v>
      </c>
      <c r="E1260" s="92">
        <v>2497241.0473987204</v>
      </c>
      <c r="F1260" s="90" t="s">
        <v>1268</v>
      </c>
      <c r="G1260" s="25">
        <f t="shared" si="38"/>
        <v>3.261242705115075E-3</v>
      </c>
      <c r="I1260" s="91">
        <v>334.0606659765524</v>
      </c>
      <c r="J1260" s="91">
        <v>337.26484264960845</v>
      </c>
      <c r="K1260" s="91">
        <v>331.43489368860389</v>
      </c>
      <c r="L1260" s="91">
        <v>337.26484264960845</v>
      </c>
      <c r="M1260" s="92">
        <v>621276.15082515415</v>
      </c>
      <c r="N1260" s="90" t="s">
        <v>1268</v>
      </c>
      <c r="O1260" s="25">
        <f t="shared" si="39"/>
        <v>-9.500476384919132E-3</v>
      </c>
    </row>
    <row r="1261" spans="1:15">
      <c r="A1261" s="91">
        <v>379.07914691138478</v>
      </c>
      <c r="B1261" s="91">
        <v>379.18135964341798</v>
      </c>
      <c r="C1261" s="91">
        <v>378.10347992379548</v>
      </c>
      <c r="D1261" s="91">
        <v>379.11631517757871</v>
      </c>
      <c r="E1261" s="92">
        <v>3825230.8907379005</v>
      </c>
      <c r="F1261" s="90" t="s">
        <v>1269</v>
      </c>
      <c r="G1261" s="25">
        <f t="shared" si="38"/>
        <v>-9.8039215686407388E-5</v>
      </c>
      <c r="I1261" s="91">
        <v>336.11721490137921</v>
      </c>
      <c r="J1261" s="91">
        <v>337.2281185616651</v>
      </c>
      <c r="K1261" s="91">
        <v>332.57793092584023</v>
      </c>
      <c r="L1261" s="91">
        <v>334.0055798446374</v>
      </c>
      <c r="M1261" s="92">
        <v>360747.42061508872</v>
      </c>
      <c r="N1261" s="90" t="s">
        <v>1269</v>
      </c>
      <c r="O1261" s="25">
        <f t="shared" si="39"/>
        <v>6.3221550302363649E-3</v>
      </c>
    </row>
    <row r="1262" spans="1:15">
      <c r="A1262" s="91">
        <v>378.16852438963474</v>
      </c>
      <c r="B1262" s="91">
        <v>378.80967698147919</v>
      </c>
      <c r="C1262" s="91">
        <v>377.47161939849951</v>
      </c>
      <c r="D1262" s="91">
        <v>378.10347992379548</v>
      </c>
      <c r="E1262" s="92">
        <v>2583634.1006353199</v>
      </c>
      <c r="F1262" s="90" t="s">
        <v>1270</v>
      </c>
      <c r="G1262" s="25">
        <f t="shared" si="38"/>
        <v>1.7202821262674028E-4</v>
      </c>
      <c r="I1262" s="91">
        <v>332.97730538222396</v>
      </c>
      <c r="J1262" s="91">
        <v>333.29864115172813</v>
      </c>
      <c r="K1262" s="91">
        <v>329.47933600562129</v>
      </c>
      <c r="L1262" s="91">
        <v>330.71877397370889</v>
      </c>
      <c r="M1262" s="92">
        <v>699912.27664142684</v>
      </c>
      <c r="N1262" s="90" t="s">
        <v>1270</v>
      </c>
      <c r="O1262" s="25">
        <f t="shared" si="39"/>
        <v>6.8291599578034212E-3</v>
      </c>
    </row>
    <row r="1263" spans="1:15">
      <c r="A1263" s="91">
        <v>377.69462899566281</v>
      </c>
      <c r="B1263" s="91">
        <v>378.23282549015016</v>
      </c>
      <c r="C1263" s="91">
        <v>376.96984780488208</v>
      </c>
      <c r="D1263" s="91">
        <v>377.95480685901993</v>
      </c>
      <c r="E1263" s="92">
        <v>2135568.0027138074</v>
      </c>
      <c r="F1263" s="90" t="s">
        <v>1271</v>
      </c>
      <c r="G1263" s="25">
        <f t="shared" si="38"/>
        <v>-6.8838352796540825E-4</v>
      </c>
      <c r="I1263" s="91">
        <v>331.42571266661804</v>
      </c>
      <c r="J1263" s="91">
        <v>332.09592727158395</v>
      </c>
      <c r="K1263" s="91">
        <v>330.24136083044544</v>
      </c>
      <c r="L1263" s="91">
        <v>332.09592727158395</v>
      </c>
      <c r="M1263" s="92">
        <v>388256.34068844159</v>
      </c>
      <c r="N1263" s="90" t="s">
        <v>1271</v>
      </c>
      <c r="O1263" s="25">
        <f t="shared" si="39"/>
        <v>-2.0181355744776086E-3</v>
      </c>
    </row>
    <row r="1264" spans="1:15">
      <c r="A1264" s="91">
        <v>378.05701959105312</v>
      </c>
      <c r="B1264" s="91">
        <v>378.35436572060416</v>
      </c>
      <c r="C1264" s="91">
        <v>377.41586699920867</v>
      </c>
      <c r="D1264" s="91">
        <v>377.66675279601736</v>
      </c>
      <c r="E1264" s="92">
        <v>2676393.8753855252</v>
      </c>
      <c r="F1264" s="90" t="s">
        <v>1272</v>
      </c>
      <c r="G1264" s="25">
        <f t="shared" si="38"/>
        <v>1.0333628579863863E-3</v>
      </c>
      <c r="I1264" s="91">
        <v>332.45398712903147</v>
      </c>
      <c r="J1264" s="91">
        <v>333.24355501981319</v>
      </c>
      <c r="K1264" s="91">
        <v>330.38825718221881</v>
      </c>
      <c r="L1264" s="91">
        <v>330.38825718221881</v>
      </c>
      <c r="M1264" s="92">
        <v>393324.40392495214</v>
      </c>
      <c r="N1264" s="90" t="s">
        <v>1272</v>
      </c>
      <c r="O1264" s="25">
        <f t="shared" si="39"/>
        <v>6.2524315011394105E-3</v>
      </c>
    </row>
    <row r="1265" spans="1:15">
      <c r="A1265" s="91">
        <v>377.40657493266025</v>
      </c>
      <c r="B1265" s="91">
        <v>377.43445113230558</v>
      </c>
      <c r="C1265" s="91">
        <v>375.75258708703251</v>
      </c>
      <c r="D1265" s="91">
        <v>376.04993321658355</v>
      </c>
      <c r="E1265" s="92">
        <v>3285411.2527881609</v>
      </c>
      <c r="F1265" s="90" t="s">
        <v>1273</v>
      </c>
      <c r="G1265" s="25">
        <f t="shared" si="38"/>
        <v>3.6076105757352206E-3</v>
      </c>
      <c r="I1265" s="91">
        <v>329.34162067583378</v>
      </c>
      <c r="J1265" s="91">
        <v>329.97511119285633</v>
      </c>
      <c r="K1265" s="91">
        <v>327.7624848942703</v>
      </c>
      <c r="L1265" s="91">
        <v>329.27735352193292</v>
      </c>
      <c r="M1265" s="92">
        <v>382663.28143215925</v>
      </c>
      <c r="N1265" s="90" t="s">
        <v>1273</v>
      </c>
      <c r="O1265" s="25">
        <f t="shared" si="39"/>
        <v>1.9517635577859238E-4</v>
      </c>
    </row>
    <row r="1266" spans="1:15">
      <c r="A1266" s="91">
        <v>375.06497416244571</v>
      </c>
      <c r="B1266" s="91">
        <v>376.1986062813591</v>
      </c>
      <c r="C1266" s="91">
        <v>374.78621216599163</v>
      </c>
      <c r="D1266" s="91">
        <v>375.68754262119324</v>
      </c>
      <c r="E1266" s="92">
        <v>4175837.5058547934</v>
      </c>
      <c r="F1266" s="90" t="s">
        <v>1274</v>
      </c>
      <c r="G1266" s="25">
        <f t="shared" si="38"/>
        <v>-1.6571442704855777E-3</v>
      </c>
      <c r="I1266" s="91">
        <v>327.99201044391617</v>
      </c>
      <c r="J1266" s="91">
        <v>334.18920028435406</v>
      </c>
      <c r="K1266" s="91">
        <v>327.31261481696447</v>
      </c>
      <c r="L1266" s="91">
        <v>333.13338275598318</v>
      </c>
      <c r="M1266" s="92">
        <v>699138.94225545588</v>
      </c>
      <c r="N1266" s="90" t="s">
        <v>1274</v>
      </c>
      <c r="O1266" s="25">
        <f t="shared" si="39"/>
        <v>-1.5433374672729872E-2</v>
      </c>
    </row>
    <row r="1267" spans="1:15">
      <c r="A1267" s="91">
        <v>376.86763507284894</v>
      </c>
      <c r="B1267" s="91">
        <v>376.94197160523674</v>
      </c>
      <c r="C1267" s="91">
        <v>372.53753206126191</v>
      </c>
      <c r="D1267" s="91">
        <v>374.54461843573142</v>
      </c>
      <c r="E1267" s="92">
        <v>4444251.4250825522</v>
      </c>
      <c r="F1267" s="90" t="s">
        <v>1275</v>
      </c>
      <c r="G1267" s="25">
        <f t="shared" si="38"/>
        <v>6.2022427309715855E-3</v>
      </c>
      <c r="I1267" s="91">
        <v>334.59316525173074</v>
      </c>
      <c r="J1267" s="91">
        <v>335.67193533506622</v>
      </c>
      <c r="K1267" s="91">
        <v>329.28653454391878</v>
      </c>
      <c r="L1267" s="91">
        <v>331.75622945810807</v>
      </c>
      <c r="M1267" s="92">
        <v>725624.01116991777</v>
      </c>
      <c r="N1267" s="90" t="s">
        <v>1275</v>
      </c>
      <c r="O1267" s="25">
        <f t="shared" si="39"/>
        <v>8.5512660855127098E-3</v>
      </c>
    </row>
    <row r="1268" spans="1:15">
      <c r="A1268" s="91">
        <v>373.84771344459614</v>
      </c>
      <c r="B1268" s="91">
        <v>376.66320960878261</v>
      </c>
      <c r="C1268" s="91">
        <v>373.48532284920583</v>
      </c>
      <c r="D1268" s="91">
        <v>376.1242697489713</v>
      </c>
      <c r="E1268" s="92">
        <v>6257741.4503745595</v>
      </c>
      <c r="F1268" s="90" t="s">
        <v>1276</v>
      </c>
      <c r="G1268" s="25">
        <f t="shared" si="38"/>
        <v>-6.0526705864913932E-3</v>
      </c>
      <c r="I1268" s="91">
        <v>332.2060995354139</v>
      </c>
      <c r="J1268" s="91">
        <v>337.27402367159425</v>
      </c>
      <c r="K1268" s="91">
        <v>332.08674624959809</v>
      </c>
      <c r="L1268" s="91">
        <v>334.02394188860904</v>
      </c>
      <c r="M1268" s="92">
        <v>432089.15152594307</v>
      </c>
      <c r="N1268" s="90" t="s">
        <v>1276</v>
      </c>
      <c r="O1268" s="25">
        <f t="shared" si="39"/>
        <v>-5.4422516629103468E-3</v>
      </c>
    </row>
    <row r="1269" spans="1:15">
      <c r="A1269" s="91">
        <v>374.60966290157069</v>
      </c>
      <c r="B1269" s="91">
        <v>375.89196808525958</v>
      </c>
      <c r="C1269" s="91">
        <v>373.97752361427825</v>
      </c>
      <c r="D1269" s="91">
        <v>374.08930717485634</v>
      </c>
      <c r="E1269" s="92">
        <v>5600993.0329835135</v>
      </c>
      <c r="F1269" s="90" t="s">
        <v>1277</v>
      </c>
      <c r="G1269" s="25">
        <f t="shared" si="38"/>
        <v>1.3909933182643108E-3</v>
      </c>
      <c r="I1269" s="91">
        <v>333.28946012974234</v>
      </c>
      <c r="J1269" s="91">
        <v>336.37428351698253</v>
      </c>
      <c r="K1269" s="91">
        <v>332.54579734888978</v>
      </c>
      <c r="L1269" s="91">
        <v>334.7676046694616</v>
      </c>
      <c r="M1269" s="92">
        <v>702823.71722410305</v>
      </c>
      <c r="N1269" s="90" t="s">
        <v>1277</v>
      </c>
      <c r="O1269" s="25">
        <f t="shared" si="39"/>
        <v>-4.415434824342479E-3</v>
      </c>
    </row>
    <row r="1270" spans="1:15">
      <c r="A1270" s="91">
        <v>376.44949207816779</v>
      </c>
      <c r="B1270" s="91">
        <v>377.3786987330148</v>
      </c>
      <c r="C1270" s="91">
        <v>375.72471088738712</v>
      </c>
      <c r="D1270" s="91">
        <v>375.7340029539356</v>
      </c>
      <c r="E1270" s="92">
        <v>2447462.0237996955</v>
      </c>
      <c r="F1270" s="90" t="s">
        <v>1278</v>
      </c>
      <c r="G1270" s="25">
        <f t="shared" si="38"/>
        <v>1.9042437431990855E-3</v>
      </c>
      <c r="I1270" s="91">
        <v>335.71324993400253</v>
      </c>
      <c r="J1270" s="91">
        <v>339.55091712408102</v>
      </c>
      <c r="K1270" s="91">
        <v>333.09206815704692</v>
      </c>
      <c r="L1270" s="91">
        <v>333.09206815704692</v>
      </c>
      <c r="M1270" s="92">
        <v>1106530.4075815543</v>
      </c>
      <c r="N1270" s="90" t="s">
        <v>1278</v>
      </c>
      <c r="O1270" s="25">
        <f t="shared" si="39"/>
        <v>7.8692410523559797E-3</v>
      </c>
    </row>
    <row r="1271" spans="1:15">
      <c r="A1271" s="91">
        <v>374.83267249873398</v>
      </c>
      <c r="B1271" s="91">
        <v>376.10568561587439</v>
      </c>
      <c r="C1271" s="91">
        <v>373.57824351469054</v>
      </c>
      <c r="D1271" s="91">
        <v>375.55745368951466</v>
      </c>
      <c r="E1271" s="92">
        <v>4050476.8022993724</v>
      </c>
      <c r="F1271" s="90" t="s">
        <v>1279</v>
      </c>
      <c r="G1271" s="25">
        <f t="shared" si="38"/>
        <v>-1.9298809906722614E-3</v>
      </c>
      <c r="I1271" s="91">
        <v>330.61778273186468</v>
      </c>
      <c r="J1271" s="91">
        <v>335.09812146095163</v>
      </c>
      <c r="K1271" s="91">
        <v>330.37907616023301</v>
      </c>
      <c r="L1271" s="91">
        <v>333.70260611910487</v>
      </c>
      <c r="M1271" s="92">
        <v>615079.67290714243</v>
      </c>
      <c r="N1271" s="90" t="s">
        <v>1279</v>
      </c>
      <c r="O1271" s="25">
        <f t="shared" si="39"/>
        <v>-9.244229234875001E-3</v>
      </c>
    </row>
    <row r="1272" spans="1:15">
      <c r="A1272" s="91">
        <v>375.03709796280032</v>
      </c>
      <c r="B1272" s="91">
        <v>375.81763155287183</v>
      </c>
      <c r="C1272" s="91">
        <v>372.42602726268024</v>
      </c>
      <c r="D1272" s="91">
        <v>375.81763155287183</v>
      </c>
      <c r="E1272" s="92">
        <v>3902334.2989262505</v>
      </c>
      <c r="F1272" s="90" t="s">
        <v>1280</v>
      </c>
      <c r="G1272" s="25">
        <f t="shared" si="38"/>
        <v>-2.076894548151853E-3</v>
      </c>
      <c r="I1272" s="91">
        <v>332.53661632690392</v>
      </c>
      <c r="J1272" s="91">
        <v>335.16238861485243</v>
      </c>
      <c r="K1272" s="91">
        <v>329.11209512618791</v>
      </c>
      <c r="L1272" s="91">
        <v>329.15800023611706</v>
      </c>
      <c r="M1272" s="92">
        <v>624242.05157585652</v>
      </c>
      <c r="N1272" s="90" t="s">
        <v>1280</v>
      </c>
      <c r="O1272" s="25">
        <f t="shared" si="39"/>
        <v>1.0264420394956897E-2</v>
      </c>
    </row>
    <row r="1273" spans="1:15">
      <c r="A1273" s="91">
        <v>376.70966994152496</v>
      </c>
      <c r="B1273" s="91">
        <v>376.71896200807345</v>
      </c>
      <c r="C1273" s="91">
        <v>375.23223136031822</v>
      </c>
      <c r="D1273" s="91">
        <v>375.32515202580294</v>
      </c>
      <c r="E1273" s="92">
        <v>2555223.8434957531</v>
      </c>
      <c r="F1273" s="90" t="s">
        <v>1281</v>
      </c>
      <c r="G1273" s="25">
        <f t="shared" si="38"/>
        <v>3.6888492770845716E-3</v>
      </c>
      <c r="I1273" s="91">
        <v>328.91929366448539</v>
      </c>
      <c r="J1273" s="91">
        <v>329.99806374782088</v>
      </c>
      <c r="K1273" s="91">
        <v>326.20171115667858</v>
      </c>
      <c r="L1273" s="91">
        <v>328.60713891696707</v>
      </c>
      <c r="M1273" s="92">
        <v>779689.88757952687</v>
      </c>
      <c r="N1273" s="90" t="s">
        <v>1281</v>
      </c>
      <c r="O1273" s="25">
        <f t="shared" si="39"/>
        <v>9.4993294590950406E-4</v>
      </c>
    </row>
    <row r="1274" spans="1:15">
      <c r="A1274" s="91">
        <v>375.75258708703251</v>
      </c>
      <c r="B1274" s="91">
        <v>376.09639354932591</v>
      </c>
      <c r="C1274" s="91">
        <v>373.15080845346091</v>
      </c>
      <c r="D1274" s="91">
        <v>373.69904037982064</v>
      </c>
      <c r="E1274" s="92">
        <v>3392086.1237471085</v>
      </c>
      <c r="F1274" s="90" t="s">
        <v>1282</v>
      </c>
      <c r="G1274" s="25">
        <f t="shared" si="38"/>
        <v>5.495188601835066E-3</v>
      </c>
      <c r="I1274" s="91">
        <v>331.71950537016471</v>
      </c>
      <c r="J1274" s="91">
        <v>332.07756522761224</v>
      </c>
      <c r="K1274" s="91">
        <v>329.37503959586218</v>
      </c>
      <c r="L1274" s="91">
        <v>331.07683383115636</v>
      </c>
      <c r="M1274" s="92">
        <v>521106.4745713544</v>
      </c>
      <c r="N1274" s="90" t="s">
        <v>1282</v>
      </c>
      <c r="O1274" s="25">
        <f t="shared" si="39"/>
        <v>1.9411552646904084E-3</v>
      </c>
    </row>
    <row r="1275" spans="1:15">
      <c r="A1275" s="91">
        <v>372.03576046764448</v>
      </c>
      <c r="B1275" s="91">
        <v>372.20301766551694</v>
      </c>
      <c r="C1275" s="91">
        <v>370.47469328750151</v>
      </c>
      <c r="D1275" s="91">
        <v>371.413192008897</v>
      </c>
      <c r="E1275" s="92">
        <v>2771987.2501602951</v>
      </c>
      <c r="F1275" s="90" t="s">
        <v>1283</v>
      </c>
      <c r="G1275" s="25">
        <f t="shared" si="38"/>
        <v>1.6762152560605426E-3</v>
      </c>
      <c r="I1275" s="91">
        <v>329.83739586306876</v>
      </c>
      <c r="J1275" s="91">
        <v>331.48079879853304</v>
      </c>
      <c r="K1275" s="91">
        <v>328.9468367304429</v>
      </c>
      <c r="L1275" s="91">
        <v>331.25127324888723</v>
      </c>
      <c r="M1275" s="92">
        <v>598565.17155490234</v>
      </c>
      <c r="N1275" s="90" t="s">
        <v>1283</v>
      </c>
      <c r="O1275" s="25">
        <f t="shared" si="39"/>
        <v>-4.2682926829269441E-3</v>
      </c>
    </row>
    <row r="1276" spans="1:15">
      <c r="A1276" s="91">
        <v>371.24593481102454</v>
      </c>
      <c r="B1276" s="91">
        <v>371.32956340996077</v>
      </c>
      <c r="C1276" s="91">
        <v>369.14592777107032</v>
      </c>
      <c r="D1276" s="91">
        <v>369.34106116858823</v>
      </c>
      <c r="E1276" s="92">
        <v>3224902.6461109328</v>
      </c>
      <c r="F1276" s="90" t="s">
        <v>1284</v>
      </c>
      <c r="G1276" s="25">
        <f t="shared" si="38"/>
        <v>5.1574922008652546E-3</v>
      </c>
      <c r="I1276" s="91">
        <v>331.85722069995222</v>
      </c>
      <c r="J1276" s="91">
        <v>333.56489078931736</v>
      </c>
      <c r="K1276" s="91">
        <v>330.41580024817631</v>
      </c>
      <c r="L1276" s="91">
        <v>331.51752288647634</v>
      </c>
      <c r="M1276" s="92">
        <v>688955.98003793228</v>
      </c>
      <c r="N1276" s="90" t="s">
        <v>1284</v>
      </c>
      <c r="O1276" s="25">
        <f t="shared" si="39"/>
        <v>1.0246752887093091E-3</v>
      </c>
    </row>
    <row r="1277" spans="1:15">
      <c r="A1277" s="91">
        <v>368.15167665038399</v>
      </c>
      <c r="B1277" s="91">
        <v>369.35964530168513</v>
      </c>
      <c r="C1277" s="91">
        <v>362.39988745688106</v>
      </c>
      <c r="D1277" s="91">
        <v>363.64037834110184</v>
      </c>
      <c r="E1277" s="92">
        <v>4351105.2992465822</v>
      </c>
      <c r="F1277" s="90" t="s">
        <v>1285</v>
      </c>
      <c r="G1277" s="25">
        <f t="shared" si="38"/>
        <v>1.2405933383587087E-2</v>
      </c>
      <c r="I1277" s="91">
        <v>330.48924842406302</v>
      </c>
      <c r="J1277" s="91">
        <v>333.0314734119404</v>
      </c>
      <c r="K1277" s="91">
        <v>326.5138659041969</v>
      </c>
      <c r="L1277" s="91">
        <v>326.5138659041969</v>
      </c>
      <c r="M1277" s="92">
        <v>992647.66101877799</v>
      </c>
      <c r="N1277" s="90" t="s">
        <v>1285</v>
      </c>
      <c r="O1277" s="25">
        <f t="shared" si="39"/>
        <v>1.2175233382071937E-2</v>
      </c>
    </row>
    <row r="1278" spans="1:15">
      <c r="A1278" s="91">
        <v>363.02245591562854</v>
      </c>
      <c r="B1278" s="91">
        <v>364.4906024302868</v>
      </c>
      <c r="C1278" s="91">
        <v>360.4671376147993</v>
      </c>
      <c r="D1278" s="91">
        <v>364.0445832359602</v>
      </c>
      <c r="E1278" s="92">
        <v>13276062.903392734</v>
      </c>
      <c r="F1278" s="90" t="s">
        <v>1286</v>
      </c>
      <c r="G1278" s="25">
        <f t="shared" si="38"/>
        <v>-2.8076981979681115E-3</v>
      </c>
      <c r="I1278" s="91">
        <v>325.92628049710356</v>
      </c>
      <c r="J1278" s="91">
        <v>332.64678859073393</v>
      </c>
      <c r="K1278" s="91">
        <v>321.92335491127994</v>
      </c>
      <c r="L1278" s="91">
        <v>331.77459150207972</v>
      </c>
      <c r="M1278" s="92">
        <v>944002.74973448867</v>
      </c>
      <c r="N1278" s="90" t="s">
        <v>1286</v>
      </c>
      <c r="O1278" s="25">
        <f t="shared" si="39"/>
        <v>-1.7627362537011804E-2</v>
      </c>
    </row>
    <row r="1279" spans="1:15">
      <c r="A1279" s="91">
        <v>368.53265137887132</v>
      </c>
      <c r="B1279" s="91">
        <v>372.50036379506798</v>
      </c>
      <c r="C1279" s="91">
        <v>368.09592425109321</v>
      </c>
      <c r="D1279" s="91">
        <v>372.46319552887411</v>
      </c>
      <c r="E1279" s="92">
        <v>4860653.9529612474</v>
      </c>
      <c r="F1279" s="90" t="s">
        <v>1287</v>
      </c>
      <c r="G1279" s="25">
        <f t="shared" si="38"/>
        <v>-1.0552839038020068E-2</v>
      </c>
      <c r="I1279" s="91">
        <v>333.09665866803982</v>
      </c>
      <c r="J1279" s="91">
        <v>336.0070426375492</v>
      </c>
      <c r="K1279" s="91">
        <v>331.74704843612221</v>
      </c>
      <c r="L1279" s="91">
        <v>335.49290540634246</v>
      </c>
      <c r="M1279" s="92">
        <v>848279.20159834123</v>
      </c>
      <c r="N1279" s="90" t="s">
        <v>1287</v>
      </c>
      <c r="O1279" s="25">
        <f t="shared" si="39"/>
        <v>-7.142466203272857E-3</v>
      </c>
    </row>
    <row r="1280" spans="1:15">
      <c r="A1280" s="91">
        <v>371.42248407544548</v>
      </c>
      <c r="B1280" s="91">
        <v>372.03576046764448</v>
      </c>
      <c r="C1280" s="91">
        <v>369.64305333141345</v>
      </c>
      <c r="D1280" s="91">
        <v>371.44106820854245</v>
      </c>
      <c r="E1280" s="92">
        <v>4825508.9183990732</v>
      </c>
      <c r="F1280" s="90" t="s">
        <v>1288</v>
      </c>
      <c r="G1280" s="25">
        <f t="shared" si="38"/>
        <v>-5.0032521138776431E-5</v>
      </c>
      <c r="I1280" s="91">
        <v>334.29937254818407</v>
      </c>
      <c r="J1280" s="91">
        <v>335.76833606591754</v>
      </c>
      <c r="K1280" s="91">
        <v>332.08674624959809</v>
      </c>
      <c r="L1280" s="91">
        <v>332.66515063470558</v>
      </c>
      <c r="M1280" s="92">
        <v>534816.27727024932</v>
      </c>
      <c r="N1280" s="90" t="s">
        <v>1288</v>
      </c>
      <c r="O1280" s="25">
        <f t="shared" si="39"/>
        <v>4.912513109234462E-3</v>
      </c>
    </row>
    <row r="1281" spans="1:15">
      <c r="A1281" s="91">
        <v>372.62116066019809</v>
      </c>
      <c r="B1281" s="91">
        <v>374.07072304175944</v>
      </c>
      <c r="C1281" s="91">
        <v>371.51540474093019</v>
      </c>
      <c r="D1281" s="91">
        <v>373.59682764778745</v>
      </c>
      <c r="E1281" s="92">
        <v>3586081.7210232387</v>
      </c>
      <c r="F1281" s="90" t="s">
        <v>1289</v>
      </c>
      <c r="G1281" s="25">
        <f t="shared" si="38"/>
        <v>-2.6115505148485152E-3</v>
      </c>
      <c r="I1281" s="91">
        <v>334.13411415243905</v>
      </c>
      <c r="J1281" s="91">
        <v>338.27475506805013</v>
      </c>
      <c r="K1281" s="91">
        <v>333.84032144889238</v>
      </c>
      <c r="L1281" s="91">
        <v>337.27402367159425</v>
      </c>
      <c r="M1281" s="92">
        <v>1137559.6329161155</v>
      </c>
      <c r="N1281" s="90" t="s">
        <v>1289</v>
      </c>
      <c r="O1281" s="25">
        <f t="shared" si="39"/>
        <v>-9.3096689895469931E-3</v>
      </c>
    </row>
    <row r="1282" spans="1:15">
      <c r="A1282" s="91">
        <v>372.11009700003223</v>
      </c>
      <c r="B1282" s="91">
        <v>374.00567857592017</v>
      </c>
      <c r="C1282" s="91">
        <v>371.84991913667511</v>
      </c>
      <c r="D1282" s="91">
        <v>372.68620512603741</v>
      </c>
      <c r="E1282" s="92">
        <v>4641692.9727113806</v>
      </c>
      <c r="F1282" s="90" t="s">
        <v>1290</v>
      </c>
      <c r="G1282" s="25">
        <f t="shared" si="38"/>
        <v>-1.5458262690736246E-3</v>
      </c>
      <c r="I1282" s="91">
        <v>337.30156673755175</v>
      </c>
      <c r="J1282" s="91">
        <v>343.35186022621633</v>
      </c>
      <c r="K1282" s="91">
        <v>337.20975651769345</v>
      </c>
      <c r="L1282" s="91">
        <v>340.24867479500443</v>
      </c>
      <c r="M1282" s="92">
        <v>770497.01121671812</v>
      </c>
      <c r="N1282" s="90" t="s">
        <v>1290</v>
      </c>
      <c r="O1282" s="25">
        <f t="shared" si="39"/>
        <v>-8.661629789530445E-3</v>
      </c>
    </row>
    <row r="1283" spans="1:15">
      <c r="A1283" s="91">
        <v>373.37381805062421</v>
      </c>
      <c r="B1283" s="91">
        <v>373.56895144814206</v>
      </c>
      <c r="C1283" s="91">
        <v>371.56186507367255</v>
      </c>
      <c r="D1283" s="91">
        <v>371.96142393525673</v>
      </c>
      <c r="E1283" s="92">
        <v>3152326.7560780495</v>
      </c>
      <c r="F1283" s="90" t="s">
        <v>1291</v>
      </c>
      <c r="G1283" s="25">
        <f t="shared" si="38"/>
        <v>3.7971521358981519E-3</v>
      </c>
      <c r="I1283" s="91">
        <v>340.00078720138691</v>
      </c>
      <c r="J1283" s="91">
        <v>341.94716386238372</v>
      </c>
      <c r="K1283" s="91">
        <v>338.12326820528392</v>
      </c>
      <c r="L1283" s="91">
        <v>339.84470982762775</v>
      </c>
      <c r="M1283" s="92">
        <v>490690.47072876734</v>
      </c>
      <c r="N1283" s="90" t="s">
        <v>1291</v>
      </c>
      <c r="O1283" s="25">
        <f t="shared" si="39"/>
        <v>4.5926086016856438E-4</v>
      </c>
    </row>
    <row r="1284" spans="1:15">
      <c r="A1284" s="91">
        <v>372.02646840109605</v>
      </c>
      <c r="B1284" s="91">
        <v>372.28664626445317</v>
      </c>
      <c r="C1284" s="91">
        <v>369.28530876929739</v>
      </c>
      <c r="D1284" s="91">
        <v>369.48044216681524</v>
      </c>
      <c r="E1284" s="92">
        <v>3586035.4449878964</v>
      </c>
      <c r="F1284" s="90" t="s">
        <v>1292</v>
      </c>
      <c r="G1284" s="25">
        <f t="shared" si="38"/>
        <v>6.8908281568291763E-3</v>
      </c>
      <c r="I1284" s="91">
        <v>341.36875947727617</v>
      </c>
      <c r="J1284" s="91">
        <v>342.92035219288209</v>
      </c>
      <c r="K1284" s="91">
        <v>339.1285901127327</v>
      </c>
      <c r="L1284" s="91">
        <v>341.97470692834122</v>
      </c>
      <c r="M1284" s="92">
        <v>389271.47822044842</v>
      </c>
      <c r="N1284" s="90" t="s">
        <v>1292</v>
      </c>
      <c r="O1284" s="25">
        <f t="shared" si="39"/>
        <v>-1.7719072164948946E-3</v>
      </c>
    </row>
    <row r="1285" spans="1:15">
      <c r="A1285" s="91">
        <v>368.14238458383556</v>
      </c>
      <c r="B1285" s="91">
        <v>368.78353717567995</v>
      </c>
      <c r="C1285" s="91">
        <v>365.19679948797051</v>
      </c>
      <c r="D1285" s="91">
        <v>366.29326334068998</v>
      </c>
      <c r="E1285" s="92">
        <v>6260292.0132527286</v>
      </c>
      <c r="F1285" s="90" t="s">
        <v>1293</v>
      </c>
      <c r="G1285" s="25">
        <f t="shared" si="38"/>
        <v>5.048198883815358E-3</v>
      </c>
      <c r="I1285" s="91">
        <v>339.64272734393938</v>
      </c>
      <c r="J1285" s="91">
        <v>341.52483685103533</v>
      </c>
      <c r="K1285" s="91">
        <v>337.80652294677259</v>
      </c>
      <c r="L1285" s="91">
        <v>338.68790105741266</v>
      </c>
      <c r="M1285" s="92">
        <v>438651.60177309031</v>
      </c>
      <c r="N1285" s="90" t="s">
        <v>1293</v>
      </c>
      <c r="O1285" s="25">
        <f t="shared" si="39"/>
        <v>2.8191921930063035E-3</v>
      </c>
    </row>
    <row r="1286" spans="1:15">
      <c r="A1286" s="91">
        <v>371.09726174624905</v>
      </c>
      <c r="B1286" s="91">
        <v>371.3667316761547</v>
      </c>
      <c r="C1286" s="91">
        <v>368.59769584471059</v>
      </c>
      <c r="D1286" s="91">
        <v>370.44681708785612</v>
      </c>
      <c r="E1286" s="92">
        <v>5109552.2995169768</v>
      </c>
      <c r="F1286" s="90" t="s">
        <v>1294</v>
      </c>
      <c r="G1286" s="25">
        <f t="shared" si="38"/>
        <v>1.7558381618882901E-3</v>
      </c>
      <c r="I1286" s="91">
        <v>340.85462224606948</v>
      </c>
      <c r="J1286" s="91">
        <v>341.58910400493619</v>
      </c>
      <c r="K1286" s="91">
        <v>335.84178424180419</v>
      </c>
      <c r="L1286" s="91">
        <v>337.25566162762254</v>
      </c>
      <c r="M1286" s="92">
        <v>594214.89333297603</v>
      </c>
      <c r="N1286" s="90" t="s">
        <v>1294</v>
      </c>
      <c r="O1286" s="25">
        <f t="shared" si="39"/>
        <v>1.067131268035082E-2</v>
      </c>
    </row>
    <row r="1287" spans="1:15">
      <c r="A1287" s="91">
        <v>369.82424862910864</v>
      </c>
      <c r="B1287" s="91">
        <v>370.74416321740716</v>
      </c>
      <c r="C1287" s="91">
        <v>367.31539066102169</v>
      </c>
      <c r="D1287" s="91">
        <v>370.53973775334083</v>
      </c>
      <c r="E1287" s="92">
        <v>4661337.6878076214</v>
      </c>
      <c r="F1287" s="90" t="s">
        <v>1295</v>
      </c>
      <c r="G1287" s="25">
        <f t="shared" si="38"/>
        <v>-1.9309376332221628E-3</v>
      </c>
      <c r="I1287" s="91">
        <v>337.54027330918342</v>
      </c>
      <c r="J1287" s="91">
        <v>338.2675020606813</v>
      </c>
      <c r="K1287" s="91">
        <v>333.04157253612482</v>
      </c>
      <c r="L1287" s="91">
        <v>337.8891521446451</v>
      </c>
      <c r="M1287" s="92">
        <v>657086.97891240846</v>
      </c>
      <c r="N1287" s="90" t="s">
        <v>1295</v>
      </c>
      <c r="O1287" s="25">
        <f t="shared" si="39"/>
        <v>-1.0325245224573898E-3</v>
      </c>
    </row>
    <row r="1288" spans="1:15">
      <c r="A1288" s="91">
        <v>370.52115362024387</v>
      </c>
      <c r="B1288" s="91">
        <v>370.799915616698</v>
      </c>
      <c r="C1288" s="91">
        <v>368.45366881320928</v>
      </c>
      <c r="D1288" s="91">
        <v>368.75566097603456</v>
      </c>
      <c r="E1288" s="92">
        <v>4695522.7636831598</v>
      </c>
      <c r="F1288" s="90" t="s">
        <v>1296</v>
      </c>
      <c r="G1288" s="25">
        <f t="shared" si="38"/>
        <v>4.7877031624039557E-3</v>
      </c>
      <c r="I1288" s="91">
        <v>338.96333171698768</v>
      </c>
      <c r="J1288" s="91">
        <v>340.67100180635282</v>
      </c>
      <c r="K1288" s="91">
        <v>335.39145511339899</v>
      </c>
      <c r="L1288" s="91">
        <v>337.78816090280094</v>
      </c>
      <c r="M1288" s="92">
        <v>368195.39319434064</v>
      </c>
      <c r="N1288" s="90" t="s">
        <v>1296</v>
      </c>
      <c r="O1288" s="25">
        <f t="shared" si="39"/>
        <v>3.4790171776473144E-3</v>
      </c>
    </row>
    <row r="1289" spans="1:15">
      <c r="A1289" s="91">
        <v>367.72424158915442</v>
      </c>
      <c r="B1289" s="91">
        <v>367.82645432118755</v>
      </c>
      <c r="C1289" s="91">
        <v>366.29902442195009</v>
      </c>
      <c r="D1289" s="91">
        <v>366.38618400617469</v>
      </c>
      <c r="E1289" s="92">
        <v>3674656.2050421368</v>
      </c>
      <c r="F1289" s="90" t="s">
        <v>1297</v>
      </c>
      <c r="G1289" s="25">
        <f t="shared" si="38"/>
        <v>3.6520415926959426E-3</v>
      </c>
      <c r="I1289" s="91">
        <v>337.51273024322592</v>
      </c>
      <c r="J1289" s="91">
        <v>337.82488499074424</v>
      </c>
      <c r="K1289" s="91">
        <v>333.62915794321816</v>
      </c>
      <c r="L1289" s="91">
        <v>334.67579444960325</v>
      </c>
      <c r="M1289" s="92">
        <v>489514.1310994032</v>
      </c>
      <c r="N1289" s="90" t="s">
        <v>1297</v>
      </c>
      <c r="O1289" s="25">
        <f t="shared" si="39"/>
        <v>8.4766685869475111E-3</v>
      </c>
    </row>
    <row r="1290" spans="1:15">
      <c r="A1290" s="91">
        <v>365.66140281539401</v>
      </c>
      <c r="B1290" s="91">
        <v>366.22914808150551</v>
      </c>
      <c r="C1290" s="91">
        <v>364.91803749151643</v>
      </c>
      <c r="D1290" s="91">
        <v>364.91803749151643</v>
      </c>
      <c r="E1290" s="92">
        <v>4085124.638528334</v>
      </c>
      <c r="F1290" s="90" t="s">
        <v>1298</v>
      </c>
      <c r="G1290" s="25">
        <f t="shared" si="38"/>
        <v>2.0370747606437423E-3</v>
      </c>
      <c r="I1290" s="91">
        <v>333.66588203116152</v>
      </c>
      <c r="J1290" s="91">
        <v>335.02467328506498</v>
      </c>
      <c r="K1290" s="91">
        <v>331.71032434817891</v>
      </c>
      <c r="L1290" s="91">
        <v>331.71032434817891</v>
      </c>
      <c r="M1290" s="92">
        <v>668616.19648353767</v>
      </c>
      <c r="N1290" s="90" t="s">
        <v>1298</v>
      </c>
      <c r="O1290" s="25">
        <f t="shared" si="39"/>
        <v>5.8953778023802528E-3</v>
      </c>
    </row>
    <row r="1291" spans="1:15">
      <c r="A1291" s="91">
        <v>365.32688841964915</v>
      </c>
      <c r="B1291" s="91">
        <v>366.05166961042977</v>
      </c>
      <c r="C1291" s="91">
        <v>364.86228509222565</v>
      </c>
      <c r="D1291" s="91">
        <v>365.50343768407009</v>
      </c>
      <c r="E1291" s="92">
        <v>3150672.6568612792</v>
      </c>
      <c r="F1291" s="90" t="s">
        <v>1299</v>
      </c>
      <c r="G1291" s="25">
        <f t="shared" si="38"/>
        <v>-4.8303038006869414E-4</v>
      </c>
      <c r="I1291" s="91">
        <v>330.80140317158134</v>
      </c>
      <c r="J1291" s="91">
        <v>340.83396494660133</v>
      </c>
      <c r="K1291" s="91">
        <v>330.51679149002047</v>
      </c>
      <c r="L1291" s="91">
        <v>339.52337405812358</v>
      </c>
      <c r="M1291" s="92">
        <v>1254025.969850051</v>
      </c>
      <c r="N1291" s="90" t="s">
        <v>1299</v>
      </c>
      <c r="O1291" s="25">
        <f t="shared" si="39"/>
        <v>-2.5688867256158709E-2</v>
      </c>
    </row>
    <row r="1292" spans="1:15">
      <c r="A1292" s="91">
        <v>365.16622860497125</v>
      </c>
      <c r="B1292" s="91">
        <v>365.2866171465584</v>
      </c>
      <c r="C1292" s="91">
        <v>363.78639070524156</v>
      </c>
      <c r="D1292" s="91">
        <v>364.89766955066142</v>
      </c>
      <c r="E1292" s="92">
        <v>2611555.5172864562</v>
      </c>
      <c r="F1292" s="90" t="s">
        <v>1300</v>
      </c>
      <c r="G1292" s="25">
        <f t="shared" si="38"/>
        <v>7.3598456970280779E-4</v>
      </c>
      <c r="I1292" s="91">
        <v>339.8906149375569</v>
      </c>
      <c r="J1292" s="91">
        <v>342.81017992905208</v>
      </c>
      <c r="K1292" s="91">
        <v>338.18294484819182</v>
      </c>
      <c r="L1292" s="91">
        <v>342.81017992905208</v>
      </c>
      <c r="M1292" s="92">
        <v>615389.00666153082</v>
      </c>
      <c r="N1292" s="90" t="s">
        <v>1300</v>
      </c>
      <c r="O1292" s="25">
        <f t="shared" si="39"/>
        <v>-8.5165644500387883E-3</v>
      </c>
    </row>
    <row r="1293" spans="1:15">
      <c r="A1293" s="91">
        <v>364.40685472726767</v>
      </c>
      <c r="B1293" s="91">
        <v>364.79580232316465</v>
      </c>
      <c r="C1293" s="91">
        <v>363.51783165093178</v>
      </c>
      <c r="D1293" s="91">
        <v>363.85121530455774</v>
      </c>
      <c r="E1293" s="92">
        <v>3091644.5626227073</v>
      </c>
      <c r="F1293" s="90" t="s">
        <v>1301</v>
      </c>
      <c r="G1293" s="25">
        <f t="shared" si="38"/>
        <v>1.5271061338761882E-3</v>
      </c>
      <c r="I1293" s="91">
        <v>342.73673175316543</v>
      </c>
      <c r="J1293" s="91">
        <v>344.66474637019058</v>
      </c>
      <c r="K1293" s="91">
        <v>337.9166952106026</v>
      </c>
      <c r="L1293" s="91">
        <v>338.77971127727102</v>
      </c>
      <c r="M1293" s="92">
        <v>3192058.5796678206</v>
      </c>
      <c r="N1293" s="90" t="s">
        <v>1301</v>
      </c>
      <c r="O1293" s="25">
        <f t="shared" si="39"/>
        <v>1.1680216802167909E-2</v>
      </c>
    </row>
    <row r="1294" spans="1:15">
      <c r="A1294" s="91">
        <v>363.06405945571868</v>
      </c>
      <c r="B1294" s="91">
        <v>363.49792123828468</v>
      </c>
      <c r="C1294" s="91">
        <v>362.7121544880024</v>
      </c>
      <c r="D1294" s="91">
        <v>362.91588894299599</v>
      </c>
      <c r="E1294" s="92">
        <v>3226358.5460815006</v>
      </c>
      <c r="F1294" s="90" t="s">
        <v>1302</v>
      </c>
      <c r="G1294" s="25">
        <f t="shared" si="38"/>
        <v>4.0827783306540688E-4</v>
      </c>
      <c r="I1294" s="91">
        <v>339.40402077230772</v>
      </c>
      <c r="J1294" s="91">
        <v>341.58910400493619</v>
      </c>
      <c r="K1294" s="91">
        <v>337.43928206733926</v>
      </c>
      <c r="L1294" s="91">
        <v>341.58910400493619</v>
      </c>
      <c r="M1294" s="92">
        <v>702561.21921421716</v>
      </c>
      <c r="N1294" s="90" t="s">
        <v>1302</v>
      </c>
      <c r="O1294" s="25">
        <f t="shared" si="39"/>
        <v>-6.3968177175723895E-3</v>
      </c>
    </row>
    <row r="1295" spans="1:15">
      <c r="A1295" s="91">
        <v>360.99893293464669</v>
      </c>
      <c r="B1295" s="91">
        <v>362.22133966460859</v>
      </c>
      <c r="C1295" s="91">
        <v>360.8878050501047</v>
      </c>
      <c r="D1295" s="91">
        <v>361.48974775804049</v>
      </c>
      <c r="E1295" s="92">
        <v>2596095.4911455745</v>
      </c>
      <c r="F1295" s="90" t="s">
        <v>1303</v>
      </c>
      <c r="G1295" s="25">
        <f t="shared" si="38"/>
        <v>-1.3577558601256534E-3</v>
      </c>
      <c r="I1295" s="91">
        <v>339.9548820914577</v>
      </c>
      <c r="J1295" s="91">
        <v>342.07569817018538</v>
      </c>
      <c r="K1295" s="91">
        <v>337.96260032053181</v>
      </c>
      <c r="L1295" s="91">
        <v>342.07569817018538</v>
      </c>
      <c r="M1295" s="92">
        <v>773172.09467016102</v>
      </c>
      <c r="N1295" s="90" t="s">
        <v>1303</v>
      </c>
      <c r="O1295" s="25">
        <f t="shared" si="39"/>
        <v>-6.1998443329129849E-3</v>
      </c>
    </row>
    <row r="1296" spans="1:15">
      <c r="A1296" s="91">
        <v>361.38788053054367</v>
      </c>
      <c r="B1296" s="91">
        <v>362.17503637938273</v>
      </c>
      <c r="C1296" s="91">
        <v>358.82267852903283</v>
      </c>
      <c r="D1296" s="91">
        <v>359.53574912151055</v>
      </c>
      <c r="E1296" s="92">
        <v>2921436.3374058101</v>
      </c>
      <c r="F1296" s="90" t="s">
        <v>1304</v>
      </c>
      <c r="G1296" s="25">
        <f t="shared" si="38"/>
        <v>5.1514527096641061E-3</v>
      </c>
      <c r="I1296" s="91">
        <v>342.05733612621373</v>
      </c>
      <c r="J1296" s="91">
        <v>343.71910110564966</v>
      </c>
      <c r="K1296" s="91">
        <v>340.68018282833862</v>
      </c>
      <c r="L1296" s="91">
        <v>343.71910110564966</v>
      </c>
      <c r="M1296" s="92">
        <v>535421.87433869985</v>
      </c>
      <c r="N1296" s="90" t="s">
        <v>1304</v>
      </c>
      <c r="O1296" s="25">
        <f t="shared" si="39"/>
        <v>-4.8346599711522886E-3</v>
      </c>
    </row>
    <row r="1297" spans="1:15">
      <c r="A1297" s="91">
        <v>359.48018517923958</v>
      </c>
      <c r="B1297" s="91">
        <v>359.66539832014286</v>
      </c>
      <c r="C1297" s="91">
        <v>355.28510753777948</v>
      </c>
      <c r="D1297" s="91">
        <v>356.0722633866186</v>
      </c>
      <c r="E1297" s="92">
        <v>4740245.7283434421</v>
      </c>
      <c r="F1297" s="90" t="s">
        <v>1305</v>
      </c>
      <c r="G1297" s="25">
        <f t="shared" si="38"/>
        <v>9.5708712613784552E-3</v>
      </c>
      <c r="I1297" s="91">
        <v>342.71836970919378</v>
      </c>
      <c r="J1297" s="91">
        <v>343.90272154536632</v>
      </c>
      <c r="K1297" s="91">
        <v>338.22884995812097</v>
      </c>
      <c r="L1297" s="91">
        <v>339.51419303613773</v>
      </c>
      <c r="M1297" s="92">
        <v>973808.79969518317</v>
      </c>
      <c r="N1297" s="90" t="s">
        <v>1305</v>
      </c>
      <c r="O1297" s="25">
        <f t="shared" si="39"/>
        <v>9.4375338020551425E-3</v>
      </c>
    </row>
    <row r="1298" spans="1:15">
      <c r="A1298" s="91">
        <v>354.5164730030308</v>
      </c>
      <c r="B1298" s="91">
        <v>356.88720120659315</v>
      </c>
      <c r="C1298" s="91">
        <v>354.2386532916758</v>
      </c>
      <c r="D1298" s="91">
        <v>356.34082244092843</v>
      </c>
      <c r="E1298" s="92">
        <v>5627149.3205985529</v>
      </c>
      <c r="F1298" s="90" t="s">
        <v>1306</v>
      </c>
      <c r="G1298" s="25">
        <f t="shared" si="38"/>
        <v>-5.1196756672471366E-3</v>
      </c>
      <c r="I1298" s="91">
        <v>337.11794629783509</v>
      </c>
      <c r="J1298" s="91">
        <v>339.91815800351441</v>
      </c>
      <c r="K1298" s="91">
        <v>335.32764701059745</v>
      </c>
      <c r="L1298" s="91">
        <v>335.9519565056342</v>
      </c>
      <c r="M1298" s="92">
        <v>2600041.6987163788</v>
      </c>
      <c r="N1298" s="90" t="s">
        <v>1306</v>
      </c>
      <c r="O1298" s="25">
        <f t="shared" si="39"/>
        <v>3.4707039790118355E-3</v>
      </c>
    </row>
    <row r="1299" spans="1:15">
      <c r="A1299" s="91">
        <v>359.28571138129109</v>
      </c>
      <c r="B1299" s="91">
        <v>360.15621314353666</v>
      </c>
      <c r="C1299" s="91">
        <v>356.99832909113519</v>
      </c>
      <c r="D1299" s="91">
        <v>358.9615883847103</v>
      </c>
      <c r="E1299" s="92">
        <v>4389896.9373045051</v>
      </c>
      <c r="F1299" s="90" t="s">
        <v>1307</v>
      </c>
      <c r="G1299" s="25">
        <f t="shared" si="38"/>
        <v>9.0294618440744934E-4</v>
      </c>
      <c r="I1299" s="91">
        <v>338.504280617696</v>
      </c>
      <c r="J1299" s="91">
        <v>343.26923102834377</v>
      </c>
      <c r="K1299" s="91">
        <v>336.20902512123752</v>
      </c>
      <c r="L1299" s="91">
        <v>342.67246459926457</v>
      </c>
      <c r="M1299" s="92">
        <v>802765.74997555371</v>
      </c>
      <c r="N1299" s="90" t="s">
        <v>1307</v>
      </c>
      <c r="O1299" s="25">
        <f t="shared" si="39"/>
        <v>-1.2163755224520401E-2</v>
      </c>
    </row>
    <row r="1300" spans="1:15">
      <c r="A1300" s="91">
        <v>359.4153605799234</v>
      </c>
      <c r="B1300" s="91">
        <v>361.70274287007931</v>
      </c>
      <c r="C1300" s="91">
        <v>357.47988325748378</v>
      </c>
      <c r="D1300" s="91">
        <v>361.55327586537038</v>
      </c>
      <c r="E1300" s="92">
        <v>4529177.5513807312</v>
      </c>
      <c r="F1300" s="90" t="s">
        <v>1308</v>
      </c>
      <c r="G1300" s="25">
        <f t="shared" si="38"/>
        <v>-5.9131404087818806E-3</v>
      </c>
      <c r="I1300" s="91">
        <v>341.72681933472364</v>
      </c>
      <c r="J1300" s="91">
        <v>347.20788946026653</v>
      </c>
      <c r="K1300" s="91">
        <v>341.21268210351695</v>
      </c>
      <c r="L1300" s="91">
        <v>347.20788946026653</v>
      </c>
      <c r="M1300" s="92">
        <v>962183.73222832801</v>
      </c>
      <c r="N1300" s="90" t="s">
        <v>1308</v>
      </c>
      <c r="O1300" s="25">
        <f t="shared" si="39"/>
        <v>-1.5786133587180839E-2</v>
      </c>
    </row>
    <row r="1301" spans="1:15">
      <c r="A1301" s="91">
        <v>361.39714118758883</v>
      </c>
      <c r="B1301" s="91">
        <v>362.27690360687956</v>
      </c>
      <c r="C1301" s="91">
        <v>360.61915338922449</v>
      </c>
      <c r="D1301" s="91">
        <v>362.23060032165375</v>
      </c>
      <c r="E1301" s="92">
        <v>2597050.0670419591</v>
      </c>
      <c r="F1301" s="90" t="s">
        <v>1309</v>
      </c>
      <c r="G1301" s="25">
        <f t="shared" si="38"/>
        <v>-2.3009075802122858E-3</v>
      </c>
      <c r="I1301" s="91">
        <v>344.28832446877135</v>
      </c>
      <c r="J1301" s="91">
        <v>346.46422667941397</v>
      </c>
      <c r="K1301" s="91">
        <v>343.15905876451376</v>
      </c>
      <c r="L1301" s="91">
        <v>344.65556534820468</v>
      </c>
      <c r="M1301" s="92">
        <v>748241.31895116461</v>
      </c>
      <c r="N1301" s="90" t="s">
        <v>1309</v>
      </c>
      <c r="O1301" s="25">
        <f t="shared" si="39"/>
        <v>-1.0655301012252316E-3</v>
      </c>
    </row>
    <row r="1302" spans="1:15">
      <c r="A1302" s="91">
        <v>362.15651506529241</v>
      </c>
      <c r="B1302" s="91">
        <v>362.15651506529241</v>
      </c>
      <c r="C1302" s="91">
        <v>360.23955905694316</v>
      </c>
      <c r="D1302" s="91">
        <v>361.36009855940819</v>
      </c>
      <c r="E1302" s="92">
        <v>2432014.2609921233</v>
      </c>
      <c r="F1302" s="90" t="s">
        <v>1310</v>
      </c>
      <c r="G1302" s="25">
        <f t="shared" si="38"/>
        <v>2.2039414674148716E-3</v>
      </c>
      <c r="I1302" s="91">
        <v>341.74518137869535</v>
      </c>
      <c r="J1302" s="91">
        <v>342.53474926947706</v>
      </c>
      <c r="K1302" s="91">
        <v>339.1561331786902</v>
      </c>
      <c r="L1302" s="91">
        <v>341.94716386238372</v>
      </c>
      <c r="M1302" s="92">
        <v>942862.35381602182</v>
      </c>
      <c r="N1302" s="90" t="s">
        <v>1310</v>
      </c>
      <c r="O1302" s="25">
        <f t="shared" si="39"/>
        <v>-5.9068331319644951E-4</v>
      </c>
    </row>
    <row r="1303" spans="1:15">
      <c r="A1303" s="91">
        <v>361.24897067486614</v>
      </c>
      <c r="B1303" s="91">
        <v>361.35083790236303</v>
      </c>
      <c r="C1303" s="91">
        <v>359.98952131672371</v>
      </c>
      <c r="D1303" s="91">
        <v>361.1656247614597</v>
      </c>
      <c r="E1303" s="92">
        <v>2420454.6060477821</v>
      </c>
      <c r="F1303" s="90" t="s">
        <v>1311</v>
      </c>
      <c r="G1303" s="25">
        <f t="shared" si="38"/>
        <v>2.3076923076903455E-4</v>
      </c>
      <c r="I1303" s="91">
        <v>344.34341060068635</v>
      </c>
      <c r="J1303" s="91">
        <v>344.79328067799224</v>
      </c>
      <c r="K1303" s="91">
        <v>339.88143391557105</v>
      </c>
      <c r="L1303" s="91">
        <v>343.26005000635797</v>
      </c>
      <c r="M1303" s="92">
        <v>692982.76486178348</v>
      </c>
      <c r="N1303" s="90" t="s">
        <v>1311</v>
      </c>
      <c r="O1303" s="25">
        <f t="shared" si="39"/>
        <v>3.15609286402041E-3</v>
      </c>
    </row>
    <row r="1304" spans="1:15">
      <c r="A1304" s="91">
        <v>360.61924599579493</v>
      </c>
      <c r="B1304" s="91">
        <v>361.4987305953743</v>
      </c>
      <c r="C1304" s="91">
        <v>358.9245457565296</v>
      </c>
      <c r="D1304" s="91">
        <v>360.10990985831086</v>
      </c>
      <c r="E1304" s="92">
        <v>2820334.4398370232</v>
      </c>
      <c r="F1304" s="90" t="s">
        <v>1312</v>
      </c>
      <c r="G1304" s="25">
        <f t="shared" si="38"/>
        <v>1.4143907833152891E-3</v>
      </c>
      <c r="I1304" s="91">
        <v>342.00224999429872</v>
      </c>
      <c r="J1304" s="91">
        <v>344.8942719198364</v>
      </c>
      <c r="K1304" s="91">
        <v>340.5241054545794</v>
      </c>
      <c r="L1304" s="91">
        <v>344.28832446877135</v>
      </c>
      <c r="M1304" s="92">
        <v>807571.31520217832</v>
      </c>
      <c r="N1304" s="90" t="s">
        <v>1312</v>
      </c>
      <c r="O1304" s="25">
        <f t="shared" si="39"/>
        <v>-6.6399999999999793E-3</v>
      </c>
    </row>
    <row r="1305" spans="1:15">
      <c r="A1305" s="91">
        <v>358.9615883847103</v>
      </c>
      <c r="B1305" s="91">
        <v>360.35994759853031</v>
      </c>
      <c r="C1305" s="91">
        <v>358.76711458676181</v>
      </c>
      <c r="D1305" s="91">
        <v>360.31364431330445</v>
      </c>
      <c r="E1305" s="92">
        <v>3205052.2824937566</v>
      </c>
      <c r="F1305" s="90" t="s">
        <v>1313</v>
      </c>
      <c r="G1305" s="25">
        <f t="shared" si="38"/>
        <v>-3.7524416572426444E-3</v>
      </c>
      <c r="I1305" s="91">
        <v>342.08487919217123</v>
      </c>
      <c r="J1305" s="91">
        <v>342.42457700564711</v>
      </c>
      <c r="K1305" s="91">
        <v>338.44919448578099</v>
      </c>
      <c r="L1305" s="91">
        <v>340.71690691628197</v>
      </c>
      <c r="M1305" s="92">
        <v>751165.82997416717</v>
      </c>
      <c r="N1305" s="90" t="s">
        <v>1313</v>
      </c>
      <c r="O1305" s="25">
        <f t="shared" si="39"/>
        <v>4.014982080784657E-3</v>
      </c>
    </row>
    <row r="1306" spans="1:15">
      <c r="A1306" s="91">
        <v>359.52648846446539</v>
      </c>
      <c r="B1306" s="91">
        <v>360.31364431330445</v>
      </c>
      <c r="C1306" s="91">
        <v>357.86883085338076</v>
      </c>
      <c r="D1306" s="91">
        <v>360.23955905694316</v>
      </c>
      <c r="E1306" s="92">
        <v>2577157.3100700155</v>
      </c>
      <c r="F1306" s="90" t="s">
        <v>1314</v>
      </c>
      <c r="G1306" s="25">
        <f t="shared" si="38"/>
        <v>-1.9794344473008652E-3</v>
      </c>
      <c r="I1306" s="91">
        <v>340.71690691628197</v>
      </c>
      <c r="J1306" s="91">
        <v>342.33616376392348</v>
      </c>
      <c r="K1306" s="91">
        <v>337.98096236450345</v>
      </c>
      <c r="L1306" s="91">
        <v>341.57074196096454</v>
      </c>
      <c r="M1306" s="92">
        <v>668006.24260164518</v>
      </c>
      <c r="N1306" s="90" t="s">
        <v>1314</v>
      </c>
      <c r="O1306" s="25">
        <f t="shared" si="39"/>
        <v>-2.4997312116976644E-3</v>
      </c>
    </row>
    <row r="1307" spans="1:15">
      <c r="A1307" s="91">
        <v>359.47092452219442</v>
      </c>
      <c r="B1307" s="91">
        <v>359.95247868854301</v>
      </c>
      <c r="C1307" s="91">
        <v>358.61894407403918</v>
      </c>
      <c r="D1307" s="91">
        <v>359.79504751877516</v>
      </c>
      <c r="E1307" s="92">
        <v>2700261.9660830717</v>
      </c>
      <c r="F1307" s="90" t="s">
        <v>1315</v>
      </c>
      <c r="G1307" s="25">
        <f t="shared" si="38"/>
        <v>-9.0085452486343698E-4</v>
      </c>
      <c r="I1307" s="91">
        <v>341.38712152124782</v>
      </c>
      <c r="J1307" s="91">
        <v>347.04263106452152</v>
      </c>
      <c r="K1307" s="91">
        <v>339.94570106947191</v>
      </c>
      <c r="L1307" s="91">
        <v>345.5736675467881</v>
      </c>
      <c r="M1307" s="92">
        <v>1225578.1564799277</v>
      </c>
      <c r="N1307" s="90" t="s">
        <v>1315</v>
      </c>
      <c r="O1307" s="25">
        <f t="shared" si="39"/>
        <v>-1.2114771519660006E-2</v>
      </c>
    </row>
    <row r="1308" spans="1:15">
      <c r="A1308" s="91">
        <v>359.77652620468484</v>
      </c>
      <c r="B1308" s="91">
        <v>360.05434591603984</v>
      </c>
      <c r="C1308" s="91">
        <v>358.16517187882602</v>
      </c>
      <c r="D1308" s="91">
        <v>358.21147516405188</v>
      </c>
      <c r="E1308" s="92">
        <v>2837966.0181584815</v>
      </c>
      <c r="F1308" s="90" t="s">
        <v>1316</v>
      </c>
      <c r="G1308" s="25">
        <f t="shared" si="38"/>
        <v>4.3690700860887777E-3</v>
      </c>
      <c r="I1308" s="91">
        <v>346.59276098721563</v>
      </c>
      <c r="J1308" s="91">
        <v>347.98818451884256</v>
      </c>
      <c r="K1308" s="91">
        <v>342.4062149616754</v>
      </c>
      <c r="L1308" s="91">
        <v>343.21414489642876</v>
      </c>
      <c r="M1308" s="92">
        <v>1437311.6653419519</v>
      </c>
      <c r="N1308" s="90" t="s">
        <v>1316</v>
      </c>
      <c r="O1308" s="25">
        <f t="shared" si="39"/>
        <v>9.8440467592220138E-3</v>
      </c>
    </row>
    <row r="1309" spans="1:15">
      <c r="A1309" s="91">
        <v>356.54455689592203</v>
      </c>
      <c r="B1309" s="91">
        <v>357.56322917089028</v>
      </c>
      <c r="C1309" s="91">
        <v>354.40534511848875</v>
      </c>
      <c r="D1309" s="91">
        <v>355.76666170412813</v>
      </c>
      <c r="E1309" s="92">
        <v>3661678.6297795032</v>
      </c>
      <c r="F1309" s="90" t="s">
        <v>1317</v>
      </c>
      <c r="G1309" s="25">
        <f t="shared" si="38"/>
        <v>2.186532004060604E-3</v>
      </c>
      <c r="I1309" s="91">
        <v>336.49363680279833</v>
      </c>
      <c r="J1309" s="91">
        <v>337.2923857155659</v>
      </c>
      <c r="K1309" s="91">
        <v>334.63907036165995</v>
      </c>
      <c r="L1309" s="91">
        <v>336.95268790209008</v>
      </c>
      <c r="M1309" s="92">
        <v>848963.22130874929</v>
      </c>
      <c r="N1309" s="90" t="s">
        <v>1317</v>
      </c>
      <c r="O1309" s="25">
        <f t="shared" si="39"/>
        <v>-1.3623606986187253E-3</v>
      </c>
    </row>
    <row r="1310" spans="1:15">
      <c r="A1310" s="91">
        <v>357.9058734815614</v>
      </c>
      <c r="B1310" s="91">
        <v>358.60968341699402</v>
      </c>
      <c r="C1310" s="91">
        <v>356.97054711999971</v>
      </c>
      <c r="D1310" s="91">
        <v>357.87809151042592</v>
      </c>
      <c r="E1310" s="92">
        <v>3465403.1396997939</v>
      </c>
      <c r="F1310" s="90" t="s">
        <v>1318</v>
      </c>
      <c r="G1310" s="25">
        <f t="shared" si="38"/>
        <v>7.7629706300985646E-5</v>
      </c>
      <c r="I1310" s="91">
        <v>337.13630834180674</v>
      </c>
      <c r="J1310" s="91">
        <v>339.41320179429357</v>
      </c>
      <c r="K1310" s="91">
        <v>334.86400540031286</v>
      </c>
      <c r="L1310" s="91">
        <v>335.67652584605918</v>
      </c>
      <c r="M1310" s="92">
        <v>540043.36419739621</v>
      </c>
      <c r="N1310" s="90" t="s">
        <v>1318</v>
      </c>
      <c r="O1310" s="25">
        <f t="shared" si="39"/>
        <v>4.3487774191783846E-3</v>
      </c>
    </row>
    <row r="1311" spans="1:15">
      <c r="A1311" s="91">
        <v>357.30393077362561</v>
      </c>
      <c r="B1311" s="91">
        <v>359.88765408922683</v>
      </c>
      <c r="C1311" s="91">
        <v>356.88720120659315</v>
      </c>
      <c r="D1311" s="91">
        <v>359.77652620468484</v>
      </c>
      <c r="E1311" s="92">
        <v>4739449.888484126</v>
      </c>
      <c r="F1311" s="90" t="s">
        <v>1319</v>
      </c>
      <c r="G1311" s="25">
        <f t="shared" si="38"/>
        <v>-6.87258687258685E-3</v>
      </c>
      <c r="I1311" s="91">
        <v>335.67652584605918</v>
      </c>
      <c r="J1311" s="91">
        <v>339.7437185857836</v>
      </c>
      <c r="K1311" s="91">
        <v>335.31846598861165</v>
      </c>
      <c r="L1311" s="91">
        <v>338.98169376095939</v>
      </c>
      <c r="M1311" s="92">
        <v>832390.99217840144</v>
      </c>
      <c r="N1311" s="90" t="s">
        <v>1319</v>
      </c>
      <c r="O1311" s="25">
        <f t="shared" si="39"/>
        <v>-9.7502843832945052E-3</v>
      </c>
    </row>
    <row r="1312" spans="1:15">
      <c r="A1312" s="91">
        <v>357.5817504849806</v>
      </c>
      <c r="B1312" s="91">
        <v>358.63746538812944</v>
      </c>
      <c r="C1312" s="91">
        <v>357.40579800112243</v>
      </c>
      <c r="D1312" s="91">
        <v>358.41520961904547</v>
      </c>
      <c r="E1312" s="92">
        <v>3640256.8236341649</v>
      </c>
      <c r="F1312" s="90" t="s">
        <v>1320</v>
      </c>
      <c r="G1312" s="25">
        <f t="shared" ref="G1312:G1375" si="40">A1312/D1312-1</f>
        <v>-2.325401131695104E-3</v>
      </c>
      <c r="I1312" s="91">
        <v>335.90605139570499</v>
      </c>
      <c r="J1312" s="91">
        <v>340.12014048720272</v>
      </c>
      <c r="K1312" s="91">
        <v>335.54799153825746</v>
      </c>
      <c r="L1312" s="91">
        <v>339.02759887088848</v>
      </c>
      <c r="M1312" s="92">
        <v>627081.60473673837</v>
      </c>
      <c r="N1312" s="90" t="s">
        <v>1320</v>
      </c>
      <c r="O1312" s="25">
        <f t="shared" ref="O1312:O1375" si="41">I1312/L1312-1</f>
        <v>-9.2073550518589897E-3</v>
      </c>
    </row>
    <row r="1313" spans="1:15">
      <c r="A1313" s="91">
        <v>356.88720120659315</v>
      </c>
      <c r="B1313" s="91">
        <v>358.18369319291634</v>
      </c>
      <c r="C1313" s="91">
        <v>356.83163726432218</v>
      </c>
      <c r="D1313" s="91">
        <v>357.72214204578535</v>
      </c>
      <c r="E1313" s="92">
        <v>3256641.4945410164</v>
      </c>
      <c r="F1313" s="90" t="s">
        <v>1321</v>
      </c>
      <c r="G1313" s="25">
        <f t="shared" si="40"/>
        <v>-2.3340485283277479E-3</v>
      </c>
      <c r="I1313" s="91">
        <v>338.67872003542675</v>
      </c>
      <c r="J1313" s="91">
        <v>339.39180485329541</v>
      </c>
      <c r="K1313" s="91">
        <v>334.61962184140498</v>
      </c>
      <c r="L1313" s="91">
        <v>338.52330411358361</v>
      </c>
      <c r="M1313" s="92">
        <v>1090762.0531380237</v>
      </c>
      <c r="N1313" s="90" t="s">
        <v>1321</v>
      </c>
      <c r="O1313" s="25">
        <f t="shared" si="41"/>
        <v>4.5909962461854192E-4</v>
      </c>
    </row>
    <row r="1314" spans="1:15">
      <c r="A1314" s="91">
        <v>356.72977003682536</v>
      </c>
      <c r="B1314" s="91">
        <v>357.22984551726432</v>
      </c>
      <c r="C1314" s="91">
        <v>355.67405513367646</v>
      </c>
      <c r="D1314" s="91">
        <v>356.61864215228337</v>
      </c>
      <c r="E1314" s="92">
        <v>2853690.6043611439</v>
      </c>
      <c r="F1314" s="90" t="s">
        <v>1322</v>
      </c>
      <c r="G1314" s="25">
        <f t="shared" si="40"/>
        <v>3.1161546651437E-4</v>
      </c>
      <c r="I1314" s="91">
        <v>335.25956975487691</v>
      </c>
      <c r="J1314" s="91">
        <v>338.5735857353564</v>
      </c>
      <c r="K1314" s="91">
        <v>334.0528108323299</v>
      </c>
      <c r="L1314" s="91">
        <v>337.64566126082212</v>
      </c>
      <c r="M1314" s="92">
        <v>762540.34074826341</v>
      </c>
      <c r="N1314" s="90" t="s">
        <v>1322</v>
      </c>
      <c r="O1314" s="25">
        <f t="shared" si="41"/>
        <v>-7.0668507838518302E-3</v>
      </c>
    </row>
    <row r="1315" spans="1:15">
      <c r="A1315" s="91">
        <v>356.08152404366376</v>
      </c>
      <c r="B1315" s="91">
        <v>358.16517187882602</v>
      </c>
      <c r="C1315" s="91">
        <v>355.55366659208931</v>
      </c>
      <c r="D1315" s="91">
        <v>357.83178822520006</v>
      </c>
      <c r="E1315" s="92">
        <v>4353694.3224830199</v>
      </c>
      <c r="F1315" s="90" t="s">
        <v>1323</v>
      </c>
      <c r="G1315" s="25">
        <f t="shared" si="40"/>
        <v>-4.891304347826031E-3</v>
      </c>
      <c r="I1315" s="91">
        <v>338.24904072209563</v>
      </c>
      <c r="J1315" s="91">
        <v>342.26242835086936</v>
      </c>
      <c r="K1315" s="91">
        <v>337.64566126082212</v>
      </c>
      <c r="L1315" s="91">
        <v>340.57113743669362</v>
      </c>
      <c r="M1315" s="92">
        <v>744164.93901251501</v>
      </c>
      <c r="N1315" s="90" t="s">
        <v>1323</v>
      </c>
      <c r="O1315" s="25">
        <f t="shared" si="41"/>
        <v>-6.8182428260810113E-3</v>
      </c>
    </row>
    <row r="1316" spans="1:15">
      <c r="A1316" s="91">
        <v>356.83163726432218</v>
      </c>
      <c r="B1316" s="91">
        <v>357.83178822520006</v>
      </c>
      <c r="C1316" s="91">
        <v>355.09063373983105</v>
      </c>
      <c r="D1316" s="91">
        <v>355.32215016596018</v>
      </c>
      <c r="E1316" s="92">
        <v>3198966.3212358109</v>
      </c>
      <c r="F1316" s="90" t="s">
        <v>1324</v>
      </c>
      <c r="G1316" s="25">
        <f t="shared" si="40"/>
        <v>4.2482212202559211E-3</v>
      </c>
      <c r="I1316" s="91">
        <v>340.25116347995771</v>
      </c>
      <c r="J1316" s="91">
        <v>341.88668750453087</v>
      </c>
      <c r="K1316" s="91">
        <v>336.94171855600302</v>
      </c>
      <c r="L1316" s="91">
        <v>340.72655335853682</v>
      </c>
      <c r="M1316" s="92">
        <v>624409.25517221517</v>
      </c>
      <c r="N1316" s="90" t="s">
        <v>1324</v>
      </c>
      <c r="O1316" s="25">
        <f t="shared" si="41"/>
        <v>-1.3952240407834049E-3</v>
      </c>
    </row>
    <row r="1317" spans="1:15">
      <c r="A1317" s="91">
        <v>353.26628430193347</v>
      </c>
      <c r="B1317" s="91">
        <v>356.02596010139274</v>
      </c>
      <c r="C1317" s="91">
        <v>352.84029407785579</v>
      </c>
      <c r="D1317" s="91">
        <v>354.89615994188256</v>
      </c>
      <c r="E1317" s="92">
        <v>3852267.6982864058</v>
      </c>
      <c r="F1317" s="90" t="s">
        <v>1325</v>
      </c>
      <c r="G1317" s="25">
        <f t="shared" si="40"/>
        <v>-4.5925423374995056E-3</v>
      </c>
      <c r="I1317" s="91">
        <v>338.67872003542675</v>
      </c>
      <c r="J1317" s="91">
        <v>344.67594619596338</v>
      </c>
      <c r="K1317" s="91">
        <v>337.56539350824664</v>
      </c>
      <c r="L1317" s="91">
        <v>340.58027954974324</v>
      </c>
      <c r="M1317" s="92">
        <v>746587.79244692682</v>
      </c>
      <c r="N1317" s="90" t="s">
        <v>1325</v>
      </c>
      <c r="O1317" s="25">
        <f t="shared" si="41"/>
        <v>-5.5832930692005789E-3</v>
      </c>
    </row>
    <row r="1318" spans="1:15">
      <c r="A1318" s="91">
        <v>353.53484335624319</v>
      </c>
      <c r="B1318" s="91">
        <v>354.67390417279859</v>
      </c>
      <c r="C1318" s="91">
        <v>350.46956587429338</v>
      </c>
      <c r="D1318" s="91">
        <v>350.58069375883537</v>
      </c>
      <c r="E1318" s="92">
        <v>5158072.4528543055</v>
      </c>
      <c r="F1318" s="90" t="s">
        <v>1326</v>
      </c>
      <c r="G1318" s="25">
        <f t="shared" si="40"/>
        <v>8.4264468922523594E-3</v>
      </c>
      <c r="I1318" s="91">
        <v>340.05003699286652</v>
      </c>
      <c r="J1318" s="91">
        <v>342.18929144647257</v>
      </c>
      <c r="K1318" s="91">
        <v>339.27295738365063</v>
      </c>
      <c r="L1318" s="91">
        <v>339.32781006194824</v>
      </c>
      <c r="M1318" s="92">
        <v>860631.44891273545</v>
      </c>
      <c r="N1318" s="90" t="s">
        <v>1326</v>
      </c>
      <c r="O1318" s="25">
        <f t="shared" si="41"/>
        <v>2.128404774092818E-3</v>
      </c>
    </row>
    <row r="1319" spans="1:15">
      <c r="A1319" s="91">
        <v>349.80279856704146</v>
      </c>
      <c r="B1319" s="91">
        <v>349.90466579453829</v>
      </c>
      <c r="C1319" s="91">
        <v>345.07060281696181</v>
      </c>
      <c r="D1319" s="91">
        <v>346.4041374314657</v>
      </c>
      <c r="E1319" s="92">
        <v>5492342.4711588901</v>
      </c>
      <c r="F1319" s="90" t="s">
        <v>1327</v>
      </c>
      <c r="G1319" s="25">
        <f t="shared" si="40"/>
        <v>9.8112602256321679E-3</v>
      </c>
      <c r="I1319" s="91">
        <v>339.08097300960907</v>
      </c>
      <c r="J1319" s="91">
        <v>339.17239414010504</v>
      </c>
      <c r="K1319" s="91">
        <v>332.33409357900535</v>
      </c>
      <c r="L1319" s="91">
        <v>336.68573939061423</v>
      </c>
      <c r="M1319" s="92">
        <v>749613.35118263005</v>
      </c>
      <c r="N1319" s="90" t="s">
        <v>1327</v>
      </c>
      <c r="O1319" s="25">
        <f t="shared" si="41"/>
        <v>7.1141522754427644E-3</v>
      </c>
    </row>
    <row r="1320" spans="1:15">
      <c r="A1320" s="91">
        <v>350.72886427155805</v>
      </c>
      <c r="B1320" s="91">
        <v>354.19235000645</v>
      </c>
      <c r="C1320" s="91">
        <v>350.55291178769988</v>
      </c>
      <c r="D1320" s="91">
        <v>353.98861555145635</v>
      </c>
      <c r="E1320" s="92">
        <v>3378064.8443655306</v>
      </c>
      <c r="F1320" s="90" t="s">
        <v>1328</v>
      </c>
      <c r="G1320" s="25">
        <f t="shared" si="40"/>
        <v>-9.2086330935251537E-3</v>
      </c>
      <c r="I1320" s="91">
        <v>336.99657123430063</v>
      </c>
      <c r="J1320" s="91">
        <v>341.64990677654623</v>
      </c>
      <c r="K1320" s="91">
        <v>336.9051501038046</v>
      </c>
      <c r="L1320" s="91">
        <v>339.96775797542011</v>
      </c>
      <c r="M1320" s="92">
        <v>805009.73462838505</v>
      </c>
      <c r="N1320" s="90" t="s">
        <v>1328</v>
      </c>
      <c r="O1320" s="25">
        <f t="shared" si="41"/>
        <v>-8.7396133057250358E-3</v>
      </c>
    </row>
    <row r="1321" spans="1:15">
      <c r="A1321" s="91">
        <v>353.78488109646264</v>
      </c>
      <c r="B1321" s="91">
        <v>354.45164840371461</v>
      </c>
      <c r="C1321" s="91">
        <v>351.9049677162941</v>
      </c>
      <c r="D1321" s="91">
        <v>353.66449255487549</v>
      </c>
      <c r="E1321" s="92">
        <v>4083497.5116307889</v>
      </c>
      <c r="F1321" s="90" t="s">
        <v>1329</v>
      </c>
      <c r="G1321" s="25">
        <f t="shared" si="40"/>
        <v>3.4040324692319324E-4</v>
      </c>
      <c r="I1321" s="91">
        <v>340.88196928037996</v>
      </c>
      <c r="J1321" s="91">
        <v>342.53669174235733</v>
      </c>
      <c r="K1321" s="91">
        <v>339.49693915336582</v>
      </c>
      <c r="L1321" s="91">
        <v>340.54371109754481</v>
      </c>
      <c r="M1321" s="92">
        <v>709829.33210227394</v>
      </c>
      <c r="N1321" s="90" t="s">
        <v>1329</v>
      </c>
      <c r="O1321" s="25">
        <f t="shared" si="41"/>
        <v>9.9328859060410224E-4</v>
      </c>
    </row>
    <row r="1322" spans="1:15">
      <c r="A1322" s="91">
        <v>354.63686154461794</v>
      </c>
      <c r="B1322" s="91">
        <v>355.41475673641185</v>
      </c>
      <c r="C1322" s="91">
        <v>351.72901523243593</v>
      </c>
      <c r="D1322" s="91">
        <v>351.72901523243593</v>
      </c>
      <c r="E1322" s="92">
        <v>5580510.0812990619</v>
      </c>
      <c r="F1322" s="90" t="s">
        <v>1330</v>
      </c>
      <c r="G1322" s="25">
        <f t="shared" si="40"/>
        <v>8.2672915405070935E-3</v>
      </c>
      <c r="I1322" s="91">
        <v>339.73006303613056</v>
      </c>
      <c r="J1322" s="91">
        <v>340.90939561952877</v>
      </c>
      <c r="K1322" s="91">
        <v>338.39988558741396</v>
      </c>
      <c r="L1322" s="91">
        <v>339.17239414010504</v>
      </c>
      <c r="M1322" s="92">
        <v>828353.35320345534</v>
      </c>
      <c r="N1322" s="90" t="s">
        <v>1330</v>
      </c>
      <c r="O1322" s="25">
        <f t="shared" si="41"/>
        <v>1.6442048517519847E-3</v>
      </c>
    </row>
    <row r="1323" spans="1:15">
      <c r="A1323" s="91">
        <v>349.27494111546707</v>
      </c>
      <c r="B1323" s="91">
        <v>351.02520529700337</v>
      </c>
      <c r="C1323" s="91">
        <v>346.50600465896252</v>
      </c>
      <c r="D1323" s="91">
        <v>346.54304728714317</v>
      </c>
      <c r="E1323" s="92">
        <v>7762074.5104176719</v>
      </c>
      <c r="F1323" s="90" t="s">
        <v>1331</v>
      </c>
      <c r="G1323" s="25">
        <f t="shared" si="40"/>
        <v>7.8832740974319471E-3</v>
      </c>
      <c r="I1323" s="91">
        <v>338.3130355134428</v>
      </c>
      <c r="J1323" s="91">
        <v>340.78140603683437</v>
      </c>
      <c r="K1323" s="91">
        <v>331.43816650014475</v>
      </c>
      <c r="L1323" s="91">
        <v>331.70328777858305</v>
      </c>
      <c r="M1323" s="92">
        <v>832243.04476678174</v>
      </c>
      <c r="N1323" s="90" t="s">
        <v>1331</v>
      </c>
      <c r="O1323" s="25">
        <f t="shared" si="41"/>
        <v>1.9926687429374645E-2</v>
      </c>
    </row>
    <row r="1324" spans="1:15">
      <c r="A1324" s="91">
        <v>345.17247004445869</v>
      </c>
      <c r="B1324" s="91">
        <v>351.22893975199696</v>
      </c>
      <c r="C1324" s="91">
        <v>344.6168306217487</v>
      </c>
      <c r="D1324" s="91">
        <v>350.08987893544162</v>
      </c>
      <c r="E1324" s="92">
        <v>8322779.8658449799</v>
      </c>
      <c r="F1324" s="90" t="s">
        <v>1332</v>
      </c>
      <c r="G1324" s="25">
        <f t="shared" si="40"/>
        <v>-1.4046132684371937E-2</v>
      </c>
      <c r="I1324" s="91">
        <v>331.99583539617021</v>
      </c>
      <c r="J1324" s="91">
        <v>339.70263669698176</v>
      </c>
      <c r="K1324" s="91">
        <v>331.96840905702146</v>
      </c>
      <c r="L1324" s="91">
        <v>336.99657123430063</v>
      </c>
      <c r="M1324" s="92">
        <v>1093716.5123372769</v>
      </c>
      <c r="N1324" s="90" t="s">
        <v>1332</v>
      </c>
      <c r="O1324" s="25">
        <f t="shared" si="41"/>
        <v>-1.4839129727090339E-2</v>
      </c>
    </row>
    <row r="1325" spans="1:15">
      <c r="A1325" s="91">
        <v>352.70138422217832</v>
      </c>
      <c r="B1325" s="91">
        <v>353.51632204215292</v>
      </c>
      <c r="C1325" s="91">
        <v>349.08046731751853</v>
      </c>
      <c r="D1325" s="91">
        <v>351.67345129016491</v>
      </c>
      <c r="E1325" s="92">
        <v>7646866.7022895264</v>
      </c>
      <c r="F1325" s="90" t="s">
        <v>1333</v>
      </c>
      <c r="G1325" s="25">
        <f t="shared" si="40"/>
        <v>2.9229756418698294E-3</v>
      </c>
      <c r="I1325" s="91">
        <v>336.70402361671347</v>
      </c>
      <c r="J1325" s="91">
        <v>341.98816495938138</v>
      </c>
      <c r="K1325" s="91">
        <v>334.58305338920661</v>
      </c>
      <c r="L1325" s="91">
        <v>340.11403178421369</v>
      </c>
      <c r="M1325" s="92">
        <v>1044117.4757097532</v>
      </c>
      <c r="N1325" s="90" t="s">
        <v>1333</v>
      </c>
      <c r="O1325" s="25">
        <f t="shared" si="41"/>
        <v>-1.0026073166142457E-2</v>
      </c>
    </row>
    <row r="1326" spans="1:15">
      <c r="A1326" s="91">
        <v>355.82222564639915</v>
      </c>
      <c r="B1326" s="91">
        <v>359.92469671740753</v>
      </c>
      <c r="C1326" s="91">
        <v>355.69257644776678</v>
      </c>
      <c r="D1326" s="91">
        <v>359.6931802912784</v>
      </c>
      <c r="E1326" s="92">
        <v>6417144.0223048562</v>
      </c>
      <c r="F1326" s="90" t="s">
        <v>1334</v>
      </c>
      <c r="G1326" s="25">
        <f t="shared" si="40"/>
        <v>-1.0761823845936047E-2</v>
      </c>
      <c r="I1326" s="91">
        <v>341.73218579399264</v>
      </c>
      <c r="J1326" s="91">
        <v>346.12954217084956</v>
      </c>
      <c r="K1326" s="91">
        <v>341.27508014151272</v>
      </c>
      <c r="L1326" s="91">
        <v>341.27508014151272</v>
      </c>
      <c r="M1326" s="92">
        <v>782046.7720330779</v>
      </c>
      <c r="N1326" s="90" t="s">
        <v>1334</v>
      </c>
      <c r="O1326" s="25">
        <f t="shared" si="41"/>
        <v>1.3394053040449716E-3</v>
      </c>
    </row>
    <row r="1327" spans="1:15">
      <c r="A1327" s="91">
        <v>359.34127532356206</v>
      </c>
      <c r="B1327" s="91">
        <v>359.94321803149785</v>
      </c>
      <c r="C1327" s="91">
        <v>356.84089792136734</v>
      </c>
      <c r="D1327" s="91">
        <v>357.47988325748378</v>
      </c>
      <c r="E1327" s="92">
        <v>3797376.3447333262</v>
      </c>
      <c r="F1327" s="90" t="s">
        <v>1335</v>
      </c>
      <c r="G1327" s="25">
        <f t="shared" si="40"/>
        <v>5.2069840940882628E-3</v>
      </c>
      <c r="I1327" s="91">
        <v>338.83413595726989</v>
      </c>
      <c r="J1327" s="91">
        <v>340.73112441506157</v>
      </c>
      <c r="K1327" s="91">
        <v>334.82989044154579</v>
      </c>
      <c r="L1327" s="91">
        <v>337.50852956507816</v>
      </c>
      <c r="M1327" s="92">
        <v>1049690.5855284114</v>
      </c>
      <c r="N1327" s="90" t="s">
        <v>1335</v>
      </c>
      <c r="O1327" s="25">
        <f t="shared" si="41"/>
        <v>3.9276233815481731E-3</v>
      </c>
    </row>
    <row r="1328" spans="1:15">
      <c r="A1328" s="91">
        <v>356.79459463614148</v>
      </c>
      <c r="B1328" s="91">
        <v>356.87794054954804</v>
      </c>
      <c r="C1328" s="91">
        <v>352.15500545651355</v>
      </c>
      <c r="D1328" s="91">
        <v>353.99787620850151</v>
      </c>
      <c r="E1328" s="92">
        <v>5115499.8796473304</v>
      </c>
      <c r="F1328" s="90" t="s">
        <v>1336</v>
      </c>
      <c r="G1328" s="25">
        <f t="shared" si="40"/>
        <v>7.9003819389942276E-3</v>
      </c>
      <c r="I1328" s="91">
        <v>338.30389340039324</v>
      </c>
      <c r="J1328" s="91">
        <v>343.67945587355712</v>
      </c>
      <c r="K1328" s="91">
        <v>336.70402361671347</v>
      </c>
      <c r="L1328" s="91">
        <v>341.92417016803421</v>
      </c>
      <c r="M1328" s="92">
        <v>1173379.7144929301</v>
      </c>
      <c r="N1328" s="90" t="s">
        <v>1336</v>
      </c>
      <c r="O1328" s="25">
        <f t="shared" si="41"/>
        <v>-1.0587952193791494E-2</v>
      </c>
    </row>
    <row r="1329" spans="1:15">
      <c r="A1329" s="91">
        <v>353.91453029509501</v>
      </c>
      <c r="B1329" s="91">
        <v>355.52588462095383</v>
      </c>
      <c r="C1329" s="91">
        <v>353.23850233079793</v>
      </c>
      <c r="D1329" s="91">
        <v>355.34993213709572</v>
      </c>
      <c r="E1329" s="92">
        <v>4762794.8843030632</v>
      </c>
      <c r="F1329" s="90" t="s">
        <v>1337</v>
      </c>
      <c r="G1329" s="25">
        <f t="shared" si="40"/>
        <v>-4.0394037318879361E-3</v>
      </c>
      <c r="I1329" s="91">
        <v>340.99167463697518</v>
      </c>
      <c r="J1329" s="91">
        <v>341.22169020130309</v>
      </c>
      <c r="K1329" s="91">
        <v>335.03101692863697</v>
      </c>
      <c r="L1329" s="91">
        <v>336.85029742550699</v>
      </c>
      <c r="M1329" s="92">
        <v>1592478.6666950425</v>
      </c>
      <c r="N1329" s="90" t="s">
        <v>1337</v>
      </c>
      <c r="O1329" s="25">
        <f t="shared" si="41"/>
        <v>1.229441459045777E-2</v>
      </c>
    </row>
    <row r="1330" spans="1:15">
      <c r="A1330" s="91">
        <v>353.84970569577888</v>
      </c>
      <c r="B1330" s="91">
        <v>354.6461222016631</v>
      </c>
      <c r="C1330" s="91">
        <v>350.46956587429338</v>
      </c>
      <c r="D1330" s="91">
        <v>354.2386532916758</v>
      </c>
      <c r="E1330" s="92">
        <v>5923603.4476232836</v>
      </c>
      <c r="F1330" s="90" t="s">
        <v>1338</v>
      </c>
      <c r="G1330" s="25">
        <f t="shared" si="40"/>
        <v>-1.0979818048728607E-3</v>
      </c>
      <c r="I1330" s="91">
        <v>336.53946558182071</v>
      </c>
      <c r="J1330" s="91">
        <v>336.89609941188553</v>
      </c>
      <c r="K1330" s="91">
        <v>330.48738674298647</v>
      </c>
      <c r="L1330" s="91">
        <v>331.52958763064066</v>
      </c>
      <c r="M1330" s="92">
        <v>1234715.6438298163</v>
      </c>
      <c r="N1330" s="90" t="s">
        <v>1338</v>
      </c>
      <c r="O1330" s="25">
        <f t="shared" si="41"/>
        <v>1.5111405250386234E-2</v>
      </c>
    </row>
    <row r="1331" spans="1:15">
      <c r="A1331" s="91">
        <v>356.01669944434758</v>
      </c>
      <c r="B1331" s="91">
        <v>357.40579800112243</v>
      </c>
      <c r="C1331" s="91">
        <v>355.57218790617964</v>
      </c>
      <c r="D1331" s="91">
        <v>357.05389303340615</v>
      </c>
      <c r="E1331" s="92">
        <v>4514595.432710167</v>
      </c>
      <c r="F1331" s="90" t="s">
        <v>1339</v>
      </c>
      <c r="G1331" s="25">
        <f t="shared" si="40"/>
        <v>-2.9048656499637282E-3</v>
      </c>
      <c r="I1331" s="91">
        <v>330.03028109050655</v>
      </c>
      <c r="J1331" s="91">
        <v>331.70328777858305</v>
      </c>
      <c r="K1331" s="91">
        <v>321.83894779806627</v>
      </c>
      <c r="L1331" s="91">
        <v>321.83894779806627</v>
      </c>
      <c r="M1331" s="92">
        <v>1139443.3588258312</v>
      </c>
      <c r="N1331" s="90" t="s">
        <v>1339</v>
      </c>
      <c r="O1331" s="25">
        <f t="shared" si="41"/>
        <v>2.5451653221224779E-2</v>
      </c>
    </row>
    <row r="1332" spans="1:15">
      <c r="A1332" s="91">
        <v>355.2110222814182</v>
      </c>
      <c r="B1332" s="91">
        <v>356.3130404697929</v>
      </c>
      <c r="C1332" s="91">
        <v>354.43312708962429</v>
      </c>
      <c r="D1332" s="91">
        <v>355.52588462095383</v>
      </c>
      <c r="E1332" s="92">
        <v>5635891.6808441756</v>
      </c>
      <c r="F1332" s="90" t="s">
        <v>1340</v>
      </c>
      <c r="G1332" s="25">
        <f t="shared" si="40"/>
        <v>-8.8562423484672692E-4</v>
      </c>
      <c r="I1332" s="91">
        <v>324.03305492996992</v>
      </c>
      <c r="J1332" s="91">
        <v>326.26373051407194</v>
      </c>
      <c r="K1332" s="91">
        <v>322.01264794600866</v>
      </c>
      <c r="L1332" s="91">
        <v>323.4753860339444</v>
      </c>
      <c r="M1332" s="92">
        <v>1394908.3686467898</v>
      </c>
      <c r="N1332" s="90" t="s">
        <v>1340</v>
      </c>
      <c r="O1332" s="25">
        <f t="shared" si="41"/>
        <v>1.723991747449416E-3</v>
      </c>
    </row>
    <row r="1333" spans="1:15">
      <c r="A1333" s="91">
        <v>357.57248982793544</v>
      </c>
      <c r="B1333" s="91">
        <v>358.14665056473569</v>
      </c>
      <c r="C1333" s="91">
        <v>354.50721234598564</v>
      </c>
      <c r="D1333" s="91">
        <v>357.83178822520006</v>
      </c>
      <c r="E1333" s="92">
        <v>4545984.1342442278</v>
      </c>
      <c r="F1333" s="90" t="s">
        <v>1341</v>
      </c>
      <c r="G1333" s="25">
        <f t="shared" si="40"/>
        <v>-7.246376811593791E-4</v>
      </c>
      <c r="I1333" s="91">
        <v>322.00350583295909</v>
      </c>
      <c r="J1333" s="91">
        <v>323.78621787763075</v>
      </c>
      <c r="K1333" s="91">
        <v>312.30372388733502</v>
      </c>
      <c r="L1333" s="91">
        <v>312.66026629626936</v>
      </c>
      <c r="M1333" s="92">
        <v>1444847.5892102513</v>
      </c>
      <c r="N1333" s="90" t="s">
        <v>1341</v>
      </c>
      <c r="O1333" s="25">
        <f t="shared" si="41"/>
        <v>2.9883040935672733E-2</v>
      </c>
    </row>
    <row r="1334" spans="1:15">
      <c r="A1334" s="91">
        <v>355.20176162437303</v>
      </c>
      <c r="B1334" s="91">
        <v>356.69198655608108</v>
      </c>
      <c r="C1334" s="91">
        <v>354.90542059892772</v>
      </c>
      <c r="D1334" s="91">
        <v>355.701837104812</v>
      </c>
      <c r="E1334" s="92">
        <v>4276574.5245554177</v>
      </c>
      <c r="F1334" s="90" t="s">
        <v>1342</v>
      </c>
      <c r="G1334" s="25">
        <f t="shared" si="40"/>
        <v>-1.4058838844052124E-3</v>
      </c>
      <c r="I1334" s="91">
        <v>309.34167925926511</v>
      </c>
      <c r="J1334" s="91">
        <v>311.07868073868877</v>
      </c>
      <c r="K1334" s="91">
        <v>307.69609891033735</v>
      </c>
      <c r="L1334" s="91">
        <v>311.07868073868877</v>
      </c>
      <c r="M1334" s="92">
        <v>835215.00539039192</v>
      </c>
      <c r="N1334" s="90" t="s">
        <v>1342</v>
      </c>
      <c r="O1334" s="25">
        <f t="shared" si="41"/>
        <v>-5.5838010991270393E-3</v>
      </c>
    </row>
    <row r="1335" spans="1:15">
      <c r="A1335" s="91">
        <v>355.36845345118604</v>
      </c>
      <c r="B1335" s="91">
        <v>355.96113550207662</v>
      </c>
      <c r="C1335" s="91">
        <v>354.42386643257913</v>
      </c>
      <c r="D1335" s="91">
        <v>355.79444367526361</v>
      </c>
      <c r="E1335" s="92">
        <v>3639743.9010654064</v>
      </c>
      <c r="F1335" s="90" t="s">
        <v>1343</v>
      </c>
      <c r="G1335" s="25">
        <f t="shared" si="40"/>
        <v>-1.1972930765224987E-3</v>
      </c>
      <c r="I1335" s="91">
        <v>310.71299621670488</v>
      </c>
      <c r="J1335" s="91">
        <v>311.62720752166473</v>
      </c>
      <c r="K1335" s="91">
        <v>307.19831085478677</v>
      </c>
      <c r="L1335" s="91">
        <v>308.44575218040444</v>
      </c>
      <c r="M1335" s="92">
        <v>807438.05725790828</v>
      </c>
      <c r="N1335" s="90" t="s">
        <v>1343</v>
      </c>
      <c r="O1335" s="25">
        <f t="shared" si="41"/>
        <v>7.3505438809686741E-3</v>
      </c>
    </row>
    <row r="1336" spans="1:15">
      <c r="A1336" s="91">
        <v>355.47958133572803</v>
      </c>
      <c r="B1336" s="91">
        <v>356.02596010139274</v>
      </c>
      <c r="C1336" s="91">
        <v>354.97950585528906</v>
      </c>
      <c r="D1336" s="91">
        <v>355.35919279414088</v>
      </c>
      <c r="E1336" s="92">
        <v>3374721.6690542107</v>
      </c>
      <c r="F1336" s="90" t="s">
        <v>1344</v>
      </c>
      <c r="G1336" s="25">
        <f t="shared" si="40"/>
        <v>3.387798712637391E-4</v>
      </c>
      <c r="I1336" s="91">
        <v>308.82057881543801</v>
      </c>
      <c r="J1336" s="91">
        <v>313.56533548817964</v>
      </c>
      <c r="K1336" s="91">
        <v>307.68695679728779</v>
      </c>
      <c r="L1336" s="91">
        <v>312.70597686151734</v>
      </c>
      <c r="M1336" s="92">
        <v>976280.8610632919</v>
      </c>
      <c r="N1336" s="90" t="s">
        <v>1344</v>
      </c>
      <c r="O1336" s="25">
        <f t="shared" si="41"/>
        <v>-1.2425084052039015E-2</v>
      </c>
    </row>
    <row r="1337" spans="1:15">
      <c r="A1337" s="91">
        <v>354.71094680097923</v>
      </c>
      <c r="B1337" s="91">
        <v>356.03059042991532</v>
      </c>
      <c r="C1337" s="91">
        <v>351.40489223585513</v>
      </c>
      <c r="D1337" s="91">
        <v>351.50675946335195</v>
      </c>
      <c r="E1337" s="92">
        <v>4085249.0072234767</v>
      </c>
      <c r="F1337" s="90" t="s">
        <v>1345</v>
      </c>
      <c r="G1337" s="25">
        <f t="shared" si="40"/>
        <v>9.1155781542271441E-3</v>
      </c>
      <c r="I1337" s="91">
        <v>312.69683474846778</v>
      </c>
      <c r="J1337" s="91">
        <v>314.30584664519711</v>
      </c>
      <c r="K1337" s="91">
        <v>310.93249835102574</v>
      </c>
      <c r="L1337" s="91">
        <v>313.53790914903078</v>
      </c>
      <c r="M1337" s="92">
        <v>1108178.1580512081</v>
      </c>
      <c r="N1337" s="90" t="s">
        <v>1345</v>
      </c>
      <c r="O1337" s="25">
        <f t="shared" si="41"/>
        <v>-2.6825285747607008E-3</v>
      </c>
    </row>
    <row r="1338" spans="1:15">
      <c r="A1338" s="91">
        <v>350.96964135473235</v>
      </c>
      <c r="B1338" s="91">
        <v>354.78966238586315</v>
      </c>
      <c r="C1338" s="91">
        <v>350.01579367908028</v>
      </c>
      <c r="D1338" s="91">
        <v>354.05344015077247</v>
      </c>
      <c r="E1338" s="92">
        <v>4281570.9302936215</v>
      </c>
      <c r="F1338" s="90" t="s">
        <v>1346</v>
      </c>
      <c r="G1338" s="25">
        <f t="shared" si="40"/>
        <v>-8.7099811676082384E-3</v>
      </c>
      <c r="I1338" s="91">
        <v>313.96758846236196</v>
      </c>
      <c r="J1338" s="91">
        <v>315.57660035909129</v>
      </c>
      <c r="K1338" s="91">
        <v>312.45913980917817</v>
      </c>
      <c r="L1338" s="91">
        <v>314.60753637583383</v>
      </c>
      <c r="M1338" s="92">
        <v>796409.97223500127</v>
      </c>
      <c r="N1338" s="90" t="s">
        <v>1346</v>
      </c>
      <c r="O1338" s="25">
        <f t="shared" si="41"/>
        <v>-2.0341150146746534E-3</v>
      </c>
    </row>
    <row r="1339" spans="1:15">
      <c r="A1339" s="91">
        <v>354.22013197758548</v>
      </c>
      <c r="B1339" s="91">
        <v>354.37756314735333</v>
      </c>
      <c r="C1339" s="91">
        <v>350.18248550589323</v>
      </c>
      <c r="D1339" s="91">
        <v>350.31213470452553</v>
      </c>
      <c r="E1339" s="92">
        <v>3930693.0191311222</v>
      </c>
      <c r="F1339" s="90" t="s">
        <v>1347</v>
      </c>
      <c r="G1339" s="25">
        <f t="shared" si="40"/>
        <v>1.1155757639843555E-2</v>
      </c>
      <c r="I1339" s="91">
        <v>315.87829008972801</v>
      </c>
      <c r="J1339" s="91">
        <v>316.81992773383672</v>
      </c>
      <c r="K1339" s="91">
        <v>314.06358064938274</v>
      </c>
      <c r="L1339" s="91">
        <v>315.51260556774412</v>
      </c>
      <c r="M1339" s="92">
        <v>818992.27885054541</v>
      </c>
      <c r="N1339" s="90" t="s">
        <v>1347</v>
      </c>
      <c r="O1339" s="25">
        <f t="shared" si="41"/>
        <v>1.1590171534536786E-3</v>
      </c>
    </row>
    <row r="1340" spans="1:15">
      <c r="A1340" s="91">
        <v>350.92333806950649</v>
      </c>
      <c r="B1340" s="91">
        <v>352.97920393353331</v>
      </c>
      <c r="C1340" s="91">
        <v>349.55739115534453</v>
      </c>
      <c r="D1340" s="91">
        <v>352.3587399115072</v>
      </c>
      <c r="E1340" s="92">
        <v>4434608.6675824504</v>
      </c>
      <c r="F1340" s="90" t="s">
        <v>1348</v>
      </c>
      <c r="G1340" s="25">
        <f t="shared" si="40"/>
        <v>-4.0736944466347458E-3</v>
      </c>
      <c r="I1340" s="91">
        <v>315.5308897938433</v>
      </c>
      <c r="J1340" s="91">
        <v>316.87478041213427</v>
      </c>
      <c r="K1340" s="91">
        <v>313.72075141002279</v>
      </c>
      <c r="L1340" s="91">
        <v>315.22005795015696</v>
      </c>
      <c r="M1340" s="92">
        <v>875404.83874802431</v>
      </c>
      <c r="N1340" s="90" t="s">
        <v>1348</v>
      </c>
      <c r="O1340" s="25">
        <f t="shared" si="41"/>
        <v>9.860788863109704E-4</v>
      </c>
    </row>
    <row r="1341" spans="1:15">
      <c r="A1341" s="91">
        <v>353.51632204215292</v>
      </c>
      <c r="B1341" s="91">
        <v>354.76651074325025</v>
      </c>
      <c r="C1341" s="91">
        <v>352.24761202696521</v>
      </c>
      <c r="D1341" s="91">
        <v>354.33125986212747</v>
      </c>
      <c r="E1341" s="92">
        <v>4260759.2320458591</v>
      </c>
      <c r="F1341" s="90" t="s">
        <v>1349</v>
      </c>
      <c r="G1341" s="25">
        <f t="shared" si="40"/>
        <v>-2.2999320474621499E-3</v>
      </c>
      <c r="I1341" s="91">
        <v>315.07378414136338</v>
      </c>
      <c r="J1341" s="91">
        <v>317.45987564730859</v>
      </c>
      <c r="K1341" s="91">
        <v>313.39163534023726</v>
      </c>
      <c r="L1341" s="91">
        <v>317.2313228210686</v>
      </c>
      <c r="M1341" s="92">
        <v>894164.1779806026</v>
      </c>
      <c r="N1341" s="90" t="s">
        <v>1349</v>
      </c>
      <c r="O1341" s="25">
        <f t="shared" si="41"/>
        <v>-6.8011527377520586E-3</v>
      </c>
    </row>
    <row r="1342" spans="1:15">
      <c r="A1342" s="91">
        <v>355.26658622368922</v>
      </c>
      <c r="B1342" s="91">
        <v>355.7481403900378</v>
      </c>
      <c r="C1342" s="91">
        <v>353.93305160918533</v>
      </c>
      <c r="D1342" s="91">
        <v>355.19990949296397</v>
      </c>
      <c r="E1342" s="92">
        <v>3512125.5264472733</v>
      </c>
      <c r="F1342" s="90" t="s">
        <v>1350</v>
      </c>
      <c r="G1342" s="25">
        <f t="shared" si="40"/>
        <v>1.8771606901712978E-4</v>
      </c>
      <c r="I1342" s="91">
        <v>316.71022237724151</v>
      </c>
      <c r="J1342" s="91">
        <v>317.98097609113569</v>
      </c>
      <c r="K1342" s="91">
        <v>314.18699917555233</v>
      </c>
      <c r="L1342" s="91">
        <v>316.84735407298547</v>
      </c>
      <c r="M1342" s="92">
        <v>2042505.9172529075</v>
      </c>
      <c r="N1342" s="90" t="s">
        <v>1350</v>
      </c>
      <c r="O1342" s="25">
        <f t="shared" si="41"/>
        <v>-4.3280050781924206E-4</v>
      </c>
    </row>
    <row r="1343" spans="1:15">
      <c r="A1343" s="91">
        <v>354.02565817963699</v>
      </c>
      <c r="B1343" s="91">
        <v>354.25717460576618</v>
      </c>
      <c r="C1343" s="91">
        <v>352.16426611355865</v>
      </c>
      <c r="D1343" s="91">
        <v>352.21056939878451</v>
      </c>
      <c r="E1343" s="92">
        <v>3859151.6590776411</v>
      </c>
      <c r="F1343" s="90" t="s">
        <v>1351</v>
      </c>
      <c r="G1343" s="25">
        <f t="shared" si="40"/>
        <v>5.1534193989430932E-3</v>
      </c>
      <c r="I1343" s="91">
        <v>315.02807357611533</v>
      </c>
      <c r="J1343" s="91">
        <v>315.97885333327361</v>
      </c>
      <c r="K1343" s="91">
        <v>311.37122835627594</v>
      </c>
      <c r="L1343" s="91">
        <v>312.5231346005254</v>
      </c>
      <c r="M1343" s="92">
        <v>930400.87711161457</v>
      </c>
      <c r="N1343" s="90" t="s">
        <v>1351</v>
      </c>
      <c r="O1343" s="25">
        <f t="shared" si="41"/>
        <v>8.0152113500071565E-3</v>
      </c>
    </row>
    <row r="1344" spans="1:15">
      <c r="A1344" s="91">
        <v>350.26583141929979</v>
      </c>
      <c r="B1344" s="91">
        <v>352.37726122559752</v>
      </c>
      <c r="C1344" s="91">
        <v>349.77501659590598</v>
      </c>
      <c r="D1344" s="91">
        <v>351.40489223585513</v>
      </c>
      <c r="E1344" s="92">
        <v>3985739.8692103093</v>
      </c>
      <c r="F1344" s="90" t="s">
        <v>1352</v>
      </c>
      <c r="G1344" s="25">
        <f t="shared" si="40"/>
        <v>-3.2414483740050848E-3</v>
      </c>
      <c r="I1344" s="91">
        <v>312.49570826137659</v>
      </c>
      <c r="J1344" s="91">
        <v>313.93102001016354</v>
      </c>
      <c r="K1344" s="91">
        <v>309.58851631160422</v>
      </c>
      <c r="L1344" s="91">
        <v>310.13704309458018</v>
      </c>
      <c r="M1344" s="92">
        <v>806290.62012350745</v>
      </c>
      <c r="N1344" s="90" t="s">
        <v>1352</v>
      </c>
      <c r="O1344" s="25">
        <f t="shared" si="41"/>
        <v>7.6052352316944294E-3</v>
      </c>
    </row>
    <row r="1345" spans="1:15">
      <c r="A1345" s="91">
        <v>351.39563157880997</v>
      </c>
      <c r="B1345" s="91">
        <v>352.01609560083608</v>
      </c>
      <c r="C1345" s="91">
        <v>349.97875105089963</v>
      </c>
      <c r="D1345" s="91">
        <v>350.39548061793209</v>
      </c>
      <c r="E1345" s="92">
        <v>3223888.9588925508</v>
      </c>
      <c r="F1345" s="90" t="s">
        <v>1353</v>
      </c>
      <c r="G1345" s="25">
        <f t="shared" si="40"/>
        <v>2.8543489177259573E-3</v>
      </c>
      <c r="I1345" s="91">
        <v>309.56108997245548</v>
      </c>
      <c r="J1345" s="91">
        <v>311.0766694738179</v>
      </c>
      <c r="K1345" s="91">
        <v>308.99427896338034</v>
      </c>
      <c r="L1345" s="91">
        <v>309.890206042241</v>
      </c>
      <c r="M1345" s="92">
        <v>854434.85085136187</v>
      </c>
      <c r="N1345" s="90" t="s">
        <v>1353</v>
      </c>
      <c r="O1345" s="25">
        <f t="shared" si="41"/>
        <v>-1.0620408885742005E-3</v>
      </c>
    </row>
    <row r="1346" spans="1:15">
      <c r="A1346" s="91">
        <v>350.4417839031579</v>
      </c>
      <c r="B1346" s="91">
        <v>350.65477901519671</v>
      </c>
      <c r="C1346" s="91">
        <v>349.20076325253524</v>
      </c>
      <c r="D1346" s="91">
        <v>349.77501659590598</v>
      </c>
      <c r="E1346" s="92">
        <v>2966883.4366718074</v>
      </c>
      <c r="F1346" s="90" t="s">
        <v>1354</v>
      </c>
      <c r="G1346" s="25">
        <f t="shared" si="40"/>
        <v>1.9062748212868019E-3</v>
      </c>
      <c r="I1346" s="91">
        <v>311.46264948677197</v>
      </c>
      <c r="J1346" s="91">
        <v>313.48762752725798</v>
      </c>
      <c r="K1346" s="91">
        <v>308.7382997979916</v>
      </c>
      <c r="L1346" s="91">
        <v>310.83184368634966</v>
      </c>
      <c r="M1346" s="92">
        <v>801176.92269421858</v>
      </c>
      <c r="N1346" s="90" t="s">
        <v>1354</v>
      </c>
      <c r="O1346" s="25">
        <f t="shared" si="41"/>
        <v>2.0294117647059462E-3</v>
      </c>
    </row>
    <row r="1347" spans="1:15">
      <c r="A1347" s="91">
        <v>350.28435273339011</v>
      </c>
      <c r="B1347" s="91">
        <v>350.42326258906752</v>
      </c>
      <c r="C1347" s="91">
        <v>347.58024087620169</v>
      </c>
      <c r="D1347" s="91">
        <v>347.66358678960825</v>
      </c>
      <c r="E1347" s="92">
        <v>2837304.0780855357</v>
      </c>
      <c r="F1347" s="90" t="s">
        <v>1355</v>
      </c>
      <c r="G1347" s="25">
        <f t="shared" si="40"/>
        <v>7.5382238559480452E-3</v>
      </c>
      <c r="I1347" s="91">
        <v>310.78613312110167</v>
      </c>
      <c r="J1347" s="91">
        <v>311.42608103457354</v>
      </c>
      <c r="K1347" s="91">
        <v>307.51124538447448</v>
      </c>
      <c r="L1347" s="91">
        <v>307.84218987686995</v>
      </c>
      <c r="M1347" s="92">
        <v>1100190.9455103166</v>
      </c>
      <c r="N1347" s="90" t="s">
        <v>1355</v>
      </c>
      <c r="O1347" s="25">
        <f t="shared" si="41"/>
        <v>9.5631571663690185E-3</v>
      </c>
    </row>
    <row r="1348" spans="1:15">
      <c r="A1348" s="91">
        <v>347.78397533119539</v>
      </c>
      <c r="B1348" s="91">
        <v>347.79323598824055</v>
      </c>
      <c r="C1348" s="91">
        <v>346.4041374314657</v>
      </c>
      <c r="D1348" s="91">
        <v>347.24685722257578</v>
      </c>
      <c r="E1348" s="92">
        <v>4264733.0321575059</v>
      </c>
      <c r="F1348" s="90" t="s">
        <v>1356</v>
      </c>
      <c r="G1348" s="25">
        <f t="shared" si="40"/>
        <v>1.5467904098993568E-3</v>
      </c>
      <c r="I1348" s="91">
        <v>307.28470382310542</v>
      </c>
      <c r="J1348" s="91">
        <v>308.40918372820607</v>
      </c>
      <c r="K1348" s="91">
        <v>304.40493821248191</v>
      </c>
      <c r="L1348" s="91">
        <v>304.40493821248191</v>
      </c>
      <c r="M1348" s="92">
        <v>1060301.917883819</v>
      </c>
      <c r="N1348" s="90" t="s">
        <v>1356</v>
      </c>
      <c r="O1348" s="25">
        <f t="shared" si="41"/>
        <v>9.4603117397962233E-3</v>
      </c>
    </row>
    <row r="1349" spans="1:15">
      <c r="A1349" s="91">
        <v>346.09853574897522</v>
      </c>
      <c r="B1349" s="91">
        <v>346.42238092584466</v>
      </c>
      <c r="C1349" s="91">
        <v>345.16320938741353</v>
      </c>
      <c r="D1349" s="91">
        <v>345.55215698331045</v>
      </c>
      <c r="E1349" s="92">
        <v>2989955.2337330687</v>
      </c>
      <c r="F1349" s="90" t="s">
        <v>1357</v>
      </c>
      <c r="G1349" s="25">
        <f t="shared" si="40"/>
        <v>1.5811759661252811E-3</v>
      </c>
      <c r="I1349" s="91">
        <v>305.31914951744176</v>
      </c>
      <c r="J1349" s="91">
        <v>305.58427079588012</v>
      </c>
      <c r="K1349" s="91">
        <v>301.57088316710633</v>
      </c>
      <c r="L1349" s="91">
        <v>304.17638538624198</v>
      </c>
      <c r="M1349" s="92">
        <v>1021028.7216268807</v>
      </c>
      <c r="N1349" s="90" t="s">
        <v>1357</v>
      </c>
      <c r="O1349" s="25">
        <f t="shared" si="41"/>
        <v>3.7569127194037044E-3</v>
      </c>
    </row>
    <row r="1350" spans="1:15">
      <c r="A1350" s="91">
        <v>345.66328486785244</v>
      </c>
      <c r="B1350" s="91">
        <v>346.65417517168515</v>
      </c>
      <c r="C1350" s="91">
        <v>345.11690610218767</v>
      </c>
      <c r="D1350" s="91">
        <v>345.45955041285879</v>
      </c>
      <c r="E1350" s="92">
        <v>3869586.1238816739</v>
      </c>
      <c r="F1350" s="90" t="s">
        <v>1358</v>
      </c>
      <c r="G1350" s="25">
        <f t="shared" si="40"/>
        <v>5.8974908856956887E-4</v>
      </c>
      <c r="I1350" s="91">
        <v>302.75021575050459</v>
      </c>
      <c r="J1350" s="91">
        <v>303.8015587512084</v>
      </c>
      <c r="K1350" s="91">
        <v>299.03851785236759</v>
      </c>
      <c r="L1350" s="91">
        <v>299.84302380073223</v>
      </c>
      <c r="M1350" s="92">
        <v>871185.90163898317</v>
      </c>
      <c r="N1350" s="90" t="s">
        <v>1358</v>
      </c>
      <c r="O1350" s="25">
        <f t="shared" si="41"/>
        <v>9.6957131532411367E-3</v>
      </c>
    </row>
    <row r="1351" spans="1:15">
      <c r="A1351" s="91">
        <v>345.85775866580093</v>
      </c>
      <c r="B1351" s="91">
        <v>346.41339808851086</v>
      </c>
      <c r="C1351" s="91">
        <v>343.39442389178686</v>
      </c>
      <c r="D1351" s="91">
        <v>343.46850914814814</v>
      </c>
      <c r="E1351" s="92">
        <v>4064609.0030566254</v>
      </c>
      <c r="F1351" s="90" t="s">
        <v>1359</v>
      </c>
      <c r="G1351" s="25">
        <f t="shared" si="40"/>
        <v>6.9562403947263096E-3</v>
      </c>
      <c r="I1351" s="91">
        <v>302.28396798497499</v>
      </c>
      <c r="J1351" s="91">
        <v>302.60394194171101</v>
      </c>
      <c r="K1351" s="91">
        <v>295.19883037153619</v>
      </c>
      <c r="L1351" s="91">
        <v>295.19883037153619</v>
      </c>
      <c r="M1351" s="92">
        <v>1275579.2820251901</v>
      </c>
      <c r="N1351" s="90" t="s">
        <v>1359</v>
      </c>
      <c r="O1351" s="25">
        <f t="shared" si="41"/>
        <v>2.4001238773613931E-2</v>
      </c>
    </row>
    <row r="1352" spans="1:15">
      <c r="A1352" s="91">
        <v>340.940349774818</v>
      </c>
      <c r="B1352" s="91">
        <v>341.06073831640515</v>
      </c>
      <c r="C1352" s="91">
        <v>338.96782982419768</v>
      </c>
      <c r="D1352" s="91">
        <v>339.12526099396547</v>
      </c>
      <c r="E1352" s="92">
        <v>5541702.89966527</v>
      </c>
      <c r="F1352" s="90" t="s">
        <v>1360</v>
      </c>
      <c r="G1352" s="25">
        <f t="shared" si="40"/>
        <v>5.3522665210270493E-3</v>
      </c>
      <c r="I1352" s="91">
        <v>294.59545091026268</v>
      </c>
      <c r="J1352" s="91">
        <v>297.19181101634865</v>
      </c>
      <c r="K1352" s="91">
        <v>293.74523439665001</v>
      </c>
      <c r="L1352" s="91">
        <v>295.32681995423059</v>
      </c>
      <c r="M1352" s="92">
        <v>935568.17265299649</v>
      </c>
      <c r="N1352" s="90" t="s">
        <v>1360</v>
      </c>
      <c r="O1352" s="25">
        <f t="shared" si="41"/>
        <v>-2.4764735017336337E-3</v>
      </c>
    </row>
    <row r="1353" spans="1:15">
      <c r="A1353" s="91">
        <v>337.36573615538401</v>
      </c>
      <c r="B1353" s="91">
        <v>338.77335602624919</v>
      </c>
      <c r="C1353" s="91">
        <v>336.52301636427393</v>
      </c>
      <c r="D1353" s="91">
        <v>336.52301636427393</v>
      </c>
      <c r="E1353" s="92">
        <v>8066753.7557713194</v>
      </c>
      <c r="F1353" s="90" t="s">
        <v>1361</v>
      </c>
      <c r="G1353" s="25">
        <f t="shared" si="40"/>
        <v>2.5041965931920096E-3</v>
      </c>
      <c r="I1353" s="91">
        <v>295.87534673720648</v>
      </c>
      <c r="J1353" s="91">
        <v>296.49701042457917</v>
      </c>
      <c r="K1353" s="91">
        <v>292.79445463949173</v>
      </c>
      <c r="L1353" s="91">
        <v>294.0286399011876</v>
      </c>
      <c r="M1353" s="92">
        <v>1106702.5692101149</v>
      </c>
      <c r="N1353" s="90" t="s">
        <v>1361</v>
      </c>
      <c r="O1353" s="25">
        <f t="shared" si="41"/>
        <v>6.2807039363224071E-3</v>
      </c>
    </row>
    <row r="1354" spans="1:15">
      <c r="A1354" s="91">
        <v>336.03220154088018</v>
      </c>
      <c r="B1354" s="91">
        <v>336.59710162063533</v>
      </c>
      <c r="C1354" s="91">
        <v>334.55975707069882</v>
      </c>
      <c r="D1354" s="91">
        <v>335.75438182952519</v>
      </c>
      <c r="E1354" s="92">
        <v>3991258.9160501533</v>
      </c>
      <c r="F1354" s="90" t="s">
        <v>1362</v>
      </c>
      <c r="G1354" s="25">
        <f t="shared" si="40"/>
        <v>8.2744924977951051E-4</v>
      </c>
      <c r="I1354" s="91">
        <v>294.997703884445</v>
      </c>
      <c r="J1354" s="91">
        <v>296.84441072046388</v>
      </c>
      <c r="K1354" s="91">
        <v>293.97378722289</v>
      </c>
      <c r="L1354" s="91">
        <v>295.34510418032977</v>
      </c>
      <c r="M1354" s="92">
        <v>976817.9360232451</v>
      </c>
      <c r="N1354" s="90" t="s">
        <v>1362</v>
      </c>
      <c r="O1354" s="25">
        <f t="shared" si="41"/>
        <v>-1.1762520893952022E-3</v>
      </c>
    </row>
    <row r="1355" spans="1:15">
      <c r="A1355" s="91">
        <v>336.89344264608059</v>
      </c>
      <c r="B1355" s="91">
        <v>337.71764112310035</v>
      </c>
      <c r="C1355" s="91">
        <v>334.41130873826484</v>
      </c>
      <c r="D1355" s="91">
        <v>335.76364248657035</v>
      </c>
      <c r="E1355" s="92">
        <v>3394285.0757451621</v>
      </c>
      <c r="F1355" s="90" t="s">
        <v>1363</v>
      </c>
      <c r="G1355" s="25">
        <f t="shared" si="40"/>
        <v>3.3648674738671058E-3</v>
      </c>
      <c r="I1355" s="91">
        <v>295.42738319777612</v>
      </c>
      <c r="J1355" s="91">
        <v>298.16654310969687</v>
      </c>
      <c r="K1355" s="91">
        <v>292.27335419566464</v>
      </c>
      <c r="L1355" s="91">
        <v>292.27335419566464</v>
      </c>
      <c r="M1355" s="92">
        <v>992936.74785597238</v>
      </c>
      <c r="N1355" s="90" t="s">
        <v>1363</v>
      </c>
      <c r="O1355" s="25">
        <f t="shared" si="41"/>
        <v>1.0791366906474753E-2</v>
      </c>
    </row>
    <row r="1356" spans="1:15">
      <c r="A1356" s="91">
        <v>337.09717710107424</v>
      </c>
      <c r="B1356" s="91">
        <v>337.4305607547002</v>
      </c>
      <c r="C1356" s="91">
        <v>332.22607149531711</v>
      </c>
      <c r="D1356" s="91">
        <v>332.80023223211737</v>
      </c>
      <c r="E1356" s="92">
        <v>3587912.8055330897</v>
      </c>
      <c r="F1356" s="90" t="s">
        <v>1364</v>
      </c>
      <c r="G1356" s="25">
        <f t="shared" si="40"/>
        <v>1.2911483985864169E-2</v>
      </c>
      <c r="I1356" s="91">
        <v>291.65169050829195</v>
      </c>
      <c r="J1356" s="91">
        <v>295.46395164997455</v>
      </c>
      <c r="K1356" s="91">
        <v>288.58908263667649</v>
      </c>
      <c r="L1356" s="91">
        <v>293.72695017055082</v>
      </c>
      <c r="M1356" s="92">
        <v>1150959.2960526876</v>
      </c>
      <c r="N1356" s="90" t="s">
        <v>1364</v>
      </c>
      <c r="O1356" s="25">
        <f t="shared" si="41"/>
        <v>-7.0652681378194915E-3</v>
      </c>
    </row>
    <row r="1357" spans="1:15">
      <c r="A1357" s="91">
        <v>331.6866382224361</v>
      </c>
      <c r="B1357" s="91">
        <v>332.43411666597217</v>
      </c>
      <c r="C1357" s="91">
        <v>326.80495801712021</v>
      </c>
      <c r="D1357" s="91">
        <v>328.59521503003378</v>
      </c>
      <c r="E1357" s="92">
        <v>5946271.4924239265</v>
      </c>
      <c r="F1357" s="90" t="s">
        <v>1365</v>
      </c>
      <c r="G1357" s="25">
        <f t="shared" si="40"/>
        <v>9.4079982026511466E-3</v>
      </c>
      <c r="I1357" s="91">
        <v>293.63552904005485</v>
      </c>
      <c r="J1357" s="91">
        <v>294.37604019707231</v>
      </c>
      <c r="K1357" s="91">
        <v>289.15589364575158</v>
      </c>
      <c r="L1357" s="91">
        <v>289.94211536801703</v>
      </c>
      <c r="M1357" s="92">
        <v>1123764.2702800715</v>
      </c>
      <c r="N1357" s="90" t="s">
        <v>1365</v>
      </c>
      <c r="O1357" s="25">
        <f t="shared" si="41"/>
        <v>1.2738451836670439E-2</v>
      </c>
    </row>
    <row r="1358" spans="1:15">
      <c r="A1358" s="91">
        <v>329.83178430699473</v>
      </c>
      <c r="B1358" s="91">
        <v>334.30742683927861</v>
      </c>
      <c r="C1358" s="91">
        <v>329.83178430699473</v>
      </c>
      <c r="D1358" s="91">
        <v>332.86783872580173</v>
      </c>
      <c r="E1358" s="92">
        <v>4441835.4251037855</v>
      </c>
      <c r="F1358" s="90" t="s">
        <v>1366</v>
      </c>
      <c r="G1358" s="25">
        <f t="shared" si="40"/>
        <v>-9.1209004463418397E-3</v>
      </c>
      <c r="I1358" s="91">
        <v>288.91819870646196</v>
      </c>
      <c r="J1358" s="91">
        <v>293.80008707494761</v>
      </c>
      <c r="K1358" s="91">
        <v>288.10455064504771</v>
      </c>
      <c r="L1358" s="91">
        <v>288.10455064504771</v>
      </c>
      <c r="M1358" s="92">
        <v>1179062.208213819</v>
      </c>
      <c r="N1358" s="90" t="s">
        <v>1366</v>
      </c>
      <c r="O1358" s="25">
        <f t="shared" si="41"/>
        <v>2.8241416513294926E-3</v>
      </c>
    </row>
    <row r="1359" spans="1:15">
      <c r="A1359" s="91">
        <v>331.66818196457103</v>
      </c>
      <c r="B1359" s="91">
        <v>334.92571147775908</v>
      </c>
      <c r="C1359" s="91">
        <v>330.83765036064199</v>
      </c>
      <c r="D1359" s="91">
        <v>333.62454529827033</v>
      </c>
      <c r="E1359" s="92">
        <v>5369023.3808144405</v>
      </c>
      <c r="F1359" s="90" t="s">
        <v>1367</v>
      </c>
      <c r="G1359" s="25">
        <f t="shared" si="40"/>
        <v>-5.8639670290153711E-3</v>
      </c>
      <c r="I1359" s="91">
        <v>287.19033934008786</v>
      </c>
      <c r="J1359" s="91">
        <v>290.17066819425696</v>
      </c>
      <c r="K1359" s="91">
        <v>286.25784380902883</v>
      </c>
      <c r="L1359" s="91">
        <v>286.25784380902883</v>
      </c>
      <c r="M1359" s="92">
        <v>1272030.8682368237</v>
      </c>
      <c r="N1359" s="90" t="s">
        <v>1367</v>
      </c>
      <c r="O1359" s="25">
        <f t="shared" si="41"/>
        <v>3.257537046499781E-3</v>
      </c>
    </row>
    <row r="1360" spans="1:15">
      <c r="A1360" s="91">
        <v>334.12286426062775</v>
      </c>
      <c r="B1360" s="91">
        <v>335.44248669798156</v>
      </c>
      <c r="C1360" s="91">
        <v>331.99116647721002</v>
      </c>
      <c r="D1360" s="91">
        <v>332.01885086400767</v>
      </c>
      <c r="E1360" s="92">
        <v>3703510.2402473195</v>
      </c>
      <c r="F1360" s="90" t="s">
        <v>1368</v>
      </c>
      <c r="G1360" s="25">
        <f t="shared" si="40"/>
        <v>6.3370299341283243E-3</v>
      </c>
      <c r="I1360" s="91">
        <v>287.25433413143503</v>
      </c>
      <c r="J1360" s="91">
        <v>288.61650897582524</v>
      </c>
      <c r="K1360" s="91">
        <v>280.94627612721212</v>
      </c>
      <c r="L1360" s="91">
        <v>281.61365037983279</v>
      </c>
      <c r="M1360" s="92">
        <v>1298541.150781475</v>
      </c>
      <c r="N1360" s="90" t="s">
        <v>1368</v>
      </c>
      <c r="O1360" s="25">
        <f t="shared" si="41"/>
        <v>2.0029866251136008E-2</v>
      </c>
    </row>
    <row r="1361" spans="1:15">
      <c r="A1361" s="91">
        <v>331.50207564378519</v>
      </c>
      <c r="B1361" s="91">
        <v>333.29233265669876</v>
      </c>
      <c r="C1361" s="91">
        <v>329.57339669688344</v>
      </c>
      <c r="D1361" s="91">
        <v>331.88965705895203</v>
      </c>
      <c r="E1361" s="92">
        <v>5832984.1719235424</v>
      </c>
      <c r="F1361" s="90" t="s">
        <v>1369</v>
      </c>
      <c r="G1361" s="25">
        <f t="shared" si="40"/>
        <v>-1.167802029751086E-3</v>
      </c>
      <c r="I1361" s="91">
        <v>282.17131927585825</v>
      </c>
      <c r="J1361" s="91">
        <v>289.30216745454516</v>
      </c>
      <c r="K1361" s="91">
        <v>282.13475082365994</v>
      </c>
      <c r="L1361" s="91">
        <v>288.50680361923003</v>
      </c>
      <c r="M1361" s="92">
        <v>2195118.3376452886</v>
      </c>
      <c r="N1361" s="90" t="s">
        <v>1369</v>
      </c>
      <c r="O1361" s="25">
        <f t="shared" si="41"/>
        <v>-2.1959566512453232E-2</v>
      </c>
    </row>
    <row r="1362" spans="1:15">
      <c r="A1362" s="91">
        <v>332.09267589546801</v>
      </c>
      <c r="B1362" s="91">
        <v>336.60523094348213</v>
      </c>
      <c r="C1362" s="91">
        <v>331.54821628844792</v>
      </c>
      <c r="D1362" s="91">
        <v>334.73192077017569</v>
      </c>
      <c r="E1362" s="92">
        <v>5498396.3023164002</v>
      </c>
      <c r="F1362" s="90" t="s">
        <v>1370</v>
      </c>
      <c r="G1362" s="25">
        <f t="shared" si="40"/>
        <v>-7.8846524963472886E-3</v>
      </c>
      <c r="I1362" s="91">
        <v>287.92170838405576</v>
      </c>
      <c r="J1362" s="91">
        <v>288.51594573227965</v>
      </c>
      <c r="K1362" s="91">
        <v>283.57006257244689</v>
      </c>
      <c r="L1362" s="91">
        <v>283.57006257244689</v>
      </c>
      <c r="M1362" s="92">
        <v>1118266.6353539526</v>
      </c>
      <c r="N1362" s="90" t="s">
        <v>1370</v>
      </c>
      <c r="O1362" s="25">
        <f t="shared" si="41"/>
        <v>1.5345928170739542E-2</v>
      </c>
    </row>
    <row r="1363" spans="1:15">
      <c r="A1363" s="91">
        <v>337.04818113224428</v>
      </c>
      <c r="B1363" s="91">
        <v>337.79565957578035</v>
      </c>
      <c r="C1363" s="91">
        <v>333.70759845866326</v>
      </c>
      <c r="D1363" s="91">
        <v>334.82420205950109</v>
      </c>
      <c r="E1363" s="92">
        <v>5430736.8661984149</v>
      </c>
      <c r="F1363" s="90" t="s">
        <v>1371</v>
      </c>
      <c r="G1363" s="25">
        <f t="shared" si="40"/>
        <v>6.6422291431249558E-3</v>
      </c>
      <c r="I1363" s="91">
        <v>283.92660498138122</v>
      </c>
      <c r="J1363" s="91">
        <v>288.2051138885933</v>
      </c>
      <c r="K1363" s="91">
        <v>280.52573892693056</v>
      </c>
      <c r="L1363" s="91">
        <v>280.52573892693056</v>
      </c>
      <c r="M1363" s="92">
        <v>1207632.1896374756</v>
      </c>
      <c r="N1363" s="90" t="s">
        <v>1371</v>
      </c>
      <c r="O1363" s="25">
        <f t="shared" si="41"/>
        <v>1.2123187225028476E-2</v>
      </c>
    </row>
    <row r="1364" spans="1:15">
      <c r="A1364" s="91">
        <v>335.95003378927152</v>
      </c>
      <c r="B1364" s="91">
        <v>337.54650009460164</v>
      </c>
      <c r="C1364" s="91">
        <v>335.21178347466798</v>
      </c>
      <c r="D1364" s="91">
        <v>336.93744358505376</v>
      </c>
      <c r="E1364" s="92">
        <v>4007743.0940058953</v>
      </c>
      <c r="F1364" s="90" t="s">
        <v>1372</v>
      </c>
      <c r="G1364" s="25">
        <f t="shared" si="40"/>
        <v>-2.9305433829973637E-3</v>
      </c>
      <c r="I1364" s="91">
        <v>279.60238550892109</v>
      </c>
      <c r="J1364" s="91">
        <v>281.05141042728246</v>
      </c>
      <c r="K1364" s="91">
        <v>275.4518661844034</v>
      </c>
      <c r="L1364" s="91">
        <v>279.51096437842511</v>
      </c>
      <c r="M1364" s="92">
        <v>891881.33594104624</v>
      </c>
      <c r="N1364" s="90" t="s">
        <v>1372</v>
      </c>
      <c r="O1364" s="25">
        <f t="shared" si="41"/>
        <v>3.2707529273223734E-4</v>
      </c>
    </row>
    <row r="1365" spans="1:15">
      <c r="A1365" s="91">
        <v>336.32838707550582</v>
      </c>
      <c r="B1365" s="91">
        <v>336.59600281454959</v>
      </c>
      <c r="C1365" s="91">
        <v>332.62790737355556</v>
      </c>
      <c r="D1365" s="91">
        <v>334.67655199658043</v>
      </c>
      <c r="E1365" s="92">
        <v>3426773.7513374351</v>
      </c>
      <c r="F1365" s="90" t="s">
        <v>1373</v>
      </c>
      <c r="G1365" s="25">
        <f t="shared" si="40"/>
        <v>4.935616400584486E-3</v>
      </c>
      <c r="I1365" s="91">
        <v>279.51096437842511</v>
      </c>
      <c r="J1365" s="91">
        <v>280.40689145728578</v>
      </c>
      <c r="K1365" s="91">
        <v>277.22543611602549</v>
      </c>
      <c r="L1365" s="91">
        <v>277.92937882084459</v>
      </c>
      <c r="M1365" s="92">
        <v>914253.62546430726</v>
      </c>
      <c r="N1365" s="90" t="s">
        <v>1373</v>
      </c>
      <c r="O1365" s="25">
        <f t="shared" si="41"/>
        <v>5.6906022828195901E-3</v>
      </c>
    </row>
    <row r="1366" spans="1:15">
      <c r="A1366" s="91">
        <v>334.39047999967153</v>
      </c>
      <c r="B1366" s="91">
        <v>334.47353316006445</v>
      </c>
      <c r="C1366" s="91">
        <v>331.90442206524415</v>
      </c>
      <c r="D1366" s="91">
        <v>332.67404801821829</v>
      </c>
      <c r="E1366" s="92">
        <v>5252783.1323479228</v>
      </c>
      <c r="F1366" s="90" t="s">
        <v>1374</v>
      </c>
      <c r="G1366" s="25">
        <f t="shared" si="40"/>
        <v>5.159500693481256E-3</v>
      </c>
      <c r="I1366" s="91">
        <v>275.8998297238337</v>
      </c>
      <c r="J1366" s="91">
        <v>277.2802887943231</v>
      </c>
      <c r="K1366" s="91">
        <v>275.11360800156825</v>
      </c>
      <c r="L1366" s="91">
        <v>276.52149341120645</v>
      </c>
      <c r="M1366" s="92">
        <v>1019485.3147664045</v>
      </c>
      <c r="N1366" s="90" t="s">
        <v>1374</v>
      </c>
      <c r="O1366" s="25">
        <f t="shared" si="41"/>
        <v>-2.2481568420009701E-3</v>
      </c>
    </row>
    <row r="1367" spans="1:15">
      <c r="A1367" s="91">
        <v>333.91984542411183</v>
      </c>
      <c r="B1367" s="91">
        <v>335.68241805022774</v>
      </c>
      <c r="C1367" s="91">
        <v>332.36075304095846</v>
      </c>
      <c r="D1367" s="91">
        <v>332.82169808113906</v>
      </c>
      <c r="E1367" s="92">
        <v>3620146.6455659536</v>
      </c>
      <c r="F1367" s="90" t="s">
        <v>1375</v>
      </c>
      <c r="G1367" s="25">
        <f t="shared" si="40"/>
        <v>3.2995064603782431E-3</v>
      </c>
      <c r="I1367" s="91">
        <v>273.7240068180293</v>
      </c>
      <c r="J1367" s="91">
        <v>275.25073969731221</v>
      </c>
      <c r="K1367" s="91">
        <v>271.77673673846476</v>
      </c>
      <c r="L1367" s="91">
        <v>273.70572259193005</v>
      </c>
      <c r="M1367" s="92">
        <v>956006.55478481727</v>
      </c>
      <c r="N1367" s="90" t="s">
        <v>1375</v>
      </c>
      <c r="O1367" s="25">
        <f t="shared" si="41"/>
        <v>6.6802498413620626E-5</v>
      </c>
    </row>
    <row r="1368" spans="1:15">
      <c r="A1368" s="91">
        <v>330.43161268761008</v>
      </c>
      <c r="B1368" s="91">
        <v>332.06499150867035</v>
      </c>
      <c r="C1368" s="91">
        <v>329.33346534463732</v>
      </c>
      <c r="D1368" s="91">
        <v>330.6438596530586</v>
      </c>
      <c r="E1368" s="92">
        <v>7836265.6751549086</v>
      </c>
      <c r="F1368" s="90" t="s">
        <v>1376</v>
      </c>
      <c r="G1368" s="25">
        <f t="shared" si="40"/>
        <v>-6.4192017862130246E-4</v>
      </c>
      <c r="I1368" s="91">
        <v>274.26339148795557</v>
      </c>
      <c r="J1368" s="91">
        <v>276.20151945447049</v>
      </c>
      <c r="K1368" s="91">
        <v>270.4876987984714</v>
      </c>
      <c r="L1368" s="91">
        <v>273.63258568753326</v>
      </c>
      <c r="M1368" s="92">
        <v>1077791.3100114982</v>
      </c>
      <c r="N1368" s="90" t="s">
        <v>1376</v>
      </c>
      <c r="O1368" s="25">
        <f t="shared" si="41"/>
        <v>2.3053021950485419E-3</v>
      </c>
    </row>
    <row r="1369" spans="1:15">
      <c r="A1369" s="91">
        <v>328.40142432245034</v>
      </c>
      <c r="B1369" s="91">
        <v>330.79150971597926</v>
      </c>
      <c r="C1369" s="91">
        <v>326.88801117751314</v>
      </c>
      <c r="D1369" s="91">
        <v>327.36787388200543</v>
      </c>
      <c r="E1369" s="92">
        <v>6583227.2656869963</v>
      </c>
      <c r="F1369" s="90" t="s">
        <v>1377</v>
      </c>
      <c r="G1369" s="25">
        <f t="shared" si="40"/>
        <v>3.1571529245946195E-3</v>
      </c>
      <c r="I1369" s="91">
        <v>272.70923226952385</v>
      </c>
      <c r="J1369" s="91">
        <v>278.39105552984927</v>
      </c>
      <c r="K1369" s="91">
        <v>271.795020964564</v>
      </c>
      <c r="L1369" s="91">
        <v>277.76482078595177</v>
      </c>
      <c r="M1369" s="92">
        <v>1426479.8443476593</v>
      </c>
      <c r="N1369" s="90" t="s">
        <v>1377</v>
      </c>
      <c r="O1369" s="25">
        <f t="shared" si="41"/>
        <v>-1.8200967646381017E-2</v>
      </c>
    </row>
    <row r="1370" spans="1:15">
      <c r="A1370" s="91">
        <v>323.87041301657115</v>
      </c>
      <c r="B1370" s="91">
        <v>328.89051515587516</v>
      </c>
      <c r="C1370" s="91">
        <v>323.59356914859484</v>
      </c>
      <c r="D1370" s="91">
        <v>326.33432344156046</v>
      </c>
      <c r="E1370" s="92">
        <v>6137189.9345998606</v>
      </c>
      <c r="F1370" s="90" t="s">
        <v>1378</v>
      </c>
      <c r="G1370" s="25">
        <f t="shared" si="40"/>
        <v>-7.5502644006447683E-3</v>
      </c>
      <c r="I1370" s="91">
        <v>279.40125902182996</v>
      </c>
      <c r="J1370" s="91">
        <v>283.56092045939727</v>
      </c>
      <c r="K1370" s="91">
        <v>275.68956112369295</v>
      </c>
      <c r="L1370" s="91">
        <v>277.36256781176945</v>
      </c>
      <c r="M1370" s="92">
        <v>1417628.4989791447</v>
      </c>
      <c r="N1370" s="90" t="s">
        <v>1378</v>
      </c>
      <c r="O1370" s="25">
        <f t="shared" si="41"/>
        <v>7.3502752233101099E-3</v>
      </c>
    </row>
    <row r="1371" spans="1:15">
      <c r="A1371" s="91">
        <v>325.46687932190127</v>
      </c>
      <c r="B1371" s="91">
        <v>326.42660473088591</v>
      </c>
      <c r="C1371" s="91">
        <v>316.14646910003165</v>
      </c>
      <c r="D1371" s="91">
        <v>322.77226567359838</v>
      </c>
      <c r="E1371" s="92">
        <v>9450740.3003910407</v>
      </c>
      <c r="F1371" s="90" t="s">
        <v>1379</v>
      </c>
      <c r="G1371" s="25">
        <f t="shared" si="40"/>
        <v>8.3483431969579858E-3</v>
      </c>
      <c r="I1371" s="91">
        <v>275.09532377546907</v>
      </c>
      <c r="J1371" s="91">
        <v>276.53063552425601</v>
      </c>
      <c r="K1371" s="91">
        <v>269.83860877194991</v>
      </c>
      <c r="L1371" s="91">
        <v>273.12976946980535</v>
      </c>
      <c r="M1371" s="92">
        <v>1101955.3078532992</v>
      </c>
      <c r="N1371" s="90" t="s">
        <v>1379</v>
      </c>
      <c r="O1371" s="25">
        <f t="shared" si="41"/>
        <v>7.1964118355871687E-3</v>
      </c>
    </row>
    <row r="1372" spans="1:15">
      <c r="A1372" s="91">
        <v>319.60701744973568</v>
      </c>
      <c r="B1372" s="91">
        <v>325.77140757667524</v>
      </c>
      <c r="C1372" s="91">
        <v>315.52357039708494</v>
      </c>
      <c r="D1372" s="91">
        <v>323.43669095674159</v>
      </c>
      <c r="E1372" s="92">
        <v>7156885.2670756383</v>
      </c>
      <c r="F1372" s="90" t="s">
        <v>1380</v>
      </c>
      <c r="G1372" s="25">
        <f t="shared" si="40"/>
        <v>-1.1840566064652558E-2</v>
      </c>
      <c r="I1372" s="91">
        <v>271.98700533860551</v>
      </c>
      <c r="J1372" s="91">
        <v>277.805960294675</v>
      </c>
      <c r="K1372" s="91">
        <v>269.99402469379305</v>
      </c>
      <c r="L1372" s="91">
        <v>273.7788594963269</v>
      </c>
      <c r="M1372" s="92">
        <v>1564795.7887184774</v>
      </c>
      <c r="N1372" s="90" t="s">
        <v>1380</v>
      </c>
      <c r="O1372" s="25">
        <f t="shared" si="41"/>
        <v>-6.5448959829034203E-3</v>
      </c>
    </row>
    <row r="1373" spans="1:15">
      <c r="A1373" s="91">
        <v>323.59356914859484</v>
      </c>
      <c r="B1373" s="91">
        <v>328.18917735700182</v>
      </c>
      <c r="C1373" s="91">
        <v>323.50128785926938</v>
      </c>
      <c r="D1373" s="91">
        <v>327.32173323734264</v>
      </c>
      <c r="E1373" s="92">
        <v>6846063.8621118898</v>
      </c>
      <c r="F1373" s="90" t="s">
        <v>1381</v>
      </c>
      <c r="G1373" s="25">
        <f t="shared" si="40"/>
        <v>-1.1389906963631069E-2</v>
      </c>
      <c r="I1373" s="91">
        <v>273.44060131349175</v>
      </c>
      <c r="J1373" s="91">
        <v>278.81616378665564</v>
      </c>
      <c r="K1373" s="91">
        <v>272.41668465193669</v>
      </c>
      <c r="L1373" s="91">
        <v>272.8920745305158</v>
      </c>
      <c r="M1373" s="92">
        <v>928013.02652591676</v>
      </c>
      <c r="N1373" s="90" t="s">
        <v>1381</v>
      </c>
      <c r="O1373" s="25">
        <f t="shared" si="41"/>
        <v>2.0100502512563345E-3</v>
      </c>
    </row>
    <row r="1374" spans="1:15">
      <c r="A1374" s="91">
        <v>327.92156161795805</v>
      </c>
      <c r="B1374" s="91">
        <v>330.94838790783257</v>
      </c>
      <c r="C1374" s="91">
        <v>327.74622716823973</v>
      </c>
      <c r="D1374" s="91">
        <v>330.71768468451893</v>
      </c>
      <c r="E1374" s="92">
        <v>5919520.6741589783</v>
      </c>
      <c r="F1374" s="90" t="s">
        <v>1382</v>
      </c>
      <c r="G1374" s="25">
        <f t="shared" si="40"/>
        <v>-8.4547128746023104E-3</v>
      </c>
      <c r="I1374" s="91">
        <v>273.14805369590454</v>
      </c>
      <c r="J1374" s="91">
        <v>274.7204971404355</v>
      </c>
      <c r="K1374" s="91">
        <v>268.10160729252618</v>
      </c>
      <c r="L1374" s="91">
        <v>268.32101800571655</v>
      </c>
      <c r="M1374" s="92">
        <v>1971498.2632807761</v>
      </c>
      <c r="N1374" s="90" t="s">
        <v>1382</v>
      </c>
      <c r="O1374" s="25">
        <f t="shared" si="41"/>
        <v>1.7989778534923229E-2</v>
      </c>
    </row>
    <row r="1375" spans="1:15">
      <c r="A1375" s="91">
        <v>330.47775333227281</v>
      </c>
      <c r="B1375" s="91">
        <v>331.64972570670591</v>
      </c>
      <c r="C1375" s="91">
        <v>327.13717065869179</v>
      </c>
      <c r="D1375" s="91">
        <v>327.18331130335451</v>
      </c>
      <c r="E1375" s="92">
        <v>4036844.3345675571</v>
      </c>
      <c r="F1375" s="90" t="s">
        <v>1383</v>
      </c>
      <c r="G1375" s="25">
        <f t="shared" si="40"/>
        <v>1.0069101678183756E-2</v>
      </c>
      <c r="I1375" s="91">
        <v>268.28444955351813</v>
      </c>
      <c r="J1375" s="91">
        <v>271.90929737768397</v>
      </c>
      <c r="K1375" s="91">
        <v>267.45251726600469</v>
      </c>
      <c r="L1375" s="91">
        <v>267.45251726600469</v>
      </c>
      <c r="M1375" s="92">
        <v>1179909.9334561075</v>
      </c>
      <c r="N1375" s="90" t="s">
        <v>1383</v>
      </c>
      <c r="O1375" s="25">
        <f t="shared" si="41"/>
        <v>3.1105793881387456E-3</v>
      </c>
    </row>
    <row r="1376" spans="1:15">
      <c r="A1376" s="91">
        <v>322.6061593528126</v>
      </c>
      <c r="B1376" s="91">
        <v>327.10745608352903</v>
      </c>
      <c r="C1376" s="91">
        <v>320.87127111349429</v>
      </c>
      <c r="D1376" s="91">
        <v>326.18667337863974</v>
      </c>
      <c r="E1376" s="92">
        <v>8213443.9770016717</v>
      </c>
      <c r="F1376" s="90" t="s">
        <v>1384</v>
      </c>
      <c r="G1376" s="25">
        <f t="shared" ref="G1376:G1439" si="42">A1376/D1376-1</f>
        <v>-1.0976886298695754E-2</v>
      </c>
      <c r="I1376" s="91">
        <v>266.63886920459043</v>
      </c>
      <c r="J1376" s="91">
        <v>274.33652839235236</v>
      </c>
      <c r="K1376" s="91">
        <v>266.58401652629283</v>
      </c>
      <c r="L1376" s="91">
        <v>274.00741232256684</v>
      </c>
      <c r="M1376" s="92">
        <v>1264728.398923897</v>
      </c>
      <c r="N1376" s="90" t="s">
        <v>1384</v>
      </c>
      <c r="O1376" s="25">
        <f t="shared" ref="O1376:O1439" si="43">I1376/L1376-1</f>
        <v>-2.6891765647938048E-2</v>
      </c>
    </row>
    <row r="1377" spans="1:15">
      <c r="A1377" s="91">
        <v>324.38718823679363</v>
      </c>
      <c r="B1377" s="91">
        <v>332.46180105276977</v>
      </c>
      <c r="C1377" s="91">
        <v>323.05833767050723</v>
      </c>
      <c r="D1377" s="91">
        <v>331.31751306513428</v>
      </c>
      <c r="E1377" s="92">
        <v>7638810.6966517381</v>
      </c>
      <c r="F1377" s="90" t="s">
        <v>1385</v>
      </c>
      <c r="G1377" s="25">
        <f t="shared" si="42"/>
        <v>-2.0917472077542132E-2</v>
      </c>
      <c r="I1377" s="91">
        <v>274.66564446213795</v>
      </c>
      <c r="J1377" s="91">
        <v>278.8417195493592</v>
      </c>
      <c r="K1377" s="91">
        <v>272.77776738022419</v>
      </c>
      <c r="L1377" s="91">
        <v>273.85590441254601</v>
      </c>
      <c r="M1377" s="92">
        <v>1532230.0788077388</v>
      </c>
      <c r="N1377" s="90" t="s">
        <v>1385</v>
      </c>
      <c r="O1377" s="25">
        <f t="shared" si="43"/>
        <v>2.956810631229434E-3</v>
      </c>
    </row>
    <row r="1378" spans="1:15">
      <c r="A1378" s="91">
        <v>332.36029163451184</v>
      </c>
      <c r="B1378" s="91">
        <v>332.74787304967867</v>
      </c>
      <c r="C1378" s="91">
        <v>326.86032679071548</v>
      </c>
      <c r="D1378" s="91">
        <v>327.73699903930714</v>
      </c>
      <c r="E1378" s="92">
        <v>3577344.9028847204</v>
      </c>
      <c r="F1378" s="90" t="s">
        <v>1386</v>
      </c>
      <c r="G1378" s="25">
        <f t="shared" si="42"/>
        <v>1.4106715472335773E-2</v>
      </c>
      <c r="I1378" s="91">
        <v>274.52007321726751</v>
      </c>
      <c r="J1378" s="91">
        <v>277.01298078567407</v>
      </c>
      <c r="K1378" s="91">
        <v>270.13473946554501</v>
      </c>
      <c r="L1378" s="91">
        <v>272.80961109003965</v>
      </c>
      <c r="M1378" s="92">
        <v>1255340.2298827721</v>
      </c>
      <c r="N1378" s="90" t="s">
        <v>1386</v>
      </c>
      <c r="O1378" s="25">
        <f t="shared" si="43"/>
        <v>6.2698015674502727E-3</v>
      </c>
    </row>
    <row r="1379" spans="1:15">
      <c r="A1379" s="91">
        <v>328.72440883508943</v>
      </c>
      <c r="B1379" s="91">
        <v>329.96097811205033</v>
      </c>
      <c r="C1379" s="91">
        <v>322.55079057921728</v>
      </c>
      <c r="D1379" s="91">
        <v>326.38969221515572</v>
      </c>
      <c r="E1379" s="92">
        <v>5690270.5178743992</v>
      </c>
      <c r="F1379" s="90" t="s">
        <v>1387</v>
      </c>
      <c r="G1379" s="25">
        <f t="shared" si="42"/>
        <v>7.1531567191609469E-3</v>
      </c>
      <c r="I1379" s="91">
        <v>271.74512136192442</v>
      </c>
      <c r="J1379" s="91">
        <v>277.09222613210039</v>
      </c>
      <c r="K1379" s="91">
        <v>268.98836591219009</v>
      </c>
      <c r="L1379" s="91">
        <v>273.37369966391265</v>
      </c>
      <c r="M1379" s="92">
        <v>1377729.2361446526</v>
      </c>
      <c r="N1379" s="90" t="s">
        <v>1387</v>
      </c>
      <c r="O1379" s="25">
        <f t="shared" si="43"/>
        <v>-5.9573335108330516E-3</v>
      </c>
    </row>
    <row r="1380" spans="1:15">
      <c r="A1380" s="91">
        <v>328.30914303312488</v>
      </c>
      <c r="B1380" s="91">
        <v>330.54235023480061</v>
      </c>
      <c r="C1380" s="91">
        <v>328.11535232554149</v>
      </c>
      <c r="D1380" s="91">
        <v>328.37373993565268</v>
      </c>
      <c r="E1380" s="92">
        <v>3566254.8974515405</v>
      </c>
      <c r="F1380" s="90" t="s">
        <v>1388</v>
      </c>
      <c r="G1380" s="25">
        <f t="shared" si="42"/>
        <v>-1.9671762589923425E-4</v>
      </c>
      <c r="I1380" s="91">
        <v>271.07185435439857</v>
      </c>
      <c r="J1380" s="91">
        <v>272.46387938347232</v>
      </c>
      <c r="K1380" s="91">
        <v>267.50535885507236</v>
      </c>
      <c r="L1380" s="91">
        <v>268.48796475794796</v>
      </c>
      <c r="M1380" s="92">
        <v>1386922.2605032125</v>
      </c>
      <c r="N1380" s="90" t="s">
        <v>1388</v>
      </c>
      <c r="O1380" s="25">
        <f t="shared" si="43"/>
        <v>9.6238563198915994E-3</v>
      </c>
    </row>
    <row r="1381" spans="1:15">
      <c r="A1381" s="91">
        <v>330.91147539210237</v>
      </c>
      <c r="B1381" s="91">
        <v>332.86783872580173</v>
      </c>
      <c r="C1381" s="91">
        <v>330.49620959013788</v>
      </c>
      <c r="D1381" s="91">
        <v>332.64636363142068</v>
      </c>
      <c r="E1381" s="92">
        <v>2695127.0600792379</v>
      </c>
      <c r="F1381" s="90" t="s">
        <v>1389</v>
      </c>
      <c r="G1381" s="25">
        <f t="shared" si="42"/>
        <v>-5.2154132105306505E-3</v>
      </c>
      <c r="I1381" s="91">
        <v>270.4349801580903</v>
      </c>
      <c r="J1381" s="91">
        <v>271.89979080959927</v>
      </c>
      <c r="K1381" s="91">
        <v>269.57065089167196</v>
      </c>
      <c r="L1381" s="91">
        <v>271.5267644946187</v>
      </c>
      <c r="M1381" s="92">
        <v>1322120.4515443437</v>
      </c>
      <c r="N1381" s="90" t="s">
        <v>1389</v>
      </c>
      <c r="O1381" s="25">
        <f t="shared" si="43"/>
        <v>-4.0209087253718634E-3</v>
      </c>
    </row>
    <row r="1382" spans="1:15">
      <c r="A1382" s="91">
        <v>331.52053190165032</v>
      </c>
      <c r="B1382" s="91">
        <v>332.14804466906332</v>
      </c>
      <c r="C1382" s="91">
        <v>328.97356831626809</v>
      </c>
      <c r="D1382" s="91">
        <v>330.58849087946334</v>
      </c>
      <c r="E1382" s="92">
        <v>3269425.4946524613</v>
      </c>
      <c r="F1382" s="90" t="s">
        <v>1390</v>
      </c>
      <c r="G1382" s="25">
        <f t="shared" si="42"/>
        <v>2.8193389906208122E-3</v>
      </c>
      <c r="I1382" s="91">
        <v>270.99906873196335</v>
      </c>
      <c r="J1382" s="91">
        <v>271.82700518716405</v>
      </c>
      <c r="K1382" s="91">
        <v>268.44247374392592</v>
      </c>
      <c r="L1382" s="91">
        <v>269.12483895425618</v>
      </c>
      <c r="M1382" s="92">
        <v>790713.30400747678</v>
      </c>
      <c r="N1382" s="90" t="s">
        <v>1390</v>
      </c>
      <c r="O1382" s="25">
        <f t="shared" si="43"/>
        <v>6.9641649763354518E-3</v>
      </c>
    </row>
    <row r="1383" spans="1:15">
      <c r="A1383" s="91">
        <v>332.94166375726212</v>
      </c>
      <c r="B1383" s="91">
        <v>333.10777007804791</v>
      </c>
      <c r="C1383" s="91">
        <v>330.29522094198705</v>
      </c>
      <c r="D1383" s="91">
        <v>331.31751306513428</v>
      </c>
      <c r="E1383" s="92">
        <v>3489432.1736705727</v>
      </c>
      <c r="F1383" s="90" t="s">
        <v>1391</v>
      </c>
      <c r="G1383" s="25">
        <f t="shared" si="42"/>
        <v>4.9020973177731353E-3</v>
      </c>
      <c r="I1383" s="91">
        <v>270.3803909412639</v>
      </c>
      <c r="J1383" s="91">
        <v>270.42588195528589</v>
      </c>
      <c r="K1383" s="91">
        <v>262.10102638925667</v>
      </c>
      <c r="L1383" s="91">
        <v>264.53024653803243</v>
      </c>
      <c r="M1383" s="92">
        <v>1150792.1097266001</v>
      </c>
      <c r="N1383" s="90" t="s">
        <v>1391</v>
      </c>
      <c r="O1383" s="25">
        <f t="shared" si="43"/>
        <v>2.211521926053317E-2</v>
      </c>
    </row>
    <row r="1384" spans="1:15">
      <c r="A1384" s="91">
        <v>332.86783872580173</v>
      </c>
      <c r="B1384" s="91">
        <v>334.39970812860406</v>
      </c>
      <c r="C1384" s="91">
        <v>332.19418531372605</v>
      </c>
      <c r="D1384" s="91">
        <v>334.19668929208808</v>
      </c>
      <c r="E1384" s="92">
        <v>4777189.4305171883</v>
      </c>
      <c r="F1384" s="90" t="s">
        <v>1392</v>
      </c>
      <c r="G1384" s="25">
        <f t="shared" si="42"/>
        <v>-3.9762529338671637E-3</v>
      </c>
      <c r="I1384" s="91">
        <v>264.64852317448964</v>
      </c>
      <c r="J1384" s="91">
        <v>271.24472020768224</v>
      </c>
      <c r="K1384" s="91">
        <v>264.40287169877075</v>
      </c>
      <c r="L1384" s="91">
        <v>270.09834665432737</v>
      </c>
      <c r="M1384" s="92">
        <v>1112627.4295732912</v>
      </c>
      <c r="N1384" s="90" t="s">
        <v>1392</v>
      </c>
      <c r="O1384" s="25">
        <f t="shared" si="43"/>
        <v>-2.0177181931485211E-2</v>
      </c>
    </row>
    <row r="1385" spans="1:15">
      <c r="A1385" s="91">
        <v>333.18159510950824</v>
      </c>
      <c r="B1385" s="91">
        <v>333.31078891456389</v>
      </c>
      <c r="C1385" s="91">
        <v>330.69922842665386</v>
      </c>
      <c r="D1385" s="91">
        <v>330.78228158704673</v>
      </c>
      <c r="E1385" s="92">
        <v>2323841.6104452596</v>
      </c>
      <c r="F1385" s="90" t="s">
        <v>1393</v>
      </c>
      <c r="G1385" s="25">
        <f t="shared" si="42"/>
        <v>7.253452364346602E-3</v>
      </c>
      <c r="I1385" s="91">
        <v>270.54415859174316</v>
      </c>
      <c r="J1385" s="91">
        <v>274.31536365416838</v>
      </c>
      <c r="K1385" s="91">
        <v>269.4068832411927</v>
      </c>
      <c r="L1385" s="91">
        <v>271.59955011705392</v>
      </c>
      <c r="M1385" s="92">
        <v>719091.46681512357</v>
      </c>
      <c r="N1385" s="90" t="s">
        <v>1393</v>
      </c>
      <c r="O1385" s="25">
        <f t="shared" si="43"/>
        <v>-3.8858367948544359E-3</v>
      </c>
    </row>
    <row r="1386" spans="1:15">
      <c r="A1386" s="91">
        <v>331.49284751485266</v>
      </c>
      <c r="B1386" s="91">
        <v>332.30492286091658</v>
      </c>
      <c r="C1386" s="91">
        <v>329.29433807796335</v>
      </c>
      <c r="D1386" s="91">
        <v>331.94502583254729</v>
      </c>
      <c r="E1386" s="92">
        <v>2424326.7691137507</v>
      </c>
      <c r="F1386" s="90" t="s">
        <v>1394</v>
      </c>
      <c r="G1386" s="25">
        <f t="shared" si="42"/>
        <v>-1.3622084456922368E-3</v>
      </c>
      <c r="I1386" s="91">
        <v>272.60945062834276</v>
      </c>
      <c r="J1386" s="91">
        <v>276.76732930995513</v>
      </c>
      <c r="K1386" s="91">
        <v>272.16363869092697</v>
      </c>
      <c r="L1386" s="91">
        <v>275.29342045564175</v>
      </c>
      <c r="M1386" s="92">
        <v>1119051.775266235</v>
      </c>
      <c r="N1386" s="90" t="s">
        <v>1394</v>
      </c>
      <c r="O1386" s="25">
        <f t="shared" si="43"/>
        <v>-9.7494877387797052E-3</v>
      </c>
    </row>
    <row r="1387" spans="1:15">
      <c r="A1387" s="91">
        <v>330.9576160367651</v>
      </c>
      <c r="B1387" s="91">
        <v>332.77555743647633</v>
      </c>
      <c r="C1387" s="91">
        <v>328.79823386654977</v>
      </c>
      <c r="D1387" s="91">
        <v>332.70173240501595</v>
      </c>
      <c r="E1387" s="92">
        <v>2600755.8168547568</v>
      </c>
      <c r="F1387" s="90" t="s">
        <v>1395</v>
      </c>
      <c r="G1387" s="25">
        <f t="shared" si="42"/>
        <v>-5.242282195656367E-3</v>
      </c>
      <c r="I1387" s="91">
        <v>276.24873175010413</v>
      </c>
      <c r="J1387" s="91">
        <v>277.17674843615328</v>
      </c>
      <c r="K1387" s="91">
        <v>275.12055460235808</v>
      </c>
      <c r="L1387" s="91">
        <v>277.17674843615328</v>
      </c>
      <c r="M1387" s="92">
        <v>931345.47362461512</v>
      </c>
      <c r="N1387" s="90" t="s">
        <v>1395</v>
      </c>
      <c r="O1387" s="25">
        <f t="shared" si="43"/>
        <v>-3.3481043820777767E-3</v>
      </c>
    </row>
    <row r="1388" spans="1:15">
      <c r="A1388" s="91">
        <v>331.0868098418207</v>
      </c>
      <c r="B1388" s="91">
        <v>331.59435693311065</v>
      </c>
      <c r="C1388" s="91">
        <v>330.15476881963372</v>
      </c>
      <c r="D1388" s="91">
        <v>330.57003462159827</v>
      </c>
      <c r="E1388" s="92">
        <v>2049429.5363931209</v>
      </c>
      <c r="F1388" s="90" t="s">
        <v>1396</v>
      </c>
      <c r="G1388" s="25">
        <f t="shared" si="42"/>
        <v>1.5632851320415142E-3</v>
      </c>
      <c r="I1388" s="91">
        <v>276.38520479217016</v>
      </c>
      <c r="J1388" s="91">
        <v>278.99638899703399</v>
      </c>
      <c r="K1388" s="91">
        <v>271.18103278805137</v>
      </c>
      <c r="L1388" s="91">
        <v>272.04536205446971</v>
      </c>
      <c r="M1388" s="92">
        <v>1425011.1015029179</v>
      </c>
      <c r="N1388" s="90" t="s">
        <v>1396</v>
      </c>
      <c r="O1388" s="25">
        <f t="shared" si="43"/>
        <v>1.5952643724290061E-2</v>
      </c>
    </row>
    <row r="1389" spans="1:15">
      <c r="A1389" s="91">
        <v>331.35442558086447</v>
      </c>
      <c r="B1389" s="91">
        <v>331.35442558086447</v>
      </c>
      <c r="C1389" s="91">
        <v>329.4995716654231</v>
      </c>
      <c r="D1389" s="91">
        <v>330.2931907536219</v>
      </c>
      <c r="E1389" s="92">
        <v>3653037.3867138796</v>
      </c>
      <c r="F1389" s="90" t="s">
        <v>1397</v>
      </c>
      <c r="G1389" s="25">
        <f t="shared" si="42"/>
        <v>3.2130084935180214E-3</v>
      </c>
      <c r="I1389" s="91">
        <v>273.06436076856289</v>
      </c>
      <c r="J1389" s="91">
        <v>274.40179658081024</v>
      </c>
      <c r="K1389" s="91">
        <v>271.2083273964646</v>
      </c>
      <c r="L1389" s="91">
        <v>273.85590441254601</v>
      </c>
      <c r="M1389" s="92">
        <v>1746237.1790954589</v>
      </c>
      <c r="N1389" s="90" t="s">
        <v>1397</v>
      </c>
      <c r="O1389" s="25">
        <f t="shared" si="43"/>
        <v>-2.8903654485050723E-3</v>
      </c>
    </row>
    <row r="1390" spans="1:15">
      <c r="A1390" s="91">
        <v>328.92742767160536</v>
      </c>
      <c r="B1390" s="91">
        <v>329.56527594342282</v>
      </c>
      <c r="C1390" s="91">
        <v>327.89018597958739</v>
      </c>
      <c r="D1390" s="91">
        <v>329.35192160250239</v>
      </c>
      <c r="E1390" s="92">
        <v>2266717.3543958087</v>
      </c>
      <c r="F1390" s="90" t="s">
        <v>1398</v>
      </c>
      <c r="G1390" s="25">
        <f t="shared" si="42"/>
        <v>-1.288876435976416E-3</v>
      </c>
      <c r="I1390" s="91">
        <v>271.84520159277287</v>
      </c>
      <c r="J1390" s="91">
        <v>277.17674843615328</v>
      </c>
      <c r="K1390" s="91">
        <v>271.63594292827156</v>
      </c>
      <c r="L1390" s="91">
        <v>276.00308027438524</v>
      </c>
      <c r="M1390" s="92">
        <v>1265666.4450727135</v>
      </c>
      <c r="N1390" s="90" t="s">
        <v>1398</v>
      </c>
      <c r="O1390" s="25">
        <f t="shared" si="43"/>
        <v>-1.5064609704641185E-2</v>
      </c>
    </row>
    <row r="1391" spans="1:15">
      <c r="A1391" s="91">
        <v>327.61703336318408</v>
      </c>
      <c r="B1391" s="91">
        <v>327.6354896210492</v>
      </c>
      <c r="C1391" s="91">
        <v>324.7563133940954</v>
      </c>
      <c r="D1391" s="91">
        <v>324.94087597274626</v>
      </c>
      <c r="E1391" s="92">
        <v>2154653.4671702008</v>
      </c>
      <c r="F1391" s="90" t="s">
        <v>1399</v>
      </c>
      <c r="G1391" s="25">
        <f t="shared" si="42"/>
        <v>8.2358286947632475E-3</v>
      </c>
      <c r="I1391" s="91">
        <v>274.62925165092037</v>
      </c>
      <c r="J1391" s="91">
        <v>276.33061557534381</v>
      </c>
      <c r="K1391" s="91">
        <v>272.69133445358239</v>
      </c>
      <c r="L1391" s="91">
        <v>274.30171634996179</v>
      </c>
      <c r="M1391" s="92">
        <v>1427575.3441892546</v>
      </c>
      <c r="N1391" s="90" t="s">
        <v>1399</v>
      </c>
      <c r="O1391" s="25">
        <f t="shared" si="43"/>
        <v>1.194069455040081E-3</v>
      </c>
    </row>
    <row r="1392" spans="1:15">
      <c r="A1392" s="91">
        <v>323.99037869269421</v>
      </c>
      <c r="B1392" s="91">
        <v>325.56838874015926</v>
      </c>
      <c r="C1392" s="91">
        <v>322.87377509185637</v>
      </c>
      <c r="D1392" s="91">
        <v>324.55329455757942</v>
      </c>
      <c r="E1392" s="92">
        <v>3676594.7082022419</v>
      </c>
      <c r="F1392" s="90" t="s">
        <v>1400</v>
      </c>
      <c r="G1392" s="25">
        <f t="shared" si="42"/>
        <v>-1.7344327551891414E-3</v>
      </c>
      <c r="I1392" s="91">
        <v>273.61935113963153</v>
      </c>
      <c r="J1392" s="91">
        <v>274.72023367896435</v>
      </c>
      <c r="K1392" s="91">
        <v>270.91991436756501</v>
      </c>
      <c r="L1392" s="91">
        <v>271.59955011705392</v>
      </c>
      <c r="M1392" s="92">
        <v>1066766.7240064675</v>
      </c>
      <c r="N1392" s="90" t="s">
        <v>1400</v>
      </c>
      <c r="O1392" s="25">
        <f t="shared" si="43"/>
        <v>7.4366876591183129E-3</v>
      </c>
    </row>
    <row r="1393" spans="1:15">
      <c r="A1393" s="91">
        <v>323.66739418005517</v>
      </c>
      <c r="B1393" s="91">
        <v>325.14389480926224</v>
      </c>
      <c r="C1393" s="91">
        <v>322.06169974579251</v>
      </c>
      <c r="D1393" s="91">
        <v>322.10784039045524</v>
      </c>
      <c r="E1393" s="92">
        <v>3202414.0772220902</v>
      </c>
      <c r="F1393" s="90" t="s">
        <v>1401</v>
      </c>
      <c r="G1393" s="25">
        <f t="shared" si="42"/>
        <v>4.8417132216014291E-3</v>
      </c>
      <c r="I1393" s="91">
        <v>272.94608413210568</v>
      </c>
      <c r="J1393" s="91">
        <v>274.8749031266392</v>
      </c>
      <c r="K1393" s="91">
        <v>267.50535885507236</v>
      </c>
      <c r="L1393" s="91">
        <v>268.22411687662026</v>
      </c>
      <c r="M1393" s="92">
        <v>2446711.7823781474</v>
      </c>
      <c r="N1393" s="90" t="s">
        <v>1401</v>
      </c>
      <c r="O1393" s="25">
        <f t="shared" si="43"/>
        <v>1.7604558868423714E-2</v>
      </c>
    </row>
    <row r="1394" spans="1:15">
      <c r="A1394" s="91">
        <v>319.08101410058072</v>
      </c>
      <c r="B1394" s="91">
        <v>320.07765202529549</v>
      </c>
      <c r="C1394" s="91">
        <v>315.04832175705889</v>
      </c>
      <c r="D1394" s="91">
        <v>317.10619450901623</v>
      </c>
      <c r="E1394" s="92">
        <v>3612876.4827311672</v>
      </c>
      <c r="F1394" s="90" t="s">
        <v>1402</v>
      </c>
      <c r="G1394" s="25">
        <f t="shared" si="42"/>
        <v>6.2276285539679677E-3</v>
      </c>
      <c r="I1394" s="91">
        <v>265.94956617551935</v>
      </c>
      <c r="J1394" s="91">
        <v>267.60543908592081</v>
      </c>
      <c r="K1394" s="91">
        <v>261.6643126546453</v>
      </c>
      <c r="L1394" s="91">
        <v>262.41946348741078</v>
      </c>
      <c r="M1394" s="92">
        <v>1452474.7671709401</v>
      </c>
      <c r="N1394" s="90" t="s">
        <v>1402</v>
      </c>
      <c r="O1394" s="25">
        <f t="shared" si="43"/>
        <v>1.3452137433692668E-2</v>
      </c>
    </row>
    <row r="1395" spans="1:15">
      <c r="A1395" s="91">
        <v>313.92249002728852</v>
      </c>
      <c r="B1395" s="91">
        <v>319.49627990254521</v>
      </c>
      <c r="C1395" s="91">
        <v>312.43676126914886</v>
      </c>
      <c r="D1395" s="91">
        <v>318.65652016968369</v>
      </c>
      <c r="E1395" s="92">
        <v>6289083.1309613409</v>
      </c>
      <c r="F1395" s="90" t="s">
        <v>1403</v>
      </c>
      <c r="G1395" s="25">
        <f t="shared" si="42"/>
        <v>-1.4856216153601109E-2</v>
      </c>
      <c r="I1395" s="91">
        <v>260.76359057700938</v>
      </c>
      <c r="J1395" s="91">
        <v>263.4748550127216</v>
      </c>
      <c r="K1395" s="91">
        <v>257.36996093096684</v>
      </c>
      <c r="L1395" s="91">
        <v>263.4657568099172</v>
      </c>
      <c r="M1395" s="92">
        <v>1823731.6046603355</v>
      </c>
      <c r="N1395" s="90" t="s">
        <v>1403</v>
      </c>
      <c r="O1395" s="25">
        <f t="shared" si="43"/>
        <v>-1.0256233165273687E-2</v>
      </c>
    </row>
    <row r="1396" spans="1:15">
      <c r="A1396" s="91">
        <v>320.33603963540673</v>
      </c>
      <c r="B1396" s="91">
        <v>323.97256840385438</v>
      </c>
      <c r="C1396" s="91">
        <v>318.90567965086234</v>
      </c>
      <c r="D1396" s="91">
        <v>319.26557667923163</v>
      </c>
      <c r="E1396" s="92">
        <v>3719267.4973319266</v>
      </c>
      <c r="F1396" s="90" t="s">
        <v>1404</v>
      </c>
      <c r="G1396" s="25">
        <f t="shared" si="42"/>
        <v>3.3528918692371512E-3</v>
      </c>
      <c r="I1396" s="91">
        <v>266.60463677743638</v>
      </c>
      <c r="J1396" s="91">
        <v>269.49786526923674</v>
      </c>
      <c r="K1396" s="91">
        <v>265.03064769227461</v>
      </c>
      <c r="L1396" s="91">
        <v>265.77670032223568</v>
      </c>
      <c r="M1396" s="92">
        <v>1537188.2008643462</v>
      </c>
      <c r="N1396" s="90" t="s">
        <v>1404</v>
      </c>
      <c r="O1396" s="25">
        <f t="shared" si="43"/>
        <v>3.115158154183062E-3</v>
      </c>
    </row>
    <row r="1397" spans="1:15">
      <c r="A1397" s="91">
        <v>317.66911037390145</v>
      </c>
      <c r="B1397" s="91">
        <v>322.57847496601494</v>
      </c>
      <c r="C1397" s="91">
        <v>315.59278136407903</v>
      </c>
      <c r="D1397" s="91">
        <v>322.56001870814987</v>
      </c>
      <c r="E1397" s="92">
        <v>5429455.9998292513</v>
      </c>
      <c r="F1397" s="90" t="s">
        <v>1405</v>
      </c>
      <c r="G1397" s="25">
        <f t="shared" si="42"/>
        <v>-1.5162785375064325E-2</v>
      </c>
      <c r="I1397" s="91">
        <v>265.88587875588854</v>
      </c>
      <c r="J1397" s="91">
        <v>269.37049042997506</v>
      </c>
      <c r="K1397" s="91">
        <v>264.90327285301299</v>
      </c>
      <c r="L1397" s="91">
        <v>266.47726193817476</v>
      </c>
      <c r="M1397" s="92">
        <v>1526990.5825000803</v>
      </c>
      <c r="N1397" s="90" t="s">
        <v>1405</v>
      </c>
      <c r="O1397" s="25">
        <f t="shared" si="43"/>
        <v>-2.2192632046160732E-3</v>
      </c>
    </row>
    <row r="1398" spans="1:15">
      <c r="A1398" s="91">
        <v>325.56838874015926</v>
      </c>
      <c r="B1398" s="91">
        <v>327.27097852821367</v>
      </c>
      <c r="C1398" s="91">
        <v>325.38382616150841</v>
      </c>
      <c r="D1398" s="91">
        <v>326.88801117751314</v>
      </c>
      <c r="E1398" s="92">
        <v>2633517.6044511343</v>
      </c>
      <c r="F1398" s="90" t="s">
        <v>1406</v>
      </c>
      <c r="G1398" s="25">
        <f t="shared" si="42"/>
        <v>-4.0369251616183544E-3</v>
      </c>
      <c r="I1398" s="91">
        <v>266.67742239987166</v>
      </c>
      <c r="J1398" s="91">
        <v>273.31001224428178</v>
      </c>
      <c r="K1398" s="91">
        <v>266.12243202880302</v>
      </c>
      <c r="L1398" s="91">
        <v>272.7641200760176</v>
      </c>
      <c r="M1398" s="92">
        <v>1082810.5519072206</v>
      </c>
      <c r="N1398" s="90" t="s">
        <v>1406</v>
      </c>
      <c r="O1398" s="25">
        <f t="shared" si="43"/>
        <v>-2.2314876584389576E-2</v>
      </c>
    </row>
    <row r="1399" spans="1:15">
      <c r="A1399" s="91">
        <v>326.05747957358409</v>
      </c>
      <c r="B1399" s="91">
        <v>326.38175602427373</v>
      </c>
      <c r="C1399" s="91">
        <v>321.11120246574046</v>
      </c>
      <c r="D1399" s="91">
        <v>325.48533557976634</v>
      </c>
      <c r="E1399" s="92">
        <v>3845846.7864314294</v>
      </c>
      <c r="F1399" s="90" t="s">
        <v>1407</v>
      </c>
      <c r="G1399" s="25">
        <f t="shared" si="42"/>
        <v>1.7578180374813179E-3</v>
      </c>
      <c r="I1399" s="91">
        <v>272.35470094981946</v>
      </c>
      <c r="J1399" s="91">
        <v>277.67714959039552</v>
      </c>
      <c r="K1399" s="91">
        <v>271.02900181918983</v>
      </c>
      <c r="L1399" s="91">
        <v>272.65494164236475</v>
      </c>
      <c r="M1399" s="92">
        <v>1615581.7050907845</v>
      </c>
      <c r="N1399" s="90" t="s">
        <v>1407</v>
      </c>
      <c r="O1399" s="25">
        <f t="shared" si="43"/>
        <v>-1.1011745862251621E-3</v>
      </c>
    </row>
    <row r="1400" spans="1:15">
      <c r="A1400" s="91">
        <v>324.73785713623028</v>
      </c>
      <c r="B1400" s="91">
        <v>325.78986383454037</v>
      </c>
      <c r="C1400" s="91">
        <v>323.89809740336881</v>
      </c>
      <c r="D1400" s="91">
        <v>324.25799443173798</v>
      </c>
      <c r="E1400" s="92">
        <v>1963750.1960003318</v>
      </c>
      <c r="F1400" s="90" t="s">
        <v>1408</v>
      </c>
      <c r="G1400" s="25">
        <f t="shared" si="42"/>
        <v>1.4798793329158233E-3</v>
      </c>
      <c r="I1400" s="91">
        <v>271.27201481609546</v>
      </c>
      <c r="J1400" s="91">
        <v>273.49470576121121</v>
      </c>
      <c r="K1400" s="91">
        <v>267.98756360370578</v>
      </c>
      <c r="L1400" s="91">
        <v>269.30680301034425</v>
      </c>
      <c r="M1400" s="92">
        <v>1087266.3769609749</v>
      </c>
      <c r="N1400" s="90" t="s">
        <v>1408</v>
      </c>
      <c r="O1400" s="25">
        <f t="shared" si="43"/>
        <v>7.2972972972975558E-3</v>
      </c>
    </row>
    <row r="1401" spans="1:15">
      <c r="A1401" s="91">
        <v>325.90060138173089</v>
      </c>
      <c r="B1401" s="91">
        <v>326.52350008467761</v>
      </c>
      <c r="C1401" s="91">
        <v>325.10882791931857</v>
      </c>
      <c r="D1401" s="91">
        <v>326.1774452497072</v>
      </c>
      <c r="E1401" s="92">
        <v>2798575.9831467667</v>
      </c>
      <c r="F1401" s="90" t="s">
        <v>1409</v>
      </c>
      <c r="G1401" s="25">
        <f t="shared" si="42"/>
        <v>-8.4875233406889183E-4</v>
      </c>
      <c r="I1401" s="91">
        <v>270.09834665432737</v>
      </c>
      <c r="J1401" s="91">
        <v>272.78231648162642</v>
      </c>
      <c r="K1401" s="91">
        <v>269.67073112252041</v>
      </c>
      <c r="L1401" s="91">
        <v>270.6442388225916</v>
      </c>
      <c r="M1401" s="92">
        <v>1072367.8301914532</v>
      </c>
      <c r="N1401" s="90" t="s">
        <v>1409</v>
      </c>
      <c r="O1401" s="25">
        <f t="shared" si="43"/>
        <v>-2.017010118667506E-3</v>
      </c>
    </row>
    <row r="1402" spans="1:15">
      <c r="A1402" s="91">
        <v>325.59607312695692</v>
      </c>
      <c r="B1402" s="91">
        <v>326.40814847302079</v>
      </c>
      <c r="C1402" s="91">
        <v>322.9568282522493</v>
      </c>
      <c r="D1402" s="91">
        <v>323.27981276488833</v>
      </c>
      <c r="E1402" s="92">
        <v>3164859.335352608</v>
      </c>
      <c r="F1402" s="90" t="s">
        <v>1410</v>
      </c>
      <c r="G1402" s="25">
        <f t="shared" si="42"/>
        <v>7.1648778259876256E-3</v>
      </c>
      <c r="I1402" s="91">
        <v>271.8361033899684</v>
      </c>
      <c r="J1402" s="91">
        <v>273.91504273077464</v>
      </c>
      <c r="K1402" s="91">
        <v>270.26211430480663</v>
      </c>
      <c r="L1402" s="91">
        <v>272.94608413210568</v>
      </c>
      <c r="M1402" s="92">
        <v>1083538.168134548</v>
      </c>
      <c r="N1402" s="90" t="s">
        <v>1410</v>
      </c>
      <c r="O1402" s="25">
        <f t="shared" si="43"/>
        <v>-4.0666666666668849E-3</v>
      </c>
    </row>
    <row r="1403" spans="1:15">
      <c r="A1403" s="91">
        <v>321.23116814186352</v>
      </c>
      <c r="B1403" s="91">
        <v>321.68057802087839</v>
      </c>
      <c r="C1403" s="91">
        <v>319.6254737076008</v>
      </c>
      <c r="D1403" s="91">
        <v>320.95432427388721</v>
      </c>
      <c r="E1403" s="92">
        <v>3721003.4938830263</v>
      </c>
      <c r="F1403" s="90" t="s">
        <v>1411</v>
      </c>
      <c r="G1403" s="25">
        <f t="shared" si="42"/>
        <v>8.6256469235190814E-4</v>
      </c>
      <c r="I1403" s="91">
        <v>271.14463997683373</v>
      </c>
      <c r="J1403" s="91">
        <v>276.58536525386705</v>
      </c>
      <c r="K1403" s="91">
        <v>270.99906873196335</v>
      </c>
      <c r="L1403" s="91">
        <v>276.13045511364692</v>
      </c>
      <c r="M1403" s="92">
        <v>1495440.3954828084</v>
      </c>
      <c r="N1403" s="90" t="s">
        <v>1411</v>
      </c>
      <c r="O1403" s="25">
        <f t="shared" si="43"/>
        <v>-1.8056013179571839E-2</v>
      </c>
    </row>
    <row r="1404" spans="1:15">
      <c r="A1404" s="91">
        <v>318.71188894327895</v>
      </c>
      <c r="B1404" s="91">
        <v>320.27144273287894</v>
      </c>
      <c r="C1404" s="91">
        <v>317.01391321969078</v>
      </c>
      <c r="D1404" s="91">
        <v>319.54242054720788</v>
      </c>
      <c r="E1404" s="92">
        <v>3925116.3767619501</v>
      </c>
      <c r="F1404" s="90" t="s">
        <v>1412</v>
      </c>
      <c r="G1404" s="25">
        <f t="shared" si="42"/>
        <v>-2.5991278482108138E-3</v>
      </c>
      <c r="I1404" s="91">
        <v>273.62844934243594</v>
      </c>
      <c r="J1404" s="91">
        <v>276.14865151925568</v>
      </c>
      <c r="K1404" s="91">
        <v>271.99077283764331</v>
      </c>
      <c r="L1404" s="91">
        <v>275.40259888929461</v>
      </c>
      <c r="M1404" s="92">
        <v>1959632.0705635091</v>
      </c>
      <c r="N1404" s="90" t="s">
        <v>1412</v>
      </c>
      <c r="O1404" s="25">
        <f t="shared" si="43"/>
        <v>-6.4420218037660737E-3</v>
      </c>
    </row>
    <row r="1405" spans="1:15">
      <c r="A1405" s="91">
        <v>321.00046491854994</v>
      </c>
      <c r="B1405" s="91">
        <v>323.2782439829698</v>
      </c>
      <c r="C1405" s="91">
        <v>320.72362105057357</v>
      </c>
      <c r="D1405" s="91">
        <v>322.84609070505877</v>
      </c>
      <c r="E1405" s="92">
        <v>3789980.6402420453</v>
      </c>
      <c r="F1405" s="90" t="s">
        <v>1413</v>
      </c>
      <c r="G1405" s="25">
        <f t="shared" si="42"/>
        <v>-5.7167357438902E-3</v>
      </c>
      <c r="I1405" s="91">
        <v>275.69374137903554</v>
      </c>
      <c r="J1405" s="91">
        <v>280.98889541119837</v>
      </c>
      <c r="K1405" s="91">
        <v>274.73843008457317</v>
      </c>
      <c r="L1405" s="91">
        <v>274.79301930139957</v>
      </c>
      <c r="M1405" s="92">
        <v>1511898.5909329611</v>
      </c>
      <c r="N1405" s="90" t="s">
        <v>1413</v>
      </c>
      <c r="O1405" s="25">
        <f t="shared" si="43"/>
        <v>3.2778200840977156E-3</v>
      </c>
    </row>
    <row r="1406" spans="1:15">
      <c r="A1406" s="91">
        <v>322.08938413259011</v>
      </c>
      <c r="B1406" s="91">
        <v>323.03988141264216</v>
      </c>
      <c r="C1406" s="91">
        <v>320.51137408512506</v>
      </c>
      <c r="D1406" s="91">
        <v>321.24039627079605</v>
      </c>
      <c r="E1406" s="92">
        <v>3294195.4129826962</v>
      </c>
      <c r="F1406" s="90" t="s">
        <v>1414</v>
      </c>
      <c r="G1406" s="25">
        <f t="shared" si="42"/>
        <v>2.642842779581045E-3</v>
      </c>
      <c r="I1406" s="91">
        <v>272.45478118066785</v>
      </c>
      <c r="J1406" s="91">
        <v>272.95518233491009</v>
      </c>
      <c r="K1406" s="91">
        <v>268.06489832754318</v>
      </c>
      <c r="L1406" s="91">
        <v>271.12644357122497</v>
      </c>
      <c r="M1406" s="92">
        <v>1694189.5373600156</v>
      </c>
      <c r="N1406" s="90" t="s">
        <v>1414</v>
      </c>
      <c r="O1406" s="25">
        <f t="shared" si="43"/>
        <v>4.8993288590601924E-3</v>
      </c>
    </row>
    <row r="1407" spans="1:15">
      <c r="A1407" s="91">
        <v>321.28653691545878</v>
      </c>
      <c r="B1407" s="91">
        <v>322.20012167978064</v>
      </c>
      <c r="C1407" s="91">
        <v>319.26557667923163</v>
      </c>
      <c r="D1407" s="91">
        <v>321.41573072051438</v>
      </c>
      <c r="E1407" s="92">
        <v>2490632.7347621201</v>
      </c>
      <c r="F1407" s="90" t="s">
        <v>1415</v>
      </c>
      <c r="G1407" s="25">
        <f t="shared" si="42"/>
        <v>-4.0195233993678414E-4</v>
      </c>
      <c r="I1407" s="91">
        <v>270.70792624222241</v>
      </c>
      <c r="J1407" s="91">
        <v>271.62684472546715</v>
      </c>
      <c r="K1407" s="91">
        <v>267.0322523092434</v>
      </c>
      <c r="L1407" s="91">
        <v>268.26960789064225</v>
      </c>
      <c r="M1407" s="92">
        <v>1180364.9831593374</v>
      </c>
      <c r="N1407" s="90" t="s">
        <v>1415</v>
      </c>
      <c r="O1407" s="25">
        <f t="shared" si="43"/>
        <v>9.0890592145425053E-3</v>
      </c>
    </row>
    <row r="1408" spans="1:15">
      <c r="A1408" s="91">
        <v>321.25885252866112</v>
      </c>
      <c r="B1408" s="91">
        <v>322.81840631826111</v>
      </c>
      <c r="C1408" s="91">
        <v>320.40248216372106</v>
      </c>
      <c r="D1408" s="91">
        <v>320.54828660085525</v>
      </c>
      <c r="E1408" s="92">
        <v>3237772.2741420851</v>
      </c>
      <c r="F1408" s="90" t="s">
        <v>1416</v>
      </c>
      <c r="G1408" s="25">
        <f t="shared" si="42"/>
        <v>2.2167204053431533E-3</v>
      </c>
      <c r="I1408" s="91">
        <v>268.16042945698945</v>
      </c>
      <c r="J1408" s="91">
        <v>268.34239351307747</v>
      </c>
      <c r="K1408" s="91">
        <v>261.2548935284471</v>
      </c>
      <c r="L1408" s="91">
        <v>261.80988389951574</v>
      </c>
      <c r="M1408" s="92">
        <v>1342276.0805122147</v>
      </c>
      <c r="N1408" s="90" t="s">
        <v>1416</v>
      </c>
      <c r="O1408" s="25">
        <f t="shared" si="43"/>
        <v>2.4256324715040467E-2</v>
      </c>
    </row>
    <row r="1409" spans="1:15">
      <c r="A1409" s="91">
        <v>323.37209405421379</v>
      </c>
      <c r="B1409" s="91">
        <v>323.55573381997141</v>
      </c>
      <c r="C1409" s="91">
        <v>319.88386131771205</v>
      </c>
      <c r="D1409" s="91">
        <v>322.87377509185637</v>
      </c>
      <c r="E1409" s="92">
        <v>4072832.1282392303</v>
      </c>
      <c r="F1409" s="90" t="s">
        <v>1417</v>
      </c>
      <c r="G1409" s="25">
        <f t="shared" si="42"/>
        <v>1.5433863038756268E-3</v>
      </c>
      <c r="I1409" s="91">
        <v>262.32848145936674</v>
      </c>
      <c r="J1409" s="91">
        <v>267.11413613448298</v>
      </c>
      <c r="K1409" s="91">
        <v>260.75449237420497</v>
      </c>
      <c r="L1409" s="91">
        <v>266.21341405684706</v>
      </c>
      <c r="M1409" s="92">
        <v>2297698.8367287251</v>
      </c>
      <c r="N1409" s="90" t="s">
        <v>1417</v>
      </c>
      <c r="O1409" s="25">
        <f t="shared" si="43"/>
        <v>-1.4593301435406714E-2</v>
      </c>
    </row>
    <row r="1410" spans="1:15">
      <c r="A1410" s="91">
        <v>321.56338078343509</v>
      </c>
      <c r="B1410" s="91">
        <v>322.24626232444336</v>
      </c>
      <c r="C1410" s="91">
        <v>318.8687671351322</v>
      </c>
      <c r="D1410" s="91">
        <v>319.05332971378311</v>
      </c>
      <c r="E1410" s="92">
        <v>3943222.9724999801</v>
      </c>
      <c r="F1410" s="90" t="s">
        <v>1418</v>
      </c>
      <c r="G1410" s="25">
        <f t="shared" si="42"/>
        <v>7.8671834326371481E-3</v>
      </c>
      <c r="I1410" s="91">
        <v>266.19521765123824</v>
      </c>
      <c r="J1410" s="91">
        <v>271.98349427539978</v>
      </c>
      <c r="K1410" s="91">
        <v>266.15882484002066</v>
      </c>
      <c r="L1410" s="91">
        <v>270.05285564030532</v>
      </c>
      <c r="M1410" s="92">
        <v>1462919.6871230437</v>
      </c>
      <c r="N1410" s="90" t="s">
        <v>1418</v>
      </c>
      <c r="O1410" s="25">
        <f t="shared" si="43"/>
        <v>-1.4284751701367782E-2</v>
      </c>
    </row>
    <row r="1411" spans="1:15">
      <c r="A1411" s="91">
        <v>316.82935064103992</v>
      </c>
      <c r="B1411" s="91">
        <v>319.75466751265645</v>
      </c>
      <c r="C1411" s="91">
        <v>313.1104146812246</v>
      </c>
      <c r="D1411" s="91">
        <v>313.56259299891929</v>
      </c>
      <c r="E1411" s="92">
        <v>5206851.8278442323</v>
      </c>
      <c r="F1411" s="90" t="s">
        <v>1419</v>
      </c>
      <c r="G1411" s="25">
        <f t="shared" si="42"/>
        <v>1.0418199476146972E-2</v>
      </c>
      <c r="I1411" s="91">
        <v>272.16363869092697</v>
      </c>
      <c r="J1411" s="91">
        <v>274.84760851822597</v>
      </c>
      <c r="K1411" s="91">
        <v>266.76840442791564</v>
      </c>
      <c r="L1411" s="91">
        <v>267.46896604385478</v>
      </c>
      <c r="M1411" s="92">
        <v>1046937.5331345425</v>
      </c>
      <c r="N1411" s="90" t="s">
        <v>1419</v>
      </c>
      <c r="O1411" s="25">
        <f t="shared" si="43"/>
        <v>1.7552214436356239E-2</v>
      </c>
    </row>
    <row r="1412" spans="1:15">
      <c r="A1412" s="91">
        <v>314.91912795200329</v>
      </c>
      <c r="B1412" s="91">
        <v>315.96190652138074</v>
      </c>
      <c r="C1412" s="91">
        <v>312.27065494836307</v>
      </c>
      <c r="D1412" s="91">
        <v>312.27988307729561</v>
      </c>
      <c r="E1412" s="92">
        <v>3575715.1033760724</v>
      </c>
      <c r="F1412" s="90" t="s">
        <v>1420</v>
      </c>
      <c r="G1412" s="25">
        <f t="shared" si="42"/>
        <v>8.4515366430262251E-3</v>
      </c>
      <c r="I1412" s="91">
        <v>269.84359697580402</v>
      </c>
      <c r="J1412" s="91">
        <v>271.57225550864075</v>
      </c>
      <c r="K1412" s="91">
        <v>267.48716244946354</v>
      </c>
      <c r="L1412" s="91">
        <v>268.62443780001399</v>
      </c>
      <c r="M1412" s="92">
        <v>1033013.904180186</v>
      </c>
      <c r="N1412" s="90" t="s">
        <v>1420</v>
      </c>
      <c r="O1412" s="25">
        <f t="shared" si="43"/>
        <v>4.5385266723114714E-3</v>
      </c>
    </row>
    <row r="1413" spans="1:15">
      <c r="A1413" s="91">
        <v>312.86125520004589</v>
      </c>
      <c r="B1413" s="91">
        <v>318.45350133316771</v>
      </c>
      <c r="C1413" s="91">
        <v>309.48376001073473</v>
      </c>
      <c r="D1413" s="91">
        <v>318.38890443063985</v>
      </c>
      <c r="E1413" s="92">
        <v>5854506.4113126751</v>
      </c>
      <c r="F1413" s="90" t="s">
        <v>1421</v>
      </c>
      <c r="G1413" s="25">
        <f t="shared" si="42"/>
        <v>-1.7361312387687677E-2</v>
      </c>
      <c r="I1413" s="91">
        <v>268.17862586259821</v>
      </c>
      <c r="J1413" s="91">
        <v>276.80372212117277</v>
      </c>
      <c r="K1413" s="91">
        <v>265.89497695869295</v>
      </c>
      <c r="L1413" s="91">
        <v>276.64905267349792</v>
      </c>
      <c r="M1413" s="92">
        <v>1393237.7934975077</v>
      </c>
      <c r="N1413" s="90" t="s">
        <v>1421</v>
      </c>
      <c r="O1413" s="25">
        <f t="shared" si="43"/>
        <v>-3.0617949814187639E-2</v>
      </c>
    </row>
    <row r="1414" spans="1:15">
      <c r="A1414" s="91">
        <v>317.1615632826115</v>
      </c>
      <c r="B1414" s="91">
        <v>317.78907605002451</v>
      </c>
      <c r="C1414" s="91">
        <v>314.89144356520563</v>
      </c>
      <c r="D1414" s="91">
        <v>315.43590317222572</v>
      </c>
      <c r="E1414" s="92">
        <v>3800683.7850205796</v>
      </c>
      <c r="F1414" s="90" t="s">
        <v>1422</v>
      </c>
      <c r="G1414" s="25">
        <f t="shared" si="42"/>
        <v>5.4707155813000785E-3</v>
      </c>
      <c r="I1414" s="91">
        <v>277.24043585578414</v>
      </c>
      <c r="J1414" s="91">
        <v>277.44969452028539</v>
      </c>
      <c r="K1414" s="91">
        <v>273.40099427232587</v>
      </c>
      <c r="L1414" s="91">
        <v>275.32071506405498</v>
      </c>
      <c r="M1414" s="92">
        <v>572096.50212245877</v>
      </c>
      <c r="N1414" s="90" t="s">
        <v>1422</v>
      </c>
      <c r="O1414" s="25">
        <f t="shared" si="43"/>
        <v>6.9726710948085913E-3</v>
      </c>
    </row>
    <row r="1415" spans="1:15">
      <c r="A1415" s="91">
        <v>315.46358755902338</v>
      </c>
      <c r="B1415" s="91">
        <v>316.44176922587309</v>
      </c>
      <c r="C1415" s="91">
        <v>315.2005858844459</v>
      </c>
      <c r="D1415" s="91">
        <v>315.86039710312275</v>
      </c>
      <c r="E1415" s="92">
        <v>2177185.6621059161</v>
      </c>
      <c r="F1415" s="90" t="s">
        <v>1423</v>
      </c>
      <c r="G1415" s="25">
        <f t="shared" si="42"/>
        <v>-1.2562814070350425E-3</v>
      </c>
      <c r="I1415" s="91">
        <v>275.32071506405498</v>
      </c>
      <c r="J1415" s="91">
        <v>277.99558668854962</v>
      </c>
      <c r="K1415" s="91">
        <v>274.14704690228695</v>
      </c>
      <c r="L1415" s="91">
        <v>274.27442174154857</v>
      </c>
      <c r="M1415" s="92">
        <v>580511.35081795556</v>
      </c>
      <c r="N1415" s="90" t="s">
        <v>1423</v>
      </c>
      <c r="O1415" s="25">
        <f t="shared" si="43"/>
        <v>3.8147681284417256E-3</v>
      </c>
    </row>
    <row r="1416" spans="1:15">
      <c r="A1416" s="91">
        <v>315.03909362812635</v>
      </c>
      <c r="B1416" s="91">
        <v>317.23538831407183</v>
      </c>
      <c r="C1416" s="91">
        <v>314.55923092363406</v>
      </c>
      <c r="D1416" s="91">
        <v>317.10619450901623</v>
      </c>
      <c r="E1416" s="92">
        <v>2769295.9414422014</v>
      </c>
      <c r="F1416" s="90" t="s">
        <v>1424</v>
      </c>
      <c r="G1416" s="25">
        <f t="shared" si="42"/>
        <v>-6.5186392340598198E-3</v>
      </c>
      <c r="I1416" s="91">
        <v>273.8468062097416</v>
      </c>
      <c r="J1416" s="91">
        <v>277.52248014272061</v>
      </c>
      <c r="K1416" s="91">
        <v>272.17273689373133</v>
      </c>
      <c r="L1416" s="91">
        <v>277.32231968102377</v>
      </c>
      <c r="M1416" s="92">
        <v>576730.38431945641</v>
      </c>
      <c r="N1416" s="90" t="s">
        <v>1424</v>
      </c>
      <c r="O1416" s="25">
        <f t="shared" si="43"/>
        <v>-1.2532397231062031E-2</v>
      </c>
    </row>
    <row r="1417" spans="1:15">
      <c r="A1417" s="91">
        <v>315.70351891126955</v>
      </c>
      <c r="B1417" s="91">
        <v>316.02650342390854</v>
      </c>
      <c r="C1417" s="91">
        <v>314.76224976014998</v>
      </c>
      <c r="D1417" s="91">
        <v>315.36207814076539</v>
      </c>
      <c r="E1417" s="92">
        <v>3032949.6049079993</v>
      </c>
      <c r="F1417" s="90" t="s">
        <v>1425</v>
      </c>
      <c r="G1417" s="25">
        <f t="shared" si="42"/>
        <v>1.0826944460702315E-3</v>
      </c>
      <c r="I1417" s="91">
        <v>275.69374137903554</v>
      </c>
      <c r="J1417" s="91">
        <v>277.23133765297973</v>
      </c>
      <c r="K1417" s="91">
        <v>272.32003679713466</v>
      </c>
      <c r="L1417" s="91">
        <v>273.41009247513023</v>
      </c>
      <c r="M1417" s="92">
        <v>663827.80531961971</v>
      </c>
      <c r="N1417" s="90" t="s">
        <v>1425</v>
      </c>
      <c r="O1417" s="25">
        <f t="shared" si="43"/>
        <v>8.3524674719643865E-3</v>
      </c>
    </row>
    <row r="1418" spans="1:15">
      <c r="A1418" s="91">
        <v>312.981220876169</v>
      </c>
      <c r="B1418" s="91">
        <v>312.99967713403407</v>
      </c>
      <c r="C1418" s="91">
        <v>311.69851095454533</v>
      </c>
      <c r="D1418" s="91">
        <v>312.25219869049801</v>
      </c>
      <c r="E1418" s="92">
        <v>1568754.6311740552</v>
      </c>
      <c r="F1418" s="90" t="s">
        <v>1426</v>
      </c>
      <c r="G1418" s="25">
        <f t="shared" si="42"/>
        <v>2.334722345361584E-3</v>
      </c>
      <c r="I1418" s="91">
        <v>272.58215601992953</v>
      </c>
      <c r="J1418" s="91">
        <v>273.92869003498123</v>
      </c>
      <c r="K1418" s="91">
        <v>270.15293587115377</v>
      </c>
      <c r="L1418" s="91">
        <v>273.48287809756545</v>
      </c>
      <c r="M1418" s="92">
        <v>365673.31719510024</v>
      </c>
      <c r="N1418" s="90" t="s">
        <v>1426</v>
      </c>
      <c r="O1418" s="25">
        <f t="shared" si="43"/>
        <v>-3.293522738613941E-3</v>
      </c>
    </row>
    <row r="1419" spans="1:15">
      <c r="A1419" s="91">
        <v>311.73542347027552</v>
      </c>
      <c r="B1419" s="91">
        <v>313.52568048318909</v>
      </c>
      <c r="C1419" s="91">
        <v>311.624685923085</v>
      </c>
      <c r="D1419" s="91">
        <v>312.40907688235126</v>
      </c>
      <c r="E1419" s="92">
        <v>3990155.56340393</v>
      </c>
      <c r="F1419" s="90" t="s">
        <v>1427</v>
      </c>
      <c r="G1419" s="25">
        <f t="shared" si="42"/>
        <v>-2.1563183080286485E-3</v>
      </c>
      <c r="I1419" s="91">
        <v>273.54656551719631</v>
      </c>
      <c r="J1419" s="91">
        <v>275.52997372855623</v>
      </c>
      <c r="K1419" s="91">
        <v>270.72612264783123</v>
      </c>
      <c r="L1419" s="91">
        <v>271.39029145255267</v>
      </c>
      <c r="M1419" s="92">
        <v>865027.98071184231</v>
      </c>
      <c r="N1419" s="90" t="s">
        <v>1427</v>
      </c>
      <c r="O1419" s="25">
        <f t="shared" si="43"/>
        <v>7.9452881424117994E-3</v>
      </c>
    </row>
    <row r="1420" spans="1:15">
      <c r="A1420" s="91">
        <v>311.48626398909687</v>
      </c>
      <c r="B1420" s="91">
        <v>312.41830501128379</v>
      </c>
      <c r="C1420" s="91">
        <v>310.49885419331463</v>
      </c>
      <c r="D1420" s="91">
        <v>312.34447997982346</v>
      </c>
      <c r="E1420" s="92">
        <v>2580506.8583317553</v>
      </c>
      <c r="F1420" s="90" t="s">
        <v>1428</v>
      </c>
      <c r="G1420" s="25">
        <f t="shared" si="42"/>
        <v>-2.7476585812626908E-3</v>
      </c>
      <c r="I1420" s="91">
        <v>269.59794550008519</v>
      </c>
      <c r="J1420" s="91">
        <v>270.95812681934348</v>
      </c>
      <c r="K1420" s="91">
        <v>268.14223305138063</v>
      </c>
      <c r="L1420" s="91">
        <v>270.61694421417837</v>
      </c>
      <c r="M1420" s="92">
        <v>1060410.52363995</v>
      </c>
      <c r="N1420" s="90" t="s">
        <v>1428</v>
      </c>
      <c r="O1420" s="25">
        <f t="shared" si="43"/>
        <v>-3.7654653039268515E-3</v>
      </c>
    </row>
    <row r="1421" spans="1:15">
      <c r="A1421" s="91">
        <v>312.10187247018678</v>
      </c>
      <c r="B1421" s="91">
        <v>312.82792588533874</v>
      </c>
      <c r="C1421" s="91">
        <v>307.06545131191763</v>
      </c>
      <c r="D1421" s="91">
        <v>309.56528079193441</v>
      </c>
      <c r="E1421" s="92">
        <v>4263167.2620839486</v>
      </c>
      <c r="F1421" s="90" t="s">
        <v>1429</v>
      </c>
      <c r="G1421" s="25">
        <f t="shared" si="42"/>
        <v>8.1940444734733831E-3</v>
      </c>
      <c r="I1421" s="91">
        <v>270.77161366185322</v>
      </c>
      <c r="J1421" s="91">
        <v>272.86420030686605</v>
      </c>
      <c r="K1421" s="91">
        <v>266.3589853017175</v>
      </c>
      <c r="L1421" s="91">
        <v>272.06355846007853</v>
      </c>
      <c r="M1421" s="92">
        <v>1570628.8711308679</v>
      </c>
      <c r="N1421" s="90" t="s">
        <v>1429</v>
      </c>
      <c r="O1421" s="25">
        <f t="shared" si="43"/>
        <v>-4.7486874226666531E-3</v>
      </c>
    </row>
    <row r="1422" spans="1:15">
      <c r="A1422" s="91">
        <v>313.06688017386972</v>
      </c>
      <c r="B1422" s="91">
        <v>314.77632239182242</v>
      </c>
      <c r="C1422" s="91">
        <v>311.28391355944598</v>
      </c>
      <c r="D1422" s="91">
        <v>314.67522634667466</v>
      </c>
      <c r="E1422" s="92">
        <v>6556354.3957765456</v>
      </c>
      <c r="F1422" s="90" t="s">
        <v>1430</v>
      </c>
      <c r="G1422" s="25">
        <f t="shared" si="42"/>
        <v>-5.1111305820847885E-3</v>
      </c>
      <c r="I1422" s="91">
        <v>275.79382160988399</v>
      </c>
      <c r="J1422" s="91">
        <v>277.4587927230898</v>
      </c>
      <c r="K1422" s="91">
        <v>272.22732611055778</v>
      </c>
      <c r="L1422" s="91">
        <v>273.49197630036991</v>
      </c>
      <c r="M1422" s="92">
        <v>2927404.5185175594</v>
      </c>
      <c r="N1422" s="90" t="s">
        <v>1430</v>
      </c>
      <c r="O1422" s="25">
        <f t="shared" si="43"/>
        <v>8.4165003326679422E-3</v>
      </c>
    </row>
    <row r="1423" spans="1:15">
      <c r="A1423" s="91">
        <v>314.32598546343701</v>
      </c>
      <c r="B1423" s="91">
        <v>314.54655865285025</v>
      </c>
      <c r="C1423" s="91">
        <v>313.36097775975406</v>
      </c>
      <c r="D1423" s="91">
        <v>314.10541227402376</v>
      </c>
      <c r="E1423" s="92">
        <v>2858365.5233764006</v>
      </c>
      <c r="F1423" s="90" t="s">
        <v>1431</v>
      </c>
      <c r="G1423" s="25">
        <f t="shared" si="42"/>
        <v>7.0222664364916199E-4</v>
      </c>
      <c r="I1423" s="91">
        <v>273.56476192280513</v>
      </c>
      <c r="J1423" s="91">
        <v>279.30572789238374</v>
      </c>
      <c r="K1423" s="91">
        <v>272.64584343956039</v>
      </c>
      <c r="L1423" s="91">
        <v>275.01137616870523</v>
      </c>
      <c r="M1423" s="92">
        <v>1424192.2584676326</v>
      </c>
      <c r="N1423" s="90" t="s">
        <v>1431</v>
      </c>
      <c r="O1423" s="25">
        <f t="shared" si="43"/>
        <v>-5.2601978363712165E-3</v>
      </c>
    </row>
    <row r="1424" spans="1:15">
      <c r="A1424" s="91">
        <v>312.62573379504329</v>
      </c>
      <c r="B1424" s="91">
        <v>313.43450215622516</v>
      </c>
      <c r="C1424" s="91">
        <v>311.52286784797701</v>
      </c>
      <c r="D1424" s="91">
        <v>312.32244565960002</v>
      </c>
      <c r="E1424" s="92">
        <v>3202369.9792300123</v>
      </c>
      <c r="F1424" s="90" t="s">
        <v>1432</v>
      </c>
      <c r="G1424" s="25">
        <f t="shared" si="42"/>
        <v>9.7107377218041968E-4</v>
      </c>
      <c r="I1424" s="91">
        <v>274.77482289579075</v>
      </c>
      <c r="J1424" s="91">
        <v>276.65815087630227</v>
      </c>
      <c r="K1424" s="91">
        <v>272.31830813860182</v>
      </c>
      <c r="L1424" s="91">
        <v>273.32820864989066</v>
      </c>
      <c r="M1424" s="92">
        <v>1093949.0154234385</v>
      </c>
      <c r="N1424" s="90" t="s">
        <v>1432</v>
      </c>
      <c r="O1424" s="25">
        <f t="shared" si="43"/>
        <v>5.2925903734768465E-3</v>
      </c>
    </row>
    <row r="1425" spans="1:15">
      <c r="A1425" s="91">
        <v>312.14782521798122</v>
      </c>
      <c r="B1425" s="91">
        <v>312.14782521798122</v>
      </c>
      <c r="C1425" s="91">
        <v>309.02303836796023</v>
      </c>
      <c r="D1425" s="91">
        <v>310.30971530620411</v>
      </c>
      <c r="E1425" s="92">
        <v>3005914.9154243413</v>
      </c>
      <c r="F1425" s="90" t="s">
        <v>1433</v>
      </c>
      <c r="G1425" s="25">
        <f t="shared" si="42"/>
        <v>5.9234687833196187E-3</v>
      </c>
      <c r="I1425" s="91">
        <v>271.59045191424951</v>
      </c>
      <c r="J1425" s="91">
        <v>273.54656551719631</v>
      </c>
      <c r="K1425" s="91">
        <v>270.8989885011149</v>
      </c>
      <c r="L1425" s="91">
        <v>271.43578246657466</v>
      </c>
      <c r="M1425" s="92">
        <v>992226.72807762725</v>
      </c>
      <c r="N1425" s="90" t="s">
        <v>1433</v>
      </c>
      <c r="O1425" s="25">
        <f t="shared" si="43"/>
        <v>5.6981966883418167E-4</v>
      </c>
    </row>
    <row r="1426" spans="1:15">
      <c r="A1426" s="91">
        <v>307.89260077221729</v>
      </c>
      <c r="B1426" s="91">
        <v>312.2856834613645</v>
      </c>
      <c r="C1426" s="91">
        <v>307.78231417751067</v>
      </c>
      <c r="D1426" s="91">
        <v>311.33905685679929</v>
      </c>
      <c r="E1426" s="92">
        <v>2888438.8066147012</v>
      </c>
      <c r="F1426" s="90" t="s">
        <v>1434</v>
      </c>
      <c r="G1426" s="25">
        <f t="shared" si="42"/>
        <v>-1.1069783917817877E-2</v>
      </c>
      <c r="I1426" s="91">
        <v>271.12644357122497</v>
      </c>
      <c r="J1426" s="91">
        <v>276.03037488279847</v>
      </c>
      <c r="K1426" s="91">
        <v>271.12644357122497</v>
      </c>
      <c r="L1426" s="91">
        <v>274.74752828737758</v>
      </c>
      <c r="M1426" s="92">
        <v>769737.73288615223</v>
      </c>
      <c r="N1426" s="90" t="s">
        <v>1434</v>
      </c>
      <c r="O1426" s="25">
        <f t="shared" si="43"/>
        <v>-1.3179680773561242E-2</v>
      </c>
    </row>
    <row r="1427" spans="1:15">
      <c r="A1427" s="91">
        <v>309.30794540428565</v>
      </c>
      <c r="B1427" s="91">
        <v>309.53770914325781</v>
      </c>
      <c r="C1427" s="91">
        <v>306.75297262691549</v>
      </c>
      <c r="D1427" s="91">
        <v>308.16831725898385</v>
      </c>
      <c r="E1427" s="92">
        <v>2598200.4500388275</v>
      </c>
      <c r="F1427" s="90" t="s">
        <v>1435</v>
      </c>
      <c r="G1427" s="25">
        <f t="shared" si="42"/>
        <v>3.6980704422773236E-3</v>
      </c>
      <c r="I1427" s="91">
        <v>273.46468169195668</v>
      </c>
      <c r="J1427" s="91">
        <v>274.0469666714385</v>
      </c>
      <c r="K1427" s="91">
        <v>268.44247374392592</v>
      </c>
      <c r="L1427" s="91">
        <v>271.19922919366019</v>
      </c>
      <c r="M1427" s="92">
        <v>945565.86448437697</v>
      </c>
      <c r="N1427" s="90" t="s">
        <v>1435</v>
      </c>
      <c r="O1427" s="25">
        <f t="shared" si="43"/>
        <v>8.3534621578100765E-3</v>
      </c>
    </row>
    <row r="1428" spans="1:15">
      <c r="A1428" s="91">
        <v>309.70313903531775</v>
      </c>
      <c r="B1428" s="91">
        <v>310.64048318482844</v>
      </c>
      <c r="C1428" s="91">
        <v>307.738199539628</v>
      </c>
      <c r="D1428" s="91">
        <v>308.56351089001595</v>
      </c>
      <c r="E1428" s="92">
        <v>2979755.4351386856</v>
      </c>
      <c r="F1428" s="90" t="s">
        <v>1436</v>
      </c>
      <c r="G1428" s="25">
        <f t="shared" si="42"/>
        <v>3.6933341275988685E-3</v>
      </c>
      <c r="I1428" s="91">
        <v>271.51766629181435</v>
      </c>
      <c r="J1428" s="91">
        <v>278.1229615278113</v>
      </c>
      <c r="K1428" s="91">
        <v>271.01881183204887</v>
      </c>
      <c r="L1428" s="91">
        <v>274.85670672103043</v>
      </c>
      <c r="M1428" s="92">
        <v>1281796.0041905839</v>
      </c>
      <c r="N1428" s="90" t="s">
        <v>1436</v>
      </c>
      <c r="O1428" s="25">
        <f t="shared" si="43"/>
        <v>-1.214829526646799E-2</v>
      </c>
    </row>
    <row r="1429" spans="1:15">
      <c r="A1429" s="91">
        <v>309.85018782825989</v>
      </c>
      <c r="B1429" s="91">
        <v>313.33607137044953</v>
      </c>
      <c r="C1429" s="91">
        <v>309.04141946707796</v>
      </c>
      <c r="D1429" s="91">
        <v>313.20473841725305</v>
      </c>
      <c r="E1429" s="92">
        <v>2770006.2805697611</v>
      </c>
      <c r="F1429" s="90" t="s">
        <v>1437</v>
      </c>
      <c r="G1429" s="25">
        <f t="shared" si="42"/>
        <v>-1.0710408169253838E-2</v>
      </c>
      <c r="I1429" s="91">
        <v>276.33971377814822</v>
      </c>
      <c r="J1429" s="91">
        <v>277.23133765297973</v>
      </c>
      <c r="K1429" s="91">
        <v>273.00977155173649</v>
      </c>
      <c r="L1429" s="91">
        <v>274.89309953224802</v>
      </c>
      <c r="M1429" s="92">
        <v>802962.97599171288</v>
      </c>
      <c r="N1429" s="90" t="s">
        <v>1437</v>
      </c>
      <c r="O1429" s="25">
        <f t="shared" si="43"/>
        <v>5.262461110743466E-3</v>
      </c>
    </row>
    <row r="1430" spans="1:15">
      <c r="A1430" s="91">
        <v>312.62573379504329</v>
      </c>
      <c r="B1430" s="91">
        <v>313.12202347122303</v>
      </c>
      <c r="C1430" s="91">
        <v>310.50271684694076</v>
      </c>
      <c r="D1430" s="91">
        <v>310.53947904517628</v>
      </c>
      <c r="E1430" s="92">
        <v>2119779.6579166548</v>
      </c>
      <c r="F1430" s="90" t="s">
        <v>1438</v>
      </c>
      <c r="G1430" s="25">
        <f t="shared" si="42"/>
        <v>6.7181627156769341E-3</v>
      </c>
      <c r="I1430" s="91">
        <v>274.72933188176876</v>
      </c>
      <c r="J1430" s="91">
        <v>280.80693135511029</v>
      </c>
      <c r="K1430" s="91">
        <v>273.31010322630988</v>
      </c>
      <c r="L1430" s="91">
        <v>273.63754754524035</v>
      </c>
      <c r="M1430" s="92">
        <v>840088.98947610287</v>
      </c>
      <c r="N1430" s="90" t="s">
        <v>1438</v>
      </c>
      <c r="O1430" s="25">
        <f t="shared" si="43"/>
        <v>3.9898922729084685E-3</v>
      </c>
    </row>
    <row r="1431" spans="1:15">
      <c r="A1431" s="91">
        <v>311.72505993827247</v>
      </c>
      <c r="B1431" s="91">
        <v>312.1386346684223</v>
      </c>
      <c r="C1431" s="91">
        <v>310.55786014429407</v>
      </c>
      <c r="D1431" s="91">
        <v>311.62396389312471</v>
      </c>
      <c r="E1431" s="92">
        <v>2114216.3344535255</v>
      </c>
      <c r="F1431" s="90" t="s">
        <v>1439</v>
      </c>
      <c r="G1431" s="25">
        <f t="shared" si="42"/>
        <v>3.2441678709416166E-4</v>
      </c>
      <c r="I1431" s="91">
        <v>273.85590441254601</v>
      </c>
      <c r="J1431" s="91">
        <v>279.2602368783617</v>
      </c>
      <c r="K1431" s="91">
        <v>271.39029145255267</v>
      </c>
      <c r="L1431" s="91">
        <v>279.13286203910008</v>
      </c>
      <c r="M1431" s="92">
        <v>997008.99122732773</v>
      </c>
      <c r="N1431" s="90" t="s">
        <v>1439</v>
      </c>
      <c r="O1431" s="25">
        <f t="shared" si="43"/>
        <v>-1.890482398956983E-2</v>
      </c>
    </row>
    <row r="1432" spans="1:15">
      <c r="A1432" s="91">
        <v>312.30406456048229</v>
      </c>
      <c r="B1432" s="91">
        <v>312.33163620915889</v>
      </c>
      <c r="C1432" s="91">
        <v>310.13509486458531</v>
      </c>
      <c r="D1432" s="91">
        <v>310.18518335968128</v>
      </c>
      <c r="E1432" s="92">
        <v>3163341.8451993088</v>
      </c>
      <c r="F1432" s="90" t="s">
        <v>1440</v>
      </c>
      <c r="G1432" s="25">
        <f t="shared" si="42"/>
        <v>6.831020030844126E-3</v>
      </c>
      <c r="I1432" s="91">
        <v>279.52408475968946</v>
      </c>
      <c r="J1432" s="91">
        <v>279.94414878316877</v>
      </c>
      <c r="K1432" s="91">
        <v>275.78472340707958</v>
      </c>
      <c r="L1432" s="91">
        <v>276.61265986228028</v>
      </c>
      <c r="M1432" s="92">
        <v>873031.75921244419</v>
      </c>
      <c r="N1432" s="90" t="s">
        <v>1440</v>
      </c>
      <c r="O1432" s="25">
        <f t="shared" si="43"/>
        <v>1.0525277110811526E-2</v>
      </c>
    </row>
    <row r="1433" spans="1:15">
      <c r="A1433" s="91">
        <v>309.63880518840551</v>
      </c>
      <c r="B1433" s="91">
        <v>310.91629157709059</v>
      </c>
      <c r="C1433" s="91">
        <v>308.6921785838403</v>
      </c>
      <c r="D1433" s="91">
        <v>309.63880518840551</v>
      </c>
      <c r="E1433" s="92">
        <v>3102193.1623703614</v>
      </c>
      <c r="F1433" s="90" t="s">
        <v>1441</v>
      </c>
      <c r="G1433" s="25">
        <f t="shared" si="42"/>
        <v>0</v>
      </c>
      <c r="I1433" s="91">
        <v>276.06676769401611</v>
      </c>
      <c r="J1433" s="91">
        <v>277.26773046419737</v>
      </c>
      <c r="K1433" s="91">
        <v>271.78151417314206</v>
      </c>
      <c r="L1433" s="91">
        <v>272.1909332993402</v>
      </c>
      <c r="M1433" s="92">
        <v>1090424.1434581226</v>
      </c>
      <c r="N1433" s="90" t="s">
        <v>1441</v>
      </c>
      <c r="O1433" s="25">
        <f t="shared" si="43"/>
        <v>1.423939566132959E-2</v>
      </c>
    </row>
    <row r="1434" spans="1:15">
      <c r="A1434" s="91">
        <v>309.73071068399435</v>
      </c>
      <c r="B1434" s="91">
        <v>309.82261617958324</v>
      </c>
      <c r="C1434" s="91">
        <v>307.56174098809743</v>
      </c>
      <c r="D1434" s="91">
        <v>308.08560231295394</v>
      </c>
      <c r="E1434" s="92">
        <v>2470294.0618007584</v>
      </c>
      <c r="F1434" s="90" t="s">
        <v>1442</v>
      </c>
      <c r="G1434" s="25">
        <f t="shared" si="42"/>
        <v>5.3397768629555031E-3</v>
      </c>
      <c r="I1434" s="91">
        <v>271.82700518716405</v>
      </c>
      <c r="J1434" s="91">
        <v>274.48368040604987</v>
      </c>
      <c r="K1434" s="91">
        <v>270.88989029831049</v>
      </c>
      <c r="L1434" s="91">
        <v>273.94688644059011</v>
      </c>
      <c r="M1434" s="92">
        <v>845987.95668466226</v>
      </c>
      <c r="N1434" s="90" t="s">
        <v>1442</v>
      </c>
      <c r="O1434" s="25">
        <f t="shared" si="43"/>
        <v>-7.738292925938417E-3</v>
      </c>
    </row>
    <row r="1435" spans="1:15">
      <c r="A1435" s="91">
        <v>309.07818166531354</v>
      </c>
      <c r="B1435" s="91">
        <v>310.45676409914631</v>
      </c>
      <c r="C1435" s="91">
        <v>308.17750780854271</v>
      </c>
      <c r="D1435" s="91">
        <v>308.72894078207588</v>
      </c>
      <c r="E1435" s="92">
        <v>3522254.0058775512</v>
      </c>
      <c r="F1435" s="90" t="s">
        <v>1443</v>
      </c>
      <c r="G1435" s="25">
        <f t="shared" si="42"/>
        <v>1.1312217194570096E-3</v>
      </c>
      <c r="I1435" s="91">
        <v>273.94688644059011</v>
      </c>
      <c r="J1435" s="91">
        <v>281.92601030005193</v>
      </c>
      <c r="K1435" s="91">
        <v>273.43738708354346</v>
      </c>
      <c r="L1435" s="91">
        <v>276.74913290434637</v>
      </c>
      <c r="M1435" s="92">
        <v>970766.4458441406</v>
      </c>
      <c r="N1435" s="90" t="s">
        <v>1443</v>
      </c>
      <c r="O1435" s="25">
        <f t="shared" si="43"/>
        <v>-1.0125583536064076E-2</v>
      </c>
    </row>
    <row r="1436" spans="1:15">
      <c r="A1436" s="91">
        <v>305.71444052676145</v>
      </c>
      <c r="B1436" s="91">
        <v>306.62430493309114</v>
      </c>
      <c r="C1436" s="91">
        <v>303.32489764145129</v>
      </c>
      <c r="D1436" s="91">
        <v>306.41292229323676</v>
      </c>
      <c r="E1436" s="92">
        <v>4543479.117593105</v>
      </c>
      <c r="F1436" s="90" t="s">
        <v>1444</v>
      </c>
      <c r="G1436" s="25">
        <f t="shared" si="42"/>
        <v>-2.2795440911818066E-3</v>
      </c>
      <c r="I1436" s="91">
        <v>275.00227796590087</v>
      </c>
      <c r="J1436" s="91">
        <v>278.76893392692392</v>
      </c>
      <c r="K1436" s="91">
        <v>272.16363869092697</v>
      </c>
      <c r="L1436" s="91">
        <v>277.76813161843955</v>
      </c>
      <c r="M1436" s="92">
        <v>1269002.2687131045</v>
      </c>
      <c r="N1436" s="90" t="s">
        <v>1444</v>
      </c>
      <c r="O1436" s="25">
        <f t="shared" si="43"/>
        <v>-9.9574189321979256E-3</v>
      </c>
    </row>
    <row r="1437" spans="1:15">
      <c r="A1437" s="91">
        <v>307.09302296059428</v>
      </c>
      <c r="B1437" s="91">
        <v>307.5249787898619</v>
      </c>
      <c r="C1437" s="91">
        <v>306.21073020294131</v>
      </c>
      <c r="D1437" s="91">
        <v>307.22628592919813</v>
      </c>
      <c r="E1437" s="92">
        <v>1071437.5606059299</v>
      </c>
      <c r="F1437" s="90" t="s">
        <v>1445</v>
      </c>
      <c r="G1437" s="25">
        <f t="shared" si="42"/>
        <v>-4.3376161060171281E-4</v>
      </c>
      <c r="I1437" s="91">
        <v>278.432300423161</v>
      </c>
      <c r="J1437" s="91">
        <v>283.52729399362698</v>
      </c>
      <c r="K1437" s="91">
        <v>277.76813161843955</v>
      </c>
      <c r="L1437" s="91">
        <v>283.29074072071251</v>
      </c>
      <c r="M1437" s="92">
        <v>522162.46462440316</v>
      </c>
      <c r="N1437" s="90" t="s">
        <v>1445</v>
      </c>
      <c r="O1437" s="25">
        <f t="shared" si="43"/>
        <v>-1.7150014452259499E-2</v>
      </c>
    </row>
    <row r="1438" spans="1:15">
      <c r="A1438" s="91">
        <v>306.21992075250017</v>
      </c>
      <c r="B1438" s="91">
        <v>306.66106713132666</v>
      </c>
      <c r="C1438" s="91">
        <v>305.2641035983761</v>
      </c>
      <c r="D1438" s="91">
        <v>306.66106713132666</v>
      </c>
      <c r="E1438" s="92">
        <v>2455631.1736745839</v>
      </c>
      <c r="F1438" s="90" t="s">
        <v>1446</v>
      </c>
      <c r="G1438" s="25">
        <f t="shared" si="42"/>
        <v>-1.4385470674618261E-3</v>
      </c>
      <c r="I1438" s="91">
        <v>282.78124136366586</v>
      </c>
      <c r="J1438" s="91">
        <v>284.47923286932416</v>
      </c>
      <c r="K1438" s="91">
        <v>278.79010100967253</v>
      </c>
      <c r="L1438" s="91">
        <v>280.78893133036007</v>
      </c>
      <c r="M1438" s="92">
        <v>771508.93902268622</v>
      </c>
      <c r="N1438" s="90" t="s">
        <v>1446</v>
      </c>
      <c r="O1438" s="25">
        <f t="shared" si="43"/>
        <v>7.0954008901502608E-3</v>
      </c>
    </row>
    <row r="1439" spans="1:15">
      <c r="A1439" s="91">
        <v>306.72540097823889</v>
      </c>
      <c r="B1439" s="91">
        <v>307.19411900574204</v>
      </c>
      <c r="C1439" s="91">
        <v>303.38004093880465</v>
      </c>
      <c r="D1439" s="91">
        <v>304.22557149822205</v>
      </c>
      <c r="E1439" s="92">
        <v>2893984.7208903851</v>
      </c>
      <c r="F1439" s="90" t="s">
        <v>1447</v>
      </c>
      <c r="G1439" s="25">
        <f t="shared" si="42"/>
        <v>8.2170261615612805E-3</v>
      </c>
      <c r="I1439" s="91">
        <v>280.71648369278535</v>
      </c>
      <c r="J1439" s="91">
        <v>284.00379524773984</v>
      </c>
      <c r="K1439" s="91">
        <v>279.37620239765232</v>
      </c>
      <c r="L1439" s="91">
        <v>280.29085382203363</v>
      </c>
      <c r="M1439" s="92">
        <v>1014331.4876785702</v>
      </c>
      <c r="N1439" s="90" t="s">
        <v>1447</v>
      </c>
      <c r="O1439" s="25">
        <f t="shared" si="43"/>
        <v>1.5185292882298196E-3</v>
      </c>
    </row>
    <row r="1440" spans="1:15">
      <c r="A1440" s="91">
        <v>301.83602861291189</v>
      </c>
      <c r="B1440" s="91">
        <v>302.92051346086038</v>
      </c>
      <c r="C1440" s="91">
        <v>299.66705891701491</v>
      </c>
      <c r="D1440" s="91">
        <v>301.70736091908748</v>
      </c>
      <c r="E1440" s="92">
        <v>2418391.8336539301</v>
      </c>
      <c r="F1440" s="90" t="s">
        <v>1448</v>
      </c>
      <c r="G1440" s="25">
        <f t="shared" ref="G1440:G1478" si="44">A1440/D1440-1</f>
        <v>4.2646521262335035E-4</v>
      </c>
      <c r="I1440" s="91">
        <v>277.55595550358657</v>
      </c>
      <c r="J1440" s="91">
        <v>281.83036612049716</v>
      </c>
      <c r="K1440" s="91">
        <v>276.65941598859899</v>
      </c>
      <c r="L1440" s="91">
        <v>280.037287090522</v>
      </c>
      <c r="M1440" s="92">
        <v>749811.61316609092</v>
      </c>
      <c r="N1440" s="90" t="s">
        <v>1448</v>
      </c>
      <c r="O1440" s="25">
        <f t="shared" ref="O1440:O1478" si="45">I1440/L1440-1</f>
        <v>-8.8607185590015014E-3</v>
      </c>
    </row>
    <row r="1441" spans="1:15">
      <c r="A1441" s="91">
        <v>300.06225254804701</v>
      </c>
      <c r="B1441" s="91">
        <v>302.05476369241336</v>
      </c>
      <c r="C1441" s="91">
        <v>299.97953760201699</v>
      </c>
      <c r="D1441" s="91">
        <v>301.82683806335302</v>
      </c>
      <c r="E1441" s="92">
        <v>3827363.0727547333</v>
      </c>
      <c r="F1441" s="90" t="s">
        <v>1449</v>
      </c>
      <c r="G1441" s="25">
        <f t="shared" si="44"/>
        <v>-5.8463505983374908E-3</v>
      </c>
      <c r="I1441" s="91">
        <v>277.49256382070871</v>
      </c>
      <c r="J1441" s="91">
        <v>280.92160106666881</v>
      </c>
      <c r="K1441" s="91">
        <v>276.38773734769364</v>
      </c>
      <c r="L1441" s="91">
        <v>279.7203286761324</v>
      </c>
      <c r="M1441" s="92">
        <v>857867.58658443985</v>
      </c>
      <c r="N1441" s="90" t="s">
        <v>1449</v>
      </c>
      <c r="O1441" s="25">
        <f t="shared" si="45"/>
        <v>-7.9642579642578148E-3</v>
      </c>
    </row>
    <row r="1442" spans="1:15">
      <c r="A1442" s="91">
        <v>302.08417345100179</v>
      </c>
      <c r="B1442" s="91">
        <v>302.45179543335718</v>
      </c>
      <c r="C1442" s="91">
        <v>299.06967319568741</v>
      </c>
      <c r="D1442" s="91">
        <v>300.31039738613691</v>
      </c>
      <c r="E1442" s="92">
        <v>3223051.0058413362</v>
      </c>
      <c r="F1442" s="90" t="s">
        <v>1450</v>
      </c>
      <c r="G1442" s="25">
        <f t="shared" si="44"/>
        <v>5.9064757008202573E-3</v>
      </c>
      <c r="I1442" s="91">
        <v>280.2636859579431</v>
      </c>
      <c r="J1442" s="91">
        <v>282.42715353501927</v>
      </c>
      <c r="K1442" s="91">
        <v>277.9408335782025</v>
      </c>
      <c r="L1442" s="91">
        <v>281.83942207519402</v>
      </c>
      <c r="M1442" s="92">
        <v>782216.81061062485</v>
      </c>
      <c r="N1442" s="90" t="s">
        <v>1450</v>
      </c>
      <c r="O1442" s="25">
        <f t="shared" si="45"/>
        <v>-5.590900327742343E-3</v>
      </c>
    </row>
    <row r="1443" spans="1:15">
      <c r="A1443" s="91">
        <v>300.8250681614345</v>
      </c>
      <c r="B1443" s="91">
        <v>305.25491304881717</v>
      </c>
      <c r="C1443" s="91">
        <v>300.79749651275785</v>
      </c>
      <c r="D1443" s="91">
        <v>304.78619502131409</v>
      </c>
      <c r="E1443" s="92">
        <v>2881032.2854307541</v>
      </c>
      <c r="F1443" s="90" t="s">
        <v>1451</v>
      </c>
      <c r="G1443" s="25">
        <f t="shared" si="44"/>
        <v>-1.2996411663600993E-2</v>
      </c>
      <c r="I1443" s="91">
        <v>281.27795288398971</v>
      </c>
      <c r="J1443" s="91">
        <v>286.54851851755319</v>
      </c>
      <c r="K1443" s="91">
        <v>281.00627424308436</v>
      </c>
      <c r="L1443" s="91">
        <v>285.02711812848327</v>
      </c>
      <c r="M1443" s="92">
        <v>1310892.1585193598</v>
      </c>
      <c r="N1443" s="90" t="s">
        <v>1451</v>
      </c>
      <c r="O1443" s="25">
        <f t="shared" si="45"/>
        <v>-1.3153714176780573E-2</v>
      </c>
    </row>
    <row r="1444" spans="1:15">
      <c r="A1444" s="91">
        <v>304.51966908410634</v>
      </c>
      <c r="B1444" s="91">
        <v>305.5857728329371</v>
      </c>
      <c r="C1444" s="91">
        <v>302.59884422629938</v>
      </c>
      <c r="D1444" s="91">
        <v>303.95904556101442</v>
      </c>
      <c r="E1444" s="92">
        <v>3320950.4833682412</v>
      </c>
      <c r="F1444" s="90" t="s">
        <v>1452</v>
      </c>
      <c r="G1444" s="25">
        <f t="shared" si="44"/>
        <v>1.8444048014993886E-3</v>
      </c>
      <c r="I1444" s="91">
        <v>283.11631168744907</v>
      </c>
      <c r="J1444" s="91">
        <v>285.93724157551617</v>
      </c>
      <c r="K1444" s="91">
        <v>280.41763718778941</v>
      </c>
      <c r="L1444" s="91">
        <v>281.03344210717484</v>
      </c>
      <c r="M1444" s="92">
        <v>822112.10736226279</v>
      </c>
      <c r="N1444" s="90" t="s">
        <v>1452</v>
      </c>
      <c r="O1444" s="25">
        <f t="shared" si="45"/>
        <v>7.4114652144492421E-3</v>
      </c>
    </row>
    <row r="1445" spans="1:15">
      <c r="A1445" s="91">
        <v>306.04530031088137</v>
      </c>
      <c r="B1445" s="91">
        <v>306.155586905588</v>
      </c>
      <c r="C1445" s="91">
        <v>303.66035270035059</v>
      </c>
      <c r="D1445" s="91">
        <v>304.80457612043182</v>
      </c>
      <c r="E1445" s="92">
        <v>3284629.4779853504</v>
      </c>
      <c r="F1445" s="90" t="s">
        <v>1453</v>
      </c>
      <c r="G1445" s="25">
        <f t="shared" si="44"/>
        <v>4.070556309362372E-3</v>
      </c>
      <c r="I1445" s="91">
        <v>283.20687123441758</v>
      </c>
      <c r="J1445" s="91">
        <v>285.78691272754855</v>
      </c>
      <c r="K1445" s="91">
        <v>282.02054116913092</v>
      </c>
      <c r="L1445" s="91">
        <v>285.6066992290813</v>
      </c>
      <c r="M1445" s="92">
        <v>612984.51525318285</v>
      </c>
      <c r="N1445" s="90" t="s">
        <v>1453</v>
      </c>
      <c r="O1445" s="25">
        <f t="shared" si="45"/>
        <v>-8.4025619887118097E-3</v>
      </c>
    </row>
    <row r="1446" spans="1:15">
      <c r="A1446" s="91">
        <v>302.37827103688608</v>
      </c>
      <c r="B1446" s="91">
        <v>303.03999060512587</v>
      </c>
      <c r="C1446" s="91">
        <v>299.51081957451385</v>
      </c>
      <c r="D1446" s="91">
        <v>300.02549034981143</v>
      </c>
      <c r="E1446" s="92">
        <v>2174457.5633868636</v>
      </c>
      <c r="F1446" s="90" t="s">
        <v>1454</v>
      </c>
      <c r="G1446" s="25">
        <f t="shared" si="44"/>
        <v>7.8419359779444697E-3</v>
      </c>
      <c r="I1446" s="91">
        <v>282.28316385533941</v>
      </c>
      <c r="J1446" s="91">
        <v>283.56005346759446</v>
      </c>
      <c r="K1446" s="91">
        <v>278.11742469479094</v>
      </c>
      <c r="L1446" s="91">
        <v>278.99585230038485</v>
      </c>
      <c r="M1446" s="92">
        <v>544861.38294390088</v>
      </c>
      <c r="N1446" s="90" t="s">
        <v>1454</v>
      </c>
      <c r="O1446" s="25">
        <f t="shared" si="45"/>
        <v>1.178265385614119E-2</v>
      </c>
    </row>
    <row r="1447" spans="1:15">
      <c r="A1447" s="91">
        <v>298.32523868141772</v>
      </c>
      <c r="B1447" s="91">
        <v>300.93535475614112</v>
      </c>
      <c r="C1447" s="91">
        <v>296.60660591390615</v>
      </c>
      <c r="D1447" s="91">
        <v>300.29201628701912</v>
      </c>
      <c r="E1447" s="92">
        <v>2763472.3949065316</v>
      </c>
      <c r="F1447" s="90" t="s">
        <v>1455</v>
      </c>
      <c r="G1447" s="25">
        <f t="shared" si="44"/>
        <v>-6.5495501009975587E-3</v>
      </c>
      <c r="I1447" s="91">
        <v>277.32050068146862</v>
      </c>
      <c r="J1447" s="91">
        <v>279.62976912916395</v>
      </c>
      <c r="K1447" s="91">
        <v>273.7977343043961</v>
      </c>
      <c r="L1447" s="91">
        <v>278.92340466281007</v>
      </c>
      <c r="M1447" s="92">
        <v>814255.39844732173</v>
      </c>
      <c r="N1447" s="90" t="s">
        <v>1455</v>
      </c>
      <c r="O1447" s="25">
        <f t="shared" si="45"/>
        <v>-5.7467532467532223E-3</v>
      </c>
    </row>
    <row r="1448" spans="1:15">
      <c r="A1448" s="91">
        <v>301.10997519775992</v>
      </c>
      <c r="B1448" s="91">
        <v>301.90955300938293</v>
      </c>
      <c r="C1448" s="91">
        <v>299.76815496216267</v>
      </c>
      <c r="D1448" s="91">
        <v>300.91697365702333</v>
      </c>
      <c r="E1448" s="92">
        <v>3017754.2509616599</v>
      </c>
      <c r="F1448" s="90" t="s">
        <v>1456</v>
      </c>
      <c r="G1448" s="25">
        <f t="shared" si="44"/>
        <v>6.4137804654573749E-4</v>
      </c>
      <c r="I1448" s="91">
        <v>280.69837178339162</v>
      </c>
      <c r="J1448" s="91">
        <v>285.23540508651075</v>
      </c>
      <c r="K1448" s="91">
        <v>277.13032563283485</v>
      </c>
      <c r="L1448" s="91">
        <v>285.22634913181383</v>
      </c>
      <c r="M1448" s="92">
        <v>652254.808878207</v>
      </c>
      <c r="N1448" s="90" t="s">
        <v>1456</v>
      </c>
      <c r="O1448" s="25">
        <f t="shared" si="45"/>
        <v>-1.587503175006344E-2</v>
      </c>
    </row>
    <row r="1449" spans="1:15">
      <c r="A1449" s="91">
        <v>299.00533934877518</v>
      </c>
      <c r="B1449" s="91">
        <v>299.88763210642821</v>
      </c>
      <c r="C1449" s="91">
        <v>295.99083909346081</v>
      </c>
      <c r="D1449" s="91">
        <v>298.48147802391873</v>
      </c>
      <c r="E1449" s="92">
        <v>4483759.0762089239</v>
      </c>
      <c r="F1449" s="90" t="s">
        <v>1457</v>
      </c>
      <c r="G1449" s="25">
        <f t="shared" si="44"/>
        <v>1.7550882162760129E-3</v>
      </c>
      <c r="I1449" s="91">
        <v>284.81883117045584</v>
      </c>
      <c r="J1449" s="91">
        <v>286.98320434300166</v>
      </c>
      <c r="K1449" s="91">
        <v>273.0189222004675</v>
      </c>
      <c r="L1449" s="91">
        <v>274.1509165375731</v>
      </c>
      <c r="M1449" s="92">
        <v>1047740.444561429</v>
      </c>
      <c r="N1449" s="90" t="s">
        <v>1457</v>
      </c>
      <c r="O1449" s="25">
        <f t="shared" si="45"/>
        <v>3.891256234928786E-2</v>
      </c>
    </row>
    <row r="1450" spans="1:15">
      <c r="A1450" s="91">
        <v>299.39134243024836</v>
      </c>
      <c r="B1450" s="91">
        <v>308.06722121383609</v>
      </c>
      <c r="C1450" s="91">
        <v>298.95019605142187</v>
      </c>
      <c r="D1450" s="91">
        <v>307.29521505088979</v>
      </c>
      <c r="E1450" s="92">
        <v>8810442.67061444</v>
      </c>
      <c r="F1450" s="90" t="s">
        <v>1458</v>
      </c>
      <c r="G1450" s="25">
        <f t="shared" si="44"/>
        <v>-2.5720779997607579E-2</v>
      </c>
      <c r="I1450" s="91">
        <v>272.8378031065306</v>
      </c>
      <c r="J1450" s="91">
        <v>287.61712117178081</v>
      </c>
      <c r="K1450" s="91">
        <v>271.7420325882124</v>
      </c>
      <c r="L1450" s="91">
        <v>285.26257295060122</v>
      </c>
      <c r="M1450" s="92">
        <v>1912655.3278844708</v>
      </c>
      <c r="N1450" s="90" t="s">
        <v>1458</v>
      </c>
      <c r="O1450" s="25">
        <f t="shared" si="45"/>
        <v>-4.355555555555557E-2</v>
      </c>
    </row>
    <row r="1451" spans="1:15">
      <c r="A1451" s="91">
        <v>295.70593205713539</v>
      </c>
      <c r="B1451" s="91">
        <v>296.78122635552495</v>
      </c>
      <c r="C1451" s="91">
        <v>293.56912928469455</v>
      </c>
      <c r="D1451" s="91">
        <v>295.42102502080991</v>
      </c>
      <c r="E1451" s="92">
        <v>3961263.6618452137</v>
      </c>
      <c r="F1451" s="90" t="s">
        <v>1459</v>
      </c>
      <c r="G1451" s="25">
        <f t="shared" si="44"/>
        <v>9.64410154305817E-4</v>
      </c>
      <c r="I1451" s="91">
        <v>272.91025074410538</v>
      </c>
      <c r="J1451" s="91">
        <v>277.05787799526013</v>
      </c>
      <c r="K1451" s="91">
        <v>268.62678417249793</v>
      </c>
      <c r="L1451" s="91">
        <v>276.87675890132323</v>
      </c>
      <c r="M1451" s="92">
        <v>1045418.2156298589</v>
      </c>
      <c r="N1451" s="90" t="s">
        <v>1459</v>
      </c>
      <c r="O1451" s="25">
        <f t="shared" si="45"/>
        <v>-1.4325897821678368E-2</v>
      </c>
    </row>
    <row r="1452" spans="1:15">
      <c r="A1452" s="91">
        <v>295.74269425537091</v>
      </c>
      <c r="B1452" s="91">
        <v>297.36023097773472</v>
      </c>
      <c r="C1452" s="91">
        <v>294.57549446139245</v>
      </c>
      <c r="D1452" s="91">
        <v>294.96149754286563</v>
      </c>
      <c r="E1452" s="92">
        <v>4298198.8995216396</v>
      </c>
      <c r="F1452" s="90" t="s">
        <v>1460</v>
      </c>
      <c r="G1452" s="25">
        <f t="shared" si="44"/>
        <v>2.64847011902547E-3</v>
      </c>
      <c r="I1452" s="91">
        <v>278.38004738099943</v>
      </c>
      <c r="J1452" s="91">
        <v>287.32733062148174</v>
      </c>
      <c r="K1452" s="91">
        <v>277.16654945162225</v>
      </c>
      <c r="L1452" s="91">
        <v>286.62096615512792</v>
      </c>
      <c r="M1452" s="92">
        <v>1557444.8495104047</v>
      </c>
      <c r="N1452" s="90" t="s">
        <v>1460</v>
      </c>
      <c r="O1452" s="25">
        <f t="shared" si="45"/>
        <v>-2.8751974723538742E-2</v>
      </c>
    </row>
    <row r="1453" spans="1:15">
      <c r="A1453" s="91">
        <v>290.06293462797976</v>
      </c>
      <c r="B1453" s="91">
        <v>293.77591664976944</v>
      </c>
      <c r="C1453" s="91">
        <v>286.74514623722217</v>
      </c>
      <c r="D1453" s="91">
        <v>287.83882163472953</v>
      </c>
      <c r="E1453" s="92">
        <v>6256614.9751521591</v>
      </c>
      <c r="F1453" s="90" t="s">
        <v>1461</v>
      </c>
      <c r="G1453" s="25">
        <f t="shared" si="44"/>
        <v>7.726938918866999E-3</v>
      </c>
      <c r="I1453" s="91">
        <v>285.84215405119926</v>
      </c>
      <c r="J1453" s="91">
        <v>293.64567021347017</v>
      </c>
      <c r="K1453" s="91">
        <v>279.82900013249457</v>
      </c>
      <c r="L1453" s="91">
        <v>280.73459560217901</v>
      </c>
      <c r="M1453" s="92">
        <v>1859703.4287139627</v>
      </c>
      <c r="N1453" s="90" t="s">
        <v>1461</v>
      </c>
      <c r="O1453" s="25">
        <f t="shared" si="45"/>
        <v>1.8193548387096525E-2</v>
      </c>
    </row>
    <row r="1454" spans="1:15">
      <c r="A1454" s="91">
        <v>283.67550268455449</v>
      </c>
      <c r="B1454" s="91">
        <v>285.58713699280264</v>
      </c>
      <c r="C1454" s="91">
        <v>281.31353144792092</v>
      </c>
      <c r="D1454" s="91">
        <v>281.75467782674741</v>
      </c>
      <c r="E1454" s="92">
        <v>3675887.9089377783</v>
      </c>
      <c r="F1454" s="90" t="s">
        <v>1462</v>
      </c>
      <c r="G1454" s="25">
        <f t="shared" si="44"/>
        <v>6.8173663437389731E-3</v>
      </c>
      <c r="I1454" s="91">
        <v>276.04361106921357</v>
      </c>
      <c r="J1454" s="91">
        <v>278.125846732659</v>
      </c>
      <c r="K1454" s="91">
        <v>271.05378003125224</v>
      </c>
      <c r="L1454" s="91">
        <v>271.05378003125224</v>
      </c>
      <c r="M1454" s="92">
        <v>955048.94729803281</v>
      </c>
      <c r="N1454" s="90" t="s">
        <v>1462</v>
      </c>
      <c r="O1454" s="25">
        <f t="shared" si="45"/>
        <v>1.8409007383649145E-2</v>
      </c>
    </row>
    <row r="1455" spans="1:15">
      <c r="A1455" s="91">
        <v>278.75855867055083</v>
      </c>
      <c r="B1455" s="91">
        <v>280.59666858232788</v>
      </c>
      <c r="C1455" s="91">
        <v>276.29549138876956</v>
      </c>
      <c r="D1455" s="91">
        <v>278.81370196790414</v>
      </c>
      <c r="E1455" s="92">
        <v>4439773.6760530453</v>
      </c>
      <c r="F1455" s="90" t="s">
        <v>1463</v>
      </c>
      <c r="G1455" s="25">
        <f t="shared" si="44"/>
        <v>-1.9777829053635454E-4</v>
      </c>
      <c r="I1455" s="91">
        <v>268.62678417249793</v>
      </c>
      <c r="J1455" s="91">
        <v>270.75167338256551</v>
      </c>
      <c r="K1455" s="91">
        <v>265.10854577277382</v>
      </c>
      <c r="L1455" s="91">
        <v>266.67975391267635</v>
      </c>
      <c r="M1455" s="92">
        <v>940917.91370920639</v>
      </c>
      <c r="N1455" s="90" t="s">
        <v>1463</v>
      </c>
      <c r="O1455" s="25">
        <f t="shared" si="45"/>
        <v>7.3010051616408944E-3</v>
      </c>
    </row>
    <row r="1456" spans="1:15">
      <c r="A1456" s="91">
        <v>275.55105687449981</v>
      </c>
      <c r="B1456" s="91">
        <v>278.34498394040099</v>
      </c>
      <c r="C1456" s="91">
        <v>272.38031727668442</v>
      </c>
      <c r="D1456" s="91">
        <v>277.15021249774588</v>
      </c>
      <c r="E1456" s="92">
        <v>6411403.3249548813</v>
      </c>
      <c r="F1456" s="90" t="s">
        <v>1464</v>
      </c>
      <c r="G1456" s="25">
        <f t="shared" si="44"/>
        <v>-5.7699960206925027E-3</v>
      </c>
      <c r="I1456" s="91">
        <v>262.45967902394682</v>
      </c>
      <c r="J1456" s="91">
        <v>266.1726204496531</v>
      </c>
      <c r="K1456" s="91">
        <v>258.21243627112676</v>
      </c>
      <c r="L1456" s="91">
        <v>263.41055426711551</v>
      </c>
      <c r="M1456" s="92">
        <v>1355123.828554058</v>
      </c>
      <c r="N1456" s="90" t="s">
        <v>1464</v>
      </c>
      <c r="O1456" s="25">
        <f t="shared" si="45"/>
        <v>-3.6098600749476795E-3</v>
      </c>
    </row>
    <row r="1457" spans="1:15">
      <c r="A1457" s="91">
        <v>278.68503427407973</v>
      </c>
      <c r="B1457" s="91">
        <v>281.46058024086312</v>
      </c>
      <c r="C1457" s="91">
        <v>274.51252477434582</v>
      </c>
      <c r="D1457" s="91">
        <v>276.01058435244408</v>
      </c>
      <c r="E1457" s="92">
        <v>5837704.2260906035</v>
      </c>
      <c r="F1457" s="90" t="s">
        <v>1465</v>
      </c>
      <c r="G1457" s="25">
        <f t="shared" si="44"/>
        <v>9.6896643580182129E-3</v>
      </c>
      <c r="I1457" s="91">
        <v>264.78705938103587</v>
      </c>
      <c r="J1457" s="91">
        <v>269.58671537036344</v>
      </c>
      <c r="K1457" s="91">
        <v>263.75468054559559</v>
      </c>
      <c r="L1457" s="91">
        <v>264.92289870148852</v>
      </c>
      <c r="M1457" s="92">
        <v>1392275.074475952</v>
      </c>
      <c r="N1457" s="90" t="s">
        <v>1465</v>
      </c>
      <c r="O1457" s="25">
        <f t="shared" si="45"/>
        <v>-5.1275039310860748E-4</v>
      </c>
    </row>
    <row r="1458" spans="1:15">
      <c r="A1458" s="91">
        <v>275.78082061347197</v>
      </c>
      <c r="B1458" s="91">
        <v>280.99186221335998</v>
      </c>
      <c r="C1458" s="91">
        <v>275.36265060854271</v>
      </c>
      <c r="D1458" s="91">
        <v>280.43123869026795</v>
      </c>
      <c r="E1458" s="92">
        <v>6148113.3024707986</v>
      </c>
      <c r="F1458" s="90" t="s">
        <v>1466</v>
      </c>
      <c r="G1458" s="25">
        <f t="shared" si="44"/>
        <v>-1.6583095729688968E-2</v>
      </c>
      <c r="I1458" s="91">
        <v>265.93716562753514</v>
      </c>
      <c r="J1458" s="91">
        <v>275.53140627156</v>
      </c>
      <c r="K1458" s="91">
        <v>265.82849417117302</v>
      </c>
      <c r="L1458" s="91">
        <v>271.29829080806701</v>
      </c>
      <c r="M1458" s="92">
        <v>1348756.7472324066</v>
      </c>
      <c r="N1458" s="90" t="s">
        <v>1466</v>
      </c>
      <c r="O1458" s="25">
        <f t="shared" si="45"/>
        <v>-1.9760998731557233E-2</v>
      </c>
    </row>
    <row r="1459" spans="1:15">
      <c r="A1459" s="91">
        <v>285.61470864147924</v>
      </c>
      <c r="B1459" s="91">
        <v>287.17710206648979</v>
      </c>
      <c r="C1459" s="91">
        <v>285.42014470731766</v>
      </c>
      <c r="D1459" s="91">
        <v>286.91057612928211</v>
      </c>
      <c r="E1459" s="92">
        <v>2389527.4008688927</v>
      </c>
      <c r="F1459" s="90" t="s">
        <v>1467</v>
      </c>
      <c r="G1459" s="25">
        <f t="shared" si="44"/>
        <v>-4.516625024024723E-3</v>
      </c>
      <c r="I1459" s="91">
        <v>273.59850330106553</v>
      </c>
      <c r="J1459" s="91">
        <v>279.83805608719138</v>
      </c>
      <c r="K1459" s="91">
        <v>273.55322352758134</v>
      </c>
      <c r="L1459" s="91">
        <v>279.53015362749869</v>
      </c>
      <c r="M1459" s="92">
        <v>1194513.4844556265</v>
      </c>
      <c r="N1459" s="90" t="s">
        <v>1467</v>
      </c>
      <c r="O1459" s="25">
        <f t="shared" si="45"/>
        <v>-2.1220073217351976E-2</v>
      </c>
    </row>
    <row r="1460" spans="1:15">
      <c r="A1460" s="91">
        <v>286.56133524604445</v>
      </c>
      <c r="B1460" s="91">
        <v>289.57583550135882</v>
      </c>
      <c r="C1460" s="91">
        <v>283.39978619778793</v>
      </c>
      <c r="D1460" s="91">
        <v>288.8681631853247</v>
      </c>
      <c r="E1460" s="92">
        <v>3629621.9052265082</v>
      </c>
      <c r="F1460" s="90" t="s">
        <v>1468</v>
      </c>
      <c r="G1460" s="25">
        <f t="shared" si="44"/>
        <v>-7.9857465559480811E-3</v>
      </c>
      <c r="I1460" s="91">
        <v>280.58970032702945</v>
      </c>
      <c r="J1460" s="91">
        <v>282.86274495593744</v>
      </c>
      <c r="K1460" s="91">
        <v>273.21815320379807</v>
      </c>
      <c r="L1460" s="91">
        <v>276.56885644163049</v>
      </c>
      <c r="M1460" s="92">
        <v>1449639.5398901852</v>
      </c>
      <c r="N1460" s="90" t="s">
        <v>1468</v>
      </c>
      <c r="O1460" s="25">
        <f t="shared" si="45"/>
        <v>1.4538310412573807E-2</v>
      </c>
    </row>
    <row r="1461" spans="1:15">
      <c r="A1461" s="91">
        <v>291.93780673799233</v>
      </c>
      <c r="B1461" s="91">
        <v>292.11242717961119</v>
      </c>
      <c r="C1461" s="91">
        <v>289.72288429430102</v>
      </c>
      <c r="D1461" s="91">
        <v>292.11242717961119</v>
      </c>
      <c r="E1461" s="92">
        <v>1555352.0394414489</v>
      </c>
      <c r="F1461" s="90" t="s">
        <v>1469</v>
      </c>
      <c r="G1461" s="25">
        <f t="shared" si="44"/>
        <v>-5.9778504908136743E-4</v>
      </c>
      <c r="I1461" s="91">
        <v>279.3128107147744</v>
      </c>
      <c r="J1461" s="91">
        <v>280.33613359551782</v>
      </c>
      <c r="K1461" s="91">
        <v>275.3010227840723</v>
      </c>
      <c r="L1461" s="91">
        <v>276.35151352890631</v>
      </c>
      <c r="M1461" s="92">
        <v>1229365.6906078919</v>
      </c>
      <c r="N1461" s="90" t="s">
        <v>1469</v>
      </c>
      <c r="O1461" s="25">
        <f t="shared" si="45"/>
        <v>1.0715690129767808E-2</v>
      </c>
    </row>
    <row r="1462" spans="1:15">
      <c r="A1462" s="91">
        <v>290.94522738563273</v>
      </c>
      <c r="B1462" s="91">
        <v>291.48746980960703</v>
      </c>
      <c r="C1462" s="91">
        <v>287.6550106435518</v>
      </c>
      <c r="D1462" s="91">
        <v>289.55745440224109</v>
      </c>
      <c r="E1462" s="92">
        <v>2570466.5263635479</v>
      </c>
      <c r="F1462" s="90" t="s">
        <v>1470</v>
      </c>
      <c r="G1462" s="25">
        <f t="shared" si="44"/>
        <v>4.7927378911951646E-3</v>
      </c>
      <c r="I1462" s="91">
        <v>274.386371359691</v>
      </c>
      <c r="J1462" s="91">
        <v>284.97731037765061</v>
      </c>
      <c r="K1462" s="91">
        <v>274.386371359691</v>
      </c>
      <c r="L1462" s="91">
        <v>280.06445495461247</v>
      </c>
      <c r="M1462" s="92">
        <v>1532637.9674620351</v>
      </c>
      <c r="N1462" s="90" t="s">
        <v>1470</v>
      </c>
      <c r="O1462" s="25">
        <f t="shared" si="45"/>
        <v>-2.0274202936040764E-2</v>
      </c>
    </row>
    <row r="1463" spans="1:15">
      <c r="A1463" s="91">
        <v>289.35526231194558</v>
      </c>
      <c r="B1463" s="91">
        <v>291.82053532562099</v>
      </c>
      <c r="C1463" s="91">
        <v>289.12549857297347</v>
      </c>
      <c r="D1463" s="91">
        <v>289.87912363680209</v>
      </c>
      <c r="E1463" s="92">
        <v>2837402.6855432983</v>
      </c>
      <c r="F1463" s="90" t="s">
        <v>1471</v>
      </c>
      <c r="G1463" s="25">
        <f t="shared" si="44"/>
        <v>-1.8071716178943431E-3</v>
      </c>
      <c r="I1463" s="91">
        <v>279.25847498659334</v>
      </c>
      <c r="J1463" s="91">
        <v>280.58970032702945</v>
      </c>
      <c r="K1463" s="91">
        <v>277.0307101311696</v>
      </c>
      <c r="L1463" s="91">
        <v>278.95962848159752</v>
      </c>
      <c r="M1463" s="92">
        <v>916468.80730221991</v>
      </c>
      <c r="N1463" s="90" t="s">
        <v>1471</v>
      </c>
      <c r="O1463" s="25">
        <f t="shared" si="45"/>
        <v>1.0712894429292241E-3</v>
      </c>
    </row>
    <row r="1464" spans="1:15">
      <c r="A1464" s="91">
        <v>289.87912363680209</v>
      </c>
      <c r="B1464" s="91">
        <v>292.87524279299868</v>
      </c>
      <c r="C1464" s="91">
        <v>289.29938377062757</v>
      </c>
      <c r="D1464" s="91">
        <v>289.94345748371427</v>
      </c>
      <c r="E1464" s="92">
        <v>3336645.9539247914</v>
      </c>
      <c r="F1464" s="90" t="s">
        <v>1472</v>
      </c>
      <c r="G1464" s="25">
        <f t="shared" si="44"/>
        <v>-2.2188411309742584E-4</v>
      </c>
      <c r="I1464" s="91">
        <v>279.87427990597877</v>
      </c>
      <c r="J1464" s="91">
        <v>284.14416254554095</v>
      </c>
      <c r="K1464" s="91">
        <v>279.1769713943217</v>
      </c>
      <c r="L1464" s="91">
        <v>284.12152265879882</v>
      </c>
      <c r="M1464" s="92">
        <v>868277.3118045592</v>
      </c>
      <c r="N1464" s="90" t="s">
        <v>1472</v>
      </c>
      <c r="O1464" s="25">
        <f t="shared" si="45"/>
        <v>-1.4948683623382419E-2</v>
      </c>
    </row>
    <row r="1465" spans="1:15">
      <c r="A1465" s="91">
        <v>288.73949549150029</v>
      </c>
      <c r="B1465" s="91">
        <v>294.91554479507118</v>
      </c>
      <c r="C1465" s="91">
        <v>287.96748932855388</v>
      </c>
      <c r="D1465" s="91">
        <v>294.373302371097</v>
      </c>
      <c r="E1465" s="92">
        <v>2425951.7733022426</v>
      </c>
      <c r="F1465" s="90" t="s">
        <v>1473</v>
      </c>
      <c r="G1465" s="25">
        <f t="shared" si="44"/>
        <v>-1.9138307836403357E-2</v>
      </c>
      <c r="I1465" s="91">
        <v>281.93903757685928</v>
      </c>
      <c r="J1465" s="91">
        <v>288.78533932767374</v>
      </c>
      <c r="K1465" s="91">
        <v>281.47718388732022</v>
      </c>
      <c r="L1465" s="91">
        <v>286.20439223907306</v>
      </c>
      <c r="M1465" s="92">
        <v>856117.35698076012</v>
      </c>
      <c r="N1465" s="90" t="s">
        <v>1473</v>
      </c>
      <c r="O1465" s="25">
        <f t="shared" si="45"/>
        <v>-1.4903176813061747E-2</v>
      </c>
    </row>
    <row r="1466" spans="1:15">
      <c r="A1466" s="91">
        <v>293.16934037888302</v>
      </c>
      <c r="B1466" s="91">
        <v>296.12869733684408</v>
      </c>
      <c r="C1466" s="91">
        <v>293.086625432853</v>
      </c>
      <c r="D1466" s="91">
        <v>294.69497160565794</v>
      </c>
      <c r="E1466" s="92">
        <v>1817008.8625282787</v>
      </c>
      <c r="F1466" s="90" t="s">
        <v>1474</v>
      </c>
      <c r="G1466" s="25">
        <f t="shared" si="44"/>
        <v>-5.176984250740535E-3</v>
      </c>
      <c r="I1466" s="91">
        <v>286.38551133300996</v>
      </c>
      <c r="J1466" s="91">
        <v>289.54151154486027</v>
      </c>
      <c r="K1466" s="91">
        <v>285.76970641362453</v>
      </c>
      <c r="L1466" s="91">
        <v>286.14100055619519</v>
      </c>
      <c r="M1466" s="92">
        <v>1538973.025655291</v>
      </c>
      <c r="N1466" s="90" t="s">
        <v>1474</v>
      </c>
      <c r="O1466" s="25">
        <f t="shared" si="45"/>
        <v>8.5451150425663869E-4</v>
      </c>
    </row>
    <row r="1467" spans="1:15">
      <c r="A1467" s="91">
        <v>293.41748521697292</v>
      </c>
      <c r="B1467" s="91">
        <v>293.82186939756383</v>
      </c>
      <c r="C1467" s="91">
        <v>289.70928228095386</v>
      </c>
      <c r="D1467" s="91">
        <v>290.15484012356859</v>
      </c>
      <c r="E1467" s="92">
        <v>2706145.0287219244</v>
      </c>
      <c r="F1467" s="90" t="s">
        <v>1475</v>
      </c>
      <c r="G1467" s="25">
        <f t="shared" si="44"/>
        <v>1.1244496531627179E-2</v>
      </c>
      <c r="I1467" s="91">
        <v>285.09956576605805</v>
      </c>
      <c r="J1467" s="91">
        <v>286.40362324240363</v>
      </c>
      <c r="K1467" s="91">
        <v>282.76312945427219</v>
      </c>
      <c r="L1467" s="91">
        <v>283.93134761016506</v>
      </c>
      <c r="M1467" s="92">
        <v>943032.54442910966</v>
      </c>
      <c r="N1467" s="90" t="s">
        <v>1475</v>
      </c>
      <c r="O1467" s="25">
        <f t="shared" si="45"/>
        <v>4.1144388096834295E-3</v>
      </c>
    </row>
    <row r="1468" spans="1:15">
      <c r="A1468" s="91">
        <v>293.76672610021052</v>
      </c>
      <c r="B1468" s="91">
        <v>297.13046723876261</v>
      </c>
      <c r="C1468" s="91">
        <v>293.11419708152971</v>
      </c>
      <c r="D1468" s="91">
        <v>296.13788788640301</v>
      </c>
      <c r="E1468" s="92">
        <v>2075818.1953935148</v>
      </c>
      <c r="F1468" s="90" t="s">
        <v>1476</v>
      </c>
      <c r="G1468" s="25">
        <f t="shared" si="44"/>
        <v>-8.0069517720814387E-3</v>
      </c>
      <c r="I1468" s="91">
        <v>285.16295744893591</v>
      </c>
      <c r="J1468" s="91">
        <v>287.61712117178081</v>
      </c>
      <c r="K1468" s="91">
        <v>282.0069572370856</v>
      </c>
      <c r="L1468" s="91">
        <v>282.02959712382778</v>
      </c>
      <c r="M1468" s="92">
        <v>1236597.396396219</v>
      </c>
      <c r="N1468" s="90" t="s">
        <v>1476</v>
      </c>
      <c r="O1468" s="25">
        <f t="shared" si="45"/>
        <v>1.1110040779629182E-2</v>
      </c>
    </row>
    <row r="1469" spans="1:15">
      <c r="A1469" s="91">
        <v>295.6140265615465</v>
      </c>
      <c r="B1469" s="91">
        <v>297.52566086979465</v>
      </c>
      <c r="C1469" s="91">
        <v>294.74735773814359</v>
      </c>
      <c r="D1469" s="91">
        <v>297.44294592376468</v>
      </c>
      <c r="E1469" s="92">
        <v>2426121.5128798387</v>
      </c>
      <c r="F1469" s="90" t="s">
        <v>1477</v>
      </c>
      <c r="G1469" s="25">
        <f t="shared" si="44"/>
        <v>-6.1488073167716983E-3</v>
      </c>
      <c r="I1469" s="91">
        <v>283.0891438233586</v>
      </c>
      <c r="J1469" s="91">
        <v>288.36876541161888</v>
      </c>
      <c r="K1469" s="91">
        <v>282.41900317579206</v>
      </c>
      <c r="L1469" s="91">
        <v>285.35313249756967</v>
      </c>
      <c r="M1469" s="92">
        <v>702751.96962033666</v>
      </c>
      <c r="N1469" s="90" t="s">
        <v>1477</v>
      </c>
      <c r="O1469" s="25">
        <f t="shared" si="45"/>
        <v>-7.9339892097745057E-3</v>
      </c>
    </row>
    <row r="1470" spans="1:15">
      <c r="A1470" s="91">
        <v>297.51647032023578</v>
      </c>
      <c r="B1470" s="91">
        <v>298.89689086398033</v>
      </c>
      <c r="C1470" s="91">
        <v>294.70416215521686</v>
      </c>
      <c r="D1470" s="91">
        <v>295.14530853404335</v>
      </c>
      <c r="E1470" s="92">
        <v>2387542.7535000783</v>
      </c>
      <c r="F1470" s="90" t="s">
        <v>1478</v>
      </c>
      <c r="G1470" s="25">
        <f t="shared" si="44"/>
        <v>8.0338793049761215E-3</v>
      </c>
      <c r="I1470" s="91">
        <v>286.7024697473995</v>
      </c>
      <c r="J1470" s="91">
        <v>288.71289169009901</v>
      </c>
      <c r="K1470" s="91">
        <v>283.65061301456296</v>
      </c>
      <c r="L1470" s="91">
        <v>284.8278871251527</v>
      </c>
      <c r="M1470" s="92">
        <v>921553.85924224847</v>
      </c>
      <c r="N1470" s="90" t="s">
        <v>1478</v>
      </c>
      <c r="O1470" s="25">
        <f t="shared" si="45"/>
        <v>6.5814574589850849E-3</v>
      </c>
    </row>
    <row r="1471" spans="1:15">
      <c r="A1471" s="91">
        <v>292.79252784696871</v>
      </c>
      <c r="B1471" s="91">
        <v>293.27034451853513</v>
      </c>
      <c r="C1471" s="91">
        <v>291.20256277328156</v>
      </c>
      <c r="D1471" s="91">
        <v>291.77237684593246</v>
      </c>
      <c r="E1471" s="92">
        <v>3040163.1394269736</v>
      </c>
      <c r="F1471" s="90" t="s">
        <v>1479</v>
      </c>
      <c r="G1471" s="25">
        <f t="shared" si="44"/>
        <v>3.4963933600025143E-3</v>
      </c>
      <c r="I1471" s="91">
        <v>285.51613968211285</v>
      </c>
      <c r="J1471" s="91">
        <v>292.0273711091441</v>
      </c>
      <c r="K1471" s="91">
        <v>284.02190715713351</v>
      </c>
      <c r="L1471" s="91">
        <v>289.79055029902349</v>
      </c>
      <c r="M1471" s="92">
        <v>1336806.5991118876</v>
      </c>
      <c r="N1471" s="90" t="s">
        <v>1479</v>
      </c>
      <c r="O1471" s="25">
        <f t="shared" si="45"/>
        <v>-1.4750000000000152E-2</v>
      </c>
    </row>
    <row r="1472" spans="1:15">
      <c r="A1472" s="91">
        <v>290.2099834209219</v>
      </c>
      <c r="B1472" s="91">
        <v>290.28350781739306</v>
      </c>
      <c r="C1472" s="91">
        <v>288.62920889679367</v>
      </c>
      <c r="D1472" s="91">
        <v>289.4655489066522</v>
      </c>
      <c r="E1472" s="92">
        <v>1884230.0875531433</v>
      </c>
      <c r="F1472" s="90" t="s">
        <v>1480</v>
      </c>
      <c r="G1472" s="25">
        <f t="shared" si="44"/>
        <v>2.5717551435102681E-3</v>
      </c>
      <c r="I1472" s="91">
        <v>289.50075974872448</v>
      </c>
      <c r="J1472" s="91">
        <v>289.62754311448026</v>
      </c>
      <c r="K1472" s="91">
        <v>284.55620848424741</v>
      </c>
      <c r="L1472" s="91">
        <v>284.55620848424741</v>
      </c>
      <c r="M1472" s="92">
        <v>659090.0904219154</v>
      </c>
      <c r="N1472" s="90" t="s">
        <v>1480</v>
      </c>
      <c r="O1472" s="25">
        <f t="shared" si="45"/>
        <v>1.7376360511743405E-2</v>
      </c>
    </row>
    <row r="1473" spans="1:15">
      <c r="A1473" s="91">
        <v>287.66420119311073</v>
      </c>
      <c r="B1473" s="91">
        <v>288.40863570738043</v>
      </c>
      <c r="C1473" s="91">
        <v>285.45846929897823</v>
      </c>
      <c r="D1473" s="91">
        <v>285.46508649466062</v>
      </c>
      <c r="E1473" s="92">
        <v>1858246.8752903759</v>
      </c>
      <c r="F1473" s="90" t="s">
        <v>1481</v>
      </c>
      <c r="G1473" s="25">
        <f t="shared" si="44"/>
        <v>7.7036205213529829E-3</v>
      </c>
      <c r="I1473" s="91">
        <v>284.25736197925147</v>
      </c>
      <c r="J1473" s="91">
        <v>285.7787623683214</v>
      </c>
      <c r="K1473" s="91">
        <v>281.09683379005276</v>
      </c>
      <c r="L1473" s="91">
        <v>281.09683379005276</v>
      </c>
      <c r="M1473" s="92">
        <v>1125771.9744945711</v>
      </c>
      <c r="N1473" s="90" t="s">
        <v>1481</v>
      </c>
      <c r="O1473" s="25">
        <f t="shared" si="45"/>
        <v>1.1243556701030943E-2</v>
      </c>
    </row>
    <row r="1474" spans="1:15">
      <c r="A1474" s="91">
        <v>282.8115910260193</v>
      </c>
      <c r="B1474" s="91">
        <v>288.87735373488357</v>
      </c>
      <c r="C1474" s="91">
        <v>282.31585278281301</v>
      </c>
      <c r="D1474" s="91">
        <v>286.97490997619428</v>
      </c>
      <c r="E1474" s="92">
        <v>3688362.6798168663</v>
      </c>
      <c r="F1474" s="90" t="s">
        <v>1482</v>
      </c>
      <c r="G1474" s="25">
        <f t="shared" si="44"/>
        <v>-1.4507606084867675E-2</v>
      </c>
      <c r="I1474" s="91">
        <v>279.80183226840404</v>
      </c>
      <c r="J1474" s="91">
        <v>290.08939680401932</v>
      </c>
      <c r="K1474" s="91">
        <v>279.72938463082926</v>
      </c>
      <c r="L1474" s="91">
        <v>290.08939680401932</v>
      </c>
      <c r="M1474" s="92">
        <v>1269046.7636730226</v>
      </c>
      <c r="N1474" s="90" t="s">
        <v>1482</v>
      </c>
      <c r="O1474" s="25">
        <f t="shared" si="45"/>
        <v>-3.546342833952465E-2</v>
      </c>
    </row>
    <row r="1475" spans="1:15">
      <c r="A1475" s="91">
        <v>286.81867063369322</v>
      </c>
      <c r="B1475" s="91">
        <v>287.01167217442986</v>
      </c>
      <c r="C1475" s="91">
        <v>283.70307433323114</v>
      </c>
      <c r="D1475" s="91">
        <v>283.70307433323114</v>
      </c>
      <c r="E1475" s="92">
        <v>2572701.4308018945</v>
      </c>
      <c r="F1475" s="90" t="s">
        <v>1483</v>
      </c>
      <c r="G1475" s="25">
        <f t="shared" si="44"/>
        <v>1.0981891217726414E-2</v>
      </c>
      <c r="I1475" s="91">
        <v>282.70879372609107</v>
      </c>
      <c r="J1475" s="91">
        <v>287.2820508479976</v>
      </c>
      <c r="K1475" s="91">
        <v>281.91186971276881</v>
      </c>
      <c r="L1475" s="91">
        <v>286.03232909983302</v>
      </c>
      <c r="M1475" s="92">
        <v>973875.23405710934</v>
      </c>
      <c r="N1475" s="90" t="s">
        <v>1483</v>
      </c>
      <c r="O1475" s="25">
        <f t="shared" si="45"/>
        <v>-1.1619439607408633E-2</v>
      </c>
    </row>
    <row r="1476" spans="1:15">
      <c r="A1476" s="91">
        <v>281.89253607013075</v>
      </c>
      <c r="B1476" s="91">
        <v>283.60197828808339</v>
      </c>
      <c r="C1476" s="91">
        <v>279.59030340562992</v>
      </c>
      <c r="D1476" s="91">
        <v>280.05442615835369</v>
      </c>
      <c r="E1476" s="92">
        <v>3400328.7616013093</v>
      </c>
      <c r="F1476" s="90" t="s">
        <v>1484</v>
      </c>
      <c r="G1476" s="25">
        <f t="shared" si="44"/>
        <v>6.5634024678393743E-3</v>
      </c>
      <c r="I1476" s="91">
        <v>284.31169770743253</v>
      </c>
      <c r="J1476" s="91">
        <v>285.38482833900861</v>
      </c>
      <c r="K1476" s="91">
        <v>278.1264806494878</v>
      </c>
      <c r="L1476" s="91">
        <v>279.92861563415983</v>
      </c>
      <c r="M1476" s="92">
        <v>1524853.034524532</v>
      </c>
      <c r="N1476" s="90" t="s">
        <v>1484</v>
      </c>
      <c r="O1476" s="25">
        <f t="shared" si="45"/>
        <v>1.5657856426514627E-2</v>
      </c>
    </row>
    <row r="1477" spans="1:15">
      <c r="A1477" s="91">
        <v>284.53941434308973</v>
      </c>
      <c r="B1477" s="91">
        <v>285.92718732648137</v>
      </c>
      <c r="C1477" s="91">
        <v>282.84835322425477</v>
      </c>
      <c r="D1477" s="91">
        <v>285.05408511838726</v>
      </c>
      <c r="E1477" s="92">
        <v>3270370.2653930737</v>
      </c>
      <c r="F1477" s="90" t="s">
        <v>1485</v>
      </c>
      <c r="G1477" s="25">
        <f t="shared" si="44"/>
        <v>-1.8055197317511373E-3</v>
      </c>
      <c r="I1477" s="91">
        <v>282.37372340230786</v>
      </c>
      <c r="J1477" s="91">
        <v>290.74142554219213</v>
      </c>
      <c r="K1477" s="91">
        <v>280.15501450158098</v>
      </c>
      <c r="L1477" s="91">
        <v>287.39072230435971</v>
      </c>
      <c r="M1477" s="92">
        <v>1863810.1188692213</v>
      </c>
      <c r="N1477" s="90" t="s">
        <v>1485</v>
      </c>
      <c r="O1477" s="25">
        <f t="shared" si="45"/>
        <v>-1.7457066330549886E-2</v>
      </c>
    </row>
    <row r="1478" spans="1:15">
      <c r="A1478" s="91">
        <v>282.74725717910701</v>
      </c>
      <c r="B1478" s="91">
        <v>285.59623563686591</v>
      </c>
      <c r="C1478" s="91">
        <v>281.09295825850774</v>
      </c>
      <c r="D1478" s="91">
        <v>281.26757870012653</v>
      </c>
      <c r="E1478" s="92">
        <v>4683619.8123086682</v>
      </c>
      <c r="F1478" s="90" t="s">
        <v>1486</v>
      </c>
      <c r="G1478" s="25">
        <f t="shared" si="44"/>
        <v>5.2607502287280727E-3</v>
      </c>
      <c r="I1478" s="91">
        <v>285.70631473074661</v>
      </c>
      <c r="J1478" s="91">
        <v>295.88520780999983</v>
      </c>
      <c r="K1478" s="91">
        <v>282.77218540896899</v>
      </c>
      <c r="L1478" s="91">
        <v>295.40524221106705</v>
      </c>
      <c r="M1478" s="92">
        <v>1307203.9775248547</v>
      </c>
      <c r="N1478" s="90" t="s">
        <v>1486</v>
      </c>
      <c r="O1478" s="25">
        <f t="shared" si="45"/>
        <v>-3.2832618025751104E-2</v>
      </c>
    </row>
    <row r="1479" spans="1:15">
      <c r="G1479" s="25"/>
      <c r="O1479" s="25"/>
    </row>
    <row r="1480" spans="1:15">
      <c r="G1480" s="25"/>
      <c r="O1480" s="25"/>
    </row>
    <row r="1481" spans="1:15">
      <c r="G1481" s="25"/>
      <c r="O1481" s="25"/>
    </row>
    <row r="1482" spans="1:15">
      <c r="G1482" s="25"/>
      <c r="O1482" s="25"/>
    </row>
    <row r="1483" spans="1:15">
      <c r="G1483" s="25"/>
      <c r="O1483" s="25"/>
    </row>
    <row r="1484" spans="1:15">
      <c r="G1484" s="25"/>
      <c r="O1484" s="25"/>
    </row>
    <row r="1485" spans="1:15">
      <c r="G1485" s="25"/>
      <c r="O1485" s="25"/>
    </row>
    <row r="1486" spans="1:15">
      <c r="G1486" s="25"/>
      <c r="O1486" s="25"/>
    </row>
    <row r="1487" spans="1:15">
      <c r="G1487" s="25"/>
      <c r="O1487" s="25"/>
    </row>
    <row r="1488" spans="1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  <row r="1558" spans="7:15">
      <c r="G1558" s="25"/>
      <c r="O1558" s="25"/>
    </row>
    <row r="1559" spans="7:15">
      <c r="G1559" s="25"/>
      <c r="O1559" s="25"/>
    </row>
    <row r="1560" spans="7:15">
      <c r="G1560" s="25"/>
      <c r="O1560" s="25"/>
    </row>
    <row r="1561" spans="7:15">
      <c r="G1561" s="25"/>
      <c r="O1561" s="25"/>
    </row>
    <row r="1562" spans="7:15">
      <c r="G1562" s="25"/>
      <c r="O1562" s="25"/>
    </row>
    <row r="1563" spans="7:15">
      <c r="G1563" s="25"/>
      <c r="O1563" s="25"/>
    </row>
    <row r="1564" spans="7:15">
      <c r="G1564" s="25"/>
      <c r="O1564" s="25"/>
    </row>
    <row r="1565" spans="7:15">
      <c r="G1565" s="25"/>
      <c r="O1565" s="25"/>
    </row>
    <row r="1566" spans="7:15">
      <c r="G1566" s="25"/>
      <c r="O1566" s="25"/>
    </row>
    <row r="1567" spans="7:15">
      <c r="G1567" s="25"/>
      <c r="O1567" s="25"/>
    </row>
    <row r="1568" spans="7:15">
      <c r="G1568" s="25"/>
      <c r="O1568" s="25"/>
    </row>
    <row r="1569" spans="7:15">
      <c r="G1569" s="25"/>
      <c r="O1569" s="25"/>
    </row>
    <row r="1570" spans="7:15">
      <c r="G1570" s="25"/>
      <c r="O1570" s="25"/>
    </row>
    <row r="1571" spans="7:15">
      <c r="G1571" s="25"/>
      <c r="O1571" s="25"/>
    </row>
    <row r="1572" spans="7:15">
      <c r="G1572" s="25"/>
      <c r="O1572" s="25"/>
    </row>
    <row r="1573" spans="7:15">
      <c r="G1573" s="25"/>
      <c r="O1573" s="25"/>
    </row>
    <row r="1574" spans="7:15">
      <c r="G1574" s="25"/>
      <c r="O1574" s="25"/>
    </row>
    <row r="1575" spans="7:15">
      <c r="G1575" s="25"/>
      <c r="O1575" s="25"/>
    </row>
    <row r="1576" spans="7:15">
      <c r="G1576" s="25"/>
      <c r="O1576" s="25"/>
    </row>
    <row r="1577" spans="7:15">
      <c r="G1577" s="25"/>
      <c r="O1577" s="25"/>
    </row>
    <row r="1578" spans="7:15">
      <c r="G1578" s="25"/>
      <c r="O1578" s="25"/>
    </row>
    <row r="1579" spans="7:15">
      <c r="G1579" s="25"/>
      <c r="O1579" s="25"/>
    </row>
    <row r="1580" spans="7:15">
      <c r="G1580" s="25"/>
      <c r="O1580" s="25"/>
    </row>
    <row r="1581" spans="7:15">
      <c r="G1581" s="25"/>
      <c r="O1581" s="25"/>
    </row>
    <row r="1582" spans="7:15">
      <c r="G1582" s="25"/>
      <c r="O1582" s="25"/>
    </row>
    <row r="1583" spans="7:15">
      <c r="G1583" s="25"/>
      <c r="O1583" s="25"/>
    </row>
    <row r="1584" spans="7:15">
      <c r="G1584" s="25"/>
      <c r="O1584" s="25"/>
    </row>
    <row r="1585" spans="7:15">
      <c r="G1585" s="25"/>
      <c r="O1585" s="25"/>
    </row>
    <row r="1586" spans="7:15">
      <c r="G1586" s="25"/>
      <c r="O1586" s="25"/>
    </row>
    <row r="1587" spans="7:15">
      <c r="G1587" s="25"/>
      <c r="O1587" s="25"/>
    </row>
    <row r="1588" spans="7:15">
      <c r="G1588" s="25"/>
      <c r="O1588" s="25"/>
    </row>
    <row r="1589" spans="7:15">
      <c r="G1589" s="25"/>
      <c r="O1589" s="25"/>
    </row>
    <row r="1590" spans="7:15">
      <c r="G1590" s="25"/>
      <c r="O1590" s="25"/>
    </row>
    <row r="1591" spans="7:15">
      <c r="G1591" s="25"/>
      <c r="O1591" s="25"/>
    </row>
    <row r="1592" spans="7:15">
      <c r="G1592" s="25"/>
      <c r="O1592" s="25"/>
    </row>
    <row r="1593" spans="7:15">
      <c r="G1593" s="25"/>
      <c r="O1593" s="25"/>
    </row>
  </sheetData>
  <sortState xmlns:xlrd2="http://schemas.microsoft.com/office/spreadsheetml/2017/richdata2" ref="Q247:Q327">
    <sortCondition ref="Q24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2026-10-22T00:22:49Z</dcterms:modified>
</cp:coreProperties>
</file>