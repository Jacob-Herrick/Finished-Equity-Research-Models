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Consumer Staples\"/>
    </mc:Choice>
  </mc:AlternateContent>
  <xr:revisionPtr revIDLastSave="0" documentId="13_ncr:1_{32C4BCBE-49F4-470D-8D17-87567A09C2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Management" sheetId="6" r:id="rId4"/>
    <sheet name="Debt" sheetId="7" r:id="rId5"/>
    <sheet name="Product Lines" sheetId="5" r:id="rId6"/>
    <sheet name="Table Formatting" sheetId="4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4" i="3" l="1"/>
  <c r="S203" i="3"/>
  <c r="S202" i="3"/>
  <c r="S201" i="3"/>
  <c r="S200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BS112" i="2"/>
  <c r="BR112" i="2"/>
  <c r="BQ112" i="2"/>
  <c r="BP112" i="2"/>
  <c r="BO112" i="2"/>
  <c r="CY112" i="2" s="1"/>
  <c r="BN112" i="2"/>
  <c r="BM112" i="2"/>
  <c r="BL112" i="2"/>
  <c r="BK112" i="2"/>
  <c r="BJ112" i="2"/>
  <c r="BI112" i="2"/>
  <c r="BH112" i="2"/>
  <c r="BG112" i="2"/>
  <c r="CW112" i="2" s="1"/>
  <c r="BF112" i="2"/>
  <c r="BE112" i="2"/>
  <c r="BD112" i="2"/>
  <c r="BC112" i="2"/>
  <c r="BB112" i="2"/>
  <c r="BA112" i="2"/>
  <c r="AZ112" i="2"/>
  <c r="AY112" i="2"/>
  <c r="CU112" i="2" s="1"/>
  <c r="BO110" i="2"/>
  <c r="BK110" i="2"/>
  <c r="BG110" i="2"/>
  <c r="BC110" i="2"/>
  <c r="AY110" i="2"/>
  <c r="CX107" i="2"/>
  <c r="CW107" i="2"/>
  <c r="CV107" i="2"/>
  <c r="CU107" i="2"/>
  <c r="BR107" i="2"/>
  <c r="CY107" i="2" s="1"/>
  <c r="BS106" i="2"/>
  <c r="BO106" i="2"/>
  <c r="BK106" i="2"/>
  <c r="BG106" i="2"/>
  <c r="BC106" i="2"/>
  <c r="AY106" i="2"/>
  <c r="BQ105" i="2"/>
  <c r="BR105" i="2" s="1"/>
  <c r="BP105" i="2"/>
  <c r="BL105" i="2"/>
  <c r="BH105" i="2"/>
  <c r="BE105" i="2"/>
  <c r="BF105" i="2" s="1"/>
  <c r="CV105" i="2" s="1"/>
  <c r="BD105" i="2"/>
  <c r="AZ105" i="2"/>
  <c r="BP104" i="2"/>
  <c r="BL104" i="2"/>
  <c r="BH104" i="2"/>
  <c r="BI104" i="2" s="1"/>
  <c r="BJ104" i="2" s="1"/>
  <c r="BD104" i="2"/>
  <c r="BE104" i="2" s="1"/>
  <c r="BA104" i="2"/>
  <c r="AZ104" i="2"/>
  <c r="BB104" i="2" s="1"/>
  <c r="BQ103" i="2"/>
  <c r="BR103" i="2" s="1"/>
  <c r="BP103" i="2"/>
  <c r="BL103" i="2"/>
  <c r="BH103" i="2"/>
  <c r="BD103" i="2"/>
  <c r="BE103" i="2" s="1"/>
  <c r="BF103" i="2" s="1"/>
  <c r="CV103" i="2" s="1"/>
  <c r="AZ103" i="2"/>
  <c r="BP102" i="2"/>
  <c r="BL102" i="2"/>
  <c r="BH102" i="2"/>
  <c r="BI102" i="2" s="1"/>
  <c r="BJ102" i="2" s="1"/>
  <c r="BD102" i="2"/>
  <c r="BE102" i="2" s="1"/>
  <c r="AZ102" i="2"/>
  <c r="BA102" i="2" s="1"/>
  <c r="BB102" i="2" s="1"/>
  <c r="BR101" i="2"/>
  <c r="BQ101" i="2"/>
  <c r="BP101" i="2"/>
  <c r="BL101" i="2"/>
  <c r="BH101" i="2"/>
  <c r="BD101" i="2"/>
  <c r="BE101" i="2" s="1"/>
  <c r="BF101" i="2" s="1"/>
  <c r="CV101" i="2" s="1"/>
  <c r="AZ101" i="2"/>
  <c r="BP100" i="2"/>
  <c r="BP106" i="2" s="1"/>
  <c r="BL100" i="2"/>
  <c r="BH100" i="2"/>
  <c r="BI100" i="2" s="1"/>
  <c r="BJ100" i="2" s="1"/>
  <c r="BE100" i="2"/>
  <c r="BD100" i="2"/>
  <c r="AZ100" i="2"/>
  <c r="BA100" i="2" s="1"/>
  <c r="BB100" i="2" s="1"/>
  <c r="BS98" i="2"/>
  <c r="BO98" i="2"/>
  <c r="BK98" i="2"/>
  <c r="BG98" i="2"/>
  <c r="BC98" i="2"/>
  <c r="AY98" i="2"/>
  <c r="BP97" i="2"/>
  <c r="BM97" i="2"/>
  <c r="BN97" i="2" s="1"/>
  <c r="BL97" i="2"/>
  <c r="BH97" i="2"/>
  <c r="BD97" i="2"/>
  <c r="BE97" i="2" s="1"/>
  <c r="AZ97" i="2"/>
  <c r="BP96" i="2"/>
  <c r="BL96" i="2"/>
  <c r="BJ96" i="2"/>
  <c r="BI96" i="2"/>
  <c r="BF96" i="2"/>
  <c r="CV96" i="2" s="1"/>
  <c r="BD96" i="2"/>
  <c r="AZ96" i="2"/>
  <c r="BP95" i="2"/>
  <c r="BQ95" i="2" s="1"/>
  <c r="BR95" i="2" s="1"/>
  <c r="BL95" i="2"/>
  <c r="BM95" i="2" s="1"/>
  <c r="BH95" i="2"/>
  <c r="BD95" i="2"/>
  <c r="AZ95" i="2"/>
  <c r="BP94" i="2"/>
  <c r="BL94" i="2"/>
  <c r="BM94" i="2" s="1"/>
  <c r="BH94" i="2"/>
  <c r="BE94" i="2"/>
  <c r="BD94" i="2"/>
  <c r="AZ94" i="2"/>
  <c r="BA94" i="2" s="1"/>
  <c r="BP93" i="2"/>
  <c r="BQ93" i="2" s="1"/>
  <c r="BR93" i="2" s="1"/>
  <c r="BL93" i="2"/>
  <c r="BH93" i="2"/>
  <c r="BD93" i="2"/>
  <c r="AZ93" i="2"/>
  <c r="BP92" i="2"/>
  <c r="BL92" i="2"/>
  <c r="BH92" i="2"/>
  <c r="BI92" i="2" s="1"/>
  <c r="BD92" i="2"/>
  <c r="BE92" i="2" s="1"/>
  <c r="AZ92" i="2"/>
  <c r="BA92" i="2" s="1"/>
  <c r="BB92" i="2" s="1"/>
  <c r="BP91" i="2"/>
  <c r="BQ91" i="2" s="1"/>
  <c r="BR91" i="2" s="1"/>
  <c r="BL91" i="2"/>
  <c r="BH91" i="2"/>
  <c r="BD91" i="2"/>
  <c r="AZ91" i="2"/>
  <c r="BP90" i="2"/>
  <c r="BL90" i="2"/>
  <c r="BH90" i="2"/>
  <c r="BD90" i="2"/>
  <c r="BA90" i="2"/>
  <c r="BB90" i="2" s="1"/>
  <c r="AZ90" i="2"/>
  <c r="BP87" i="2"/>
  <c r="BQ87" i="2" s="1"/>
  <c r="BR87" i="2" s="1"/>
  <c r="BL87" i="2"/>
  <c r="BH87" i="2"/>
  <c r="BD87" i="2"/>
  <c r="BB87" i="2"/>
  <c r="AZ87" i="2"/>
  <c r="BA87" i="2" s="1"/>
  <c r="BP86" i="2"/>
  <c r="BQ86" i="2" s="1"/>
  <c r="BL86" i="2"/>
  <c r="BM86" i="2" s="1"/>
  <c r="BH86" i="2"/>
  <c r="BD86" i="2"/>
  <c r="AZ86" i="2"/>
  <c r="BA86" i="2" s="1"/>
  <c r="BB86" i="2" s="1"/>
  <c r="BP85" i="2"/>
  <c r="BQ85" i="2" s="1"/>
  <c r="BR85" i="2" s="1"/>
  <c r="BL85" i="2"/>
  <c r="BM85" i="2" s="1"/>
  <c r="BH85" i="2"/>
  <c r="BI85" i="2" s="1"/>
  <c r="BD85" i="2"/>
  <c r="AZ85" i="2"/>
  <c r="BA85" i="2" s="1"/>
  <c r="BP84" i="2"/>
  <c r="BN84" i="2"/>
  <c r="BM84" i="2"/>
  <c r="BL84" i="2"/>
  <c r="BH84" i="2"/>
  <c r="BD84" i="2"/>
  <c r="AZ84" i="2"/>
  <c r="BA84" i="2" s="1"/>
  <c r="BB84" i="2" s="1"/>
  <c r="CX83" i="2"/>
  <c r="BP83" i="2"/>
  <c r="BQ83" i="2" s="1"/>
  <c r="BM83" i="2"/>
  <c r="BN83" i="2" s="1"/>
  <c r="BL83" i="2"/>
  <c r="BI83" i="2"/>
  <c r="BJ83" i="2" s="1"/>
  <c r="BH83" i="2"/>
  <c r="BD83" i="2"/>
  <c r="AZ83" i="2"/>
  <c r="BA83" i="2" s="1"/>
  <c r="BP82" i="2"/>
  <c r="BM82" i="2"/>
  <c r="BL82" i="2"/>
  <c r="BN82" i="2" s="1"/>
  <c r="CX82" i="2" s="1"/>
  <c r="BH82" i="2"/>
  <c r="BD82" i="2"/>
  <c r="AZ82" i="2"/>
  <c r="BA82" i="2" s="1"/>
  <c r="CX81" i="2"/>
  <c r="BP81" i="2"/>
  <c r="BQ81" i="2" s="1"/>
  <c r="BM81" i="2"/>
  <c r="BN81" i="2" s="1"/>
  <c r="BL81" i="2"/>
  <c r="BH81" i="2"/>
  <c r="BD81" i="2"/>
  <c r="AZ81" i="2"/>
  <c r="BA81" i="2" s="1"/>
  <c r="BP80" i="2"/>
  <c r="BQ80" i="2" s="1"/>
  <c r="BR80" i="2" s="1"/>
  <c r="BL80" i="2"/>
  <c r="BH80" i="2"/>
  <c r="BD80" i="2"/>
  <c r="BB80" i="2"/>
  <c r="AZ80" i="2"/>
  <c r="BA80" i="2" s="1"/>
  <c r="BP79" i="2"/>
  <c r="BQ79" i="2" s="1"/>
  <c r="BL79" i="2"/>
  <c r="BM79" i="2" s="1"/>
  <c r="BH79" i="2"/>
  <c r="BD79" i="2"/>
  <c r="AZ79" i="2"/>
  <c r="BA79" i="2" s="1"/>
  <c r="BJ76" i="2"/>
  <c r="CW76" i="2" s="1"/>
  <c r="BI76" i="2"/>
  <c r="BB76" i="2"/>
  <c r="CU76" i="2" s="1"/>
  <c r="CY75" i="2"/>
  <c r="CX75" i="2"/>
  <c r="CW75" i="2"/>
  <c r="CV75" i="2"/>
  <c r="CU75" i="2"/>
  <c r="CW74" i="2"/>
  <c r="BS74" i="2"/>
  <c r="BS76" i="2" s="1"/>
  <c r="BR74" i="2"/>
  <c r="CY74" i="2" s="1"/>
  <c r="BQ74" i="2"/>
  <c r="BQ76" i="2" s="1"/>
  <c r="BP74" i="2"/>
  <c r="BP76" i="2" s="1"/>
  <c r="BO74" i="2"/>
  <c r="BO76" i="2" s="1"/>
  <c r="BN74" i="2"/>
  <c r="BN76" i="2" s="1"/>
  <c r="CX76" i="2" s="1"/>
  <c r="BM74" i="2"/>
  <c r="BM76" i="2" s="1"/>
  <c r="BL74" i="2"/>
  <c r="BL76" i="2" s="1"/>
  <c r="BK74" i="2"/>
  <c r="BK76" i="2" s="1"/>
  <c r="BJ74" i="2"/>
  <c r="BI74" i="2"/>
  <c r="BH74" i="2"/>
  <c r="BH76" i="2" s="1"/>
  <c r="BG74" i="2"/>
  <c r="BG76" i="2" s="1"/>
  <c r="BF74" i="2"/>
  <c r="BF76" i="2" s="1"/>
  <c r="CV76" i="2" s="1"/>
  <c r="BE74" i="2"/>
  <c r="BE76" i="2" s="1"/>
  <c r="BD74" i="2"/>
  <c r="BD76" i="2" s="1"/>
  <c r="BC74" i="2"/>
  <c r="BC76" i="2" s="1"/>
  <c r="BB74" i="2"/>
  <c r="CU74" i="2" s="1"/>
  <c r="CY73" i="2"/>
  <c r="CX73" i="2"/>
  <c r="CW73" i="2"/>
  <c r="CV73" i="2"/>
  <c r="CU73" i="2"/>
  <c r="CY72" i="2"/>
  <c r="CX72" i="2"/>
  <c r="CW72" i="2"/>
  <c r="CV72" i="2"/>
  <c r="CU72" i="2"/>
  <c r="CY71" i="2"/>
  <c r="CX71" i="2"/>
  <c r="CW71" i="2"/>
  <c r="CV71" i="2"/>
  <c r="CU71" i="2"/>
  <c r="CY70" i="2"/>
  <c r="CX70" i="2"/>
  <c r="CW70" i="2"/>
  <c r="CV70" i="2"/>
  <c r="CU70" i="2"/>
  <c r="CY69" i="2"/>
  <c r="CX69" i="2"/>
  <c r="CW69" i="2"/>
  <c r="CV69" i="2"/>
  <c r="CU69" i="2"/>
  <c r="CY68" i="2"/>
  <c r="CX68" i="2"/>
  <c r="CW68" i="2"/>
  <c r="CV68" i="2"/>
  <c r="CU68" i="2"/>
  <c r="CY67" i="2"/>
  <c r="CX67" i="2"/>
  <c r="CW67" i="2"/>
  <c r="CV67" i="2"/>
  <c r="CU67" i="2"/>
  <c r="CY65" i="2"/>
  <c r="CX65" i="2"/>
  <c r="BS65" i="2"/>
  <c r="BR65" i="2"/>
  <c r="BQ65" i="2"/>
  <c r="BP65" i="2"/>
  <c r="BO65" i="2"/>
  <c r="BN65" i="2"/>
  <c r="BM65" i="2"/>
  <c r="BL65" i="2"/>
  <c r="BK65" i="2"/>
  <c r="BJ65" i="2"/>
  <c r="CW65" i="2" s="1"/>
  <c r="BI65" i="2"/>
  <c r="BH65" i="2"/>
  <c r="BG65" i="2"/>
  <c r="BF65" i="2"/>
  <c r="CV65" i="2" s="1"/>
  <c r="BE65" i="2"/>
  <c r="BD65" i="2"/>
  <c r="BC65" i="2"/>
  <c r="BB65" i="2"/>
  <c r="CU65" i="2" s="1"/>
  <c r="CY64" i="2"/>
  <c r="CX64" i="2"/>
  <c r="CW64" i="2"/>
  <c r="CV64" i="2"/>
  <c r="CU64" i="2"/>
  <c r="CY63" i="2"/>
  <c r="CX63" i="2"/>
  <c r="CW63" i="2"/>
  <c r="CV63" i="2"/>
  <c r="CU63" i="2"/>
  <c r="CY62" i="2"/>
  <c r="CX62" i="2"/>
  <c r="CW62" i="2"/>
  <c r="CV62" i="2"/>
  <c r="CU62" i="2"/>
  <c r="CY61" i="2"/>
  <c r="CX61" i="2"/>
  <c r="CW61" i="2"/>
  <c r="CV61" i="2"/>
  <c r="CU61" i="2"/>
  <c r="CY60" i="2"/>
  <c r="CX60" i="2"/>
  <c r="CW60" i="2"/>
  <c r="CV60" i="2"/>
  <c r="CU60" i="2"/>
  <c r="CY59" i="2"/>
  <c r="CX59" i="2"/>
  <c r="CW59" i="2"/>
  <c r="CV59" i="2"/>
  <c r="CU59" i="2"/>
  <c r="CY58" i="2"/>
  <c r="CX58" i="2"/>
  <c r="CW58" i="2"/>
  <c r="CV58" i="2"/>
  <c r="CU58" i="2"/>
  <c r="CY57" i="2"/>
  <c r="CX57" i="2"/>
  <c r="CW57" i="2"/>
  <c r="CV57" i="2"/>
  <c r="CU57" i="2"/>
  <c r="BQ57" i="2"/>
  <c r="CY56" i="2"/>
  <c r="CX56" i="2"/>
  <c r="CW56" i="2"/>
  <c r="CV56" i="2"/>
  <c r="CU56" i="2"/>
  <c r="CY55" i="2"/>
  <c r="CX55" i="2"/>
  <c r="CW55" i="2"/>
  <c r="CV55" i="2"/>
  <c r="CU55" i="2"/>
  <c r="DI54" i="2"/>
  <c r="CY54" i="2"/>
  <c r="CX54" i="2"/>
  <c r="CW54" i="2"/>
  <c r="CV54" i="2"/>
  <c r="CU54" i="2"/>
  <c r="CY53" i="2"/>
  <c r="CX53" i="2"/>
  <c r="CW53" i="2"/>
  <c r="CV53" i="2"/>
  <c r="CU53" i="2"/>
  <c r="CY52" i="2"/>
  <c r="CX52" i="2"/>
  <c r="CW52" i="2"/>
  <c r="CV52" i="2"/>
  <c r="CU52" i="2"/>
  <c r="CY51" i="2"/>
  <c r="CX51" i="2"/>
  <c r="CW51" i="2"/>
  <c r="CV51" i="2"/>
  <c r="CU51" i="2"/>
  <c r="CY41" i="2"/>
  <c r="CX41" i="2"/>
  <c r="CW41" i="2"/>
  <c r="CV41" i="2"/>
  <c r="CU41" i="2"/>
  <c r="CU39" i="2"/>
  <c r="BR39" i="2"/>
  <c r="CY39" i="2" s="1"/>
  <c r="BN39" i="2"/>
  <c r="CX39" i="2" s="1"/>
  <c r="BJ39" i="2"/>
  <c r="CW39" i="2" s="1"/>
  <c r="BF39" i="2"/>
  <c r="CV39" i="2" s="1"/>
  <c r="BB39" i="2"/>
  <c r="CV37" i="2"/>
  <c r="CU37" i="2"/>
  <c r="BR37" i="2"/>
  <c r="CY37" i="2" s="1"/>
  <c r="BN37" i="2"/>
  <c r="CX37" i="2" s="1"/>
  <c r="BJ37" i="2"/>
  <c r="CW37" i="2" s="1"/>
  <c r="BF37" i="2"/>
  <c r="BB37" i="2"/>
  <c r="CX35" i="2"/>
  <c r="CW35" i="2"/>
  <c r="BR35" i="2"/>
  <c r="CY35" i="2" s="1"/>
  <c r="BN35" i="2"/>
  <c r="BJ35" i="2"/>
  <c r="BF35" i="2"/>
  <c r="CV35" i="2" s="1"/>
  <c r="BB35" i="2"/>
  <c r="CU35" i="2" s="1"/>
  <c r="BR34" i="2"/>
  <c r="CY34" i="2" s="1"/>
  <c r="BN34" i="2"/>
  <c r="CX34" i="2" s="1"/>
  <c r="BJ34" i="2"/>
  <c r="CW34" i="2" s="1"/>
  <c r="BF34" i="2"/>
  <c r="CV34" i="2" s="1"/>
  <c r="BB34" i="2"/>
  <c r="CU34" i="2" s="1"/>
  <c r="BR33" i="2"/>
  <c r="CY33" i="2" s="1"/>
  <c r="BN33" i="2"/>
  <c r="CX33" i="2" s="1"/>
  <c r="BJ33" i="2"/>
  <c r="CW33" i="2" s="1"/>
  <c r="BF33" i="2"/>
  <c r="CV33" i="2" s="1"/>
  <c r="BB33" i="2"/>
  <c r="CU33" i="2" s="1"/>
  <c r="BR32" i="2"/>
  <c r="CY32" i="2" s="1"/>
  <c r="BN32" i="2"/>
  <c r="CX32" i="2" s="1"/>
  <c r="BJ32" i="2"/>
  <c r="CW32" i="2" s="1"/>
  <c r="BF32" i="2"/>
  <c r="CV32" i="2" s="1"/>
  <c r="BB32" i="2"/>
  <c r="CU32" i="2" s="1"/>
  <c r="CY30" i="2"/>
  <c r="BR30" i="2"/>
  <c r="BN30" i="2"/>
  <c r="CX30" i="2" s="1"/>
  <c r="BJ30" i="2"/>
  <c r="CW30" i="2" s="1"/>
  <c r="BF30" i="2"/>
  <c r="CV30" i="2" s="1"/>
  <c r="BB30" i="2"/>
  <c r="CU30" i="2" s="1"/>
  <c r="CV29" i="2"/>
  <c r="BR29" i="2"/>
  <c r="CY29" i="2" s="1"/>
  <c r="BN29" i="2"/>
  <c r="CX29" i="2" s="1"/>
  <c r="BJ29" i="2"/>
  <c r="CW29" i="2" s="1"/>
  <c r="BF29" i="2"/>
  <c r="BB29" i="2"/>
  <c r="CU29" i="2" s="1"/>
  <c r="CY27" i="2"/>
  <c r="CX27" i="2"/>
  <c r="BR27" i="2"/>
  <c r="BN27" i="2"/>
  <c r="BJ27" i="2"/>
  <c r="CW27" i="2" s="1"/>
  <c r="BF27" i="2"/>
  <c r="CV27" i="2" s="1"/>
  <c r="BB27" i="2"/>
  <c r="CU27" i="2" s="1"/>
  <c r="BS23" i="2"/>
  <c r="BQ23" i="2"/>
  <c r="BP23" i="2"/>
  <c r="BO23" i="2"/>
  <c r="BM23" i="2"/>
  <c r="BL23" i="2"/>
  <c r="BK23" i="2"/>
  <c r="BI23" i="2"/>
  <c r="BH23" i="2"/>
  <c r="BG23" i="2"/>
  <c r="BE23" i="2"/>
  <c r="BD23" i="2"/>
  <c r="BC23" i="2"/>
  <c r="BS22" i="2"/>
  <c r="BR22" i="2"/>
  <c r="BQ22" i="2"/>
  <c r="BP22" i="2"/>
  <c r="BO22" i="2"/>
  <c r="BM22" i="2"/>
  <c r="BL22" i="2"/>
  <c r="BK22" i="2"/>
  <c r="BI22" i="2"/>
  <c r="BH22" i="2"/>
  <c r="BG22" i="2"/>
  <c r="BE22" i="2"/>
  <c r="BD22" i="2"/>
  <c r="BC22" i="2"/>
  <c r="BO20" i="2"/>
  <c r="BH20" i="2"/>
  <c r="BG20" i="2"/>
  <c r="BA19" i="2"/>
  <c r="BS17" i="2"/>
  <c r="BQ17" i="2"/>
  <c r="BQ26" i="2" s="1"/>
  <c r="BQ28" i="2" s="1"/>
  <c r="BP17" i="2"/>
  <c r="BP19" i="2" s="1"/>
  <c r="BO17" i="2"/>
  <c r="BO19" i="2" s="1"/>
  <c r="BM17" i="2"/>
  <c r="BM26" i="2" s="1"/>
  <c r="BM28" i="2" s="1"/>
  <c r="BL17" i="2"/>
  <c r="BL26" i="2" s="1"/>
  <c r="BL28" i="2" s="1"/>
  <c r="BK17" i="2"/>
  <c r="BI17" i="2"/>
  <c r="BI26" i="2" s="1"/>
  <c r="BI28" i="2" s="1"/>
  <c r="BH17" i="2"/>
  <c r="BH19" i="2" s="1"/>
  <c r="BG17" i="2"/>
  <c r="BG19" i="2" s="1"/>
  <c r="BE17" i="2"/>
  <c r="BE26" i="2" s="1"/>
  <c r="BE28" i="2" s="1"/>
  <c r="BD17" i="2"/>
  <c r="BD26" i="2" s="1"/>
  <c r="BD28" i="2" s="1"/>
  <c r="BC17" i="2"/>
  <c r="BA17" i="2"/>
  <c r="BA26" i="2" s="1"/>
  <c r="BA28" i="2" s="1"/>
  <c r="AZ17" i="2"/>
  <c r="AZ19" i="2" s="1"/>
  <c r="AY17" i="2"/>
  <c r="AY20" i="2" s="1"/>
  <c r="BR16" i="2"/>
  <c r="CY16" i="2" s="1"/>
  <c r="BN16" i="2"/>
  <c r="BJ16" i="2"/>
  <c r="BF16" i="2"/>
  <c r="CV16" i="2" s="1"/>
  <c r="CV23" i="2" s="1"/>
  <c r="BB16" i="2"/>
  <c r="CU16" i="2" s="1"/>
  <c r="CY15" i="2"/>
  <c r="BR15" i="2"/>
  <c r="BN15" i="2"/>
  <c r="BJ15" i="2"/>
  <c r="BJ17" i="2" s="1"/>
  <c r="BF15" i="2"/>
  <c r="CV15" i="2" s="1"/>
  <c r="BB15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BS12" i="2"/>
  <c r="BQ12" i="2"/>
  <c r="BP12" i="2"/>
  <c r="BO12" i="2"/>
  <c r="BM12" i="2"/>
  <c r="BL12" i="2"/>
  <c r="BK12" i="2"/>
  <c r="BI12" i="2"/>
  <c r="BH12" i="2"/>
  <c r="BG12" i="2"/>
  <c r="BE12" i="2"/>
  <c r="BD12" i="2"/>
  <c r="BC12" i="2"/>
  <c r="BS11" i="2"/>
  <c r="BQ11" i="2"/>
  <c r="BP11" i="2"/>
  <c r="BO11" i="2"/>
  <c r="BM11" i="2"/>
  <c r="BL11" i="2"/>
  <c r="BK11" i="2"/>
  <c r="BI11" i="2"/>
  <c r="BH11" i="2"/>
  <c r="BG11" i="2"/>
  <c r="BE11" i="2"/>
  <c r="BD11" i="2"/>
  <c r="BC11" i="2"/>
  <c r="BM9" i="2"/>
  <c r="BE9" i="2"/>
  <c r="BS6" i="2"/>
  <c r="BS13" i="2" s="1"/>
  <c r="BQ6" i="2"/>
  <c r="BQ13" i="2" s="1"/>
  <c r="BP6" i="2"/>
  <c r="BP13" i="2" s="1"/>
  <c r="BO6" i="2"/>
  <c r="BM6" i="2"/>
  <c r="BM8" i="2" s="1"/>
  <c r="BL6" i="2"/>
  <c r="BK6" i="2"/>
  <c r="BI6" i="2"/>
  <c r="BI13" i="2" s="1"/>
  <c r="BH6" i="2"/>
  <c r="BH13" i="2" s="1"/>
  <c r="BG6" i="2"/>
  <c r="BG13" i="2" s="1"/>
  <c r="BE6" i="2"/>
  <c r="BE8" i="2" s="1"/>
  <c r="BD6" i="2"/>
  <c r="BC6" i="2"/>
  <c r="BA6" i="2"/>
  <c r="BA9" i="2" s="1"/>
  <c r="AZ6" i="2"/>
  <c r="AZ9" i="2" s="1"/>
  <c r="AY6" i="2"/>
  <c r="AY8" i="2" s="1"/>
  <c r="BR5" i="2"/>
  <c r="BR12" i="2" s="1"/>
  <c r="BN5" i="2"/>
  <c r="CX5" i="2" s="1"/>
  <c r="BJ5" i="2"/>
  <c r="CW5" i="2" s="1"/>
  <c r="BF5" i="2"/>
  <c r="BB5" i="2"/>
  <c r="CU5" i="2" s="1"/>
  <c r="BR4" i="2"/>
  <c r="BR11" i="2" s="1"/>
  <c r="BN4" i="2"/>
  <c r="BN11" i="2" s="1"/>
  <c r="BJ4" i="2"/>
  <c r="BF4" i="2"/>
  <c r="BB4" i="2"/>
  <c r="CU4" i="2" s="1"/>
  <c r="C8" i="1"/>
  <c r="C7" i="1"/>
  <c r="C6" i="1"/>
  <c r="C5" i="1"/>
  <c r="G187" i="3"/>
  <c r="Q243" i="3"/>
  <c r="Q244" i="3" s="1"/>
  <c r="Q245" i="3" s="1"/>
  <c r="Q246" i="3" s="1"/>
  <c r="Q247" i="3" s="1"/>
  <c r="Q248" i="3" s="1"/>
  <c r="Q249" i="3" s="1"/>
  <c r="Q250" i="3" s="1"/>
  <c r="Q251" i="3" s="1"/>
  <c r="Q252" i="3" s="1"/>
  <c r="Q253" i="3" s="1"/>
  <c r="Q254" i="3" s="1"/>
  <c r="Q255" i="3" s="1"/>
  <c r="Q256" i="3" s="1"/>
  <c r="Q257" i="3" s="1"/>
  <c r="Q258" i="3" s="1"/>
  <c r="Q259" i="3" s="1"/>
  <c r="Q260" i="3" s="1"/>
  <c r="Q261" i="3" s="1"/>
  <c r="Q262" i="3" s="1"/>
  <c r="Q263" i="3" s="1"/>
  <c r="Q264" i="3" s="1"/>
  <c r="Q265" i="3" s="1"/>
  <c r="Q266" i="3" s="1"/>
  <c r="Q267" i="3" s="1"/>
  <c r="Q268" i="3" s="1"/>
  <c r="Q269" i="3" s="1"/>
  <c r="Q270" i="3" s="1"/>
  <c r="Q271" i="3" s="1"/>
  <c r="Q272" i="3" s="1"/>
  <c r="Q273" i="3" s="1"/>
  <c r="Q241" i="3"/>
  <c r="Q240" i="3" s="1"/>
  <c r="Q239" i="3" s="1"/>
  <c r="Q238" i="3" s="1"/>
  <c r="Q237" i="3" s="1"/>
  <c r="Q236" i="3" s="1"/>
  <c r="Q235" i="3" s="1"/>
  <c r="Q234" i="3" s="1"/>
  <c r="Q233" i="3" s="1"/>
  <c r="Q232" i="3" s="1"/>
  <c r="Q231" i="3" s="1"/>
  <c r="Q230" i="3" s="1"/>
  <c r="Q229" i="3" s="1"/>
  <c r="Q228" i="3" s="1"/>
  <c r="Q227" i="3" s="1"/>
  <c r="Q226" i="3" s="1"/>
  <c r="Q225" i="3" s="1"/>
  <c r="Q224" i="3" s="1"/>
  <c r="Q223" i="3" s="1"/>
  <c r="Q222" i="3" s="1"/>
  <c r="Q221" i="3" s="1"/>
  <c r="Q220" i="3" s="1"/>
  <c r="Q219" i="3" s="1"/>
  <c r="Q218" i="3" s="1"/>
  <c r="Q217" i="3" s="1"/>
  <c r="Q216" i="3" s="1"/>
  <c r="Q215" i="3" s="1"/>
  <c r="Q214" i="3" s="1"/>
  <c r="Q213" i="3" s="1"/>
  <c r="Q212" i="3" s="1"/>
  <c r="Q211" i="3" s="1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O187" i="3"/>
  <c r="S205" i="3" l="1"/>
  <c r="Z222" i="3"/>
  <c r="BF93" i="2"/>
  <c r="CV93" i="2" s="1"/>
  <c r="BM110" i="2"/>
  <c r="BJ97" i="2"/>
  <c r="BN85" i="2"/>
  <c r="CX85" i="2"/>
  <c r="BF12" i="2"/>
  <c r="CX4" i="2"/>
  <c r="CX11" i="2" s="1"/>
  <c r="BP8" i="2"/>
  <c r="BM13" i="2"/>
  <c r="AZ20" i="2"/>
  <c r="BG24" i="2"/>
  <c r="CV74" i="2"/>
  <c r="BB81" i="2"/>
  <c r="BR81" i="2"/>
  <c r="CW96" i="2"/>
  <c r="BD106" i="2"/>
  <c r="AZ106" i="2"/>
  <c r="BG26" i="2"/>
  <c r="BG28" i="2" s="1"/>
  <c r="BE91" i="2"/>
  <c r="BF91" i="2" s="1"/>
  <c r="CV91" i="2" s="1"/>
  <c r="BE93" i="2"/>
  <c r="BI97" i="2"/>
  <c r="AY19" i="2"/>
  <c r="BJ23" i="2"/>
  <c r="BJ11" i="2"/>
  <c r="BK13" i="2"/>
  <c r="BN22" i="2"/>
  <c r="BO26" i="2"/>
  <c r="BO28" i="2" s="1"/>
  <c r="BM80" i="2"/>
  <c r="BN80" i="2" s="1"/>
  <c r="BI81" i="2"/>
  <c r="BJ81" i="2" s="1"/>
  <c r="CW81" i="2" s="1"/>
  <c r="BB82" i="2"/>
  <c r="BM87" i="2"/>
  <c r="BN87" i="2" s="1"/>
  <c r="BD98" i="2"/>
  <c r="BM96" i="2"/>
  <c r="BN96" i="2" s="1"/>
  <c r="CX96" i="2" s="1"/>
  <c r="BF11" i="2"/>
  <c r="BN12" i="2"/>
  <c r="BL13" i="2"/>
  <c r="AZ8" i="2"/>
  <c r="BR17" i="2"/>
  <c r="BI19" i="2"/>
  <c r="BP20" i="2"/>
  <c r="BE90" i="2"/>
  <c r="BD110" i="2"/>
  <c r="BE95" i="2"/>
  <c r="BF95" i="2" s="1"/>
  <c r="CV95" i="2" s="1"/>
  <c r="BA96" i="2"/>
  <c r="BB96" i="2" s="1"/>
  <c r="CU96" i="2" s="1"/>
  <c r="AY26" i="2"/>
  <c r="BD13" i="2"/>
  <c r="BG8" i="2"/>
  <c r="CW15" i="2"/>
  <c r="BE110" i="2"/>
  <c r="CW100" i="2"/>
  <c r="CV4" i="2"/>
  <c r="CV5" i="2"/>
  <c r="CW12" i="2" s="1"/>
  <c r="BN6" i="2"/>
  <c r="BN8" i="2" s="1"/>
  <c r="BH8" i="2"/>
  <c r="BJ12" i="2"/>
  <c r="CX15" i="2"/>
  <c r="BQ19" i="2"/>
  <c r="DC53" i="2"/>
  <c r="BR76" i="2"/>
  <c r="CY76" i="2" s="1"/>
  <c r="CX84" i="2"/>
  <c r="CU87" i="2"/>
  <c r="BM91" i="2"/>
  <c r="BN91" i="2" s="1"/>
  <c r="CX91" i="2" s="1"/>
  <c r="BM93" i="2"/>
  <c r="BN93" i="2" s="1"/>
  <c r="CX93" i="2" s="1"/>
  <c r="CW104" i="2"/>
  <c r="CW4" i="2"/>
  <c r="BF6" i="2"/>
  <c r="CV6" i="2" s="1"/>
  <c r="CV9" i="2" s="1"/>
  <c r="BO13" i="2"/>
  <c r="BO8" i="2"/>
  <c r="BE13" i="2"/>
  <c r="CW16" i="2"/>
  <c r="DD53" i="2"/>
  <c r="BN95" i="2"/>
  <c r="BF97" i="2"/>
  <c r="CV97" i="2" s="1"/>
  <c r="DF53" i="2"/>
  <c r="BE44" i="2"/>
  <c r="BE31" i="2"/>
  <c r="BQ44" i="2"/>
  <c r="BQ31" i="2"/>
  <c r="BG44" i="2"/>
  <c r="BG31" i="2"/>
  <c r="CW11" i="2"/>
  <c r="CV12" i="2"/>
  <c r="BB17" i="2"/>
  <c r="BB19" i="2" s="1"/>
  <c r="CU15" i="2"/>
  <c r="BS26" i="2"/>
  <c r="BS28" i="2" s="1"/>
  <c r="BS24" i="2"/>
  <c r="BS20" i="2"/>
  <c r="BS19" i="2"/>
  <c r="BI44" i="2"/>
  <c r="BI31" i="2"/>
  <c r="BO31" i="2"/>
  <c r="BO44" i="2"/>
  <c r="BJ19" i="2"/>
  <c r="BJ26" i="2"/>
  <c r="BJ28" i="2" s="1"/>
  <c r="BJ20" i="2"/>
  <c r="CW17" i="2"/>
  <c r="CW19" i="2" s="1"/>
  <c r="BK26" i="2"/>
  <c r="BK24" i="2"/>
  <c r="BK20" i="2"/>
  <c r="BK19" i="2"/>
  <c r="BN20" i="2"/>
  <c r="BA31" i="2"/>
  <c r="BA44" i="2"/>
  <c r="BL44" i="2"/>
  <c r="BL31" i="2"/>
  <c r="BO24" i="2"/>
  <c r="BF20" i="2"/>
  <c r="BF9" i="2"/>
  <c r="BR26" i="2"/>
  <c r="BR28" i="2" s="1"/>
  <c r="BR19" i="2"/>
  <c r="BC26" i="2"/>
  <c r="BC24" i="2"/>
  <c r="BC20" i="2"/>
  <c r="BC19" i="2"/>
  <c r="BM44" i="2"/>
  <c r="BM31" i="2"/>
  <c r="CX22" i="2"/>
  <c r="BN9" i="2"/>
  <c r="CV22" i="2"/>
  <c r="CX12" i="2"/>
  <c r="BD44" i="2"/>
  <c r="BD31" i="2"/>
  <c r="CW23" i="2"/>
  <c r="BI95" i="2"/>
  <c r="BJ95" i="2" s="1"/>
  <c r="CW95" i="2" s="1"/>
  <c r="CY4" i="2"/>
  <c r="CY5" i="2"/>
  <c r="BA8" i="2"/>
  <c r="BI8" i="2"/>
  <c r="BQ8" i="2"/>
  <c r="AY9" i="2"/>
  <c r="BG9" i="2"/>
  <c r="BO9" i="2"/>
  <c r="CX16" i="2"/>
  <c r="CY23" i="2" s="1"/>
  <c r="BA20" i="2"/>
  <c r="BI20" i="2"/>
  <c r="BQ20" i="2"/>
  <c r="BF23" i="2"/>
  <c r="BN23" i="2"/>
  <c r="BI24" i="2"/>
  <c r="BQ24" i="2"/>
  <c r="AZ26" i="2"/>
  <c r="AZ28" i="2" s="1"/>
  <c r="BH26" i="2"/>
  <c r="BP26" i="2"/>
  <c r="BP28" i="2" s="1"/>
  <c r="CY28" i="2" s="1"/>
  <c r="CY91" i="2"/>
  <c r="BI87" i="2"/>
  <c r="BB8" i="2"/>
  <c r="BJ8" i="2"/>
  <c r="BR8" i="2"/>
  <c r="BH9" i="2"/>
  <c r="BP9" i="2"/>
  <c r="BF17" i="2"/>
  <c r="CV17" i="2" s="1"/>
  <c r="BN17" i="2"/>
  <c r="BR24" i="2" s="1"/>
  <c r="BD19" i="2"/>
  <c r="BL19" i="2"/>
  <c r="BR20" i="2"/>
  <c r="BE80" i="2"/>
  <c r="BF80" i="2" s="1"/>
  <c r="CV80" i="2" s="1"/>
  <c r="BA91" i="2"/>
  <c r="BB91" i="2" s="1"/>
  <c r="BM102" i="2"/>
  <c r="BN102" i="2" s="1"/>
  <c r="CX102" i="2" s="1"/>
  <c r="BJ92" i="2"/>
  <c r="CW92" i="2" s="1"/>
  <c r="BQ96" i="2"/>
  <c r="BR96" i="2" s="1"/>
  <c r="CY96" i="2" s="1"/>
  <c r="BH24" i="2"/>
  <c r="BI103" i="2"/>
  <c r="BH106" i="2"/>
  <c r="BB6" i="2"/>
  <c r="BF13" i="2" s="1"/>
  <c r="BJ6" i="2"/>
  <c r="BJ9" i="2" s="1"/>
  <c r="BR6" i="2"/>
  <c r="BC8" i="2"/>
  <c r="BK8" i="2"/>
  <c r="BS8" i="2"/>
  <c r="BI9" i="2"/>
  <c r="BQ9" i="2"/>
  <c r="BE19" i="2"/>
  <c r="BM19" i="2"/>
  <c r="CW22" i="2"/>
  <c r="BQ82" i="2"/>
  <c r="BR82" i="2" s="1"/>
  <c r="BN86" i="2"/>
  <c r="CX86" i="2" s="1"/>
  <c r="BJ85" i="2"/>
  <c r="CW85" i="2" s="1"/>
  <c r="BP24" i="2"/>
  <c r="BD8" i="2"/>
  <c r="BL8" i="2"/>
  <c r="BB9" i="2"/>
  <c r="CV11" i="2"/>
  <c r="CY17" i="2"/>
  <c r="CY19" i="2" s="1"/>
  <c r="BF19" i="2"/>
  <c r="BN19" i="2"/>
  <c r="BD20" i="2"/>
  <c r="BL20" i="2"/>
  <c r="BF22" i="2"/>
  <c r="BD24" i="2"/>
  <c r="BL24" i="2"/>
  <c r="AY28" i="2"/>
  <c r="BQ84" i="2"/>
  <c r="BR84" i="2" s="1"/>
  <c r="CY84" i="2" s="1"/>
  <c r="CU94" i="2"/>
  <c r="BJ22" i="2"/>
  <c r="BC9" i="2"/>
  <c r="BK9" i="2"/>
  <c r="BS9" i="2"/>
  <c r="BC13" i="2"/>
  <c r="BE20" i="2"/>
  <c r="BM20" i="2"/>
  <c r="CY22" i="2"/>
  <c r="BR23" i="2"/>
  <c r="BE24" i="2"/>
  <c r="BM24" i="2"/>
  <c r="BF8" i="2"/>
  <c r="BD9" i="2"/>
  <c r="BL9" i="2"/>
  <c r="BN79" i="2"/>
  <c r="CX79" i="2" s="1"/>
  <c r="BF90" i="2"/>
  <c r="CV90" i="2" s="1"/>
  <c r="BE98" i="2"/>
  <c r="CV92" i="2"/>
  <c r="BF92" i="2"/>
  <c r="CW83" i="2"/>
  <c r="BF85" i="2"/>
  <c r="BL110" i="2"/>
  <c r="BN94" i="2"/>
  <c r="BN110" i="2" s="1"/>
  <c r="CY101" i="2"/>
  <c r="CY105" i="2"/>
  <c r="CY80" i="2"/>
  <c r="BF82" i="2"/>
  <c r="CV82" i="2" s="1"/>
  <c r="BH98" i="2"/>
  <c r="CX95" i="2"/>
  <c r="BA97" i="2"/>
  <c r="BB97" i="2" s="1"/>
  <c r="CU97" i="2" s="1"/>
  <c r="CU102" i="2"/>
  <c r="CX74" i="2"/>
  <c r="BB79" i="2"/>
  <c r="BR79" i="2"/>
  <c r="CY79" i="2" s="1"/>
  <c r="BJ80" i="2"/>
  <c r="CW80" i="2" s="1"/>
  <c r="BI80" i="2"/>
  <c r="BE82" i="2"/>
  <c r="BR86" i="2"/>
  <c r="CY86" i="2" s="1"/>
  <c r="BL98" i="2"/>
  <c r="BN90" i="2"/>
  <c r="BM92" i="2"/>
  <c r="BN92" i="2" s="1"/>
  <c r="CX92" i="2" s="1"/>
  <c r="BI93" i="2"/>
  <c r="BB94" i="2"/>
  <c r="CY95" i="2"/>
  <c r="CW102" i="2"/>
  <c r="CY103" i="2"/>
  <c r="CU79" i="2"/>
  <c r="BI82" i="2"/>
  <c r="BE84" i="2"/>
  <c r="BM90" i="2"/>
  <c r="BI91" i="2"/>
  <c r="BJ91" i="2" s="1"/>
  <c r="CW91" i="2" s="1"/>
  <c r="CU92" i="2"/>
  <c r="BQ92" i="2"/>
  <c r="BR92" i="2" s="1"/>
  <c r="CY92" i="2" s="1"/>
  <c r="BL106" i="2"/>
  <c r="CU81" i="2"/>
  <c r="BB83" i="2"/>
  <c r="CU83" i="2" s="1"/>
  <c r="BR83" i="2"/>
  <c r="CY83" i="2" s="1"/>
  <c r="BI84" i="2"/>
  <c r="BJ84" i="2" s="1"/>
  <c r="BE86" i="2"/>
  <c r="AZ98" i="2"/>
  <c r="BP98" i="2"/>
  <c r="BQ90" i="2"/>
  <c r="CW97" i="2"/>
  <c r="BM100" i="2"/>
  <c r="BN100" i="2" s="1"/>
  <c r="BI101" i="2"/>
  <c r="BI106" i="2" s="1"/>
  <c r="BM104" i="2"/>
  <c r="BI105" i="2"/>
  <c r="BI79" i="2"/>
  <c r="BJ79" i="2" s="1"/>
  <c r="BF83" i="2"/>
  <c r="BB85" i="2"/>
  <c r="CU85" i="2" s="1"/>
  <c r="BI86" i="2"/>
  <c r="BJ86" i="2" s="1"/>
  <c r="CY93" i="2"/>
  <c r="CU100" i="2"/>
  <c r="CV102" i="2"/>
  <c r="CU104" i="2"/>
  <c r="CV112" i="2"/>
  <c r="CX112" i="2"/>
  <c r="AZ110" i="2"/>
  <c r="BH110" i="2"/>
  <c r="BP110" i="2"/>
  <c r="CX97" i="2"/>
  <c r="CU80" i="2"/>
  <c r="CY81" i="2"/>
  <c r="CU82" i="2"/>
  <c r="CU84" i="2"/>
  <c r="CY85" i="2"/>
  <c r="CU86" i="2"/>
  <c r="CY87" i="2"/>
  <c r="BA93" i="2"/>
  <c r="BB93" i="2" s="1"/>
  <c r="CU93" i="2" s="1"/>
  <c r="BF94" i="2"/>
  <c r="BQ94" i="2"/>
  <c r="BQ110" i="2" s="1"/>
  <c r="BA95" i="2"/>
  <c r="BA110" i="2" s="1"/>
  <c r="BF100" i="2"/>
  <c r="BF106" i="2" s="1"/>
  <c r="BQ100" i="2"/>
  <c r="BQ106" i="2" s="1"/>
  <c r="BA101" i="2"/>
  <c r="BB101" i="2" s="1"/>
  <c r="BF102" i="2"/>
  <c r="BQ102" i="2"/>
  <c r="BR102" i="2" s="1"/>
  <c r="BA103" i="2"/>
  <c r="BB103" i="2" s="1"/>
  <c r="BF104" i="2"/>
  <c r="CV104" i="2" s="1"/>
  <c r="BQ104" i="2"/>
  <c r="BR104" i="2" s="1"/>
  <c r="CY104" i="2" s="1"/>
  <c r="BA105" i="2"/>
  <c r="BB105" i="2" s="1"/>
  <c r="BE79" i="2"/>
  <c r="BF79" i="2" s="1"/>
  <c r="BE81" i="2"/>
  <c r="BF81" i="2" s="1"/>
  <c r="BE83" i="2"/>
  <c r="BE85" i="2"/>
  <c r="BE87" i="2"/>
  <c r="BM101" i="2"/>
  <c r="BN101" i="2" s="1"/>
  <c r="CX101" i="2" s="1"/>
  <c r="BM103" i="2"/>
  <c r="BM105" i="2"/>
  <c r="BN105" i="2" s="1"/>
  <c r="CX105" i="2" s="1"/>
  <c r="BE106" i="2"/>
  <c r="BI90" i="2"/>
  <c r="CU90" i="2"/>
  <c r="BI94" i="2"/>
  <c r="BQ97" i="2"/>
  <c r="BR97" i="2" s="1"/>
  <c r="CY97" i="2" s="1"/>
  <c r="CV94" i="2"/>
  <c r="BJ82" i="2" l="1"/>
  <c r="CW82" i="2" s="1"/>
  <c r="BR94" i="2"/>
  <c r="BR110" i="2" s="1"/>
  <c r="CY110" i="2" s="1"/>
  <c r="CX6" i="2"/>
  <c r="CX13" i="2" s="1"/>
  <c r="CW84" i="2"/>
  <c r="BE45" i="2"/>
  <c r="CV8" i="2"/>
  <c r="BQ98" i="2"/>
  <c r="BF110" i="2"/>
  <c r="CV110" i="2" s="1"/>
  <c r="BR13" i="2"/>
  <c r="BM45" i="2"/>
  <c r="BF86" i="2"/>
  <c r="CV86" i="2" s="1"/>
  <c r="BF84" i="2"/>
  <c r="CV84" i="2" s="1"/>
  <c r="CX17" i="2"/>
  <c r="CX19" i="2" s="1"/>
  <c r="CV100" i="2"/>
  <c r="CY26" i="2"/>
  <c r="CY44" i="2" s="1"/>
  <c r="CX80" i="2"/>
  <c r="CX87" i="2"/>
  <c r="CU98" i="2"/>
  <c r="CV19" i="2"/>
  <c r="CV20" i="2"/>
  <c r="BB106" i="2"/>
  <c r="CU91" i="2"/>
  <c r="BB98" i="2"/>
  <c r="CW87" i="2"/>
  <c r="CW105" i="2"/>
  <c r="BN98" i="2"/>
  <c r="BA36" i="2"/>
  <c r="BA38" i="2" s="1"/>
  <c r="BA46" i="2"/>
  <c r="BE46" i="2"/>
  <c r="BE47" i="2" s="1"/>
  <c r="BE36" i="2"/>
  <c r="BE38" i="2" s="1"/>
  <c r="CY94" i="2"/>
  <c r="BJ101" i="2"/>
  <c r="BR90" i="2"/>
  <c r="BM98" i="2"/>
  <c r="CX98" i="2" s="1"/>
  <c r="CX90" i="2"/>
  <c r="CX110" i="2"/>
  <c r="BJ103" i="2"/>
  <c r="CW103" i="2" s="1"/>
  <c r="BC28" i="2"/>
  <c r="CV26" i="2"/>
  <c r="BI36" i="2"/>
  <c r="BI38" i="2" s="1"/>
  <c r="BI46" i="2"/>
  <c r="BQ36" i="2"/>
  <c r="BQ38" i="2" s="1"/>
  <c r="BQ46" i="2"/>
  <c r="BI98" i="2"/>
  <c r="BJ90" i="2"/>
  <c r="CW90" i="2"/>
  <c r="CU105" i="2"/>
  <c r="BA98" i="2"/>
  <c r="BB95" i="2"/>
  <c r="CU95" i="2" s="1"/>
  <c r="CX94" i="2"/>
  <c r="BF98" i="2"/>
  <c r="CV98" i="2" s="1"/>
  <c r="CY82" i="2"/>
  <c r="BA106" i="2"/>
  <c r="BJ24" i="2"/>
  <c r="BI45" i="2"/>
  <c r="BQ45" i="2"/>
  <c r="CV79" i="2"/>
  <c r="CZ4" i="2"/>
  <c r="CY11" i="2"/>
  <c r="CW24" i="2"/>
  <c r="BR100" i="2"/>
  <c r="BR106" i="2" s="1"/>
  <c r="CY106" i="2" s="1"/>
  <c r="BM106" i="2"/>
  <c r="CX100" i="2"/>
  <c r="BM46" i="2"/>
  <c r="BM47" i="2" s="1"/>
  <c r="BM36" i="2"/>
  <c r="BM38" i="2" s="1"/>
  <c r="BJ44" i="2"/>
  <c r="BJ31" i="2"/>
  <c r="BJ105" i="2"/>
  <c r="CX24" i="2"/>
  <c r="CV85" i="2"/>
  <c r="CY102" i="2"/>
  <c r="CW86" i="2"/>
  <c r="CW79" i="2"/>
  <c r="BJ93" i="2"/>
  <c r="CW93" i="2" s="1"/>
  <c r="BN103" i="2"/>
  <c r="CX103" i="2" s="1"/>
  <c r="BJ13" i="2"/>
  <c r="CW6" i="2"/>
  <c r="BN24" i="2"/>
  <c r="BN26" i="2"/>
  <c r="BN28" i="2" s="1"/>
  <c r="BJ87" i="2"/>
  <c r="BH28" i="2"/>
  <c r="CW26" i="2"/>
  <c r="CU26" i="2"/>
  <c r="CU6" i="2"/>
  <c r="BL46" i="2"/>
  <c r="BL36" i="2"/>
  <c r="BL38" i="2" s="1"/>
  <c r="BI110" i="2"/>
  <c r="CW20" i="2"/>
  <c r="CU103" i="2"/>
  <c r="BP44" i="2"/>
  <c r="BP45" i="2" s="1"/>
  <c r="BP31" i="2"/>
  <c r="CY31" i="2" s="1"/>
  <c r="CY46" i="2" s="1"/>
  <c r="BR44" i="2"/>
  <c r="BR31" i="2"/>
  <c r="CV83" i="2"/>
  <c r="CU101" i="2"/>
  <c r="AY31" i="2"/>
  <c r="AY44" i="2"/>
  <c r="CY20" i="2"/>
  <c r="CY24" i="2"/>
  <c r="BF24" i="2"/>
  <c r="BF26" i="2"/>
  <c r="BF28" i="2" s="1"/>
  <c r="AZ44" i="2"/>
  <c r="AZ31" i="2"/>
  <c r="CX23" i="2"/>
  <c r="CX20" i="2"/>
  <c r="CY6" i="2"/>
  <c r="BD46" i="2"/>
  <c r="BD36" i="2"/>
  <c r="BD38" i="2" s="1"/>
  <c r="CU17" i="2"/>
  <c r="CU20" i="2" s="1"/>
  <c r="BB26" i="2"/>
  <c r="BB28" i="2" s="1"/>
  <c r="BB20" i="2"/>
  <c r="CV87" i="2"/>
  <c r="CV81" i="2"/>
  <c r="CY100" i="2"/>
  <c r="BJ94" i="2"/>
  <c r="BJ110" i="2" s="1"/>
  <c r="CY90" i="2"/>
  <c r="BN104" i="2"/>
  <c r="CX104" i="2" s="1"/>
  <c r="BF87" i="2"/>
  <c r="CY12" i="2"/>
  <c r="CZ5" i="2"/>
  <c r="DA5" i="2" s="1"/>
  <c r="DB5" i="2" s="1"/>
  <c r="DC5" i="2" s="1"/>
  <c r="DD5" i="2" s="1"/>
  <c r="DE5" i="2" s="1"/>
  <c r="BD45" i="2"/>
  <c r="BN13" i="2"/>
  <c r="BK28" i="2"/>
  <c r="BO46" i="2"/>
  <c r="BO36" i="2"/>
  <c r="BS44" i="2"/>
  <c r="BS45" i="2" s="1"/>
  <c r="BS31" i="2"/>
  <c r="BG36" i="2"/>
  <c r="BG46" i="2"/>
  <c r="BR9" i="2"/>
  <c r="Z212" i="3"/>
  <c r="Z211" i="3"/>
  <c r="Z214" i="3"/>
  <c r="Z221" i="3"/>
  <c r="Z213" i="3"/>
  <c r="Z224" i="3"/>
  <c r="Z220" i="3"/>
  <c r="Z216" i="3"/>
  <c r="Z219" i="3"/>
  <c r="Z223" i="3"/>
  <c r="Z218" i="3"/>
  <c r="Z215" i="3"/>
  <c r="Z217" i="3"/>
  <c r="CW110" i="2" l="1"/>
  <c r="CV24" i="2"/>
  <c r="CY13" i="2"/>
  <c r="CX9" i="2"/>
  <c r="CX8" i="2"/>
  <c r="BR98" i="2"/>
  <c r="CY98" i="2" s="1"/>
  <c r="CX26" i="2"/>
  <c r="CW94" i="2"/>
  <c r="BJ106" i="2"/>
  <c r="BJ36" i="2"/>
  <c r="BJ38" i="2" s="1"/>
  <c r="BJ46" i="2"/>
  <c r="DA4" i="2"/>
  <c r="CZ6" i="2"/>
  <c r="BC44" i="2"/>
  <c r="BC31" i="2"/>
  <c r="CV28" i="2"/>
  <c r="CV44" i="2" s="1"/>
  <c r="BM78" i="2"/>
  <c r="BM88" i="2" s="1"/>
  <c r="BM109" i="2" s="1"/>
  <c r="BM111" i="2" s="1"/>
  <c r="BM113" i="2" s="1"/>
  <c r="BM40" i="2"/>
  <c r="BM42" i="2" s="1"/>
  <c r="BM48" i="2"/>
  <c r="BP46" i="2"/>
  <c r="BP47" i="2" s="1"/>
  <c r="BP36" i="2"/>
  <c r="BP38" i="2" s="1"/>
  <c r="BS46" i="2"/>
  <c r="BS47" i="2" s="1"/>
  <c r="BS36" i="2"/>
  <c r="BS38" i="2" s="1"/>
  <c r="BL48" i="2"/>
  <c r="BL78" i="2"/>
  <c r="BL88" i="2" s="1"/>
  <c r="BL109" i="2" s="1"/>
  <c r="BL111" i="2" s="1"/>
  <c r="BL113" i="2" s="1"/>
  <c r="BL40" i="2"/>
  <c r="BL42" i="2" s="1"/>
  <c r="BQ48" i="2"/>
  <c r="BQ49" i="2" s="1"/>
  <c r="BQ78" i="2"/>
  <c r="BQ88" i="2" s="1"/>
  <c r="BQ109" i="2" s="1"/>
  <c r="BQ111" i="2" s="1"/>
  <c r="BQ113" i="2" s="1"/>
  <c r="BQ40" i="2"/>
  <c r="BQ42" i="2" s="1"/>
  <c r="BA48" i="2"/>
  <c r="BA78" i="2"/>
  <c r="BA88" i="2" s="1"/>
  <c r="BA109" i="2" s="1"/>
  <c r="BA111" i="2" s="1"/>
  <c r="BA113" i="2" s="1"/>
  <c r="BA40" i="2"/>
  <c r="BA42" i="2" s="1"/>
  <c r="BB44" i="2"/>
  <c r="BB31" i="2"/>
  <c r="BH44" i="2"/>
  <c r="BH31" i="2"/>
  <c r="CW28" i="2"/>
  <c r="CW44" i="2" s="1"/>
  <c r="CY8" i="2"/>
  <c r="BE78" i="2"/>
  <c r="BE88" i="2" s="1"/>
  <c r="BE109" i="2" s="1"/>
  <c r="BE111" i="2" s="1"/>
  <c r="BE113" i="2" s="1"/>
  <c r="BE48" i="2"/>
  <c r="BE40" i="2"/>
  <c r="BE42" i="2" s="1"/>
  <c r="CU28" i="2"/>
  <c r="CU44" i="2" s="1"/>
  <c r="BN106" i="2"/>
  <c r="CV106" i="2" s="1"/>
  <c r="AZ36" i="2"/>
  <c r="AZ38" i="2" s="1"/>
  <c r="AZ46" i="2"/>
  <c r="BD47" i="2" s="1"/>
  <c r="BN31" i="2"/>
  <c r="BN44" i="2"/>
  <c r="BN45" i="2" s="1"/>
  <c r="BQ47" i="2"/>
  <c r="BF44" i="2"/>
  <c r="BF45" i="2" s="1"/>
  <c r="BF31" i="2"/>
  <c r="CW13" i="2"/>
  <c r="CW8" i="2"/>
  <c r="CW9" i="2"/>
  <c r="CU19" i="2"/>
  <c r="CW101" i="2"/>
  <c r="BI47" i="2"/>
  <c r="BR36" i="2"/>
  <c r="BR38" i="2" s="1"/>
  <c r="BR46" i="2"/>
  <c r="BJ98" i="2"/>
  <c r="CW98" i="2" s="1"/>
  <c r="BK44" i="2"/>
  <c r="BK31" i="2"/>
  <c r="CX28" i="2"/>
  <c r="CX44" i="2" s="1"/>
  <c r="BG38" i="2"/>
  <c r="AY46" i="2"/>
  <c r="AY36" i="2"/>
  <c r="BO38" i="2"/>
  <c r="CY9" i="2"/>
  <c r="BD48" i="2"/>
  <c r="BD78" i="2"/>
  <c r="BD88" i="2" s="1"/>
  <c r="BD109" i="2" s="1"/>
  <c r="BD111" i="2" s="1"/>
  <c r="BD113" i="2" s="1"/>
  <c r="BD40" i="2"/>
  <c r="BD42" i="2" s="1"/>
  <c r="BB110" i="2"/>
  <c r="CU110" i="2" s="1"/>
  <c r="CV13" i="2"/>
  <c r="CU8" i="2"/>
  <c r="CU9" i="2"/>
  <c r="BI48" i="2"/>
  <c r="BI49" i="2" s="1"/>
  <c r="BI78" i="2"/>
  <c r="BI88" i="2" s="1"/>
  <c r="BI109" i="2" s="1"/>
  <c r="BI111" i="2" s="1"/>
  <c r="BI113" i="2" s="1"/>
  <c r="BI40" i="2"/>
  <c r="BI42" i="2" s="1"/>
  <c r="BE49" i="2" l="1"/>
  <c r="BR45" i="2"/>
  <c r="BC45" i="2"/>
  <c r="BG45" i="2"/>
  <c r="BF46" i="2"/>
  <c r="BJ47" i="2" s="1"/>
  <c r="BF36" i="2"/>
  <c r="BF38" i="2" s="1"/>
  <c r="BH45" i="2"/>
  <c r="BL45" i="2"/>
  <c r="BK36" i="2"/>
  <c r="BK46" i="2"/>
  <c r="CX31" i="2"/>
  <c r="CX46" i="2" s="1"/>
  <c r="DB4" i="2"/>
  <c r="DA6" i="2"/>
  <c r="BO48" i="2"/>
  <c r="BO78" i="2"/>
  <c r="CY38" i="2"/>
  <c r="CY48" i="2" s="1"/>
  <c r="BO40" i="2"/>
  <c r="BK45" i="2"/>
  <c r="BO45" i="2"/>
  <c r="CW106" i="2"/>
  <c r="BM49" i="2"/>
  <c r="CZ26" i="2"/>
  <c r="CZ38" i="2" s="1"/>
  <c r="CZ13" i="2"/>
  <c r="AY38" i="2"/>
  <c r="BG78" i="2"/>
  <c r="BG48" i="2"/>
  <c r="BG40" i="2"/>
  <c r="BB36" i="2"/>
  <c r="BB38" i="2" s="1"/>
  <c r="BB46" i="2"/>
  <c r="BN46" i="2"/>
  <c r="BN47" i="2" s="1"/>
  <c r="BN36" i="2"/>
  <c r="BN38" i="2" s="1"/>
  <c r="BJ78" i="2"/>
  <c r="BJ88" i="2" s="1"/>
  <c r="BJ109" i="2" s="1"/>
  <c r="BJ111" i="2" s="1"/>
  <c r="BJ113" i="2" s="1"/>
  <c r="BJ48" i="2"/>
  <c r="BJ40" i="2"/>
  <c r="BJ42" i="2" s="1"/>
  <c r="CX106" i="2"/>
  <c r="CU106" i="2"/>
  <c r="BP48" i="2"/>
  <c r="BP49" i="2" s="1"/>
  <c r="BP78" i="2"/>
  <c r="BP88" i="2" s="1"/>
  <c r="BP109" i="2" s="1"/>
  <c r="BP111" i="2" s="1"/>
  <c r="BP113" i="2" s="1"/>
  <c r="BP40" i="2"/>
  <c r="BP42" i="2" s="1"/>
  <c r="CY36" i="2"/>
  <c r="CU31" i="2"/>
  <c r="CU46" i="2" s="1"/>
  <c r="BJ45" i="2"/>
  <c r="CV45" i="2"/>
  <c r="BR78" i="2"/>
  <c r="BR88" i="2" s="1"/>
  <c r="BR109" i="2" s="1"/>
  <c r="BR111" i="2" s="1"/>
  <c r="BR113" i="2" s="1"/>
  <c r="BR40" i="2"/>
  <c r="BR42" i="2" s="1"/>
  <c r="BR48" i="2"/>
  <c r="BH36" i="2"/>
  <c r="BH46" i="2"/>
  <c r="CW31" i="2"/>
  <c r="CW46" i="2" s="1"/>
  <c r="CX45" i="2"/>
  <c r="CY45" i="2"/>
  <c r="AZ78" i="2"/>
  <c r="AZ88" i="2" s="1"/>
  <c r="AZ109" i="2" s="1"/>
  <c r="AZ111" i="2" s="1"/>
  <c r="AZ113" i="2" s="1"/>
  <c r="AZ48" i="2"/>
  <c r="BD49" i="2" s="1"/>
  <c r="AZ40" i="2"/>
  <c r="AZ42" i="2" s="1"/>
  <c r="CW45" i="2"/>
  <c r="BS48" i="2"/>
  <c r="BS40" i="2"/>
  <c r="BS42" i="2" s="1"/>
  <c r="BS78" i="2"/>
  <c r="BS88" i="2" s="1"/>
  <c r="BS109" i="2" s="1"/>
  <c r="BS111" i="2" s="1"/>
  <c r="BS113" i="2" s="1"/>
  <c r="BC36" i="2"/>
  <c r="CV31" i="2"/>
  <c r="CV46" i="2" s="1"/>
  <c r="BC46" i="2"/>
  <c r="CU36" i="2" l="1"/>
  <c r="CV47" i="2"/>
  <c r="BR49" i="2"/>
  <c r="BK47" i="2"/>
  <c r="BO47" i="2"/>
  <c r="CX36" i="2"/>
  <c r="BK38" i="2"/>
  <c r="BR47" i="2"/>
  <c r="BB78" i="2"/>
  <c r="BB88" i="2" s="1"/>
  <c r="BB109" i="2" s="1"/>
  <c r="BB111" i="2" s="1"/>
  <c r="BB113" i="2" s="1"/>
  <c r="BB48" i="2"/>
  <c r="BB40" i="2"/>
  <c r="BB42" i="2" s="1"/>
  <c r="BO88" i="2"/>
  <c r="CY78" i="2"/>
  <c r="BC47" i="2"/>
  <c r="BG47" i="2"/>
  <c r="BN78" i="2"/>
  <c r="BN88" i="2" s="1"/>
  <c r="BN109" i="2" s="1"/>
  <c r="BN111" i="2" s="1"/>
  <c r="BN113" i="2" s="1"/>
  <c r="BN40" i="2"/>
  <c r="BN42" i="2" s="1"/>
  <c r="BN48" i="2"/>
  <c r="BN49" i="2" s="1"/>
  <c r="DA53" i="2"/>
  <c r="DA54" i="2" s="1"/>
  <c r="BS49" i="2"/>
  <c r="CW47" i="2"/>
  <c r="DA26" i="2"/>
  <c r="DA38" i="2" s="1"/>
  <c r="DA13" i="2"/>
  <c r="BF47" i="2"/>
  <c r="BH38" i="2"/>
  <c r="CW36" i="2"/>
  <c r="CX47" i="2"/>
  <c r="CY47" i="2"/>
  <c r="BO42" i="2"/>
  <c r="CY42" i="2" s="1"/>
  <c r="CY40" i="2"/>
  <c r="CV36" i="2"/>
  <c r="BC38" i="2"/>
  <c r="AY78" i="2"/>
  <c r="AY48" i="2"/>
  <c r="CU38" i="2"/>
  <c r="CU48" i="2" s="1"/>
  <c r="AY40" i="2"/>
  <c r="BG42" i="2"/>
  <c r="BF78" i="2"/>
  <c r="BF88" i="2" s="1"/>
  <c r="BF109" i="2" s="1"/>
  <c r="BF111" i="2" s="1"/>
  <c r="BF113" i="2" s="1"/>
  <c r="BF40" i="2"/>
  <c r="BF42" i="2" s="1"/>
  <c r="BF48" i="2"/>
  <c r="BJ49" i="2" s="1"/>
  <c r="BH47" i="2"/>
  <c r="BL47" i="2"/>
  <c r="BG88" i="2"/>
  <c r="DC4" i="2"/>
  <c r="DB6" i="2"/>
  <c r="DD4" i="2" l="1"/>
  <c r="DC6" i="2"/>
  <c r="AY42" i="2"/>
  <c r="CU42" i="2" s="1"/>
  <c r="CU40" i="2"/>
  <c r="DB26" i="2"/>
  <c r="DB38" i="2" s="1"/>
  <c r="DB13" i="2"/>
  <c r="BK48" i="2"/>
  <c r="CX38" i="2"/>
  <c r="CX48" i="2" s="1"/>
  <c r="BK78" i="2"/>
  <c r="BK40" i="2"/>
  <c r="BC48" i="2"/>
  <c r="CV38" i="2"/>
  <c r="CV48" i="2" s="1"/>
  <c r="CV49" i="2" s="1"/>
  <c r="BC40" i="2"/>
  <c r="BC78" i="2"/>
  <c r="BO109" i="2"/>
  <c r="CY88" i="2"/>
  <c r="BG109" i="2"/>
  <c r="BF49" i="2"/>
  <c r="AY88" i="2"/>
  <c r="CU78" i="2"/>
  <c r="BH48" i="2"/>
  <c r="BH40" i="2"/>
  <c r="BH78" i="2"/>
  <c r="CW38" i="2"/>
  <c r="CW48" i="2" s="1"/>
  <c r="AY109" i="2" l="1"/>
  <c r="CU88" i="2"/>
  <c r="CV78" i="2"/>
  <c r="BC88" i="2"/>
  <c r="BC49" i="2"/>
  <c r="BG49" i="2"/>
  <c r="CX40" i="2"/>
  <c r="BK42" i="2"/>
  <c r="CX42" i="2" s="1"/>
  <c r="BH49" i="2"/>
  <c r="BL49" i="2"/>
  <c r="CV40" i="2"/>
  <c r="BC42" i="2"/>
  <c r="CV42" i="2" s="1"/>
  <c r="CW49" i="2"/>
  <c r="BG111" i="2"/>
  <c r="CX78" i="2"/>
  <c r="BK88" i="2"/>
  <c r="DC26" i="2"/>
  <c r="DC38" i="2" s="1"/>
  <c r="DC13" i="2"/>
  <c r="BH88" i="2"/>
  <c r="CW78" i="2"/>
  <c r="CX49" i="2"/>
  <c r="CY49" i="2"/>
  <c r="DD6" i="2"/>
  <c r="DE4" i="2"/>
  <c r="DE6" i="2" s="1"/>
  <c r="BH42" i="2"/>
  <c r="CW42" i="2" s="1"/>
  <c r="CW40" i="2"/>
  <c r="BO111" i="2"/>
  <c r="CY109" i="2"/>
  <c r="BK49" i="2"/>
  <c r="BO49" i="2"/>
  <c r="BO113" i="2" l="1"/>
  <c r="CY113" i="2" s="1"/>
  <c r="CY111" i="2"/>
  <c r="BC109" i="2"/>
  <c r="CV88" i="2"/>
  <c r="DF6" i="2"/>
  <c r="DE26" i="2"/>
  <c r="DE38" i="2" s="1"/>
  <c r="DE13" i="2"/>
  <c r="CX88" i="2"/>
  <c r="BK109" i="2"/>
  <c r="CU109" i="2"/>
  <c r="AY111" i="2"/>
  <c r="BG113" i="2"/>
  <c r="BH109" i="2"/>
  <c r="CW88" i="2"/>
  <c r="DD26" i="2"/>
  <c r="DD38" i="2" s="1"/>
  <c r="DD13" i="2"/>
  <c r="BH111" i="2" l="1"/>
  <c r="CW109" i="2"/>
  <c r="DF26" i="2"/>
  <c r="DF38" i="2" s="1"/>
  <c r="DG6" i="2"/>
  <c r="BC111" i="2"/>
  <c r="CV109" i="2"/>
  <c r="CU111" i="2"/>
  <c r="AY113" i="2"/>
  <c r="CU113" i="2" s="1"/>
  <c r="CX109" i="2"/>
  <c r="BK111" i="2"/>
  <c r="DH6" i="2" l="1"/>
  <c r="DG26" i="2"/>
  <c r="DG38" i="2" s="1"/>
  <c r="BK113" i="2"/>
  <c r="CX113" i="2" s="1"/>
  <c r="CX111" i="2"/>
  <c r="BC113" i="2"/>
  <c r="CV113" i="2" s="1"/>
  <c r="CV111" i="2"/>
  <c r="BH113" i="2"/>
  <c r="CW113" i="2" s="1"/>
  <c r="CW111" i="2"/>
  <c r="DI6" i="2" l="1"/>
  <c r="DH26" i="2"/>
  <c r="DH38" i="2" s="1"/>
  <c r="DJ6" i="2" l="1"/>
  <c r="DI26" i="2"/>
  <c r="DI38" i="2" s="1"/>
  <c r="DK6" i="2" l="1"/>
  <c r="DJ26" i="2"/>
  <c r="DJ38" i="2" s="1"/>
  <c r="DL6" i="2" l="1"/>
  <c r="DK26" i="2"/>
  <c r="DK38" i="2" s="1"/>
  <c r="DL26" i="2" l="1"/>
  <c r="DL38" i="2" s="1"/>
  <c r="DM6" i="2"/>
  <c r="DN6" i="2" l="1"/>
  <c r="DM26" i="2"/>
  <c r="DM38" i="2" s="1"/>
  <c r="DN26" i="2" l="1"/>
  <c r="DN38" i="2" s="1"/>
  <c r="DO6" i="2"/>
  <c r="DP6" i="2" l="1"/>
  <c r="DO26" i="2"/>
  <c r="DO38" i="2" s="1"/>
  <c r="DQ6" i="2" l="1"/>
  <c r="DP26" i="2"/>
  <c r="DP38" i="2" s="1"/>
  <c r="DR6" i="2" l="1"/>
  <c r="DQ26" i="2"/>
  <c r="DQ38" i="2" s="1"/>
  <c r="DS6" i="2" l="1"/>
  <c r="DR26" i="2"/>
  <c r="DR38" i="2" s="1"/>
  <c r="DT6" i="2" l="1"/>
  <c r="DS26" i="2"/>
  <c r="DS38" i="2" s="1"/>
  <c r="DT26" i="2" l="1"/>
  <c r="DT38" i="2" s="1"/>
  <c r="DU6" i="2"/>
  <c r="DV6" i="2" l="1"/>
  <c r="DU26" i="2"/>
  <c r="DU38" i="2" s="1"/>
  <c r="DV26" i="2" l="1"/>
  <c r="DV38" i="2" s="1"/>
  <c r="DW6" i="2"/>
  <c r="DX6" i="2" l="1"/>
  <c r="DW26" i="2"/>
  <c r="DW38" i="2" s="1"/>
  <c r="DX26" i="2" l="1"/>
  <c r="DX38" i="2" s="1"/>
  <c r="DY6" i="2"/>
  <c r="DY26" i="2" l="1"/>
  <c r="DY38" i="2" s="1"/>
  <c r="DZ6" i="2"/>
  <c r="DZ26" i="2" l="1"/>
  <c r="DZ38" i="2" s="1"/>
  <c r="EA6" i="2"/>
  <c r="EB6" i="2" l="1"/>
  <c r="EA26" i="2"/>
  <c r="EA38" i="2" s="1"/>
  <c r="EB26" i="2" l="1"/>
  <c r="EB38" i="2" s="1"/>
  <c r="EC6" i="2"/>
  <c r="ED6" i="2" l="1"/>
  <c r="EC26" i="2"/>
  <c r="EC38" i="2" s="1"/>
  <c r="ED26" i="2" l="1"/>
  <c r="ED38" i="2" s="1"/>
  <c r="EE6" i="2"/>
  <c r="EE26" i="2" l="1"/>
  <c r="EE38" i="2" s="1"/>
  <c r="EF6" i="2"/>
  <c r="EF26" i="2" l="1"/>
  <c r="EF38" i="2" s="1"/>
  <c r="EG6" i="2"/>
  <c r="EG26" i="2" l="1"/>
  <c r="EG38" i="2" s="1"/>
  <c r="EH6" i="2"/>
  <c r="EH26" i="2" l="1"/>
  <c r="EH38" i="2" s="1"/>
  <c r="EI6" i="2"/>
  <c r="EI26" i="2" l="1"/>
  <c r="EI38" i="2" s="1"/>
  <c r="EJ6" i="2"/>
  <c r="EJ26" i="2" l="1"/>
  <c r="EJ38" i="2" s="1"/>
  <c r="EK6" i="2"/>
  <c r="EL6" i="2" l="1"/>
  <c r="EK26" i="2"/>
  <c r="EK38" i="2" s="1"/>
  <c r="EL26" i="2" l="1"/>
  <c r="EL38" i="2" s="1"/>
  <c r="EM6" i="2"/>
  <c r="EM26" i="2" l="1"/>
  <c r="EM38" i="2" s="1"/>
  <c r="EN6" i="2"/>
  <c r="EN26" i="2" l="1"/>
  <c r="EN38" i="2" s="1"/>
  <c r="EO6" i="2"/>
  <c r="EO26" i="2" l="1"/>
  <c r="EO38" i="2" s="1"/>
  <c r="EP6" i="2"/>
  <c r="EP26" i="2" l="1"/>
  <c r="EP38" i="2" s="1"/>
  <c r="EQ6" i="2"/>
  <c r="EQ26" i="2" l="1"/>
  <c r="EQ38" i="2" s="1"/>
  <c r="ER6" i="2"/>
  <c r="ER26" i="2" l="1"/>
  <c r="ER38" i="2" s="1"/>
  <c r="ES6" i="2"/>
  <c r="ES26" i="2" l="1"/>
  <c r="ES38" i="2" s="1"/>
  <c r="ET6" i="2"/>
  <c r="ET26" i="2" l="1"/>
  <c r="ET38" i="2" s="1"/>
  <c r="EU6" i="2"/>
  <c r="EU26" i="2" l="1"/>
  <c r="EU38" i="2" s="1"/>
  <c r="EV6" i="2"/>
  <c r="EV26" i="2" l="1"/>
  <c r="EV38" i="2" s="1"/>
  <c r="EW6" i="2"/>
  <c r="EW26" i="2" l="1"/>
  <c r="EW38" i="2" s="1"/>
  <c r="EX6" i="2"/>
  <c r="EX26" i="2" l="1"/>
  <c r="EX38" i="2" s="1"/>
  <c r="DI58" i="2" s="1"/>
  <c r="DI60" i="2" s="1"/>
  <c r="DI62" i="2" s="1"/>
  <c r="EY6" i="2"/>
  <c r="EY26" i="2" l="1"/>
  <c r="EY38" i="2" s="1"/>
  <c r="EZ6" i="2"/>
  <c r="DJ62" i="2"/>
  <c r="DH63" i="2" a="1"/>
  <c r="DH63" i="2" s="1"/>
  <c r="FA6" i="2" l="1"/>
  <c r="EZ26" i="2"/>
  <c r="EZ38" i="2" s="1"/>
  <c r="FA26" i="2" l="1"/>
  <c r="FA38" i="2" s="1"/>
  <c r="FB6" i="2"/>
  <c r="FB26" i="2" l="1"/>
  <c r="FB38" i="2" s="1"/>
  <c r="FC6" i="2"/>
  <c r="FC26" i="2" l="1"/>
  <c r="FC38" i="2" s="1"/>
  <c r="FD6" i="2"/>
  <c r="FD26" i="2" l="1"/>
  <c r="FD38" i="2" s="1"/>
  <c r="FE6" i="2"/>
  <c r="FE26" i="2" l="1"/>
  <c r="FE38" i="2" s="1"/>
  <c r="FF6" i="2"/>
  <c r="FF26" i="2" l="1"/>
  <c r="FF38" i="2" s="1"/>
  <c r="FG6" i="2"/>
  <c r="FG26" i="2" l="1"/>
  <c r="FG38" i="2" s="1"/>
  <c r="FH6" i="2"/>
  <c r="FH26" i="2" s="1"/>
  <c r="FH3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<sst xmlns="http://schemas.openxmlformats.org/spreadsheetml/2006/main" count="1934" uniqueCount="1117">
  <si>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</si>
  <si>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</si>
  <si>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</si>
  <si>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</si>
  <si>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</si>
  <si>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</si>
  <si>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</si>
  <si>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</si>
  <si>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</si>
  <si>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</si>
  <si>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</si>
  <si>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</si>
  <si>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</si>
  <si>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</si>
  <si>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</si>
  <si>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</si>
  <si>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</si>
  <si>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</si>
  <si>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</si>
  <si>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</si>
  <si>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</si>
  <si>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</si>
  <si>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</si>
  <si>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</si>
  <si>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</si>
  <si>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</si>
  <si>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</si>
  <si>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</si>
  <si>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</si>
  <si>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</si>
  <si>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</si>
  <si>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</si>
  <si>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</si>
  <si>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</si>
  <si>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</si>
  <si>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</si>
  <si>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</si>
  <si>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</si>
  <si>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</si>
  <si>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</si>
  <si>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</si>
  <si>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</si>
  <si>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</si>
  <si>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Q2 2008</t>
  </si>
  <si>
    <t>Q3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</si>
  <si>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</si>
  <si>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</si>
  <si>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</si>
  <si>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</si>
  <si>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</si>
  <si>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</si>
  <si>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</si>
  <si>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</si>
  <si>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</si>
  <si>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</si>
  <si>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</si>
  <si>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</si>
  <si>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</si>
  <si>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</si>
  <si>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</si>
  <si>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</si>
  <si>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</si>
  <si>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</si>
  <si>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</si>
  <si>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</si>
  <si>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</si>
  <si>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</si>
  <si>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</si>
  <si>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</si>
  <si>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</si>
  <si>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</si>
  <si>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</si>
  <si>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</si>
  <si>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</si>
  <si>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</si>
  <si>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</si>
  <si>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</si>
  <si>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</si>
  <si>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</si>
  <si>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</si>
  <si>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</si>
  <si>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</si>
  <si>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</si>
  <si>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</si>
  <si>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</si>
  <si>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</si>
  <si>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</si>
  <si>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</si>
  <si>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</si>
  <si>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</si>
  <si>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</si>
  <si>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</si>
  <si>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</si>
  <si>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</si>
  <si>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</si>
  <si>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</si>
  <si>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</si>
  <si>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</si>
  <si>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</si>
  <si>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</si>
  <si>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</si>
  <si>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</si>
  <si>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</si>
  <si>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</si>
  <si>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</si>
  <si>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</si>
  <si>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</si>
  <si>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</si>
  <si>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</si>
  <si>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</si>
  <si>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</si>
  <si>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</si>
  <si>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</si>
  <si>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</si>
  <si>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</si>
  <si>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</si>
  <si>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</si>
  <si>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</si>
  <si>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</si>
  <si>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</si>
  <si>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</si>
  <si>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Q1 2008</t>
  </si>
  <si>
    <t>Q4 2008</t>
  </si>
  <si>
    <t>U.S. Revenues</t>
  </si>
  <si>
    <t>U.S. % of Revenues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</si>
  <si>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</si>
  <si>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</si>
  <si>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</si>
  <si>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</si>
  <si>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</si>
  <si>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</si>
  <si>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</si>
  <si>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</si>
  <si>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>ST Investments</t>
  </si>
  <si>
    <t>Marketable Securities</t>
  </si>
  <si>
    <t>CFFO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</si>
  <si>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</si>
  <si>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</si>
  <si>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</si>
  <si>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</si>
  <si>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</si>
  <si>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</si>
  <si>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</si>
  <si>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</si>
  <si>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</si>
  <si>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</si>
  <si>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</si>
  <si>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</si>
  <si>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</si>
  <si>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</si>
  <si>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</si>
  <si>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</si>
  <si>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</si>
  <si>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</si>
  <si>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</si>
  <si>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</si>
  <si>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</si>
  <si>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</si>
  <si>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</si>
  <si>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</si>
  <si>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</si>
  <si>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</si>
  <si>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</si>
  <si>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</si>
  <si>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</si>
  <si>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</si>
  <si>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</si>
  <si>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</si>
  <si>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</si>
  <si>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</si>
  <si>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</si>
  <si>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</si>
  <si>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</si>
  <si>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</si>
  <si>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</si>
  <si>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</si>
  <si>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</si>
  <si>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</si>
  <si>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</si>
  <si>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</si>
  <si>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</si>
  <si>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NPV</t>
  </si>
  <si>
    <t>FV</t>
  </si>
  <si>
    <t>CP</t>
  </si>
  <si>
    <t>[Godel Snapshot of projected earnings/EPS + CFFO]</t>
  </si>
  <si>
    <t>VOO Historical Returns</t>
  </si>
  <si>
    <t>KO</t>
  </si>
  <si>
    <t>Coca-Cola Co. (KO)</t>
  </si>
  <si>
    <r>
      <t xml:space="preserve">The Coca-Cola Company, a beverage company, </t>
    </r>
    <r>
      <rPr>
        <b/>
        <sz val="11"/>
        <color theme="1"/>
        <rFont val="Calibre"/>
      </rPr>
      <t>manufactures, markets, and sells various nonalcoholic beverages</t>
    </r>
    <r>
      <rPr>
        <sz val="11"/>
        <color theme="1"/>
        <rFont val="Calibre"/>
      </rPr>
      <t xml:space="preserve"> worldwide.</t>
    </r>
  </si>
  <si>
    <r>
      <t xml:space="preserve">The company provides sparkling </t>
    </r>
    <r>
      <rPr>
        <b/>
        <sz val="11"/>
        <color theme="1"/>
        <rFont val="Calibre"/>
      </rPr>
      <t>soft drinks</t>
    </r>
    <r>
      <rPr>
        <sz val="11"/>
        <color theme="1"/>
        <rFont val="Calibre"/>
      </rPr>
      <t xml:space="preserve">; flavored and enhanced </t>
    </r>
    <r>
      <rPr>
        <b/>
        <sz val="11"/>
        <color theme="1"/>
        <rFont val="Calibre"/>
      </rPr>
      <t>water</t>
    </r>
    <r>
      <rPr>
        <sz val="11"/>
        <color theme="1"/>
        <rFont val="Calibre"/>
      </rPr>
      <t xml:space="preserve">, and </t>
    </r>
    <r>
      <rPr>
        <b/>
        <sz val="11"/>
        <color theme="1"/>
        <rFont val="Calibre"/>
      </rPr>
      <t>sports drinks</t>
    </r>
    <r>
      <rPr>
        <sz val="11"/>
        <color theme="1"/>
        <rFont val="Calibre"/>
      </rPr>
      <t xml:space="preserve">; </t>
    </r>
    <r>
      <rPr>
        <b/>
        <sz val="11"/>
        <color theme="1"/>
        <rFont val="Calibre"/>
      </rPr>
      <t>juice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dairy</t>
    </r>
    <r>
      <rPr>
        <sz val="11"/>
        <color theme="1"/>
        <rFont val="Calibre"/>
      </rPr>
      <t xml:space="preserve">, and </t>
    </r>
    <r>
      <rPr>
        <b/>
        <sz val="11"/>
        <color theme="1"/>
        <rFont val="Calibre"/>
      </rPr>
      <t>plant based</t>
    </r>
    <r>
      <rPr>
        <sz val="11"/>
        <color theme="1"/>
        <rFont val="Calibre"/>
      </rPr>
      <t xml:space="preserve"> beverages; </t>
    </r>
    <r>
      <rPr>
        <b/>
        <sz val="11"/>
        <color theme="1"/>
        <rFont val="Calibre"/>
      </rPr>
      <t>tea</t>
    </r>
    <r>
      <rPr>
        <sz val="11"/>
        <color theme="1"/>
        <rFont val="Calibre"/>
      </rPr>
      <t xml:space="preserve"> and </t>
    </r>
    <r>
      <rPr>
        <b/>
        <sz val="11"/>
        <color theme="1"/>
        <rFont val="Calibre"/>
      </rPr>
      <t>coffee</t>
    </r>
    <r>
      <rPr>
        <sz val="11"/>
        <color theme="1"/>
        <rFont val="Calibre"/>
      </rPr>
      <t xml:space="preserve">; and </t>
    </r>
    <r>
      <rPr>
        <b/>
        <sz val="11"/>
        <color theme="1"/>
        <rFont val="Calibre"/>
      </rPr>
      <t>energy</t>
    </r>
    <r>
      <rPr>
        <sz val="11"/>
        <color theme="1"/>
        <rFont val="Calibre"/>
      </rPr>
      <t xml:space="preserve"> </t>
    </r>
    <r>
      <rPr>
        <b/>
        <sz val="11"/>
        <color theme="1"/>
        <rFont val="Calibre"/>
      </rPr>
      <t>drinks</t>
    </r>
    <r>
      <rPr>
        <sz val="11"/>
        <color theme="1"/>
        <rFont val="Calibre"/>
      </rPr>
      <t>.</t>
    </r>
  </si>
  <si>
    <r>
      <t xml:space="preserve">It also offers </t>
    </r>
    <r>
      <rPr>
        <b/>
        <sz val="11"/>
        <color theme="1"/>
        <rFont val="Calibre"/>
      </rPr>
      <t>beverage concentrates and syrups</t>
    </r>
    <r>
      <rPr>
        <sz val="11"/>
        <color theme="1"/>
        <rFont val="Calibre"/>
      </rPr>
      <t xml:space="preserve">, as well as </t>
    </r>
    <r>
      <rPr>
        <b/>
        <sz val="11"/>
        <color theme="1"/>
        <rFont val="Calibre"/>
      </rPr>
      <t>fountain syrups to fountain retailers</t>
    </r>
    <r>
      <rPr>
        <sz val="11"/>
        <color theme="1"/>
        <rFont val="Calibre"/>
      </rPr>
      <t>, such as restaurants and convenience stores.</t>
    </r>
  </si>
  <si>
    <r>
      <t>It</t>
    </r>
    <r>
      <rPr>
        <b/>
        <sz val="11"/>
        <color theme="1"/>
        <rFont val="Calibre"/>
      </rPr>
      <t xml:space="preserve"> operates through a network of </t>
    </r>
    <r>
      <rPr>
        <sz val="11"/>
        <color theme="1"/>
        <rFont val="Calibre"/>
      </rPr>
      <t xml:space="preserve">independent bottling partners, distributors, wholesalers, and retailers, as well as through </t>
    </r>
    <r>
      <rPr>
        <b/>
        <sz val="11"/>
        <color theme="1"/>
        <rFont val="Calibre"/>
      </rPr>
      <t>bottling and distribution operators</t>
    </r>
    <r>
      <rPr>
        <sz val="11"/>
        <color theme="1"/>
        <rFont val="Calibre"/>
      </rPr>
      <t>.</t>
    </r>
  </si>
  <si>
    <t>The Company sells its products under the Coca-Cola, Diet Coke/Coca-Cola Light, Coca-Cola Zero Sugar, Fanta, Fresca, Schweppes, Sprite, Thums Up, Aquarius, Ciel, dogadan, Dasani, glacéau smartwater, glacéau vitaminwater, Ice Dew, I LOHAS, Powerade, Topo Chico, AdeS, Del Valle, fairlife, innocent, Minute Maid, Minute Maid Pulpy, Simply, Ayataka, BODYARMOR, Costa, FUZE TEA, Georgia, and Gold Peak brands.</t>
  </si>
  <si>
    <t>The Company sells its products in two forms:</t>
  </si>
  <si>
    <t>Concentrate Sales:</t>
  </si>
  <si>
    <t>The Company manufactures, markets, sells and distributes beverage syrups and concentrates which it sells to a network of bottlers to process further before distribution to end consumer points.</t>
  </si>
  <si>
    <t>Finished Product Sales:</t>
  </si>
  <si>
    <t>The Company generates revenues from branded merchandise, specialty products/limited edition offerings (small but growing segment)</t>
  </si>
  <si>
    <t>The Company has limited "in-house" bottling operations; they primarily franchise these operations to licensed firms.</t>
  </si>
  <si>
    <t>The Company has equity interest in many of their franchised bottling plants, and vertically integrates operations in markets that require greater control/oversight (Africa/parts of Asia). These earnings are recognized as Finished Good Revenues</t>
  </si>
  <si>
    <t xml:space="preserve">These Equity investments are managed by the Coca-Cola Bottling Investment Group (a subsidiary of The Company). Equity stakes have fluctuated throughout time. </t>
  </si>
  <si>
    <t>List of franchised bottlers:</t>
  </si>
  <si>
    <t>Ticker:</t>
  </si>
  <si>
    <t>Market(s):</t>
  </si>
  <si>
    <r>
      <rPr>
        <b/>
        <sz val="11"/>
        <color theme="1"/>
        <rFont val="Calibre"/>
      </rPr>
      <t>Coca-Cola Europacific</t>
    </r>
    <r>
      <rPr>
        <sz val="11"/>
        <color theme="1"/>
        <rFont val="Calibre"/>
      </rPr>
      <t xml:space="preserve"> (28% KO non-controlling stake)</t>
    </r>
  </si>
  <si>
    <t>CCEP</t>
  </si>
  <si>
    <t>Europe, Australia, New Zealand, Indonesia, other</t>
  </si>
  <si>
    <r>
      <rPr>
        <b/>
        <sz val="11"/>
        <color theme="1"/>
        <rFont val="Calibre"/>
      </rPr>
      <t>Coca-Cola FEMSA</t>
    </r>
    <r>
      <rPr>
        <sz val="11"/>
        <color theme="1"/>
        <rFont val="Calibre"/>
      </rPr>
      <t xml:space="preserve"> (20% KO non-controlling stake)</t>
    </r>
  </si>
  <si>
    <t>KOF</t>
  </si>
  <si>
    <t>Lat Am: Mexico, Brazil, Columbia, Argentina, other</t>
  </si>
  <si>
    <r>
      <rPr>
        <b/>
        <sz val="11"/>
        <color theme="1"/>
        <rFont val="Calibre"/>
      </rPr>
      <t>Coca-Cola HBC</t>
    </r>
    <r>
      <rPr>
        <sz val="11"/>
        <color theme="1"/>
        <rFont val="Calibre"/>
      </rPr>
      <t xml:space="preserve"> (23% KO non-controlling stake)</t>
    </r>
  </si>
  <si>
    <t>CCH.L</t>
  </si>
  <si>
    <t>Europe, Africa</t>
  </si>
  <si>
    <r>
      <rPr>
        <b/>
        <sz val="11"/>
        <color theme="1"/>
        <rFont val="Calibre"/>
      </rPr>
      <t>Arca Continental</t>
    </r>
    <r>
      <rPr>
        <sz val="11"/>
        <color theme="1"/>
        <rFont val="Calibre"/>
      </rPr>
      <t xml:space="preserve"> (28% KO non-controlling stake)</t>
    </r>
  </si>
  <si>
    <t>AC.MX</t>
  </si>
  <si>
    <t>Lat Am: Mexico, Ecuador, Peru, Argentina, and parts of the U.S. through Coca-Cola Southwest Beverages</t>
  </si>
  <si>
    <r>
      <rPr>
        <b/>
        <sz val="11"/>
        <color theme="1"/>
        <rFont val="Calibre"/>
      </rPr>
      <t>Embotelladora Andina</t>
    </r>
    <r>
      <rPr>
        <sz val="11"/>
        <color theme="1"/>
        <rFont val="Calibre"/>
      </rPr>
      <t xml:space="preserve"> (19% KO non-controlling stake)</t>
    </r>
  </si>
  <si>
    <t>AKO.A</t>
  </si>
  <si>
    <t>LatAm: Chile, Brazil, Argentina, Paraguay</t>
  </si>
  <si>
    <r>
      <rPr>
        <b/>
        <sz val="11"/>
        <color theme="1"/>
        <rFont val="Calibre"/>
      </rPr>
      <t>Coca-Cola Consolidated</t>
    </r>
    <r>
      <rPr>
        <sz val="11"/>
        <color theme="1"/>
        <rFont val="Calibre"/>
      </rPr>
      <t xml:space="preserve"> (Independent operator from KO)</t>
    </r>
  </si>
  <si>
    <t>COKE</t>
  </si>
  <si>
    <t>Largest independent bottler in the US, serving Southeast, Mid-Atlantic and Midwestern regions</t>
  </si>
  <si>
    <t>Liberty Coca-Cola Beverages</t>
  </si>
  <si>
    <t>Private</t>
  </si>
  <si>
    <t>Significant US bottler</t>
  </si>
  <si>
    <t>Smaller Regional Operators</t>
  </si>
  <si>
    <t>Global</t>
  </si>
  <si>
    <t>12/7/25</t>
  </si>
  <si>
    <t>Q3'25</t>
  </si>
  <si>
    <t>Concentrate Operations</t>
  </si>
  <si>
    <t>Finished Product Operations</t>
  </si>
  <si>
    <t>Concentrate % of Ttl Rev</t>
  </si>
  <si>
    <t>Finshed Product % of Ttl Rev</t>
  </si>
  <si>
    <t>Concentrate Growth Y/y</t>
  </si>
  <si>
    <t>Finish Product Growth Y/y</t>
  </si>
  <si>
    <t>International Revenues</t>
  </si>
  <si>
    <t>International % of Revenues</t>
  </si>
  <si>
    <t>U.S. Growth Y/y</t>
  </si>
  <si>
    <t>International Growth Y/y</t>
  </si>
  <si>
    <t>SG&amp;A</t>
  </si>
  <si>
    <t>Other</t>
  </si>
  <si>
    <t>OI</t>
  </si>
  <si>
    <t>Interest Income</t>
  </si>
  <si>
    <t>Interest Expenses</t>
  </si>
  <si>
    <t>Equity Income (Loss), net</t>
  </si>
  <si>
    <t>Other Income (Loss), net</t>
  </si>
  <si>
    <t>Pretax Income</t>
  </si>
  <si>
    <t>Taxes</t>
  </si>
  <si>
    <t>NI</t>
  </si>
  <si>
    <t>Less Non-Controlling Interest</t>
  </si>
  <si>
    <t>NI to Coca Cola Co.</t>
  </si>
  <si>
    <t>Shares</t>
  </si>
  <si>
    <t>EPS</t>
  </si>
  <si>
    <t>C &amp; CE's</t>
  </si>
  <si>
    <t>A/R, net</t>
  </si>
  <si>
    <t>Inv</t>
  </si>
  <si>
    <t>Prepaid Expenses</t>
  </si>
  <si>
    <t>Discount</t>
  </si>
  <si>
    <t>LT Equity Investment</t>
  </si>
  <si>
    <t>Other Investments</t>
  </si>
  <si>
    <t>Other Noncurrent Assets</t>
  </si>
  <si>
    <t>Q1'25</t>
  </si>
  <si>
    <t>Deffered Income Tax Assets</t>
  </si>
  <si>
    <t>PP&amp;E</t>
  </si>
  <si>
    <t>Trademarks</t>
  </si>
  <si>
    <t>Goodwill</t>
  </si>
  <si>
    <t>Other Intangible</t>
  </si>
  <si>
    <t>Ttl Assets</t>
  </si>
  <si>
    <t>A/P</t>
  </si>
  <si>
    <t>Loans and Notes Payable</t>
  </si>
  <si>
    <t>Current Portions of LT Debt</t>
  </si>
  <si>
    <t>Accrued Income Taxes</t>
  </si>
  <si>
    <t>LT Debt</t>
  </si>
  <si>
    <t>Other Liabilities</t>
  </si>
  <si>
    <t>Deffered Income Tax Liabilities</t>
  </si>
  <si>
    <t>Ttl Liabilities</t>
  </si>
  <si>
    <t>SE</t>
  </si>
  <si>
    <t>L + SE</t>
  </si>
  <si>
    <t>Dep. and Amm.</t>
  </si>
  <si>
    <t>SBC</t>
  </si>
  <si>
    <t>Deferred Taxes</t>
  </si>
  <si>
    <t>Equity (Income) Loss</t>
  </si>
  <si>
    <t>Currency Adj</t>
  </si>
  <si>
    <t>Significant (Gain) Loss</t>
  </si>
  <si>
    <t>Other Operating Charges</t>
  </si>
  <si>
    <t>Other Items</t>
  </si>
  <si>
    <t>Change in Operating Ass./Liab.</t>
  </si>
  <si>
    <t>Purchases of Investments</t>
  </si>
  <si>
    <t>Proceeds from Divestment</t>
  </si>
  <si>
    <t>Acquisition of Businesses</t>
  </si>
  <si>
    <t>Divestment from Businesses</t>
  </si>
  <si>
    <t>Purchases of PP&amp;E</t>
  </si>
  <si>
    <t>Disposal of PP&amp;E</t>
  </si>
  <si>
    <t>(Paid) Received from Hedging</t>
  </si>
  <si>
    <t>Other Investing Activities</t>
  </si>
  <si>
    <t>CFFI</t>
  </si>
  <si>
    <t>Issuance of Debt</t>
  </si>
  <si>
    <t>Payments of Loans</t>
  </si>
  <si>
    <t xml:space="preserve">Issuance of Stock </t>
  </si>
  <si>
    <t>Stock Repurchased</t>
  </si>
  <si>
    <t>Dividends</t>
  </si>
  <si>
    <t>Other Financing Activities</t>
  </si>
  <si>
    <t>CFA</t>
  </si>
  <si>
    <t>Effect of Exchange Rate</t>
  </si>
  <si>
    <t>Capex</t>
  </si>
  <si>
    <t>1.875% Notes Due 2026</t>
  </si>
  <si>
    <t>KO26</t>
  </si>
  <si>
    <t>New York Stock Exchange</t>
  </si>
  <si>
    <t>0.750% Notes Due 2026</t>
  </si>
  <si>
    <t>KO26C</t>
  </si>
  <si>
    <t>1.125% Notes Due 2027</t>
  </si>
  <si>
    <t>KO27</t>
  </si>
  <si>
    <t>0.125% Notes Due 2029</t>
  </si>
  <si>
    <t>KO29A</t>
  </si>
  <si>
    <t>KO29B</t>
  </si>
  <si>
    <t>0.400% Notes Due 2030</t>
  </si>
  <si>
    <t>KO30B</t>
  </si>
  <si>
    <t>1.250% Notes Due 2031</t>
  </si>
  <si>
    <t>KO31</t>
  </si>
  <si>
    <t>3.125% Notes Due 2032</t>
  </si>
  <si>
    <t>KO32</t>
  </si>
  <si>
    <t>0.375% Notes Due 2033</t>
  </si>
  <si>
    <t>KO33</t>
  </si>
  <si>
    <t>0.500% Notes Due 2033</t>
  </si>
  <si>
    <t>KO33A</t>
  </si>
  <si>
    <t>1.625% Notes Due 2035</t>
  </si>
  <si>
    <t>KO35</t>
  </si>
  <si>
    <t>1.100% Notes Due 2036</t>
  </si>
  <si>
    <t>KO36</t>
  </si>
  <si>
    <t>0.950% Notes Due 2036</t>
  </si>
  <si>
    <t>KO36A</t>
  </si>
  <si>
    <t>3.375% Notes Due 2037</t>
  </si>
  <si>
    <t>KO37</t>
  </si>
  <si>
    <t>0.800% Notes Due 2040</t>
  </si>
  <si>
    <t>KO40B</t>
  </si>
  <si>
    <t>1.000% Notes Due 2041</t>
  </si>
  <si>
    <t>KO41</t>
  </si>
  <si>
    <t>3.500% Notes Due 2044</t>
  </si>
  <si>
    <t>KO44</t>
  </si>
  <si>
    <t>3.750% Notes Due 2053</t>
  </si>
  <si>
    <t>KO53</t>
  </si>
  <si>
    <t>Founder(s): Dr. John Stith Pemberton</t>
  </si>
  <si>
    <t>Founded: 1886</t>
  </si>
  <si>
    <t>Headquarters: Atlanta, GA</t>
  </si>
  <si>
    <t>Current CEO: James Robert Quincey</t>
  </si>
  <si>
    <t>Employees: 69,700 (Q4'24)</t>
  </si>
  <si>
    <t>Industry: Beverages - Non-Alcoholic</t>
  </si>
  <si>
    <t>Sector: Consumer Staples</t>
  </si>
  <si>
    <t>IPO: September 5, 1919</t>
  </si>
  <si>
    <t>Fiscal Year: [January - December]</t>
  </si>
  <si>
    <t>Registered Exchange: NYSE</t>
  </si>
  <si>
    <t>Address: One Coca-Cola Plaza Atlanta, GA 30313 U.S.</t>
  </si>
  <si>
    <t>(404) 676 - 2121</t>
  </si>
  <si>
    <t>https://www.sec.gov/edgar/browse/?CIK=21344&amp;owner=exclude</t>
  </si>
  <si>
    <t>https://www.coca-colacompany.com/</t>
  </si>
  <si>
    <t>https://investors.coca-colacompany.com/</t>
  </si>
  <si>
    <t>https://seekingalpha.com/symbol/KO</t>
  </si>
  <si>
    <t>https://stockanalysis.com/stocks/ko/company/</t>
  </si>
  <si>
    <t>https://www.macrotrends.net/stocks/charts/KO/cocacola/income-statement</t>
  </si>
  <si>
    <t>https://www.gurufocus.com/term/wacc/KO</t>
  </si>
  <si>
    <t>Institutional Ownership Snapshot Q3'25</t>
  </si>
  <si>
    <t xml:space="preserve">Revenue Breakdown by Segment </t>
  </si>
  <si>
    <t>Fri, 05 Dec 2025 00:00:00 GMT</t>
  </si>
  <si>
    <t>Thu, 04 Dec 2025 00:00:00 GMT</t>
  </si>
  <si>
    <t>Wed, 03 Dec 2025 00:00:00 GMT</t>
  </si>
  <si>
    <t>Tue, 02 Dec 2025 00:00:00 GMT</t>
  </si>
  <si>
    <t>Mon, 01 Dec 2025 00:00:00 GMT</t>
  </si>
  <si>
    <t>Fri, 28 Nov 2025 00:00:00 GMT</t>
  </si>
  <si>
    <t>Wed, 26 Nov 2025 00:00:00 GMT</t>
  </si>
  <si>
    <t>Tue, 25 Nov 2025 00:00:00 GMT</t>
  </si>
  <si>
    <t>Mon, 24 Nov 2025 00:00:00 GMT</t>
  </si>
  <si>
    <t>Fri, 21 Nov 2025 00:00:00 GMT</t>
  </si>
  <si>
    <t>Thu, 20 Nov 2025 00:00:00 GMT</t>
  </si>
  <si>
    <t>Wed, 19 Nov 2025 00:00:00 GMT</t>
  </si>
  <si>
    <t>Tue, 18 Nov 2025 00:00:00 GMT</t>
  </si>
  <si>
    <t>Mon, 17 Nov 2025 00:00:00 GMT</t>
  </si>
  <si>
    <t>Fri, 14 Nov 2025 00:00:00 GMT</t>
  </si>
  <si>
    <t>Thu, 13 Nov 2025 00:00:00 GMT</t>
  </si>
  <si>
    <t>Wed, 12 Nov 2025 00:00:00 GMT</t>
  </si>
  <si>
    <t>Tue, 11 Nov 2025 00:00:00 GMT</t>
  </si>
  <si>
    <t>Mon, 10 Nov 2025 00:00:00 GMT</t>
  </si>
  <si>
    <t>Fri, 07 Nov 2025 00:00:00 GMT</t>
  </si>
  <si>
    <t>Thu, 06 Nov 2025 00:00:00 GMT</t>
  </si>
  <si>
    <t>Wed, 05 Nov 2025 00:00:00 GMT</t>
  </si>
  <si>
    <t>Tue, 04 Nov 2025 00:00:00 GMT</t>
  </si>
  <si>
    <t>Mon, 03 Nov 2025 00:00:00 GMT</t>
  </si>
  <si>
    <t>Fri, 31 Oct 2025 00:00:00 GMT</t>
  </si>
  <si>
    <t>Thu, 30 Oct 2025 00:00:00 GMT</t>
  </si>
  <si>
    <t>Wed, 29 Oct 2025 00:00:00 GMT</t>
  </si>
  <si>
    <t>Tue, 28 Oct 2025 00:00:00 GMT</t>
  </si>
  <si>
    <t>Mon, 27 Oct 2025 00:00:00 GMT</t>
  </si>
  <si>
    <t>Fri, 24 Oct 2025 00:00:00 GMT</t>
  </si>
  <si>
    <t>Thu, 23 Oct 2025 00:00:00 GMT</t>
  </si>
  <si>
    <t>Wed, 22 Oct 2025 00:00:00 GMT</t>
  </si>
  <si>
    <t>Tue, 21 Oct 2025 00:00:00 GMT</t>
  </si>
  <si>
    <t>Mon, 20 Oct 2025 00:00:00 GMT</t>
  </si>
  <si>
    <t>Fri, 17 Oct 2025 00:00:00 GMT</t>
  </si>
  <si>
    <t>Thu, 16 Oct 2025 00:00:00 GMT</t>
  </si>
  <si>
    <t>Wed, 15 Oct 2025 00:00:00 GMT</t>
  </si>
  <si>
    <t>Tue, 14 Oct 2025 00:00:00 GMT</t>
  </si>
  <si>
    <t>Mon, 13 Oct 2025 00:00:00 GMT</t>
  </si>
  <si>
    <t>Fri, 10 Oct 2025 00:00:00 GMT</t>
  </si>
  <si>
    <t>Thu, 09 Oct 2025 00:00:00 GMT</t>
  </si>
  <si>
    <t>Wed, 08 Oct 2025 00:00:00 GMT</t>
  </si>
  <si>
    <t>Tue, 07 Oct 2025 00:00:00 GMT</t>
  </si>
  <si>
    <t>Mon, 06 Oct 2025 00:00:00 GMT</t>
  </si>
  <si>
    <t>Fri, 03 Oct 2025 00:00:00 GMT</t>
  </si>
  <si>
    <t>Thu, 02 Oct 2025 00:00:00 GMT</t>
  </si>
  <si>
    <t>Wed, 01 Oct 2025 00:00:00 GMT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</si>
  <si>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</si>
  <si>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</si>
  <si>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</si>
  <si>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</si>
  <si>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</si>
  <si>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</si>
  <si>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</si>
  <si>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</si>
  <si>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</si>
  <si>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</si>
  <si>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</si>
  <si>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</si>
  <si>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</si>
  <si>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</si>
  <si>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</si>
  <si>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</si>
  <si>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</si>
  <si>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</si>
  <si>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</si>
  <si>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</si>
  <si>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</si>
  <si>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</si>
  <si>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</si>
  <si>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</si>
  <si>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</si>
  <si>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</si>
  <si>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</si>
  <si>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</si>
  <si>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</si>
  <si>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</si>
  <si>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</si>
  <si>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</si>
  <si>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</si>
  <si>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</si>
  <si>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</si>
  <si>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</si>
  <si>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</si>
  <si>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</si>
  <si>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</si>
  <si>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</si>
  <si>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</si>
  <si>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</si>
  <si>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</si>
  <si>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</si>
  <si>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</si>
  <si>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</si>
  <si>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</si>
  <si>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</si>
  <si>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</si>
  <si>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</si>
  <si>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</si>
  <si>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</si>
  <si>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</si>
  <si>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</si>
  <si>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</si>
  <si>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</si>
  <si>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</si>
  <si>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</si>
  <si>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</si>
  <si>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</si>
  <si>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</si>
  <si>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</si>
  <si>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</si>
  <si>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</si>
  <si>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</si>
  <si>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</si>
  <si>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</si>
  <si>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</si>
  <si>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</si>
  <si>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</si>
  <si>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</si>
  <si>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</si>
  <si>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</si>
  <si>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</si>
  <si>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</si>
  <si>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</si>
  <si>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</si>
  <si>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</si>
  <si>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</si>
  <si>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</si>
  <si>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</si>
  <si>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</si>
  <si>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</si>
  <si>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</si>
  <si>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</si>
  <si>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</si>
  <si>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</si>
  <si>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</si>
  <si>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</si>
  <si>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</si>
  <si>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</si>
  <si>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</si>
  <si>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</si>
  <si>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</si>
  <si>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</si>
  <si>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</si>
  <si>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</si>
  <si>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</si>
  <si>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</si>
  <si>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</si>
  <si>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</si>
  <si>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</si>
  <si>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</si>
  <si>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</si>
  <si>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</si>
  <si>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</si>
  <si>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</si>
  <si>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</si>
  <si>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</si>
  <si>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</si>
  <si>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</si>
  <si>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</si>
  <si>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</si>
  <si>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</si>
  <si>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</si>
  <si>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</si>
  <si>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</si>
  <si>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</si>
  <si>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</si>
  <si>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</si>
  <si>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</si>
  <si>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</si>
  <si>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</si>
  <si>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</si>
  <si>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</si>
  <si>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</si>
  <si>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</si>
  <si>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</si>
  <si>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</si>
  <si>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</si>
  <si>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</si>
  <si>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</si>
  <si>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</si>
  <si>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</si>
  <si>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</si>
  <si>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</si>
  <si>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</si>
  <si>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</si>
  <si>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</si>
  <si>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</si>
  <si>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</si>
  <si>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</si>
  <si>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</si>
  <si>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</si>
  <si>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</si>
  <si>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</si>
  <si>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</si>
  <si>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</si>
  <si>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</si>
  <si>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</si>
  <si>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</si>
  <si>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</si>
  <si>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</si>
  <si>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</si>
  <si>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</si>
  <si>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</si>
  <si>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</si>
  <si>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</si>
  <si>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</si>
  <si>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</si>
  <si>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</si>
  <si>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</si>
  <si>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</si>
  <si>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</si>
  <si>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</si>
  <si>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</si>
  <si>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</si>
  <si>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</si>
  <si>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</si>
  <si>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</si>
  <si>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</si>
  <si>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</si>
  <si>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</si>
  <si>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</si>
  <si>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</si>
  <si>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</si>
  <si>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</si>
  <si>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</si>
  <si>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</si>
  <si>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</si>
  <si>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</si>
  <si>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</si>
  <si>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</si>
  <si>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</si>
  <si>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</si>
  <si>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</si>
  <si>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</si>
  <si>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</si>
  <si>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</si>
  <si>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</si>
  <si>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</si>
  <si>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</si>
  <si>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</si>
  <si>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</si>
  <si>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</si>
  <si>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</si>
  <si>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</si>
  <si>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</si>
  <si>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</si>
  <si>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</si>
  <si>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</si>
  <si>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</si>
  <si>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</si>
  <si>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</si>
  <si>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</si>
  <si>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</si>
  <si>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</si>
  <si>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</si>
  <si>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</si>
  <si>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</si>
  <si>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</si>
  <si>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</si>
  <si>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</si>
  <si>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</si>
  <si>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</si>
  <si>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</si>
  <si>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</si>
  <si>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</si>
  <si>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</si>
  <si>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</si>
  <si>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</si>
  <si>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</si>
  <si>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</si>
  <si>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</si>
  <si>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</si>
  <si>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</si>
  <si>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</si>
  <si>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</si>
  <si>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</si>
  <si>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</si>
  <si>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</si>
  <si>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</si>
  <si>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</si>
  <si>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</si>
  <si>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</si>
  <si>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</si>
  <si>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</si>
  <si>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</si>
  <si>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</si>
  <si>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</si>
  <si>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</si>
  <si>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</si>
  <si>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</si>
  <si>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</si>
  <si>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</si>
  <si>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</si>
  <si>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</si>
  <si>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</si>
  <si>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</si>
  <si>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</si>
  <si>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</si>
  <si>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</si>
  <si>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</si>
  <si>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</si>
  <si>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</si>
  <si>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</si>
  <si>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</si>
  <si>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</si>
  <si>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</si>
  <si>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</si>
  <si>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</si>
  <si>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</si>
  <si>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</si>
  <si>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</si>
  <si>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</si>
  <si>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</si>
  <si>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</si>
  <si>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</si>
  <si>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</si>
  <si>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</si>
  <si>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</si>
  <si>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</si>
  <si>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</si>
  <si>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</si>
  <si>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</si>
  <si>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</si>
  <si>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</si>
  <si>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</si>
  <si>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</si>
  <si>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</si>
  <si>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</si>
  <si>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</si>
  <si>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</si>
  <si>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</si>
  <si>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</si>
  <si>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</si>
  <si>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</si>
  <si>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</si>
  <si>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</si>
  <si>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</si>
  <si>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</si>
  <si>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</si>
  <si>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</si>
  <si>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</si>
  <si>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</si>
  <si>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</si>
  <si>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</si>
  <si>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</si>
  <si>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</si>
  <si>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</si>
  <si>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</si>
  <si>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</si>
  <si>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</si>
  <si>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</si>
  <si>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</si>
  <si>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</si>
  <si>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</si>
  <si>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</si>
  <si>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</si>
  <si>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</si>
  <si>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</si>
  <si>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</si>
  <si>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</si>
  <si>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</si>
  <si>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</si>
  <si>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</si>
  <si>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</si>
  <si>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</si>
  <si>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</si>
  <si>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</si>
  <si>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</si>
  <si>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</si>
  <si>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</si>
  <si>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</si>
  <si>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</si>
  <si>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</si>
  <si>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</si>
  <si>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</si>
  <si>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</si>
  <si>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</si>
  <si>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</si>
  <si>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</si>
  <si>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</si>
  <si>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</si>
  <si>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</si>
  <si>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</si>
  <si>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</si>
  <si>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</si>
  <si>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</si>
  <si>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</si>
  <si>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</si>
  <si>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</si>
  <si>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</si>
  <si>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</si>
  <si>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</si>
  <si>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</si>
  <si>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</si>
  <si>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</si>
  <si>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</si>
  <si>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</si>
  <si>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</si>
  <si>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</si>
  <si>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</si>
  <si>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</si>
  <si>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</si>
  <si>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</si>
  <si>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</si>
  <si>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</si>
  <si>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</si>
  <si>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</si>
  <si>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</si>
  <si>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</si>
  <si>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</si>
  <si>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</si>
  <si>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</si>
  <si>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</si>
  <si>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</si>
  <si>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</si>
  <si>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</si>
  <si>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</si>
  <si>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</si>
  <si>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</si>
  <si>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</si>
  <si>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</si>
  <si>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</si>
  <si>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</si>
  <si>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</si>
  <si>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</si>
  <si>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</si>
  <si>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</si>
  <si>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</si>
  <si>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</si>
  <si>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</si>
  <si>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</si>
  <si>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</si>
  <si>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</si>
  <si>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</si>
  <si>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</si>
  <si>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</si>
  <si>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</si>
  <si>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</si>
  <si>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</si>
  <si>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</si>
  <si>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</si>
  <si>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</si>
  <si>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</si>
  <si>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</si>
  <si>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</si>
  <si>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</si>
  <si>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</si>
  <si>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</si>
  <si>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</si>
  <si>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</si>
  <si>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</si>
  <si>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</si>
  <si>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</si>
  <si>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</si>
  <si>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</si>
  <si>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</si>
  <si>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</si>
  <si>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</si>
  <si>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</si>
  <si>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</si>
  <si>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</si>
  <si>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</si>
  <si>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</si>
  <si>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</si>
  <si>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</si>
  <si>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</si>
  <si>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</si>
  <si>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</si>
  <si>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</si>
  <si>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</si>
  <si>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</si>
  <si>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</si>
  <si>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</si>
  <si>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</si>
  <si>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</si>
  <si>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</si>
  <si>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</si>
  <si>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</si>
  <si>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</si>
  <si>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</si>
  <si>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</si>
  <si>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</si>
  <si>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</si>
  <si>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</si>
  <si>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</si>
  <si>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</si>
  <si>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</si>
  <si>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</si>
  <si>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</si>
  <si>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</si>
  <si>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</si>
  <si>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</si>
  <si>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</si>
  <si>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</si>
  <si>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</si>
  <si>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</si>
  <si>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</si>
  <si>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</si>
  <si>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</si>
  <si>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</si>
  <si>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</si>
  <si>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</si>
  <si>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</si>
  <si>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</si>
  <si>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</si>
  <si>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</si>
  <si>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</si>
  <si>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</si>
  <si>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</si>
  <si>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</si>
  <si>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</si>
  <si>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</si>
  <si>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</si>
  <si>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</si>
  <si>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</si>
  <si>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</si>
  <si>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</si>
  <si>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</si>
  <si>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</si>
  <si>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</si>
  <si>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</si>
  <si>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</si>
  <si>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</si>
  <si>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</si>
  <si>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</si>
  <si>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</si>
  <si>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</si>
  <si>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</si>
  <si>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</si>
  <si>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</si>
  <si>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</si>
  <si>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</si>
  <si>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</si>
  <si>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</si>
  <si>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</si>
  <si>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</si>
  <si>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</si>
  <si>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</si>
  <si>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</si>
  <si>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</si>
  <si>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</si>
  <si>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</si>
  <si>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</si>
  <si>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</si>
  <si>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</si>
  <si>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</si>
  <si>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</si>
  <si>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</si>
  <si>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</si>
  <si>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</si>
  <si>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</si>
  <si>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</si>
  <si>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</si>
  <si>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</si>
  <si>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</si>
  <si>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</si>
  <si>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</si>
  <si>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</si>
  <si>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</si>
  <si>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</si>
  <si>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</si>
  <si>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</si>
  <si>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</si>
  <si>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</si>
  <si>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</si>
  <si>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</si>
  <si>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</si>
  <si>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</si>
  <si>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</si>
  <si>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</si>
  <si>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</si>
  <si>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</si>
  <si>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</si>
  <si>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</si>
  <si>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</si>
  <si>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</si>
  <si>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</si>
  <si>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</si>
  <si>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</si>
  <si>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</si>
  <si>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</si>
  <si>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</si>
  <si>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</si>
  <si>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</si>
  <si>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</si>
  <si>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</si>
  <si>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</si>
  <si>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</si>
  <si>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</si>
  <si>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</si>
  <si>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</si>
  <si>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</si>
  <si>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</si>
  <si>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</si>
  <si>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</si>
  <si>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</si>
  <si>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</si>
  <si>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</si>
  <si>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</si>
  <si>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</si>
  <si>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</si>
  <si>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</si>
  <si>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</si>
  <si>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</si>
  <si>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</si>
  <si>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</si>
  <si>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</si>
  <si>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</si>
  <si>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</si>
  <si>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</si>
  <si>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</si>
  <si>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</si>
  <si>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</si>
  <si>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</si>
  <si>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</si>
  <si>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</si>
  <si>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</si>
  <si>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</si>
  <si>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</si>
  <si>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</si>
  <si>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</si>
  <si>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</si>
  <si>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</si>
  <si>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</si>
  <si>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</si>
  <si>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</si>
  <si>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</si>
  <si>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</si>
  <si>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</si>
  <si>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</si>
  <si>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</si>
  <si>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</si>
  <si>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</si>
  <si>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</si>
  <si>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</si>
  <si>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</si>
  <si>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</si>
  <si>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</si>
  <si>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</si>
  <si>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</si>
  <si>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</si>
  <si>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</si>
  <si>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</si>
  <si>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</si>
  <si>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</si>
  <si>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</si>
  <si>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</si>
  <si>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</si>
  <si>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</si>
  <si>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</si>
  <si>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</si>
  <si>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</si>
  <si>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</si>
  <si>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</si>
  <si>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</si>
  <si>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</si>
  <si>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</si>
  <si>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</si>
  <si>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</si>
  <si>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</si>
  <si>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</si>
  <si>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</si>
  <si>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</si>
  <si>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</si>
  <si>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</si>
  <si>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</si>
  <si>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</si>
  <si>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</si>
  <si>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</si>
  <si>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</si>
  <si>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</si>
  <si>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</si>
  <si>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</si>
  <si>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</si>
  <si>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</si>
  <si>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</si>
  <si>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</si>
  <si>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</si>
  <si>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</si>
  <si>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</si>
  <si>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</si>
  <si>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</si>
  <si>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</si>
  <si>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</si>
  <si>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</si>
  <si>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</si>
  <si>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</si>
  <si>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</si>
  <si>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</si>
  <si>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</si>
  <si>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</si>
  <si>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</si>
  <si>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</si>
  <si>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</si>
  <si>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</si>
  <si>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</si>
  <si>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</si>
  <si>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</si>
  <si>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</si>
  <si>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</si>
  <si>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</si>
  <si>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</si>
  <si>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</si>
  <si>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</si>
  <si>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</si>
  <si>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</si>
  <si>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</si>
  <si>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</si>
  <si>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</si>
  <si>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</si>
  <si>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</si>
  <si>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</si>
  <si>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</si>
  <si>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</si>
  <si>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</si>
  <si>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</si>
  <si>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</si>
  <si>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</si>
  <si>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</si>
  <si>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</si>
  <si>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</si>
  <si>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</si>
  <si>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</si>
  <si>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</si>
  <si>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</si>
  <si>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</si>
  <si>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</si>
  <si>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</si>
  <si>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</si>
  <si>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</si>
  <si>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</si>
  <si>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</si>
  <si>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</si>
  <si>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</si>
  <si>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</si>
  <si>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</si>
  <si>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</si>
  <si>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</si>
  <si>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</si>
  <si>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</si>
  <si>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</si>
  <si>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</si>
  <si>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</si>
  <si>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</si>
  <si>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</si>
  <si>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</si>
  <si>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</si>
  <si>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</si>
  <si>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</si>
  <si>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</si>
  <si>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</si>
  <si>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</si>
  <si>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</si>
  <si>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r>
      <t xml:space="preserve">753 Trading Days? (From: </t>
    </r>
    <r>
      <rPr>
        <i/>
        <sz val="11"/>
        <color theme="1"/>
        <rFont val="Calibre"/>
      </rPr>
      <t>12/7/22 - 12/7/25</t>
    </r>
    <r>
      <rPr>
        <sz val="11"/>
        <color theme="1"/>
        <rFont val="Calibre"/>
      </rPr>
      <t>)</t>
    </r>
  </si>
  <si>
    <t>KO Historical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</si>
</sst>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b/>
      <u/>
      <sz val="11"/>
      <color theme="1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9" fontId="13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10" fontId="2" fillId="0" borderId="0" xfId="1" applyNumberFormat="1" applyFont="1"/>
    <xf numFmtId="0" fontId="17" fillId="0" borderId="0" xfId="0" applyFont="1" applyAlignment="1">
      <alignment horizontal="center"/>
    </xf>
    <xf numFmtId="44" fontId="2" fillId="0" borderId="0" xfId="0" applyNumberFormat="1" applyFont="1"/>
    <xf numFmtId="164" fontId="2" fillId="0" borderId="0" xfId="0" applyNumberFormat="1" applyFont="1"/>
    <xf numFmtId="0" fontId="18" fillId="0" borderId="0" xfId="0" applyFont="1"/>
    <xf numFmtId="1" fontId="13" fillId="0" borderId="0" xfId="0" applyNumberFormat="1" applyFont="1"/>
    <xf numFmtId="166" fontId="2" fillId="0" borderId="0" xfId="0" applyNumberFormat="1" applyFont="1"/>
    <xf numFmtId="166" fontId="13" fillId="0" borderId="0" xfId="0" applyNumberFormat="1" applyFont="1"/>
    <xf numFmtId="9" fontId="2" fillId="0" borderId="0" xfId="0" applyNumberFormat="1" applyFont="1"/>
    <xf numFmtId="1" fontId="12" fillId="0" borderId="0" xfId="0" applyNumberFormat="1" applyFont="1"/>
    <xf numFmtId="10" fontId="13" fillId="0" borderId="0" xfId="0" applyNumberFormat="1" applyFont="1"/>
    <xf numFmtId="167" fontId="13" fillId="0" borderId="0" xfId="0" applyNumberFormat="1" applyFont="1"/>
    <xf numFmtId="0" fontId="19" fillId="0" borderId="0" xfId="0" applyFont="1"/>
    <xf numFmtId="0" fontId="19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Historical Return Histogram + Normal Distribution Overlay</a:t>
            </a:r>
          </a:p>
        </c:rich>
      </c:tx>
      <c:layout>
        <c:manualLayout>
          <c:xMode val="edge"/>
          <c:yMode val="edge"/>
          <c:x val="0.30108591378517141"/>
          <c:y val="1.8888948670044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Analysis'!$S$209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Analysis'!$S$211:$S$273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Analysis'!$T$211:$T$273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Analysis'!$V$209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Analysis'!$V$211:$V$273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Analysis'!$W$211:$W$273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Analysis'!$Y$211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Analysis'!$Z$211:$Z$212</c:f>
              <c:numCache>
                <c:formatCode>0.00%</c:formatCode>
                <c:ptCount val="2"/>
                <c:pt idx="0">
                  <c:v>4.4248316329117852E-6</c:v>
                </c:pt>
                <c:pt idx="1">
                  <c:v>4.4248316329117852E-6</c:v>
                </c:pt>
              </c:numCache>
            </c:numRef>
          </c:xVal>
          <c:yVal>
            <c:numRef>
              <c:f>'Notes | Quant Analysis'!$AA$211:$AA$212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Analysis'!$Y$213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Analysis'!$Z$213:$Z$214</c:f>
              <c:numCache>
                <c:formatCode>0.00%</c:formatCode>
                <c:ptCount val="2"/>
                <c:pt idx="0">
                  <c:v>-2.4275522728330411E-2</c:v>
                </c:pt>
                <c:pt idx="1">
                  <c:v>-2.4275522728330411E-2</c:v>
                </c:pt>
              </c:numCache>
            </c:numRef>
          </c:xVal>
          <c:yVal>
            <c:numRef>
              <c:f>'Notes | Quant Analysis'!$AA$213:$AA$214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Analysis'!$Y$215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Analysis'!$Z$215:$Z$216</c:f>
              <c:numCache>
                <c:formatCode>0.00%</c:formatCode>
                <c:ptCount val="2"/>
                <c:pt idx="0">
                  <c:v>-1.6182206875009302E-2</c:v>
                </c:pt>
                <c:pt idx="1">
                  <c:v>-1.6182206875009302E-2</c:v>
                </c:pt>
              </c:numCache>
            </c:numRef>
          </c:xVal>
          <c:yVal>
            <c:numRef>
              <c:f>'Notes | Quant Analysis'!$AA$215:$AA$216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Analysis'!$Y$217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Analysis'!$Z$217:$Z$218</c:f>
              <c:numCache>
                <c:formatCode>0.00%</c:formatCode>
                <c:ptCount val="2"/>
                <c:pt idx="0">
                  <c:v>-8.0888910216881955E-3</c:v>
                </c:pt>
                <c:pt idx="1">
                  <c:v>-8.0888910216881955E-3</c:v>
                </c:pt>
              </c:numCache>
            </c:numRef>
          </c:xVal>
          <c:yVal>
            <c:numRef>
              <c:f>'Notes | Quant Analysis'!$AA$217:$AA$218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Analysis'!$Y$219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Analysis'!$Z$219:$Z$220</c:f>
              <c:numCache>
                <c:formatCode>0.00%</c:formatCode>
                <c:ptCount val="2"/>
                <c:pt idx="0">
                  <c:v>8.097740684954018E-3</c:v>
                </c:pt>
                <c:pt idx="1">
                  <c:v>8.097740684954018E-3</c:v>
                </c:pt>
              </c:numCache>
            </c:numRef>
          </c:xVal>
          <c:yVal>
            <c:numRef>
              <c:f>'Notes | Quant Analysis'!$AA$219:$AA$220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Analysis'!$Y$221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Analysis'!$Z$221:$Z$222</c:f>
              <c:numCache>
                <c:formatCode>0.00%</c:formatCode>
                <c:ptCount val="2"/>
                <c:pt idx="0">
                  <c:v>1.6191056538275125E-2</c:v>
                </c:pt>
                <c:pt idx="1">
                  <c:v>1.6191056538275125E-2</c:v>
                </c:pt>
              </c:numCache>
            </c:numRef>
          </c:xVal>
          <c:yVal>
            <c:numRef>
              <c:f>'Notes | Quant Analysis'!$AA$221:$AA$222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Analysis'!$Y$223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Analysis'!$Z$223:$Z$224</c:f>
              <c:numCache>
                <c:formatCode>0.00%</c:formatCode>
                <c:ptCount val="2"/>
                <c:pt idx="0">
                  <c:v>2.4284372391596233E-2</c:v>
                </c:pt>
                <c:pt idx="1">
                  <c:v>2.4284372391596233E-2</c:v>
                </c:pt>
              </c:numCache>
            </c:numRef>
          </c:xVal>
          <c:yVal>
            <c:numRef>
              <c:f>'Notes | Quant Analysis'!$AA$223:$AA$224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11206</xdr:colOff>
      <xdr:row>2</xdr:row>
      <xdr:rowOff>11206</xdr:rowOff>
    </xdr:from>
    <xdr:to>
      <xdr:col>8</xdr:col>
      <xdr:colOff>1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5DED4-D662-49FF-5155-0F2F0086A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800" r="7201"/>
        <a:stretch>
          <a:fillRect/>
        </a:stretch>
      </xdr:blipFill>
      <xdr:spPr>
        <a:xfrm>
          <a:off x="2823882" y="381000"/>
          <a:ext cx="1804148" cy="1064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0</xdr:row>
      <xdr:rowOff>0</xdr:rowOff>
    </xdr:from>
    <xdr:to>
      <xdr:col>71</xdr:col>
      <xdr:colOff>0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4700825" y="0"/>
          <a:ext cx="0" cy="2377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0</xdr:row>
      <xdr:rowOff>0</xdr:rowOff>
    </xdr:from>
    <xdr:to>
      <xdr:col>103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17318</xdr:colOff>
      <xdr:row>2</xdr:row>
      <xdr:rowOff>17318</xdr:rowOff>
    </xdr:from>
    <xdr:to>
      <xdr:col>25</xdr:col>
      <xdr:colOff>57149</xdr:colOff>
      <xdr:row>28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8B33BB-E606-9CDC-4413-E5BB73128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70818" y="388793"/>
          <a:ext cx="5526231" cy="4688032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2</xdr:row>
      <xdr:rowOff>9525</xdr:rowOff>
    </xdr:from>
    <xdr:to>
      <xdr:col>36</xdr:col>
      <xdr:colOff>0</xdr:colOff>
      <xdr:row>32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9DF959-B918-2E60-92A9-8E36F1230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58950" y="381000"/>
          <a:ext cx="6686550" cy="5419725"/>
        </a:xfrm>
        <a:prstGeom prst="rect">
          <a:avLst/>
        </a:prstGeom>
      </xdr:spPr>
    </xdr:pic>
    <xdr:clientData/>
  </xdr:twoCellAnchor>
  <xdr:twoCellAnchor editAs="oneCell">
    <xdr:from>
      <xdr:col>16</xdr:col>
      <xdr:colOff>13606</xdr:colOff>
      <xdr:row>36</xdr:row>
      <xdr:rowOff>13606</xdr:rowOff>
    </xdr:from>
    <xdr:to>
      <xdr:col>25</xdr:col>
      <xdr:colOff>0</xdr:colOff>
      <xdr:row>64</xdr:row>
      <xdr:rowOff>18769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956A66-479B-4FAC-BC3A-E3A507F8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94320" y="6408963"/>
          <a:ext cx="5497287" cy="49853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</xdr:rowOff>
    </xdr:from>
    <xdr:to>
      <xdr:col>10</xdr:col>
      <xdr:colOff>0</xdr:colOff>
      <xdr:row>25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C6DC9-13AB-48B7-BAFB-1F5651B7B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90500"/>
          <a:ext cx="5476875" cy="450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file:///C:\Users\User\Desktop\Equity%20Research\Models\Health%20Care\MedTech\SYK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W1" t="str">
            <v>Q1 2020</v>
          </cell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oca-colacompany.com/" TargetMode="External"/><Relationship Id="rId1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4"/>
  <sheetViews>
    <sheetView tabSelected="1" zoomScale="85" zoomScaleNormal="85" workbookViewId="0">
      <selection activeCell="J6" sqref="J6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186</v>
      </c>
    </row>
    <row r="3" spans="2:18">
      <c r="B3" s="1" t="s">
        <v>0</v>
      </c>
      <c r="C3" s="55">
        <v>69.63</v>
      </c>
      <c r="D3" s="42" t="s">
        <v>227</v>
      </c>
    </row>
    <row r="4" spans="2:18">
      <c r="B4" s="1" t="s">
        <v>1</v>
      </c>
      <c r="C4" s="1">
        <v>4308</v>
      </c>
      <c r="D4" s="1" t="s">
        <v>228</v>
      </c>
    </row>
    <row r="5" spans="2:18">
      <c r="B5" s="1" t="s">
        <v>2</v>
      </c>
      <c r="C5" s="56">
        <f>C4*C3</f>
        <v>299966.03999999998</v>
      </c>
    </row>
    <row r="6" spans="2:18">
      <c r="B6" s="1" t="s">
        <v>3</v>
      </c>
      <c r="C6" s="56">
        <f>13938+2439</f>
        <v>16377</v>
      </c>
      <c r="D6" s="1" t="s">
        <v>228</v>
      </c>
    </row>
    <row r="7" spans="2:18">
      <c r="B7" s="1" t="s">
        <v>4</v>
      </c>
      <c r="C7" s="56">
        <f>2203+1067+42994</f>
        <v>46264</v>
      </c>
      <c r="D7" s="1" t="s">
        <v>228</v>
      </c>
    </row>
    <row r="8" spans="2:18">
      <c r="B8" s="1" t="s">
        <v>5</v>
      </c>
      <c r="C8" s="56">
        <f>C5-C6+C7</f>
        <v>329853.03999999998</v>
      </c>
    </row>
    <row r="10" spans="2:18" ht="15">
      <c r="B10" s="2" t="s">
        <v>187</v>
      </c>
    </row>
    <row r="12" spans="2:18" ht="15">
      <c r="B12" s="1" t="s">
        <v>341</v>
      </c>
      <c r="F12" s="1" t="s">
        <v>350</v>
      </c>
      <c r="N12" s="1" t="s">
        <v>164</v>
      </c>
      <c r="Q12" s="2"/>
    </row>
    <row r="13" spans="2:18">
      <c r="B13" s="1" t="s">
        <v>342</v>
      </c>
      <c r="F13" s="1" t="s">
        <v>351</v>
      </c>
      <c r="N13" s="1" t="s">
        <v>7</v>
      </c>
      <c r="Q13" s="43" t="s">
        <v>353</v>
      </c>
    </row>
    <row r="14" spans="2:18">
      <c r="B14" s="1" t="s">
        <v>343</v>
      </c>
      <c r="F14" s="1" t="s">
        <v>6</v>
      </c>
      <c r="N14" s="1" t="s">
        <v>168</v>
      </c>
      <c r="Q14" s="43" t="s">
        <v>354</v>
      </c>
    </row>
    <row r="15" spans="2:18">
      <c r="B15" s="1" t="s">
        <v>344</v>
      </c>
      <c r="F15" s="1" t="s">
        <v>161</v>
      </c>
      <c r="O15" s="1" t="s">
        <v>167</v>
      </c>
      <c r="R15" s="43" t="s">
        <v>355</v>
      </c>
    </row>
    <row r="16" spans="2:18">
      <c r="B16" s="1" t="s">
        <v>345</v>
      </c>
      <c r="F16" s="1" t="s">
        <v>155</v>
      </c>
      <c r="G16" s="1" t="s">
        <v>352</v>
      </c>
      <c r="I16" s="1" t="s">
        <v>156</v>
      </c>
      <c r="N16" s="1" t="s">
        <v>158</v>
      </c>
      <c r="Q16" s="43" t="s">
        <v>356</v>
      </c>
    </row>
    <row r="17" spans="1:17">
      <c r="B17" s="1" t="s">
        <v>346</v>
      </c>
      <c r="N17" s="1" t="s">
        <v>159</v>
      </c>
      <c r="Q17" s="43" t="s">
        <v>357</v>
      </c>
    </row>
    <row r="18" spans="1:17">
      <c r="B18" s="1" t="s">
        <v>347</v>
      </c>
      <c r="N18" s="1" t="s">
        <v>169</v>
      </c>
      <c r="Q18" s="43" t="s">
        <v>358</v>
      </c>
    </row>
    <row r="19" spans="1:17">
      <c r="B19" s="1" t="s">
        <v>348</v>
      </c>
      <c r="N19" s="1" t="s">
        <v>170</v>
      </c>
      <c r="Q19" s="43" t="s">
        <v>359</v>
      </c>
    </row>
    <row r="20" spans="1:17">
      <c r="B20" s="1" t="s">
        <v>349</v>
      </c>
      <c r="N20" s="1" t="s">
        <v>8</v>
      </c>
      <c r="Q20" s="43" t="s">
        <v>160</v>
      </c>
    </row>
    <row r="21" spans="1:17">
      <c r="Q21" s="43"/>
    </row>
    <row r="22" spans="1:17" ht="15">
      <c r="A22" s="2" t="s">
        <v>9</v>
      </c>
      <c r="N22" s="2"/>
    </row>
    <row r="23" spans="1:17" ht="15">
      <c r="B23" s="1" t="s">
        <v>188</v>
      </c>
    </row>
    <row r="24" spans="1:17" ht="15">
      <c r="C24" s="1" t="s">
        <v>189</v>
      </c>
    </row>
    <row r="25" spans="1:17" ht="15">
      <c r="C25" s="1" t="s">
        <v>190</v>
      </c>
    </row>
    <row r="26" spans="1:17" ht="15">
      <c r="B26" s="1" t="s">
        <v>191</v>
      </c>
    </row>
    <row r="28" spans="1:17" ht="15">
      <c r="A28" s="2" t="s">
        <v>162</v>
      </c>
    </row>
    <row r="29" spans="1:17">
      <c r="B29" s="1" t="s">
        <v>192</v>
      </c>
    </row>
    <row r="30" spans="1:17">
      <c r="B30" s="1" t="s">
        <v>193</v>
      </c>
    </row>
    <row r="31" spans="1:17">
      <c r="C31" s="1" t="s">
        <v>194</v>
      </c>
      <c r="F31" s="1" t="s">
        <v>195</v>
      </c>
    </row>
    <row r="32" spans="1:17">
      <c r="C32" s="1" t="s">
        <v>196</v>
      </c>
      <c r="F32" s="1" t="s">
        <v>197</v>
      </c>
    </row>
    <row r="33" spans="6:13">
      <c r="F33" s="1" t="s">
        <v>198</v>
      </c>
    </row>
    <row r="34" spans="6:13">
      <c r="G34" s="1" t="s">
        <v>199</v>
      </c>
    </row>
    <row r="35" spans="6:13">
      <c r="G35" s="1" t="s">
        <v>200</v>
      </c>
    </row>
    <row r="36" spans="6:13" ht="15">
      <c r="F36" s="57" t="s">
        <v>201</v>
      </c>
      <c r="G36" s="2"/>
      <c r="H36" s="2"/>
      <c r="I36" s="2"/>
      <c r="J36" s="2"/>
      <c r="K36" s="2"/>
      <c r="L36" s="57" t="s">
        <v>202</v>
      </c>
      <c r="M36" s="57" t="s">
        <v>203</v>
      </c>
    </row>
    <row r="37" spans="6:13" ht="15">
      <c r="F37" s="1" t="s">
        <v>204</v>
      </c>
      <c r="L37" s="1" t="s">
        <v>205</v>
      </c>
      <c r="M37" s="1" t="s">
        <v>206</v>
      </c>
    </row>
    <row r="38" spans="6:13" ht="15">
      <c r="F38" s="1" t="s">
        <v>207</v>
      </c>
      <c r="L38" s="1" t="s">
        <v>208</v>
      </c>
      <c r="M38" s="1" t="s">
        <v>209</v>
      </c>
    </row>
    <row r="39" spans="6:13" ht="15">
      <c r="F39" s="1" t="s">
        <v>210</v>
      </c>
      <c r="L39" s="1" t="s">
        <v>211</v>
      </c>
      <c r="M39" s="1" t="s">
        <v>212</v>
      </c>
    </row>
    <row r="40" spans="6:13" ht="15">
      <c r="F40" s="1" t="s">
        <v>213</v>
      </c>
      <c r="L40" s="1" t="s">
        <v>214</v>
      </c>
      <c r="M40" s="1" t="s">
        <v>215</v>
      </c>
    </row>
    <row r="41" spans="6:13" ht="15">
      <c r="F41" s="1" t="s">
        <v>216</v>
      </c>
      <c r="L41" s="1" t="s">
        <v>217</v>
      </c>
      <c r="M41" s="1" t="s">
        <v>218</v>
      </c>
    </row>
    <row r="42" spans="6:13" ht="15">
      <c r="F42" s="1" t="s">
        <v>219</v>
      </c>
      <c r="L42" s="1" t="s">
        <v>220</v>
      </c>
      <c r="M42" s="1" t="s">
        <v>221</v>
      </c>
    </row>
    <row r="43" spans="6:13">
      <c r="F43" s="1" t="s">
        <v>222</v>
      </c>
      <c r="L43" s="1" t="s">
        <v>223</v>
      </c>
      <c r="M43" s="1" t="s">
        <v>224</v>
      </c>
    </row>
    <row r="44" spans="6:13">
      <c r="F44" s="1" t="s">
        <v>225</v>
      </c>
      <c r="L44" s="1" t="s">
        <v>223</v>
      </c>
      <c r="M44" s="1" t="s">
        <v>226</v>
      </c>
    </row>
  </sheetData>
  <hyperlinks>
    <hyperlink ref="Q20" r:id="rId1" xr:uid="{14375537-5C3D-4253-9650-337AB6789785}"/>
    <hyperlink ref="Q14" r:id="rId2" xr:uid="{D5B95063-829F-4351-8C04-3C872753E7E9}"/>
  </hyperlinks>
  <pageMargins left="0.7" right="0.7" top="0.75" bottom="0.75" header="0.3" footer="0.3"/>
  <ignoredErrors>
    <ignoredError sqref="D3" twoDigitTextYea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J347"/>
  <sheetViews>
    <sheetView zoomScale="85" zoomScaleNormal="85" workbookViewId="0">
      <pane xSplit="2" ySplit="3" topLeftCell="CH4" activePane="bottomRight" state="frozen"/>
      <selection pane="topRight" activeCell="C1" sqref="C1"/>
      <selection pane="bottomLeft" activeCell="A4" sqref="A4"/>
      <selection pane="bottomRight" activeCell="CV46" sqref="CV46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1" width="9.140625" style="1"/>
    <col min="72" max="78" width="9.140625" style="36"/>
    <col min="79" max="103" width="9.140625" style="1"/>
    <col min="104" max="165" width="9.140625" style="36"/>
    <col min="166" max="16384" width="9.140625" style="1"/>
  </cols>
  <sheetData>
    <row r="1" spans="2:166" ht="15">
      <c r="B1" s="1" t="s">
        <v>117</v>
      </c>
      <c r="AY1" s="34" t="s">
        <v>89</v>
      </c>
      <c r="BC1" s="34" t="s">
        <v>93</v>
      </c>
      <c r="BG1" s="34" t="s">
        <v>97</v>
      </c>
      <c r="BK1" s="34" t="s">
        <v>101</v>
      </c>
      <c r="BO1" s="34" t="s">
        <v>105</v>
      </c>
      <c r="BS1" s="34" t="s">
        <v>109</v>
      </c>
    </row>
    <row r="2" spans="2:166">
      <c r="B2" s="1" t="s">
        <v>118</v>
      </c>
    </row>
    <row r="3" spans="2:166" ht="15">
      <c r="B3" s="2" t="s">
        <v>119</v>
      </c>
      <c r="C3" s="2" t="s">
        <v>121</v>
      </c>
      <c r="D3" s="34" t="s">
        <v>43</v>
      </c>
      <c r="E3" s="34" t="s">
        <v>44</v>
      </c>
      <c r="F3" s="34" t="s">
        <v>122</v>
      </c>
      <c r="G3" s="34" t="s">
        <v>45</v>
      </c>
      <c r="H3" s="34" t="s">
        <v>46</v>
      </c>
      <c r="I3" s="34" t="s">
        <v>47</v>
      </c>
      <c r="J3" s="34" t="s">
        <v>48</v>
      </c>
      <c r="K3" s="34" t="s">
        <v>49</v>
      </c>
      <c r="L3" s="34" t="s">
        <v>50</v>
      </c>
      <c r="M3" s="34" t="s">
        <v>51</v>
      </c>
      <c r="N3" s="34" t="s">
        <v>52</v>
      </c>
      <c r="O3" s="34" t="s">
        <v>53</v>
      </c>
      <c r="P3" s="34" t="s">
        <v>54</v>
      </c>
      <c r="Q3" s="34" t="s">
        <v>55</v>
      </c>
      <c r="R3" s="34" t="s">
        <v>56</v>
      </c>
      <c r="S3" s="34" t="s">
        <v>57</v>
      </c>
      <c r="T3" s="34" t="s">
        <v>58</v>
      </c>
      <c r="U3" s="34" t="s">
        <v>59</v>
      </c>
      <c r="V3" s="34" t="s">
        <v>60</v>
      </c>
      <c r="W3" s="34" t="s">
        <v>61</v>
      </c>
      <c r="X3" s="34" t="s">
        <v>62</v>
      </c>
      <c r="Y3" s="34" t="s">
        <v>63</v>
      </c>
      <c r="Z3" s="34" t="s">
        <v>64</v>
      </c>
      <c r="AA3" s="34" t="s">
        <v>65</v>
      </c>
      <c r="AB3" s="34" t="s">
        <v>66</v>
      </c>
      <c r="AC3" s="34" t="s">
        <v>67</v>
      </c>
      <c r="AD3" s="34" t="s">
        <v>68</v>
      </c>
      <c r="AE3" s="34" t="s">
        <v>69</v>
      </c>
      <c r="AF3" s="34" t="s">
        <v>70</v>
      </c>
      <c r="AG3" s="34" t="s">
        <v>71</v>
      </c>
      <c r="AH3" s="34" t="s">
        <v>72</v>
      </c>
      <c r="AI3" s="34" t="s">
        <v>73</v>
      </c>
      <c r="AJ3" s="34" t="s">
        <v>74</v>
      </c>
      <c r="AK3" s="34" t="s">
        <v>75</v>
      </c>
      <c r="AL3" s="34" t="s">
        <v>76</v>
      </c>
      <c r="AM3" s="34" t="s">
        <v>77</v>
      </c>
      <c r="AN3" s="34" t="s">
        <v>78</v>
      </c>
      <c r="AO3" s="34" t="s">
        <v>79</v>
      </c>
      <c r="AP3" s="34" t="s">
        <v>80</v>
      </c>
      <c r="AQ3" s="34" t="s">
        <v>81</v>
      </c>
      <c r="AR3" s="34" t="s">
        <v>82</v>
      </c>
      <c r="AS3" s="34" t="s">
        <v>83</v>
      </c>
      <c r="AT3" s="34" t="s">
        <v>84</v>
      </c>
      <c r="AU3" s="34" t="s">
        <v>85</v>
      </c>
      <c r="AV3" s="34" t="s">
        <v>86</v>
      </c>
      <c r="AW3" s="34" t="s">
        <v>87</v>
      </c>
      <c r="AX3" s="34" t="s">
        <v>88</v>
      </c>
      <c r="AY3" s="34" t="s">
        <v>89</v>
      </c>
      <c r="AZ3" s="34" t="s">
        <v>90</v>
      </c>
      <c r="BA3" s="34" t="s">
        <v>91</v>
      </c>
      <c r="BB3" s="34" t="s">
        <v>92</v>
      </c>
      <c r="BC3" s="34" t="s">
        <v>93</v>
      </c>
      <c r="BD3" s="34" t="s">
        <v>94</v>
      </c>
      <c r="BE3" s="34" t="s">
        <v>95</v>
      </c>
      <c r="BF3" s="34" t="s">
        <v>96</v>
      </c>
      <c r="BG3" s="34" t="s">
        <v>97</v>
      </c>
      <c r="BH3" s="34" t="s">
        <v>98</v>
      </c>
      <c r="BI3" s="34" t="s">
        <v>99</v>
      </c>
      <c r="BJ3" s="34" t="s">
        <v>100</v>
      </c>
      <c r="BK3" s="34" t="s">
        <v>101</v>
      </c>
      <c r="BL3" s="34" t="s">
        <v>102</v>
      </c>
      <c r="BM3" s="34" t="s">
        <v>103</v>
      </c>
      <c r="BN3" s="34" t="s">
        <v>104</v>
      </c>
      <c r="BO3" s="34" t="s">
        <v>105</v>
      </c>
      <c r="BP3" s="34" t="s">
        <v>106</v>
      </c>
      <c r="BQ3" s="34" t="s">
        <v>107</v>
      </c>
      <c r="BR3" s="34" t="s">
        <v>108</v>
      </c>
      <c r="BS3" s="34" t="s">
        <v>109</v>
      </c>
      <c r="BT3" s="35" t="s">
        <v>110</v>
      </c>
      <c r="BU3" s="35" t="s">
        <v>111</v>
      </c>
      <c r="BV3" s="35" t="s">
        <v>112</v>
      </c>
      <c r="BW3" s="35" t="s">
        <v>113</v>
      </c>
      <c r="BX3" s="35" t="s">
        <v>114</v>
      </c>
      <c r="BY3" s="35" t="s">
        <v>115</v>
      </c>
      <c r="BZ3" s="35" t="s">
        <v>116</v>
      </c>
      <c r="CI3" s="2">
        <v>2008</v>
      </c>
      <c r="CJ3" s="2">
        <f>CI3+1</f>
        <v>2009</v>
      </c>
      <c r="CK3" s="2">
        <f t="shared" ref="CK3:EV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35">
        <f t="shared" si="0"/>
        <v>2025</v>
      </c>
      <c r="DA3" s="35">
        <f t="shared" si="0"/>
        <v>2026</v>
      </c>
      <c r="DB3" s="35">
        <f t="shared" si="0"/>
        <v>2027</v>
      </c>
      <c r="DC3" s="35">
        <f t="shared" si="0"/>
        <v>2028</v>
      </c>
      <c r="DD3" s="35">
        <f t="shared" si="0"/>
        <v>2029</v>
      </c>
      <c r="DE3" s="35">
        <f t="shared" si="0"/>
        <v>2030</v>
      </c>
      <c r="DF3" s="35">
        <f t="shared" si="0"/>
        <v>2031</v>
      </c>
      <c r="DG3" s="35">
        <f t="shared" si="0"/>
        <v>2032</v>
      </c>
      <c r="DH3" s="35">
        <f t="shared" si="0"/>
        <v>2033</v>
      </c>
      <c r="DI3" s="35">
        <f t="shared" si="0"/>
        <v>2034</v>
      </c>
      <c r="DJ3" s="35">
        <f t="shared" si="0"/>
        <v>2035</v>
      </c>
      <c r="DK3" s="35">
        <f t="shared" si="0"/>
        <v>2036</v>
      </c>
      <c r="DL3" s="35">
        <f t="shared" si="0"/>
        <v>2037</v>
      </c>
      <c r="DM3" s="35">
        <f t="shared" si="0"/>
        <v>2038</v>
      </c>
      <c r="DN3" s="35">
        <f t="shared" si="0"/>
        <v>2039</v>
      </c>
      <c r="DO3" s="35">
        <f t="shared" si="0"/>
        <v>2040</v>
      </c>
      <c r="DP3" s="35">
        <f t="shared" si="0"/>
        <v>2041</v>
      </c>
      <c r="DQ3" s="35">
        <f t="shared" si="0"/>
        <v>2042</v>
      </c>
      <c r="DR3" s="35">
        <f t="shared" si="0"/>
        <v>2043</v>
      </c>
      <c r="DS3" s="35">
        <f t="shared" si="0"/>
        <v>2044</v>
      </c>
      <c r="DT3" s="35">
        <f t="shared" si="0"/>
        <v>2045</v>
      </c>
      <c r="DU3" s="35">
        <f t="shared" si="0"/>
        <v>2046</v>
      </c>
      <c r="DV3" s="35">
        <f t="shared" si="0"/>
        <v>2047</v>
      </c>
      <c r="DW3" s="35">
        <f t="shared" si="0"/>
        <v>2048</v>
      </c>
      <c r="DX3" s="35">
        <f t="shared" si="0"/>
        <v>2049</v>
      </c>
      <c r="DY3" s="35">
        <f t="shared" si="0"/>
        <v>2050</v>
      </c>
      <c r="DZ3" s="35">
        <f t="shared" si="0"/>
        <v>2051</v>
      </c>
      <c r="EA3" s="35">
        <f t="shared" si="0"/>
        <v>2052</v>
      </c>
      <c r="EB3" s="35">
        <f t="shared" si="0"/>
        <v>2053</v>
      </c>
      <c r="EC3" s="35">
        <f t="shared" si="0"/>
        <v>2054</v>
      </c>
      <c r="ED3" s="35">
        <f t="shared" si="0"/>
        <v>2055</v>
      </c>
      <c r="EE3" s="35">
        <f t="shared" si="0"/>
        <v>2056</v>
      </c>
      <c r="EF3" s="35">
        <f t="shared" si="0"/>
        <v>2057</v>
      </c>
      <c r="EG3" s="35">
        <f t="shared" si="0"/>
        <v>2058</v>
      </c>
      <c r="EH3" s="35">
        <f t="shared" si="0"/>
        <v>2059</v>
      </c>
      <c r="EI3" s="35">
        <f t="shared" si="0"/>
        <v>2060</v>
      </c>
      <c r="EJ3" s="35">
        <f t="shared" si="0"/>
        <v>2061</v>
      </c>
      <c r="EK3" s="35">
        <f t="shared" si="0"/>
        <v>2062</v>
      </c>
      <c r="EL3" s="35">
        <f t="shared" si="0"/>
        <v>2063</v>
      </c>
      <c r="EM3" s="35">
        <f t="shared" si="0"/>
        <v>2064</v>
      </c>
      <c r="EN3" s="35">
        <f t="shared" si="0"/>
        <v>2065</v>
      </c>
      <c r="EO3" s="35">
        <f t="shared" si="0"/>
        <v>2066</v>
      </c>
      <c r="EP3" s="35">
        <f t="shared" si="0"/>
        <v>2067</v>
      </c>
      <c r="EQ3" s="35">
        <f t="shared" si="0"/>
        <v>2068</v>
      </c>
      <c r="ER3" s="35">
        <f t="shared" si="0"/>
        <v>2069</v>
      </c>
      <c r="ES3" s="35">
        <f t="shared" si="0"/>
        <v>2070</v>
      </c>
      <c r="ET3" s="35">
        <f t="shared" si="0"/>
        <v>2071</v>
      </c>
      <c r="EU3" s="35">
        <f t="shared" si="0"/>
        <v>2072</v>
      </c>
      <c r="EV3" s="35">
        <f t="shared" si="0"/>
        <v>2073</v>
      </c>
      <c r="EW3" s="35">
        <f t="shared" ref="EW3:FG3" si="1">EV3+1</f>
        <v>2074</v>
      </c>
      <c r="EX3" s="35">
        <f t="shared" si="1"/>
        <v>2075</v>
      </c>
      <c r="EY3" s="35">
        <f t="shared" si="1"/>
        <v>2076</v>
      </c>
      <c r="EZ3" s="35">
        <f t="shared" si="1"/>
        <v>2077</v>
      </c>
      <c r="FA3" s="35">
        <f t="shared" si="1"/>
        <v>2078</v>
      </c>
      <c r="FB3" s="35">
        <f t="shared" si="1"/>
        <v>2079</v>
      </c>
      <c r="FC3" s="35">
        <f t="shared" si="1"/>
        <v>2080</v>
      </c>
      <c r="FD3" s="35">
        <f t="shared" si="1"/>
        <v>2081</v>
      </c>
      <c r="FE3" s="35">
        <f t="shared" si="1"/>
        <v>2082</v>
      </c>
      <c r="FF3" s="35">
        <f t="shared" si="1"/>
        <v>2083</v>
      </c>
      <c r="FG3" s="35">
        <f t="shared" si="1"/>
        <v>2084</v>
      </c>
      <c r="FH3" s="35"/>
      <c r="FI3" s="35"/>
      <c r="FJ3" s="2"/>
    </row>
    <row r="4" spans="2:166">
      <c r="B4" s="1" t="s">
        <v>229</v>
      </c>
      <c r="AY4" s="1">
        <v>4789</v>
      </c>
      <c r="AZ4" s="1">
        <v>4215</v>
      </c>
      <c r="BA4" s="1">
        <v>5079</v>
      </c>
      <c r="BB4" s="1">
        <f>18582-SUM(AY4:BA4)</f>
        <v>4499</v>
      </c>
      <c r="BC4" s="1">
        <v>4982</v>
      </c>
      <c r="BD4" s="1">
        <v>5994</v>
      </c>
      <c r="BE4" s="1">
        <v>5871</v>
      </c>
      <c r="BF4" s="1">
        <f>21799-SUM(BC4:BE4)</f>
        <v>4952</v>
      </c>
      <c r="BG4" s="1">
        <v>5724</v>
      </c>
      <c r="BH4" s="1">
        <v>6365</v>
      </c>
      <c r="BI4" s="1">
        <v>6574</v>
      </c>
      <c r="BJ4" s="1">
        <f>24071-SUM(BG4:BI4)</f>
        <v>5408</v>
      </c>
      <c r="BK4" s="1">
        <v>6333</v>
      </c>
      <c r="BL4" s="1">
        <v>7050</v>
      </c>
      <c r="BM4" s="1">
        <v>7212</v>
      </c>
      <c r="BN4" s="1">
        <f>26539-SUM(BK4:BM4)</f>
        <v>5944</v>
      </c>
      <c r="BO4" s="1">
        <v>6655</v>
      </c>
      <c r="BP4" s="1">
        <v>7494</v>
      </c>
      <c r="BQ4" s="1">
        <v>7058</v>
      </c>
      <c r="BR4" s="1">
        <f>27725-SUM(BO4:BQ4)</f>
        <v>6518</v>
      </c>
      <c r="BS4" s="1">
        <v>7183</v>
      </c>
      <c r="CU4" s="1">
        <f>SUM(AY4:BB4)</f>
        <v>18582</v>
      </c>
      <c r="CV4" s="1">
        <f>SUM(BC4:BF4)</f>
        <v>21799</v>
      </c>
      <c r="CW4" s="1">
        <f>SUM(BG4:BJ4)</f>
        <v>24071</v>
      </c>
      <c r="CX4" s="1">
        <f>SUM(BK4:BN4)</f>
        <v>26539</v>
      </c>
      <c r="CY4" s="1">
        <f>SUM(BO4:BR4)</f>
        <v>27725</v>
      </c>
      <c r="CZ4" s="36">
        <f>CY4*(1+CZ11)</f>
        <v>29111.25</v>
      </c>
      <c r="DA4" s="36">
        <f t="shared" ref="DA4:DE5" si="2">CZ4*(1+DA11)</f>
        <v>31149.037500000002</v>
      </c>
      <c r="DB4" s="36">
        <f t="shared" si="2"/>
        <v>33640.960500000001</v>
      </c>
      <c r="DC4" s="36">
        <f t="shared" si="2"/>
        <v>36332.237340000007</v>
      </c>
      <c r="DD4" s="36">
        <f t="shared" si="2"/>
        <v>38148.849207000007</v>
      </c>
      <c r="DE4" s="36">
        <f t="shared" si="2"/>
        <v>39674.803175280009</v>
      </c>
      <c r="FI4" s="1"/>
    </row>
    <row r="5" spans="2:166">
      <c r="B5" s="1" t="s">
        <v>230</v>
      </c>
      <c r="AY5" s="1">
        <v>3812</v>
      </c>
      <c r="AZ5" s="1">
        <v>2935</v>
      </c>
      <c r="BA5" s="1">
        <v>3573</v>
      </c>
      <c r="BB5" s="1">
        <f>14432-SUM(AY5:BA5)</f>
        <v>4112</v>
      </c>
      <c r="BC5" s="1">
        <v>4038</v>
      </c>
      <c r="BD5" s="1">
        <v>4135</v>
      </c>
      <c r="BE5" s="1">
        <v>4171</v>
      </c>
      <c r="BF5" s="1">
        <f>16856-SUM(BC5:BE5)</f>
        <v>4512</v>
      </c>
      <c r="BG5" s="1">
        <v>4767</v>
      </c>
      <c r="BH5" s="1">
        <v>4960</v>
      </c>
      <c r="BI5" s="1">
        <v>4489</v>
      </c>
      <c r="BJ5" s="1">
        <f>18933-SUM(BG5:BI5)</f>
        <v>4717</v>
      </c>
      <c r="BK5" s="1">
        <v>4647</v>
      </c>
      <c r="BL5" s="1">
        <v>4922</v>
      </c>
      <c r="BM5" s="1">
        <v>4741</v>
      </c>
      <c r="BN5" s="1">
        <f>19215-SUM(BK5:BM5)</f>
        <v>4905</v>
      </c>
      <c r="BO5" s="1">
        <v>4645</v>
      </c>
      <c r="BP5" s="1">
        <v>4869</v>
      </c>
      <c r="BQ5" s="1">
        <v>4796</v>
      </c>
      <c r="BR5" s="1">
        <f>19336-SUM(BO5:BQ5)</f>
        <v>5026</v>
      </c>
      <c r="BS5" s="1">
        <v>3946</v>
      </c>
      <c r="CU5" s="1">
        <f>SUM(AY5:BB5)</f>
        <v>14432</v>
      </c>
      <c r="CV5" s="1">
        <f>SUM(BC5:BF5)</f>
        <v>16856</v>
      </c>
      <c r="CW5" s="1">
        <f>SUM(BG5:BJ5)</f>
        <v>18933</v>
      </c>
      <c r="CX5" s="1">
        <f>SUM(BK5:BN5)</f>
        <v>19215</v>
      </c>
      <c r="CY5" s="1">
        <f>SUM(BO5:BR5)</f>
        <v>19336</v>
      </c>
      <c r="CZ5" s="36">
        <f>CY5*(1+CZ12)</f>
        <v>20109.440000000002</v>
      </c>
      <c r="DA5" s="36">
        <f t="shared" si="2"/>
        <v>20712.723200000004</v>
      </c>
      <c r="DB5" s="36">
        <f t="shared" si="2"/>
        <v>21334.104896000004</v>
      </c>
      <c r="DC5" s="36">
        <f t="shared" si="2"/>
        <v>21974.128042880006</v>
      </c>
      <c r="DD5" s="36">
        <f t="shared" si="2"/>
        <v>22413.610603737605</v>
      </c>
      <c r="DE5" s="36">
        <f t="shared" si="2"/>
        <v>22861.882815812358</v>
      </c>
      <c r="FI5" s="1"/>
    </row>
    <row r="6" spans="2:166" ht="15">
      <c r="B6" s="2" t="s">
        <v>120</v>
      </c>
      <c r="AY6" s="1">
        <f t="shared" ref="AY6:BN6" si="3">AY5+AY4</f>
        <v>8601</v>
      </c>
      <c r="AZ6" s="1">
        <f t="shared" si="3"/>
        <v>7150</v>
      </c>
      <c r="BA6" s="1">
        <f t="shared" si="3"/>
        <v>8652</v>
      </c>
      <c r="BB6" s="1">
        <f t="shared" si="3"/>
        <v>8611</v>
      </c>
      <c r="BC6" s="1">
        <f t="shared" si="3"/>
        <v>9020</v>
      </c>
      <c r="BD6" s="1">
        <f t="shared" si="3"/>
        <v>10129</v>
      </c>
      <c r="BE6" s="1">
        <f t="shared" si="3"/>
        <v>10042</v>
      </c>
      <c r="BF6" s="1">
        <f>BF5+BF4</f>
        <v>9464</v>
      </c>
      <c r="BG6" s="1">
        <f t="shared" si="3"/>
        <v>10491</v>
      </c>
      <c r="BH6" s="1">
        <f t="shared" si="3"/>
        <v>11325</v>
      </c>
      <c r="BI6" s="1">
        <f t="shared" si="3"/>
        <v>11063</v>
      </c>
      <c r="BJ6" s="1">
        <f>BJ5+BJ4</f>
        <v>10125</v>
      </c>
      <c r="BK6" s="1">
        <f t="shared" si="3"/>
        <v>10980</v>
      </c>
      <c r="BL6" s="1">
        <f t="shared" si="3"/>
        <v>11972</v>
      </c>
      <c r="BM6" s="1">
        <f t="shared" si="3"/>
        <v>11953</v>
      </c>
      <c r="BN6" s="1">
        <f t="shared" si="3"/>
        <v>10849</v>
      </c>
      <c r="BO6" s="1">
        <f>BO5+BO4</f>
        <v>11300</v>
      </c>
      <c r="BP6" s="1">
        <f t="shared" ref="BP6:BS6" si="4">BP5+BP4</f>
        <v>12363</v>
      </c>
      <c r="BQ6" s="1">
        <f t="shared" si="4"/>
        <v>11854</v>
      </c>
      <c r="BR6" s="1">
        <f t="shared" si="4"/>
        <v>11544</v>
      </c>
      <c r="BS6" s="1">
        <f t="shared" si="4"/>
        <v>11129</v>
      </c>
      <c r="CU6" s="1">
        <f>SUM(AY6:BB6)</f>
        <v>33014</v>
      </c>
      <c r="CV6" s="1">
        <f>SUM(BC6:BF6)</f>
        <v>38655</v>
      </c>
      <c r="CW6" s="1">
        <f>SUM(BG6:BJ6)</f>
        <v>43004</v>
      </c>
      <c r="CX6" s="1">
        <f>SUM(BK6:BN6)</f>
        <v>45754</v>
      </c>
      <c r="CY6" s="1">
        <f>SUM(BO6:BR6)</f>
        <v>47061</v>
      </c>
      <c r="CZ6" s="58">
        <f>SUM(CZ4:CZ5)</f>
        <v>49220.69</v>
      </c>
      <c r="DA6" s="58">
        <f t="shared" ref="DA6:DE6" si="5">SUM(DA4:DA5)</f>
        <v>51861.760700000006</v>
      </c>
      <c r="DB6" s="58">
        <f t="shared" si="5"/>
        <v>54975.065396000005</v>
      </c>
      <c r="DC6" s="58">
        <f t="shared" si="5"/>
        <v>58306.365382880016</v>
      </c>
      <c r="DD6" s="58">
        <f t="shared" si="5"/>
        <v>60562.459810737608</v>
      </c>
      <c r="DE6" s="58">
        <f t="shared" si="5"/>
        <v>62536.685991092367</v>
      </c>
      <c r="DF6" s="58">
        <f>DE6*(1+DF13)</f>
        <v>70979.138599889833</v>
      </c>
      <c r="DG6" s="58">
        <f t="shared" ref="DG6:FH6" si="6">DF6*(1+DG13)</f>
        <v>80561.322310874966</v>
      </c>
      <c r="DH6" s="58">
        <f t="shared" si="6"/>
        <v>91437.100822843087</v>
      </c>
      <c r="DI6" s="58">
        <f t="shared" si="6"/>
        <v>103781.1094339269</v>
      </c>
      <c r="DJ6" s="58">
        <f t="shared" si="6"/>
        <v>117791.55920750703</v>
      </c>
      <c r="DK6" s="58">
        <f t="shared" si="6"/>
        <v>133693.41970052049</v>
      </c>
      <c r="DL6" s="58">
        <f t="shared" si="6"/>
        <v>151742.03136009077</v>
      </c>
      <c r="DM6" s="58">
        <f t="shared" si="6"/>
        <v>172227.20559370302</v>
      </c>
      <c r="DN6" s="58">
        <f t="shared" si="6"/>
        <v>195477.87834885294</v>
      </c>
      <c r="DO6" s="58">
        <f t="shared" si="6"/>
        <v>221867.39192594809</v>
      </c>
      <c r="DP6" s="58">
        <f t="shared" si="6"/>
        <v>251819.48983595107</v>
      </c>
      <c r="DQ6" s="58">
        <f t="shared" si="6"/>
        <v>285815.12096380448</v>
      </c>
      <c r="DR6" s="58">
        <f t="shared" si="6"/>
        <v>324400.16229391808</v>
      </c>
      <c r="DS6" s="58">
        <f t="shared" si="6"/>
        <v>368194.18420359702</v>
      </c>
      <c r="DT6" s="58">
        <f t="shared" si="6"/>
        <v>417900.39907108265</v>
      </c>
      <c r="DU6" s="58">
        <f t="shared" si="6"/>
        <v>474316.95294567879</v>
      </c>
      <c r="DV6" s="58">
        <f t="shared" si="6"/>
        <v>538349.74159334542</v>
      </c>
      <c r="DW6" s="58">
        <f t="shared" si="6"/>
        <v>611026.95670844708</v>
      </c>
      <c r="DX6" s="58">
        <f t="shared" si="6"/>
        <v>693515.59586408746</v>
      </c>
      <c r="DY6" s="58">
        <f t="shared" si="6"/>
        <v>787140.20130573923</v>
      </c>
      <c r="DZ6" s="58">
        <f t="shared" si="6"/>
        <v>893404.12848201406</v>
      </c>
      <c r="EA6" s="58">
        <f t="shared" si="6"/>
        <v>1014013.685827086</v>
      </c>
      <c r="EB6" s="58">
        <f t="shared" si="6"/>
        <v>1150905.5334137427</v>
      </c>
      <c r="EC6" s="58">
        <f t="shared" si="6"/>
        <v>1306277.7804245979</v>
      </c>
      <c r="ED6" s="58">
        <f t="shared" si="6"/>
        <v>1482625.2807819187</v>
      </c>
      <c r="EE6" s="58">
        <f t="shared" si="6"/>
        <v>1682779.6936874776</v>
      </c>
      <c r="EF6" s="58">
        <f t="shared" si="6"/>
        <v>1909954.9523352871</v>
      </c>
      <c r="EG6" s="58">
        <f t="shared" si="6"/>
        <v>2167798.8709005509</v>
      </c>
      <c r="EH6" s="58">
        <f t="shared" si="6"/>
        <v>2460451.7184721255</v>
      </c>
      <c r="EI6" s="58">
        <f t="shared" si="6"/>
        <v>2792612.7004658626</v>
      </c>
      <c r="EJ6" s="58">
        <f t="shared" si="6"/>
        <v>3169615.4150287542</v>
      </c>
      <c r="EK6" s="58">
        <f t="shared" si="6"/>
        <v>3597513.4960576361</v>
      </c>
      <c r="EL6" s="58">
        <f t="shared" si="6"/>
        <v>4083177.8180254172</v>
      </c>
      <c r="EM6" s="58">
        <f t="shared" si="6"/>
        <v>4634406.8234588485</v>
      </c>
      <c r="EN6" s="58">
        <f t="shared" si="6"/>
        <v>5260051.7446257928</v>
      </c>
      <c r="EO6" s="58">
        <f t="shared" si="6"/>
        <v>5970158.7301502749</v>
      </c>
      <c r="EP6" s="58">
        <f t="shared" si="6"/>
        <v>6776130.1587205622</v>
      </c>
      <c r="EQ6" s="58">
        <f t="shared" si="6"/>
        <v>7690907.7301478386</v>
      </c>
      <c r="ER6" s="58">
        <f t="shared" si="6"/>
        <v>8729180.2737177964</v>
      </c>
      <c r="ES6" s="58">
        <f t="shared" si="6"/>
        <v>9907619.6106696986</v>
      </c>
      <c r="ET6" s="58">
        <f t="shared" si="6"/>
        <v>11245148.258110108</v>
      </c>
      <c r="EU6" s="58">
        <f t="shared" si="6"/>
        <v>12763243.272954972</v>
      </c>
      <c r="EV6" s="58">
        <f t="shared" si="6"/>
        <v>14486281.114803893</v>
      </c>
      <c r="EW6" s="58">
        <f t="shared" si="6"/>
        <v>16441929.065302419</v>
      </c>
      <c r="EX6" s="58">
        <f t="shared" si="6"/>
        <v>18661589.489118244</v>
      </c>
      <c r="EY6" s="58">
        <f t="shared" si="6"/>
        <v>21180904.070149209</v>
      </c>
      <c r="EZ6" s="58">
        <f t="shared" si="6"/>
        <v>24040326.119619355</v>
      </c>
      <c r="FA6" s="58">
        <f t="shared" si="6"/>
        <v>27285770.145767968</v>
      </c>
      <c r="FB6" s="58">
        <f t="shared" si="6"/>
        <v>30969349.115446646</v>
      </c>
      <c r="FC6" s="58">
        <f t="shared" si="6"/>
        <v>35150211.24603194</v>
      </c>
      <c r="FD6" s="58">
        <f t="shared" si="6"/>
        <v>39895489.764246255</v>
      </c>
      <c r="FE6" s="58">
        <f t="shared" si="6"/>
        <v>45281380.882419497</v>
      </c>
      <c r="FF6" s="58">
        <f t="shared" si="6"/>
        <v>51394367.301546127</v>
      </c>
      <c r="FG6" s="58">
        <f t="shared" si="6"/>
        <v>58332606.887254857</v>
      </c>
      <c r="FH6" s="58">
        <f t="shared" si="6"/>
        <v>66207508.817034259</v>
      </c>
      <c r="FI6" s="1"/>
    </row>
    <row r="7" spans="2:166"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1"/>
    </row>
    <row r="8" spans="2:166">
      <c r="B8" s="1" t="s">
        <v>231</v>
      </c>
      <c r="AY8" s="59">
        <f t="shared" ref="AY8:BQ8" si="7">AY4/AY6</f>
        <v>0.55679572142774092</v>
      </c>
      <c r="AZ8" s="59">
        <f t="shared" si="7"/>
        <v>0.58951048951048957</v>
      </c>
      <c r="BA8" s="59">
        <f t="shared" si="7"/>
        <v>0.58703190013869622</v>
      </c>
      <c r="BB8" s="59">
        <f t="shared" si="7"/>
        <v>0.52247125769364766</v>
      </c>
      <c r="BC8" s="59">
        <f t="shared" si="7"/>
        <v>0.55232815964523285</v>
      </c>
      <c r="BD8" s="59">
        <f t="shared" si="7"/>
        <v>0.59176621581597388</v>
      </c>
      <c r="BE8" s="59">
        <f t="shared" si="7"/>
        <v>0.5846444931288588</v>
      </c>
      <c r="BF8" s="59">
        <f t="shared" si="7"/>
        <v>0.52324598478444628</v>
      </c>
      <c r="BG8" s="59">
        <f t="shared" si="7"/>
        <v>0.5456105233056906</v>
      </c>
      <c r="BH8" s="59">
        <f t="shared" si="7"/>
        <v>0.56203090507726272</v>
      </c>
      <c r="BI8" s="59">
        <f t="shared" si="7"/>
        <v>0.59423302901563768</v>
      </c>
      <c r="BJ8" s="59">
        <f t="shared" si="7"/>
        <v>0.53412345679012341</v>
      </c>
      <c r="BK8" s="59">
        <f t="shared" si="7"/>
        <v>0.57677595628415301</v>
      </c>
      <c r="BL8" s="59">
        <f t="shared" si="7"/>
        <v>0.58887403942532579</v>
      </c>
      <c r="BM8" s="59">
        <f t="shared" si="7"/>
        <v>0.60336317242533255</v>
      </c>
      <c r="BN8" s="59">
        <f t="shared" si="7"/>
        <v>0.5478845976587704</v>
      </c>
      <c r="BO8" s="59">
        <f t="shared" si="7"/>
        <v>0.58893805309734515</v>
      </c>
      <c r="BP8" s="59">
        <f t="shared" si="7"/>
        <v>0.60616355253579224</v>
      </c>
      <c r="BQ8" s="59">
        <f t="shared" si="7"/>
        <v>0.5954108317867387</v>
      </c>
      <c r="BR8" s="59">
        <f>BR4/BR6</f>
        <v>0.5646223146223146</v>
      </c>
      <c r="BS8" s="59">
        <f>BS4/BS6</f>
        <v>0.64543085632132269</v>
      </c>
      <c r="CU8" s="59">
        <f t="shared" ref="CU8:CX8" si="8">CU4/CU6</f>
        <v>0.56285212334161261</v>
      </c>
      <c r="CV8" s="59">
        <f t="shared" si="8"/>
        <v>0.5639373949036347</v>
      </c>
      <c r="CW8" s="59">
        <f t="shared" si="8"/>
        <v>0.55973862896474746</v>
      </c>
      <c r="CX8" s="59">
        <f t="shared" si="8"/>
        <v>0.58003671810114965</v>
      </c>
      <c r="CY8" s="59">
        <f>CY4/CY6</f>
        <v>0.58912900278362124</v>
      </c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1"/>
    </row>
    <row r="9" spans="2:166">
      <c r="B9" s="1" t="s">
        <v>232</v>
      </c>
      <c r="AY9" s="59">
        <f t="shared" ref="AY9:BQ9" si="9">AY5/AY6</f>
        <v>0.44320427857225903</v>
      </c>
      <c r="AZ9" s="59">
        <f t="shared" si="9"/>
        <v>0.41048951048951049</v>
      </c>
      <c r="BA9" s="59">
        <f t="shared" si="9"/>
        <v>0.41296809986130373</v>
      </c>
      <c r="BB9" s="59">
        <f t="shared" si="9"/>
        <v>0.47752874230635234</v>
      </c>
      <c r="BC9" s="59">
        <f t="shared" si="9"/>
        <v>0.4476718403547672</v>
      </c>
      <c r="BD9" s="59">
        <f t="shared" si="9"/>
        <v>0.40823378418402606</v>
      </c>
      <c r="BE9" s="59">
        <f t="shared" si="9"/>
        <v>0.4153555068711412</v>
      </c>
      <c r="BF9" s="59">
        <f t="shared" si="9"/>
        <v>0.47675401521555366</v>
      </c>
      <c r="BG9" s="59">
        <f t="shared" si="9"/>
        <v>0.4543894766943094</v>
      </c>
      <c r="BH9" s="59">
        <f t="shared" si="9"/>
        <v>0.43796909492273733</v>
      </c>
      <c r="BI9" s="59">
        <f t="shared" si="9"/>
        <v>0.40576697098436226</v>
      </c>
      <c r="BJ9" s="59">
        <f t="shared" si="9"/>
        <v>0.46587654320987654</v>
      </c>
      <c r="BK9" s="59">
        <f t="shared" si="9"/>
        <v>0.42322404371584699</v>
      </c>
      <c r="BL9" s="59">
        <f t="shared" si="9"/>
        <v>0.41112596057467427</v>
      </c>
      <c r="BM9" s="59">
        <f t="shared" si="9"/>
        <v>0.39663682757466745</v>
      </c>
      <c r="BN9" s="59">
        <f t="shared" si="9"/>
        <v>0.4521154023412296</v>
      </c>
      <c r="BO9" s="59">
        <f t="shared" si="9"/>
        <v>0.41106194690265485</v>
      </c>
      <c r="BP9" s="59">
        <f t="shared" si="9"/>
        <v>0.39383644746420771</v>
      </c>
      <c r="BQ9" s="59">
        <f t="shared" si="9"/>
        <v>0.40458916821326135</v>
      </c>
      <c r="BR9" s="59">
        <f>BR5/BR6</f>
        <v>0.4353776853776854</v>
      </c>
      <c r="BS9" s="59">
        <f>BS5/BS6</f>
        <v>0.35456914367867731</v>
      </c>
      <c r="CU9" s="59">
        <f t="shared" ref="CU9:CX9" si="10">CU5/CU6</f>
        <v>0.43714787665838734</v>
      </c>
      <c r="CV9" s="59">
        <f t="shared" si="10"/>
        <v>0.4360626050963653</v>
      </c>
      <c r="CW9" s="59">
        <f t="shared" si="10"/>
        <v>0.44026137103525254</v>
      </c>
      <c r="CX9" s="59">
        <f t="shared" si="10"/>
        <v>0.41996328189885035</v>
      </c>
      <c r="CY9" s="59">
        <f>CY5/CY6</f>
        <v>0.41087099721637876</v>
      </c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1"/>
    </row>
    <row r="10" spans="2:166"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CU10" s="59"/>
      <c r="CV10" s="59"/>
      <c r="CW10" s="59"/>
      <c r="CX10" s="59"/>
      <c r="CY10" s="59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1"/>
    </row>
    <row r="11" spans="2:166">
      <c r="B11" s="1" t="s">
        <v>233</v>
      </c>
      <c r="AY11" s="59"/>
      <c r="AZ11" s="59"/>
      <c r="BA11" s="59"/>
      <c r="BB11" s="59"/>
      <c r="BC11" s="59">
        <f t="shared" ref="BC11:BR13" si="11">BC4/AY4-1</f>
        <v>4.0300689079139751E-2</v>
      </c>
      <c r="BD11" s="59">
        <f t="shared" si="11"/>
        <v>0.42206405693950177</v>
      </c>
      <c r="BE11" s="59">
        <f t="shared" si="11"/>
        <v>0.15593620791494378</v>
      </c>
      <c r="BF11" s="59">
        <f t="shared" si="11"/>
        <v>0.10068904200933537</v>
      </c>
      <c r="BG11" s="59">
        <f t="shared" si="11"/>
        <v>0.14893617021276606</v>
      </c>
      <c r="BH11" s="59">
        <f t="shared" si="11"/>
        <v>6.1895228561895221E-2</v>
      </c>
      <c r="BI11" s="59">
        <f t="shared" si="11"/>
        <v>0.11974110032362462</v>
      </c>
      <c r="BJ11" s="59">
        <f t="shared" si="11"/>
        <v>9.2084006462035628E-2</v>
      </c>
      <c r="BK11" s="59">
        <f t="shared" si="11"/>
        <v>0.10639412997903563</v>
      </c>
      <c r="BL11" s="59">
        <f t="shared" si="11"/>
        <v>0.10761979575805181</v>
      </c>
      <c r="BM11" s="59">
        <f t="shared" si="11"/>
        <v>9.7048980833586818E-2</v>
      </c>
      <c r="BN11" s="59">
        <f t="shared" si="11"/>
        <v>9.9112426035502965E-2</v>
      </c>
      <c r="BO11" s="59">
        <f t="shared" si="11"/>
        <v>5.0844781304279163E-2</v>
      </c>
      <c r="BP11" s="59">
        <f t="shared" si="11"/>
        <v>6.2978723404255366E-2</v>
      </c>
      <c r="BQ11" s="59">
        <f t="shared" si="11"/>
        <v>-2.1353300055463098E-2</v>
      </c>
      <c r="BR11" s="59">
        <f>BR4/BN4-1</f>
        <v>9.6567967698519608E-2</v>
      </c>
      <c r="BS11" s="59">
        <f>BS4/BO4-1</f>
        <v>7.9338842975206658E-2</v>
      </c>
      <c r="CU11" s="59"/>
      <c r="CV11" s="59">
        <f t="shared" ref="CV11:CY13" si="12">CV4/CU4-1</f>
        <v>0.17312452911419651</v>
      </c>
      <c r="CW11" s="59">
        <f t="shared" si="12"/>
        <v>0.10422496444791052</v>
      </c>
      <c r="CX11" s="59">
        <f t="shared" si="12"/>
        <v>0.10253001537119366</v>
      </c>
      <c r="CY11" s="59">
        <f>CY4/CX4-1</f>
        <v>4.4688948340178669E-2</v>
      </c>
      <c r="CZ11" s="60">
        <v>0.05</v>
      </c>
      <c r="DA11" s="60">
        <v>7.0000000000000007E-2</v>
      </c>
      <c r="DB11" s="60">
        <v>0.08</v>
      </c>
      <c r="DC11" s="60">
        <v>0.08</v>
      </c>
      <c r="DD11" s="60">
        <v>0.05</v>
      </c>
      <c r="DE11" s="60">
        <v>0.04</v>
      </c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1"/>
    </row>
    <row r="12" spans="2:166">
      <c r="B12" s="1" t="s">
        <v>234</v>
      </c>
      <c r="AY12" s="59"/>
      <c r="AZ12" s="59"/>
      <c r="BA12" s="59"/>
      <c r="BB12" s="59"/>
      <c r="BC12" s="59">
        <f t="shared" si="11"/>
        <v>5.9286463798530864E-2</v>
      </c>
      <c r="BD12" s="59">
        <f t="shared" si="11"/>
        <v>0.40885860306643962</v>
      </c>
      <c r="BE12" s="59">
        <f t="shared" si="11"/>
        <v>0.16736635880212702</v>
      </c>
      <c r="BF12" s="59">
        <f t="shared" si="11"/>
        <v>9.7276264591439787E-2</v>
      </c>
      <c r="BG12" s="59">
        <f t="shared" si="11"/>
        <v>0.18053491827637447</v>
      </c>
      <c r="BH12" s="59">
        <f t="shared" si="11"/>
        <v>0.19951632406287789</v>
      </c>
      <c r="BI12" s="59">
        <f t="shared" si="11"/>
        <v>7.6240709661951511E-2</v>
      </c>
      <c r="BJ12" s="59">
        <f t="shared" si="11"/>
        <v>4.5434397163120588E-2</v>
      </c>
      <c r="BK12" s="59">
        <f t="shared" si="11"/>
        <v>-2.5173064820641966E-2</v>
      </c>
      <c r="BL12" s="59">
        <f t="shared" si="11"/>
        <v>-7.6612903225806717E-3</v>
      </c>
      <c r="BM12" s="59">
        <f t="shared" si="11"/>
        <v>5.6137224326130442E-2</v>
      </c>
      <c r="BN12" s="59">
        <f t="shared" si="11"/>
        <v>3.9855840576637602E-2</v>
      </c>
      <c r="BO12" s="59">
        <f t="shared" si="11"/>
        <v>-4.3038519474924986E-4</v>
      </c>
      <c r="BP12" s="59">
        <f t="shared" si="11"/>
        <v>-1.0767980495733465E-2</v>
      </c>
      <c r="BQ12" s="59">
        <f t="shared" si="11"/>
        <v>1.1600928074245953E-2</v>
      </c>
      <c r="BR12" s="59">
        <f t="shared" si="11"/>
        <v>2.4668705402650426E-2</v>
      </c>
      <c r="BS12" s="59">
        <f t="shared" ref="BS12:BS13" si="13">BS5/BO5-1</f>
        <v>-0.1504843918191604</v>
      </c>
      <c r="CU12" s="59"/>
      <c r="CV12" s="59">
        <f t="shared" si="12"/>
        <v>0.16796008869179602</v>
      </c>
      <c r="CW12" s="59">
        <f t="shared" si="12"/>
        <v>0.12322021831988605</v>
      </c>
      <c r="CX12" s="59">
        <f t="shared" si="12"/>
        <v>1.4894628426556755E-2</v>
      </c>
      <c r="CY12" s="59">
        <f t="shared" si="12"/>
        <v>6.2971636742128467E-3</v>
      </c>
      <c r="CZ12" s="60">
        <v>0.04</v>
      </c>
      <c r="DA12" s="60">
        <v>0.03</v>
      </c>
      <c r="DB12" s="60">
        <v>0.03</v>
      </c>
      <c r="DC12" s="60">
        <v>0.03</v>
      </c>
      <c r="DD12" s="60">
        <v>0.02</v>
      </c>
      <c r="DE12" s="60">
        <v>0.02</v>
      </c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1"/>
    </row>
    <row r="13" spans="2:166" ht="15">
      <c r="B13" s="2" t="s">
        <v>171</v>
      </c>
      <c r="AY13" s="59"/>
      <c r="AZ13" s="59"/>
      <c r="BA13" s="59"/>
      <c r="BB13" s="59"/>
      <c r="BC13" s="59">
        <f t="shared" si="11"/>
        <v>4.8715265666782859E-2</v>
      </c>
      <c r="BD13" s="59">
        <f t="shared" si="11"/>
        <v>0.41664335664335672</v>
      </c>
      <c r="BE13" s="59">
        <f t="shared" si="11"/>
        <v>0.16065649560795192</v>
      </c>
      <c r="BF13" s="59">
        <f t="shared" si="11"/>
        <v>9.9059342701196096E-2</v>
      </c>
      <c r="BG13" s="59">
        <f t="shared" si="11"/>
        <v>0.16308203991130821</v>
      </c>
      <c r="BH13" s="59">
        <f t="shared" si="11"/>
        <v>0.11807680916181251</v>
      </c>
      <c r="BI13" s="59">
        <f t="shared" si="11"/>
        <v>0.10167297351125271</v>
      </c>
      <c r="BJ13" s="59">
        <f t="shared" si="11"/>
        <v>6.9843617920541057E-2</v>
      </c>
      <c r="BK13" s="59">
        <f t="shared" si="11"/>
        <v>4.661138118387198E-2</v>
      </c>
      <c r="BL13" s="59">
        <f t="shared" si="11"/>
        <v>5.713024282560708E-2</v>
      </c>
      <c r="BM13" s="59">
        <f t="shared" si="11"/>
        <v>8.0448341317906458E-2</v>
      </c>
      <c r="BN13" s="59">
        <f t="shared" si="11"/>
        <v>7.150617283950611E-2</v>
      </c>
      <c r="BO13" s="59">
        <f t="shared" si="11"/>
        <v>2.9143897996356971E-2</v>
      </c>
      <c r="BP13" s="59">
        <f t="shared" si="11"/>
        <v>3.2659538924156406E-2</v>
      </c>
      <c r="BQ13" s="59">
        <f t="shared" si="11"/>
        <v>-8.2824395549234708E-3</v>
      </c>
      <c r="BR13" s="59">
        <f t="shared" si="11"/>
        <v>6.4061203797584954E-2</v>
      </c>
      <c r="BS13" s="59">
        <f t="shared" si="13"/>
        <v>-1.513274336283188E-2</v>
      </c>
      <c r="CU13" s="59"/>
      <c r="CV13" s="59">
        <f t="shared" si="12"/>
        <v>0.17086690494941537</v>
      </c>
      <c r="CW13" s="59">
        <f t="shared" si="12"/>
        <v>0.11250808433579107</v>
      </c>
      <c r="CX13" s="59">
        <f t="shared" si="12"/>
        <v>6.3947539763743011E-2</v>
      </c>
      <c r="CY13" s="59">
        <f t="shared" si="12"/>
        <v>2.8565808453905772E-2</v>
      </c>
      <c r="CZ13" s="60">
        <f>CZ6/CY6-1</f>
        <v>4.5891290027836318E-2</v>
      </c>
      <c r="DA13" s="60">
        <f t="shared" ref="DA13:DE13" si="14">DA6/CZ6-1</f>
        <v>5.3657734176420613E-2</v>
      </c>
      <c r="DB13" s="60">
        <f t="shared" si="14"/>
        <v>6.0030833006408102E-2</v>
      </c>
      <c r="DC13" s="60">
        <f t="shared" si="14"/>
        <v>6.0596562512182039E-2</v>
      </c>
      <c r="DD13" s="60">
        <f t="shared" si="14"/>
        <v>3.8693792916819847E-2</v>
      </c>
      <c r="DE13" s="60">
        <f t="shared" si="14"/>
        <v>3.2598183536870273E-2</v>
      </c>
      <c r="DF13" s="60">
        <f t="shared" ref="DF13:EK13" si="15">$DI$51</f>
        <v>0.13500000000000001</v>
      </c>
      <c r="DG13" s="60">
        <f t="shared" si="15"/>
        <v>0.13500000000000001</v>
      </c>
      <c r="DH13" s="60">
        <f t="shared" si="15"/>
        <v>0.13500000000000001</v>
      </c>
      <c r="DI13" s="60">
        <f t="shared" si="15"/>
        <v>0.13500000000000001</v>
      </c>
      <c r="DJ13" s="60">
        <f t="shared" si="15"/>
        <v>0.13500000000000001</v>
      </c>
      <c r="DK13" s="60">
        <f t="shared" si="15"/>
        <v>0.13500000000000001</v>
      </c>
      <c r="DL13" s="60">
        <f t="shared" si="15"/>
        <v>0.13500000000000001</v>
      </c>
      <c r="DM13" s="60">
        <f t="shared" si="15"/>
        <v>0.13500000000000001</v>
      </c>
      <c r="DN13" s="60">
        <f t="shared" si="15"/>
        <v>0.13500000000000001</v>
      </c>
      <c r="DO13" s="60">
        <f t="shared" si="15"/>
        <v>0.13500000000000001</v>
      </c>
      <c r="DP13" s="60">
        <f t="shared" si="15"/>
        <v>0.13500000000000001</v>
      </c>
      <c r="DQ13" s="60">
        <f t="shared" si="15"/>
        <v>0.13500000000000001</v>
      </c>
      <c r="DR13" s="60">
        <f t="shared" si="15"/>
        <v>0.13500000000000001</v>
      </c>
      <c r="DS13" s="60">
        <f t="shared" si="15"/>
        <v>0.13500000000000001</v>
      </c>
      <c r="DT13" s="60">
        <f t="shared" si="15"/>
        <v>0.13500000000000001</v>
      </c>
      <c r="DU13" s="60">
        <f t="shared" si="15"/>
        <v>0.13500000000000001</v>
      </c>
      <c r="DV13" s="60">
        <f t="shared" si="15"/>
        <v>0.13500000000000001</v>
      </c>
      <c r="DW13" s="60">
        <f t="shared" si="15"/>
        <v>0.13500000000000001</v>
      </c>
      <c r="DX13" s="60">
        <f t="shared" si="15"/>
        <v>0.13500000000000001</v>
      </c>
      <c r="DY13" s="60">
        <f t="shared" si="15"/>
        <v>0.13500000000000001</v>
      </c>
      <c r="DZ13" s="60">
        <f t="shared" si="15"/>
        <v>0.13500000000000001</v>
      </c>
      <c r="EA13" s="60">
        <f t="shared" si="15"/>
        <v>0.13500000000000001</v>
      </c>
      <c r="EB13" s="60">
        <f t="shared" si="15"/>
        <v>0.13500000000000001</v>
      </c>
      <c r="EC13" s="60">
        <f t="shared" si="15"/>
        <v>0.13500000000000001</v>
      </c>
      <c r="ED13" s="60">
        <f t="shared" si="15"/>
        <v>0.13500000000000001</v>
      </c>
      <c r="EE13" s="60">
        <f t="shared" si="15"/>
        <v>0.13500000000000001</v>
      </c>
      <c r="EF13" s="60">
        <f t="shared" si="15"/>
        <v>0.13500000000000001</v>
      </c>
      <c r="EG13" s="60">
        <f t="shared" si="15"/>
        <v>0.13500000000000001</v>
      </c>
      <c r="EH13" s="60">
        <f t="shared" si="15"/>
        <v>0.13500000000000001</v>
      </c>
      <c r="EI13" s="60">
        <f t="shared" si="15"/>
        <v>0.13500000000000001</v>
      </c>
      <c r="EJ13" s="60">
        <f t="shared" si="15"/>
        <v>0.13500000000000001</v>
      </c>
      <c r="EK13" s="60">
        <f t="shared" si="15"/>
        <v>0.13500000000000001</v>
      </c>
      <c r="EL13" s="60">
        <f t="shared" ref="EL13:FH13" si="16">$DI$51</f>
        <v>0.13500000000000001</v>
      </c>
      <c r="EM13" s="60">
        <f t="shared" si="16"/>
        <v>0.13500000000000001</v>
      </c>
      <c r="EN13" s="60">
        <f t="shared" si="16"/>
        <v>0.13500000000000001</v>
      </c>
      <c r="EO13" s="60">
        <f t="shared" si="16"/>
        <v>0.13500000000000001</v>
      </c>
      <c r="EP13" s="60">
        <f t="shared" si="16"/>
        <v>0.13500000000000001</v>
      </c>
      <c r="EQ13" s="60">
        <f t="shared" si="16"/>
        <v>0.13500000000000001</v>
      </c>
      <c r="ER13" s="60">
        <f t="shared" si="16"/>
        <v>0.13500000000000001</v>
      </c>
      <c r="ES13" s="60">
        <f t="shared" si="16"/>
        <v>0.13500000000000001</v>
      </c>
      <c r="ET13" s="60">
        <f t="shared" si="16"/>
        <v>0.13500000000000001</v>
      </c>
      <c r="EU13" s="60">
        <f t="shared" si="16"/>
        <v>0.13500000000000001</v>
      </c>
      <c r="EV13" s="60">
        <f t="shared" si="16"/>
        <v>0.13500000000000001</v>
      </c>
      <c r="EW13" s="60">
        <f t="shared" si="16"/>
        <v>0.13500000000000001</v>
      </c>
      <c r="EX13" s="60">
        <f t="shared" si="16"/>
        <v>0.13500000000000001</v>
      </c>
      <c r="EY13" s="60">
        <f t="shared" si="16"/>
        <v>0.13500000000000001</v>
      </c>
      <c r="EZ13" s="60">
        <f t="shared" si="16"/>
        <v>0.13500000000000001</v>
      </c>
      <c r="FA13" s="60">
        <f t="shared" si="16"/>
        <v>0.13500000000000001</v>
      </c>
      <c r="FB13" s="60">
        <f t="shared" si="16"/>
        <v>0.13500000000000001</v>
      </c>
      <c r="FC13" s="60">
        <f t="shared" si="16"/>
        <v>0.13500000000000001</v>
      </c>
      <c r="FD13" s="60">
        <f t="shared" si="16"/>
        <v>0.13500000000000001</v>
      </c>
      <c r="FE13" s="60">
        <f t="shared" si="16"/>
        <v>0.13500000000000001</v>
      </c>
      <c r="FF13" s="60">
        <f t="shared" si="16"/>
        <v>0.13500000000000001</v>
      </c>
      <c r="FG13" s="60">
        <f t="shared" si="16"/>
        <v>0.13500000000000001</v>
      </c>
      <c r="FH13" s="60">
        <f t="shared" si="16"/>
        <v>0.13500000000000001</v>
      </c>
      <c r="FI13" s="1"/>
    </row>
    <row r="14" spans="2:166"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1"/>
    </row>
    <row r="15" spans="2:166">
      <c r="B15" s="1" t="s">
        <v>123</v>
      </c>
      <c r="AY15" s="1">
        <v>2807</v>
      </c>
      <c r="AZ15" s="1">
        <v>2583</v>
      </c>
      <c r="BA15" s="1">
        <v>3026</v>
      </c>
      <c r="BB15" s="1">
        <f>11281-SUM(AY15:BA15)</f>
        <v>2865</v>
      </c>
      <c r="BC15" s="1">
        <v>2893</v>
      </c>
      <c r="BD15" s="1">
        <v>3332</v>
      </c>
      <c r="BE15" s="1">
        <v>3418</v>
      </c>
      <c r="BF15" s="1">
        <f>13010-SUM(BC15:BE15)</f>
        <v>3367</v>
      </c>
      <c r="BG15" s="1">
        <v>3523</v>
      </c>
      <c r="BH15" s="1">
        <v>3957</v>
      </c>
      <c r="BI15" s="1">
        <v>4144</v>
      </c>
      <c r="BJ15" s="1">
        <f>15413-SUM(BG15:BI15)</f>
        <v>3789</v>
      </c>
      <c r="BK15" s="1">
        <v>3849</v>
      </c>
      <c r="BL15" s="1">
        <v>4302</v>
      </c>
      <c r="BM15" s="1">
        <v>4411</v>
      </c>
      <c r="BN15" s="1">
        <f>16550-SUM(BK15:BM15)</f>
        <v>3988</v>
      </c>
      <c r="BO15" s="1">
        <v>4118</v>
      </c>
      <c r="BP15" s="1">
        <v>4740</v>
      </c>
      <c r="BQ15" s="1">
        <v>4903</v>
      </c>
      <c r="BR15" s="1">
        <f>18362-SUM(BO15:BQ15)</f>
        <v>4601</v>
      </c>
      <c r="BS15" s="1">
        <v>4253</v>
      </c>
      <c r="CU15" s="1">
        <f>SUM(AY15:BB15)</f>
        <v>11281</v>
      </c>
      <c r="CV15" s="1">
        <f>SUM(BC15:BF15)</f>
        <v>13010</v>
      </c>
      <c r="CW15" s="1">
        <f>SUM(BG15:BJ15)</f>
        <v>15413</v>
      </c>
      <c r="CX15" s="1">
        <f>SUM(BK15:BN15)</f>
        <v>16550</v>
      </c>
      <c r="CY15" s="1">
        <f>SUM(BO15:BR15)</f>
        <v>18362</v>
      </c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1"/>
    </row>
    <row r="16" spans="2:166">
      <c r="B16" s="1" t="s">
        <v>235</v>
      </c>
      <c r="AY16" s="1">
        <v>5794</v>
      </c>
      <c r="AZ16" s="1">
        <v>4567</v>
      </c>
      <c r="BA16" s="1">
        <v>5626</v>
      </c>
      <c r="BB16" s="1">
        <f>21733-SUM(AY16:BA16)</f>
        <v>5746</v>
      </c>
      <c r="BC16" s="1">
        <v>6127</v>
      </c>
      <c r="BD16" s="1">
        <v>6797</v>
      </c>
      <c r="BE16" s="1">
        <v>6624</v>
      </c>
      <c r="BF16" s="1">
        <f>25645-SUM(BC16:BE16)</f>
        <v>6097</v>
      </c>
      <c r="BG16" s="1">
        <v>6968</v>
      </c>
      <c r="BH16" s="1">
        <v>7368</v>
      </c>
      <c r="BI16" s="1">
        <v>6919</v>
      </c>
      <c r="BJ16" s="1">
        <f>27591-SUM(BG16:BI16)</f>
        <v>6336</v>
      </c>
      <c r="BK16" s="1">
        <v>7131</v>
      </c>
      <c r="BL16" s="1">
        <v>7670</v>
      </c>
      <c r="BM16" s="1">
        <v>7542</v>
      </c>
      <c r="BN16" s="1">
        <f>29204-SUM(BK16:BM16)</f>
        <v>6861</v>
      </c>
      <c r="BO16" s="1">
        <v>7182</v>
      </c>
      <c r="BP16" s="1">
        <v>7623</v>
      </c>
      <c r="BQ16" s="1">
        <v>6951</v>
      </c>
      <c r="BR16" s="1">
        <f>28699-SUM(BO16:BQ16)</f>
        <v>6943</v>
      </c>
      <c r="BS16" s="1">
        <v>6876</v>
      </c>
      <c r="CU16" s="1">
        <f>SUM(AY16:BB16)</f>
        <v>21733</v>
      </c>
      <c r="CV16" s="1">
        <f>SUM(BC16:BF16)</f>
        <v>25645</v>
      </c>
      <c r="CW16" s="1">
        <f>SUM(BG16:BJ16)</f>
        <v>27591</v>
      </c>
      <c r="CX16" s="1">
        <f>SUM(BK16:BN16)</f>
        <v>29204</v>
      </c>
      <c r="CY16" s="1">
        <f>SUM(BO16:BR16)</f>
        <v>28699</v>
      </c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1"/>
    </row>
    <row r="17" spans="2:165" ht="15">
      <c r="B17" s="2" t="s">
        <v>120</v>
      </c>
      <c r="AY17" s="1">
        <f t="shared" ref="AY17:BS17" si="17">AY16+AY15</f>
        <v>8601</v>
      </c>
      <c r="AZ17" s="1">
        <f t="shared" si="17"/>
        <v>7150</v>
      </c>
      <c r="BA17" s="1">
        <f t="shared" si="17"/>
        <v>8652</v>
      </c>
      <c r="BB17" s="1">
        <f t="shared" si="17"/>
        <v>8611</v>
      </c>
      <c r="BC17" s="1">
        <f t="shared" si="17"/>
        <v>9020</v>
      </c>
      <c r="BD17" s="1">
        <f t="shared" si="17"/>
        <v>10129</v>
      </c>
      <c r="BE17" s="1">
        <f t="shared" si="17"/>
        <v>10042</v>
      </c>
      <c r="BF17" s="1">
        <f t="shared" si="17"/>
        <v>9464</v>
      </c>
      <c r="BG17" s="1">
        <f t="shared" si="17"/>
        <v>10491</v>
      </c>
      <c r="BH17" s="1">
        <f t="shared" si="17"/>
        <v>11325</v>
      </c>
      <c r="BI17" s="1">
        <f t="shared" si="17"/>
        <v>11063</v>
      </c>
      <c r="BJ17" s="1">
        <f t="shared" si="17"/>
        <v>10125</v>
      </c>
      <c r="BK17" s="1">
        <f t="shared" si="17"/>
        <v>10980</v>
      </c>
      <c r="BL17" s="1">
        <f t="shared" si="17"/>
        <v>11972</v>
      </c>
      <c r="BM17" s="1">
        <f t="shared" si="17"/>
        <v>11953</v>
      </c>
      <c r="BN17" s="1">
        <f t="shared" si="17"/>
        <v>10849</v>
      </c>
      <c r="BO17" s="1">
        <f t="shared" si="17"/>
        <v>11300</v>
      </c>
      <c r="BP17" s="1">
        <f t="shared" si="17"/>
        <v>12363</v>
      </c>
      <c r="BQ17" s="1">
        <f t="shared" si="17"/>
        <v>11854</v>
      </c>
      <c r="BR17" s="1">
        <f t="shared" si="17"/>
        <v>11544</v>
      </c>
      <c r="BS17" s="1">
        <f t="shared" si="17"/>
        <v>11129</v>
      </c>
      <c r="CU17" s="1">
        <f>SUM(AY17:BB17)</f>
        <v>33014</v>
      </c>
      <c r="CV17" s="1">
        <f>SUM(BC17:BF17)</f>
        <v>38655</v>
      </c>
      <c r="CW17" s="1">
        <f>SUM(BG17:BJ17)</f>
        <v>43004</v>
      </c>
      <c r="CX17" s="1">
        <f>SUM(BK17:BN17)</f>
        <v>45754</v>
      </c>
      <c r="CY17" s="1">
        <f>SUM(BO17:BR17)</f>
        <v>47061</v>
      </c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1"/>
    </row>
    <row r="18" spans="2:165"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1"/>
    </row>
    <row r="19" spans="2:165">
      <c r="B19" s="1" t="s">
        <v>124</v>
      </c>
      <c r="AY19" s="61">
        <f t="shared" ref="AY19:BQ19" si="18">AY15/AY17</f>
        <v>0.32635740030229043</v>
      </c>
      <c r="AZ19" s="61">
        <f t="shared" si="18"/>
        <v>0.36125874125874124</v>
      </c>
      <c r="BA19" s="61">
        <f t="shared" si="18"/>
        <v>0.34974572353213129</v>
      </c>
      <c r="BB19" s="61">
        <f t="shared" si="18"/>
        <v>0.33271397050284518</v>
      </c>
      <c r="BC19" s="61">
        <f t="shared" si="18"/>
        <v>0.32073170731707318</v>
      </c>
      <c r="BD19" s="61">
        <f t="shared" si="18"/>
        <v>0.32895646164478232</v>
      </c>
      <c r="BE19" s="61">
        <f t="shared" si="18"/>
        <v>0.34037044413463452</v>
      </c>
      <c r="BF19" s="61">
        <f t="shared" si="18"/>
        <v>0.35576923076923078</v>
      </c>
      <c r="BG19" s="61">
        <f t="shared" si="18"/>
        <v>0.33581164807930608</v>
      </c>
      <c r="BH19" s="61">
        <f t="shared" si="18"/>
        <v>0.3494039735099338</v>
      </c>
      <c r="BI19" s="61">
        <f t="shared" si="18"/>
        <v>0.37458193979933108</v>
      </c>
      <c r="BJ19" s="61">
        <f t="shared" si="18"/>
        <v>0.37422222222222223</v>
      </c>
      <c r="BK19" s="61">
        <f t="shared" si="18"/>
        <v>0.35054644808743168</v>
      </c>
      <c r="BL19" s="61">
        <f t="shared" si="18"/>
        <v>0.35933845639826262</v>
      </c>
      <c r="BM19" s="61">
        <f t="shared" si="18"/>
        <v>0.36902869572492264</v>
      </c>
      <c r="BN19" s="61">
        <f t="shared" si="18"/>
        <v>0.3675914830859987</v>
      </c>
      <c r="BO19" s="61">
        <f t="shared" si="18"/>
        <v>0.36442477876106194</v>
      </c>
      <c r="BP19" s="61">
        <f t="shared" si="18"/>
        <v>0.38340208687211841</v>
      </c>
      <c r="BQ19" s="61">
        <f t="shared" si="18"/>
        <v>0.41361565716213938</v>
      </c>
      <c r="BR19" s="61">
        <f>BR15/BR17</f>
        <v>0.39856202356202358</v>
      </c>
      <c r="BS19" s="61">
        <f>BS15/BS17</f>
        <v>0.38215473088327795</v>
      </c>
      <c r="CU19" s="59">
        <f t="shared" ref="CU19:CX19" si="19">CU15/CU17</f>
        <v>0.34170351971890711</v>
      </c>
      <c r="CV19" s="59">
        <f t="shared" si="19"/>
        <v>0.33656706764972188</v>
      </c>
      <c r="CW19" s="59">
        <f t="shared" si="19"/>
        <v>0.35840852013766161</v>
      </c>
      <c r="CX19" s="59">
        <f t="shared" si="19"/>
        <v>0.36171700834899678</v>
      </c>
      <c r="CY19" s="59">
        <f>CY15/CY17</f>
        <v>0.39017445443148252</v>
      </c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1"/>
    </row>
    <row r="20" spans="2:165">
      <c r="B20" s="1" t="s">
        <v>236</v>
      </c>
      <c r="AY20" s="61">
        <f t="shared" ref="AY20:BQ20" si="20">AY16/AY17</f>
        <v>0.67364259969770957</v>
      </c>
      <c r="AZ20" s="61">
        <f t="shared" si="20"/>
        <v>0.63874125874125876</v>
      </c>
      <c r="BA20" s="61">
        <f t="shared" si="20"/>
        <v>0.65025427646786871</v>
      </c>
      <c r="BB20" s="61">
        <f t="shared" si="20"/>
        <v>0.66728602949715476</v>
      </c>
      <c r="BC20" s="61">
        <f t="shared" si="20"/>
        <v>0.67926829268292688</v>
      </c>
      <c r="BD20" s="61">
        <f t="shared" si="20"/>
        <v>0.67104353835521768</v>
      </c>
      <c r="BE20" s="61">
        <f t="shared" si="20"/>
        <v>0.65962955586536542</v>
      </c>
      <c r="BF20" s="61">
        <f t="shared" si="20"/>
        <v>0.64423076923076927</v>
      </c>
      <c r="BG20" s="61">
        <f t="shared" si="20"/>
        <v>0.66418835192069392</v>
      </c>
      <c r="BH20" s="61">
        <f t="shared" si="20"/>
        <v>0.6505960264900662</v>
      </c>
      <c r="BI20" s="61">
        <f t="shared" si="20"/>
        <v>0.62541806020066892</v>
      </c>
      <c r="BJ20" s="61">
        <f t="shared" si="20"/>
        <v>0.62577777777777777</v>
      </c>
      <c r="BK20" s="61">
        <f t="shared" si="20"/>
        <v>0.64945355191256826</v>
      </c>
      <c r="BL20" s="61">
        <f t="shared" si="20"/>
        <v>0.64066154360173744</v>
      </c>
      <c r="BM20" s="61">
        <f t="shared" si="20"/>
        <v>0.63097130427507742</v>
      </c>
      <c r="BN20" s="61">
        <f t="shared" si="20"/>
        <v>0.63240851691400124</v>
      </c>
      <c r="BO20" s="61">
        <f t="shared" si="20"/>
        <v>0.63557522123893806</v>
      </c>
      <c r="BP20" s="61">
        <f t="shared" si="20"/>
        <v>0.61659791312788159</v>
      </c>
      <c r="BQ20" s="61">
        <f t="shared" si="20"/>
        <v>0.58638434283786067</v>
      </c>
      <c r="BR20" s="61">
        <f>BR16/BR17</f>
        <v>0.60143797643797647</v>
      </c>
      <c r="BS20" s="61">
        <f>BS16/BS17</f>
        <v>0.61784526911672211</v>
      </c>
      <c r="CU20" s="59">
        <f t="shared" ref="CU20:CX20" si="21">CU16/CU17</f>
        <v>0.65829648028109289</v>
      </c>
      <c r="CV20" s="59">
        <f t="shared" si="21"/>
        <v>0.66343293235027812</v>
      </c>
      <c r="CW20" s="59">
        <f t="shared" si="21"/>
        <v>0.64159147986233833</v>
      </c>
      <c r="CX20" s="59">
        <f t="shared" si="21"/>
        <v>0.63828299165100322</v>
      </c>
      <c r="CY20" s="59">
        <f>CY16/CY17</f>
        <v>0.60982554556851742</v>
      </c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1"/>
    </row>
    <row r="21" spans="2:165"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CU21" s="59"/>
      <c r="CV21" s="59"/>
      <c r="CW21" s="59"/>
      <c r="CX21" s="59"/>
      <c r="CY21" s="59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1"/>
    </row>
    <row r="22" spans="2:165">
      <c r="B22" s="1" t="s">
        <v>237</v>
      </c>
      <c r="BC22" s="61">
        <f t="shared" ref="BC22:BR24" si="22">BC15/AY15-1</f>
        <v>3.0637691485571716E-2</v>
      </c>
      <c r="BD22" s="61">
        <f t="shared" si="22"/>
        <v>0.2899728997289972</v>
      </c>
      <c r="BE22" s="61">
        <f t="shared" si="22"/>
        <v>0.12954395241242556</v>
      </c>
      <c r="BF22" s="61">
        <f t="shared" si="22"/>
        <v>0.17521815008726005</v>
      </c>
      <c r="BG22" s="61">
        <f t="shared" si="22"/>
        <v>0.21776702385067415</v>
      </c>
      <c r="BH22" s="61">
        <f t="shared" si="22"/>
        <v>0.18757503001200471</v>
      </c>
      <c r="BI22" s="61">
        <f t="shared" si="22"/>
        <v>0.21240491515506155</v>
      </c>
      <c r="BJ22" s="61">
        <f>BJ15/BF15-1</f>
        <v>0.12533412533412536</v>
      </c>
      <c r="BK22" s="61">
        <f t="shared" si="22"/>
        <v>9.2534771501561197E-2</v>
      </c>
      <c r="BL22" s="61">
        <f t="shared" si="22"/>
        <v>8.7187263078089439E-2</v>
      </c>
      <c r="BM22" s="61">
        <f t="shared" si="22"/>
        <v>6.4430501930502038E-2</v>
      </c>
      <c r="BN22" s="61">
        <f t="shared" si="22"/>
        <v>5.2520453945632095E-2</v>
      </c>
      <c r="BO22" s="61">
        <f t="shared" si="22"/>
        <v>6.9888282670823587E-2</v>
      </c>
      <c r="BP22" s="61">
        <f t="shared" si="22"/>
        <v>0.10181311018131112</v>
      </c>
      <c r="BQ22" s="61">
        <f t="shared" si="22"/>
        <v>0.11153933348447054</v>
      </c>
      <c r="BR22" s="61">
        <f>BR15/BN15-1</f>
        <v>0.15371113340020059</v>
      </c>
      <c r="BS22" s="61">
        <f>BS15/BO15-1</f>
        <v>3.2782904322486539E-2</v>
      </c>
      <c r="CV22" s="61">
        <f>CV15/CU15-1</f>
        <v>0.15326655438347658</v>
      </c>
      <c r="CW22" s="61">
        <f t="shared" ref="CW22:CY23" si="23">CW15/CV15-1</f>
        <v>0.1847040737893928</v>
      </c>
      <c r="CX22" s="61">
        <f t="shared" si="23"/>
        <v>7.3768896386167571E-2</v>
      </c>
      <c r="CY22" s="61">
        <f>CY15/CX15-1</f>
        <v>0.10948640483383687</v>
      </c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1"/>
    </row>
    <row r="23" spans="2:165">
      <c r="B23" s="1" t="s">
        <v>238</v>
      </c>
      <c r="BC23" s="61">
        <f t="shared" si="22"/>
        <v>5.7473248187780435E-2</v>
      </c>
      <c r="BD23" s="61">
        <f t="shared" si="22"/>
        <v>0.48828552660389746</v>
      </c>
      <c r="BE23" s="61">
        <f t="shared" si="22"/>
        <v>0.17739068610024877</v>
      </c>
      <c r="BF23" s="61">
        <f t="shared" si="22"/>
        <v>6.1085972850678738E-2</v>
      </c>
      <c r="BG23" s="61">
        <f t="shared" si="22"/>
        <v>0.13726130243185897</v>
      </c>
      <c r="BH23" s="61">
        <f t="shared" si="22"/>
        <v>8.4007650434015035E-2</v>
      </c>
      <c r="BI23" s="61">
        <f t="shared" si="22"/>
        <v>4.4535024154589431E-2</v>
      </c>
      <c r="BJ23" s="61">
        <f t="shared" si="22"/>
        <v>3.9199606363785389E-2</v>
      </c>
      <c r="BK23" s="61">
        <f t="shared" si="22"/>
        <v>2.3392652123995328E-2</v>
      </c>
      <c r="BL23" s="61">
        <f t="shared" si="22"/>
        <v>4.0988056460369071E-2</v>
      </c>
      <c r="BM23" s="61">
        <f t="shared" si="22"/>
        <v>9.0041913571325294E-2</v>
      </c>
      <c r="BN23" s="61">
        <f t="shared" si="22"/>
        <v>8.2859848484848397E-2</v>
      </c>
      <c r="BO23" s="61">
        <f t="shared" si="22"/>
        <v>7.1518721076988534E-3</v>
      </c>
      <c r="BP23" s="61">
        <f t="shared" si="22"/>
        <v>-6.1277705345501587E-3</v>
      </c>
      <c r="BQ23" s="61">
        <f t="shared" si="22"/>
        <v>-7.8361177406523486E-2</v>
      </c>
      <c r="BR23" s="61">
        <f t="shared" si="22"/>
        <v>1.1951610552397574E-2</v>
      </c>
      <c r="BS23" s="61">
        <f t="shared" ref="BS23:BS24" si="24">BS16/BO16-1</f>
        <v>-4.260651629072687E-2</v>
      </c>
      <c r="CV23" s="61">
        <f>CV16/CU16-1</f>
        <v>0.18000276077853949</v>
      </c>
      <c r="CW23" s="61">
        <f t="shared" si="23"/>
        <v>7.5882238253070833E-2</v>
      </c>
      <c r="CX23" s="61">
        <f t="shared" si="23"/>
        <v>5.8461092385198032E-2</v>
      </c>
      <c r="CY23" s="61">
        <f t="shared" si="23"/>
        <v>-1.7292151760032848E-2</v>
      </c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1"/>
    </row>
    <row r="24" spans="2:165" ht="15">
      <c r="B24" s="2" t="s">
        <v>171</v>
      </c>
      <c r="BC24" s="61">
        <f t="shared" si="22"/>
        <v>4.8715265666782859E-2</v>
      </c>
      <c r="BD24" s="61">
        <f t="shared" si="22"/>
        <v>0.41664335664335672</v>
      </c>
      <c r="BE24" s="61">
        <f t="shared" si="22"/>
        <v>0.16065649560795192</v>
      </c>
      <c r="BF24" s="61">
        <f t="shared" si="22"/>
        <v>9.9059342701196096E-2</v>
      </c>
      <c r="BG24" s="61">
        <f t="shared" si="22"/>
        <v>0.16308203991130821</v>
      </c>
      <c r="BH24" s="61">
        <f t="shared" si="22"/>
        <v>0.11807680916181251</v>
      </c>
      <c r="BI24" s="61">
        <f t="shared" si="22"/>
        <v>0.10167297351125271</v>
      </c>
      <c r="BJ24" s="61">
        <f t="shared" si="22"/>
        <v>6.9843617920541057E-2</v>
      </c>
      <c r="BK24" s="61">
        <f t="shared" si="22"/>
        <v>4.661138118387198E-2</v>
      </c>
      <c r="BL24" s="61">
        <f t="shared" si="22"/>
        <v>5.713024282560708E-2</v>
      </c>
      <c r="BM24" s="61">
        <f t="shared" si="22"/>
        <v>8.0448341317906458E-2</v>
      </c>
      <c r="BN24" s="61">
        <f t="shared" si="22"/>
        <v>7.150617283950611E-2</v>
      </c>
      <c r="BO24" s="61">
        <f t="shared" si="22"/>
        <v>2.9143897996356971E-2</v>
      </c>
      <c r="BP24" s="61">
        <f t="shared" si="22"/>
        <v>3.2659538924156406E-2</v>
      </c>
      <c r="BQ24" s="61">
        <f t="shared" si="22"/>
        <v>-8.2824395549234708E-3</v>
      </c>
      <c r="BR24" s="61">
        <f t="shared" si="22"/>
        <v>6.4061203797584954E-2</v>
      </c>
      <c r="BS24" s="61">
        <f t="shared" si="24"/>
        <v>-1.513274336283188E-2</v>
      </c>
      <c r="CV24" s="61">
        <f t="shared" ref="CV24:CY24" si="25">CV17/CU17-1</f>
        <v>0.17086690494941537</v>
      </c>
      <c r="CW24" s="61">
        <f t="shared" si="25"/>
        <v>0.11250808433579107</v>
      </c>
      <c r="CX24" s="61">
        <f t="shared" si="25"/>
        <v>6.3947539763743011E-2</v>
      </c>
      <c r="CY24" s="61">
        <f t="shared" si="25"/>
        <v>2.8565808453905772E-2</v>
      </c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1"/>
    </row>
    <row r="25" spans="2:165"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1"/>
    </row>
    <row r="26" spans="2:165" s="2" customFormat="1" ht="15">
      <c r="B26" s="2" t="s">
        <v>120</v>
      </c>
      <c r="AY26" s="2">
        <f t="shared" ref="AY26:BS26" si="26">AY17</f>
        <v>8601</v>
      </c>
      <c r="AZ26" s="2">
        <f t="shared" si="26"/>
        <v>7150</v>
      </c>
      <c r="BA26" s="2">
        <f t="shared" si="26"/>
        <v>8652</v>
      </c>
      <c r="BB26" s="2">
        <f t="shared" si="26"/>
        <v>8611</v>
      </c>
      <c r="BC26" s="2">
        <f t="shared" si="26"/>
        <v>9020</v>
      </c>
      <c r="BD26" s="2">
        <f t="shared" si="26"/>
        <v>10129</v>
      </c>
      <c r="BE26" s="2">
        <f t="shared" si="26"/>
        <v>10042</v>
      </c>
      <c r="BF26" s="2">
        <f t="shared" si="26"/>
        <v>9464</v>
      </c>
      <c r="BG26" s="2">
        <f t="shared" si="26"/>
        <v>10491</v>
      </c>
      <c r="BH26" s="2">
        <f t="shared" si="26"/>
        <v>11325</v>
      </c>
      <c r="BI26" s="2">
        <f t="shared" si="26"/>
        <v>11063</v>
      </c>
      <c r="BJ26" s="2">
        <f t="shared" si="26"/>
        <v>10125</v>
      </c>
      <c r="BK26" s="2">
        <f t="shared" si="26"/>
        <v>10980</v>
      </c>
      <c r="BL26" s="2">
        <f t="shared" si="26"/>
        <v>11972</v>
      </c>
      <c r="BM26" s="2">
        <f t="shared" si="26"/>
        <v>11953</v>
      </c>
      <c r="BN26" s="2">
        <f t="shared" si="26"/>
        <v>10849</v>
      </c>
      <c r="BO26" s="2">
        <f t="shared" si="26"/>
        <v>11300</v>
      </c>
      <c r="BP26" s="2">
        <f t="shared" si="26"/>
        <v>12363</v>
      </c>
      <c r="BQ26" s="2">
        <f t="shared" si="26"/>
        <v>11854</v>
      </c>
      <c r="BR26" s="2">
        <f t="shared" si="26"/>
        <v>11544</v>
      </c>
      <c r="BS26" s="2">
        <f t="shared" si="26"/>
        <v>11129</v>
      </c>
      <c r="CU26" s="2">
        <f t="shared" ref="CU26:CU42" si="27">SUM(AY26:BB26)</f>
        <v>33014</v>
      </c>
      <c r="CV26" s="2">
        <f t="shared" ref="CV26:CV42" si="28">SUM(BC26:BF26)</f>
        <v>38655</v>
      </c>
      <c r="CW26" s="2">
        <f t="shared" ref="CW26:CW42" si="29">SUM(BG26:BJ26)</f>
        <v>43004</v>
      </c>
      <c r="CX26" s="2">
        <f t="shared" ref="CX26:CX42" si="30">SUM(BK26:BN26)</f>
        <v>45754</v>
      </c>
      <c r="CY26" s="2">
        <f t="shared" ref="CY26:CY42" si="31">SUM(BO26:BR26)</f>
        <v>47061</v>
      </c>
      <c r="CZ26" s="62">
        <f>CZ6</f>
        <v>49220.69</v>
      </c>
      <c r="DA26" s="62">
        <f t="shared" ref="DA26:FH26" si="32">DA6</f>
        <v>51861.760700000006</v>
      </c>
      <c r="DB26" s="62">
        <f t="shared" si="32"/>
        <v>54975.065396000005</v>
      </c>
      <c r="DC26" s="62">
        <f t="shared" si="32"/>
        <v>58306.365382880016</v>
      </c>
      <c r="DD26" s="62">
        <f t="shared" si="32"/>
        <v>60562.459810737608</v>
      </c>
      <c r="DE26" s="62">
        <f t="shared" si="32"/>
        <v>62536.685991092367</v>
      </c>
      <c r="DF26" s="62">
        <f t="shared" si="32"/>
        <v>70979.138599889833</v>
      </c>
      <c r="DG26" s="62">
        <f t="shared" si="32"/>
        <v>80561.322310874966</v>
      </c>
      <c r="DH26" s="62">
        <f t="shared" si="32"/>
        <v>91437.100822843087</v>
      </c>
      <c r="DI26" s="62">
        <f t="shared" si="32"/>
        <v>103781.1094339269</v>
      </c>
      <c r="DJ26" s="62">
        <f t="shared" si="32"/>
        <v>117791.55920750703</v>
      </c>
      <c r="DK26" s="62">
        <f t="shared" si="32"/>
        <v>133693.41970052049</v>
      </c>
      <c r="DL26" s="62">
        <f t="shared" si="32"/>
        <v>151742.03136009077</v>
      </c>
      <c r="DM26" s="62">
        <f t="shared" si="32"/>
        <v>172227.20559370302</v>
      </c>
      <c r="DN26" s="62">
        <f t="shared" si="32"/>
        <v>195477.87834885294</v>
      </c>
      <c r="DO26" s="62">
        <f t="shared" si="32"/>
        <v>221867.39192594809</v>
      </c>
      <c r="DP26" s="62">
        <f t="shared" si="32"/>
        <v>251819.48983595107</v>
      </c>
      <c r="DQ26" s="62">
        <f t="shared" si="32"/>
        <v>285815.12096380448</v>
      </c>
      <c r="DR26" s="62">
        <f t="shared" si="32"/>
        <v>324400.16229391808</v>
      </c>
      <c r="DS26" s="62">
        <f t="shared" si="32"/>
        <v>368194.18420359702</v>
      </c>
      <c r="DT26" s="62">
        <f t="shared" si="32"/>
        <v>417900.39907108265</v>
      </c>
      <c r="DU26" s="62">
        <f t="shared" si="32"/>
        <v>474316.95294567879</v>
      </c>
      <c r="DV26" s="62">
        <f t="shared" si="32"/>
        <v>538349.74159334542</v>
      </c>
      <c r="DW26" s="62">
        <f t="shared" si="32"/>
        <v>611026.95670844708</v>
      </c>
      <c r="DX26" s="62">
        <f t="shared" si="32"/>
        <v>693515.59586408746</v>
      </c>
      <c r="DY26" s="62">
        <f t="shared" si="32"/>
        <v>787140.20130573923</v>
      </c>
      <c r="DZ26" s="62">
        <f t="shared" si="32"/>
        <v>893404.12848201406</v>
      </c>
      <c r="EA26" s="62">
        <f t="shared" si="32"/>
        <v>1014013.685827086</v>
      </c>
      <c r="EB26" s="62">
        <f t="shared" si="32"/>
        <v>1150905.5334137427</v>
      </c>
      <c r="EC26" s="62">
        <f t="shared" si="32"/>
        <v>1306277.7804245979</v>
      </c>
      <c r="ED26" s="62">
        <f t="shared" si="32"/>
        <v>1482625.2807819187</v>
      </c>
      <c r="EE26" s="62">
        <f t="shared" si="32"/>
        <v>1682779.6936874776</v>
      </c>
      <c r="EF26" s="62">
        <f t="shared" si="32"/>
        <v>1909954.9523352871</v>
      </c>
      <c r="EG26" s="62">
        <f t="shared" si="32"/>
        <v>2167798.8709005509</v>
      </c>
      <c r="EH26" s="62">
        <f t="shared" si="32"/>
        <v>2460451.7184721255</v>
      </c>
      <c r="EI26" s="62">
        <f t="shared" si="32"/>
        <v>2792612.7004658626</v>
      </c>
      <c r="EJ26" s="62">
        <f t="shared" si="32"/>
        <v>3169615.4150287542</v>
      </c>
      <c r="EK26" s="62">
        <f t="shared" si="32"/>
        <v>3597513.4960576361</v>
      </c>
      <c r="EL26" s="62">
        <f t="shared" si="32"/>
        <v>4083177.8180254172</v>
      </c>
      <c r="EM26" s="62">
        <f t="shared" si="32"/>
        <v>4634406.8234588485</v>
      </c>
      <c r="EN26" s="62">
        <f t="shared" si="32"/>
        <v>5260051.7446257928</v>
      </c>
      <c r="EO26" s="62">
        <f t="shared" si="32"/>
        <v>5970158.7301502749</v>
      </c>
      <c r="EP26" s="62">
        <f t="shared" si="32"/>
        <v>6776130.1587205622</v>
      </c>
      <c r="EQ26" s="62">
        <f t="shared" si="32"/>
        <v>7690907.7301478386</v>
      </c>
      <c r="ER26" s="62">
        <f t="shared" si="32"/>
        <v>8729180.2737177964</v>
      </c>
      <c r="ES26" s="62">
        <f t="shared" si="32"/>
        <v>9907619.6106696986</v>
      </c>
      <c r="ET26" s="62">
        <f t="shared" si="32"/>
        <v>11245148.258110108</v>
      </c>
      <c r="EU26" s="62">
        <f t="shared" si="32"/>
        <v>12763243.272954972</v>
      </c>
      <c r="EV26" s="62">
        <f t="shared" si="32"/>
        <v>14486281.114803893</v>
      </c>
      <c r="EW26" s="62">
        <f t="shared" si="32"/>
        <v>16441929.065302419</v>
      </c>
      <c r="EX26" s="62">
        <f t="shared" si="32"/>
        <v>18661589.489118244</v>
      </c>
      <c r="EY26" s="62">
        <f t="shared" si="32"/>
        <v>21180904.070149209</v>
      </c>
      <c r="EZ26" s="62">
        <f t="shared" si="32"/>
        <v>24040326.119619355</v>
      </c>
      <c r="FA26" s="62">
        <f t="shared" si="32"/>
        <v>27285770.145767968</v>
      </c>
      <c r="FB26" s="62">
        <f t="shared" si="32"/>
        <v>30969349.115446646</v>
      </c>
      <c r="FC26" s="62">
        <f t="shared" si="32"/>
        <v>35150211.24603194</v>
      </c>
      <c r="FD26" s="62">
        <f t="shared" si="32"/>
        <v>39895489.764246255</v>
      </c>
      <c r="FE26" s="62">
        <f t="shared" si="32"/>
        <v>45281380.882419497</v>
      </c>
      <c r="FF26" s="62">
        <f t="shared" si="32"/>
        <v>51394367.301546127</v>
      </c>
      <c r="FG26" s="62">
        <f t="shared" si="32"/>
        <v>58332606.887254857</v>
      </c>
      <c r="FH26" s="62">
        <f t="shared" si="32"/>
        <v>66207508.817034259</v>
      </c>
    </row>
    <row r="27" spans="2:165">
      <c r="B27" s="1" t="s">
        <v>125</v>
      </c>
      <c r="AY27" s="1">
        <v>3371</v>
      </c>
      <c r="AZ27" s="1">
        <v>3013</v>
      </c>
      <c r="BA27" s="1">
        <v>3471</v>
      </c>
      <c r="BB27" s="1">
        <f>13433-SUM(AY27:BA27)</f>
        <v>3578</v>
      </c>
      <c r="BC27" s="1">
        <v>3505</v>
      </c>
      <c r="BD27" s="1">
        <v>3787</v>
      </c>
      <c r="BE27" s="1">
        <v>3977</v>
      </c>
      <c r="BF27" s="1">
        <f>15357-SUM(BC27:BE27)</f>
        <v>4088</v>
      </c>
      <c r="BG27" s="1">
        <v>4091</v>
      </c>
      <c r="BH27" s="1">
        <v>4830</v>
      </c>
      <c r="BI27" s="1">
        <v>4566</v>
      </c>
      <c r="BJ27" s="1">
        <f>18000-SUM(BG27:BI27)</f>
        <v>4513</v>
      </c>
      <c r="BK27" s="1">
        <v>4317</v>
      </c>
      <c r="BL27" s="1">
        <v>4912</v>
      </c>
      <c r="BM27" s="1">
        <v>4657</v>
      </c>
      <c r="BN27" s="1">
        <f>18520-SUM(BK27:BM27)</f>
        <v>4634</v>
      </c>
      <c r="BO27" s="1">
        <v>4235</v>
      </c>
      <c r="BP27" s="1">
        <v>4812</v>
      </c>
      <c r="BQ27" s="1">
        <v>4664</v>
      </c>
      <c r="BR27" s="1">
        <f>18324-SUM(BO27:BQ27)</f>
        <v>4613</v>
      </c>
      <c r="BS27" s="1">
        <v>4163</v>
      </c>
      <c r="CU27" s="1">
        <f t="shared" si="27"/>
        <v>13433</v>
      </c>
      <c r="CV27" s="1">
        <f t="shared" si="28"/>
        <v>15357</v>
      </c>
      <c r="CW27" s="1">
        <f t="shared" si="29"/>
        <v>18000</v>
      </c>
      <c r="CX27" s="1">
        <f t="shared" si="30"/>
        <v>18520</v>
      </c>
      <c r="CY27" s="1">
        <f t="shared" si="31"/>
        <v>18324</v>
      </c>
      <c r="FI27" s="1"/>
    </row>
    <row r="28" spans="2:165">
      <c r="B28" s="1" t="s">
        <v>126</v>
      </c>
      <c r="AY28" s="1">
        <f t="shared" ref="AY28:BN28" si="33">AY26-AY27</f>
        <v>5230</v>
      </c>
      <c r="AZ28" s="1">
        <f t="shared" si="33"/>
        <v>4137</v>
      </c>
      <c r="BA28" s="1">
        <f t="shared" si="33"/>
        <v>5181</v>
      </c>
      <c r="BB28" s="1">
        <f t="shared" si="33"/>
        <v>5033</v>
      </c>
      <c r="BC28" s="1">
        <f t="shared" si="33"/>
        <v>5515</v>
      </c>
      <c r="BD28" s="1">
        <f t="shared" si="33"/>
        <v>6342</v>
      </c>
      <c r="BE28" s="1">
        <f t="shared" si="33"/>
        <v>6065</v>
      </c>
      <c r="BF28" s="1">
        <f t="shared" si="33"/>
        <v>5376</v>
      </c>
      <c r="BG28" s="1">
        <f t="shared" si="33"/>
        <v>6400</v>
      </c>
      <c r="BH28" s="1">
        <f t="shared" si="33"/>
        <v>6495</v>
      </c>
      <c r="BI28" s="1">
        <f t="shared" si="33"/>
        <v>6497</v>
      </c>
      <c r="BJ28" s="1">
        <f t="shared" si="33"/>
        <v>5612</v>
      </c>
      <c r="BK28" s="1">
        <f t="shared" si="33"/>
        <v>6663</v>
      </c>
      <c r="BL28" s="1">
        <f t="shared" si="33"/>
        <v>7060</v>
      </c>
      <c r="BM28" s="1">
        <f t="shared" si="33"/>
        <v>7296</v>
      </c>
      <c r="BN28" s="1">
        <f t="shared" si="33"/>
        <v>6215</v>
      </c>
      <c r="BO28" s="1">
        <f>BO26-BO27</f>
        <v>7065</v>
      </c>
      <c r="BP28" s="1">
        <f t="shared" ref="BP28:BS28" si="34">BP26-BP27</f>
        <v>7551</v>
      </c>
      <c r="BQ28" s="1">
        <f t="shared" si="34"/>
        <v>7190</v>
      </c>
      <c r="BR28" s="1">
        <f t="shared" si="34"/>
        <v>6931</v>
      </c>
      <c r="BS28" s="1">
        <f t="shared" si="34"/>
        <v>6966</v>
      </c>
      <c r="CU28" s="1">
        <f t="shared" si="27"/>
        <v>19581</v>
      </c>
      <c r="CV28" s="1">
        <f t="shared" si="28"/>
        <v>23298</v>
      </c>
      <c r="CW28" s="1">
        <f t="shared" si="29"/>
        <v>25004</v>
      </c>
      <c r="CX28" s="1">
        <f t="shared" si="30"/>
        <v>27234</v>
      </c>
      <c r="CY28" s="1">
        <f t="shared" si="31"/>
        <v>28737</v>
      </c>
      <c r="FI28" s="1"/>
    </row>
    <row r="29" spans="2:165">
      <c r="B29" s="1" t="s">
        <v>239</v>
      </c>
      <c r="AY29" s="1">
        <v>2648</v>
      </c>
      <c r="AZ29" s="1">
        <v>1983</v>
      </c>
      <c r="BA29" s="1">
        <v>2511</v>
      </c>
      <c r="BB29" s="1">
        <f>9731-SUM(AY29:BA29)</f>
        <v>2589</v>
      </c>
      <c r="BC29" s="1">
        <v>2669</v>
      </c>
      <c r="BD29" s="1">
        <v>3017</v>
      </c>
      <c r="BE29" s="1">
        <v>3122</v>
      </c>
      <c r="BF29" s="1">
        <f>12144-SUM(BC29:BE29)</f>
        <v>3336</v>
      </c>
      <c r="BG29" s="1">
        <v>2967</v>
      </c>
      <c r="BH29" s="1">
        <v>3203</v>
      </c>
      <c r="BI29" s="1">
        <v>3279</v>
      </c>
      <c r="BJ29" s="1">
        <f>12880-SUM(BG29:BI29)</f>
        <v>3431</v>
      </c>
      <c r="BK29" s="1">
        <v>3185</v>
      </c>
      <c r="BL29" s="1">
        <v>3321</v>
      </c>
      <c r="BM29" s="1">
        <v>3667</v>
      </c>
      <c r="BN29" s="1">
        <f>13972-SUM(BK29:BM29)</f>
        <v>3799</v>
      </c>
      <c r="BO29" s="1">
        <v>3351</v>
      </c>
      <c r="BP29" s="1">
        <v>3549</v>
      </c>
      <c r="BQ29" s="1">
        <v>3636</v>
      </c>
      <c r="BR29" s="1">
        <f>14582-SUM(BO29:BQ29)</f>
        <v>4046</v>
      </c>
      <c r="BS29" s="1">
        <v>3234</v>
      </c>
      <c r="CU29" s="1">
        <f t="shared" si="27"/>
        <v>9731</v>
      </c>
      <c r="CV29" s="1">
        <f t="shared" si="28"/>
        <v>12144</v>
      </c>
      <c r="CW29" s="1">
        <f t="shared" si="29"/>
        <v>12880</v>
      </c>
      <c r="CX29" s="1">
        <f t="shared" si="30"/>
        <v>13972</v>
      </c>
      <c r="CY29" s="1">
        <f t="shared" si="31"/>
        <v>14582</v>
      </c>
      <c r="FI29" s="1"/>
    </row>
    <row r="30" spans="2:165">
      <c r="B30" s="1" t="s">
        <v>240</v>
      </c>
      <c r="AY30" s="1">
        <v>202</v>
      </c>
      <c r="AZ30" s="1">
        <v>173</v>
      </c>
      <c r="BA30" s="1">
        <v>372</v>
      </c>
      <c r="BB30" s="1">
        <f>853-SUM(AY30:BA30)</f>
        <v>106</v>
      </c>
      <c r="BC30" s="1">
        <v>124</v>
      </c>
      <c r="BD30" s="1">
        <v>309</v>
      </c>
      <c r="BE30" s="1">
        <v>45</v>
      </c>
      <c r="BF30" s="1">
        <f>846-SUM(BC30:BE30)</f>
        <v>368</v>
      </c>
      <c r="BG30" s="1">
        <v>28</v>
      </c>
      <c r="BH30" s="1">
        <v>951</v>
      </c>
      <c r="BI30" s="1">
        <v>130</v>
      </c>
      <c r="BJ30" s="1">
        <f>1215-SUM(BG30:BI30)</f>
        <v>106</v>
      </c>
      <c r="BK30" s="1">
        <v>111</v>
      </c>
      <c r="BL30" s="1">
        <v>1338</v>
      </c>
      <c r="BM30" s="1">
        <v>359</v>
      </c>
      <c r="BN30" s="1">
        <f>1951-SUM(BK30:BM30)</f>
        <v>143</v>
      </c>
      <c r="BO30" s="1">
        <v>1573</v>
      </c>
      <c r="BP30" s="1">
        <v>1370</v>
      </c>
      <c r="BQ30" s="1">
        <v>1044</v>
      </c>
      <c r="BR30" s="1">
        <f>4163-SUM(BO30:BQ30)</f>
        <v>176</v>
      </c>
      <c r="BS30" s="1">
        <v>73</v>
      </c>
      <c r="CU30" s="1">
        <f t="shared" si="27"/>
        <v>853</v>
      </c>
      <c r="CV30" s="1">
        <f t="shared" si="28"/>
        <v>846</v>
      </c>
      <c r="CW30" s="1">
        <f t="shared" si="29"/>
        <v>1215</v>
      </c>
      <c r="CX30" s="1">
        <f t="shared" si="30"/>
        <v>1951</v>
      </c>
      <c r="CY30" s="1">
        <f t="shared" si="31"/>
        <v>4163</v>
      </c>
      <c r="FI30" s="1"/>
    </row>
    <row r="31" spans="2:165">
      <c r="B31" s="1" t="s">
        <v>241</v>
      </c>
      <c r="AY31" s="1">
        <f t="shared" ref="AY31:BN31" si="35">AY28-SUM(AY29:AY30)</f>
        <v>2380</v>
      </c>
      <c r="AZ31" s="1">
        <f t="shared" si="35"/>
        <v>1981</v>
      </c>
      <c r="BA31" s="1">
        <f t="shared" si="35"/>
        <v>2298</v>
      </c>
      <c r="BB31" s="1">
        <f t="shared" si="35"/>
        <v>2338</v>
      </c>
      <c r="BC31" s="1">
        <f t="shared" si="35"/>
        <v>2722</v>
      </c>
      <c r="BD31" s="1">
        <f t="shared" si="35"/>
        <v>3016</v>
      </c>
      <c r="BE31" s="1">
        <f t="shared" si="35"/>
        <v>2898</v>
      </c>
      <c r="BF31" s="1">
        <f t="shared" si="35"/>
        <v>1672</v>
      </c>
      <c r="BG31" s="1">
        <f t="shared" si="35"/>
        <v>3405</v>
      </c>
      <c r="BH31" s="1">
        <f t="shared" si="35"/>
        <v>2341</v>
      </c>
      <c r="BI31" s="1">
        <f t="shared" si="35"/>
        <v>3088</v>
      </c>
      <c r="BJ31" s="1">
        <f t="shared" si="35"/>
        <v>2075</v>
      </c>
      <c r="BK31" s="1">
        <f t="shared" si="35"/>
        <v>3367</v>
      </c>
      <c r="BL31" s="1">
        <f t="shared" si="35"/>
        <v>2401</v>
      </c>
      <c r="BM31" s="1">
        <f t="shared" si="35"/>
        <v>3270</v>
      </c>
      <c r="BN31" s="1">
        <f t="shared" si="35"/>
        <v>2273</v>
      </c>
      <c r="BO31" s="1">
        <f>BO28-SUM(BO29:BO30)</f>
        <v>2141</v>
      </c>
      <c r="BP31" s="1">
        <f t="shared" ref="BP31:BS31" si="36">BP28-SUM(BP29:BP30)</f>
        <v>2632</v>
      </c>
      <c r="BQ31" s="1">
        <f t="shared" si="36"/>
        <v>2510</v>
      </c>
      <c r="BR31" s="1">
        <f t="shared" si="36"/>
        <v>2709</v>
      </c>
      <c r="BS31" s="1">
        <f t="shared" si="36"/>
        <v>3659</v>
      </c>
      <c r="CU31" s="1">
        <f t="shared" si="27"/>
        <v>8997</v>
      </c>
      <c r="CV31" s="1">
        <f t="shared" si="28"/>
        <v>10308</v>
      </c>
      <c r="CW31" s="1">
        <f t="shared" si="29"/>
        <v>10909</v>
      </c>
      <c r="CX31" s="1">
        <f t="shared" si="30"/>
        <v>11311</v>
      </c>
      <c r="CY31" s="1">
        <f t="shared" si="31"/>
        <v>9992</v>
      </c>
      <c r="FI31" s="1"/>
    </row>
    <row r="32" spans="2:165">
      <c r="B32" s="1" t="s">
        <v>242</v>
      </c>
      <c r="AY32" s="1">
        <v>112</v>
      </c>
      <c r="AZ32" s="1">
        <v>100</v>
      </c>
      <c r="BA32" s="1">
        <v>82</v>
      </c>
      <c r="BB32" s="1">
        <f>370-SUM(AY32:BA32)</f>
        <v>76</v>
      </c>
      <c r="BC32" s="1">
        <v>66</v>
      </c>
      <c r="BD32" s="1">
        <v>71</v>
      </c>
      <c r="BE32" s="1">
        <v>68</v>
      </c>
      <c r="BF32" s="1">
        <f>276-SUM(BC32:BE32)</f>
        <v>71</v>
      </c>
      <c r="BG32" s="1">
        <v>78</v>
      </c>
      <c r="BH32" s="1">
        <v>100</v>
      </c>
      <c r="BI32" s="1">
        <v>128</v>
      </c>
      <c r="BJ32" s="1">
        <f>449-SUM(BG32:BI32)</f>
        <v>143</v>
      </c>
      <c r="BK32" s="1">
        <v>168</v>
      </c>
      <c r="BL32" s="1">
        <v>224</v>
      </c>
      <c r="BM32" s="1">
        <v>248</v>
      </c>
      <c r="BN32" s="1">
        <f>907-SUM(BK32:BM32)</f>
        <v>267</v>
      </c>
      <c r="BO32" s="1">
        <v>246</v>
      </c>
      <c r="BP32" s="1">
        <v>275</v>
      </c>
      <c r="BQ32" s="1">
        <v>263</v>
      </c>
      <c r="BR32" s="1">
        <f>988-SUM(BO32:BQ32)</f>
        <v>204</v>
      </c>
      <c r="BS32" s="1">
        <v>180</v>
      </c>
      <c r="CU32" s="1">
        <f t="shared" si="27"/>
        <v>370</v>
      </c>
      <c r="CV32" s="1">
        <f t="shared" si="28"/>
        <v>276</v>
      </c>
      <c r="CW32" s="1">
        <f t="shared" si="29"/>
        <v>449</v>
      </c>
      <c r="CX32" s="1">
        <f t="shared" si="30"/>
        <v>907</v>
      </c>
      <c r="CY32" s="1">
        <f t="shared" si="31"/>
        <v>988</v>
      </c>
      <c r="FI32" s="1"/>
    </row>
    <row r="33" spans="2:165">
      <c r="B33" s="1" t="s">
        <v>243</v>
      </c>
      <c r="AY33" s="1">
        <v>193</v>
      </c>
      <c r="AZ33" s="1">
        <v>274</v>
      </c>
      <c r="BA33" s="1">
        <v>660</v>
      </c>
      <c r="BB33" s="1">
        <f>1437-SUM(AY33:BA33)</f>
        <v>310</v>
      </c>
      <c r="BC33" s="1">
        <v>442</v>
      </c>
      <c r="BD33" s="1">
        <v>780</v>
      </c>
      <c r="BE33" s="1">
        <v>210</v>
      </c>
      <c r="BF33" s="1">
        <f>1597-SUM(BC33:BE33)</f>
        <v>165</v>
      </c>
      <c r="BG33" s="1">
        <v>182</v>
      </c>
      <c r="BH33" s="1">
        <v>198</v>
      </c>
      <c r="BI33" s="1">
        <v>198</v>
      </c>
      <c r="BJ33" s="1">
        <f>882-SUM(BG33:BI33)</f>
        <v>304</v>
      </c>
      <c r="BK33" s="1">
        <v>372</v>
      </c>
      <c r="BL33" s="1">
        <v>374</v>
      </c>
      <c r="BM33" s="1">
        <v>368</v>
      </c>
      <c r="BN33" s="1">
        <f>1527-SUM(BK33:BM33)</f>
        <v>413</v>
      </c>
      <c r="BO33" s="1">
        <v>382</v>
      </c>
      <c r="BP33" s="1">
        <v>418</v>
      </c>
      <c r="BQ33" s="1">
        <v>425</v>
      </c>
      <c r="BR33" s="1">
        <f>1656-SUM(BO33:BQ33)</f>
        <v>431</v>
      </c>
      <c r="BS33" s="1">
        <v>387</v>
      </c>
      <c r="CU33" s="1">
        <f t="shared" si="27"/>
        <v>1437</v>
      </c>
      <c r="CV33" s="1">
        <f t="shared" si="28"/>
        <v>1597</v>
      </c>
      <c r="CW33" s="1">
        <f t="shared" si="29"/>
        <v>882</v>
      </c>
      <c r="CX33" s="1">
        <f t="shared" si="30"/>
        <v>1527</v>
      </c>
      <c r="CY33" s="1">
        <f t="shared" si="31"/>
        <v>1656</v>
      </c>
      <c r="FI33" s="1"/>
    </row>
    <row r="34" spans="2:165">
      <c r="B34" s="1" t="s">
        <v>244</v>
      </c>
      <c r="AY34" s="1">
        <v>167</v>
      </c>
      <c r="AZ34" s="1">
        <v>176</v>
      </c>
      <c r="BA34" s="1">
        <v>431</v>
      </c>
      <c r="BB34" s="1">
        <f>978-SUM(AY34:BA34)</f>
        <v>204</v>
      </c>
      <c r="BC34" s="1">
        <v>279</v>
      </c>
      <c r="BD34" s="1">
        <v>402</v>
      </c>
      <c r="BE34" s="1">
        <v>455</v>
      </c>
      <c r="BF34" s="1">
        <f>1438-SUM(BC34:BE34)</f>
        <v>302</v>
      </c>
      <c r="BG34" s="1">
        <v>262</v>
      </c>
      <c r="BH34" s="1">
        <v>392</v>
      </c>
      <c r="BI34" s="1">
        <v>479</v>
      </c>
      <c r="BJ34" s="1">
        <f>1472-SUM(BG34:BI34)</f>
        <v>339</v>
      </c>
      <c r="BK34" s="1">
        <v>275</v>
      </c>
      <c r="BL34" s="1">
        <v>538</v>
      </c>
      <c r="BM34" s="1">
        <v>517</v>
      </c>
      <c r="BN34" s="1">
        <f>1691-SUM(BK34:BM34)</f>
        <v>361</v>
      </c>
      <c r="BO34" s="1">
        <v>354</v>
      </c>
      <c r="BP34" s="1">
        <v>537</v>
      </c>
      <c r="BQ34" s="1">
        <v>541</v>
      </c>
      <c r="BR34" s="1">
        <f>1770-SUM(BO34:BQ34)</f>
        <v>338</v>
      </c>
      <c r="BS34" s="1">
        <v>351</v>
      </c>
      <c r="CU34" s="1">
        <f t="shared" si="27"/>
        <v>978</v>
      </c>
      <c r="CV34" s="1">
        <f t="shared" si="28"/>
        <v>1438</v>
      </c>
      <c r="CW34" s="1">
        <f t="shared" si="29"/>
        <v>1472</v>
      </c>
      <c r="CX34" s="1">
        <f t="shared" si="30"/>
        <v>1691</v>
      </c>
      <c r="CY34" s="1">
        <f t="shared" si="31"/>
        <v>1770</v>
      </c>
      <c r="FI34" s="1"/>
    </row>
    <row r="35" spans="2:165">
      <c r="B35" s="1" t="s">
        <v>245</v>
      </c>
      <c r="AY35" s="1">
        <v>544</v>
      </c>
      <c r="AZ35" s="1">
        <v>214</v>
      </c>
      <c r="BA35" s="1">
        <v>30</v>
      </c>
      <c r="BB35" s="1">
        <f>841-SUM(AY35:BA35)</f>
        <v>53</v>
      </c>
      <c r="BC35" s="1">
        <v>138</v>
      </c>
      <c r="BD35" s="1">
        <v>909</v>
      </c>
      <c r="BE35" s="1">
        <v>-127</v>
      </c>
      <c r="BF35" s="1">
        <f>2000-SUM(BC35:BE35)</f>
        <v>1080</v>
      </c>
      <c r="BG35" s="1">
        <v>-105</v>
      </c>
      <c r="BH35" s="1">
        <v>-351</v>
      </c>
      <c r="BI35" s="1">
        <v>-53</v>
      </c>
      <c r="BJ35" s="1">
        <f>-262-SUM(BG35:BI35)</f>
        <v>247</v>
      </c>
      <c r="BK35" s="1">
        <v>615</v>
      </c>
      <c r="BL35" s="1">
        <v>91</v>
      </c>
      <c r="BM35" s="1">
        <v>-130</v>
      </c>
      <c r="BN35" s="1">
        <f>570-SUM(BK35:BM35)</f>
        <v>-6</v>
      </c>
      <c r="BO35" s="1">
        <v>1513</v>
      </c>
      <c r="BP35" s="1">
        <v>2</v>
      </c>
      <c r="BQ35" s="1">
        <v>491</v>
      </c>
      <c r="BR35" s="1">
        <f>1992-SUM(BO35:BQ35)</f>
        <v>-14</v>
      </c>
      <c r="BS35" s="1">
        <v>254</v>
      </c>
      <c r="CU35" s="1">
        <f t="shared" si="27"/>
        <v>841</v>
      </c>
      <c r="CV35" s="1">
        <f t="shared" si="28"/>
        <v>2000</v>
      </c>
      <c r="CW35" s="1">
        <f t="shared" si="29"/>
        <v>-262</v>
      </c>
      <c r="CX35" s="1">
        <f t="shared" si="30"/>
        <v>570</v>
      </c>
      <c r="CY35" s="1">
        <f t="shared" si="31"/>
        <v>1992</v>
      </c>
      <c r="FI35" s="1"/>
    </row>
    <row r="36" spans="2:165">
      <c r="B36" s="1" t="s">
        <v>246</v>
      </c>
      <c r="AY36" s="1">
        <f t="shared" ref="AY36:BN36" si="37">AY31+AY32-AY33+AY34+AY35</f>
        <v>3010</v>
      </c>
      <c r="AZ36" s="1">
        <f t="shared" si="37"/>
        <v>2197</v>
      </c>
      <c r="BA36" s="1">
        <f t="shared" si="37"/>
        <v>2181</v>
      </c>
      <c r="BB36" s="1">
        <f t="shared" si="37"/>
        <v>2361</v>
      </c>
      <c r="BC36" s="1">
        <f t="shared" si="37"/>
        <v>2763</v>
      </c>
      <c r="BD36" s="1">
        <f t="shared" si="37"/>
        <v>3618</v>
      </c>
      <c r="BE36" s="1">
        <f t="shared" si="37"/>
        <v>3084</v>
      </c>
      <c r="BF36" s="1">
        <f t="shared" si="37"/>
        <v>2960</v>
      </c>
      <c r="BG36" s="1">
        <f t="shared" si="37"/>
        <v>3458</v>
      </c>
      <c r="BH36" s="1">
        <f t="shared" si="37"/>
        <v>2284</v>
      </c>
      <c r="BI36" s="1">
        <f t="shared" si="37"/>
        <v>3444</v>
      </c>
      <c r="BJ36" s="1">
        <f t="shared" si="37"/>
        <v>2500</v>
      </c>
      <c r="BK36" s="1">
        <f t="shared" si="37"/>
        <v>4053</v>
      </c>
      <c r="BL36" s="1">
        <f t="shared" si="37"/>
        <v>2880</v>
      </c>
      <c r="BM36" s="1">
        <f t="shared" si="37"/>
        <v>3537</v>
      </c>
      <c r="BN36" s="1">
        <f t="shared" si="37"/>
        <v>2482</v>
      </c>
      <c r="BO36" s="1">
        <f>BO31+BO32-BO33+BO34+BO35</f>
        <v>3872</v>
      </c>
      <c r="BP36" s="1">
        <f t="shared" ref="BP36:BS36" si="38">BP31+BP32-BP33+BP34+BP35</f>
        <v>3028</v>
      </c>
      <c r="BQ36" s="1">
        <f t="shared" si="38"/>
        <v>3380</v>
      </c>
      <c r="BR36" s="1">
        <f t="shared" si="38"/>
        <v>2806</v>
      </c>
      <c r="BS36" s="1">
        <f t="shared" si="38"/>
        <v>4057</v>
      </c>
      <c r="CU36" s="1">
        <f t="shared" si="27"/>
        <v>9749</v>
      </c>
      <c r="CV36" s="1">
        <f t="shared" si="28"/>
        <v>12425</v>
      </c>
      <c r="CW36" s="1">
        <f t="shared" si="29"/>
        <v>11686</v>
      </c>
      <c r="CX36" s="1">
        <f t="shared" si="30"/>
        <v>12952</v>
      </c>
      <c r="CY36" s="1">
        <f t="shared" si="31"/>
        <v>13086</v>
      </c>
      <c r="FI36" s="1"/>
    </row>
    <row r="37" spans="2:165">
      <c r="B37" s="1" t="s">
        <v>247</v>
      </c>
      <c r="AY37" s="1">
        <v>215</v>
      </c>
      <c r="AZ37" s="1">
        <v>438</v>
      </c>
      <c r="BA37" s="1">
        <v>441</v>
      </c>
      <c r="BB37" s="1">
        <f>1981-SUM(AY37:BA37)</f>
        <v>887</v>
      </c>
      <c r="BC37" s="1">
        <v>508</v>
      </c>
      <c r="BD37" s="1">
        <v>994</v>
      </c>
      <c r="BE37" s="1">
        <v>609</v>
      </c>
      <c r="BF37" s="1">
        <f>2621-SUM(BC37:BE37)</f>
        <v>510</v>
      </c>
      <c r="BG37" s="1">
        <v>665</v>
      </c>
      <c r="BH37" s="1">
        <v>384</v>
      </c>
      <c r="BI37" s="1">
        <v>622</v>
      </c>
      <c r="BJ37" s="1">
        <f>2115-SUM(BG37:BI37)</f>
        <v>444</v>
      </c>
      <c r="BK37" s="1">
        <v>940</v>
      </c>
      <c r="BL37" s="1">
        <v>359</v>
      </c>
      <c r="BM37" s="1">
        <v>454</v>
      </c>
      <c r="BN37" s="1">
        <f>2249-SUM(BK37:BM37)</f>
        <v>496</v>
      </c>
      <c r="BO37" s="1">
        <v>687</v>
      </c>
      <c r="BP37" s="1">
        <v>627</v>
      </c>
      <c r="BQ37" s="1">
        <v>530</v>
      </c>
      <c r="BR37" s="1">
        <f>2437-SUM(BO37:BQ37)</f>
        <v>593</v>
      </c>
      <c r="BS37" s="1">
        <v>722</v>
      </c>
      <c r="CU37" s="1">
        <f t="shared" si="27"/>
        <v>1981</v>
      </c>
      <c r="CV37" s="1">
        <f t="shared" si="28"/>
        <v>2621</v>
      </c>
      <c r="CW37" s="1">
        <f t="shared" si="29"/>
        <v>2115</v>
      </c>
      <c r="CX37" s="1">
        <f t="shared" si="30"/>
        <v>2249</v>
      </c>
      <c r="CY37" s="1">
        <f t="shared" si="31"/>
        <v>2437</v>
      </c>
      <c r="FI37" s="1"/>
    </row>
    <row r="38" spans="2:165" ht="15">
      <c r="B38" s="2" t="s">
        <v>248</v>
      </c>
      <c r="AY38" s="1">
        <f t="shared" ref="AY38:BN38" si="39">AY36-AY37</f>
        <v>2795</v>
      </c>
      <c r="AZ38" s="1">
        <f t="shared" si="39"/>
        <v>1759</v>
      </c>
      <c r="BA38" s="1">
        <f t="shared" si="39"/>
        <v>1740</v>
      </c>
      <c r="BB38" s="1">
        <f t="shared" si="39"/>
        <v>1474</v>
      </c>
      <c r="BC38" s="1">
        <f t="shared" si="39"/>
        <v>2255</v>
      </c>
      <c r="BD38" s="1">
        <f t="shared" si="39"/>
        <v>2624</v>
      </c>
      <c r="BE38" s="1">
        <f t="shared" si="39"/>
        <v>2475</v>
      </c>
      <c r="BF38" s="1">
        <f t="shared" si="39"/>
        <v>2450</v>
      </c>
      <c r="BG38" s="1">
        <f t="shared" si="39"/>
        <v>2793</v>
      </c>
      <c r="BH38" s="1">
        <f t="shared" si="39"/>
        <v>1900</v>
      </c>
      <c r="BI38" s="1">
        <f t="shared" si="39"/>
        <v>2822</v>
      </c>
      <c r="BJ38" s="1">
        <f t="shared" si="39"/>
        <v>2056</v>
      </c>
      <c r="BK38" s="1">
        <f t="shared" si="39"/>
        <v>3113</v>
      </c>
      <c r="BL38" s="1">
        <f t="shared" si="39"/>
        <v>2521</v>
      </c>
      <c r="BM38" s="1">
        <f t="shared" si="39"/>
        <v>3083</v>
      </c>
      <c r="BN38" s="1">
        <f t="shared" si="39"/>
        <v>1986</v>
      </c>
      <c r="BO38" s="1">
        <f>BO36-BO37</f>
        <v>3185</v>
      </c>
      <c r="BP38" s="1">
        <f t="shared" ref="BP38:BS38" si="40">BP36-BP37</f>
        <v>2401</v>
      </c>
      <c r="BQ38" s="1">
        <f t="shared" si="40"/>
        <v>2850</v>
      </c>
      <c r="BR38" s="1">
        <f t="shared" si="40"/>
        <v>2213</v>
      </c>
      <c r="BS38" s="1">
        <f t="shared" si="40"/>
        <v>3335</v>
      </c>
      <c r="CU38" s="1">
        <f t="shared" si="27"/>
        <v>7768</v>
      </c>
      <c r="CV38" s="1">
        <f t="shared" si="28"/>
        <v>9804</v>
      </c>
      <c r="CW38" s="1">
        <f t="shared" si="29"/>
        <v>9571</v>
      </c>
      <c r="CX38" s="1">
        <f t="shared" si="30"/>
        <v>10703</v>
      </c>
      <c r="CY38" s="1">
        <f t="shared" si="31"/>
        <v>10649</v>
      </c>
      <c r="CZ38" s="36">
        <f t="shared" ref="CZ38:DE38" si="41">CZ26*CZ49</f>
        <v>11320.7587</v>
      </c>
      <c r="DA38" s="36">
        <f t="shared" si="41"/>
        <v>12187.513764500001</v>
      </c>
      <c r="DB38" s="36">
        <f t="shared" si="41"/>
        <v>12919.14036806</v>
      </c>
      <c r="DC38" s="36">
        <f t="shared" si="41"/>
        <v>13701.995864976803</v>
      </c>
      <c r="DD38" s="36">
        <f t="shared" si="41"/>
        <v>14232.178055523336</v>
      </c>
      <c r="DE38" s="36">
        <f t="shared" si="41"/>
        <v>14696.121207906705</v>
      </c>
      <c r="DF38" s="36">
        <f>DF26*0.235</f>
        <v>16680.097570974111</v>
      </c>
      <c r="DG38" s="36">
        <f t="shared" ref="DG38:FH38" si="42">DG26*0.235</f>
        <v>18931.910743055618</v>
      </c>
      <c r="DH38" s="36">
        <f t="shared" si="42"/>
        <v>21487.718693368126</v>
      </c>
      <c r="DI38" s="36">
        <f t="shared" si="42"/>
        <v>24388.560716972821</v>
      </c>
      <c r="DJ38" s="36">
        <f t="shared" si="42"/>
        <v>27681.016413764151</v>
      </c>
      <c r="DK38" s="36">
        <f t="shared" si="42"/>
        <v>31417.953629622312</v>
      </c>
      <c r="DL38" s="36">
        <f t="shared" si="42"/>
        <v>35659.377369621332</v>
      </c>
      <c r="DM38" s="36">
        <f t="shared" si="42"/>
        <v>40473.39331452021</v>
      </c>
      <c r="DN38" s="36">
        <f t="shared" si="42"/>
        <v>45937.301411980443</v>
      </c>
      <c r="DO38" s="36">
        <f t="shared" si="42"/>
        <v>52138.837102597798</v>
      </c>
      <c r="DP38" s="36">
        <f t="shared" si="42"/>
        <v>59177.5801114485</v>
      </c>
      <c r="DQ38" s="36">
        <f t="shared" si="42"/>
        <v>67166.553426494051</v>
      </c>
      <c r="DR38" s="36">
        <f t="shared" si="42"/>
        <v>76234.038139070748</v>
      </c>
      <c r="DS38" s="36">
        <f t="shared" si="42"/>
        <v>86525.633287845296</v>
      </c>
      <c r="DT38" s="36">
        <f t="shared" si="42"/>
        <v>98206.593781704418</v>
      </c>
      <c r="DU38" s="36">
        <f t="shared" si="42"/>
        <v>111464.48394223451</v>
      </c>
      <c r="DV38" s="36">
        <f t="shared" si="42"/>
        <v>126512.18927443617</v>
      </c>
      <c r="DW38" s="36">
        <f t="shared" si="42"/>
        <v>143591.33482648505</v>
      </c>
      <c r="DX38" s="36">
        <f t="shared" si="42"/>
        <v>162976.16502806055</v>
      </c>
      <c r="DY38" s="36">
        <f t="shared" si="42"/>
        <v>184977.94730684871</v>
      </c>
      <c r="DZ38" s="36">
        <f t="shared" si="42"/>
        <v>209949.9701932733</v>
      </c>
      <c r="EA38" s="36">
        <f t="shared" si="42"/>
        <v>238293.21616936519</v>
      </c>
      <c r="EB38" s="36">
        <f t="shared" si="42"/>
        <v>270462.8003522295</v>
      </c>
      <c r="EC38" s="36">
        <f t="shared" si="42"/>
        <v>306975.27839978051</v>
      </c>
      <c r="ED38" s="36">
        <f t="shared" si="42"/>
        <v>348416.94098375086</v>
      </c>
      <c r="EE38" s="36">
        <f t="shared" si="42"/>
        <v>395453.22801655723</v>
      </c>
      <c r="EF38" s="36">
        <f t="shared" si="42"/>
        <v>448839.41379879246</v>
      </c>
      <c r="EG38" s="36">
        <f t="shared" si="42"/>
        <v>509432.73466162942</v>
      </c>
      <c r="EH38" s="36">
        <f t="shared" si="42"/>
        <v>578206.15384094941</v>
      </c>
      <c r="EI38" s="36">
        <f t="shared" si="42"/>
        <v>656263.98460947769</v>
      </c>
      <c r="EJ38" s="36">
        <f t="shared" si="42"/>
        <v>744859.62253175722</v>
      </c>
      <c r="EK38" s="36">
        <f t="shared" si="42"/>
        <v>845415.67157354439</v>
      </c>
      <c r="EL38" s="36">
        <f t="shared" si="42"/>
        <v>959546.78723597294</v>
      </c>
      <c r="EM38" s="36">
        <f t="shared" si="42"/>
        <v>1089085.6035128294</v>
      </c>
      <c r="EN38" s="36">
        <f t="shared" si="42"/>
        <v>1236112.1599870613</v>
      </c>
      <c r="EO38" s="36">
        <f t="shared" si="42"/>
        <v>1402987.3015853146</v>
      </c>
      <c r="EP38" s="36">
        <f t="shared" si="42"/>
        <v>1592390.587299332</v>
      </c>
      <c r="EQ38" s="36">
        <f t="shared" si="42"/>
        <v>1807363.3165847419</v>
      </c>
      <c r="ER38" s="36">
        <f t="shared" si="42"/>
        <v>2051357.3643236822</v>
      </c>
      <c r="ES38" s="36">
        <f t="shared" si="42"/>
        <v>2328290.608507379</v>
      </c>
      <c r="ET38" s="36">
        <f t="shared" si="42"/>
        <v>2642609.8406558754</v>
      </c>
      <c r="EU38" s="36">
        <f t="shared" si="42"/>
        <v>2999362.1691444186</v>
      </c>
      <c r="EV38" s="36">
        <f t="shared" si="42"/>
        <v>3404276.0619789148</v>
      </c>
      <c r="EW38" s="36">
        <f t="shared" si="42"/>
        <v>3863853.3303460684</v>
      </c>
      <c r="EX38" s="36">
        <f t="shared" si="42"/>
        <v>4385473.5299427873</v>
      </c>
      <c r="EY38" s="36">
        <f t="shared" si="42"/>
        <v>4977512.4564850638</v>
      </c>
      <c r="EZ38" s="36">
        <f t="shared" si="42"/>
        <v>5649476.6381105483</v>
      </c>
      <c r="FA38" s="36">
        <f t="shared" si="42"/>
        <v>6412155.9842554722</v>
      </c>
      <c r="FB38" s="36">
        <f t="shared" si="42"/>
        <v>7277797.0421299618</v>
      </c>
      <c r="FC38" s="36">
        <f t="shared" si="42"/>
        <v>8260299.6428175056</v>
      </c>
      <c r="FD38" s="36">
        <f t="shared" si="42"/>
        <v>9375440.0945978686</v>
      </c>
      <c r="FE38" s="36">
        <f t="shared" si="42"/>
        <v>10641124.507368581</v>
      </c>
      <c r="FF38" s="36">
        <f t="shared" si="42"/>
        <v>12077676.315863339</v>
      </c>
      <c r="FG38" s="36">
        <f t="shared" si="42"/>
        <v>13708162.618504891</v>
      </c>
      <c r="FH38" s="36">
        <f t="shared" si="42"/>
        <v>15558764.57200305</v>
      </c>
      <c r="FI38" s="1"/>
    </row>
    <row r="39" spans="2:165">
      <c r="B39" s="1" t="s">
        <v>249</v>
      </c>
      <c r="AY39" s="1">
        <v>20</v>
      </c>
      <c r="AZ39" s="1">
        <v>-20</v>
      </c>
      <c r="BA39" s="1">
        <v>3</v>
      </c>
      <c r="BB39" s="1">
        <f>21-SUM(AY39:BA39)</f>
        <v>18</v>
      </c>
      <c r="BC39" s="1">
        <v>10</v>
      </c>
      <c r="BD39" s="1">
        <v>-17</v>
      </c>
      <c r="BE39" s="1">
        <v>4</v>
      </c>
      <c r="BF39" s="1">
        <f>33-SUM(BC39:BE39)</f>
        <v>36</v>
      </c>
      <c r="BG39" s="1">
        <v>12</v>
      </c>
      <c r="BH39" s="1">
        <v>-5</v>
      </c>
      <c r="BI39" s="1">
        <v>-3</v>
      </c>
      <c r="BJ39" s="1">
        <f>29-SUM(BG39:BI39)</f>
        <v>25</v>
      </c>
      <c r="BK39" s="1">
        <v>6</v>
      </c>
      <c r="BL39" s="1">
        <v>-26</v>
      </c>
      <c r="BM39" s="1">
        <v>-4</v>
      </c>
      <c r="BN39" s="1">
        <f>-11-SUM(BK39:BM39)</f>
        <v>13</v>
      </c>
      <c r="BO39" s="1">
        <v>8</v>
      </c>
      <c r="BP39" s="1">
        <v>-10</v>
      </c>
      <c r="BQ39" s="1">
        <v>2</v>
      </c>
      <c r="BR39" s="1">
        <f>18-SUM(BO39:BQ39)</f>
        <v>18</v>
      </c>
      <c r="BS39" s="1">
        <v>5</v>
      </c>
      <c r="CU39" s="1">
        <f t="shared" si="27"/>
        <v>21</v>
      </c>
      <c r="CV39" s="1">
        <f t="shared" si="28"/>
        <v>33</v>
      </c>
      <c r="CW39" s="1">
        <f t="shared" si="29"/>
        <v>29</v>
      </c>
      <c r="CX39" s="1">
        <f t="shared" si="30"/>
        <v>-11</v>
      </c>
      <c r="CY39" s="1">
        <f t="shared" si="31"/>
        <v>18</v>
      </c>
      <c r="FI39" s="1"/>
    </row>
    <row r="40" spans="2:165">
      <c r="B40" s="1" t="s">
        <v>250</v>
      </c>
      <c r="AY40" s="1">
        <f t="shared" ref="AY40:BJ40" si="43">AY38-AY39</f>
        <v>2775</v>
      </c>
      <c r="AZ40" s="1">
        <f t="shared" si="43"/>
        <v>1779</v>
      </c>
      <c r="BA40" s="1">
        <f t="shared" si="43"/>
        <v>1737</v>
      </c>
      <c r="BB40" s="1">
        <f t="shared" si="43"/>
        <v>1456</v>
      </c>
      <c r="BC40" s="1">
        <f t="shared" si="43"/>
        <v>2245</v>
      </c>
      <c r="BD40" s="1">
        <f t="shared" si="43"/>
        <v>2641</v>
      </c>
      <c r="BE40" s="1">
        <f t="shared" si="43"/>
        <v>2471</v>
      </c>
      <c r="BF40" s="1">
        <f t="shared" si="43"/>
        <v>2414</v>
      </c>
      <c r="BG40" s="1">
        <f t="shared" si="43"/>
        <v>2781</v>
      </c>
      <c r="BH40" s="1">
        <f t="shared" si="43"/>
        <v>1905</v>
      </c>
      <c r="BI40" s="1">
        <f t="shared" si="43"/>
        <v>2825</v>
      </c>
      <c r="BJ40" s="1">
        <f t="shared" si="43"/>
        <v>2031</v>
      </c>
      <c r="BK40" s="1">
        <f>BK38-BK39</f>
        <v>3107</v>
      </c>
      <c r="BL40" s="1">
        <f t="shared" ref="BL40:BS40" si="44">BL38-BL39</f>
        <v>2547</v>
      </c>
      <c r="BM40" s="1">
        <f t="shared" si="44"/>
        <v>3087</v>
      </c>
      <c r="BN40" s="1">
        <f t="shared" si="44"/>
        <v>1973</v>
      </c>
      <c r="BO40" s="1">
        <f t="shared" si="44"/>
        <v>3177</v>
      </c>
      <c r="BP40" s="1">
        <f t="shared" si="44"/>
        <v>2411</v>
      </c>
      <c r="BQ40" s="1">
        <f t="shared" si="44"/>
        <v>2848</v>
      </c>
      <c r="BR40" s="1">
        <f t="shared" si="44"/>
        <v>2195</v>
      </c>
      <c r="BS40" s="1">
        <f t="shared" si="44"/>
        <v>3330</v>
      </c>
      <c r="CU40" s="1">
        <f t="shared" si="27"/>
        <v>7747</v>
      </c>
      <c r="CV40" s="1">
        <f t="shared" si="28"/>
        <v>9771</v>
      </c>
      <c r="CW40" s="1">
        <f t="shared" si="29"/>
        <v>9542</v>
      </c>
      <c r="CX40" s="1">
        <f t="shared" si="30"/>
        <v>10714</v>
      </c>
      <c r="CY40" s="1">
        <f t="shared" si="31"/>
        <v>10631</v>
      </c>
      <c r="FI40" s="1"/>
    </row>
    <row r="41" spans="2:165">
      <c r="B41" s="1" t="s">
        <v>251</v>
      </c>
      <c r="AY41" s="1">
        <v>4289</v>
      </c>
      <c r="AZ41" s="1">
        <v>4295</v>
      </c>
      <c r="BA41" s="1">
        <v>4296</v>
      </c>
      <c r="BB41" s="1">
        <v>4295</v>
      </c>
      <c r="BC41" s="1">
        <v>4307</v>
      </c>
      <c r="BD41" s="1">
        <v>4313</v>
      </c>
      <c r="BE41" s="1">
        <v>4318</v>
      </c>
      <c r="BF41" s="1">
        <v>4315</v>
      </c>
      <c r="BG41" s="1">
        <v>4332</v>
      </c>
      <c r="BH41" s="1">
        <v>4331</v>
      </c>
      <c r="BI41" s="1">
        <v>4325</v>
      </c>
      <c r="BJ41" s="1">
        <v>4328</v>
      </c>
      <c r="BK41" s="1">
        <v>4326</v>
      </c>
      <c r="BL41" s="1">
        <v>4325</v>
      </c>
      <c r="BM41" s="1">
        <v>4324</v>
      </c>
      <c r="BN41" s="1">
        <v>4323</v>
      </c>
      <c r="BO41" s="1">
        <v>4310</v>
      </c>
      <c r="BP41" s="1">
        <v>4309</v>
      </c>
      <c r="BQ41" s="1">
        <v>4311</v>
      </c>
      <c r="BR41" s="1">
        <v>4309</v>
      </c>
      <c r="BS41" s="1">
        <v>4302</v>
      </c>
      <c r="CU41" s="1">
        <f t="shared" si="27"/>
        <v>17175</v>
      </c>
      <c r="CV41" s="1">
        <f t="shared" si="28"/>
        <v>17253</v>
      </c>
      <c r="CW41" s="1">
        <f t="shared" si="29"/>
        <v>17316</v>
      </c>
      <c r="CX41" s="1">
        <f t="shared" si="30"/>
        <v>17298</v>
      </c>
      <c r="CY41" s="1">
        <f t="shared" si="31"/>
        <v>17239</v>
      </c>
      <c r="FI41" s="1"/>
    </row>
    <row r="42" spans="2:165" ht="15">
      <c r="B42" s="2" t="s">
        <v>252</v>
      </c>
      <c r="AY42" s="39">
        <f t="shared" ref="AY42:BS42" si="45">AY40/AY41</f>
        <v>0.64700396362788526</v>
      </c>
      <c r="AZ42" s="39">
        <f t="shared" si="45"/>
        <v>0.41420256111757858</v>
      </c>
      <c r="BA42" s="39">
        <f t="shared" si="45"/>
        <v>0.40432960893854747</v>
      </c>
      <c r="BB42" s="39">
        <f t="shared" si="45"/>
        <v>0.33899883585564611</v>
      </c>
      <c r="BC42" s="39">
        <f t="shared" si="45"/>
        <v>0.52124448572091941</v>
      </c>
      <c r="BD42" s="39">
        <f t="shared" si="45"/>
        <v>0.61233480176211452</v>
      </c>
      <c r="BE42" s="39">
        <f t="shared" si="45"/>
        <v>0.57225567392311261</v>
      </c>
      <c r="BF42" s="39">
        <f t="shared" si="45"/>
        <v>0.55944380069524913</v>
      </c>
      <c r="BG42" s="39">
        <f t="shared" si="45"/>
        <v>0.64196675900277012</v>
      </c>
      <c r="BH42" s="39">
        <f t="shared" si="45"/>
        <v>0.43985222812283536</v>
      </c>
      <c r="BI42" s="39">
        <f t="shared" si="45"/>
        <v>0.65317919075144504</v>
      </c>
      <c r="BJ42" s="39">
        <f t="shared" si="45"/>
        <v>0.46926987060998154</v>
      </c>
      <c r="BK42" s="39">
        <f t="shared" si="45"/>
        <v>0.71821544151641237</v>
      </c>
      <c r="BL42" s="39">
        <f t="shared" si="45"/>
        <v>0.58890173410404623</v>
      </c>
      <c r="BM42" s="39">
        <f t="shared" si="45"/>
        <v>0.71392229417206288</v>
      </c>
      <c r="BN42" s="39">
        <f t="shared" si="45"/>
        <v>0.45639602128151746</v>
      </c>
      <c r="BO42" s="39">
        <f t="shared" si="45"/>
        <v>0.73712296983758696</v>
      </c>
      <c r="BP42" s="39">
        <f t="shared" si="45"/>
        <v>0.55952657229055469</v>
      </c>
      <c r="BQ42" s="39">
        <f t="shared" si="45"/>
        <v>0.66063558339132455</v>
      </c>
      <c r="BR42" s="39">
        <f t="shared" si="45"/>
        <v>0.50939893246692969</v>
      </c>
      <c r="BS42" s="39">
        <f t="shared" si="45"/>
        <v>0.77405857740585771</v>
      </c>
      <c r="CU42" s="39">
        <f t="shared" si="27"/>
        <v>1.8045349695396575</v>
      </c>
      <c r="CV42" s="39">
        <f t="shared" si="28"/>
        <v>2.2652787621013957</v>
      </c>
      <c r="CW42" s="39">
        <f t="shared" si="29"/>
        <v>2.2042680484870321</v>
      </c>
      <c r="CX42" s="39">
        <f t="shared" si="30"/>
        <v>2.477435491074039</v>
      </c>
      <c r="CY42" s="39">
        <f t="shared" si="31"/>
        <v>2.466684057986396</v>
      </c>
      <c r="FI42" s="1"/>
    </row>
    <row r="43" spans="2:165" ht="15">
      <c r="B43" s="2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CU43" s="39"/>
      <c r="CV43" s="39"/>
      <c r="CW43" s="39"/>
      <c r="CX43" s="39"/>
      <c r="CY43" s="39"/>
      <c r="FI43" s="1"/>
    </row>
    <row r="44" spans="2:165">
      <c r="B44" s="37" t="s">
        <v>127</v>
      </c>
      <c r="AY44" s="59">
        <f t="shared" ref="AY44:BQ44" si="46">AY28/AY26</f>
        <v>0.60806882920590632</v>
      </c>
      <c r="AZ44" s="59">
        <f t="shared" si="46"/>
        <v>0.57860139860139859</v>
      </c>
      <c r="BA44" s="59">
        <f t="shared" si="46"/>
        <v>0.59882108183079052</v>
      </c>
      <c r="BB44" s="59">
        <f t="shared" si="46"/>
        <v>0.58448496109627224</v>
      </c>
      <c r="BC44" s="59">
        <f t="shared" si="46"/>
        <v>0.61141906873614194</v>
      </c>
      <c r="BD44" s="59">
        <f t="shared" si="46"/>
        <v>0.62612301313061502</v>
      </c>
      <c r="BE44" s="59">
        <f t="shared" si="46"/>
        <v>0.60396335391356304</v>
      </c>
      <c r="BF44" s="59">
        <f t="shared" si="46"/>
        <v>0.56804733727810652</v>
      </c>
      <c r="BG44" s="59">
        <f t="shared" si="46"/>
        <v>0.61004670670098182</v>
      </c>
      <c r="BH44" s="59">
        <f t="shared" si="46"/>
        <v>0.57350993377483439</v>
      </c>
      <c r="BI44" s="59">
        <f t="shared" si="46"/>
        <v>0.58727289162071772</v>
      </c>
      <c r="BJ44" s="59">
        <f t="shared" si="46"/>
        <v>0.55427160493827166</v>
      </c>
      <c r="BK44" s="59">
        <f t="shared" si="46"/>
        <v>0.60683060109289622</v>
      </c>
      <c r="BL44" s="59">
        <f t="shared" si="46"/>
        <v>0.58970932175075175</v>
      </c>
      <c r="BM44" s="59">
        <f t="shared" si="46"/>
        <v>0.61039069689617664</v>
      </c>
      <c r="BN44" s="59">
        <f t="shared" si="46"/>
        <v>0.57286385842013088</v>
      </c>
      <c r="BO44" s="59">
        <f t="shared" si="46"/>
        <v>0.62522123893805315</v>
      </c>
      <c r="BP44" s="59">
        <f t="shared" si="46"/>
        <v>0.61077408396020383</v>
      </c>
      <c r="BQ44" s="59">
        <f t="shared" si="46"/>
        <v>0.60654631348068166</v>
      </c>
      <c r="BR44" s="59">
        <f>BR28/BR26</f>
        <v>0.60039847539847535</v>
      </c>
      <c r="BS44" s="59">
        <f>BS28/BS26</f>
        <v>0.62593224907898282</v>
      </c>
      <c r="CU44" s="59">
        <f>CU28/CU26</f>
        <v>0.59311201308535777</v>
      </c>
      <c r="CV44" s="59">
        <f>CV28/CV26</f>
        <v>0.60271633682576642</v>
      </c>
      <c r="CW44" s="59">
        <f>CW28/CW26</f>
        <v>0.58143428518277374</v>
      </c>
      <c r="CX44" s="59">
        <f>CX28/CX26</f>
        <v>0.5952266468505486</v>
      </c>
      <c r="CY44" s="59">
        <f>CY28/CY26</f>
        <v>0.61063300822336963</v>
      </c>
      <c r="CZ44" s="60">
        <v>0.61</v>
      </c>
      <c r="DA44" s="60">
        <v>0.61</v>
      </c>
      <c r="DB44" s="60">
        <v>0.62</v>
      </c>
      <c r="DC44" s="60">
        <v>0.62</v>
      </c>
      <c r="DD44" s="60">
        <v>0.62</v>
      </c>
      <c r="DE44" s="60">
        <v>0.62</v>
      </c>
      <c r="FI44" s="1"/>
    </row>
    <row r="45" spans="2:165">
      <c r="B45" s="37" t="s">
        <v>128</v>
      </c>
      <c r="AY45" s="59"/>
      <c r="AZ45" s="59"/>
      <c r="BA45" s="59"/>
      <c r="BB45" s="59"/>
      <c r="BC45" s="59">
        <f t="shared" ref="BC45:BQ45" si="47">BC44/AY44-1</f>
        <v>5.5096386614830184E-3</v>
      </c>
      <c r="BD45" s="59">
        <f t="shared" si="47"/>
        <v>8.2131869442566563E-2</v>
      </c>
      <c r="BE45" s="59">
        <f t="shared" si="47"/>
        <v>8.5873263964770796E-3</v>
      </c>
      <c r="BF45" s="59">
        <f t="shared" si="47"/>
        <v>-2.8123262209065136E-2</v>
      </c>
      <c r="BG45" s="59">
        <f t="shared" si="47"/>
        <v>-2.244552231576491E-3</v>
      </c>
      <c r="BH45" s="59">
        <f t="shared" si="47"/>
        <v>-8.4029940207300813E-2</v>
      </c>
      <c r="BI45" s="59">
        <f t="shared" si="47"/>
        <v>-2.7634892389901466E-2</v>
      </c>
      <c r="BJ45" s="59">
        <f t="shared" si="47"/>
        <v>-2.4251028806584252E-2</v>
      </c>
      <c r="BK45" s="59">
        <f t="shared" si="47"/>
        <v>-5.2719006147541325E-3</v>
      </c>
      <c r="BL45" s="59">
        <f t="shared" si="47"/>
        <v>2.824604600881675E-2</v>
      </c>
      <c r="BM45" s="59">
        <f t="shared" si="47"/>
        <v>3.9364672889395491E-2</v>
      </c>
      <c r="BN45" s="59">
        <f t="shared" si="47"/>
        <v>3.3543579205955965E-2</v>
      </c>
      <c r="BO45" s="59">
        <f t="shared" si="47"/>
        <v>3.0306048857845269E-2</v>
      </c>
      <c r="BP45" s="59">
        <f t="shared" si="47"/>
        <v>3.5720585435065288E-2</v>
      </c>
      <c r="BQ45" s="59">
        <f t="shared" si="47"/>
        <v>-6.298233959075028E-3</v>
      </c>
      <c r="BR45" s="59">
        <f>BR44/BN44-1</f>
        <v>4.8064852710870243E-2</v>
      </c>
      <c r="BS45" s="59">
        <f>BS44/BO44-1</f>
        <v>1.137213671975168E-3</v>
      </c>
      <c r="CU45" s="39"/>
      <c r="CV45" s="59">
        <f t="shared" ref="CV45:CX45" si="48">CV44/CU44-1</f>
        <v>1.6193102699854522E-2</v>
      </c>
      <c r="CW45" s="59">
        <f t="shared" si="48"/>
        <v>-3.5310228614468309E-2</v>
      </c>
      <c r="CX45" s="59">
        <f t="shared" si="48"/>
        <v>2.3721273442688817E-2</v>
      </c>
      <c r="CY45" s="59">
        <f>CY44/CX44-1</f>
        <v>2.5883184925169056E-2</v>
      </c>
      <c r="CZ45" s="60"/>
      <c r="DA45" s="60"/>
      <c r="DB45" s="60"/>
      <c r="DC45" s="60"/>
      <c r="DD45" s="60"/>
      <c r="DE45" s="60"/>
      <c r="FI45" s="1"/>
    </row>
    <row r="46" spans="2:165">
      <c r="B46" s="37" t="s">
        <v>129</v>
      </c>
      <c r="AY46" s="59">
        <f t="shared" ref="AY46:BQ46" si="49">AY31/AY26</f>
        <v>0.27671201023136843</v>
      </c>
      <c r="AZ46" s="59">
        <f t="shared" si="49"/>
        <v>0.27706293706293705</v>
      </c>
      <c r="BA46" s="59">
        <f t="shared" si="49"/>
        <v>0.26560332871012482</v>
      </c>
      <c r="BB46" s="59">
        <f t="shared" si="49"/>
        <v>0.27151318081523634</v>
      </c>
      <c r="BC46" s="59">
        <f t="shared" si="49"/>
        <v>0.30177383592017737</v>
      </c>
      <c r="BD46" s="59">
        <f t="shared" si="49"/>
        <v>0.29775891006022315</v>
      </c>
      <c r="BE46" s="59">
        <f t="shared" si="49"/>
        <v>0.28858793069109739</v>
      </c>
      <c r="BF46" s="59">
        <f t="shared" si="49"/>
        <v>0.17666948436179206</v>
      </c>
      <c r="BG46" s="59">
        <f t="shared" si="49"/>
        <v>0.32456391192450673</v>
      </c>
      <c r="BH46" s="59">
        <f t="shared" si="49"/>
        <v>0.20671081677704195</v>
      </c>
      <c r="BI46" s="59">
        <f t="shared" si="49"/>
        <v>0.27912862695471391</v>
      </c>
      <c r="BJ46" s="59">
        <f t="shared" si="49"/>
        <v>0.20493827160493827</v>
      </c>
      <c r="BK46" s="59">
        <f t="shared" si="49"/>
        <v>0.30664845173041894</v>
      </c>
      <c r="BL46" s="59">
        <f t="shared" si="49"/>
        <v>0.20055128633478114</v>
      </c>
      <c r="BM46" s="59">
        <f t="shared" si="49"/>
        <v>0.27357148832928974</v>
      </c>
      <c r="BN46" s="59">
        <f t="shared" si="49"/>
        <v>0.20951239745598674</v>
      </c>
      <c r="BO46" s="59">
        <f t="shared" si="49"/>
        <v>0.18946902654867256</v>
      </c>
      <c r="BP46" s="59">
        <f t="shared" si="49"/>
        <v>0.21289331068510881</v>
      </c>
      <c r="BQ46" s="59">
        <f t="shared" si="49"/>
        <v>0.21174287160452168</v>
      </c>
      <c r="BR46" s="59">
        <f>BR31/BR26</f>
        <v>0.23466735966735966</v>
      </c>
      <c r="BS46" s="59">
        <f>BS31/BS26</f>
        <v>0.32878066313235693</v>
      </c>
      <c r="CU46" s="59">
        <f>CU31/CU26</f>
        <v>0.27252074877324772</v>
      </c>
      <c r="CV46" s="59">
        <f>CV31/CV26</f>
        <v>0.26666666666666666</v>
      </c>
      <c r="CW46" s="59">
        <f>CW31/CW26</f>
        <v>0.25367407683006232</v>
      </c>
      <c r="CX46" s="59">
        <f>CX31/CX26</f>
        <v>0.24721335839489444</v>
      </c>
      <c r="CY46" s="59">
        <f>CY31/CY26</f>
        <v>0.21232018019166612</v>
      </c>
      <c r="FI46" s="1"/>
    </row>
    <row r="47" spans="2:165">
      <c r="B47" s="37" t="s">
        <v>130</v>
      </c>
      <c r="AY47" s="59"/>
      <c r="AZ47" s="59"/>
      <c r="BA47" s="59"/>
      <c r="BB47" s="59"/>
      <c r="BC47" s="59">
        <f t="shared" ref="BC47:BP47" si="50">BC46/AY46-1</f>
        <v>9.0570068382120006E-2</v>
      </c>
      <c r="BD47" s="59">
        <f t="shared" si="50"/>
        <v>7.4697731918523802E-2</v>
      </c>
      <c r="BE47" s="59">
        <f t="shared" si="50"/>
        <v>8.6537326518439928E-2</v>
      </c>
      <c r="BF47" s="59">
        <f t="shared" si="50"/>
        <v>-0.34931525669829289</v>
      </c>
      <c r="BG47" s="59">
        <f t="shared" si="50"/>
        <v>7.5520384114272865E-2</v>
      </c>
      <c r="BH47" s="59">
        <f t="shared" si="50"/>
        <v>-0.30577789683864132</v>
      </c>
      <c r="BI47" s="59">
        <f t="shared" si="50"/>
        <v>-3.2777891000953407E-2</v>
      </c>
      <c r="BJ47" s="59">
        <f t="shared" si="50"/>
        <v>0.16000945123752142</v>
      </c>
      <c r="BK47" s="59">
        <f t="shared" si="50"/>
        <v>-5.5198558853502222E-2</v>
      </c>
      <c r="BL47" s="59">
        <f t="shared" si="50"/>
        <v>-2.9797813865272804E-2</v>
      </c>
      <c r="BM47" s="59">
        <f t="shared" si="50"/>
        <v>-1.9908881027547842E-2</v>
      </c>
      <c r="BN47" s="59">
        <f t="shared" si="50"/>
        <v>2.2319529755115974E-2</v>
      </c>
      <c r="BO47" s="59">
        <f t="shared" si="50"/>
        <v>-0.38212951841270426</v>
      </c>
      <c r="BP47" s="59">
        <f t="shared" si="50"/>
        <v>6.154048959688585E-2</v>
      </c>
      <c r="BQ47" s="59">
        <f>BQ46/BM46-1</f>
        <v>-0.22600533813796708</v>
      </c>
      <c r="BR47" s="59">
        <f>BR46/BN46-1</f>
        <v>0.12006431369607773</v>
      </c>
      <c r="BS47" s="59">
        <f>BS46/BO46-1</f>
        <v>0.73527393432771282</v>
      </c>
      <c r="CU47" s="39"/>
      <c r="CV47" s="59">
        <f t="shared" ref="CV47:CX47" si="51">CV46/CU46-1</f>
        <v>-2.1481234485569267E-2</v>
      </c>
      <c r="CW47" s="59">
        <f t="shared" si="51"/>
        <v>-4.8722211887266331E-2</v>
      </c>
      <c r="CX47" s="59">
        <f t="shared" si="51"/>
        <v>-2.5468579666876878E-2</v>
      </c>
      <c r="CY47" s="59">
        <f>CY46/CX46-1</f>
        <v>-0.14114600614539019</v>
      </c>
      <c r="CZ47" s="60">
        <v>0.23</v>
      </c>
      <c r="DA47" s="60">
        <v>0.23499999999999999</v>
      </c>
      <c r="DB47" s="60">
        <v>0.24</v>
      </c>
      <c r="DC47" s="60">
        <v>0.24</v>
      </c>
      <c r="DD47" s="60">
        <v>0.24</v>
      </c>
      <c r="DE47" s="60">
        <v>0.24</v>
      </c>
      <c r="FI47" s="1"/>
    </row>
    <row r="48" spans="2:165">
      <c r="B48" s="37" t="s">
        <v>131</v>
      </c>
      <c r="AY48" s="59">
        <f>AY38/AY26</f>
        <v>0.32496221369608186</v>
      </c>
      <c r="AZ48" s="59">
        <f t="shared" ref="AZ48:BQ48" si="52">AZ38/AZ26</f>
        <v>0.24601398601398602</v>
      </c>
      <c r="BA48" s="59">
        <f t="shared" si="52"/>
        <v>0.20110957004160887</v>
      </c>
      <c r="BB48" s="59">
        <f t="shared" si="52"/>
        <v>0.17117640227615841</v>
      </c>
      <c r="BC48" s="59">
        <f t="shared" si="52"/>
        <v>0.25</v>
      </c>
      <c r="BD48" s="59">
        <f t="shared" si="52"/>
        <v>0.25905814986671932</v>
      </c>
      <c r="BE48" s="59">
        <f t="shared" si="52"/>
        <v>0.24646484763991236</v>
      </c>
      <c r="BF48" s="59">
        <f t="shared" si="52"/>
        <v>0.2588757396449704</v>
      </c>
      <c r="BG48" s="59">
        <f t="shared" si="52"/>
        <v>0.26622819559622535</v>
      </c>
      <c r="BH48" s="59">
        <f t="shared" si="52"/>
        <v>0.16777041942604856</v>
      </c>
      <c r="BI48" s="59">
        <f t="shared" si="52"/>
        <v>0.25508451595408116</v>
      </c>
      <c r="BJ48" s="59">
        <f t="shared" si="52"/>
        <v>0.20306172839506173</v>
      </c>
      <c r="BK48" s="59">
        <f t="shared" si="52"/>
        <v>0.28351548269581056</v>
      </c>
      <c r="BL48" s="59">
        <f t="shared" si="52"/>
        <v>0.21057467423989309</v>
      </c>
      <c r="BM48" s="59">
        <f t="shared" si="52"/>
        <v>0.257926880281101</v>
      </c>
      <c r="BN48" s="59">
        <f t="shared" si="52"/>
        <v>0.18305834639137247</v>
      </c>
      <c r="BO48" s="59">
        <f t="shared" si="52"/>
        <v>0.28185840707964605</v>
      </c>
      <c r="BP48" s="59">
        <f t="shared" si="52"/>
        <v>0.19420852543880934</v>
      </c>
      <c r="BQ48" s="59">
        <f t="shared" si="52"/>
        <v>0.24042517293740509</v>
      </c>
      <c r="BR48" s="59">
        <f>BR38/BR26</f>
        <v>0.19170131670131671</v>
      </c>
      <c r="BS48" s="59">
        <f>BS38/BS26</f>
        <v>0.29966753526821815</v>
      </c>
      <c r="CU48" s="59">
        <f t="shared" ref="CU48:CW48" si="53">CU38/CU26</f>
        <v>0.23529411764705882</v>
      </c>
      <c r="CV48" s="59">
        <f t="shared" si="53"/>
        <v>0.25362824990298799</v>
      </c>
      <c r="CW48" s="59">
        <f t="shared" si="53"/>
        <v>0.2225606920286485</v>
      </c>
      <c r="CX48" s="59">
        <f>CX38/CX26</f>
        <v>0.23392490274074398</v>
      </c>
      <c r="CY48" s="59">
        <f>CY38/CY26</f>
        <v>0.22628078451371625</v>
      </c>
      <c r="FI48" s="1"/>
    </row>
    <row r="49" spans="2:165">
      <c r="B49" s="37" t="s">
        <v>132</v>
      </c>
      <c r="AY49" s="59"/>
      <c r="AZ49" s="59"/>
      <c r="BA49" s="59"/>
      <c r="BB49" s="59"/>
      <c r="BC49" s="59">
        <f t="shared" ref="BC49:BQ49" si="54">BC48/AY48-1</f>
        <v>-0.23067978533094813</v>
      </c>
      <c r="BD49" s="59">
        <f t="shared" si="54"/>
        <v>5.3022041811849441E-2</v>
      </c>
      <c r="BE49" s="59">
        <f t="shared" si="54"/>
        <v>0.22552520791984021</v>
      </c>
      <c r="BF49" s="59">
        <f t="shared" si="54"/>
        <v>0.51233310317696068</v>
      </c>
      <c r="BG49" s="59">
        <f t="shared" si="54"/>
        <v>6.4912782384901391E-2</v>
      </c>
      <c r="BH49" s="59">
        <f t="shared" si="54"/>
        <v>-0.35238316373229961</v>
      </c>
      <c r="BI49" s="59">
        <f t="shared" si="54"/>
        <v>3.4973215842781125E-2</v>
      </c>
      <c r="BJ49" s="59">
        <f t="shared" si="54"/>
        <v>-0.21560155202821862</v>
      </c>
      <c r="BK49" s="59">
        <f t="shared" si="54"/>
        <v>6.493409558243779E-2</v>
      </c>
      <c r="BL49" s="59">
        <f t="shared" si="54"/>
        <v>0.25513588724567859</v>
      </c>
      <c r="BM49" s="59">
        <f t="shared" si="54"/>
        <v>1.1142833646286432E-2</v>
      </c>
      <c r="BN49" s="59">
        <f t="shared" si="54"/>
        <v>-9.8508872951047488E-2</v>
      </c>
      <c r="BO49" s="59">
        <f t="shared" si="54"/>
        <v>-5.8447447046213741E-3</v>
      </c>
      <c r="BP49" s="59">
        <f t="shared" si="54"/>
        <v>-7.7721354004987919E-2</v>
      </c>
      <c r="BQ49" s="59">
        <f t="shared" si="54"/>
        <v>-6.7855305831721391E-2</v>
      </c>
      <c r="BR49" s="59">
        <f>BR48/BN48-1</f>
        <v>4.7214292493748644E-2</v>
      </c>
      <c r="BS49" s="59">
        <f>BS48/BO48-1</f>
        <v>6.3184662019109883E-2</v>
      </c>
      <c r="CU49" s="39"/>
      <c r="CV49" s="59">
        <f t="shared" ref="CV49:CY49" si="55">CV48/CU48-1</f>
        <v>7.7920062087698971E-2</v>
      </c>
      <c r="CW49" s="59">
        <f t="shared" si="55"/>
        <v>-0.12249249792254102</v>
      </c>
      <c r="CX49" s="59">
        <f t="shared" si="55"/>
        <v>5.106117620551176E-2</v>
      </c>
      <c r="CY49" s="59">
        <f t="shared" si="55"/>
        <v>-3.2677659101133072E-2</v>
      </c>
      <c r="CZ49" s="60">
        <v>0.23</v>
      </c>
      <c r="DA49" s="60">
        <v>0.23499999999999999</v>
      </c>
      <c r="DB49" s="60">
        <v>0.23499999999999999</v>
      </c>
      <c r="DC49" s="60">
        <v>0.23499999999999999</v>
      </c>
      <c r="DD49" s="60">
        <v>0.23499999999999999</v>
      </c>
      <c r="DE49" s="60">
        <v>0.23499999999999999</v>
      </c>
      <c r="FI49" s="1"/>
    </row>
    <row r="50" spans="2:165">
      <c r="FI50" s="1"/>
    </row>
    <row r="51" spans="2:165">
      <c r="B51" s="1" t="s">
        <v>253</v>
      </c>
      <c r="Y51" s="45"/>
      <c r="Z51" s="46"/>
      <c r="AA51" s="46"/>
      <c r="AB51" s="46"/>
      <c r="AC51" s="45"/>
      <c r="AD51" s="46"/>
      <c r="AE51" s="47"/>
      <c r="BB51" s="1">
        <v>6795</v>
      </c>
      <c r="BC51" s="1">
        <v>8484</v>
      </c>
      <c r="BD51" s="1">
        <v>9188</v>
      </c>
      <c r="BE51" s="1">
        <v>11301</v>
      </c>
      <c r="BF51" s="1">
        <v>9684</v>
      </c>
      <c r="BG51" s="1">
        <v>7681</v>
      </c>
      <c r="BH51" s="1">
        <v>8976</v>
      </c>
      <c r="BI51" s="1">
        <v>10127</v>
      </c>
      <c r="BJ51" s="1">
        <v>9519</v>
      </c>
      <c r="BK51" s="1">
        <v>12004</v>
      </c>
      <c r="BL51" s="1">
        <v>12564</v>
      </c>
      <c r="BM51" s="1">
        <v>11883</v>
      </c>
      <c r="BN51" s="1">
        <v>9366</v>
      </c>
      <c r="BO51" s="1">
        <v>10443</v>
      </c>
      <c r="BP51" s="1">
        <v>13708</v>
      </c>
      <c r="BQ51" s="1">
        <v>13938</v>
      </c>
      <c r="BR51" s="1">
        <v>10828</v>
      </c>
      <c r="BS51" s="1">
        <v>8417</v>
      </c>
      <c r="CU51" s="1">
        <f t="shared" ref="CU51:CU65" si="56">BB51</f>
        <v>6795</v>
      </c>
      <c r="CV51" s="1">
        <f t="shared" ref="CV51:CV65" si="57">BF51</f>
        <v>9684</v>
      </c>
      <c r="CW51" s="1">
        <f t="shared" ref="CW51:CW65" si="58">BJ51</f>
        <v>9519</v>
      </c>
      <c r="CX51" s="1">
        <f t="shared" ref="CX51:CX65" si="59">BN51</f>
        <v>9366</v>
      </c>
      <c r="CY51" s="1">
        <f t="shared" ref="CY51:CY65" si="60">BR51</f>
        <v>10828</v>
      </c>
      <c r="DA51" s="45" t="s">
        <v>172</v>
      </c>
      <c r="DB51" s="46"/>
      <c r="DC51" s="46"/>
      <c r="DD51" s="45" t="s">
        <v>173</v>
      </c>
      <c r="DE51" s="46"/>
      <c r="DF51" s="47" t="s">
        <v>174</v>
      </c>
      <c r="DG51" s="46"/>
      <c r="DH51" s="36" t="s">
        <v>175</v>
      </c>
      <c r="DI51" s="63">
        <v>0.13500000000000001</v>
      </c>
      <c r="FI51" s="1"/>
    </row>
    <row r="52" spans="2:165">
      <c r="B52" s="1" t="s">
        <v>133</v>
      </c>
      <c r="Y52" s="46"/>
      <c r="Z52" s="46"/>
      <c r="AA52" s="46"/>
      <c r="AB52" s="46"/>
      <c r="AC52" s="46"/>
      <c r="AD52" s="46"/>
      <c r="AE52" s="47"/>
      <c r="BB52" s="1">
        <v>1771</v>
      </c>
      <c r="BC52" s="1">
        <v>1871</v>
      </c>
      <c r="BD52" s="1">
        <v>2079</v>
      </c>
      <c r="BE52" s="1">
        <v>1844</v>
      </c>
      <c r="BF52" s="1">
        <v>1242</v>
      </c>
      <c r="BG52" s="1">
        <v>736</v>
      </c>
      <c r="BH52" s="1">
        <v>776</v>
      </c>
      <c r="BI52" s="1">
        <v>1120</v>
      </c>
      <c r="BJ52" s="1">
        <v>1043</v>
      </c>
      <c r="BK52" s="1">
        <v>1166</v>
      </c>
      <c r="BL52" s="1">
        <v>1867</v>
      </c>
      <c r="BM52" s="1">
        <v>2332</v>
      </c>
      <c r="BN52" s="1">
        <v>2997</v>
      </c>
      <c r="BO52" s="1">
        <v>4760</v>
      </c>
      <c r="BP52" s="1">
        <v>3691</v>
      </c>
      <c r="BQ52" s="1">
        <v>2439</v>
      </c>
      <c r="BR52" s="1">
        <v>2020</v>
      </c>
      <c r="BS52" s="1">
        <v>3579</v>
      </c>
      <c r="CU52" s="1">
        <f t="shared" si="56"/>
        <v>1771</v>
      </c>
      <c r="CV52" s="1">
        <f t="shared" si="57"/>
        <v>1242</v>
      </c>
      <c r="CW52" s="1">
        <f t="shared" si="58"/>
        <v>1043</v>
      </c>
      <c r="CX52" s="1">
        <f t="shared" si="59"/>
        <v>2997</v>
      </c>
      <c r="CY52" s="1">
        <f t="shared" si="60"/>
        <v>2020</v>
      </c>
      <c r="DA52" s="46">
        <v>2025</v>
      </c>
      <c r="DB52" s="46"/>
      <c r="DC52" s="46">
        <v>2023</v>
      </c>
      <c r="DD52" s="46">
        <v>2024</v>
      </c>
      <c r="DE52" s="46"/>
      <c r="DF52" s="47" t="s">
        <v>176</v>
      </c>
      <c r="DG52" s="46"/>
      <c r="DH52" s="36" t="s">
        <v>177</v>
      </c>
      <c r="DI52" s="63">
        <v>2.75E-2</v>
      </c>
      <c r="FI52" s="1"/>
    </row>
    <row r="53" spans="2:165" ht="14.25" customHeight="1">
      <c r="B53" s="1" t="s">
        <v>134</v>
      </c>
      <c r="Y53" s="50"/>
      <c r="Z53" s="46"/>
      <c r="AA53" s="51"/>
      <c r="AB53" s="51"/>
      <c r="AC53" s="51"/>
      <c r="AD53" s="46"/>
      <c r="AE53" s="51"/>
      <c r="BB53" s="1">
        <v>2348</v>
      </c>
      <c r="BC53" s="1">
        <v>2234</v>
      </c>
      <c r="BD53" s="1">
        <v>1775</v>
      </c>
      <c r="BE53" s="1">
        <v>1724</v>
      </c>
      <c r="BF53" s="1">
        <v>1699</v>
      </c>
      <c r="BG53" s="1">
        <v>1939</v>
      </c>
      <c r="BH53" s="1">
        <v>1867</v>
      </c>
      <c r="BI53" s="1">
        <v>1973</v>
      </c>
      <c r="BJ53" s="1">
        <v>1069</v>
      </c>
      <c r="BK53" s="1">
        <v>1125</v>
      </c>
      <c r="BL53" s="1">
        <v>1263</v>
      </c>
      <c r="BM53" s="1">
        <v>1220</v>
      </c>
      <c r="BN53" s="1">
        <v>1300</v>
      </c>
      <c r="BO53" s="1">
        <v>1716</v>
      </c>
      <c r="BP53" s="1">
        <v>1594</v>
      </c>
      <c r="BQ53" s="1">
        <v>1787</v>
      </c>
      <c r="BR53" s="1">
        <v>1723</v>
      </c>
      <c r="BS53" s="1">
        <v>1791</v>
      </c>
      <c r="CU53" s="1">
        <f t="shared" si="56"/>
        <v>2348</v>
      </c>
      <c r="CV53" s="1">
        <f t="shared" si="57"/>
        <v>1699</v>
      </c>
      <c r="CW53" s="1">
        <f t="shared" si="58"/>
        <v>1069</v>
      </c>
      <c r="CX53" s="1">
        <f t="shared" si="59"/>
        <v>1300</v>
      </c>
      <c r="CY53" s="1">
        <f t="shared" si="60"/>
        <v>1723</v>
      </c>
      <c r="DA53" s="50">
        <f>AVERAGE(CY31)*(1-CY48)</f>
        <v>7731.0024011389469</v>
      </c>
      <c r="DB53" s="46"/>
      <c r="DC53" s="51">
        <f>SUM(CW51:CW55)-CW67+CW61+CW64+CW63</f>
        <v>32860</v>
      </c>
      <c r="DD53" s="51">
        <f>SUM(CX51:CX55)-CX67+CX61+CX64+CX63</f>
        <v>34122</v>
      </c>
      <c r="DE53" s="46"/>
      <c r="DF53" s="51">
        <f>AVERAGE(DC53:DD53)</f>
        <v>33491</v>
      </c>
      <c r="DG53" s="46"/>
      <c r="DH53" s="48" t="s">
        <v>178</v>
      </c>
      <c r="DI53" s="49">
        <v>4.3400000000000001E-2</v>
      </c>
      <c r="FI53" s="1"/>
    </row>
    <row r="54" spans="2:165" ht="14.25" customHeight="1">
      <c r="B54" s="1" t="s">
        <v>254</v>
      </c>
      <c r="Y54" s="52"/>
      <c r="Z54" s="46"/>
      <c r="AA54" s="46"/>
      <c r="AB54" s="46"/>
      <c r="AC54" s="46"/>
      <c r="AD54" s="46"/>
      <c r="BB54" s="1">
        <v>3144</v>
      </c>
      <c r="BC54" s="1">
        <v>3762</v>
      </c>
      <c r="BD54" s="1">
        <v>4036</v>
      </c>
      <c r="BE54" s="1">
        <v>3889</v>
      </c>
      <c r="BF54" s="1">
        <v>3512</v>
      </c>
      <c r="BG54" s="1">
        <v>4641</v>
      </c>
      <c r="BH54" s="1">
        <v>4494</v>
      </c>
      <c r="BI54" s="1">
        <v>3994</v>
      </c>
      <c r="BJ54" s="1">
        <v>3487</v>
      </c>
      <c r="BK54" s="1">
        <v>4599</v>
      </c>
      <c r="BL54" s="1">
        <v>3970</v>
      </c>
      <c r="BM54" s="1">
        <v>3495</v>
      </c>
      <c r="BN54" s="1">
        <v>3410</v>
      </c>
      <c r="BO54" s="1">
        <v>4244</v>
      </c>
      <c r="BP54" s="1">
        <v>4545</v>
      </c>
      <c r="BQ54" s="1">
        <v>4233</v>
      </c>
      <c r="BR54" s="1">
        <v>3569</v>
      </c>
      <c r="BS54" s="1">
        <v>4091</v>
      </c>
      <c r="CU54" s="1">
        <f t="shared" si="56"/>
        <v>3144</v>
      </c>
      <c r="CV54" s="1">
        <f t="shared" si="57"/>
        <v>3512</v>
      </c>
      <c r="CW54" s="1">
        <f t="shared" si="58"/>
        <v>3487</v>
      </c>
      <c r="CX54" s="1">
        <f t="shared" si="59"/>
        <v>3410</v>
      </c>
      <c r="CY54" s="1">
        <f t="shared" si="60"/>
        <v>3569</v>
      </c>
      <c r="DA54" s="52">
        <f>DA53/DF53</f>
        <v>0.23083820731357518</v>
      </c>
      <c r="DB54" s="46"/>
      <c r="DC54" s="46"/>
      <c r="DD54" s="46"/>
      <c r="DE54" s="46"/>
      <c r="DF54" s="46"/>
      <c r="DG54" s="46"/>
      <c r="DH54" s="48" t="s">
        <v>179</v>
      </c>
      <c r="DI54" s="49">
        <f>13.4%-DI53</f>
        <v>9.0600000000000014E-2</v>
      </c>
      <c r="FI54" s="1"/>
    </row>
    <row r="55" spans="2:165" ht="14.25" customHeight="1">
      <c r="B55" s="1" t="s">
        <v>255</v>
      </c>
      <c r="BB55" s="1">
        <v>3266</v>
      </c>
      <c r="BC55" s="1">
        <v>3356</v>
      </c>
      <c r="BD55" s="1">
        <v>3281</v>
      </c>
      <c r="BE55" s="1">
        <v>3182</v>
      </c>
      <c r="BF55" s="1">
        <v>3414</v>
      </c>
      <c r="BG55" s="1">
        <v>3741</v>
      </c>
      <c r="BH55" s="1">
        <v>3621</v>
      </c>
      <c r="BI55" s="1">
        <v>3708</v>
      </c>
      <c r="BJ55" s="1">
        <v>4233</v>
      </c>
      <c r="BK55" s="1">
        <v>4727</v>
      </c>
      <c r="BL55" s="1">
        <v>4646</v>
      </c>
      <c r="BM55" s="1">
        <v>4252</v>
      </c>
      <c r="BN55" s="1">
        <v>4424</v>
      </c>
      <c r="BO55" s="1">
        <v>4961</v>
      </c>
      <c r="BP55" s="1">
        <v>4763</v>
      </c>
      <c r="BQ55" s="1">
        <v>4714</v>
      </c>
      <c r="BR55" s="1">
        <v>4728</v>
      </c>
      <c r="BS55" s="1">
        <v>5102</v>
      </c>
      <c r="CU55" s="1">
        <f t="shared" si="56"/>
        <v>3266</v>
      </c>
      <c r="CV55" s="1">
        <f t="shared" si="57"/>
        <v>3414</v>
      </c>
      <c r="CW55" s="1">
        <f t="shared" si="58"/>
        <v>4233</v>
      </c>
      <c r="CX55" s="1">
        <f t="shared" si="59"/>
        <v>4424</v>
      </c>
      <c r="CY55" s="1">
        <f t="shared" si="60"/>
        <v>4728</v>
      </c>
      <c r="DA55" s="46"/>
      <c r="DB55" s="46"/>
      <c r="DC55" s="46"/>
      <c r="DD55" s="46"/>
      <c r="DE55" s="46"/>
      <c r="DF55" s="46"/>
      <c r="DG55" s="46"/>
      <c r="DH55" s="48" t="s">
        <v>180</v>
      </c>
      <c r="DI55" s="46">
        <v>0.49</v>
      </c>
      <c r="FI55" s="1"/>
    </row>
    <row r="56" spans="2:165" ht="14.25" customHeight="1">
      <c r="B56" s="1" t="s">
        <v>256</v>
      </c>
      <c r="BB56" s="1">
        <v>1916</v>
      </c>
      <c r="BC56" s="1">
        <v>2225</v>
      </c>
      <c r="BD56" s="1">
        <v>2122</v>
      </c>
      <c r="BE56" s="1">
        <v>2300</v>
      </c>
      <c r="BF56" s="1">
        <v>2994</v>
      </c>
      <c r="BG56" s="1">
        <v>3418</v>
      </c>
      <c r="BH56" s="1">
        <v>3407</v>
      </c>
      <c r="BI56" s="1">
        <v>3217</v>
      </c>
      <c r="BJ56" s="1">
        <v>3240</v>
      </c>
      <c r="BK56" s="1">
        <v>3259</v>
      </c>
      <c r="BL56" s="1">
        <v>3281</v>
      </c>
      <c r="BM56" s="1">
        <v>4685</v>
      </c>
      <c r="BN56" s="1">
        <v>5235</v>
      </c>
      <c r="BO56" s="1">
        <v>3338</v>
      </c>
      <c r="BP56" s="1">
        <v>3298</v>
      </c>
      <c r="BQ56" s="1">
        <v>3177</v>
      </c>
      <c r="BR56" s="1">
        <v>3129</v>
      </c>
      <c r="BS56" s="1">
        <v>3198</v>
      </c>
      <c r="CU56" s="1">
        <f t="shared" si="56"/>
        <v>1916</v>
      </c>
      <c r="CV56" s="1">
        <f t="shared" si="57"/>
        <v>2994</v>
      </c>
      <c r="CW56" s="1">
        <f t="shared" si="58"/>
        <v>3240</v>
      </c>
      <c r="CX56" s="1">
        <f t="shared" si="59"/>
        <v>5235</v>
      </c>
      <c r="CY56" s="1">
        <f t="shared" si="60"/>
        <v>3129</v>
      </c>
      <c r="DH56" s="36" t="s">
        <v>257</v>
      </c>
      <c r="DI56" s="63">
        <v>5.7500000000000002E-2</v>
      </c>
      <c r="FI56" s="1"/>
    </row>
    <row r="57" spans="2:165">
      <c r="B57" s="1" t="s">
        <v>258</v>
      </c>
      <c r="BB57" s="1">
        <v>19273</v>
      </c>
      <c r="BC57" s="1">
        <v>18966</v>
      </c>
      <c r="BD57" s="1">
        <v>18471</v>
      </c>
      <c r="BE57" s="1">
        <v>18284</v>
      </c>
      <c r="BF57" s="1">
        <v>17598</v>
      </c>
      <c r="BG57" s="1">
        <v>18198</v>
      </c>
      <c r="BH57" s="1">
        <v>17720</v>
      </c>
      <c r="BI57" s="1">
        <v>17723</v>
      </c>
      <c r="BJ57" s="1">
        <v>18264</v>
      </c>
      <c r="BK57" s="1">
        <v>18744</v>
      </c>
      <c r="BL57" s="1">
        <v>19262</v>
      </c>
      <c r="BM57" s="1">
        <v>19256</v>
      </c>
      <c r="BN57" s="1">
        <v>19671</v>
      </c>
      <c r="BO57" s="1">
        <v>19495</v>
      </c>
      <c r="BP57" s="1">
        <v>18940</v>
      </c>
      <c r="BQ57" s="1">
        <f>18993</f>
        <v>18993</v>
      </c>
      <c r="BR57" s="1">
        <v>18087</v>
      </c>
      <c r="BS57" s="1">
        <v>18369</v>
      </c>
      <c r="CU57" s="1">
        <f t="shared" si="56"/>
        <v>19273</v>
      </c>
      <c r="CV57" s="1">
        <f t="shared" si="57"/>
        <v>17598</v>
      </c>
      <c r="CW57" s="1">
        <f t="shared" si="58"/>
        <v>18264</v>
      </c>
      <c r="CX57" s="1">
        <f t="shared" si="59"/>
        <v>19671</v>
      </c>
      <c r="CY57" s="1">
        <f t="shared" si="60"/>
        <v>18087</v>
      </c>
      <c r="FI57" s="1"/>
    </row>
    <row r="58" spans="2:165">
      <c r="B58" s="1" t="s">
        <v>259</v>
      </c>
      <c r="BB58" s="1">
        <v>812</v>
      </c>
      <c r="BC58" s="1">
        <v>806</v>
      </c>
      <c r="BD58" s="1">
        <v>945</v>
      </c>
      <c r="BE58" s="1">
        <v>897</v>
      </c>
      <c r="BF58" s="1">
        <v>818</v>
      </c>
      <c r="BG58" s="1">
        <v>788</v>
      </c>
      <c r="BH58" s="1">
        <v>655</v>
      </c>
      <c r="BI58" s="1">
        <v>582</v>
      </c>
      <c r="BJ58" s="1">
        <v>501</v>
      </c>
      <c r="BK58" s="1">
        <v>337</v>
      </c>
      <c r="BL58" s="1">
        <v>158</v>
      </c>
      <c r="BM58" s="1">
        <v>104</v>
      </c>
      <c r="BN58" s="1">
        <v>118</v>
      </c>
      <c r="BO58" s="1">
        <v>147</v>
      </c>
      <c r="BP58" s="1">
        <v>167</v>
      </c>
      <c r="BQ58" s="1">
        <v>44</v>
      </c>
      <c r="BR58" s="1">
        <v>0</v>
      </c>
      <c r="BS58" s="1">
        <v>0</v>
      </c>
      <c r="CU58" s="1">
        <f t="shared" si="56"/>
        <v>812</v>
      </c>
      <c r="CV58" s="1">
        <f t="shared" si="57"/>
        <v>818</v>
      </c>
      <c r="CW58" s="1">
        <f t="shared" si="58"/>
        <v>501</v>
      </c>
      <c r="CX58" s="1">
        <f t="shared" si="59"/>
        <v>118</v>
      </c>
      <c r="CY58" s="1">
        <f t="shared" si="60"/>
        <v>0</v>
      </c>
      <c r="DH58" s="36" t="s">
        <v>181</v>
      </c>
      <c r="DI58" s="58">
        <f>NPV(DI56,CZ38:EX38)</f>
        <v>3621182.7762120008</v>
      </c>
      <c r="FI58" s="1"/>
    </row>
    <row r="59" spans="2:165">
      <c r="B59" s="1" t="s">
        <v>260</v>
      </c>
      <c r="BB59" s="1">
        <v>6184</v>
      </c>
      <c r="BC59" s="1">
        <v>6494</v>
      </c>
      <c r="BD59" s="1">
        <v>6553</v>
      </c>
      <c r="BE59" s="1">
        <v>6490</v>
      </c>
      <c r="BF59" s="1">
        <v>6731</v>
      </c>
      <c r="BG59" s="1">
        <v>6392</v>
      </c>
      <c r="BH59" s="1">
        <v>6470</v>
      </c>
      <c r="BI59" s="1">
        <v>6130</v>
      </c>
      <c r="BJ59" s="1">
        <v>6189</v>
      </c>
      <c r="BK59" s="1">
        <v>6324</v>
      </c>
      <c r="BL59" s="1">
        <v>6592</v>
      </c>
      <c r="BM59" s="1">
        <v>7031</v>
      </c>
      <c r="BN59" s="1">
        <v>7162</v>
      </c>
      <c r="BO59" s="1">
        <v>7291</v>
      </c>
      <c r="BP59" s="1">
        <v>7274</v>
      </c>
      <c r="BQ59" s="1">
        <v>12904</v>
      </c>
      <c r="BR59" s="1">
        <v>0</v>
      </c>
      <c r="BS59" s="1">
        <v>0</v>
      </c>
      <c r="CU59" s="1">
        <f t="shared" si="56"/>
        <v>6184</v>
      </c>
      <c r="CV59" s="1">
        <f t="shared" si="57"/>
        <v>6731</v>
      </c>
      <c r="CW59" s="1">
        <f t="shared" si="58"/>
        <v>6189</v>
      </c>
      <c r="CX59" s="1">
        <f t="shared" si="59"/>
        <v>7162</v>
      </c>
      <c r="CY59" s="1">
        <f t="shared" si="60"/>
        <v>0</v>
      </c>
      <c r="DH59" s="36" t="s">
        <v>137</v>
      </c>
      <c r="DI59" s="58">
        <v>4301</v>
      </c>
      <c r="DJ59" s="36" t="s">
        <v>261</v>
      </c>
      <c r="FI59" s="1"/>
    </row>
    <row r="60" spans="2:165">
      <c r="B60" s="1" t="s">
        <v>262</v>
      </c>
      <c r="BB60" s="1">
        <v>2460</v>
      </c>
      <c r="BC60" s="1">
        <v>2332</v>
      </c>
      <c r="BD60" s="1">
        <v>2291</v>
      </c>
      <c r="BE60" s="1">
        <v>2237</v>
      </c>
      <c r="BF60" s="1">
        <v>2129</v>
      </c>
      <c r="BG60" s="1">
        <v>2006</v>
      </c>
      <c r="BH60" s="1">
        <v>1833</v>
      </c>
      <c r="BI60" s="1">
        <v>1708</v>
      </c>
      <c r="BJ60" s="1">
        <v>1746</v>
      </c>
      <c r="BK60" s="1">
        <v>1696</v>
      </c>
      <c r="BL60" s="1">
        <v>1661</v>
      </c>
      <c r="BM60" s="1">
        <v>1575</v>
      </c>
      <c r="BN60" s="1">
        <v>1561</v>
      </c>
      <c r="BO60" s="1">
        <v>1457</v>
      </c>
      <c r="BP60" s="1">
        <v>1409</v>
      </c>
      <c r="BQ60" s="1">
        <v>1428</v>
      </c>
      <c r="BR60" s="1">
        <v>1319</v>
      </c>
      <c r="BS60" s="1">
        <v>1311</v>
      </c>
      <c r="CU60" s="1">
        <f t="shared" si="56"/>
        <v>2460</v>
      </c>
      <c r="CV60" s="1">
        <f t="shared" si="57"/>
        <v>2129</v>
      </c>
      <c r="CW60" s="1">
        <f t="shared" si="58"/>
        <v>1746</v>
      </c>
      <c r="CX60" s="1">
        <f t="shared" si="59"/>
        <v>1561</v>
      </c>
      <c r="CY60" s="1">
        <f t="shared" si="60"/>
        <v>1319</v>
      </c>
      <c r="DH60" s="36" t="s">
        <v>182</v>
      </c>
      <c r="DI60" s="64">
        <f>DI58/DI59</f>
        <v>841.9397294145549</v>
      </c>
      <c r="FI60" s="1"/>
    </row>
    <row r="61" spans="2:165">
      <c r="B61" s="1" t="s">
        <v>263</v>
      </c>
      <c r="BB61" s="1">
        <v>10777</v>
      </c>
      <c r="BC61" s="1">
        <v>10673</v>
      </c>
      <c r="BD61" s="1">
        <v>10547</v>
      </c>
      <c r="BE61" s="1">
        <v>10058</v>
      </c>
      <c r="BF61" s="1">
        <v>9920</v>
      </c>
      <c r="BG61" s="1">
        <v>9784</v>
      </c>
      <c r="BH61" s="1">
        <v>9462</v>
      </c>
      <c r="BI61" s="1">
        <v>9243</v>
      </c>
      <c r="BJ61" s="1">
        <v>9841</v>
      </c>
      <c r="BK61" s="1">
        <v>9848</v>
      </c>
      <c r="BL61" s="1">
        <v>9706</v>
      </c>
      <c r="BM61" s="1">
        <v>8860</v>
      </c>
      <c r="BN61" s="1">
        <v>9236</v>
      </c>
      <c r="BO61" s="1">
        <v>9306</v>
      </c>
      <c r="BP61" s="1">
        <v>9508</v>
      </c>
      <c r="BQ61" s="1">
        <v>9864</v>
      </c>
      <c r="BR61" s="1">
        <v>10303</v>
      </c>
      <c r="BS61" s="1">
        <v>10431</v>
      </c>
      <c r="CU61" s="1">
        <f t="shared" si="56"/>
        <v>10777</v>
      </c>
      <c r="CV61" s="1">
        <f t="shared" si="57"/>
        <v>9920</v>
      </c>
      <c r="CW61" s="1">
        <f t="shared" si="58"/>
        <v>9841</v>
      </c>
      <c r="CX61" s="1">
        <f t="shared" si="59"/>
        <v>9236</v>
      </c>
      <c r="CY61" s="1">
        <f t="shared" si="60"/>
        <v>10303</v>
      </c>
      <c r="DH61" s="36" t="s">
        <v>183</v>
      </c>
      <c r="DI61" s="64">
        <v>70.37</v>
      </c>
      <c r="FI61" s="1"/>
    </row>
    <row r="62" spans="2:165">
      <c r="B62" s="1" t="s">
        <v>264</v>
      </c>
      <c r="BB62" s="1">
        <v>10395</v>
      </c>
      <c r="BC62" s="1">
        <v>10584</v>
      </c>
      <c r="BD62" s="1">
        <v>10675</v>
      </c>
      <c r="BE62" s="1">
        <v>10449</v>
      </c>
      <c r="BF62" s="1">
        <v>14465</v>
      </c>
      <c r="BG62" s="1">
        <v>14388</v>
      </c>
      <c r="BH62" s="1">
        <v>14271</v>
      </c>
      <c r="BI62" s="1">
        <v>13968</v>
      </c>
      <c r="BJ62" s="1">
        <v>14214</v>
      </c>
      <c r="BK62" s="1">
        <v>14283</v>
      </c>
      <c r="BL62" s="1">
        <v>14369</v>
      </c>
      <c r="BM62" s="1">
        <v>14213</v>
      </c>
      <c r="BN62" s="1">
        <v>14349</v>
      </c>
      <c r="BO62" s="1">
        <v>13532</v>
      </c>
      <c r="BP62" s="1">
        <v>13510</v>
      </c>
      <c r="BQ62" s="1">
        <v>13598</v>
      </c>
      <c r="BR62" s="1">
        <v>13301</v>
      </c>
      <c r="BS62" s="1">
        <v>13425</v>
      </c>
      <c r="CU62" s="1">
        <f t="shared" si="56"/>
        <v>10395</v>
      </c>
      <c r="CV62" s="1">
        <f t="shared" si="57"/>
        <v>14465</v>
      </c>
      <c r="CW62" s="1">
        <f t="shared" si="58"/>
        <v>14214</v>
      </c>
      <c r="CX62" s="1">
        <f t="shared" si="59"/>
        <v>14349</v>
      </c>
      <c r="CY62" s="1">
        <f t="shared" si="60"/>
        <v>13301</v>
      </c>
      <c r="DH62" s="36" t="s">
        <v>24</v>
      </c>
      <c r="DI62" s="63">
        <f>DI60/DI61-1</f>
        <v>10.964469652047105</v>
      </c>
      <c r="DJ62" s="36" t="str">
        <f>IF(DI62&gt;0,"Upside","Downside")</f>
        <v>Upside</v>
      </c>
      <c r="FI62" s="1"/>
    </row>
    <row r="63" spans="2:165">
      <c r="B63" s="1" t="s">
        <v>265</v>
      </c>
      <c r="BB63" s="1">
        <v>17506</v>
      </c>
      <c r="BC63" s="1">
        <v>17618</v>
      </c>
      <c r="BD63" s="1">
        <v>17693</v>
      </c>
      <c r="BE63" s="1">
        <v>17455</v>
      </c>
      <c r="BF63" s="1">
        <v>19363</v>
      </c>
      <c r="BG63" s="1">
        <v>19598</v>
      </c>
      <c r="BH63" s="1">
        <v>18910</v>
      </c>
      <c r="BI63" s="1">
        <v>18329</v>
      </c>
      <c r="BJ63" s="1">
        <v>18782</v>
      </c>
      <c r="BK63" s="1">
        <v>18678</v>
      </c>
      <c r="BL63" s="1">
        <v>18545</v>
      </c>
      <c r="BM63" s="1">
        <v>18144</v>
      </c>
      <c r="BN63" s="1">
        <v>18358</v>
      </c>
      <c r="BO63" s="1">
        <v>18210</v>
      </c>
      <c r="BP63" s="1">
        <v>18324</v>
      </c>
      <c r="BQ63" s="1">
        <v>18686</v>
      </c>
      <c r="BR63" s="1">
        <v>18139</v>
      </c>
      <c r="BS63" s="1">
        <v>18333</v>
      </c>
      <c r="CU63" s="1">
        <f t="shared" si="56"/>
        <v>17506</v>
      </c>
      <c r="CV63" s="1">
        <f t="shared" si="57"/>
        <v>19363</v>
      </c>
      <c r="CW63" s="1">
        <f t="shared" si="58"/>
        <v>18782</v>
      </c>
      <c r="CX63" s="1">
        <f t="shared" si="59"/>
        <v>18358</v>
      </c>
      <c r="CY63" s="1">
        <f t="shared" si="60"/>
        <v>18139</v>
      </c>
      <c r="DH63" s="54" t="str" cm="1">
        <f t="array" ref="DH63">_xlfn.IFS(DI62&gt;=25%,"Strong Buy",DI62&gt;=10.00001%,"Buy",AND(DI62&lt;=10%,DI62&gt;=-4.9999%),"Hold",AND(DI62&lt;=-5%,DI62&gt;=-14.999999%),"Sell",DI62&lt;=-15%,"Strong Sell")</f>
        <v>Strong Buy</v>
      </c>
      <c r="DI63" s="54"/>
      <c r="FI63" s="1"/>
    </row>
    <row r="64" spans="2:165">
      <c r="B64" s="1" t="s">
        <v>266</v>
      </c>
      <c r="BB64" s="1">
        <v>649</v>
      </c>
      <c r="BC64" s="1">
        <v>588</v>
      </c>
      <c r="BD64" s="1">
        <v>538</v>
      </c>
      <c r="BE64" s="1">
        <v>496</v>
      </c>
      <c r="BF64" s="1">
        <v>785</v>
      </c>
      <c r="BG64" s="1">
        <v>754</v>
      </c>
      <c r="BH64" s="1">
        <v>707</v>
      </c>
      <c r="BI64" s="1">
        <v>649</v>
      </c>
      <c r="BJ64" s="1">
        <v>635</v>
      </c>
      <c r="BK64" s="1">
        <v>614</v>
      </c>
      <c r="BL64" s="1">
        <v>572</v>
      </c>
      <c r="BM64" s="1">
        <v>528</v>
      </c>
      <c r="BN64" s="1">
        <v>516</v>
      </c>
      <c r="BO64" s="1">
        <v>492</v>
      </c>
      <c r="BP64" s="1">
        <v>471</v>
      </c>
      <c r="BQ64" s="1">
        <v>461</v>
      </c>
      <c r="BR64" s="1">
        <v>13403</v>
      </c>
      <c r="BS64" s="1">
        <v>13669</v>
      </c>
      <c r="CU64" s="1">
        <f t="shared" si="56"/>
        <v>649</v>
      </c>
      <c r="CV64" s="1">
        <f t="shared" si="57"/>
        <v>785</v>
      </c>
      <c r="CW64" s="1">
        <f t="shared" si="58"/>
        <v>635</v>
      </c>
      <c r="CX64" s="1">
        <f t="shared" si="59"/>
        <v>516</v>
      </c>
      <c r="CY64" s="1">
        <f t="shared" si="60"/>
        <v>13403</v>
      </c>
      <c r="FI64" s="1"/>
    </row>
    <row r="65" spans="2:165">
      <c r="B65" s="1" t="s">
        <v>267</v>
      </c>
      <c r="BB65" s="1">
        <f t="shared" ref="BB65:BS65" si="61">SUM(BB51:BB64)</f>
        <v>87296</v>
      </c>
      <c r="BC65" s="1">
        <f t="shared" si="61"/>
        <v>89993</v>
      </c>
      <c r="BD65" s="1">
        <f t="shared" si="61"/>
        <v>90194</v>
      </c>
      <c r="BE65" s="1">
        <f t="shared" si="61"/>
        <v>90606</v>
      </c>
      <c r="BF65" s="1">
        <f t="shared" si="61"/>
        <v>94354</v>
      </c>
      <c r="BG65" s="1">
        <f t="shared" si="61"/>
        <v>94064</v>
      </c>
      <c r="BH65" s="1">
        <f t="shared" si="61"/>
        <v>93169</v>
      </c>
      <c r="BI65" s="1">
        <f t="shared" si="61"/>
        <v>92471</v>
      </c>
      <c r="BJ65" s="1">
        <f t="shared" si="61"/>
        <v>92763</v>
      </c>
      <c r="BK65" s="1">
        <f t="shared" si="61"/>
        <v>97404</v>
      </c>
      <c r="BL65" s="1">
        <f t="shared" si="61"/>
        <v>98456</v>
      </c>
      <c r="BM65" s="1">
        <f t="shared" si="61"/>
        <v>97578</v>
      </c>
      <c r="BN65" s="1">
        <f t="shared" si="61"/>
        <v>97703</v>
      </c>
      <c r="BO65" s="1">
        <f t="shared" si="61"/>
        <v>99392</v>
      </c>
      <c r="BP65" s="1">
        <f t="shared" si="61"/>
        <v>101202</v>
      </c>
      <c r="BQ65" s="1">
        <f t="shared" si="61"/>
        <v>106266</v>
      </c>
      <c r="BR65" s="1">
        <f t="shared" si="61"/>
        <v>100549</v>
      </c>
      <c r="BS65" s="1">
        <f t="shared" si="61"/>
        <v>101716</v>
      </c>
      <c r="CU65" s="1">
        <f t="shared" si="56"/>
        <v>87296</v>
      </c>
      <c r="CV65" s="1">
        <f t="shared" si="57"/>
        <v>94354</v>
      </c>
      <c r="CW65" s="1">
        <f t="shared" si="58"/>
        <v>92763</v>
      </c>
      <c r="CX65" s="1">
        <f t="shared" si="59"/>
        <v>97703</v>
      </c>
      <c r="CY65" s="1">
        <f t="shared" si="60"/>
        <v>100549</v>
      </c>
      <c r="FI65" s="1"/>
    </row>
    <row r="66" spans="2:165">
      <c r="FI66" s="1"/>
    </row>
    <row r="67" spans="2:165">
      <c r="B67" s="1" t="s">
        <v>268</v>
      </c>
      <c r="BB67" s="1">
        <v>11145</v>
      </c>
      <c r="BC67" s="1">
        <v>10929</v>
      </c>
      <c r="BD67" s="1">
        <v>12124</v>
      </c>
      <c r="BE67" s="1">
        <v>12830</v>
      </c>
      <c r="BF67" s="1">
        <v>14619</v>
      </c>
      <c r="BG67" s="1">
        <v>13272</v>
      </c>
      <c r="BH67" s="1">
        <v>14213</v>
      </c>
      <c r="BI67" s="1">
        <v>16103</v>
      </c>
      <c r="BJ67" s="1">
        <v>15749</v>
      </c>
      <c r="BK67" s="1">
        <v>15593</v>
      </c>
      <c r="BL67" s="1">
        <v>16483</v>
      </c>
      <c r="BM67" s="1">
        <v>16837</v>
      </c>
      <c r="BN67" s="1">
        <v>15485</v>
      </c>
      <c r="BO67" s="1">
        <v>19425</v>
      </c>
      <c r="BP67" s="1">
        <v>21909</v>
      </c>
      <c r="BQ67" s="1">
        <v>23820</v>
      </c>
      <c r="BR67" s="1">
        <v>21715</v>
      </c>
      <c r="BS67" s="1">
        <v>16499</v>
      </c>
      <c r="CU67" s="1">
        <f t="shared" ref="CU67:CU76" si="62">BB67</f>
        <v>11145</v>
      </c>
      <c r="CV67" s="1">
        <f t="shared" ref="CV67:CV76" si="63">BF67</f>
        <v>14619</v>
      </c>
      <c r="CW67" s="1">
        <f t="shared" ref="CW67:CW76" si="64">BJ67</f>
        <v>15749</v>
      </c>
      <c r="CX67" s="1">
        <f t="shared" ref="CX67:CX76" si="65">BN67</f>
        <v>15485</v>
      </c>
      <c r="CY67" s="1">
        <f t="shared" ref="CY67:CY76" si="66">BR67</f>
        <v>21715</v>
      </c>
      <c r="FI67" s="1"/>
    </row>
    <row r="68" spans="2:165">
      <c r="B68" s="1" t="s">
        <v>269</v>
      </c>
      <c r="BB68" s="1">
        <v>2183</v>
      </c>
      <c r="BC68" s="1">
        <v>1933</v>
      </c>
      <c r="BD68" s="1">
        <v>1867</v>
      </c>
      <c r="BE68" s="1">
        <v>1866</v>
      </c>
      <c r="BF68" s="1">
        <v>3307</v>
      </c>
      <c r="BG68" s="1">
        <v>3610</v>
      </c>
      <c r="BH68" s="1">
        <v>4358</v>
      </c>
      <c r="BI68" s="1">
        <v>3396</v>
      </c>
      <c r="BJ68" s="1">
        <v>2373</v>
      </c>
      <c r="BK68" s="1">
        <v>5455</v>
      </c>
      <c r="BL68" s="1">
        <v>4828</v>
      </c>
      <c r="BM68" s="1">
        <v>3915</v>
      </c>
      <c r="BN68" s="1">
        <v>4557</v>
      </c>
      <c r="BO68" s="1">
        <v>6054</v>
      </c>
      <c r="BP68" s="1">
        <v>3793</v>
      </c>
      <c r="BQ68" s="1">
        <v>2203</v>
      </c>
      <c r="BR68" s="1">
        <v>1499</v>
      </c>
      <c r="BS68" s="1">
        <v>5418</v>
      </c>
      <c r="CU68" s="1">
        <f t="shared" si="62"/>
        <v>2183</v>
      </c>
      <c r="CV68" s="1">
        <f t="shared" si="63"/>
        <v>3307</v>
      </c>
      <c r="CW68" s="1">
        <f t="shared" si="64"/>
        <v>2373</v>
      </c>
      <c r="CX68" s="1">
        <f t="shared" si="65"/>
        <v>4557</v>
      </c>
      <c r="CY68" s="1">
        <f t="shared" si="66"/>
        <v>1499</v>
      </c>
      <c r="FI68" s="1"/>
    </row>
    <row r="69" spans="2:165">
      <c r="B69" s="1" t="s">
        <v>270</v>
      </c>
      <c r="BB69" s="1">
        <v>485</v>
      </c>
      <c r="BC69" s="1">
        <v>2880</v>
      </c>
      <c r="BD69" s="1">
        <v>337</v>
      </c>
      <c r="BE69" s="1">
        <v>448</v>
      </c>
      <c r="BF69" s="1">
        <v>1338</v>
      </c>
      <c r="BG69" s="1">
        <v>1039</v>
      </c>
      <c r="BH69" s="1">
        <v>788</v>
      </c>
      <c r="BI69" s="1">
        <v>729</v>
      </c>
      <c r="BJ69" s="1">
        <v>399</v>
      </c>
      <c r="BK69" s="1">
        <v>811</v>
      </c>
      <c r="BL69" s="1">
        <v>1171</v>
      </c>
      <c r="BM69" s="1">
        <v>2080</v>
      </c>
      <c r="BN69" s="1">
        <v>1960</v>
      </c>
      <c r="BO69" s="1">
        <v>1392</v>
      </c>
      <c r="BP69" s="1">
        <v>1939</v>
      </c>
      <c r="BQ69" s="1">
        <v>1067</v>
      </c>
      <c r="BR69" s="1">
        <v>648</v>
      </c>
      <c r="BS69" s="1">
        <v>163</v>
      </c>
      <c r="CU69" s="1">
        <f t="shared" si="62"/>
        <v>485</v>
      </c>
      <c r="CV69" s="1">
        <f t="shared" si="63"/>
        <v>1338</v>
      </c>
      <c r="CW69" s="1">
        <f t="shared" si="64"/>
        <v>399</v>
      </c>
      <c r="CX69" s="1">
        <f t="shared" si="65"/>
        <v>1960</v>
      </c>
      <c r="CY69" s="1">
        <f t="shared" si="66"/>
        <v>648</v>
      </c>
      <c r="FI69" s="1"/>
    </row>
    <row r="70" spans="2:165">
      <c r="B70" s="1" t="s">
        <v>271</v>
      </c>
      <c r="BB70" s="1">
        <v>788</v>
      </c>
      <c r="BC70" s="1">
        <v>744</v>
      </c>
      <c r="BD70" s="1">
        <v>971</v>
      </c>
      <c r="BE70" s="1">
        <v>846</v>
      </c>
      <c r="BF70" s="1">
        <v>686</v>
      </c>
      <c r="BG70" s="1">
        <v>866</v>
      </c>
      <c r="BH70" s="1">
        <v>1172</v>
      </c>
      <c r="BI70" s="1">
        <v>1211</v>
      </c>
      <c r="BJ70" s="1">
        <v>1203</v>
      </c>
      <c r="BK70" s="1">
        <v>1498</v>
      </c>
      <c r="BL70" s="1">
        <v>1633</v>
      </c>
      <c r="BM70" s="1">
        <v>1577</v>
      </c>
      <c r="BN70" s="1">
        <v>1569</v>
      </c>
      <c r="BO70" s="1">
        <v>1485</v>
      </c>
      <c r="BP70" s="1">
        <v>1622</v>
      </c>
      <c r="BQ70" s="1">
        <v>1479</v>
      </c>
      <c r="BR70" s="1">
        <v>1387</v>
      </c>
      <c r="BS70" s="1">
        <v>1728</v>
      </c>
      <c r="CU70" s="1">
        <f t="shared" si="62"/>
        <v>788</v>
      </c>
      <c r="CV70" s="1">
        <f t="shared" si="63"/>
        <v>686</v>
      </c>
      <c r="CW70" s="1">
        <f t="shared" si="64"/>
        <v>1203</v>
      </c>
      <c r="CX70" s="1">
        <f t="shared" si="65"/>
        <v>1569</v>
      </c>
      <c r="CY70" s="1">
        <f t="shared" si="66"/>
        <v>1387</v>
      </c>
      <c r="FI70" s="1"/>
    </row>
    <row r="71" spans="2:165">
      <c r="B71" s="1" t="s">
        <v>272</v>
      </c>
      <c r="BB71" s="1">
        <v>40125</v>
      </c>
      <c r="BC71" s="1">
        <v>40170</v>
      </c>
      <c r="BD71" s="1">
        <v>39804</v>
      </c>
      <c r="BE71" s="1">
        <v>39394</v>
      </c>
      <c r="BF71" s="1">
        <v>38116</v>
      </c>
      <c r="BG71" s="1">
        <v>37052</v>
      </c>
      <c r="BH71" s="1">
        <v>36755</v>
      </c>
      <c r="BI71" s="1">
        <v>35462</v>
      </c>
      <c r="BJ71" s="1">
        <v>36377</v>
      </c>
      <c r="BK71" s="1">
        <v>36134</v>
      </c>
      <c r="BL71" s="1">
        <v>35626</v>
      </c>
      <c r="BM71" s="1">
        <v>34176</v>
      </c>
      <c r="BN71" s="1">
        <v>35547</v>
      </c>
      <c r="BO71" s="1">
        <v>35104</v>
      </c>
      <c r="BP71" s="1">
        <v>38085</v>
      </c>
      <c r="BQ71" s="1">
        <v>42994</v>
      </c>
      <c r="BR71" s="1">
        <v>42375</v>
      </c>
      <c r="BS71" s="1">
        <v>43530</v>
      </c>
      <c r="CU71" s="1">
        <f t="shared" si="62"/>
        <v>40125</v>
      </c>
      <c r="CV71" s="1">
        <f t="shared" si="63"/>
        <v>38116</v>
      </c>
      <c r="CW71" s="1">
        <f t="shared" si="64"/>
        <v>36377</v>
      </c>
      <c r="CX71" s="1">
        <f t="shared" si="65"/>
        <v>35547</v>
      </c>
      <c r="CY71" s="1">
        <f t="shared" si="66"/>
        <v>42375</v>
      </c>
      <c r="FI71" s="1"/>
    </row>
    <row r="72" spans="2:165">
      <c r="B72" s="1" t="s">
        <v>273</v>
      </c>
      <c r="BB72" s="1">
        <v>9453</v>
      </c>
      <c r="BC72" s="1">
        <v>8558</v>
      </c>
      <c r="BD72" s="1">
        <v>8350</v>
      </c>
      <c r="BE72" s="1">
        <v>8401</v>
      </c>
      <c r="BF72" s="1">
        <v>8607</v>
      </c>
      <c r="BG72" s="1">
        <v>8252</v>
      </c>
      <c r="BH72" s="1">
        <v>8046</v>
      </c>
      <c r="BI72" s="1">
        <v>8010</v>
      </c>
      <c r="BJ72" s="1">
        <v>7922</v>
      </c>
      <c r="BK72" s="1">
        <v>7874</v>
      </c>
      <c r="BL72" s="1">
        <v>8449</v>
      </c>
      <c r="BM72" s="1">
        <v>8427</v>
      </c>
      <c r="BN72" s="1">
        <v>8466</v>
      </c>
      <c r="BO72" s="1">
        <v>5465</v>
      </c>
      <c r="BP72" s="1">
        <v>4077</v>
      </c>
      <c r="BQ72" s="1">
        <v>4257</v>
      </c>
      <c r="BR72" s="1">
        <v>4084</v>
      </c>
      <c r="BS72" s="1">
        <v>4313</v>
      </c>
      <c r="CU72" s="1">
        <f t="shared" si="62"/>
        <v>9453</v>
      </c>
      <c r="CV72" s="1">
        <f t="shared" si="63"/>
        <v>8607</v>
      </c>
      <c r="CW72" s="1">
        <f t="shared" si="64"/>
        <v>7922</v>
      </c>
      <c r="CX72" s="1">
        <f t="shared" si="65"/>
        <v>8466</v>
      </c>
      <c r="CY72" s="1">
        <f t="shared" si="66"/>
        <v>4084</v>
      </c>
      <c r="FI72" s="1"/>
    </row>
    <row r="73" spans="2:165">
      <c r="B73" s="1" t="s">
        <v>274</v>
      </c>
      <c r="BB73" s="1">
        <v>1833</v>
      </c>
      <c r="BC73" s="1">
        <v>2447</v>
      </c>
      <c r="BD73" s="1">
        <v>2486</v>
      </c>
      <c r="BE73" s="1">
        <v>2688</v>
      </c>
      <c r="BF73" s="1">
        <v>2821</v>
      </c>
      <c r="BG73" s="1">
        <v>3132</v>
      </c>
      <c r="BH73" s="1">
        <v>3034</v>
      </c>
      <c r="BI73" s="1">
        <v>3124</v>
      </c>
      <c r="BJ73" s="1">
        <v>2914</v>
      </c>
      <c r="BK73" s="1">
        <v>3171</v>
      </c>
      <c r="BL73" s="1">
        <v>2714</v>
      </c>
      <c r="BM73" s="1">
        <v>2733</v>
      </c>
      <c r="BN73" s="1">
        <v>2639</v>
      </c>
      <c r="BO73" s="1">
        <v>2521</v>
      </c>
      <c r="BP73" s="1">
        <v>2366</v>
      </c>
      <c r="BQ73" s="1">
        <v>2292</v>
      </c>
      <c r="BR73" s="1">
        <v>2469</v>
      </c>
      <c r="BS73" s="1">
        <v>2311</v>
      </c>
      <c r="CU73" s="1">
        <f t="shared" si="62"/>
        <v>1833</v>
      </c>
      <c r="CV73" s="1">
        <f t="shared" si="63"/>
        <v>2821</v>
      </c>
      <c r="CW73" s="1">
        <f t="shared" si="64"/>
        <v>2914</v>
      </c>
      <c r="CX73" s="1">
        <f t="shared" si="65"/>
        <v>2639</v>
      </c>
      <c r="CY73" s="1">
        <f t="shared" si="66"/>
        <v>2469</v>
      </c>
      <c r="FI73" s="1"/>
    </row>
    <row r="74" spans="2:165">
      <c r="B74" s="1" t="s">
        <v>275</v>
      </c>
      <c r="BB74" s="1">
        <f t="shared" ref="BB74:BP74" si="67">SUM(BB67:BB73)</f>
        <v>66012</v>
      </c>
      <c r="BC74" s="1">
        <f t="shared" si="67"/>
        <v>67661</v>
      </c>
      <c r="BD74" s="1">
        <f t="shared" si="67"/>
        <v>65939</v>
      </c>
      <c r="BE74" s="1">
        <f t="shared" si="67"/>
        <v>66473</v>
      </c>
      <c r="BF74" s="1">
        <f t="shared" si="67"/>
        <v>69494</v>
      </c>
      <c r="BG74" s="1">
        <f t="shared" si="67"/>
        <v>67223</v>
      </c>
      <c r="BH74" s="1">
        <f t="shared" si="67"/>
        <v>68366</v>
      </c>
      <c r="BI74" s="1">
        <f t="shared" si="67"/>
        <v>68035</v>
      </c>
      <c r="BJ74" s="1">
        <f t="shared" si="67"/>
        <v>66937</v>
      </c>
      <c r="BK74" s="1">
        <f t="shared" si="67"/>
        <v>70536</v>
      </c>
      <c r="BL74" s="1">
        <f t="shared" si="67"/>
        <v>70904</v>
      </c>
      <c r="BM74" s="1">
        <f t="shared" si="67"/>
        <v>69745</v>
      </c>
      <c r="BN74" s="1">
        <f t="shared" si="67"/>
        <v>70223</v>
      </c>
      <c r="BO74" s="1">
        <f t="shared" si="67"/>
        <v>71446</v>
      </c>
      <c r="BP74" s="1">
        <f t="shared" si="67"/>
        <v>73791</v>
      </c>
      <c r="BQ74" s="1">
        <f>SUM(BQ67:BQ73)</f>
        <v>78112</v>
      </c>
      <c r="BR74" s="1">
        <f t="shared" ref="BR74:BS74" si="68">SUM(BR67:BR73)</f>
        <v>74177</v>
      </c>
      <c r="BS74" s="1">
        <f t="shared" si="68"/>
        <v>73962</v>
      </c>
      <c r="CU74" s="1">
        <f t="shared" si="62"/>
        <v>66012</v>
      </c>
      <c r="CV74" s="1">
        <f t="shared" si="63"/>
        <v>69494</v>
      </c>
      <c r="CW74" s="1">
        <f t="shared" si="64"/>
        <v>66937</v>
      </c>
      <c r="CX74" s="1">
        <f t="shared" si="65"/>
        <v>70223</v>
      </c>
      <c r="CY74" s="1">
        <f t="shared" si="66"/>
        <v>74177</v>
      </c>
      <c r="FI74" s="1"/>
    </row>
    <row r="75" spans="2:165">
      <c r="B75" s="1" t="s">
        <v>276</v>
      </c>
      <c r="BB75" s="1">
        <v>21284</v>
      </c>
      <c r="BC75" s="1">
        <v>22332</v>
      </c>
      <c r="BD75" s="1">
        <v>24255</v>
      </c>
      <c r="BE75" s="1">
        <v>24133</v>
      </c>
      <c r="BF75" s="1">
        <v>24860</v>
      </c>
      <c r="BG75" s="1">
        <v>26841</v>
      </c>
      <c r="BH75" s="1">
        <v>24803</v>
      </c>
      <c r="BI75" s="1">
        <v>24436</v>
      </c>
      <c r="BJ75" s="1">
        <v>25826</v>
      </c>
      <c r="BK75" s="1">
        <v>26868</v>
      </c>
      <c r="BL75" s="1">
        <v>27552</v>
      </c>
      <c r="BM75" s="1">
        <v>27833</v>
      </c>
      <c r="BN75" s="1">
        <v>27480</v>
      </c>
      <c r="BO75" s="1">
        <v>27946</v>
      </c>
      <c r="BP75" s="1">
        <v>27411</v>
      </c>
      <c r="BQ75" s="1">
        <v>28154</v>
      </c>
      <c r="BR75" s="1">
        <v>26372</v>
      </c>
      <c r="BS75" s="1">
        <v>27754</v>
      </c>
      <c r="CU75" s="1">
        <f t="shared" si="62"/>
        <v>21284</v>
      </c>
      <c r="CV75" s="1">
        <f t="shared" si="63"/>
        <v>24860</v>
      </c>
      <c r="CW75" s="1">
        <f t="shared" si="64"/>
        <v>25826</v>
      </c>
      <c r="CX75" s="1">
        <f t="shared" si="65"/>
        <v>27480</v>
      </c>
      <c r="CY75" s="1">
        <f t="shared" si="66"/>
        <v>26372</v>
      </c>
      <c r="FI75" s="1"/>
    </row>
    <row r="76" spans="2:165">
      <c r="B76" s="1" t="s">
        <v>277</v>
      </c>
      <c r="BB76" s="1">
        <f t="shared" ref="BB76:BP76" si="69">BB74+BB75</f>
        <v>87296</v>
      </c>
      <c r="BC76" s="1">
        <f t="shared" si="69"/>
        <v>89993</v>
      </c>
      <c r="BD76" s="1">
        <f t="shared" si="69"/>
        <v>90194</v>
      </c>
      <c r="BE76" s="1">
        <f t="shared" si="69"/>
        <v>90606</v>
      </c>
      <c r="BF76" s="1">
        <f t="shared" si="69"/>
        <v>94354</v>
      </c>
      <c r="BG76" s="1">
        <f t="shared" si="69"/>
        <v>94064</v>
      </c>
      <c r="BH76" s="1">
        <f t="shared" si="69"/>
        <v>93169</v>
      </c>
      <c r="BI76" s="1">
        <f t="shared" si="69"/>
        <v>92471</v>
      </c>
      <c r="BJ76" s="1">
        <f t="shared" si="69"/>
        <v>92763</v>
      </c>
      <c r="BK76" s="1">
        <f t="shared" si="69"/>
        <v>97404</v>
      </c>
      <c r="BL76" s="1">
        <f t="shared" si="69"/>
        <v>98456</v>
      </c>
      <c r="BM76" s="1">
        <f t="shared" si="69"/>
        <v>97578</v>
      </c>
      <c r="BN76" s="1">
        <f t="shared" si="69"/>
        <v>97703</v>
      </c>
      <c r="BO76" s="1">
        <f t="shared" si="69"/>
        <v>99392</v>
      </c>
      <c r="BP76" s="1">
        <f t="shared" si="69"/>
        <v>101202</v>
      </c>
      <c r="BQ76" s="1">
        <f>BQ74+BQ75</f>
        <v>106266</v>
      </c>
      <c r="BR76" s="1">
        <f>BR74+BR75</f>
        <v>100549</v>
      </c>
      <c r="BS76" s="1">
        <f>BS74+BS75</f>
        <v>101716</v>
      </c>
      <c r="CU76" s="1">
        <f t="shared" si="62"/>
        <v>87296</v>
      </c>
      <c r="CV76" s="1">
        <f t="shared" si="63"/>
        <v>94354</v>
      </c>
      <c r="CW76" s="1">
        <f t="shared" si="64"/>
        <v>92763</v>
      </c>
      <c r="CX76" s="1">
        <f t="shared" si="65"/>
        <v>97703</v>
      </c>
      <c r="CY76" s="1">
        <f t="shared" si="66"/>
        <v>100549</v>
      </c>
      <c r="FI76" s="1"/>
    </row>
    <row r="77" spans="2:165">
      <c r="FI77" s="1"/>
    </row>
    <row r="78" spans="2:165">
      <c r="B78" s="1" t="s">
        <v>248</v>
      </c>
      <c r="AY78" s="1">
        <f t="shared" ref="AY78:BN78" si="70">AY38</f>
        <v>2795</v>
      </c>
      <c r="AZ78" s="1">
        <f t="shared" si="70"/>
        <v>1759</v>
      </c>
      <c r="BA78" s="1">
        <f t="shared" si="70"/>
        <v>1740</v>
      </c>
      <c r="BB78" s="1">
        <f t="shared" si="70"/>
        <v>1474</v>
      </c>
      <c r="BC78" s="1">
        <f t="shared" si="70"/>
        <v>2255</v>
      </c>
      <c r="BD78" s="1">
        <f t="shared" si="70"/>
        <v>2624</v>
      </c>
      <c r="BE78" s="1">
        <f t="shared" si="70"/>
        <v>2475</v>
      </c>
      <c r="BF78" s="1">
        <f t="shared" si="70"/>
        <v>2450</v>
      </c>
      <c r="BG78" s="1">
        <f t="shared" si="70"/>
        <v>2793</v>
      </c>
      <c r="BH78" s="1">
        <f t="shared" si="70"/>
        <v>1900</v>
      </c>
      <c r="BI78" s="1">
        <f t="shared" si="70"/>
        <v>2822</v>
      </c>
      <c r="BJ78" s="1">
        <f t="shared" si="70"/>
        <v>2056</v>
      </c>
      <c r="BK78" s="1">
        <f t="shared" si="70"/>
        <v>3113</v>
      </c>
      <c r="BL78" s="1">
        <f t="shared" si="70"/>
        <v>2521</v>
      </c>
      <c r="BM78" s="1">
        <f t="shared" si="70"/>
        <v>3083</v>
      </c>
      <c r="BN78" s="1">
        <f t="shared" si="70"/>
        <v>1986</v>
      </c>
      <c r="BO78" s="1">
        <f>BO38</f>
        <v>3185</v>
      </c>
      <c r="BP78" s="1">
        <f t="shared" ref="BP78:BS78" si="71">BP38</f>
        <v>2401</v>
      </c>
      <c r="BQ78" s="1">
        <f t="shared" si="71"/>
        <v>2850</v>
      </c>
      <c r="BR78" s="1">
        <f t="shared" si="71"/>
        <v>2213</v>
      </c>
      <c r="BS78" s="1">
        <f t="shared" si="71"/>
        <v>3335</v>
      </c>
      <c r="CU78" s="1">
        <f t="shared" ref="CU78:CU88" si="72">SUM(AY78:BB78)</f>
        <v>7768</v>
      </c>
      <c r="CV78" s="1">
        <f t="shared" ref="CV78:CV88" si="73">SUM(BC78:BF78)</f>
        <v>9804</v>
      </c>
      <c r="CW78" s="1">
        <f t="shared" ref="CW78:CW88" si="74">SUM(BG78:BJ78)</f>
        <v>9571</v>
      </c>
      <c r="CX78" s="1">
        <f t="shared" ref="CX78:CX88" si="75">SUM(BK78:BN78)</f>
        <v>10703</v>
      </c>
      <c r="CY78" s="1">
        <f t="shared" ref="CY78:CY88" si="76">SUM(BO78:BR78)</f>
        <v>10649</v>
      </c>
      <c r="FI78" s="1"/>
    </row>
    <row r="79" spans="2:165">
      <c r="B79" s="1" t="s">
        <v>278</v>
      </c>
      <c r="AY79" s="1">
        <v>367</v>
      </c>
      <c r="AZ79" s="1">
        <f>748-AY79</f>
        <v>381</v>
      </c>
      <c r="BA79" s="1">
        <f>1106-SUM(AY79:AZ79)</f>
        <v>358</v>
      </c>
      <c r="BB79" s="1">
        <f>1536-SUM(AY79:BA79)</f>
        <v>430</v>
      </c>
      <c r="BC79" s="1">
        <v>366</v>
      </c>
      <c r="BD79" s="1">
        <f>749-BC79</f>
        <v>383</v>
      </c>
      <c r="BE79" s="1">
        <f>1111-SUM(BC79:BD79)</f>
        <v>362</v>
      </c>
      <c r="BF79" s="1">
        <f>1452-SUM(BC79:BE79)</f>
        <v>341</v>
      </c>
      <c r="BG79" s="1">
        <v>324</v>
      </c>
      <c r="BH79" s="1">
        <f>646-BG79</f>
        <v>322</v>
      </c>
      <c r="BI79" s="1">
        <f>953-SUM(BG79:BH79)</f>
        <v>307</v>
      </c>
      <c r="BJ79" s="1">
        <f>1260-SUM(BG79:BI79)</f>
        <v>307</v>
      </c>
      <c r="BK79" s="1">
        <v>286</v>
      </c>
      <c r="BL79" s="1">
        <f>567-BK79</f>
        <v>281</v>
      </c>
      <c r="BM79" s="1">
        <f>857-SUM(BK79:BL79)</f>
        <v>290</v>
      </c>
      <c r="BN79" s="1">
        <f>1128-SUM(BK79:BM79)</f>
        <v>271</v>
      </c>
      <c r="BO79" s="1">
        <v>262</v>
      </c>
      <c r="BP79" s="1">
        <f>531-BO79</f>
        <v>269</v>
      </c>
      <c r="BQ79" s="1">
        <f>799-SUM(BO79:BP79)</f>
        <v>268</v>
      </c>
      <c r="BR79" s="1">
        <f>1075-SUM(BO79:BQ79)</f>
        <v>276</v>
      </c>
      <c r="BS79" s="1">
        <v>267</v>
      </c>
      <c r="CU79" s="1">
        <f t="shared" si="72"/>
        <v>1536</v>
      </c>
      <c r="CV79" s="1">
        <f t="shared" si="73"/>
        <v>1452</v>
      </c>
      <c r="CW79" s="1">
        <f t="shared" si="74"/>
        <v>1260</v>
      </c>
      <c r="CX79" s="1">
        <f t="shared" si="75"/>
        <v>1128</v>
      </c>
      <c r="CY79" s="1">
        <f t="shared" si="76"/>
        <v>1075</v>
      </c>
      <c r="FI79" s="1"/>
    </row>
    <row r="80" spans="2:165">
      <c r="B80" s="1" t="s">
        <v>279</v>
      </c>
      <c r="AY80" s="1">
        <v>-5</v>
      </c>
      <c r="AZ80" s="1">
        <f>36-AY80</f>
        <v>41</v>
      </c>
      <c r="BA80" s="1">
        <f>88-SUM(AY80:AZ80)</f>
        <v>52</v>
      </c>
      <c r="BB80" s="1">
        <f>126-SUM(AY80:BA80)</f>
        <v>38</v>
      </c>
      <c r="BC80" s="1">
        <v>58</v>
      </c>
      <c r="BD80" s="1">
        <f>148-BC80</f>
        <v>90</v>
      </c>
      <c r="BE80" s="1">
        <f>236-SUM(BC80:BD80)</f>
        <v>88</v>
      </c>
      <c r="BF80" s="1">
        <f>337-SUM(BC80:BE80)</f>
        <v>101</v>
      </c>
      <c r="BG80" s="1">
        <v>87</v>
      </c>
      <c r="BH80" s="1">
        <f>189-BG80</f>
        <v>102</v>
      </c>
      <c r="BI80" s="1">
        <f>273-SUM(BG80:BH80)</f>
        <v>84</v>
      </c>
      <c r="BJ80" s="1">
        <f>356-SUM(BG80:BI80)</f>
        <v>83</v>
      </c>
      <c r="BK80" s="1">
        <v>58</v>
      </c>
      <c r="BL80" s="1">
        <f>120-BK80</f>
        <v>62</v>
      </c>
      <c r="BM80" s="1">
        <f>177-SUM(BK80:BL80)</f>
        <v>57</v>
      </c>
      <c r="BN80" s="1">
        <f>254-SUM(BK80:BM80)</f>
        <v>77</v>
      </c>
      <c r="BO80" s="1">
        <v>68</v>
      </c>
      <c r="BP80" s="1">
        <f>140-BO80</f>
        <v>72</v>
      </c>
      <c r="BQ80" s="1">
        <f>207-SUM(BO80:BP80)</f>
        <v>67</v>
      </c>
      <c r="BR80" s="1">
        <f>286-SUM(BO80:BQ80)</f>
        <v>79</v>
      </c>
      <c r="BS80" s="1">
        <v>63</v>
      </c>
      <c r="CU80" s="1">
        <f t="shared" si="72"/>
        <v>126</v>
      </c>
      <c r="CV80" s="1">
        <f t="shared" si="73"/>
        <v>337</v>
      </c>
      <c r="CW80" s="1">
        <f t="shared" si="74"/>
        <v>356</v>
      </c>
      <c r="CX80" s="1">
        <f t="shared" si="75"/>
        <v>254</v>
      </c>
      <c r="CY80" s="1">
        <f t="shared" si="76"/>
        <v>286</v>
      </c>
      <c r="FI80" s="1"/>
    </row>
    <row r="81" spans="2:165">
      <c r="B81" s="1" t="s">
        <v>280</v>
      </c>
      <c r="AY81" s="1">
        <v>-122</v>
      </c>
      <c r="AZ81" s="1">
        <f>-39-AY81</f>
        <v>83</v>
      </c>
      <c r="BA81" s="1">
        <f>10-SUM(AY81:AZ81)</f>
        <v>49</v>
      </c>
      <c r="BB81" s="1">
        <f>-18-SUM(AY81:BA81)</f>
        <v>-28</v>
      </c>
      <c r="BC81" s="1">
        <v>377</v>
      </c>
      <c r="BD81" s="1">
        <f>500-BC81</f>
        <v>123</v>
      </c>
      <c r="BE81" s="1">
        <f>726-SUM(BC81:BD81)</f>
        <v>226</v>
      </c>
      <c r="BF81" s="1">
        <f>894-SUM(BC81:BE81)</f>
        <v>168</v>
      </c>
      <c r="BG81" s="1">
        <v>41</v>
      </c>
      <c r="BH81" s="1">
        <f>-127-BG81</f>
        <v>-168</v>
      </c>
      <c r="BI81" s="1">
        <f>-135-SUM(BG81:BH81)</f>
        <v>-8</v>
      </c>
      <c r="BJ81" s="1">
        <f>-122-SUM(BG81:BI81)</f>
        <v>13</v>
      </c>
      <c r="BK81" s="1">
        <v>260</v>
      </c>
      <c r="BL81" s="1">
        <f>-211-BK81</f>
        <v>-471</v>
      </c>
      <c r="BM81" s="1">
        <f>-154-SUM(BK81:BL81)</f>
        <v>57</v>
      </c>
      <c r="BN81" s="1">
        <f>-2-SUM(BK81:BM81)</f>
        <v>152</v>
      </c>
      <c r="BO81" s="1">
        <v>-173</v>
      </c>
      <c r="BP81" s="1">
        <f>-202-BO81</f>
        <v>-29</v>
      </c>
      <c r="BQ81" s="1">
        <f>0-SUM(BO81:BP81)</f>
        <v>202</v>
      </c>
      <c r="BR81" s="1">
        <f>-11-SUM(BO81:BQ81)</f>
        <v>-11</v>
      </c>
      <c r="BS81" s="1">
        <v>95</v>
      </c>
      <c r="CU81" s="1">
        <f t="shared" si="72"/>
        <v>-18</v>
      </c>
      <c r="CV81" s="1">
        <f t="shared" si="73"/>
        <v>894</v>
      </c>
      <c r="CW81" s="1">
        <f t="shared" si="74"/>
        <v>-122</v>
      </c>
      <c r="CX81" s="1">
        <f t="shared" si="75"/>
        <v>-2</v>
      </c>
      <c r="CY81" s="1">
        <f t="shared" si="76"/>
        <v>-11</v>
      </c>
      <c r="FI81" s="1"/>
    </row>
    <row r="82" spans="2:165">
      <c r="B82" s="1" t="s">
        <v>281</v>
      </c>
      <c r="AY82" s="1">
        <v>-157</v>
      </c>
      <c r="AZ82" s="1">
        <f>-212-AY82</f>
        <v>-55</v>
      </c>
      <c r="BA82" s="1">
        <f>-565-SUM(AY82:AZ82)</f>
        <v>-353</v>
      </c>
      <c r="BB82" s="1">
        <f>-511-SUM(AY82:BA82)</f>
        <v>54</v>
      </c>
      <c r="BC82" s="1">
        <v>-250</v>
      </c>
      <c r="BD82" s="1">
        <f>-333-BC82</f>
        <v>-83</v>
      </c>
      <c r="BE82" s="1">
        <f>-621-SUM(BC82:BD82)</f>
        <v>-288</v>
      </c>
      <c r="BF82" s="1">
        <f>-615-SUM(BC82:BE82)</f>
        <v>6</v>
      </c>
      <c r="BG82" s="1">
        <v>-247</v>
      </c>
      <c r="BH82" s="1">
        <f>-359-BG82</f>
        <v>-112</v>
      </c>
      <c r="BI82" s="1">
        <f>-767-SUM(BG82:BH82)</f>
        <v>-408</v>
      </c>
      <c r="BJ82" s="1">
        <f>-838-SUM(BG82:BI82)</f>
        <v>-71</v>
      </c>
      <c r="BK82" s="1">
        <v>-249</v>
      </c>
      <c r="BL82" s="1">
        <f>-467-BK82</f>
        <v>-218</v>
      </c>
      <c r="BM82" s="1">
        <f>-952-SUM(BK82:BL82)</f>
        <v>-485</v>
      </c>
      <c r="BN82" s="1">
        <f>-1019-SUM(BK82:BM82)</f>
        <v>-67</v>
      </c>
      <c r="BO82" s="1">
        <v>-58</v>
      </c>
      <c r="BP82" s="1">
        <f>-274-BO82</f>
        <v>-216</v>
      </c>
      <c r="BQ82" s="1">
        <f>-693-SUM(BO82:BP82)</f>
        <v>-419</v>
      </c>
      <c r="BR82" s="1">
        <f>-802-SUM(BO82:BQ82)</f>
        <v>-109</v>
      </c>
      <c r="BS82" s="1">
        <v>-264</v>
      </c>
      <c r="CU82" s="1">
        <f t="shared" si="72"/>
        <v>-511</v>
      </c>
      <c r="CV82" s="1">
        <f t="shared" si="73"/>
        <v>-615</v>
      </c>
      <c r="CW82" s="1">
        <f t="shared" si="74"/>
        <v>-838</v>
      </c>
      <c r="CX82" s="1">
        <f t="shared" si="75"/>
        <v>-1019</v>
      </c>
      <c r="CY82" s="1">
        <f t="shared" si="76"/>
        <v>-802</v>
      </c>
      <c r="FI82" s="1"/>
    </row>
    <row r="83" spans="2:165">
      <c r="B83" s="1" t="s">
        <v>282</v>
      </c>
      <c r="AY83" s="1">
        <v>-59</v>
      </c>
      <c r="AZ83" s="1">
        <f>-67-AY83</f>
        <v>-8</v>
      </c>
      <c r="BA83" s="1">
        <f>-145-SUM(AY83:AZ83)</f>
        <v>-78</v>
      </c>
      <c r="BB83" s="1">
        <f>-88-SUM(AY83:BA83)</f>
        <v>57</v>
      </c>
      <c r="BC83" s="1">
        <v>-20</v>
      </c>
      <c r="BD83" s="1">
        <f>-31-BC83</f>
        <v>-11</v>
      </c>
      <c r="BE83" s="1">
        <f>-5-SUM(BC83:BD83)</f>
        <v>26</v>
      </c>
      <c r="BF83" s="1">
        <f>86-SUM(BC83:BE83)</f>
        <v>91</v>
      </c>
      <c r="BG83" s="1">
        <v>100</v>
      </c>
      <c r="BH83" s="1">
        <f>138-BG83</f>
        <v>38</v>
      </c>
      <c r="BI83" s="1">
        <f>176-SUM(BG83:BH83)</f>
        <v>38</v>
      </c>
      <c r="BJ83" s="1">
        <f>203-SUM(BG83:BI83)</f>
        <v>27</v>
      </c>
      <c r="BK83" s="1">
        <v>25</v>
      </c>
      <c r="BL83" s="1">
        <f>34-BK83</f>
        <v>9</v>
      </c>
      <c r="BM83" s="1">
        <f>-22-SUM(BK83:BL83)</f>
        <v>-56</v>
      </c>
      <c r="BN83" s="1">
        <f>175-SUM(BK83:BM83)</f>
        <v>197</v>
      </c>
      <c r="BO83" s="1">
        <v>17</v>
      </c>
      <c r="BP83" s="1">
        <f>-87-BO83</f>
        <v>-104</v>
      </c>
      <c r="BQ83" s="1">
        <f>-61-SUM(BO83:BP83)</f>
        <v>26</v>
      </c>
      <c r="BR83" s="1">
        <f>-110-SUM(BO83:BQ83)</f>
        <v>-49</v>
      </c>
      <c r="BS83" s="1">
        <v>50</v>
      </c>
      <c r="CU83" s="1">
        <f t="shared" si="72"/>
        <v>-88</v>
      </c>
      <c r="CV83" s="1">
        <f t="shared" si="73"/>
        <v>86</v>
      </c>
      <c r="CW83" s="1">
        <f t="shared" si="74"/>
        <v>203</v>
      </c>
      <c r="CX83" s="1">
        <f t="shared" si="75"/>
        <v>175</v>
      </c>
      <c r="CY83" s="1">
        <f t="shared" si="76"/>
        <v>-110</v>
      </c>
      <c r="FI83" s="1"/>
    </row>
    <row r="84" spans="2:165">
      <c r="B84" s="1" t="s">
        <v>283</v>
      </c>
      <c r="AY84" s="1">
        <v>-919</v>
      </c>
      <c r="AZ84" s="1">
        <f>-901-AY84</f>
        <v>18</v>
      </c>
      <c r="BA84" s="1">
        <f>-899-SUM(AY84:AZ84)</f>
        <v>2</v>
      </c>
      <c r="BB84" s="1">
        <f>-914-SUM(AY84:BA84)</f>
        <v>-15</v>
      </c>
      <c r="BC84" s="1">
        <v>1</v>
      </c>
      <c r="BD84" s="1">
        <f>-690-BC84</f>
        <v>-691</v>
      </c>
      <c r="BE84" s="1">
        <f>-498-SUM(BC84:BD84)</f>
        <v>192</v>
      </c>
      <c r="BF84" s="1">
        <f>-1365-SUM(BC84:BE84)</f>
        <v>-867</v>
      </c>
      <c r="BG84" s="1">
        <v>25</v>
      </c>
      <c r="BH84" s="1">
        <f>25-BG84</f>
        <v>0</v>
      </c>
      <c r="BI84" s="1">
        <f>25-SUM(BG84:BH84)</f>
        <v>0</v>
      </c>
      <c r="BJ84" s="1">
        <f>-129-SUM(BG84:BI84)</f>
        <v>-154</v>
      </c>
      <c r="BK84" s="1">
        <v>-442</v>
      </c>
      <c r="BL84" s="1">
        <f>-442-BK84</f>
        <v>0</v>
      </c>
      <c r="BM84" s="1">
        <f>-442-SUM(BK84:BL84)</f>
        <v>0</v>
      </c>
      <c r="BN84" s="1">
        <f>-492-SUM(BK84:BM84)</f>
        <v>-50</v>
      </c>
      <c r="BO84" s="1">
        <v>-1401</v>
      </c>
      <c r="BP84" s="1">
        <f>-1398-BO84</f>
        <v>3</v>
      </c>
      <c r="BQ84" s="1">
        <f>-1722-SUM(BO84:BP84)</f>
        <v>-324</v>
      </c>
      <c r="BR84" s="1">
        <f>-1737-SUM(BO84:BQ84)</f>
        <v>-15</v>
      </c>
      <c r="BS84" s="1">
        <v>-331</v>
      </c>
      <c r="CU84" s="1">
        <f t="shared" si="72"/>
        <v>-914</v>
      </c>
      <c r="CV84" s="1">
        <f t="shared" si="73"/>
        <v>-1365</v>
      </c>
      <c r="CW84" s="1">
        <f t="shared" si="74"/>
        <v>-129</v>
      </c>
      <c r="CX84" s="1">
        <f t="shared" si="75"/>
        <v>-492</v>
      </c>
      <c r="CY84" s="1">
        <f t="shared" si="76"/>
        <v>-1737</v>
      </c>
      <c r="FI84" s="1"/>
    </row>
    <row r="85" spans="2:165">
      <c r="B85" s="1" t="s">
        <v>284</v>
      </c>
      <c r="AY85" s="1">
        <v>190</v>
      </c>
      <c r="AZ85" s="1">
        <f>341-AY85</f>
        <v>151</v>
      </c>
      <c r="BA85" s="1">
        <f>671-SUM(AY85:AZ85)</f>
        <v>330</v>
      </c>
      <c r="BB85" s="1">
        <f>556-SUM(AY85:BA85)</f>
        <v>-115</v>
      </c>
      <c r="BC85" s="1">
        <v>69</v>
      </c>
      <c r="BD85" s="1">
        <f>238-BC85</f>
        <v>169</v>
      </c>
      <c r="BE85" s="1">
        <f>243-SUM(BC85:BD85)</f>
        <v>5</v>
      </c>
      <c r="BF85" s="1">
        <f>506-SUM(BC85:BE85)</f>
        <v>263</v>
      </c>
      <c r="BG85" s="1">
        <v>38</v>
      </c>
      <c r="BH85" s="1">
        <f>966-BG85</f>
        <v>928</v>
      </c>
      <c r="BI85" s="1">
        <f>1070-SUM(BG85:BH85)</f>
        <v>104</v>
      </c>
      <c r="BJ85" s="1">
        <f>1086-SUM(BG85:BI85)</f>
        <v>16</v>
      </c>
      <c r="BK85" s="1">
        <v>88</v>
      </c>
      <c r="BL85" s="1">
        <f>1375-BK85</f>
        <v>1287</v>
      </c>
      <c r="BM85" s="1">
        <f>1665-SUM(BK85:BL85)</f>
        <v>290</v>
      </c>
      <c r="BN85" s="1">
        <f>1741-SUM(BK85:BM85)</f>
        <v>76</v>
      </c>
      <c r="BO85" s="1">
        <v>1532</v>
      </c>
      <c r="BP85" s="1">
        <f>2867-BO85</f>
        <v>1335</v>
      </c>
      <c r="BQ85" s="1">
        <f>3874-SUM(BO85:BP85)</f>
        <v>1007</v>
      </c>
      <c r="BR85" s="1">
        <f>4000-SUM(BO85:BQ85)</f>
        <v>126</v>
      </c>
      <c r="BS85" s="1">
        <v>0</v>
      </c>
      <c r="CU85" s="1">
        <f t="shared" si="72"/>
        <v>556</v>
      </c>
      <c r="CV85" s="1">
        <f t="shared" si="73"/>
        <v>506</v>
      </c>
      <c r="CW85" s="1">
        <f t="shared" si="74"/>
        <v>1086</v>
      </c>
      <c r="CX85" s="1">
        <f t="shared" si="75"/>
        <v>1741</v>
      </c>
      <c r="CY85" s="1">
        <f t="shared" si="76"/>
        <v>4000</v>
      </c>
      <c r="FI85" s="1"/>
    </row>
    <row r="86" spans="2:165">
      <c r="B86" s="1" t="s">
        <v>285</v>
      </c>
      <c r="AY86" s="1">
        <v>235</v>
      </c>
      <c r="AZ86" s="1">
        <f>52-AY86</f>
        <v>-183</v>
      </c>
      <c r="BA86" s="1">
        <f>562-SUM(AY86:AZ86)</f>
        <v>510</v>
      </c>
      <c r="BB86" s="1">
        <f>699-SUM(AY86:BA86)</f>
        <v>137</v>
      </c>
      <c r="BC86" s="1">
        <v>157</v>
      </c>
      <c r="BD86" s="1">
        <f>503-BC86</f>
        <v>346</v>
      </c>
      <c r="BE86" s="1">
        <f>517-SUM(BC86:BD86)</f>
        <v>14</v>
      </c>
      <c r="BF86" s="1">
        <f>201-SUM(BC86:BE86)</f>
        <v>-316</v>
      </c>
      <c r="BG86" s="1">
        <v>-70</v>
      </c>
      <c r="BH86" s="1">
        <f>301-BG86</f>
        <v>371</v>
      </c>
      <c r="BI86" s="1">
        <f>217-SUM(BG86:BH86)</f>
        <v>-84</v>
      </c>
      <c r="BJ86" s="1">
        <f>236-SUM(BG86:BI86)</f>
        <v>19</v>
      </c>
      <c r="BK86" s="1">
        <v>-102</v>
      </c>
      <c r="BL86" s="1">
        <f>-225-BK86</f>
        <v>-123</v>
      </c>
      <c r="BM86" s="1">
        <f>-48-SUM(BK86:BL86)</f>
        <v>177</v>
      </c>
      <c r="BN86" s="1">
        <f>-43-SUM(BK86:BM86)</f>
        <v>5</v>
      </c>
      <c r="BO86" s="1">
        <v>-59</v>
      </c>
      <c r="BP86" s="1">
        <f>-66-BO86</f>
        <v>-7</v>
      </c>
      <c r="BQ86" s="1">
        <f>-143-SUM(BO86:BP86)</f>
        <v>-77</v>
      </c>
      <c r="BR86" s="1">
        <f>-311-SUM(BO86:BQ86)</f>
        <v>-168</v>
      </c>
      <c r="BS86" s="1">
        <v>104</v>
      </c>
      <c r="CU86" s="1">
        <f t="shared" si="72"/>
        <v>699</v>
      </c>
      <c r="CV86" s="1">
        <f t="shared" si="73"/>
        <v>201</v>
      </c>
      <c r="CW86" s="1">
        <f t="shared" si="74"/>
        <v>236</v>
      </c>
      <c r="CX86" s="1">
        <f t="shared" si="75"/>
        <v>-43</v>
      </c>
      <c r="CY86" s="1">
        <f t="shared" si="76"/>
        <v>-311</v>
      </c>
      <c r="FI86" s="1"/>
    </row>
    <row r="87" spans="2:165">
      <c r="B87" s="1" t="s">
        <v>286</v>
      </c>
      <c r="AY87" s="1">
        <v>-1769</v>
      </c>
      <c r="AZ87" s="1">
        <f>-1726-AY87</f>
        <v>43</v>
      </c>
      <c r="BA87" s="1">
        <f>902-SUM(AY87:AZ87)</f>
        <v>2628</v>
      </c>
      <c r="BB87" s="1">
        <f>690-SUM(AY87:BA87)</f>
        <v>-212</v>
      </c>
      <c r="BC87" s="1">
        <v>-1377</v>
      </c>
      <c r="BD87" s="1">
        <f>-438-BC87</f>
        <v>939</v>
      </c>
      <c r="BE87" s="1">
        <f>168-SUM(BC87:BD87)</f>
        <v>606</v>
      </c>
      <c r="BF87" s="1">
        <f>1325-SUM(BC87:BE87)</f>
        <v>1157</v>
      </c>
      <c r="BG87" s="1">
        <v>-2468</v>
      </c>
      <c r="BH87" s="1">
        <f>-1926-BG87</f>
        <v>542</v>
      </c>
      <c r="BI87" s="1">
        <f>-1259-SUM(BG87:BH87)</f>
        <v>667</v>
      </c>
      <c r="BJ87" s="1">
        <f>-605-SUM(BG87:BI87)</f>
        <v>654</v>
      </c>
      <c r="BK87" s="1">
        <v>-2877</v>
      </c>
      <c r="BL87" s="1">
        <f>-1756-BK87</f>
        <v>1121</v>
      </c>
      <c r="BM87" s="1">
        <f>-869-SUM(BK87:BL87)</f>
        <v>887</v>
      </c>
      <c r="BN87" s="1">
        <f>-846-SUM(BK87:BM87)</f>
        <v>23</v>
      </c>
      <c r="BO87" s="1">
        <v>-2845</v>
      </c>
      <c r="BP87" s="1">
        <f>-2984-BO87</f>
        <v>-139</v>
      </c>
      <c r="BQ87" s="1">
        <f>-7843-SUM(BO87:BP87)</f>
        <v>-4859</v>
      </c>
      <c r="BR87" s="1">
        <f>-6234-SUM(BO87:BQ87)</f>
        <v>1609</v>
      </c>
      <c r="BS87" s="1">
        <v>-8521</v>
      </c>
      <c r="CU87" s="1">
        <f t="shared" si="72"/>
        <v>690</v>
      </c>
      <c r="CV87" s="1">
        <f t="shared" si="73"/>
        <v>1325</v>
      </c>
      <c r="CW87" s="1">
        <f t="shared" si="74"/>
        <v>-605</v>
      </c>
      <c r="CX87" s="1">
        <f t="shared" si="75"/>
        <v>-846</v>
      </c>
      <c r="CY87" s="1">
        <f t="shared" si="76"/>
        <v>-6234</v>
      </c>
      <c r="FI87" s="1"/>
    </row>
    <row r="88" spans="2:165" s="2" customFormat="1" ht="15">
      <c r="B88" s="2" t="s">
        <v>135</v>
      </c>
      <c r="AY88" s="2">
        <f t="shared" ref="AY88:BO88" si="77">SUM(AY78:AY87)</f>
        <v>556</v>
      </c>
      <c r="AZ88" s="2">
        <f t="shared" si="77"/>
        <v>2230</v>
      </c>
      <c r="BA88" s="2">
        <f t="shared" si="77"/>
        <v>5238</v>
      </c>
      <c r="BB88" s="2">
        <f t="shared" si="77"/>
        <v>1820</v>
      </c>
      <c r="BC88" s="2">
        <f t="shared" si="77"/>
        <v>1636</v>
      </c>
      <c r="BD88" s="2">
        <f t="shared" si="77"/>
        <v>3889</v>
      </c>
      <c r="BE88" s="2">
        <f t="shared" si="77"/>
        <v>3706</v>
      </c>
      <c r="BF88" s="2">
        <f t="shared" si="77"/>
        <v>3394</v>
      </c>
      <c r="BG88" s="2">
        <f t="shared" si="77"/>
        <v>623</v>
      </c>
      <c r="BH88" s="2">
        <f t="shared" si="77"/>
        <v>3923</v>
      </c>
      <c r="BI88" s="2">
        <f t="shared" si="77"/>
        <v>3522</v>
      </c>
      <c r="BJ88" s="2">
        <f t="shared" si="77"/>
        <v>2950</v>
      </c>
      <c r="BK88" s="2">
        <f t="shared" si="77"/>
        <v>160</v>
      </c>
      <c r="BL88" s="2">
        <f t="shared" si="77"/>
        <v>4469</v>
      </c>
      <c r="BM88" s="2">
        <f t="shared" si="77"/>
        <v>4300</v>
      </c>
      <c r="BN88" s="2">
        <f t="shared" si="77"/>
        <v>2670</v>
      </c>
      <c r="BO88" s="2">
        <f t="shared" si="77"/>
        <v>528</v>
      </c>
      <c r="BP88" s="2">
        <f>SUM(BP78:BP87)</f>
        <v>3585</v>
      </c>
      <c r="BQ88" s="2">
        <f t="shared" ref="BQ88:BS88" si="78">SUM(BQ78:BQ87)</f>
        <v>-1259</v>
      </c>
      <c r="BR88" s="2">
        <f t="shared" si="78"/>
        <v>3951</v>
      </c>
      <c r="BS88" s="2">
        <f t="shared" si="78"/>
        <v>-5202</v>
      </c>
      <c r="CU88" s="2">
        <f t="shared" si="72"/>
        <v>9844</v>
      </c>
      <c r="CV88" s="2">
        <f t="shared" si="73"/>
        <v>12625</v>
      </c>
      <c r="CW88" s="2">
        <f t="shared" si="74"/>
        <v>11018</v>
      </c>
      <c r="CX88" s="2">
        <f t="shared" si="75"/>
        <v>11599</v>
      </c>
      <c r="CY88" s="2">
        <f t="shared" si="76"/>
        <v>6805</v>
      </c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</row>
    <row r="89" spans="2:165">
      <c r="FI89" s="1"/>
    </row>
    <row r="90" spans="2:165">
      <c r="B90" s="1" t="s">
        <v>287</v>
      </c>
      <c r="AY90" s="1">
        <v>-1455</v>
      </c>
      <c r="AZ90" s="1">
        <f>-8294-AY90</f>
        <v>-6839</v>
      </c>
      <c r="BA90" s="1">
        <f>-12051-SUM(AY90:AZ90)</f>
        <v>-3757</v>
      </c>
      <c r="BB90" s="1">
        <f>-13583-SUM(AY90:BA90)</f>
        <v>-1532</v>
      </c>
      <c r="BC90" s="1">
        <v>-1466</v>
      </c>
      <c r="BD90" s="1">
        <f>-3431-BC90</f>
        <v>-1965</v>
      </c>
      <c r="BE90" s="1">
        <f>-4732-SUM(BC90:BD90)</f>
        <v>-1301</v>
      </c>
      <c r="BF90" s="1">
        <f>-6030-SUM(BC90:BE90)</f>
        <v>-1298</v>
      </c>
      <c r="BG90" s="1">
        <v>-835</v>
      </c>
      <c r="BH90" s="1">
        <f>-2040-BG90</f>
        <v>-1205</v>
      </c>
      <c r="BI90" s="1">
        <f>3169-SUM(BG90:BH90)</f>
        <v>5209</v>
      </c>
      <c r="BJ90" s="1">
        <f>-3751-SUM(BG90:BI90)</f>
        <v>-6920</v>
      </c>
      <c r="BK90" s="1">
        <v>-739</v>
      </c>
      <c r="BL90" s="1">
        <f>-2103-BK90</f>
        <v>-1364</v>
      </c>
      <c r="BM90" s="1">
        <f>-4588-SUM(BK90:BL90)</f>
        <v>-2485</v>
      </c>
      <c r="BN90" s="1">
        <f>-6698-SUM(BK90:BM90)</f>
        <v>-2110</v>
      </c>
      <c r="BO90" s="1">
        <v>-2552</v>
      </c>
      <c r="BP90" s="1">
        <f>-3827-BO90</f>
        <v>-1275</v>
      </c>
      <c r="BQ90" s="1">
        <f>-4398-SUM(BO90:BP90)</f>
        <v>-571</v>
      </c>
      <c r="BR90" s="1">
        <f>-5640-SUM(BO90:BQ90)</f>
        <v>-1242</v>
      </c>
      <c r="BS90" s="1">
        <v>-2507</v>
      </c>
      <c r="CU90" s="1">
        <f t="shared" ref="CU90:CU98" si="79">SUM(AY90:BB90)</f>
        <v>-13583</v>
      </c>
      <c r="CV90" s="1">
        <f t="shared" ref="CV90:CV98" si="80">SUM(BC90:BF90)</f>
        <v>-6030</v>
      </c>
      <c r="CW90" s="1">
        <f t="shared" ref="CW90:CW98" si="81">SUM(BG90:BJ90)</f>
        <v>-3751</v>
      </c>
      <c r="CX90" s="1">
        <f t="shared" ref="CX90:CX98" si="82">SUM(BK90:BN90)</f>
        <v>-6698</v>
      </c>
      <c r="CY90" s="1">
        <f t="shared" ref="CY90:CY98" si="83">SUM(BO90:BR90)</f>
        <v>-5640</v>
      </c>
      <c r="FI90" s="1"/>
    </row>
    <row r="91" spans="2:165">
      <c r="B91" s="1" t="s">
        <v>288</v>
      </c>
      <c r="AY91" s="1">
        <v>1603</v>
      </c>
      <c r="AZ91" s="1">
        <f>2649-AY91</f>
        <v>1046</v>
      </c>
      <c r="BA91" s="1">
        <f>6482-SUM(AY91:AZ91)</f>
        <v>3833</v>
      </c>
      <c r="BB91" s="1">
        <f>13835-SUM(AY91:BA91)</f>
        <v>7353</v>
      </c>
      <c r="BC91" s="1">
        <v>1375</v>
      </c>
      <c r="BD91" s="1">
        <f>3811-BC91</f>
        <v>2436</v>
      </c>
      <c r="BE91" s="1">
        <f>5294-SUM(BC91:BD91)</f>
        <v>1483</v>
      </c>
      <c r="BF91" s="1">
        <f>7059-SUM(BC91:BE91)</f>
        <v>1765</v>
      </c>
      <c r="BG91" s="1">
        <v>1323</v>
      </c>
      <c r="BH91" s="1">
        <f>2272-BG91</f>
        <v>949</v>
      </c>
      <c r="BI91" s="1">
        <f>3049-SUM(BG91:BH91)</f>
        <v>777</v>
      </c>
      <c r="BJ91" s="1">
        <f>4771-SUM(BG91:BI91)</f>
        <v>1722</v>
      </c>
      <c r="BK91" s="1">
        <v>815</v>
      </c>
      <c r="BL91" s="1">
        <f>1608-BK91</f>
        <v>793</v>
      </c>
      <c r="BM91" s="1">
        <f>2892-SUM(BK91:BL91)</f>
        <v>1284</v>
      </c>
      <c r="BN91" s="1">
        <f>4354-SUM(BK91:BM91)</f>
        <v>1462</v>
      </c>
      <c r="BO91" s="1">
        <v>444</v>
      </c>
      <c r="BP91" s="1">
        <f>2662-BO91</f>
        <v>2218</v>
      </c>
      <c r="BQ91" s="1">
        <f>5125-SUM(BO91:BP91)</f>
        <v>2463</v>
      </c>
      <c r="BR91" s="1">
        <f>6589-SUM(BO91:BQ91)</f>
        <v>1464</v>
      </c>
      <c r="BS91" s="1">
        <v>1005</v>
      </c>
      <c r="CU91" s="1">
        <f t="shared" si="79"/>
        <v>13835</v>
      </c>
      <c r="CV91" s="1">
        <f t="shared" si="80"/>
        <v>7059</v>
      </c>
      <c r="CW91" s="1">
        <f t="shared" si="81"/>
        <v>4771</v>
      </c>
      <c r="CX91" s="1">
        <f t="shared" si="82"/>
        <v>4354</v>
      </c>
      <c r="CY91" s="1">
        <f t="shared" si="83"/>
        <v>6589</v>
      </c>
      <c r="FI91" s="1"/>
    </row>
    <row r="92" spans="2:165">
      <c r="B92" s="1" t="s">
        <v>289</v>
      </c>
      <c r="AY92" s="1">
        <v>-984</v>
      </c>
      <c r="AZ92" s="1">
        <f>-984-AY92</f>
        <v>0</v>
      </c>
      <c r="BA92" s="1">
        <f>-989-SUM(AY92:AZ92)</f>
        <v>-5</v>
      </c>
      <c r="BB92" s="1">
        <f>-1052-SUM(AY92:BA92)</f>
        <v>-63</v>
      </c>
      <c r="BC92" s="1">
        <v>-4</v>
      </c>
      <c r="BD92" s="1">
        <f>-11-BC92</f>
        <v>-7</v>
      </c>
      <c r="BE92" s="1">
        <f>-11-SUM(BC92:BD92)</f>
        <v>0</v>
      </c>
      <c r="BF92" s="1">
        <f>-4766-SUM(BC92:BE92)</f>
        <v>-4755</v>
      </c>
      <c r="BG92" s="1">
        <v>-5</v>
      </c>
      <c r="BH92" s="1">
        <f>-6-BG92</f>
        <v>-1</v>
      </c>
      <c r="BI92" s="1">
        <f>-40-SUM(BG92:BH92)</f>
        <v>-34</v>
      </c>
      <c r="BJ92" s="1">
        <f>-73-SUM(BG92:BI92)</f>
        <v>-33</v>
      </c>
      <c r="BK92" s="1">
        <v>-20</v>
      </c>
      <c r="BL92" s="1">
        <f>-43-BK92</f>
        <v>-23</v>
      </c>
      <c r="BM92" s="1">
        <f>-45-SUM(BK92:BL92)</f>
        <v>-2</v>
      </c>
      <c r="BN92" s="1">
        <f>-62-SUM(BK92:BM92)</f>
        <v>-17</v>
      </c>
      <c r="BO92" s="1">
        <v>-8</v>
      </c>
      <c r="BP92" s="1">
        <f>-25-BO92</f>
        <v>-17</v>
      </c>
      <c r="BQ92" s="1">
        <f>-153-SUM(BO92:BP92)</f>
        <v>-128</v>
      </c>
      <c r="BR92" s="1">
        <f>-315-SUM(BO92:BQ92)</f>
        <v>-162</v>
      </c>
      <c r="BS92" s="1">
        <v>-42</v>
      </c>
      <c r="CU92" s="1">
        <f t="shared" si="79"/>
        <v>-1052</v>
      </c>
      <c r="CV92" s="1">
        <f t="shared" si="80"/>
        <v>-4766</v>
      </c>
      <c r="CW92" s="1">
        <f t="shared" si="81"/>
        <v>-73</v>
      </c>
      <c r="CX92" s="1">
        <f t="shared" si="82"/>
        <v>-62</v>
      </c>
      <c r="CY92" s="1">
        <f t="shared" si="83"/>
        <v>-315</v>
      </c>
      <c r="FI92" s="1"/>
    </row>
    <row r="93" spans="2:165">
      <c r="B93" s="1" t="s">
        <v>290</v>
      </c>
      <c r="AY93" s="1">
        <v>36</v>
      </c>
      <c r="AZ93" s="1">
        <f>46-AY93</f>
        <v>10</v>
      </c>
      <c r="BA93" s="1">
        <f>46-SUM(AY93:AZ93)</f>
        <v>0</v>
      </c>
      <c r="BB93" s="1">
        <f>189-SUM(AY93:BA93)</f>
        <v>143</v>
      </c>
      <c r="BC93" s="1">
        <v>2</v>
      </c>
      <c r="BD93" s="1">
        <f>1765-BC93</f>
        <v>1763</v>
      </c>
      <c r="BE93" s="1">
        <f>1950-SUM(BC93:BD93)</f>
        <v>185</v>
      </c>
      <c r="BF93" s="1">
        <f>2180-SUM(BC93:BE93)</f>
        <v>230</v>
      </c>
      <c r="BG93" s="1">
        <v>218</v>
      </c>
      <c r="BH93" s="1">
        <f>218-BG93</f>
        <v>0</v>
      </c>
      <c r="BI93" s="1">
        <f>229-SUM(BG93:BH93)</f>
        <v>11</v>
      </c>
      <c r="BJ93" s="1">
        <f>458-SUM(BG93:BI93)</f>
        <v>229</v>
      </c>
      <c r="BK93" s="1">
        <v>319</v>
      </c>
      <c r="BL93" s="1">
        <f>320-BK93</f>
        <v>1</v>
      </c>
      <c r="BM93" s="1">
        <f>327-SUM(BK93:BL93)</f>
        <v>7</v>
      </c>
      <c r="BN93" s="1">
        <f>430-SUM(BK93:BM93)</f>
        <v>103</v>
      </c>
      <c r="BO93" s="1">
        <v>2893</v>
      </c>
      <c r="BP93" s="1">
        <f>2907-BO93</f>
        <v>14</v>
      </c>
      <c r="BQ93" s="1">
        <f>3468-SUM(BO93:BP93)</f>
        <v>561</v>
      </c>
      <c r="BR93" s="1">
        <f>3485-SUM(BO93:BQ93)</f>
        <v>17</v>
      </c>
      <c r="BS93" s="1">
        <v>748</v>
      </c>
      <c r="CU93" s="1">
        <f t="shared" si="79"/>
        <v>189</v>
      </c>
      <c r="CV93" s="1">
        <f t="shared" si="80"/>
        <v>2180</v>
      </c>
      <c r="CW93" s="1">
        <f t="shared" si="81"/>
        <v>458</v>
      </c>
      <c r="CX93" s="1">
        <f t="shared" si="82"/>
        <v>430</v>
      </c>
      <c r="CY93" s="1">
        <f t="shared" si="83"/>
        <v>3485</v>
      </c>
      <c r="FI93" s="1"/>
    </row>
    <row r="94" spans="2:165">
      <c r="B94" s="1" t="s">
        <v>291</v>
      </c>
      <c r="AY94" s="1">
        <v>-327</v>
      </c>
      <c r="AZ94" s="1">
        <f>-536-AY94</f>
        <v>-209</v>
      </c>
      <c r="BA94" s="1">
        <f>-759-SUM(AY94:AZ94)</f>
        <v>-223</v>
      </c>
      <c r="BB94" s="1">
        <f>-1177-SUM(AY94:BA94)</f>
        <v>-418</v>
      </c>
      <c r="BC94" s="1">
        <v>-216</v>
      </c>
      <c r="BD94" s="1">
        <f>-450-BC94</f>
        <v>-234</v>
      </c>
      <c r="BE94" s="1">
        <f>-728-SUM(BC94:BD94)</f>
        <v>-278</v>
      </c>
      <c r="BF94" s="1">
        <f>-1367-SUM(BC94:BE94)</f>
        <v>-639</v>
      </c>
      <c r="BG94" s="1">
        <v>-217</v>
      </c>
      <c r="BH94" s="1">
        <f>-487-BG94</f>
        <v>-270</v>
      </c>
      <c r="BI94" s="1">
        <f>-776-SUM(BG94:BH94)</f>
        <v>-289</v>
      </c>
      <c r="BJ94" s="1">
        <f>-1484-SUM(BG94:BI94)</f>
        <v>-708</v>
      </c>
      <c r="BK94" s="1">
        <v>-276</v>
      </c>
      <c r="BL94" s="1">
        <f>-615-BK94</f>
        <v>-339</v>
      </c>
      <c r="BM94" s="1">
        <f>-1001-SUM(BK94:BL94)</f>
        <v>-386</v>
      </c>
      <c r="BN94" s="1">
        <f>-1852-SUM(BK94:BM94)</f>
        <v>-851</v>
      </c>
      <c r="BO94" s="1">
        <v>-370</v>
      </c>
      <c r="BP94" s="1">
        <f>-792-BO94</f>
        <v>-422</v>
      </c>
      <c r="BQ94" s="1">
        <f>-1261-SUM(BO94:BP94)</f>
        <v>-469</v>
      </c>
      <c r="BR94" s="1">
        <f>-2064-SUM(BO94:BQ94)</f>
        <v>-803</v>
      </c>
      <c r="BS94" s="1">
        <v>-309</v>
      </c>
      <c r="CU94" s="1">
        <f t="shared" si="79"/>
        <v>-1177</v>
      </c>
      <c r="CV94" s="1">
        <f t="shared" si="80"/>
        <v>-1367</v>
      </c>
      <c r="CW94" s="1">
        <f t="shared" si="81"/>
        <v>-1484</v>
      </c>
      <c r="CX94" s="1">
        <f t="shared" si="82"/>
        <v>-1852</v>
      </c>
      <c r="CY94" s="1">
        <f t="shared" si="83"/>
        <v>-2064</v>
      </c>
      <c r="FI94" s="1"/>
    </row>
    <row r="95" spans="2:165">
      <c r="B95" s="1" t="s">
        <v>292</v>
      </c>
      <c r="AY95" s="1">
        <v>91</v>
      </c>
      <c r="AZ95" s="1">
        <f>112-AY95</f>
        <v>21</v>
      </c>
      <c r="BA95" s="1">
        <f>156-SUM(AY95:AZ95)</f>
        <v>44</v>
      </c>
      <c r="BB95" s="1">
        <f>189-SUM(AY95:BA95)</f>
        <v>33</v>
      </c>
      <c r="BC95" s="1">
        <v>11</v>
      </c>
      <c r="BD95" s="1">
        <f>28-BC95</f>
        <v>17</v>
      </c>
      <c r="BE95" s="1">
        <f>65-SUM(BC95:BD95)</f>
        <v>37</v>
      </c>
      <c r="BF95" s="1">
        <f>108-SUM(BC95:BE95)</f>
        <v>43</v>
      </c>
      <c r="BG95" s="1">
        <v>16</v>
      </c>
      <c r="BH95" s="1">
        <f>33-BG95</f>
        <v>17</v>
      </c>
      <c r="BI95" s="1">
        <f>46-SUM(BG95:BH95)</f>
        <v>13</v>
      </c>
      <c r="BJ95" s="1">
        <f>75-SUM(BG95:BI95)</f>
        <v>29</v>
      </c>
      <c r="BK95" s="1">
        <v>21</v>
      </c>
      <c r="BL95" s="1">
        <f>38-BK95</f>
        <v>17</v>
      </c>
      <c r="BM95" s="1">
        <f>46-SUM(BK95:BL95)</f>
        <v>8</v>
      </c>
      <c r="BN95" s="1">
        <f>74-SUM(BK95:BM95)</f>
        <v>28</v>
      </c>
      <c r="BO95" s="1">
        <v>14</v>
      </c>
      <c r="BP95" s="1">
        <f>21-BO95</f>
        <v>7</v>
      </c>
      <c r="BQ95" s="1">
        <f>33-SUM(BO95:BP95)</f>
        <v>12</v>
      </c>
      <c r="BR95" s="1">
        <f>40-SUM(BO95:BQ95)</f>
        <v>7</v>
      </c>
      <c r="BS95" s="1">
        <v>8</v>
      </c>
      <c r="CU95" s="1">
        <f t="shared" si="79"/>
        <v>189</v>
      </c>
      <c r="CV95" s="1">
        <f t="shared" si="80"/>
        <v>108</v>
      </c>
      <c r="CW95" s="1">
        <f t="shared" si="81"/>
        <v>75</v>
      </c>
      <c r="CX95" s="1">
        <f t="shared" si="82"/>
        <v>74</v>
      </c>
      <c r="CY95" s="1">
        <f t="shared" si="83"/>
        <v>40</v>
      </c>
      <c r="FI95" s="1"/>
    </row>
    <row r="96" spans="2:165">
      <c r="B96" s="1" t="s">
        <v>293</v>
      </c>
      <c r="AY96" s="1">
        <v>0</v>
      </c>
      <c r="AZ96" s="1">
        <f>0-AY96</f>
        <v>0</v>
      </c>
      <c r="BA96" s="1">
        <f>0-SUM(AY96:AZ96)</f>
        <v>0</v>
      </c>
      <c r="BB96" s="1">
        <f>0-SUM(AY96:BA96)</f>
        <v>0</v>
      </c>
      <c r="BC96" s="1">
        <v>0</v>
      </c>
      <c r="BD96" s="1">
        <f>0-BC96</f>
        <v>0</v>
      </c>
      <c r="BE96" s="1">
        <v>0</v>
      </c>
      <c r="BF96" s="1">
        <f>0-SUM(BC96:BE96)</f>
        <v>0</v>
      </c>
      <c r="BG96" s="1">
        <v>0</v>
      </c>
      <c r="BH96" s="1">
        <v>0</v>
      </c>
      <c r="BI96" s="1">
        <f>-1449-SUM(BG96:BH96)</f>
        <v>-1449</v>
      </c>
      <c r="BJ96" s="1">
        <f>-1465-SUM(BG96:BI96)</f>
        <v>-16</v>
      </c>
      <c r="BK96" s="1">
        <v>18</v>
      </c>
      <c r="BL96" s="1">
        <f>-15-BK96</f>
        <v>-33</v>
      </c>
      <c r="BM96" s="1">
        <f>-124-SUM(BK96:BL96)</f>
        <v>-109</v>
      </c>
      <c r="BN96" s="1">
        <f>366-SUM(BK96:BM96)</f>
        <v>490</v>
      </c>
      <c r="BO96" s="1">
        <v>-105</v>
      </c>
      <c r="BP96" s="1">
        <f>-76-BO96</f>
        <v>29</v>
      </c>
      <c r="BQ96" s="1">
        <f>299-SUM(BO96:BP96)</f>
        <v>375</v>
      </c>
      <c r="BR96" s="1">
        <f>235-SUM(BO96:BQ96)</f>
        <v>-64</v>
      </c>
      <c r="BS96" s="1">
        <v>-15</v>
      </c>
      <c r="CU96" s="1">
        <f t="shared" si="79"/>
        <v>0</v>
      </c>
      <c r="CV96" s="1">
        <f t="shared" si="80"/>
        <v>0</v>
      </c>
      <c r="CW96" s="1">
        <f t="shared" si="81"/>
        <v>-1465</v>
      </c>
      <c r="CX96" s="1">
        <f t="shared" si="82"/>
        <v>366</v>
      </c>
      <c r="CY96" s="1">
        <f t="shared" si="83"/>
        <v>235</v>
      </c>
      <c r="FI96" s="1"/>
    </row>
    <row r="97" spans="2:165">
      <c r="B97" s="1" t="s">
        <v>294</v>
      </c>
      <c r="AY97" s="1">
        <v>-48</v>
      </c>
      <c r="AZ97" s="1">
        <f>40-AY97</f>
        <v>88</v>
      </c>
      <c r="BA97" s="1">
        <f>43-SUM(AY97:AZ97)</f>
        <v>3</v>
      </c>
      <c r="BB97" s="1">
        <f>122-SUM(AY97:BA97)</f>
        <v>79</v>
      </c>
      <c r="BC97" s="1">
        <v>17</v>
      </c>
      <c r="BD97" s="1">
        <f>41-BC97</f>
        <v>24</v>
      </c>
      <c r="BE97" s="1">
        <f>81-SUM(BC97:BD97)</f>
        <v>40</v>
      </c>
      <c r="BF97" s="1">
        <f>51-SUM(BC97:BE97)</f>
        <v>-30</v>
      </c>
      <c r="BG97" s="1">
        <v>-354</v>
      </c>
      <c r="BH97" s="1">
        <f>-1135-BG97</f>
        <v>-781</v>
      </c>
      <c r="BI97" s="1">
        <f>-79-SUM(BG97:BH97)</f>
        <v>1056</v>
      </c>
      <c r="BJ97" s="1">
        <f>706-SUM(BG97:BI97)</f>
        <v>785</v>
      </c>
      <c r="BK97" s="1">
        <v>-21</v>
      </c>
      <c r="BL97" s="1">
        <f>44-BK97</f>
        <v>65</v>
      </c>
      <c r="BM97" s="1">
        <f>70-SUM(BK97:BL97)</f>
        <v>26</v>
      </c>
      <c r="BN97" s="1">
        <f>39-SUM(BK97:BM97)</f>
        <v>-31</v>
      </c>
      <c r="BO97" s="1">
        <v>14</v>
      </c>
      <c r="BP97" s="1">
        <f>127-BO97</f>
        <v>113</v>
      </c>
      <c r="BQ97" s="1">
        <f>194-SUM(BO97:BP97)</f>
        <v>67</v>
      </c>
      <c r="BR97" s="1">
        <f>194-SUM(BO97:BQ97)</f>
        <v>0</v>
      </c>
      <c r="BS97" s="1">
        <v>45</v>
      </c>
      <c r="CU97" s="1">
        <f t="shared" si="79"/>
        <v>122</v>
      </c>
      <c r="CV97" s="1">
        <f t="shared" si="80"/>
        <v>51</v>
      </c>
      <c r="CW97" s="1">
        <f t="shared" si="81"/>
        <v>706</v>
      </c>
      <c r="CX97" s="1">
        <f t="shared" si="82"/>
        <v>39</v>
      </c>
      <c r="CY97" s="1">
        <f t="shared" si="83"/>
        <v>194</v>
      </c>
      <c r="FI97" s="1"/>
    </row>
    <row r="98" spans="2:165" s="2" customFormat="1" ht="15">
      <c r="B98" s="2" t="s">
        <v>295</v>
      </c>
      <c r="AY98" s="2">
        <f t="shared" ref="AY98:BQ98" si="84">SUM(AY90:AY97)</f>
        <v>-1084</v>
      </c>
      <c r="AZ98" s="2">
        <f t="shared" si="84"/>
        <v>-5883</v>
      </c>
      <c r="BA98" s="2">
        <f t="shared" si="84"/>
        <v>-105</v>
      </c>
      <c r="BB98" s="2">
        <f t="shared" si="84"/>
        <v>5595</v>
      </c>
      <c r="BC98" s="2">
        <f t="shared" si="84"/>
        <v>-281</v>
      </c>
      <c r="BD98" s="2">
        <f t="shared" si="84"/>
        <v>2034</v>
      </c>
      <c r="BE98" s="2">
        <f t="shared" si="84"/>
        <v>166</v>
      </c>
      <c r="BF98" s="2">
        <f t="shared" si="84"/>
        <v>-4684</v>
      </c>
      <c r="BG98" s="2">
        <f t="shared" si="84"/>
        <v>146</v>
      </c>
      <c r="BH98" s="2">
        <f t="shared" si="84"/>
        <v>-1291</v>
      </c>
      <c r="BI98" s="2">
        <f t="shared" si="84"/>
        <v>5294</v>
      </c>
      <c r="BJ98" s="2">
        <f t="shared" si="84"/>
        <v>-4912</v>
      </c>
      <c r="BK98" s="2">
        <f t="shared" si="84"/>
        <v>117</v>
      </c>
      <c r="BL98" s="2">
        <f t="shared" si="84"/>
        <v>-883</v>
      </c>
      <c r="BM98" s="2">
        <f t="shared" si="84"/>
        <v>-1657</v>
      </c>
      <c r="BN98" s="2">
        <f t="shared" si="84"/>
        <v>-926</v>
      </c>
      <c r="BO98" s="2">
        <f t="shared" si="84"/>
        <v>330</v>
      </c>
      <c r="BP98" s="2">
        <f>SUM(BP90:BP97)</f>
        <v>667</v>
      </c>
      <c r="BQ98" s="2">
        <f t="shared" si="84"/>
        <v>2310</v>
      </c>
      <c r="BR98" s="2">
        <f>SUM(BR90:BR97)</f>
        <v>-783</v>
      </c>
      <c r="BS98" s="2">
        <f>SUM(BS90:BS97)</f>
        <v>-1067</v>
      </c>
      <c r="CU98" s="2">
        <f t="shared" si="79"/>
        <v>-1477</v>
      </c>
      <c r="CV98" s="2">
        <f t="shared" si="80"/>
        <v>-2765</v>
      </c>
      <c r="CW98" s="2">
        <f t="shared" si="81"/>
        <v>-763</v>
      </c>
      <c r="CX98" s="2">
        <f t="shared" si="82"/>
        <v>-3349</v>
      </c>
      <c r="CY98" s="2">
        <f t="shared" si="83"/>
        <v>2524</v>
      </c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</row>
    <row r="99" spans="2:165">
      <c r="FI99" s="1"/>
    </row>
    <row r="100" spans="2:165">
      <c r="B100" s="1" t="s">
        <v>296</v>
      </c>
      <c r="AY100" s="1">
        <v>12563</v>
      </c>
      <c r="AZ100" s="1">
        <f>19775-AY100</f>
        <v>7212</v>
      </c>
      <c r="BA100" s="1">
        <f>26898-SUM(AY100:AZ100)</f>
        <v>7123</v>
      </c>
      <c r="BB100" s="1">
        <f>26934-SUM(AY100:BA100)</f>
        <v>36</v>
      </c>
      <c r="BC100" s="1">
        <v>5588</v>
      </c>
      <c r="BD100" s="1">
        <f>10752-BC100</f>
        <v>5164</v>
      </c>
      <c r="BE100" s="1">
        <f t="shared" ref="BE100:BE105" si="85">1000-SUM(BC100:BD100)</f>
        <v>-9752</v>
      </c>
      <c r="BF100" s="1">
        <f>13094-SUM(BC100:BE100)</f>
        <v>12094</v>
      </c>
      <c r="BG100" s="1">
        <v>1052</v>
      </c>
      <c r="BH100" s="1">
        <f>3256-BG100</f>
        <v>2204</v>
      </c>
      <c r="BI100" s="1">
        <f>4351-SUM(BG100:BH100)</f>
        <v>1095</v>
      </c>
      <c r="BJ100" s="1">
        <f>3972-SUM(BG100:BI100)</f>
        <v>-379</v>
      </c>
      <c r="BK100" s="1">
        <v>4074</v>
      </c>
      <c r="BL100" s="1">
        <f>4638-BK100</f>
        <v>564</v>
      </c>
      <c r="BM100" s="1">
        <f>6013-SUM(BK100:BL100)</f>
        <v>1375</v>
      </c>
      <c r="BN100" s="1">
        <f>6891-SUM(BK100:BM100)</f>
        <v>878</v>
      </c>
      <c r="BO100" s="1">
        <v>2285</v>
      </c>
      <c r="BP100" s="1">
        <f>6832-BO100</f>
        <v>4547</v>
      </c>
      <c r="BQ100" s="1">
        <f>11298-SUM(BO100:BP100)</f>
        <v>4466</v>
      </c>
      <c r="BR100" s="1">
        <f>12061-SUM(BO100:BQ100)</f>
        <v>763</v>
      </c>
      <c r="BS100" s="1">
        <v>5436</v>
      </c>
      <c r="CU100" s="1">
        <f t="shared" ref="CU100:CU105" si="86">SUM(AY100:BB100)</f>
        <v>26934</v>
      </c>
      <c r="CV100" s="1">
        <f t="shared" ref="CV100:CV105" si="87">SUM(BC100:BF100)</f>
        <v>13094</v>
      </c>
      <c r="CW100" s="1">
        <f t="shared" ref="CW100:CW105" si="88">SUM(BG100:BJ100)</f>
        <v>3972</v>
      </c>
      <c r="CX100" s="1">
        <f t="shared" ref="CX100:CX105" si="89">SUM(BK100:BN100)</f>
        <v>6891</v>
      </c>
      <c r="CY100" s="1">
        <f t="shared" ref="CY100:CY107" si="90">SUM(BO100:BR100)</f>
        <v>12061</v>
      </c>
      <c r="FI100" s="1"/>
    </row>
    <row r="101" spans="2:165">
      <c r="B101" s="1" t="s">
        <v>297</v>
      </c>
      <c r="AY101" s="1">
        <v>-4833</v>
      </c>
      <c r="AZ101" s="1">
        <f>-10304-AY101</f>
        <v>-5471</v>
      </c>
      <c r="BA101" s="1">
        <f>-17977-SUM(AY101:AZ101)</f>
        <v>-7673</v>
      </c>
      <c r="BB101" s="1">
        <f>-28796-SUM(AY101:BA101)</f>
        <v>-10819</v>
      </c>
      <c r="BC101" s="1">
        <v>-3044</v>
      </c>
      <c r="BD101" s="1">
        <f>-11957-BC101</f>
        <v>-8913</v>
      </c>
      <c r="BE101" s="1">
        <f t="shared" si="85"/>
        <v>12957</v>
      </c>
      <c r="BF101" s="1">
        <f>-12866-SUM(BC101:BE101)</f>
        <v>-13866</v>
      </c>
      <c r="BG101" s="1">
        <v>-1045</v>
      </c>
      <c r="BH101" s="1">
        <f>-1816-BG101</f>
        <v>-771</v>
      </c>
      <c r="BI101" s="1">
        <f>-3761-SUM(BG101:BH101)</f>
        <v>-1945</v>
      </c>
      <c r="BJ101" s="1">
        <f>-4930-SUM(BG101:BI101)</f>
        <v>-1169</v>
      </c>
      <c r="BK101" s="1">
        <v>-1174</v>
      </c>
      <c r="BL101" s="1">
        <f>-2366-BK101</f>
        <v>-1192</v>
      </c>
      <c r="BM101" s="1">
        <f>-4794-SUM(BK101:BL101)</f>
        <v>-2428</v>
      </c>
      <c r="BN101" s="1">
        <f>-5034-SUM(BK101:BM101)</f>
        <v>-240</v>
      </c>
      <c r="BO101" s="1">
        <v>-1366</v>
      </c>
      <c r="BP101" s="1">
        <f>-4734-BO101</f>
        <v>-3368</v>
      </c>
      <c r="BQ101" s="1">
        <f>-7925-SUM(BO101:BP101)</f>
        <v>-3191</v>
      </c>
      <c r="BR101" s="1">
        <f>-9533-SUM(BO101:BQ101)</f>
        <v>-1608</v>
      </c>
      <c r="BS101" s="1">
        <v>-1599</v>
      </c>
      <c r="CU101" s="1">
        <f t="shared" si="86"/>
        <v>-28796</v>
      </c>
      <c r="CV101" s="1">
        <f t="shared" si="87"/>
        <v>-12866</v>
      </c>
      <c r="CW101" s="1">
        <f t="shared" si="88"/>
        <v>-4930</v>
      </c>
      <c r="CX101" s="1">
        <f t="shared" si="89"/>
        <v>-5034</v>
      </c>
      <c r="CY101" s="1">
        <f t="shared" si="90"/>
        <v>-9533</v>
      </c>
      <c r="FI101" s="1"/>
    </row>
    <row r="102" spans="2:165">
      <c r="B102" s="1" t="s">
        <v>298</v>
      </c>
      <c r="AY102" s="1">
        <v>413</v>
      </c>
      <c r="AZ102" s="1">
        <f>444-AY102</f>
        <v>31</v>
      </c>
      <c r="BA102" s="1">
        <f>514-SUM(AY102:AZ102)</f>
        <v>70</v>
      </c>
      <c r="BB102" s="1">
        <f>647-SUM(AY102:BA102)</f>
        <v>133</v>
      </c>
      <c r="BC102" s="1">
        <v>183</v>
      </c>
      <c r="BD102" s="1">
        <f>342-BC102</f>
        <v>159</v>
      </c>
      <c r="BE102" s="1">
        <f t="shared" si="85"/>
        <v>658</v>
      </c>
      <c r="BF102" s="1">
        <f>702-SUM(BC102:BE102)</f>
        <v>-298</v>
      </c>
      <c r="BG102" s="1">
        <v>449</v>
      </c>
      <c r="BH102" s="1">
        <f>652-BG102</f>
        <v>203</v>
      </c>
      <c r="BI102" s="1">
        <f>707-SUM(BG102:BH102)</f>
        <v>55</v>
      </c>
      <c r="BJ102" s="1">
        <f>837-SUM(BG102:BI102)</f>
        <v>130</v>
      </c>
      <c r="BK102" s="1">
        <v>229</v>
      </c>
      <c r="BL102" s="1">
        <f>359-BK102</f>
        <v>130</v>
      </c>
      <c r="BM102" s="1">
        <f>424-SUM(BK102:BL102)</f>
        <v>65</v>
      </c>
      <c r="BN102" s="1">
        <f>539-SUM(BK102:BM102)</f>
        <v>115</v>
      </c>
      <c r="BO102" s="1">
        <v>290</v>
      </c>
      <c r="BP102" s="1">
        <f>437-BO102</f>
        <v>147</v>
      </c>
      <c r="BQ102" s="1">
        <f>717-SUM(BO102:BP102)</f>
        <v>280</v>
      </c>
      <c r="BR102" s="1">
        <f>747-SUM(BO102:BQ102)</f>
        <v>30</v>
      </c>
      <c r="BS102" s="1">
        <v>159</v>
      </c>
      <c r="CU102" s="1">
        <f t="shared" si="86"/>
        <v>647</v>
      </c>
      <c r="CV102" s="1">
        <f t="shared" si="87"/>
        <v>702</v>
      </c>
      <c r="CW102" s="1">
        <f t="shared" si="88"/>
        <v>837</v>
      </c>
      <c r="CX102" s="1">
        <f t="shared" si="89"/>
        <v>539</v>
      </c>
      <c r="CY102" s="1">
        <f t="shared" si="90"/>
        <v>747</v>
      </c>
      <c r="FI102" s="1"/>
    </row>
    <row r="103" spans="2:165">
      <c r="B103" s="1" t="s">
        <v>299</v>
      </c>
      <c r="AY103" s="1">
        <v>-94</v>
      </c>
      <c r="AZ103" s="1">
        <f>-93-AY103</f>
        <v>1</v>
      </c>
      <c r="BA103" s="1">
        <f>-93-SUM(AY103:AZ103)</f>
        <v>0</v>
      </c>
      <c r="BB103" s="1">
        <f>-118-SUM(AY103:BA103)</f>
        <v>-25</v>
      </c>
      <c r="BC103" s="1">
        <v>-104</v>
      </c>
      <c r="BD103" s="1">
        <f>-104-BC103</f>
        <v>0</v>
      </c>
      <c r="BE103" s="1">
        <f t="shared" si="85"/>
        <v>1104</v>
      </c>
      <c r="BF103" s="1">
        <f>-111-SUM(BC103:BE103)</f>
        <v>-1111</v>
      </c>
      <c r="BG103" s="1">
        <v>-546</v>
      </c>
      <c r="BH103" s="1">
        <f>-1210-BG103</f>
        <v>-664</v>
      </c>
      <c r="BI103" s="1">
        <f>1412-SUM(BG103:BH103)</f>
        <v>2622</v>
      </c>
      <c r="BJ103" s="1">
        <f>1418-SUM(BG103:BI103)</f>
        <v>6</v>
      </c>
      <c r="BK103" s="1">
        <v>-848</v>
      </c>
      <c r="BL103" s="1">
        <f>-1084-BK103</f>
        <v>-236</v>
      </c>
      <c r="BM103" s="1">
        <f>-1193-SUM(BK103:BL103)</f>
        <v>-109</v>
      </c>
      <c r="BN103" s="1">
        <f>-2289-SUM(BK103:BM103)</f>
        <v>-1096</v>
      </c>
      <c r="BO103" s="1">
        <v>-702</v>
      </c>
      <c r="BP103" s="1">
        <f>-874-BO103</f>
        <v>-172</v>
      </c>
      <c r="BQ103" s="1">
        <f>-1228-SUM(BO103:BP103)</f>
        <v>-354</v>
      </c>
      <c r="BR103" s="1">
        <f>-1795-SUM(BO103:BQ103)</f>
        <v>-567</v>
      </c>
      <c r="BS103" s="1">
        <v>-370</v>
      </c>
      <c r="CU103" s="1">
        <f t="shared" si="86"/>
        <v>-118</v>
      </c>
      <c r="CV103" s="1">
        <f t="shared" si="87"/>
        <v>-111</v>
      </c>
      <c r="CW103" s="1">
        <f t="shared" si="88"/>
        <v>1418</v>
      </c>
      <c r="CX103" s="1">
        <f t="shared" si="89"/>
        <v>-2289</v>
      </c>
      <c r="CY103" s="1">
        <f t="shared" si="90"/>
        <v>-1795</v>
      </c>
      <c r="FI103" s="1"/>
    </row>
    <row r="104" spans="2:165">
      <c r="B104" s="1" t="s">
        <v>300</v>
      </c>
      <c r="AY104" s="1">
        <v>0</v>
      </c>
      <c r="AZ104" s="1">
        <f>-1761-AY104</f>
        <v>-1761</v>
      </c>
      <c r="BA104" s="1">
        <f>-3522-SUM(AY104:AZ104)</f>
        <v>-1761</v>
      </c>
      <c r="BB104" s="1">
        <f>-7047-SUM(AY104:BA104)</f>
        <v>-3525</v>
      </c>
      <c r="BC104" s="1">
        <v>-1810</v>
      </c>
      <c r="BD104" s="1">
        <f>-3623-BC104</f>
        <v>-1813</v>
      </c>
      <c r="BE104" s="1">
        <f t="shared" si="85"/>
        <v>4623</v>
      </c>
      <c r="BF104" s="1">
        <f>-7252-SUM(BC104:BE104)</f>
        <v>-8252</v>
      </c>
      <c r="BG104" s="1">
        <v>-1906</v>
      </c>
      <c r="BH104" s="1">
        <f>-3810-BG104</f>
        <v>-1904</v>
      </c>
      <c r="BI104" s="1">
        <f>3910-SUM(BG104:BH104)</f>
        <v>7720</v>
      </c>
      <c r="BJ104" s="1">
        <f>7616-SUM(BG104:BI104)</f>
        <v>3706</v>
      </c>
      <c r="BK104" s="1">
        <v>-101</v>
      </c>
      <c r="BL104" s="1">
        <f>-2089-BK104</f>
        <v>-1988</v>
      </c>
      <c r="BM104" s="1">
        <f>-4078-SUM(BK104:BL104)</f>
        <v>-1989</v>
      </c>
      <c r="BN104" s="1">
        <f>-7952-SUM(BK104:BM104)</f>
        <v>-3874</v>
      </c>
      <c r="BO104" s="1">
        <v>-99</v>
      </c>
      <c r="BP104" s="1">
        <f>-2184-BO104</f>
        <v>-2085</v>
      </c>
      <c r="BQ104" s="1">
        <f>-4274-SUM(BO104:BP104)</f>
        <v>-2090</v>
      </c>
      <c r="BR104" s="1">
        <f>-8359-SUM(BO104:BQ104)</f>
        <v>-4085</v>
      </c>
      <c r="BS104" s="1">
        <v>-89</v>
      </c>
      <c r="CU104" s="1">
        <f t="shared" si="86"/>
        <v>-7047</v>
      </c>
      <c r="CV104" s="1">
        <f t="shared" si="87"/>
        <v>-7252</v>
      </c>
      <c r="CW104" s="1">
        <f t="shared" si="88"/>
        <v>7616</v>
      </c>
      <c r="CX104" s="1">
        <f t="shared" si="89"/>
        <v>-7952</v>
      </c>
      <c r="CY104" s="1">
        <f t="shared" si="90"/>
        <v>-8359</v>
      </c>
      <c r="FI104" s="1"/>
    </row>
    <row r="105" spans="2:165">
      <c r="B105" s="1" t="s">
        <v>301</v>
      </c>
      <c r="AY105" s="1">
        <v>-239</v>
      </c>
      <c r="AZ105" s="1">
        <f>-16-AY105</f>
        <v>223</v>
      </c>
      <c r="BA105" s="1">
        <f>153-SUM(AY105:AZ105)</f>
        <v>169</v>
      </c>
      <c r="BB105" s="1">
        <f>310-SUM(AY105:BA105)</f>
        <v>157</v>
      </c>
      <c r="BC105" s="1">
        <v>-449</v>
      </c>
      <c r="BD105" s="1">
        <f>-372-BC105</f>
        <v>77</v>
      </c>
      <c r="BE105" s="1">
        <f t="shared" si="85"/>
        <v>1372</v>
      </c>
      <c r="BF105" s="1">
        <f>-353-SUM(BC105:BE105)</f>
        <v>-1353</v>
      </c>
      <c r="BG105" s="1">
        <v>-979</v>
      </c>
      <c r="BH105" s="1">
        <f>-1022-BG105</f>
        <v>-43</v>
      </c>
      <c r="BI105" s="1">
        <f>1053-SUM(BG105:BH105)</f>
        <v>2075</v>
      </c>
      <c r="BJ105" s="1">
        <f>1095-SUM(BG105:BI105)</f>
        <v>42</v>
      </c>
      <c r="BK105" s="1">
        <v>-115</v>
      </c>
      <c r="BL105" s="1">
        <f>-456-BK105</f>
        <v>-341</v>
      </c>
      <c r="BM105" s="1">
        <f>-457-SUM(BK105:BL105)</f>
        <v>-1</v>
      </c>
      <c r="BN105" s="1">
        <f>-465-SUM(BK105:BM105)</f>
        <v>-8</v>
      </c>
      <c r="BO105" s="1">
        <v>-2</v>
      </c>
      <c r="BP105" s="1">
        <f>-9-BO105</f>
        <v>-7</v>
      </c>
      <c r="BQ105" s="1">
        <f>-14-SUM(BO105:BP105)</f>
        <v>-5</v>
      </c>
      <c r="BR105" s="1">
        <f>-31-SUM(BO105:BQ105)</f>
        <v>-17</v>
      </c>
      <c r="BS105" s="1">
        <v>-105</v>
      </c>
      <c r="CU105" s="1">
        <f t="shared" si="86"/>
        <v>310</v>
      </c>
      <c r="CV105" s="1">
        <f t="shared" si="87"/>
        <v>-353</v>
      </c>
      <c r="CW105" s="1">
        <f t="shared" si="88"/>
        <v>1095</v>
      </c>
      <c r="CX105" s="1">
        <f t="shared" si="89"/>
        <v>-465</v>
      </c>
      <c r="CY105" s="1">
        <f t="shared" si="90"/>
        <v>-31</v>
      </c>
      <c r="FI105" s="1"/>
    </row>
    <row r="106" spans="2:165" s="2" customFormat="1" ht="15">
      <c r="B106" s="2" t="s">
        <v>302</v>
      </c>
      <c r="AY106" s="2">
        <f t="shared" ref="AY106:BO106" si="91">SUM(AY100:AY105)</f>
        <v>7810</v>
      </c>
      <c r="AZ106" s="2">
        <f t="shared" si="91"/>
        <v>235</v>
      </c>
      <c r="BA106" s="2">
        <f t="shared" si="91"/>
        <v>-2072</v>
      </c>
      <c r="BB106" s="2">
        <f t="shared" si="91"/>
        <v>-14043</v>
      </c>
      <c r="BC106" s="2">
        <f t="shared" si="91"/>
        <v>364</v>
      </c>
      <c r="BD106" s="2">
        <f t="shared" si="91"/>
        <v>-5326</v>
      </c>
      <c r="BE106" s="2">
        <f t="shared" si="91"/>
        <v>10962</v>
      </c>
      <c r="BF106" s="2">
        <f t="shared" si="91"/>
        <v>-12786</v>
      </c>
      <c r="BG106" s="2">
        <f t="shared" si="91"/>
        <v>-2975</v>
      </c>
      <c r="BH106" s="2">
        <f t="shared" si="91"/>
        <v>-975</v>
      </c>
      <c r="BI106" s="2">
        <f t="shared" si="91"/>
        <v>11622</v>
      </c>
      <c r="BJ106" s="2">
        <f t="shared" si="91"/>
        <v>2336</v>
      </c>
      <c r="BK106" s="2">
        <f t="shared" si="91"/>
        <v>2065</v>
      </c>
      <c r="BL106" s="2">
        <f t="shared" si="91"/>
        <v>-3063</v>
      </c>
      <c r="BM106" s="2">
        <f t="shared" si="91"/>
        <v>-3087</v>
      </c>
      <c r="BN106" s="2">
        <f t="shared" si="91"/>
        <v>-4225</v>
      </c>
      <c r="BO106" s="2">
        <f t="shared" si="91"/>
        <v>406</v>
      </c>
      <c r="BP106" s="2">
        <f>SUM(BP100:BP105)</f>
        <v>-938</v>
      </c>
      <c r="BQ106" s="2">
        <f t="shared" ref="BQ106:BS106" si="92">SUM(BQ100:BQ105)</f>
        <v>-894</v>
      </c>
      <c r="BR106" s="2">
        <f t="shared" si="92"/>
        <v>-5484</v>
      </c>
      <c r="BS106" s="2">
        <f t="shared" si="92"/>
        <v>3432</v>
      </c>
      <c r="CU106" s="2">
        <f t="shared" ref="CU106:CX107" si="93">SUM(BK106:BN106)</f>
        <v>-8310</v>
      </c>
      <c r="CV106" s="2">
        <f t="shared" si="93"/>
        <v>-9969</v>
      </c>
      <c r="CW106" s="2">
        <f t="shared" si="93"/>
        <v>-7844</v>
      </c>
      <c r="CX106" s="2">
        <f t="shared" si="93"/>
        <v>-5651</v>
      </c>
      <c r="CY106" s="2">
        <f t="shared" si="90"/>
        <v>-6910</v>
      </c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</row>
    <row r="107" spans="2:165">
      <c r="B107" s="1" t="s">
        <v>303</v>
      </c>
      <c r="AY107" s="1">
        <v>-54</v>
      </c>
      <c r="AZ107" s="1">
        <v>-172</v>
      </c>
      <c r="BA107" s="1">
        <v>-36</v>
      </c>
      <c r="BB107" s="1">
        <v>76</v>
      </c>
      <c r="BC107" s="1">
        <v>-18</v>
      </c>
      <c r="BD107" s="1">
        <v>82</v>
      </c>
      <c r="BE107" s="1">
        <v>-56</v>
      </c>
      <c r="BF107" s="1">
        <v>-159</v>
      </c>
      <c r="BG107" s="1">
        <v>173</v>
      </c>
      <c r="BH107" s="1">
        <v>161</v>
      </c>
      <c r="BI107" s="1">
        <v>-392</v>
      </c>
      <c r="BJ107" s="1">
        <v>-205</v>
      </c>
      <c r="BK107" s="1">
        <v>113</v>
      </c>
      <c r="BL107" s="1">
        <v>162</v>
      </c>
      <c r="BM107" s="1">
        <v>-36</v>
      </c>
      <c r="BN107" s="1">
        <v>-73</v>
      </c>
      <c r="BO107" s="1">
        <v>-138</v>
      </c>
      <c r="BP107" s="1">
        <v>-357</v>
      </c>
      <c r="BQ107" s="1">
        <v>-266</v>
      </c>
      <c r="BR107" s="1">
        <f>-623-SUM(BO107:BQ107)</f>
        <v>138</v>
      </c>
      <c r="BS107" s="1">
        <v>163</v>
      </c>
      <c r="CU107" s="1">
        <f t="shared" si="93"/>
        <v>166</v>
      </c>
      <c r="CV107" s="1">
        <f t="shared" si="93"/>
        <v>-85</v>
      </c>
      <c r="CW107" s="1">
        <f t="shared" si="93"/>
        <v>-604</v>
      </c>
      <c r="CX107" s="1">
        <f t="shared" si="93"/>
        <v>-834</v>
      </c>
      <c r="CY107" s="1">
        <f t="shared" si="90"/>
        <v>-623</v>
      </c>
      <c r="FI107" s="1"/>
    </row>
    <row r="108" spans="2:165">
      <c r="FI108" s="1"/>
    </row>
    <row r="109" spans="2:165" s="2" customFormat="1" ht="15">
      <c r="B109" s="2" t="s">
        <v>135</v>
      </c>
      <c r="AY109" s="2">
        <f t="shared" ref="AY109:BQ109" si="94">AY88</f>
        <v>556</v>
      </c>
      <c r="AZ109" s="2">
        <f t="shared" si="94"/>
        <v>2230</v>
      </c>
      <c r="BA109" s="2">
        <f t="shared" si="94"/>
        <v>5238</v>
      </c>
      <c r="BB109" s="2">
        <f t="shared" si="94"/>
        <v>1820</v>
      </c>
      <c r="BC109" s="2">
        <f t="shared" si="94"/>
        <v>1636</v>
      </c>
      <c r="BD109" s="2">
        <f t="shared" si="94"/>
        <v>3889</v>
      </c>
      <c r="BE109" s="2">
        <f t="shared" si="94"/>
        <v>3706</v>
      </c>
      <c r="BF109" s="2">
        <f t="shared" si="94"/>
        <v>3394</v>
      </c>
      <c r="BG109" s="2">
        <f t="shared" si="94"/>
        <v>623</v>
      </c>
      <c r="BH109" s="2">
        <f t="shared" si="94"/>
        <v>3923</v>
      </c>
      <c r="BI109" s="2">
        <f t="shared" si="94"/>
        <v>3522</v>
      </c>
      <c r="BJ109" s="2">
        <f t="shared" si="94"/>
        <v>2950</v>
      </c>
      <c r="BK109" s="2">
        <f t="shared" si="94"/>
        <v>160</v>
      </c>
      <c r="BL109" s="2">
        <f t="shared" si="94"/>
        <v>4469</v>
      </c>
      <c r="BM109" s="2">
        <f t="shared" si="94"/>
        <v>4300</v>
      </c>
      <c r="BN109" s="2">
        <f t="shared" si="94"/>
        <v>2670</v>
      </c>
      <c r="BO109" s="2">
        <f t="shared" si="94"/>
        <v>528</v>
      </c>
      <c r="BP109" s="2">
        <f t="shared" si="94"/>
        <v>3585</v>
      </c>
      <c r="BQ109" s="2">
        <f t="shared" si="94"/>
        <v>-1259</v>
      </c>
      <c r="BR109" s="2">
        <f>BR88</f>
        <v>3951</v>
      </c>
      <c r="BS109" s="2">
        <f>BS88</f>
        <v>-5202</v>
      </c>
      <c r="CU109" s="2">
        <f>SUM(AY109:BB109)</f>
        <v>9844</v>
      </c>
      <c r="CV109" s="2">
        <f>SUM(BC109:BF109)</f>
        <v>12625</v>
      </c>
      <c r="CW109" s="2">
        <f>SUM(BG109:BJ109)</f>
        <v>11018</v>
      </c>
      <c r="CX109" s="2">
        <f>SUM(BK109:BN109)</f>
        <v>11599</v>
      </c>
      <c r="CY109" s="2">
        <f>SUM(BO109:BR109)</f>
        <v>6805</v>
      </c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</row>
    <row r="110" spans="2:165">
      <c r="B110" s="1" t="s">
        <v>304</v>
      </c>
      <c r="AY110" s="1">
        <f t="shared" ref="AY110:BQ110" si="95">AY94-AY95</f>
        <v>-418</v>
      </c>
      <c r="AZ110" s="1">
        <f t="shared" si="95"/>
        <v>-230</v>
      </c>
      <c r="BA110" s="1">
        <f t="shared" si="95"/>
        <v>-267</v>
      </c>
      <c r="BB110" s="1">
        <f t="shared" si="95"/>
        <v>-451</v>
      </c>
      <c r="BC110" s="1">
        <f t="shared" si="95"/>
        <v>-227</v>
      </c>
      <c r="BD110" s="1">
        <f t="shared" si="95"/>
        <v>-251</v>
      </c>
      <c r="BE110" s="1">
        <f t="shared" si="95"/>
        <v>-315</v>
      </c>
      <c r="BF110" s="1">
        <f t="shared" si="95"/>
        <v>-682</v>
      </c>
      <c r="BG110" s="1">
        <f t="shared" si="95"/>
        <v>-233</v>
      </c>
      <c r="BH110" s="1">
        <f t="shared" si="95"/>
        <v>-287</v>
      </c>
      <c r="BI110" s="1">
        <f t="shared" si="95"/>
        <v>-302</v>
      </c>
      <c r="BJ110" s="1">
        <f t="shared" si="95"/>
        <v>-737</v>
      </c>
      <c r="BK110" s="1">
        <f t="shared" si="95"/>
        <v>-297</v>
      </c>
      <c r="BL110" s="1">
        <f t="shared" si="95"/>
        <v>-356</v>
      </c>
      <c r="BM110" s="1">
        <f t="shared" si="95"/>
        <v>-394</v>
      </c>
      <c r="BN110" s="1">
        <f t="shared" si="95"/>
        <v>-879</v>
      </c>
      <c r="BO110" s="1">
        <f t="shared" si="95"/>
        <v>-384</v>
      </c>
      <c r="BP110" s="1">
        <f t="shared" si="95"/>
        <v>-429</v>
      </c>
      <c r="BQ110" s="1">
        <f t="shared" si="95"/>
        <v>-481</v>
      </c>
      <c r="BR110" s="1">
        <f>BR94-BR95</f>
        <v>-810</v>
      </c>
      <c r="BS110" s="1">
        <v>-301</v>
      </c>
      <c r="CU110" s="1">
        <f>SUM(AY110:BB110)</f>
        <v>-1366</v>
      </c>
      <c r="CV110" s="1">
        <f>SUM(BC110:BF110)</f>
        <v>-1475</v>
      </c>
      <c r="CW110" s="1">
        <f>SUM(BG110:BJ110)</f>
        <v>-1559</v>
      </c>
      <c r="CX110" s="1">
        <f>SUM(BK110:BN110)</f>
        <v>-1926</v>
      </c>
      <c r="CY110" s="1">
        <f>SUM(BO110:BR110)</f>
        <v>-2104</v>
      </c>
      <c r="FI110" s="1"/>
    </row>
    <row r="111" spans="2:165" s="2" customFormat="1" ht="15">
      <c r="B111" s="2" t="s">
        <v>136</v>
      </c>
      <c r="AY111" s="2">
        <f t="shared" ref="AY111:BQ111" si="96">SUM(AY109:AY110)</f>
        <v>138</v>
      </c>
      <c r="AZ111" s="2">
        <f t="shared" si="96"/>
        <v>2000</v>
      </c>
      <c r="BA111" s="2">
        <f t="shared" si="96"/>
        <v>4971</v>
      </c>
      <c r="BB111" s="2">
        <f t="shared" si="96"/>
        <v>1369</v>
      </c>
      <c r="BC111" s="2">
        <f t="shared" si="96"/>
        <v>1409</v>
      </c>
      <c r="BD111" s="2">
        <f t="shared" si="96"/>
        <v>3638</v>
      </c>
      <c r="BE111" s="2">
        <f t="shared" si="96"/>
        <v>3391</v>
      </c>
      <c r="BF111" s="2">
        <f t="shared" si="96"/>
        <v>2712</v>
      </c>
      <c r="BG111" s="2">
        <f t="shared" si="96"/>
        <v>390</v>
      </c>
      <c r="BH111" s="2">
        <f t="shared" si="96"/>
        <v>3636</v>
      </c>
      <c r="BI111" s="2">
        <f t="shared" si="96"/>
        <v>3220</v>
      </c>
      <c r="BJ111" s="2">
        <f t="shared" si="96"/>
        <v>2213</v>
      </c>
      <c r="BK111" s="2">
        <f t="shared" si="96"/>
        <v>-137</v>
      </c>
      <c r="BL111" s="2">
        <f t="shared" si="96"/>
        <v>4113</v>
      </c>
      <c r="BM111" s="2">
        <f t="shared" si="96"/>
        <v>3906</v>
      </c>
      <c r="BN111" s="2">
        <f t="shared" si="96"/>
        <v>1791</v>
      </c>
      <c r="BO111" s="2">
        <f t="shared" si="96"/>
        <v>144</v>
      </c>
      <c r="BP111" s="2">
        <f t="shared" si="96"/>
        <v>3156</v>
      </c>
      <c r="BQ111" s="2">
        <f t="shared" si="96"/>
        <v>-1740</v>
      </c>
      <c r="BR111" s="2">
        <f>SUM(BR109:BR110)</f>
        <v>3141</v>
      </c>
      <c r="BS111" s="2">
        <f>SUM(BS109:BS110)</f>
        <v>-5503</v>
      </c>
      <c r="CU111" s="2">
        <f>SUM(AY111:BB111)</f>
        <v>8478</v>
      </c>
      <c r="CV111" s="2">
        <f>SUM(BC111:BF111)</f>
        <v>11150</v>
      </c>
      <c r="CW111" s="2">
        <f>SUM(BG111:BJ111)</f>
        <v>9459</v>
      </c>
      <c r="CX111" s="2">
        <f>SUM(BK111:BN111)</f>
        <v>9673</v>
      </c>
      <c r="CY111" s="2">
        <f>SUM(BO111:BR111)</f>
        <v>4701</v>
      </c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</row>
    <row r="112" spans="2:165">
      <c r="B112" s="1" t="s">
        <v>137</v>
      </c>
      <c r="AY112" s="1">
        <f t="shared" ref="AY112:BQ112" si="97">AY41</f>
        <v>4289</v>
      </c>
      <c r="AZ112" s="1">
        <f t="shared" si="97"/>
        <v>4295</v>
      </c>
      <c r="BA112" s="1">
        <f t="shared" si="97"/>
        <v>4296</v>
      </c>
      <c r="BB112" s="1">
        <f t="shared" si="97"/>
        <v>4295</v>
      </c>
      <c r="BC112" s="1">
        <f t="shared" si="97"/>
        <v>4307</v>
      </c>
      <c r="BD112" s="1">
        <f t="shared" si="97"/>
        <v>4313</v>
      </c>
      <c r="BE112" s="1">
        <f t="shared" si="97"/>
        <v>4318</v>
      </c>
      <c r="BF112" s="1">
        <f t="shared" si="97"/>
        <v>4315</v>
      </c>
      <c r="BG112" s="1">
        <f t="shared" si="97"/>
        <v>4332</v>
      </c>
      <c r="BH112" s="1">
        <f t="shared" si="97"/>
        <v>4331</v>
      </c>
      <c r="BI112" s="1">
        <f t="shared" si="97"/>
        <v>4325</v>
      </c>
      <c r="BJ112" s="1">
        <f t="shared" si="97"/>
        <v>4328</v>
      </c>
      <c r="BK112" s="1">
        <f t="shared" si="97"/>
        <v>4326</v>
      </c>
      <c r="BL112" s="1">
        <f t="shared" si="97"/>
        <v>4325</v>
      </c>
      <c r="BM112" s="1">
        <f t="shared" si="97"/>
        <v>4324</v>
      </c>
      <c r="BN112" s="1">
        <f t="shared" si="97"/>
        <v>4323</v>
      </c>
      <c r="BO112" s="1">
        <f t="shared" si="97"/>
        <v>4310</v>
      </c>
      <c r="BP112" s="1">
        <f t="shared" si="97"/>
        <v>4309</v>
      </c>
      <c r="BQ112" s="1">
        <f t="shared" si="97"/>
        <v>4311</v>
      </c>
      <c r="BR112" s="1">
        <f>BR41</f>
        <v>4309</v>
      </c>
      <c r="BS112" s="1">
        <f>BS41</f>
        <v>4302</v>
      </c>
      <c r="CU112" s="1">
        <f>SUM(AY112:BB112)</f>
        <v>17175</v>
      </c>
      <c r="CV112" s="1">
        <f>SUM(BC112:BF112)</f>
        <v>17253</v>
      </c>
      <c r="CW112" s="1">
        <f>SUM(BG112:BJ112)</f>
        <v>17316</v>
      </c>
      <c r="CX112" s="1">
        <f>SUM(BK112:BN112)</f>
        <v>17298</v>
      </c>
      <c r="CY112" s="1">
        <f>SUM(BO112:BR112)</f>
        <v>17239</v>
      </c>
      <c r="FI112" s="1"/>
    </row>
    <row r="113" spans="2:165" ht="15">
      <c r="B113" s="2" t="s">
        <v>138</v>
      </c>
      <c r="AY113" s="39">
        <f t="shared" ref="AY113:BQ113" si="98">AY111/AY112</f>
        <v>3.2175332245278618E-2</v>
      </c>
      <c r="AZ113" s="39">
        <f t="shared" si="98"/>
        <v>0.46565774155995343</v>
      </c>
      <c r="BA113" s="39">
        <f t="shared" si="98"/>
        <v>1.157122905027933</v>
      </c>
      <c r="BB113" s="39">
        <f t="shared" si="98"/>
        <v>0.31874272409778814</v>
      </c>
      <c r="BC113" s="39">
        <f t="shared" si="98"/>
        <v>0.32714186208497792</v>
      </c>
      <c r="BD113" s="39">
        <f t="shared" si="98"/>
        <v>0.84349640621377231</v>
      </c>
      <c r="BE113" s="39">
        <f t="shared" si="98"/>
        <v>0.78531727651690597</v>
      </c>
      <c r="BF113" s="39">
        <f t="shared" si="98"/>
        <v>0.62850521436848206</v>
      </c>
      <c r="BG113" s="39">
        <f t="shared" si="98"/>
        <v>9.0027700831024932E-2</v>
      </c>
      <c r="BH113" s="39">
        <f t="shared" si="98"/>
        <v>0.83952897714153774</v>
      </c>
      <c r="BI113" s="39">
        <f t="shared" si="98"/>
        <v>0.74450867052023117</v>
      </c>
      <c r="BJ113" s="39">
        <f t="shared" si="98"/>
        <v>0.51132162661737524</v>
      </c>
      <c r="BK113" s="39">
        <f t="shared" si="98"/>
        <v>-3.1668978270920016E-2</v>
      </c>
      <c r="BL113" s="39">
        <f t="shared" si="98"/>
        <v>0.9509826589595376</v>
      </c>
      <c r="BM113" s="39">
        <f t="shared" si="98"/>
        <v>0.90333024976873266</v>
      </c>
      <c r="BN113" s="39">
        <f t="shared" si="98"/>
        <v>0.41429562803608605</v>
      </c>
      <c r="BO113" s="39">
        <f t="shared" si="98"/>
        <v>3.3410672853828309E-2</v>
      </c>
      <c r="BP113" s="39">
        <f t="shared" si="98"/>
        <v>0.73242051520074258</v>
      </c>
      <c r="BQ113" s="39">
        <f t="shared" si="98"/>
        <v>-0.4036186499652053</v>
      </c>
      <c r="BR113" s="39">
        <f>BR111/BR112</f>
        <v>0.72893942910187981</v>
      </c>
      <c r="BS113" s="39">
        <f>BS111/BS112</f>
        <v>-1.2791724779172478</v>
      </c>
      <c r="CU113" s="39">
        <f>SUM(AY113:BB113)</f>
        <v>1.9736987029309532</v>
      </c>
      <c r="CV113" s="39">
        <f>SUM(BC113:BF113)</f>
        <v>2.5844607591841382</v>
      </c>
      <c r="CW113" s="39">
        <f>SUM(BG113:BJ113)</f>
        <v>2.1853869751101689</v>
      </c>
      <c r="CX113" s="39">
        <f>SUM(BK113:BN113)</f>
        <v>2.2369395584934364</v>
      </c>
      <c r="CY113" s="39">
        <f>SUM(BO113:BR113)</f>
        <v>1.0911519671912453</v>
      </c>
      <c r="FI113" s="1"/>
    </row>
    <row r="114" spans="2:165"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</row>
    <row r="115" spans="2:165"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</row>
    <row r="116" spans="2:165"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</row>
    <row r="117" spans="2:165"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</row>
    <row r="118" spans="2:165"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</row>
    <row r="119" spans="2:165"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</row>
    <row r="120" spans="2:165"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</row>
    <row r="121" spans="2:165"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</row>
    <row r="122" spans="2:165"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</row>
    <row r="123" spans="2:165"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</row>
    <row r="124" spans="2:165"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</row>
    <row r="125" spans="2:165"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</row>
    <row r="126" spans="2:165"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</row>
    <row r="127" spans="2:165"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</row>
    <row r="128" spans="2:165"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</row>
    <row r="129" spans="41:165"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</row>
    <row r="130" spans="41:165"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</row>
    <row r="131" spans="41:165"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</row>
    <row r="132" spans="41:165"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</row>
    <row r="133" spans="41:165"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</row>
    <row r="134" spans="41:165"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</row>
    <row r="135" spans="41:165"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</row>
    <row r="136" spans="41:165"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</row>
    <row r="137" spans="41:165"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</row>
    <row r="138" spans="41:165"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</row>
    <row r="139" spans="41:165"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</row>
    <row r="140" spans="41:165"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</row>
    <row r="141" spans="41:165"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</row>
    <row r="142" spans="41:165"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</row>
    <row r="143" spans="41:165"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</row>
    <row r="144" spans="41:165"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</row>
    <row r="145" spans="41:165"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</row>
    <row r="146" spans="41:165"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</row>
    <row r="147" spans="41:165"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</row>
    <row r="148" spans="41:165"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</row>
    <row r="149" spans="41:165"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</row>
    <row r="150" spans="41:165"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</row>
    <row r="151" spans="41:165"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</row>
    <row r="152" spans="41:165"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</row>
    <row r="153" spans="41:165"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</row>
    <row r="154" spans="41:165"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</row>
    <row r="155" spans="41:165"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</row>
    <row r="156" spans="41:165"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</row>
    <row r="157" spans="41:165"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</row>
    <row r="158" spans="41:165"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</row>
    <row r="159" spans="41:165"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</row>
    <row r="160" spans="41:165"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</row>
    <row r="161" spans="41:165"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</row>
    <row r="162" spans="41:165"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</row>
    <row r="163" spans="41:165"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</row>
    <row r="164" spans="41:165"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</row>
    <row r="165" spans="41:165"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</row>
    <row r="166" spans="41:165"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</row>
    <row r="167" spans="41:165"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</row>
    <row r="168" spans="41:165"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</row>
    <row r="169" spans="41:165"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</row>
    <row r="170" spans="41:165"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</row>
    <row r="171" spans="41:165"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</row>
    <row r="172" spans="41:165"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</row>
    <row r="173" spans="41:165"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</row>
    <row r="174" spans="41:165"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</row>
    <row r="175" spans="41:165"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</row>
    <row r="176" spans="41:165"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</row>
    <row r="177" spans="41:165"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</row>
    <row r="178" spans="41:165"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</row>
    <row r="179" spans="41:165"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</row>
    <row r="180" spans="41:165"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</row>
    <row r="181" spans="41:165"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</row>
    <row r="182" spans="41:165"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</row>
    <row r="183" spans="41:165"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</row>
    <row r="184" spans="41:165"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</row>
    <row r="185" spans="41:165"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</row>
    <row r="186" spans="41:165"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</row>
    <row r="187" spans="41:165"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</row>
    <row r="188" spans="41:165"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</row>
    <row r="189" spans="41:165"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</row>
    <row r="190" spans="41:165"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</row>
    <row r="191" spans="41:165"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</row>
    <row r="192" spans="41:165"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</row>
    <row r="193" spans="41:165"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</row>
    <row r="194" spans="41:165"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</row>
    <row r="195" spans="41:165"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</row>
    <row r="196" spans="41:165"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</row>
    <row r="197" spans="41:165"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</row>
    <row r="198" spans="41:165"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</row>
    <row r="199" spans="41:165"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</row>
    <row r="200" spans="41:165"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</row>
    <row r="201" spans="41:165"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</row>
    <row r="202" spans="41:165"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</row>
    <row r="203" spans="41:165"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</row>
    <row r="204" spans="41:165"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</row>
    <row r="205" spans="41:165"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</row>
    <row r="206" spans="41:165"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</row>
    <row r="207" spans="41:165"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</row>
    <row r="208" spans="41:165"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</row>
    <row r="209" spans="41:165"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</row>
    <row r="210" spans="41:165"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</row>
    <row r="211" spans="41:165"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</row>
    <row r="212" spans="41:165"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</row>
    <row r="213" spans="41:165"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</row>
    <row r="214" spans="41:165"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</row>
    <row r="215" spans="41:165"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</row>
    <row r="216" spans="41:165"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</row>
    <row r="217" spans="41:165"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</row>
    <row r="218" spans="41:165"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</row>
    <row r="219" spans="41:165"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</row>
    <row r="220" spans="41:165"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</row>
    <row r="221" spans="41:165"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</row>
    <row r="222" spans="41:165"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</row>
    <row r="223" spans="41:165"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</row>
    <row r="224" spans="41:165"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</row>
    <row r="225" spans="41:165"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</row>
    <row r="226" spans="41:165"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</row>
    <row r="227" spans="41:165"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</row>
    <row r="228" spans="41:165"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</row>
    <row r="229" spans="41:165"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</row>
    <row r="230" spans="41:165"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</row>
    <row r="231" spans="41:165"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</row>
    <row r="232" spans="41:165"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</row>
    <row r="233" spans="41:165"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</row>
    <row r="234" spans="41:165"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</row>
    <row r="235" spans="41:165"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</row>
    <row r="236" spans="41:165"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</row>
    <row r="237" spans="41:165"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</row>
    <row r="238" spans="41:165"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</row>
    <row r="239" spans="41:165"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</row>
    <row r="240" spans="41:165"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</row>
    <row r="241" spans="41:165"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</row>
    <row r="242" spans="41:165"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</row>
    <row r="243" spans="41:165"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</row>
    <row r="244" spans="41:165"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</row>
    <row r="245" spans="41:165"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</row>
    <row r="246" spans="41:165"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</row>
    <row r="247" spans="41:165"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</row>
    <row r="248" spans="41:165"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</row>
    <row r="249" spans="41:165"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</row>
    <row r="250" spans="41:165"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</row>
    <row r="251" spans="41:165"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</row>
    <row r="252" spans="41:165"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</row>
    <row r="253" spans="41:165"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</row>
    <row r="254" spans="41:165"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</row>
    <row r="255" spans="41:165"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</row>
    <row r="256" spans="41:165"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</row>
    <row r="257" spans="41:165"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</row>
    <row r="258" spans="41:165"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</row>
    <row r="259" spans="41:165"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</row>
    <row r="260" spans="41:165"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</row>
    <row r="261" spans="41:165"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</row>
    <row r="262" spans="41:165"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</row>
    <row r="263" spans="41:165"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</row>
    <row r="264" spans="41:165"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</row>
    <row r="265" spans="41:165"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</row>
    <row r="266" spans="41:165"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</row>
    <row r="267" spans="41:165"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</row>
    <row r="268" spans="41:165"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</row>
    <row r="269" spans="41:165"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</row>
    <row r="270" spans="41:165"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</row>
    <row r="271" spans="41:165"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</row>
    <row r="272" spans="41:165"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</row>
    <row r="273" spans="41:165"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</row>
    <row r="274" spans="41:165"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</row>
    <row r="275" spans="41:165"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</row>
    <row r="276" spans="41:165"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</row>
    <row r="277" spans="41:165"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</row>
    <row r="278" spans="41:165"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</row>
    <row r="279" spans="41:165"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</row>
    <row r="280" spans="41:165"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</row>
    <row r="281" spans="41:165"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</row>
    <row r="282" spans="41:165"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</row>
    <row r="283" spans="41:165"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</row>
    <row r="284" spans="41:165"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</row>
    <row r="285" spans="41:165"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</row>
    <row r="286" spans="41:165"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</row>
    <row r="287" spans="41:165"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</row>
    <row r="288" spans="41:165"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</row>
    <row r="289" spans="41:165"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</row>
    <row r="290" spans="41:165"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</row>
    <row r="291" spans="41:165"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</row>
    <row r="292" spans="41:165"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</row>
    <row r="293" spans="41:165"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</row>
    <row r="294" spans="41:165"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</row>
    <row r="295" spans="41:165"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</row>
    <row r="296" spans="41:165"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</row>
    <row r="297" spans="41:165"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</row>
    <row r="298" spans="41:165"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</row>
    <row r="299" spans="41:165"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</row>
    <row r="300" spans="41:165"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</row>
    <row r="301" spans="41:165"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</row>
    <row r="302" spans="41:165"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</row>
    <row r="303" spans="41:165"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</row>
    <row r="304" spans="41:165"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</row>
    <row r="305" spans="41:165"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</row>
    <row r="306" spans="41:165"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</row>
    <row r="307" spans="41:165"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</row>
    <row r="308" spans="41:165"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</row>
    <row r="309" spans="41:165"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</row>
    <row r="310" spans="41:165"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</row>
    <row r="311" spans="41:165"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</row>
    <row r="312" spans="41:165"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</row>
    <row r="313" spans="41:165"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</row>
    <row r="314" spans="41:165"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</row>
    <row r="315" spans="41:165"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</row>
    <row r="316" spans="41:165"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</row>
    <row r="317" spans="41:165"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</row>
    <row r="318" spans="41:165"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</row>
    <row r="319" spans="41:165"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</row>
    <row r="320" spans="41:165"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</row>
    <row r="321" spans="41:165"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</row>
    <row r="322" spans="41:165"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</row>
    <row r="323" spans="41:165"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</row>
    <row r="324" spans="41:165"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</row>
    <row r="325" spans="41:165"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</row>
    <row r="326" spans="41:165"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</row>
    <row r="327" spans="41:165"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</row>
    <row r="328" spans="41:165"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</row>
    <row r="329" spans="41:165"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</row>
    <row r="330" spans="41:165"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</row>
    <row r="331" spans="41:165"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</row>
    <row r="332" spans="41:165"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</row>
    <row r="333" spans="41:165"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</row>
    <row r="334" spans="41:165"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</row>
    <row r="335" spans="41:165"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</row>
    <row r="336" spans="41:165"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</row>
    <row r="337" spans="41:165"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</row>
    <row r="338" spans="41:165"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</row>
    <row r="339" spans="41:165"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</row>
    <row r="340" spans="41:165"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</row>
    <row r="341" spans="41:165"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</row>
    <row r="342" spans="41:165"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</row>
    <row r="343" spans="41:165"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</row>
    <row r="344" spans="41:165"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</row>
    <row r="345" spans="41:165"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</row>
    <row r="346" spans="41:165"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</row>
    <row r="347" spans="41:165"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</row>
  </sheetData>
  <conditionalFormatting sqref="DH63:DI6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Sell",DH63)))</formula>
    </cfRule>
    <cfRule type="containsText" dxfId="3" priority="3" operator="containsText" text="Sell">
      <formula>NOT(ISERROR(SEARCH("Sell",DH63)))</formula>
    </cfRule>
    <cfRule type="containsText" dxfId="2" priority="4" operator="containsText" text="Hold">
      <formula>NOT(ISERROR(SEARCH("Hold",DH63)))</formula>
    </cfRule>
    <cfRule type="beginsWith" dxfId="1" priority="5" operator="beginsWith" text="Buy">
      <formula>LEFT(DH63,LEN("Buy"))="Buy"</formula>
    </cfRule>
    <cfRule type="beginsWith" dxfId="0" priority="6" operator="beginsWith" text="Strong">
      <formula>LEFT(DH63,LEN("Strong"))="Strong"</formula>
    </cfRule>
  </conditionalFormatting>
  <pageMargins left="0.7" right="0.7" top="0.75" bottom="0.75" header="0.3" footer="0.3"/>
  <ignoredErrors>
    <ignoredError sqref="CU41:CY4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57"/>
  <sheetViews>
    <sheetView topLeftCell="A182" zoomScale="70" zoomScaleNormal="70" workbookViewId="0">
      <selection activeCell="W200" sqref="W200"/>
    </sheetView>
  </sheetViews>
  <sheetFormatPr defaultColWidth="9.140625" defaultRowHeight="14.25"/>
  <cols>
    <col min="1" max="7" width="9.140625" style="1"/>
    <col min="8" max="8" width="3.140625" style="1" customWidth="1"/>
    <col min="9" max="15" width="9.140625" style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163</v>
      </c>
      <c r="AL2" s="2" t="s">
        <v>139</v>
      </c>
    </row>
    <row r="36" spans="16:38" ht="15">
      <c r="P36" s="2" t="s">
        <v>360</v>
      </c>
    </row>
    <row r="37" spans="16:38" ht="15">
      <c r="AL37" s="2" t="s">
        <v>140</v>
      </c>
    </row>
    <row r="38" spans="16:38" ht="15">
      <c r="AL38" s="2" t="s">
        <v>141</v>
      </c>
    </row>
    <row r="39" spans="16:38">
      <c r="AL39" s="1" t="s">
        <v>142</v>
      </c>
    </row>
    <row r="65" spans="16:38">
      <c r="Q65" s="1" t="s">
        <v>14</v>
      </c>
      <c r="R65" s="1" t="s">
        <v>15</v>
      </c>
    </row>
    <row r="66" spans="16:38">
      <c r="R66" s="1" t="s">
        <v>16</v>
      </c>
    </row>
    <row r="67" spans="16:38">
      <c r="R67" s="1" t="s">
        <v>17</v>
      </c>
    </row>
    <row r="69" spans="16:38" ht="15">
      <c r="P69" s="2" t="s">
        <v>361</v>
      </c>
      <c r="AL69" s="2" t="s">
        <v>143</v>
      </c>
    </row>
    <row r="70" spans="16:38">
      <c r="AL70" s="1" t="s">
        <v>184</v>
      </c>
    </row>
    <row r="101" spans="16:38">
      <c r="Q101" s="1" t="s">
        <v>14</v>
      </c>
      <c r="R101" s="1" t="s">
        <v>15</v>
      </c>
    </row>
    <row r="102" spans="16:38">
      <c r="R102" s="1" t="s">
        <v>16</v>
      </c>
    </row>
    <row r="103" spans="16:38">
      <c r="R103" s="1" t="s">
        <v>17</v>
      </c>
    </row>
    <row r="105" spans="16:38" ht="15">
      <c r="P105" s="2" t="s">
        <v>166</v>
      </c>
      <c r="AL105" s="2" t="s">
        <v>144</v>
      </c>
    </row>
    <row r="106" spans="16:38">
      <c r="AL106" s="1" t="s">
        <v>145</v>
      </c>
    </row>
    <row r="134" spans="16:38">
      <c r="Q134" s="1" t="s">
        <v>14</v>
      </c>
      <c r="R134" s="1" t="s">
        <v>15</v>
      </c>
    </row>
    <row r="135" spans="16:38">
      <c r="R135" s="1" t="s">
        <v>16</v>
      </c>
    </row>
    <row r="136" spans="16:38">
      <c r="R136" s="1" t="s">
        <v>17</v>
      </c>
    </row>
    <row r="138" spans="16:38" ht="15">
      <c r="P138" s="2" t="s">
        <v>165</v>
      </c>
      <c r="AL138" s="2" t="s">
        <v>146</v>
      </c>
    </row>
    <row r="139" spans="16:38">
      <c r="AL139" s="1" t="s">
        <v>147</v>
      </c>
    </row>
    <row r="154" ht="15" customHeight="1"/>
    <row r="167" spans="17:18">
      <c r="Q167" s="1" t="s">
        <v>14</v>
      </c>
      <c r="R167" s="1" t="s">
        <v>15</v>
      </c>
    </row>
    <row r="168" spans="17:18">
      <c r="R168" s="1" t="s">
        <v>16</v>
      </c>
    </row>
    <row r="169" spans="17:18">
      <c r="R169" s="1" t="s">
        <v>17</v>
      </c>
    </row>
    <row r="184" spans="1:15">
      <c r="A184" s="1" t="s">
        <v>185</v>
      </c>
      <c r="I184" s="1" t="s">
        <v>1116</v>
      </c>
    </row>
    <row r="185" spans="1:15">
      <c r="A185" s="1" t="s">
        <v>1115</v>
      </c>
      <c r="I185" s="1" t="s">
        <v>1115</v>
      </c>
    </row>
    <row r="186" spans="1:15">
      <c r="A186" s="24" t="s">
        <v>18</v>
      </c>
      <c r="B186" s="24" t="s">
        <v>19</v>
      </c>
      <c r="C186" s="24" t="s">
        <v>20</v>
      </c>
      <c r="D186" s="24" t="s">
        <v>21</v>
      </c>
      <c r="E186" s="24" t="s">
        <v>22</v>
      </c>
      <c r="F186" s="24" t="s">
        <v>23</v>
      </c>
      <c r="G186" s="24" t="s">
        <v>24</v>
      </c>
      <c r="I186" s="24" t="s">
        <v>18</v>
      </c>
      <c r="J186" s="24" t="s">
        <v>19</v>
      </c>
      <c r="K186" s="24" t="s">
        <v>20</v>
      </c>
      <c r="L186" s="24" t="s">
        <v>21</v>
      </c>
      <c r="M186" s="24" t="s">
        <v>22</v>
      </c>
      <c r="N186" s="24" t="s">
        <v>23</v>
      </c>
      <c r="O186" s="24" t="s">
        <v>24</v>
      </c>
    </row>
    <row r="187" spans="1:15">
      <c r="A187" s="65">
        <v>630.48</v>
      </c>
      <c r="B187" s="65">
        <v>632.98</v>
      </c>
      <c r="C187" s="65">
        <v>629.48</v>
      </c>
      <c r="D187" s="65">
        <v>630.29999999999995</v>
      </c>
      <c r="E187" s="65">
        <v>5007553</v>
      </c>
      <c r="F187" s="65" t="s">
        <v>362</v>
      </c>
      <c r="G187" s="25">
        <f>A187/D187-1</f>
        <v>2.8557829604958229E-4</v>
      </c>
      <c r="I187" s="66">
        <v>70</v>
      </c>
      <c r="J187" s="66">
        <v>70.709999999999994</v>
      </c>
      <c r="K187" s="66">
        <v>69.873500000000007</v>
      </c>
      <c r="L187" s="66">
        <v>70.314999999999998</v>
      </c>
      <c r="M187" s="66">
        <v>13872569</v>
      </c>
      <c r="N187" s="66" t="s">
        <v>362</v>
      </c>
      <c r="O187" s="25">
        <f>I187/L187-1</f>
        <v>-4.4798407167744303E-3</v>
      </c>
    </row>
    <row r="188" spans="1:15">
      <c r="A188" s="65">
        <v>629.29999999999995</v>
      </c>
      <c r="B188" s="65">
        <v>630.17999999999995</v>
      </c>
      <c r="C188" s="65">
        <v>626.48</v>
      </c>
      <c r="D188" s="65">
        <v>630.13</v>
      </c>
      <c r="E188" s="65">
        <v>5114434</v>
      </c>
      <c r="F188" s="65" t="s">
        <v>363</v>
      </c>
      <c r="G188" s="25">
        <f t="shared" ref="G188:G251" si="0">A188/D188-1</f>
        <v>-1.3171885166554098E-3</v>
      </c>
      <c r="I188" s="66">
        <v>70.45</v>
      </c>
      <c r="J188" s="66">
        <v>71.34</v>
      </c>
      <c r="K188" s="66">
        <v>70.370099999999994</v>
      </c>
      <c r="L188" s="66">
        <v>70.83</v>
      </c>
      <c r="M188" s="66">
        <v>15964998</v>
      </c>
      <c r="N188" s="66" t="s">
        <v>363</v>
      </c>
      <c r="O188" s="25">
        <f t="shared" ref="O188:O251" si="1">I188/L188-1</f>
        <v>-5.3649583509811638E-3</v>
      </c>
    </row>
    <row r="189" spans="1:15">
      <c r="A189" s="65">
        <v>628.77</v>
      </c>
      <c r="B189" s="65">
        <v>629.78</v>
      </c>
      <c r="C189" s="65">
        <v>624.95000000000005</v>
      </c>
      <c r="D189" s="65">
        <v>625.77</v>
      </c>
      <c r="E189" s="65">
        <v>5149531</v>
      </c>
      <c r="F189" s="65" t="s">
        <v>364</v>
      </c>
      <c r="G189" s="25">
        <f t="shared" si="0"/>
        <v>4.7940936765904496E-3</v>
      </c>
      <c r="I189" s="66">
        <v>70.81</v>
      </c>
      <c r="J189" s="66">
        <v>71.400000000000006</v>
      </c>
      <c r="K189" s="66">
        <v>70.61</v>
      </c>
      <c r="L189" s="66">
        <v>70.88</v>
      </c>
      <c r="M189" s="66">
        <v>16819345</v>
      </c>
      <c r="N189" s="66" t="s">
        <v>364</v>
      </c>
      <c r="O189" s="25">
        <f t="shared" si="1"/>
        <v>-9.8758465011272722E-4</v>
      </c>
    </row>
    <row r="190" spans="1:15">
      <c r="A190" s="65">
        <v>626.58000000000004</v>
      </c>
      <c r="B190" s="65">
        <v>628.77</v>
      </c>
      <c r="C190" s="65">
        <v>624.62</v>
      </c>
      <c r="D190" s="65">
        <v>627.01</v>
      </c>
      <c r="E190" s="65">
        <v>5256797</v>
      </c>
      <c r="F190" s="65" t="s">
        <v>365</v>
      </c>
      <c r="G190" s="25">
        <f t="shared" si="0"/>
        <v>-6.8579448493633066E-4</v>
      </c>
      <c r="I190" s="66">
        <v>70.67</v>
      </c>
      <c r="J190" s="66">
        <v>71.8</v>
      </c>
      <c r="K190" s="66">
        <v>70.430000000000007</v>
      </c>
      <c r="L190" s="66">
        <v>71.8</v>
      </c>
      <c r="M190" s="66">
        <v>19848927</v>
      </c>
      <c r="N190" s="66" t="s">
        <v>365</v>
      </c>
      <c r="O190" s="25">
        <f t="shared" si="1"/>
        <v>-1.5738161559888497E-2</v>
      </c>
    </row>
    <row r="191" spans="1:15">
      <c r="A191" s="65">
        <v>625.52</v>
      </c>
      <c r="B191" s="65">
        <v>628.01</v>
      </c>
      <c r="C191" s="65">
        <v>624.1</v>
      </c>
      <c r="D191" s="65">
        <v>624.16999999999996</v>
      </c>
      <c r="E191" s="65">
        <v>8381362</v>
      </c>
      <c r="F191" s="65" t="s">
        <v>366</v>
      </c>
      <c r="G191" s="25">
        <f t="shared" si="0"/>
        <v>2.1628722944069256E-3</v>
      </c>
      <c r="I191" s="66">
        <v>71.95</v>
      </c>
      <c r="J191" s="66">
        <v>72.905000000000001</v>
      </c>
      <c r="K191" s="66">
        <v>71.930000000000007</v>
      </c>
      <c r="L191" s="66">
        <v>72.599999999999994</v>
      </c>
      <c r="M191" s="66">
        <v>14360474</v>
      </c>
      <c r="N191" s="66" t="s">
        <v>366</v>
      </c>
      <c r="O191" s="25">
        <f t="shared" si="1"/>
        <v>-8.9531680440769756E-3</v>
      </c>
    </row>
    <row r="192" spans="1:15">
      <c r="A192" s="65">
        <v>628.41</v>
      </c>
      <c r="B192" s="65">
        <v>628.63</v>
      </c>
      <c r="C192" s="65">
        <v>625.70500000000004</v>
      </c>
      <c r="D192" s="65">
        <v>626.02499999999998</v>
      </c>
      <c r="E192" s="65">
        <v>2949167</v>
      </c>
      <c r="F192" s="65" t="s">
        <v>367</v>
      </c>
      <c r="G192" s="25">
        <f t="shared" si="0"/>
        <v>3.8097520067090773E-3</v>
      </c>
      <c r="I192" s="66">
        <v>73.12</v>
      </c>
      <c r="J192" s="66">
        <v>73.23</v>
      </c>
      <c r="K192" s="66">
        <v>72.760000000000005</v>
      </c>
      <c r="L192" s="66">
        <v>73</v>
      </c>
      <c r="M192" s="66">
        <v>7422237</v>
      </c>
      <c r="N192" s="66" t="s">
        <v>367</v>
      </c>
      <c r="O192" s="25">
        <f t="shared" si="1"/>
        <v>1.6438356164383272E-3</v>
      </c>
    </row>
    <row r="193" spans="1:21">
      <c r="A193" s="65">
        <v>624.95000000000005</v>
      </c>
      <c r="B193" s="65">
        <v>626.80999999999995</v>
      </c>
      <c r="C193" s="65">
        <v>622.26</v>
      </c>
      <c r="D193" s="65">
        <v>623.05999999999995</v>
      </c>
      <c r="E193" s="65">
        <v>5292533</v>
      </c>
      <c r="F193" s="65" t="s">
        <v>368</v>
      </c>
      <c r="G193" s="25">
        <f t="shared" si="0"/>
        <v>3.033415722402566E-3</v>
      </c>
      <c r="I193" s="66">
        <v>72.88</v>
      </c>
      <c r="J193" s="66">
        <v>73.084999999999994</v>
      </c>
      <c r="K193" s="66">
        <v>72.39</v>
      </c>
      <c r="L193" s="66">
        <v>72.599999999999994</v>
      </c>
      <c r="M193" s="66">
        <v>11634605</v>
      </c>
      <c r="N193" s="66" t="s">
        <v>368</v>
      </c>
      <c r="O193" s="25">
        <f t="shared" si="1"/>
        <v>3.8567493112948714E-3</v>
      </c>
    </row>
    <row r="194" spans="1:21">
      <c r="A194" s="65">
        <v>620.66</v>
      </c>
      <c r="B194" s="65">
        <v>621.75</v>
      </c>
      <c r="C194" s="65">
        <v>610.99</v>
      </c>
      <c r="D194" s="65">
        <v>614.78</v>
      </c>
      <c r="E194" s="65">
        <v>7289905</v>
      </c>
      <c r="F194" s="65" t="s">
        <v>369</v>
      </c>
      <c r="G194" s="25">
        <f t="shared" si="0"/>
        <v>9.5643970200722794E-3</v>
      </c>
      <c r="I194" s="66">
        <v>72.61</v>
      </c>
      <c r="J194" s="66">
        <v>72.924999999999997</v>
      </c>
      <c r="K194" s="66">
        <v>72.139499999999998</v>
      </c>
      <c r="L194" s="66">
        <v>72.795000000000002</v>
      </c>
      <c r="M194" s="66">
        <v>17371135</v>
      </c>
      <c r="N194" s="66" t="s">
        <v>369</v>
      </c>
      <c r="O194" s="25">
        <f t="shared" si="1"/>
        <v>-2.5413833367676775E-3</v>
      </c>
    </row>
    <row r="195" spans="1:21">
      <c r="A195" s="65">
        <v>614.94000000000005</v>
      </c>
      <c r="B195" s="65">
        <v>616.09</v>
      </c>
      <c r="C195" s="65">
        <v>608.30499999999995</v>
      </c>
      <c r="D195" s="65">
        <v>609.28</v>
      </c>
      <c r="E195" s="65">
        <v>6218559</v>
      </c>
      <c r="F195" s="65" t="s">
        <v>370</v>
      </c>
      <c r="G195" s="25">
        <f t="shared" si="0"/>
        <v>9.2896533613446852E-3</v>
      </c>
      <c r="I195" s="66">
        <v>72.59</v>
      </c>
      <c r="J195" s="66">
        <v>73.16</v>
      </c>
      <c r="K195" s="66">
        <v>71.569999999999993</v>
      </c>
      <c r="L195" s="66">
        <v>73.16</v>
      </c>
      <c r="M195" s="66">
        <v>39534740</v>
      </c>
      <c r="N195" s="66" t="s">
        <v>370</v>
      </c>
      <c r="O195" s="25">
        <f t="shared" si="1"/>
        <v>-7.7911427009293988E-3</v>
      </c>
    </row>
    <row r="196" spans="1:21">
      <c r="A196" s="65">
        <v>605.92999999999995</v>
      </c>
      <c r="B196" s="65">
        <v>611.01</v>
      </c>
      <c r="C196" s="65">
        <v>598.38</v>
      </c>
      <c r="D196" s="65">
        <v>602.25</v>
      </c>
      <c r="E196" s="65">
        <v>9789866</v>
      </c>
      <c r="F196" s="65" t="s">
        <v>371</v>
      </c>
      <c r="G196" s="25">
        <f t="shared" si="0"/>
        <v>6.1104192611041164E-3</v>
      </c>
      <c r="I196" s="66">
        <v>72.95</v>
      </c>
      <c r="J196" s="66">
        <v>73.19</v>
      </c>
      <c r="K196" s="66">
        <v>71.484999999999999</v>
      </c>
      <c r="L196" s="66">
        <v>71.680000000000007</v>
      </c>
      <c r="M196" s="66">
        <v>26373255</v>
      </c>
      <c r="N196" s="66" t="s">
        <v>371</v>
      </c>
      <c r="O196" s="25">
        <f t="shared" si="1"/>
        <v>1.7717633928571397E-2</v>
      </c>
    </row>
    <row r="197" spans="1:21">
      <c r="A197" s="65">
        <v>599.96</v>
      </c>
      <c r="B197" s="65">
        <v>621.12879999999996</v>
      </c>
      <c r="C197" s="65">
        <v>599.36</v>
      </c>
      <c r="D197" s="65">
        <v>618.72</v>
      </c>
      <c r="E197" s="65">
        <v>13857655</v>
      </c>
      <c r="F197" s="65" t="s">
        <v>372</v>
      </c>
      <c r="G197" s="25">
        <f t="shared" si="0"/>
        <v>-3.0320662011895538E-2</v>
      </c>
      <c r="I197" s="66">
        <v>71.209999999999994</v>
      </c>
      <c r="J197" s="66">
        <v>71.48</v>
      </c>
      <c r="K197" s="66">
        <v>70.61</v>
      </c>
      <c r="L197" s="66">
        <v>70.95</v>
      </c>
      <c r="M197" s="66">
        <v>15323392</v>
      </c>
      <c r="N197" s="66" t="s">
        <v>372</v>
      </c>
      <c r="O197" s="25">
        <f t="shared" si="1"/>
        <v>3.6645525017617864E-3</v>
      </c>
    </row>
    <row r="198" spans="1:21">
      <c r="A198" s="65">
        <v>609.20000000000005</v>
      </c>
      <c r="B198" s="65">
        <v>613.56989999999996</v>
      </c>
      <c r="C198" s="65">
        <v>605.66999999999996</v>
      </c>
      <c r="D198" s="65">
        <v>607.52</v>
      </c>
      <c r="E198" s="65">
        <v>7297298</v>
      </c>
      <c r="F198" s="65" t="s">
        <v>373</v>
      </c>
      <c r="G198" s="25">
        <f t="shared" si="0"/>
        <v>2.7653410587307192E-3</v>
      </c>
      <c r="I198" s="66">
        <v>71.11</v>
      </c>
      <c r="J198" s="66">
        <v>71.444999999999993</v>
      </c>
      <c r="K198" s="66">
        <v>70.814300000000003</v>
      </c>
      <c r="L198" s="66">
        <v>71.2</v>
      </c>
      <c r="M198" s="66">
        <v>12320834</v>
      </c>
      <c r="N198" s="66" t="s">
        <v>373</v>
      </c>
      <c r="O198" s="25">
        <f t="shared" si="1"/>
        <v>-1.2640449438202639E-3</v>
      </c>
    </row>
    <row r="199" spans="1:21">
      <c r="A199" s="65">
        <v>607</v>
      </c>
      <c r="B199" s="65">
        <v>611.51</v>
      </c>
      <c r="C199" s="65">
        <v>603</v>
      </c>
      <c r="D199" s="65">
        <v>608.72</v>
      </c>
      <c r="E199" s="65">
        <v>8485565</v>
      </c>
      <c r="F199" s="65" t="s">
        <v>374</v>
      </c>
      <c r="G199" s="25">
        <f t="shared" si="0"/>
        <v>-2.8256012616638682E-3</v>
      </c>
      <c r="I199" s="66">
        <v>71.22</v>
      </c>
      <c r="J199" s="66">
        <v>71.34</v>
      </c>
      <c r="K199" s="66">
        <v>70.569999999999993</v>
      </c>
      <c r="L199" s="66">
        <v>70.989999999999995</v>
      </c>
      <c r="M199" s="66">
        <v>12831805</v>
      </c>
      <c r="N199" s="66" t="s">
        <v>374</v>
      </c>
      <c r="O199" s="25">
        <f t="shared" si="1"/>
        <v>3.2398929426680212E-3</v>
      </c>
    </row>
    <row r="200" spans="1:21">
      <c r="A200" s="65">
        <v>612.04</v>
      </c>
      <c r="B200" s="65">
        <v>619.44849999999997</v>
      </c>
      <c r="C200" s="65">
        <v>608.80999999999995</v>
      </c>
      <c r="D200" s="65">
        <v>615.74</v>
      </c>
      <c r="E200" s="65">
        <v>8858869</v>
      </c>
      <c r="F200" s="65" t="s">
        <v>375</v>
      </c>
      <c r="G200" s="25">
        <f t="shared" si="0"/>
        <v>-6.0090297852990471E-3</v>
      </c>
      <c r="I200" s="66">
        <v>70.680000000000007</v>
      </c>
      <c r="J200" s="66">
        <v>71.525000000000006</v>
      </c>
      <c r="K200" s="66">
        <v>70.62</v>
      </c>
      <c r="L200" s="66">
        <v>71.2</v>
      </c>
      <c r="M200" s="66">
        <v>13424530</v>
      </c>
      <c r="N200" s="66" t="s">
        <v>375</v>
      </c>
      <c r="O200" s="25">
        <f t="shared" si="1"/>
        <v>-7.3033707865167719E-3</v>
      </c>
      <c r="Q200" s="26"/>
      <c r="R200" s="26" t="s">
        <v>25</v>
      </c>
      <c r="S200" s="27">
        <f>MIN(O187:O939)</f>
        <v>-4.3112897332846178E-2</v>
      </c>
    </row>
    <row r="201" spans="1:21">
      <c r="A201" s="65">
        <v>617.83000000000004</v>
      </c>
      <c r="B201" s="65">
        <v>621.21990000000005</v>
      </c>
      <c r="C201" s="65">
        <v>609.83000000000004</v>
      </c>
      <c r="D201" s="65">
        <v>611.75</v>
      </c>
      <c r="E201" s="65">
        <v>9651895</v>
      </c>
      <c r="F201" s="65" t="s">
        <v>376</v>
      </c>
      <c r="G201" s="25">
        <f t="shared" si="0"/>
        <v>9.9387004495301579E-3</v>
      </c>
      <c r="I201" s="66">
        <v>71.16</v>
      </c>
      <c r="J201" s="66">
        <v>71.64</v>
      </c>
      <c r="K201" s="66">
        <v>70.599999999999994</v>
      </c>
      <c r="L201" s="66">
        <v>71.405000000000001</v>
      </c>
      <c r="M201" s="66">
        <v>13166528</v>
      </c>
      <c r="N201" s="66" t="s">
        <v>376</v>
      </c>
      <c r="O201" s="25">
        <f t="shared" si="1"/>
        <v>-3.431132273650328E-3</v>
      </c>
      <c r="Q201" s="26"/>
      <c r="R201" s="26" t="s">
        <v>26</v>
      </c>
      <c r="S201" s="27">
        <f>MAX(O187:O939)</f>
        <v>3.2311641250188927E-2</v>
      </c>
    </row>
    <row r="202" spans="1:21">
      <c r="A202" s="65">
        <v>617.99</v>
      </c>
      <c r="B202" s="65">
        <v>626.02</v>
      </c>
      <c r="C202" s="65">
        <v>616.51</v>
      </c>
      <c r="D202" s="65">
        <v>625.66999999999996</v>
      </c>
      <c r="E202" s="65">
        <v>10526401</v>
      </c>
      <c r="F202" s="65" t="s">
        <v>377</v>
      </c>
      <c r="G202" s="25">
        <f t="shared" si="0"/>
        <v>-1.2274841370051193E-2</v>
      </c>
      <c r="I202" s="66">
        <v>71.069999999999993</v>
      </c>
      <c r="J202" s="66">
        <v>71.667500000000004</v>
      </c>
      <c r="K202" s="66">
        <v>71</v>
      </c>
      <c r="L202" s="66">
        <v>71.415000000000006</v>
      </c>
      <c r="M202" s="66">
        <v>13974399</v>
      </c>
      <c r="N202" s="66" t="s">
        <v>377</v>
      </c>
      <c r="O202" s="25">
        <f t="shared" si="1"/>
        <v>-4.8309178743962677E-3</v>
      </c>
      <c r="Q202" s="26"/>
      <c r="R202" s="26" t="s">
        <v>27</v>
      </c>
      <c r="S202" s="27">
        <f>AVERAGE(O187:O939)</f>
        <v>4.4248316329117852E-6</v>
      </c>
    </row>
    <row r="203" spans="1:21">
      <c r="A203" s="65">
        <v>628.22</v>
      </c>
      <c r="B203" s="65">
        <v>629.77</v>
      </c>
      <c r="C203" s="65">
        <v>626.1</v>
      </c>
      <c r="D203" s="65">
        <v>629.65</v>
      </c>
      <c r="E203" s="65">
        <v>6065826</v>
      </c>
      <c r="F203" s="65" t="s">
        <v>378</v>
      </c>
      <c r="G203" s="25">
        <f t="shared" si="0"/>
        <v>-2.2711029937265703E-3</v>
      </c>
      <c r="I203" s="66">
        <v>71.510000000000005</v>
      </c>
      <c r="J203" s="66">
        <v>71.89</v>
      </c>
      <c r="K203" s="66">
        <v>71.34</v>
      </c>
      <c r="L203" s="66">
        <v>71.489999999999995</v>
      </c>
      <c r="M203" s="66">
        <v>13533085</v>
      </c>
      <c r="N203" s="66" t="s">
        <v>378</v>
      </c>
      <c r="O203" s="25">
        <f t="shared" si="1"/>
        <v>2.7975940691016277E-4</v>
      </c>
      <c r="Q203" s="26"/>
      <c r="R203" s="26" t="s">
        <v>28</v>
      </c>
      <c r="S203" s="27">
        <f>MEDIAN(O187:O939)</f>
        <v>1.5647003598817655E-4</v>
      </c>
    </row>
    <row r="204" spans="1:21" ht="15">
      <c r="A204" s="65">
        <v>627.91</v>
      </c>
      <c r="B204" s="65">
        <v>628.49</v>
      </c>
      <c r="C204" s="65">
        <v>624.07000000000005</v>
      </c>
      <c r="D204" s="65">
        <v>625.16</v>
      </c>
      <c r="E204" s="65">
        <v>5610874</v>
      </c>
      <c r="F204" s="65" t="s">
        <v>379</v>
      </c>
      <c r="G204" s="25">
        <f t="shared" si="0"/>
        <v>4.3988738882845269E-3</v>
      </c>
      <c r="I204" s="66">
        <v>71.61</v>
      </c>
      <c r="J204" s="66">
        <v>71.75</v>
      </c>
      <c r="K204" s="66">
        <v>70.66</v>
      </c>
      <c r="L204" s="66">
        <v>70.98</v>
      </c>
      <c r="M204" s="66">
        <v>16047982</v>
      </c>
      <c r="N204" s="66" t="s">
        <v>379</v>
      </c>
      <c r="O204" s="25">
        <f t="shared" si="1"/>
        <v>8.8757396449703485E-3</v>
      </c>
      <c r="Q204" s="26"/>
      <c r="R204" s="26" t="s">
        <v>29</v>
      </c>
      <c r="S204" s="27">
        <f>_xlfn.STDEV.P(O187:O939)</f>
        <v>8.0933158533211067E-3</v>
      </c>
      <c r="U204" s="2"/>
    </row>
    <row r="205" spans="1:21" ht="15">
      <c r="A205" s="65">
        <v>626.47</v>
      </c>
      <c r="B205" s="65">
        <v>627.21</v>
      </c>
      <c r="C205" s="65">
        <v>620.66</v>
      </c>
      <c r="D205" s="65">
        <v>622.69000000000005</v>
      </c>
      <c r="E205" s="65">
        <v>8383792</v>
      </c>
      <c r="F205" s="65" t="s">
        <v>380</v>
      </c>
      <c r="G205" s="25">
        <f t="shared" si="0"/>
        <v>6.0704363326855582E-3</v>
      </c>
      <c r="I205" s="66">
        <v>70.52</v>
      </c>
      <c r="J205" s="66">
        <v>70.66</v>
      </c>
      <c r="K205" s="66">
        <v>69.44</v>
      </c>
      <c r="L205" s="66">
        <v>70.010000000000005</v>
      </c>
      <c r="M205" s="66">
        <v>14883993</v>
      </c>
      <c r="N205" s="66" t="s">
        <v>380</v>
      </c>
      <c r="O205" s="25">
        <f t="shared" si="1"/>
        <v>7.2846736180545157E-3</v>
      </c>
      <c r="Q205" s="26"/>
      <c r="R205" s="28" t="s">
        <v>30</v>
      </c>
      <c r="S205" s="27">
        <f>3*S204</f>
        <v>2.4279947559963322E-2</v>
      </c>
      <c r="T205" s="26"/>
      <c r="U205" s="2" t="s">
        <v>157</v>
      </c>
    </row>
    <row r="206" spans="1:21" ht="15">
      <c r="A206" s="65">
        <v>616.89</v>
      </c>
      <c r="B206" s="65">
        <v>617.02</v>
      </c>
      <c r="C206" s="65">
        <v>607.91999999999996</v>
      </c>
      <c r="D206" s="65">
        <v>614.09</v>
      </c>
      <c r="E206" s="65">
        <v>7527198</v>
      </c>
      <c r="F206" s="65" t="s">
        <v>381</v>
      </c>
      <c r="G206" s="25">
        <f t="shared" si="0"/>
        <v>4.5595922421794999E-3</v>
      </c>
      <c r="I206" s="66">
        <v>70.55</v>
      </c>
      <c r="J206" s="66">
        <v>70.87</v>
      </c>
      <c r="K206" s="66">
        <v>69.41</v>
      </c>
      <c r="L206" s="66">
        <v>69.81</v>
      </c>
      <c r="M206" s="66">
        <v>25077810</v>
      </c>
      <c r="N206" s="66" t="s">
        <v>381</v>
      </c>
      <c r="O206" s="25">
        <f t="shared" si="1"/>
        <v>1.0600200544334637E-2</v>
      </c>
      <c r="Q206" s="26"/>
      <c r="R206" s="28" t="s">
        <v>31</v>
      </c>
      <c r="S206" s="26">
        <v>0.69</v>
      </c>
      <c r="T206" s="26"/>
      <c r="U206" s="2" t="s">
        <v>32</v>
      </c>
    </row>
    <row r="207" spans="1:21">
      <c r="A207" s="65">
        <v>616.24</v>
      </c>
      <c r="B207" s="65">
        <v>622.79</v>
      </c>
      <c r="C207" s="65">
        <v>614.82000000000005</v>
      </c>
      <c r="D207" s="65">
        <v>621.96</v>
      </c>
      <c r="E207" s="65">
        <v>7032116</v>
      </c>
      <c r="F207" s="65" t="s">
        <v>382</v>
      </c>
      <c r="G207" s="25">
        <f t="shared" si="0"/>
        <v>-9.1967329088687988E-3</v>
      </c>
      <c r="I207" s="66">
        <v>69.06</v>
      </c>
      <c r="J207" s="66">
        <v>69.135000000000005</v>
      </c>
      <c r="K207" s="66">
        <v>67.92</v>
      </c>
      <c r="L207" s="66">
        <v>68.3</v>
      </c>
      <c r="M207" s="66">
        <v>15833285</v>
      </c>
      <c r="N207" s="66" t="s">
        <v>382</v>
      </c>
      <c r="O207" s="25">
        <f t="shared" si="1"/>
        <v>1.1127379209370458E-2</v>
      </c>
    </row>
    <row r="208" spans="1:21">
      <c r="A208" s="65">
        <v>622.86</v>
      </c>
      <c r="B208" s="65">
        <v>626</v>
      </c>
      <c r="C208" s="65">
        <v>619.83000000000004</v>
      </c>
      <c r="D208" s="65">
        <v>620.59</v>
      </c>
      <c r="E208" s="65">
        <v>10264461</v>
      </c>
      <c r="F208" s="65" t="s">
        <v>383</v>
      </c>
      <c r="G208" s="25">
        <f t="shared" si="0"/>
        <v>3.6578095038592995E-3</v>
      </c>
      <c r="I208" s="66">
        <v>68.510000000000005</v>
      </c>
      <c r="J208" s="66">
        <v>68.83</v>
      </c>
      <c r="K208" s="66">
        <v>68.174999999999997</v>
      </c>
      <c r="L208" s="66">
        <v>68.66</v>
      </c>
      <c r="M208" s="66">
        <v>12838777</v>
      </c>
      <c r="N208" s="66" t="s">
        <v>383</v>
      </c>
      <c r="O208" s="25">
        <f t="shared" si="1"/>
        <v>-2.1846781240896229E-3</v>
      </c>
      <c r="S208" s="29" t="s">
        <v>33</v>
      </c>
      <c r="T208" s="30">
        <v>1014</v>
      </c>
    </row>
    <row r="209" spans="1:27" ht="15" thickBot="1">
      <c r="A209" s="65">
        <v>620.99</v>
      </c>
      <c r="B209" s="65">
        <v>625.16999999999996</v>
      </c>
      <c r="C209" s="65">
        <v>620.20000000000005</v>
      </c>
      <c r="D209" s="65">
        <v>621.65</v>
      </c>
      <c r="E209" s="65">
        <v>8203353</v>
      </c>
      <c r="F209" s="65" t="s">
        <v>384</v>
      </c>
      <c r="G209" s="25">
        <f t="shared" si="0"/>
        <v>-1.0616906619479449E-3</v>
      </c>
      <c r="I209" s="66">
        <v>68.66</v>
      </c>
      <c r="J209" s="66">
        <v>68.73</v>
      </c>
      <c r="K209" s="66">
        <v>68.16</v>
      </c>
      <c r="L209" s="66">
        <v>68.47</v>
      </c>
      <c r="M209" s="66">
        <v>12603723</v>
      </c>
      <c r="N209" s="66" t="s">
        <v>384</v>
      </c>
      <c r="O209" s="25">
        <f t="shared" si="1"/>
        <v>2.7749379290200604E-3</v>
      </c>
      <c r="S209" s="1" t="s">
        <v>34</v>
      </c>
      <c r="V209" s="1" t="s">
        <v>35</v>
      </c>
      <c r="Z209" s="1" t="s">
        <v>36</v>
      </c>
    </row>
    <row r="210" spans="1:27" ht="15" customHeight="1">
      <c r="A210" s="65">
        <v>628.27</v>
      </c>
      <c r="B210" s="65">
        <v>630.54</v>
      </c>
      <c r="C210" s="65">
        <v>625.16</v>
      </c>
      <c r="D210" s="65">
        <v>630.41999999999996</v>
      </c>
      <c r="E210" s="65">
        <v>5510227</v>
      </c>
      <c r="F210" s="65" t="s">
        <v>385</v>
      </c>
      <c r="G210" s="25">
        <f t="shared" si="0"/>
        <v>-3.4104247961675993E-3</v>
      </c>
      <c r="I210" s="66">
        <v>67.97</v>
      </c>
      <c r="J210" s="66">
        <v>68.89</v>
      </c>
      <c r="K210" s="66">
        <v>67.66</v>
      </c>
      <c r="L210" s="66">
        <v>68.8</v>
      </c>
      <c r="M210" s="66">
        <v>15638581</v>
      </c>
      <c r="N210" s="66" t="s">
        <v>385</v>
      </c>
      <c r="O210" s="25">
        <f t="shared" si="1"/>
        <v>-1.2063953488372081E-2</v>
      </c>
      <c r="S210" s="31" t="s">
        <v>37</v>
      </c>
      <c r="T210" s="31" t="s">
        <v>38</v>
      </c>
      <c r="V210" s="32" t="s">
        <v>39</v>
      </c>
      <c r="W210" s="33" t="s">
        <v>40</v>
      </c>
      <c r="Z210" s="32" t="s">
        <v>41</v>
      </c>
      <c r="AA210" s="33" t="s">
        <v>42</v>
      </c>
    </row>
    <row r="211" spans="1:27" ht="15" customHeight="1">
      <c r="A211" s="65">
        <v>627.04</v>
      </c>
      <c r="B211" s="65">
        <v>629.94000000000005</v>
      </c>
      <c r="C211" s="65">
        <v>624.5</v>
      </c>
      <c r="D211" s="65">
        <v>629.84</v>
      </c>
      <c r="E211" s="65">
        <v>7019277</v>
      </c>
      <c r="F211" s="65" t="s">
        <v>386</v>
      </c>
      <c r="G211" s="25">
        <f t="shared" si="0"/>
        <v>-4.4455734789788925E-3</v>
      </c>
      <c r="I211" s="66">
        <v>68.900000000000006</v>
      </c>
      <c r="J211" s="66">
        <v>69.069999999999993</v>
      </c>
      <c r="K211" s="66">
        <v>67.900099999999995</v>
      </c>
      <c r="L211" s="66">
        <v>68.545000000000002</v>
      </c>
      <c r="M211" s="66">
        <v>16434010</v>
      </c>
      <c r="N211" s="66" t="s">
        <v>386</v>
      </c>
      <c r="O211" s="25">
        <f t="shared" si="1"/>
        <v>5.1790794368662407E-3</v>
      </c>
      <c r="Q211" s="53">
        <f t="shared" ref="Q211:Q239" si="2">Q212-0.001</f>
        <v>-3.1000000000000021E-2</v>
      </c>
      <c r="Y211" s="1" t="s">
        <v>148</v>
      </c>
      <c r="Z211" s="53">
        <f>S202</f>
        <v>4.4248316329117852E-6</v>
      </c>
    </row>
    <row r="212" spans="1:27">
      <c r="A212" s="65">
        <v>625.24</v>
      </c>
      <c r="B212" s="65">
        <v>630.63</v>
      </c>
      <c r="C212" s="65">
        <v>625.1</v>
      </c>
      <c r="D212" s="65">
        <v>628.80999999999995</v>
      </c>
      <c r="E212" s="65">
        <v>6171678</v>
      </c>
      <c r="F212" s="65" t="s">
        <v>387</v>
      </c>
      <c r="G212" s="25">
        <f t="shared" si="0"/>
        <v>-5.6773906267393315E-3</v>
      </c>
      <c r="I212" s="66">
        <v>68.98</v>
      </c>
      <c r="J212" s="66">
        <v>69.290000000000006</v>
      </c>
      <c r="K212" s="66">
        <v>68.387200000000007</v>
      </c>
      <c r="L212" s="66">
        <v>68.45</v>
      </c>
      <c r="M212" s="66">
        <v>14707436</v>
      </c>
      <c r="N212" s="66" t="s">
        <v>387</v>
      </c>
      <c r="O212" s="25">
        <f t="shared" si="1"/>
        <v>7.7428780131483244E-3</v>
      </c>
      <c r="Q212" s="53">
        <f t="shared" si="2"/>
        <v>-3.000000000000002E-2</v>
      </c>
      <c r="Z212" s="53">
        <f>S202</f>
        <v>4.4248316329117852E-6</v>
      </c>
    </row>
    <row r="213" spans="1:27">
      <c r="A213" s="65">
        <v>631.95000000000005</v>
      </c>
      <c r="B213" s="65">
        <v>634.13</v>
      </c>
      <c r="C213" s="65">
        <v>627.87</v>
      </c>
      <c r="D213" s="65">
        <v>633.21</v>
      </c>
      <c r="E213" s="65">
        <v>6037388</v>
      </c>
      <c r="F213" s="65" t="s">
        <v>388</v>
      </c>
      <c r="G213" s="25">
        <f t="shared" si="0"/>
        <v>-1.9898611834936464E-3</v>
      </c>
      <c r="I213" s="66">
        <v>68.349999999999994</v>
      </c>
      <c r="J213" s="66">
        <v>70.03</v>
      </c>
      <c r="K213" s="66">
        <v>68.155000000000001</v>
      </c>
      <c r="L213" s="66">
        <v>69.92</v>
      </c>
      <c r="M213" s="66">
        <v>19722333</v>
      </c>
      <c r="N213" s="66" t="s">
        <v>388</v>
      </c>
      <c r="O213" s="25">
        <f t="shared" si="1"/>
        <v>-2.2454233409611057E-2</v>
      </c>
      <c r="Q213" s="53">
        <f t="shared" si="2"/>
        <v>-2.9000000000000019E-2</v>
      </c>
      <c r="Y213" s="38" t="s">
        <v>149</v>
      </c>
      <c r="Z213" s="53">
        <f>($S$204*-3)+$S$202</f>
        <v>-2.4275522728330411E-2</v>
      </c>
    </row>
    <row r="214" spans="1:27">
      <c r="A214" s="65">
        <v>631.69000000000005</v>
      </c>
      <c r="B214" s="65">
        <v>633.39</v>
      </c>
      <c r="C214" s="65">
        <v>629.64</v>
      </c>
      <c r="D214" s="65">
        <v>631.71</v>
      </c>
      <c r="E214" s="65">
        <v>5575277</v>
      </c>
      <c r="F214" s="65" t="s">
        <v>389</v>
      </c>
      <c r="G214" s="25">
        <f t="shared" si="0"/>
        <v>-3.1660097196462011E-5</v>
      </c>
      <c r="I214" s="66">
        <v>70.16</v>
      </c>
      <c r="J214" s="66">
        <v>70.900000000000006</v>
      </c>
      <c r="K214" s="66">
        <v>69.95</v>
      </c>
      <c r="L214" s="66">
        <v>70.045000000000002</v>
      </c>
      <c r="M214" s="66">
        <v>12706358</v>
      </c>
      <c r="N214" s="66" t="s">
        <v>389</v>
      </c>
      <c r="O214" s="25">
        <f t="shared" si="1"/>
        <v>1.6418016989077078E-3</v>
      </c>
      <c r="Q214" s="53">
        <f t="shared" si="2"/>
        <v>-2.8000000000000018E-2</v>
      </c>
      <c r="Y214" s="39"/>
      <c r="Z214" s="53">
        <f>($S$204*-3)+$S$202</f>
        <v>-2.4275522728330411E-2</v>
      </c>
    </row>
    <row r="215" spans="1:27">
      <c r="A215" s="65">
        <v>630</v>
      </c>
      <c r="B215" s="65">
        <v>630.29</v>
      </c>
      <c r="C215" s="65">
        <v>627.16</v>
      </c>
      <c r="D215" s="65">
        <v>627.74</v>
      </c>
      <c r="E215" s="65">
        <v>7804316</v>
      </c>
      <c r="F215" s="65" t="s">
        <v>390</v>
      </c>
      <c r="G215" s="25">
        <f t="shared" si="0"/>
        <v>3.600216650205379E-3</v>
      </c>
      <c r="I215" s="66">
        <v>70.06</v>
      </c>
      <c r="J215" s="66">
        <v>70.114999999999995</v>
      </c>
      <c r="K215" s="66">
        <v>69.25</v>
      </c>
      <c r="L215" s="66">
        <v>69.78</v>
      </c>
      <c r="M215" s="66">
        <v>13789921</v>
      </c>
      <c r="N215" s="66" t="s">
        <v>390</v>
      </c>
      <c r="O215" s="25">
        <f t="shared" si="1"/>
        <v>4.0126110633420531E-3</v>
      </c>
      <c r="Q215" s="53">
        <f t="shared" si="2"/>
        <v>-2.7000000000000017E-2</v>
      </c>
      <c r="Y215" s="38" t="s">
        <v>150</v>
      </c>
      <c r="Z215" s="53">
        <f>($S$204*-2)+$S$202</f>
        <v>-1.6182206875009302E-2</v>
      </c>
    </row>
    <row r="216" spans="1:27">
      <c r="A216" s="65">
        <v>622.54999999999995</v>
      </c>
      <c r="B216" s="65">
        <v>623.78989999999999</v>
      </c>
      <c r="C216" s="65">
        <v>621.20699999999999</v>
      </c>
      <c r="D216" s="65">
        <v>621.91999999999996</v>
      </c>
      <c r="E216" s="65">
        <v>5650844</v>
      </c>
      <c r="F216" s="65" t="s">
        <v>391</v>
      </c>
      <c r="G216" s="25">
        <f t="shared" si="0"/>
        <v>1.0129920246977342E-3</v>
      </c>
      <c r="I216" s="66">
        <v>69.709999999999994</v>
      </c>
      <c r="J216" s="66">
        <v>70.05</v>
      </c>
      <c r="K216" s="66">
        <v>69.644999999999996</v>
      </c>
      <c r="L216" s="66">
        <v>69.91</v>
      </c>
      <c r="M216" s="66">
        <v>15670250</v>
      </c>
      <c r="N216" s="66" t="s">
        <v>391</v>
      </c>
      <c r="O216" s="25">
        <f t="shared" si="1"/>
        <v>-2.8608210556430036E-3</v>
      </c>
      <c r="Q216" s="53">
        <f t="shared" si="2"/>
        <v>-2.6000000000000016E-2</v>
      </c>
      <c r="Y216" s="39"/>
      <c r="Z216" s="53">
        <f>($S$204*-2)+$S$202</f>
        <v>-1.6182206875009302E-2</v>
      </c>
    </row>
    <row r="217" spans="1:27">
      <c r="A217" s="65">
        <v>617.44000000000005</v>
      </c>
      <c r="B217" s="65">
        <v>618.47400000000005</v>
      </c>
      <c r="C217" s="65">
        <v>613.99</v>
      </c>
      <c r="D217" s="65">
        <v>614.25</v>
      </c>
      <c r="E217" s="65">
        <v>5825360</v>
      </c>
      <c r="F217" s="65" t="s">
        <v>392</v>
      </c>
      <c r="G217" s="25">
        <f t="shared" si="0"/>
        <v>5.1933251933253821E-3</v>
      </c>
      <c r="I217" s="66">
        <v>69.94</v>
      </c>
      <c r="J217" s="66">
        <v>70.928700000000006</v>
      </c>
      <c r="K217" s="66">
        <v>69.72</v>
      </c>
      <c r="L217" s="66">
        <v>70.81</v>
      </c>
      <c r="M217" s="66">
        <v>13970603</v>
      </c>
      <c r="N217" s="66" t="s">
        <v>392</v>
      </c>
      <c r="O217" s="25">
        <f t="shared" si="1"/>
        <v>-1.2286400225956839E-2</v>
      </c>
      <c r="Q217" s="53">
        <f t="shared" si="2"/>
        <v>-2.5000000000000015E-2</v>
      </c>
      <c r="Y217" s="40" t="s">
        <v>151</v>
      </c>
      <c r="Z217" s="53">
        <f>($S$204*-1)+$S$202</f>
        <v>-8.0888910216881955E-3</v>
      </c>
    </row>
    <row r="218" spans="1:27">
      <c r="A218" s="65">
        <v>613.97</v>
      </c>
      <c r="B218" s="65">
        <v>617.83000000000004</v>
      </c>
      <c r="C218" s="65">
        <v>609.83000000000004</v>
      </c>
      <c r="D218" s="65">
        <v>617.83000000000004</v>
      </c>
      <c r="E218" s="65">
        <v>6119026</v>
      </c>
      <c r="F218" s="65" t="s">
        <v>393</v>
      </c>
      <c r="G218" s="25">
        <f t="shared" si="0"/>
        <v>-6.247673308191648E-3</v>
      </c>
      <c r="I218" s="66">
        <v>70.81</v>
      </c>
      <c r="J218" s="66">
        <v>71.614999999999995</v>
      </c>
      <c r="K218" s="66">
        <v>70.510000000000005</v>
      </c>
      <c r="L218" s="66">
        <v>71.36</v>
      </c>
      <c r="M218" s="66">
        <v>17928914</v>
      </c>
      <c r="N218" s="66" t="s">
        <v>393</v>
      </c>
      <c r="O218" s="25">
        <f t="shared" si="1"/>
        <v>-7.707399103139001E-3</v>
      </c>
      <c r="Q218" s="53">
        <f t="shared" si="2"/>
        <v>-2.4000000000000014E-2</v>
      </c>
      <c r="Z218" s="53">
        <f>($S$204*-1)+$S$202</f>
        <v>-8.0888910216881955E-3</v>
      </c>
    </row>
    <row r="219" spans="1:27">
      <c r="A219" s="65">
        <v>617.09</v>
      </c>
      <c r="B219" s="65">
        <v>618.74</v>
      </c>
      <c r="C219" s="65">
        <v>615.98099999999999</v>
      </c>
      <c r="D219" s="65">
        <v>617.33000000000004</v>
      </c>
      <c r="E219" s="65">
        <v>4156131</v>
      </c>
      <c r="F219" s="65" t="s">
        <v>394</v>
      </c>
      <c r="G219" s="25">
        <f t="shared" si="0"/>
        <v>-3.8877099768364065E-4</v>
      </c>
      <c r="I219" s="66">
        <v>71.22</v>
      </c>
      <c r="J219" s="66">
        <v>71.39</v>
      </c>
      <c r="K219" s="66">
        <v>70.23</v>
      </c>
      <c r="L219" s="66">
        <v>70.564999999999998</v>
      </c>
      <c r="M219" s="66">
        <v>33407247</v>
      </c>
      <c r="N219" s="66" t="s">
        <v>394</v>
      </c>
      <c r="O219" s="25">
        <f t="shared" si="1"/>
        <v>9.2822220647630349E-3</v>
      </c>
      <c r="Q219" s="53">
        <f t="shared" si="2"/>
        <v>-2.3000000000000013E-2</v>
      </c>
      <c r="Y219" s="1" t="s">
        <v>152</v>
      </c>
      <c r="Z219" s="53">
        <f>($S$204*1)+$S$202</f>
        <v>8.097740684954018E-3</v>
      </c>
    </row>
    <row r="220" spans="1:27" ht="15" customHeight="1">
      <c r="A220" s="65">
        <v>617.16999999999996</v>
      </c>
      <c r="B220" s="65">
        <v>618.01</v>
      </c>
      <c r="C220" s="65">
        <v>613.51</v>
      </c>
      <c r="D220" s="65">
        <v>613.51</v>
      </c>
      <c r="E220" s="65">
        <v>4049225</v>
      </c>
      <c r="F220" s="65" t="s">
        <v>395</v>
      </c>
      <c r="G220" s="25">
        <f t="shared" si="0"/>
        <v>5.9656729311665657E-3</v>
      </c>
      <c r="I220" s="66">
        <v>68.44</v>
      </c>
      <c r="J220" s="66">
        <v>68.64</v>
      </c>
      <c r="K220" s="66">
        <v>67.92</v>
      </c>
      <c r="L220" s="66">
        <v>68.424999999999997</v>
      </c>
      <c r="M220" s="66">
        <v>17684957</v>
      </c>
      <c r="N220" s="66" t="s">
        <v>395</v>
      </c>
      <c r="O220" s="25">
        <f t="shared" si="1"/>
        <v>2.1921812203151703E-4</v>
      </c>
      <c r="Q220" s="53">
        <f t="shared" si="2"/>
        <v>-2.2000000000000013E-2</v>
      </c>
      <c r="Z220" s="53">
        <f>($S$204*1)+$S$202</f>
        <v>8.097740684954018E-3</v>
      </c>
    </row>
    <row r="221" spans="1:27">
      <c r="A221" s="65">
        <v>610.76</v>
      </c>
      <c r="B221" s="65">
        <v>612.02</v>
      </c>
      <c r="C221" s="65">
        <v>605.1</v>
      </c>
      <c r="D221" s="65">
        <v>606.34</v>
      </c>
      <c r="E221" s="65">
        <v>6884090</v>
      </c>
      <c r="F221" s="65" t="s">
        <v>396</v>
      </c>
      <c r="G221" s="25">
        <f t="shared" si="0"/>
        <v>7.289639476201426E-3</v>
      </c>
      <c r="I221" s="66">
        <v>68.44</v>
      </c>
      <c r="J221" s="66">
        <v>68.495000000000005</v>
      </c>
      <c r="K221" s="66">
        <v>67.8</v>
      </c>
      <c r="L221" s="66">
        <v>68</v>
      </c>
      <c r="M221" s="66">
        <v>15286234</v>
      </c>
      <c r="N221" s="66" t="s">
        <v>396</v>
      </c>
      <c r="O221" s="25">
        <f t="shared" si="1"/>
        <v>6.4705882352940058E-3</v>
      </c>
      <c r="Q221" s="53">
        <f t="shared" si="2"/>
        <v>-2.1000000000000012E-2</v>
      </c>
      <c r="Y221" s="41" t="s">
        <v>153</v>
      </c>
      <c r="Z221" s="53">
        <f>($S$204*2)+$S$202</f>
        <v>1.6191056538275125E-2</v>
      </c>
    </row>
    <row r="222" spans="1:27">
      <c r="A222" s="65">
        <v>607.39</v>
      </c>
      <c r="B222" s="65">
        <v>614.79999999999995</v>
      </c>
      <c r="C222" s="65">
        <v>604.14</v>
      </c>
      <c r="D222" s="65">
        <v>613.11</v>
      </c>
      <c r="E222" s="65">
        <v>7533209</v>
      </c>
      <c r="F222" s="65" t="s">
        <v>397</v>
      </c>
      <c r="G222" s="25">
        <f t="shared" si="0"/>
        <v>-9.3294841056255073E-3</v>
      </c>
      <c r="I222" s="66">
        <v>67.59</v>
      </c>
      <c r="J222" s="66">
        <v>68.105000000000004</v>
      </c>
      <c r="K222" s="66">
        <v>67.16</v>
      </c>
      <c r="L222" s="66">
        <v>67.174999999999997</v>
      </c>
      <c r="M222" s="66">
        <v>15681551</v>
      </c>
      <c r="N222" s="66" t="s">
        <v>397</v>
      </c>
      <c r="O222" s="25">
        <f t="shared" si="1"/>
        <v>6.1778935615930397E-3</v>
      </c>
      <c r="Q222" s="53">
        <f t="shared" si="2"/>
        <v>-2.0000000000000011E-2</v>
      </c>
      <c r="Z222" s="53">
        <f>($S$204*2)+$S$202</f>
        <v>1.6191056538275125E-2</v>
      </c>
    </row>
    <row r="223" spans="1:27">
      <c r="A223" s="65">
        <v>611.42999999999995</v>
      </c>
      <c r="B223" s="65">
        <v>616.20500000000004</v>
      </c>
      <c r="C223" s="65">
        <v>605.82000000000005</v>
      </c>
      <c r="D223" s="65">
        <v>613.07000000000005</v>
      </c>
      <c r="E223" s="65">
        <v>6474986</v>
      </c>
      <c r="F223" s="65" t="s">
        <v>398</v>
      </c>
      <c r="G223" s="25">
        <f t="shared" si="0"/>
        <v>-2.6750615753504681E-3</v>
      </c>
      <c r="I223" s="66">
        <v>67.08</v>
      </c>
      <c r="J223" s="66">
        <v>67.72</v>
      </c>
      <c r="K223" s="66">
        <v>66.92</v>
      </c>
      <c r="L223" s="66">
        <v>67.265000000000001</v>
      </c>
      <c r="M223" s="66">
        <v>11145210</v>
      </c>
      <c r="N223" s="66" t="s">
        <v>398</v>
      </c>
      <c r="O223" s="25">
        <f t="shared" si="1"/>
        <v>-2.7503159146659018E-3</v>
      </c>
      <c r="Q223" s="53">
        <f t="shared" si="2"/>
        <v>-1.900000000000001E-2</v>
      </c>
      <c r="Y223" s="41" t="s">
        <v>154</v>
      </c>
      <c r="Z223" s="53">
        <f>($S$204*3)+$S$202</f>
        <v>2.4284372391596233E-2</v>
      </c>
    </row>
    <row r="224" spans="1:27">
      <c r="A224" s="65">
        <v>608.75</v>
      </c>
      <c r="B224" s="65">
        <v>612.14</v>
      </c>
      <c r="C224" s="65">
        <v>600.51</v>
      </c>
      <c r="D224" s="65">
        <v>604.20000000000005</v>
      </c>
      <c r="E224" s="65">
        <v>7469018</v>
      </c>
      <c r="F224" s="65" t="s">
        <v>399</v>
      </c>
      <c r="G224" s="25">
        <f t="shared" si="0"/>
        <v>7.5306190003310292E-3</v>
      </c>
      <c r="I224" s="66">
        <v>67.510000000000005</v>
      </c>
      <c r="J224" s="66">
        <v>67.569999999999993</v>
      </c>
      <c r="K224" s="66">
        <v>66.745000000000005</v>
      </c>
      <c r="L224" s="66">
        <v>66.87</v>
      </c>
      <c r="M224" s="66">
        <v>14220033</v>
      </c>
      <c r="N224" s="66" t="s">
        <v>399</v>
      </c>
      <c r="O224" s="25">
        <f t="shared" si="1"/>
        <v>9.5708090324511108E-3</v>
      </c>
      <c r="Q224" s="53">
        <f t="shared" si="2"/>
        <v>-1.8000000000000009E-2</v>
      </c>
      <c r="Y224" s="41"/>
      <c r="Z224" s="53">
        <f>($S$204*3)+$S$202</f>
        <v>2.4284372391596233E-2</v>
      </c>
    </row>
    <row r="225" spans="1:17">
      <c r="A225" s="65">
        <v>609.61</v>
      </c>
      <c r="B225" s="65">
        <v>611.02719999999999</v>
      </c>
      <c r="C225" s="65">
        <v>606.57500000000005</v>
      </c>
      <c r="D225" s="65">
        <v>607.37</v>
      </c>
      <c r="E225" s="65">
        <v>6942460</v>
      </c>
      <c r="F225" s="65" t="s">
        <v>400</v>
      </c>
      <c r="G225" s="25">
        <f t="shared" si="0"/>
        <v>3.6880320068493067E-3</v>
      </c>
      <c r="I225" s="66">
        <v>66.8</v>
      </c>
      <c r="J225" s="66">
        <v>66.8</v>
      </c>
      <c r="K225" s="66">
        <v>66</v>
      </c>
      <c r="L225" s="66">
        <v>66.23</v>
      </c>
      <c r="M225" s="66">
        <v>13436012</v>
      </c>
      <c r="N225" s="66" t="s">
        <v>400</v>
      </c>
      <c r="O225" s="25">
        <f t="shared" si="1"/>
        <v>8.6063717348632274E-3</v>
      </c>
      <c r="Q225" s="53">
        <f t="shared" si="2"/>
        <v>-1.7000000000000008E-2</v>
      </c>
    </row>
    <row r="226" spans="1:17">
      <c r="A226" s="65">
        <v>600.51</v>
      </c>
      <c r="B226" s="65">
        <v>619.6</v>
      </c>
      <c r="C226" s="65">
        <v>600.23</v>
      </c>
      <c r="D226" s="65">
        <v>617.99</v>
      </c>
      <c r="E226" s="65">
        <v>13339202</v>
      </c>
      <c r="F226" s="65" t="s">
        <v>401</v>
      </c>
      <c r="G226" s="25">
        <f t="shared" si="0"/>
        <v>-2.8285247334099317E-2</v>
      </c>
      <c r="I226" s="66">
        <v>67.040000000000006</v>
      </c>
      <c r="J226" s="66">
        <v>67.394999999999996</v>
      </c>
      <c r="K226" s="66">
        <v>66.375</v>
      </c>
      <c r="L226" s="66">
        <v>66.52</v>
      </c>
      <c r="M226" s="66">
        <v>17879578</v>
      </c>
      <c r="N226" s="66" t="s">
        <v>401</v>
      </c>
      <c r="O226" s="25">
        <f t="shared" si="1"/>
        <v>7.8171978352377103E-3</v>
      </c>
      <c r="Q226" s="53">
        <f t="shared" si="2"/>
        <v>-1.6000000000000007E-2</v>
      </c>
    </row>
    <row r="227" spans="1:17">
      <c r="A227" s="65">
        <v>617.1</v>
      </c>
      <c r="B227" s="65">
        <v>619.59</v>
      </c>
      <c r="C227" s="65">
        <v>615.28</v>
      </c>
      <c r="D227" s="65">
        <v>619.23</v>
      </c>
      <c r="E227" s="65">
        <v>5879748</v>
      </c>
      <c r="F227" s="65" t="s">
        <v>402</v>
      </c>
      <c r="G227" s="25">
        <f t="shared" si="0"/>
        <v>-3.439755825783597E-3</v>
      </c>
      <c r="I227" s="66">
        <v>66.37</v>
      </c>
      <c r="J227" s="66">
        <v>66.8</v>
      </c>
      <c r="K227" s="66">
        <v>66.12</v>
      </c>
      <c r="L227" s="66">
        <v>66.290000000000006</v>
      </c>
      <c r="M227" s="66">
        <v>12669922</v>
      </c>
      <c r="N227" s="66" t="s">
        <v>402</v>
      </c>
      <c r="O227" s="25">
        <f t="shared" si="1"/>
        <v>1.2068185246643104E-3</v>
      </c>
      <c r="Q227" s="53">
        <f t="shared" si="2"/>
        <v>-1.5000000000000006E-2</v>
      </c>
    </row>
    <row r="228" spans="1:17">
      <c r="A228" s="65">
        <v>618.77</v>
      </c>
      <c r="B228" s="65">
        <v>618.9</v>
      </c>
      <c r="C228" s="65">
        <v>615.46420000000001</v>
      </c>
      <c r="D228" s="65">
        <v>616.21500000000003</v>
      </c>
      <c r="E228" s="65">
        <v>5000436</v>
      </c>
      <c r="F228" s="65" t="s">
        <v>403</v>
      </c>
      <c r="G228" s="25">
        <f t="shared" si="0"/>
        <v>4.1462801132721161E-3</v>
      </c>
      <c r="I228" s="66">
        <v>66.12</v>
      </c>
      <c r="J228" s="66">
        <v>66.87</v>
      </c>
      <c r="K228" s="66">
        <v>66.06</v>
      </c>
      <c r="L228" s="66">
        <v>66.665000000000006</v>
      </c>
      <c r="M228" s="66">
        <v>11772213</v>
      </c>
      <c r="N228" s="66" t="s">
        <v>403</v>
      </c>
      <c r="O228" s="25">
        <f t="shared" si="1"/>
        <v>-8.1752043801095464E-3</v>
      </c>
      <c r="Q228" s="53">
        <f t="shared" si="2"/>
        <v>-1.4000000000000005E-2</v>
      </c>
    </row>
    <row r="229" spans="1:17">
      <c r="A229" s="65">
        <v>615.20000000000005</v>
      </c>
      <c r="B229" s="65">
        <v>618.73929999999996</v>
      </c>
      <c r="C229" s="65">
        <v>613.82000000000005</v>
      </c>
      <c r="D229" s="65">
        <v>618.29999999999995</v>
      </c>
      <c r="E229" s="65">
        <v>7439508</v>
      </c>
      <c r="F229" s="65" t="s">
        <v>404</v>
      </c>
      <c r="G229" s="25">
        <f t="shared" si="0"/>
        <v>-5.0137473718258052E-3</v>
      </c>
      <c r="I229" s="66">
        <v>66.790000000000006</v>
      </c>
      <c r="J229" s="66">
        <v>67.260000000000005</v>
      </c>
      <c r="K229" s="66">
        <v>65.87</v>
      </c>
      <c r="L229" s="66">
        <v>66.224999999999994</v>
      </c>
      <c r="M229" s="66">
        <v>13178390</v>
      </c>
      <c r="N229" s="66" t="s">
        <v>404</v>
      </c>
      <c r="O229" s="25">
        <f t="shared" si="1"/>
        <v>8.5315213288035263E-3</v>
      </c>
      <c r="Q229" s="53">
        <f t="shared" si="2"/>
        <v>-1.3000000000000005E-2</v>
      </c>
    </row>
    <row r="230" spans="1:17">
      <c r="A230" s="65">
        <v>617.4</v>
      </c>
      <c r="B230" s="65">
        <v>618.28</v>
      </c>
      <c r="C230" s="65">
        <v>615.48</v>
      </c>
      <c r="D230" s="65">
        <v>617.46</v>
      </c>
      <c r="E230" s="65">
        <v>5958193</v>
      </c>
      <c r="F230" s="65" t="s">
        <v>405</v>
      </c>
      <c r="G230" s="25">
        <f t="shared" si="0"/>
        <v>-9.7172286463997892E-5</v>
      </c>
      <c r="I230" s="66">
        <v>66.099999999999994</v>
      </c>
      <c r="J230" s="66">
        <v>66.5</v>
      </c>
      <c r="K230" s="66">
        <v>65.84</v>
      </c>
      <c r="L230" s="66">
        <v>66.489999999999995</v>
      </c>
      <c r="M230" s="66">
        <v>14062394</v>
      </c>
      <c r="N230" s="66" t="s">
        <v>405</v>
      </c>
      <c r="O230" s="25">
        <f t="shared" si="1"/>
        <v>-5.865543690780628E-3</v>
      </c>
      <c r="Q230" s="53">
        <f t="shared" si="2"/>
        <v>-1.2000000000000004E-2</v>
      </c>
    </row>
    <row r="231" spans="1:17">
      <c r="A231" s="65">
        <v>615.29999999999995</v>
      </c>
      <c r="B231" s="65">
        <v>618.41999999999996</v>
      </c>
      <c r="C231" s="65">
        <v>614.28800000000001</v>
      </c>
      <c r="D231" s="65">
        <v>615.95000000000005</v>
      </c>
      <c r="E231" s="65">
        <v>7187163</v>
      </c>
      <c r="F231" s="65" t="s">
        <v>406</v>
      </c>
      <c r="G231" s="25">
        <f t="shared" si="0"/>
        <v>-1.0552804610765021E-3</v>
      </c>
      <c r="I231" s="66">
        <v>66.650000000000006</v>
      </c>
      <c r="J231" s="66">
        <v>66.984999999999999</v>
      </c>
      <c r="K231" s="66">
        <v>66.040000000000006</v>
      </c>
      <c r="L231" s="66">
        <v>66.099999999999994</v>
      </c>
      <c r="M231" s="66">
        <v>12233812</v>
      </c>
      <c r="N231" s="66" t="s">
        <v>406</v>
      </c>
      <c r="O231" s="25">
        <f t="shared" si="1"/>
        <v>8.320726172466042E-3</v>
      </c>
      <c r="Q231" s="53">
        <f t="shared" si="2"/>
        <v>-1.1000000000000003E-2</v>
      </c>
    </row>
    <row r="232" spans="1:17">
      <c r="A232" s="65">
        <v>615.25</v>
      </c>
      <c r="B232" s="65">
        <v>616.48</v>
      </c>
      <c r="C232" s="65">
        <v>613.02</v>
      </c>
      <c r="D232" s="65">
        <v>616.41</v>
      </c>
      <c r="E232" s="65">
        <v>7036646</v>
      </c>
      <c r="F232" s="65" t="s">
        <v>407</v>
      </c>
      <c r="G232" s="25">
        <f t="shared" si="0"/>
        <v>-1.8818643435375426E-3</v>
      </c>
      <c r="I232" s="66">
        <v>66.099999999999994</v>
      </c>
      <c r="J232" s="66">
        <v>66.650000000000006</v>
      </c>
      <c r="K232" s="66">
        <v>65.86</v>
      </c>
      <c r="L232" s="66">
        <v>66.525000000000006</v>
      </c>
      <c r="M232" s="66">
        <v>14285540</v>
      </c>
      <c r="N232" s="66" t="s">
        <v>407</v>
      </c>
      <c r="O232" s="25">
        <f t="shared" si="1"/>
        <v>-6.3885757234124485E-3</v>
      </c>
      <c r="Q232" s="53">
        <f t="shared" si="2"/>
        <v>-1.0000000000000002E-2</v>
      </c>
    </row>
    <row r="233" spans="1:17">
      <c r="A233" s="65">
        <v>614.57000000000005</v>
      </c>
      <c r="B233" s="65">
        <v>615.39</v>
      </c>
      <c r="C233" s="65">
        <v>609.57000000000005</v>
      </c>
      <c r="D233" s="65">
        <v>609.70000000000005</v>
      </c>
      <c r="E233" s="65">
        <v>9753029</v>
      </c>
      <c r="F233" s="65" t="s">
        <v>408</v>
      </c>
      <c r="G233" s="25">
        <f t="shared" si="0"/>
        <v>7.9875348532065793E-3</v>
      </c>
      <c r="I233" s="66">
        <v>66.78</v>
      </c>
      <c r="J233" s="66">
        <v>66.83</v>
      </c>
      <c r="K233" s="66">
        <v>66.290000000000006</v>
      </c>
      <c r="L233" s="66">
        <v>66.504999999999995</v>
      </c>
      <c r="M233" s="66">
        <v>14854646</v>
      </c>
      <c r="N233" s="66" t="s">
        <v>408</v>
      </c>
      <c r="O233" s="25">
        <f t="shared" si="1"/>
        <v>4.1350274415459243E-3</v>
      </c>
      <c r="Q233" s="53">
        <f t="shared" si="2"/>
        <v>-9.0000000000000011E-3</v>
      </c>
    </row>
    <row r="234" spans="1:17">
      <c r="A234" s="65">
        <v>612.38</v>
      </c>
      <c r="B234" s="65">
        <v>612.86</v>
      </c>
      <c r="C234" s="65">
        <v>608.27</v>
      </c>
      <c r="D234" s="65">
        <v>609.42999999999995</v>
      </c>
      <c r="E234" s="65">
        <v>6481423</v>
      </c>
      <c r="F234" s="65" t="s">
        <v>409</v>
      </c>
      <c r="G234" s="25">
        <f t="shared" si="0"/>
        <v>4.8405887468618847E-3</v>
      </c>
      <c r="I234" s="66">
        <v>66.319999999999993</v>
      </c>
      <c r="J234" s="66">
        <v>66.64</v>
      </c>
      <c r="K234" s="66">
        <v>65.960099999999997</v>
      </c>
      <c r="L234" s="66">
        <v>66.069999999999993</v>
      </c>
      <c r="M234" s="66">
        <v>13631333</v>
      </c>
      <c r="N234" s="66" t="s">
        <v>409</v>
      </c>
      <c r="O234" s="25">
        <f t="shared" si="1"/>
        <v>3.7838655970940938E-3</v>
      </c>
      <c r="Q234" s="53">
        <f t="shared" si="2"/>
        <v>-8.0000000000000002E-3</v>
      </c>
    </row>
    <row r="235" spans="1:17">
      <c r="A235" s="65">
        <v>610.13</v>
      </c>
      <c r="B235" s="65">
        <v>611.67999999999995</v>
      </c>
      <c r="C235" s="65">
        <v>608.48</v>
      </c>
      <c r="D235" s="65">
        <v>610.79</v>
      </c>
      <c r="E235" s="65">
        <v>5658835</v>
      </c>
      <c r="F235" s="65" t="s">
        <v>410</v>
      </c>
      <c r="G235" s="25">
        <f t="shared" si="0"/>
        <v>-1.0805677892564702E-3</v>
      </c>
      <c r="I235" s="66">
        <v>66.040000000000006</v>
      </c>
      <c r="J235" s="66">
        <v>66.099999999999994</v>
      </c>
      <c r="K235" s="66">
        <v>65.353800000000007</v>
      </c>
      <c r="L235" s="66">
        <v>65.67</v>
      </c>
      <c r="M235" s="66">
        <v>14818531</v>
      </c>
      <c r="N235" s="66" t="s">
        <v>410</v>
      </c>
      <c r="O235" s="25">
        <f t="shared" si="1"/>
        <v>5.6342317648852003E-3</v>
      </c>
      <c r="Q235" s="53">
        <f t="shared" si="2"/>
        <v>-7.0000000000000001E-3</v>
      </c>
    </row>
    <row r="236" spans="1:17">
      <c r="A236" s="65">
        <v>610.16</v>
      </c>
      <c r="B236" s="65">
        <v>610.70000000000005</v>
      </c>
      <c r="C236" s="65">
        <v>606.56500000000005</v>
      </c>
      <c r="D236" s="65">
        <v>608.03</v>
      </c>
      <c r="E236" s="65">
        <v>6438634</v>
      </c>
      <c r="F236" s="65" t="s">
        <v>411</v>
      </c>
      <c r="G236" s="25">
        <f t="shared" si="0"/>
        <v>3.5031166225349963E-3</v>
      </c>
      <c r="I236" s="66">
        <v>65.67</v>
      </c>
      <c r="J236" s="66">
        <v>66.334999999999994</v>
      </c>
      <c r="K236" s="66">
        <v>65.5</v>
      </c>
      <c r="L236" s="66">
        <v>66.069999999999993</v>
      </c>
      <c r="M236" s="66">
        <v>17821566</v>
      </c>
      <c r="N236" s="66" t="s">
        <v>411</v>
      </c>
      <c r="O236" s="25">
        <f t="shared" si="1"/>
        <v>-6.0541849553502614E-3</v>
      </c>
      <c r="Q236" s="53">
        <f t="shared" si="2"/>
        <v>-6.0000000000000001E-3</v>
      </c>
    </row>
    <row r="237" spans="1:17">
      <c r="A237" s="65">
        <v>606.59</v>
      </c>
      <c r="B237" s="65">
        <v>607.92999999999995</v>
      </c>
      <c r="C237" s="65">
        <v>603.35</v>
      </c>
      <c r="D237" s="65">
        <v>606.62</v>
      </c>
      <c r="E237" s="65">
        <v>6927746</v>
      </c>
      <c r="F237" s="65" t="s">
        <v>412</v>
      </c>
      <c r="G237" s="25">
        <f t="shared" si="0"/>
        <v>-4.9454353631572801E-5</v>
      </c>
      <c r="I237" s="66">
        <v>65.98</v>
      </c>
      <c r="J237" s="66">
        <v>66.92</v>
      </c>
      <c r="K237" s="66">
        <v>65.95</v>
      </c>
      <c r="L237" s="66">
        <v>66.75</v>
      </c>
      <c r="M237" s="66">
        <v>14152868</v>
      </c>
      <c r="N237" s="66" t="s">
        <v>412</v>
      </c>
      <c r="O237" s="25">
        <f t="shared" si="1"/>
        <v>-1.1535580524344557E-2</v>
      </c>
      <c r="Q237" s="53">
        <f t="shared" si="2"/>
        <v>-5.0000000000000001E-3</v>
      </c>
    </row>
    <row r="238" spans="1:17">
      <c r="A238" s="65">
        <v>609.5</v>
      </c>
      <c r="B238" s="65">
        <v>612.74</v>
      </c>
      <c r="C238" s="65">
        <v>608.19000000000005</v>
      </c>
      <c r="D238" s="65">
        <v>612.63</v>
      </c>
      <c r="E238" s="65">
        <v>23764079</v>
      </c>
      <c r="F238" s="65" t="s">
        <v>413</v>
      </c>
      <c r="G238" s="25">
        <f t="shared" si="0"/>
        <v>-5.1091196970438624E-3</v>
      </c>
      <c r="I238" s="66">
        <v>66.45</v>
      </c>
      <c r="J238" s="66">
        <v>66.78</v>
      </c>
      <c r="K238" s="66">
        <v>65.959999999999994</v>
      </c>
      <c r="L238" s="66">
        <v>66.405000000000001</v>
      </c>
      <c r="M238" s="66">
        <v>14548618</v>
      </c>
      <c r="N238" s="66" t="s">
        <v>413</v>
      </c>
      <c r="O238" s="25">
        <f t="shared" si="1"/>
        <v>6.7765981477307946E-4</v>
      </c>
      <c r="Q238" s="53">
        <f t="shared" si="2"/>
        <v>-4.0000000000000001E-3</v>
      </c>
    </row>
    <row r="239" spans="1:17">
      <c r="A239" s="65">
        <v>611.54</v>
      </c>
      <c r="B239" s="65">
        <v>615.26</v>
      </c>
      <c r="C239" s="65">
        <v>610.34100000000001</v>
      </c>
      <c r="D239" s="65">
        <v>614.70500000000004</v>
      </c>
      <c r="E239" s="65">
        <v>10728553</v>
      </c>
      <c r="F239" s="65" t="s">
        <v>414</v>
      </c>
      <c r="G239" s="25">
        <f t="shared" si="0"/>
        <v>-5.148811218389393E-3</v>
      </c>
      <c r="I239" s="66">
        <v>66.709999999999994</v>
      </c>
      <c r="J239" s="66">
        <v>66.760000000000005</v>
      </c>
      <c r="K239" s="66">
        <v>65.900000000000006</v>
      </c>
      <c r="L239" s="66">
        <v>66.349999999999994</v>
      </c>
      <c r="M239" s="66">
        <v>15048039</v>
      </c>
      <c r="N239" s="66" t="s">
        <v>414</v>
      </c>
      <c r="O239" s="25">
        <f t="shared" si="1"/>
        <v>5.4257724189901158E-3</v>
      </c>
      <c r="Q239" s="53">
        <f t="shared" si="2"/>
        <v>-3.0000000000000001E-3</v>
      </c>
    </row>
    <row r="240" spans="1:17">
      <c r="A240" s="65">
        <v>614.76</v>
      </c>
      <c r="B240" s="65">
        <v>615.22</v>
      </c>
      <c r="C240" s="65">
        <v>610.51</v>
      </c>
      <c r="D240" s="65">
        <v>610.52</v>
      </c>
      <c r="E240" s="65">
        <v>11551587</v>
      </c>
      <c r="F240" s="65" t="s">
        <v>415</v>
      </c>
      <c r="G240" s="25">
        <f t="shared" si="0"/>
        <v>6.9448994299941003E-3</v>
      </c>
      <c r="I240" s="66">
        <v>66.209999999999994</v>
      </c>
      <c r="J240" s="66">
        <v>66.59</v>
      </c>
      <c r="K240" s="66">
        <v>66.08</v>
      </c>
      <c r="L240" s="66">
        <v>66.16</v>
      </c>
      <c r="M240" s="66">
        <v>12780920</v>
      </c>
      <c r="N240" s="66" t="s">
        <v>415</v>
      </c>
      <c r="O240" s="25">
        <f t="shared" si="1"/>
        <v>7.557436517533489E-4</v>
      </c>
      <c r="Q240" s="53">
        <f>Q241-0.001</f>
        <v>-2E-3</v>
      </c>
    </row>
    <row r="241" spans="1:17">
      <c r="A241" s="65">
        <v>611.78</v>
      </c>
      <c r="B241" s="65">
        <v>612.66999999999996</v>
      </c>
      <c r="C241" s="65">
        <v>608.85</v>
      </c>
      <c r="D241" s="65">
        <v>610.62</v>
      </c>
      <c r="E241" s="65">
        <v>6065655</v>
      </c>
      <c r="F241" s="65" t="s">
        <v>416</v>
      </c>
      <c r="G241" s="25">
        <f t="shared" si="0"/>
        <v>1.899708493007024E-3</v>
      </c>
      <c r="I241" s="66">
        <v>66.430000000000007</v>
      </c>
      <c r="J241" s="66">
        <v>66.73</v>
      </c>
      <c r="K241" s="66">
        <v>66.045000000000002</v>
      </c>
      <c r="L241" s="66">
        <v>66.489999999999995</v>
      </c>
      <c r="M241" s="66">
        <v>31192851</v>
      </c>
      <c r="N241" s="66" t="s">
        <v>416</v>
      </c>
      <c r="O241" s="25">
        <f t="shared" si="1"/>
        <v>-9.0239133704295149E-4</v>
      </c>
      <c r="Q241" s="53">
        <f>Q242-0.001</f>
        <v>-1E-3</v>
      </c>
    </row>
    <row r="242" spans="1:17">
      <c r="A242" s="65">
        <v>608.94000000000005</v>
      </c>
      <c r="B242" s="65">
        <v>611.30999999999995</v>
      </c>
      <c r="C242" s="65">
        <v>607.07000000000005</v>
      </c>
      <c r="D242" s="65">
        <v>608.54999999999995</v>
      </c>
      <c r="E242" s="65">
        <v>11029230</v>
      </c>
      <c r="F242" s="65" t="s">
        <v>417</v>
      </c>
      <c r="G242" s="25">
        <f t="shared" si="0"/>
        <v>6.4086763618442788E-4</v>
      </c>
      <c r="I242" s="66">
        <v>66.459999999999994</v>
      </c>
      <c r="J242" s="66">
        <v>67.034999999999997</v>
      </c>
      <c r="K242" s="66">
        <v>66.349999999999994</v>
      </c>
      <c r="L242" s="66">
        <v>66.8</v>
      </c>
      <c r="M242" s="66">
        <v>17201228</v>
      </c>
      <c r="N242" s="66" t="s">
        <v>417</v>
      </c>
      <c r="O242" s="25">
        <f t="shared" si="1"/>
        <v>-5.0898203592815161E-3</v>
      </c>
      <c r="Q242" s="53">
        <v>0</v>
      </c>
    </row>
    <row r="243" spans="1:17">
      <c r="A243" s="65">
        <v>606.09</v>
      </c>
      <c r="B243" s="65">
        <v>608.33000000000004</v>
      </c>
      <c r="C243" s="65">
        <v>601.54999999999995</v>
      </c>
      <c r="D243" s="65">
        <v>606.84</v>
      </c>
      <c r="E243" s="65">
        <v>11613628</v>
      </c>
      <c r="F243" s="65" t="s">
        <v>418</v>
      </c>
      <c r="G243" s="25">
        <f t="shared" si="0"/>
        <v>-1.2359106189440139E-3</v>
      </c>
      <c r="I243" s="66">
        <v>67.040000000000006</v>
      </c>
      <c r="J243" s="66">
        <v>67.13</v>
      </c>
      <c r="K243" s="66">
        <v>66.405000000000001</v>
      </c>
      <c r="L243" s="66">
        <v>66.405000000000001</v>
      </c>
      <c r="M243" s="66">
        <v>17372334</v>
      </c>
      <c r="N243" s="66" t="s">
        <v>418</v>
      </c>
      <c r="O243" s="25">
        <f t="shared" si="1"/>
        <v>9.5625329417965421E-3</v>
      </c>
      <c r="Q243" s="25">
        <f>Q242+0.001</f>
        <v>1E-3</v>
      </c>
    </row>
    <row r="244" spans="1:17">
      <c r="A244" s="65">
        <v>606.79</v>
      </c>
      <c r="B244" s="65">
        <v>608.41999999999996</v>
      </c>
      <c r="C244" s="65">
        <v>606.06089999999995</v>
      </c>
      <c r="D244" s="65">
        <v>608.16</v>
      </c>
      <c r="E244" s="65">
        <v>6367152</v>
      </c>
      <c r="F244" s="65" t="s">
        <v>419</v>
      </c>
      <c r="G244" s="25">
        <f t="shared" si="0"/>
        <v>-2.2526966587740338E-3</v>
      </c>
      <c r="I244" s="66">
        <v>66.239999999999995</v>
      </c>
      <c r="J244" s="66">
        <v>66.510000000000005</v>
      </c>
      <c r="K244" s="66">
        <v>66.055000000000007</v>
      </c>
      <c r="L244" s="66">
        <v>66.349999999999994</v>
      </c>
      <c r="M244" s="66">
        <v>18524312</v>
      </c>
      <c r="N244" s="66" t="s">
        <v>419</v>
      </c>
      <c r="O244" s="25">
        <f t="shared" si="1"/>
        <v>-1.6578749058026032E-3</v>
      </c>
      <c r="Q244" s="25">
        <f>Q243+0.001</f>
        <v>2E-3</v>
      </c>
    </row>
    <row r="245" spans="1:17">
      <c r="A245" s="65">
        <v>607.59</v>
      </c>
      <c r="B245" s="65">
        <v>607.77</v>
      </c>
      <c r="C245" s="65">
        <v>606.20000000000005</v>
      </c>
      <c r="D245" s="65">
        <v>606.47</v>
      </c>
      <c r="E245" s="65">
        <v>7447134</v>
      </c>
      <c r="F245" s="65" t="s">
        <v>420</v>
      </c>
      <c r="G245" s="25">
        <f t="shared" si="0"/>
        <v>1.8467525186736111E-3</v>
      </c>
      <c r="I245" s="66">
        <v>66.209999999999994</v>
      </c>
      <c r="J245" s="66">
        <v>66.78</v>
      </c>
      <c r="K245" s="66">
        <v>66.099999999999994</v>
      </c>
      <c r="L245" s="66">
        <v>66.680000000000007</v>
      </c>
      <c r="M245" s="66">
        <v>15926851</v>
      </c>
      <c r="N245" s="66" t="s">
        <v>420</v>
      </c>
      <c r="O245" s="25">
        <f t="shared" si="1"/>
        <v>-7.0485902819438229E-3</v>
      </c>
      <c r="Q245" s="25">
        <f>Q244+0.001</f>
        <v>3.0000000000000001E-3</v>
      </c>
    </row>
    <row r="246" spans="1:17">
      <c r="A246" s="65">
        <v>604.44000000000005</v>
      </c>
      <c r="B246" s="65">
        <v>605.98</v>
      </c>
      <c r="C246" s="65">
        <v>603.95000000000005</v>
      </c>
      <c r="D246" s="65">
        <v>604.59</v>
      </c>
      <c r="E246" s="65">
        <v>8108692</v>
      </c>
      <c r="F246" s="65" t="s">
        <v>421</v>
      </c>
      <c r="G246" s="25">
        <f t="shared" si="0"/>
        <v>-2.4810201955038913E-4</v>
      </c>
      <c r="I246" s="66">
        <v>67.010000000000005</v>
      </c>
      <c r="J246" s="66">
        <v>67.715000000000003</v>
      </c>
      <c r="K246" s="66">
        <v>66.935000000000002</v>
      </c>
      <c r="L246" s="66">
        <v>67.599999999999994</v>
      </c>
      <c r="M246" s="66">
        <v>18659427</v>
      </c>
      <c r="N246" s="66" t="s">
        <v>421</v>
      </c>
      <c r="O246" s="25">
        <f t="shared" si="1"/>
        <v>-8.7278106508874576E-3</v>
      </c>
      <c r="Q246" s="25">
        <f t="shared" ref="Q246:Q273" si="3">Q245+0.001</f>
        <v>4.0000000000000001E-3</v>
      </c>
    </row>
    <row r="247" spans="1:17">
      <c r="A247" s="65">
        <v>604.57000000000005</v>
      </c>
      <c r="B247" s="65">
        <v>605.23</v>
      </c>
      <c r="C247" s="65">
        <v>600.89</v>
      </c>
      <c r="D247" s="65">
        <v>601.42999999999995</v>
      </c>
      <c r="E247" s="65">
        <v>9086806</v>
      </c>
      <c r="F247" s="65" t="s">
        <v>422</v>
      </c>
      <c r="G247" s="25">
        <f t="shared" si="0"/>
        <v>5.2208902116623879E-3</v>
      </c>
      <c r="I247" s="66">
        <v>67.62</v>
      </c>
      <c r="J247" s="66">
        <v>68.165000000000006</v>
      </c>
      <c r="K247" s="66">
        <v>67.58</v>
      </c>
      <c r="L247" s="66">
        <v>67.92</v>
      </c>
      <c r="M247" s="66">
        <v>14835265</v>
      </c>
      <c r="N247" s="66" t="s">
        <v>422</v>
      </c>
      <c r="O247" s="25">
        <f t="shared" si="1"/>
        <v>-4.4169611307419698E-3</v>
      </c>
      <c r="Q247" s="25">
        <f t="shared" si="3"/>
        <v>5.0000000000000001E-3</v>
      </c>
    </row>
    <row r="248" spans="1:17">
      <c r="A248" s="65">
        <v>599.67999999999995</v>
      </c>
      <c r="B248" s="65">
        <v>601.75</v>
      </c>
      <c r="C248" s="65">
        <v>598.16</v>
      </c>
      <c r="D248" s="65">
        <v>600.91999999999996</v>
      </c>
      <c r="E248" s="65">
        <v>21542357</v>
      </c>
      <c r="F248" s="65" t="s">
        <v>423</v>
      </c>
      <c r="G248" s="25">
        <f t="shared" si="0"/>
        <v>-2.0635026293017722E-3</v>
      </c>
      <c r="I248" s="66">
        <v>67.819999999999993</v>
      </c>
      <c r="J248" s="66">
        <v>68.085400000000007</v>
      </c>
      <c r="K248" s="66">
        <v>67.209999999999994</v>
      </c>
      <c r="L248" s="66">
        <v>67.790000000000006</v>
      </c>
      <c r="M248" s="66">
        <v>15710523</v>
      </c>
      <c r="N248" s="66" t="s">
        <v>423</v>
      </c>
      <c r="O248" s="25">
        <f t="shared" si="1"/>
        <v>4.4254314795666438E-4</v>
      </c>
      <c r="Q248" s="25">
        <f t="shared" si="3"/>
        <v>6.0000000000000001E-3</v>
      </c>
    </row>
    <row r="249" spans="1:17">
      <c r="A249" s="65">
        <v>597.95000000000005</v>
      </c>
      <c r="B249" s="65">
        <v>598.37</v>
      </c>
      <c r="C249" s="65">
        <v>595.01</v>
      </c>
      <c r="D249" s="65">
        <v>596.61</v>
      </c>
      <c r="E249" s="65">
        <v>7780114</v>
      </c>
      <c r="F249" s="65" t="s">
        <v>424</v>
      </c>
      <c r="G249" s="25">
        <f t="shared" si="0"/>
        <v>2.2460233653476269E-3</v>
      </c>
      <c r="I249" s="66">
        <v>67.86</v>
      </c>
      <c r="J249" s="66">
        <v>68.105000000000004</v>
      </c>
      <c r="K249" s="66">
        <v>67.28</v>
      </c>
      <c r="L249" s="66">
        <v>67.28</v>
      </c>
      <c r="M249" s="66">
        <v>13848049</v>
      </c>
      <c r="N249" s="66" t="s">
        <v>424</v>
      </c>
      <c r="O249" s="25">
        <f t="shared" si="1"/>
        <v>8.6206896551723755E-3</v>
      </c>
      <c r="Q249" s="25">
        <f t="shared" si="3"/>
        <v>7.0000000000000001E-3</v>
      </c>
    </row>
    <row r="250" spans="1:17">
      <c r="A250" s="65">
        <v>596.5</v>
      </c>
      <c r="B250" s="65">
        <v>597.41</v>
      </c>
      <c r="C250" s="65">
        <v>595.03</v>
      </c>
      <c r="D250" s="65">
        <v>596.30999999999995</v>
      </c>
      <c r="E250" s="65">
        <v>9448293</v>
      </c>
      <c r="F250" s="65" t="s">
        <v>425</v>
      </c>
      <c r="G250" s="25">
        <f t="shared" si="0"/>
        <v>3.1862621790690326E-4</v>
      </c>
      <c r="I250" s="66">
        <v>67.430000000000007</v>
      </c>
      <c r="J250" s="66">
        <v>67.88</v>
      </c>
      <c r="K250" s="66">
        <v>67.16</v>
      </c>
      <c r="L250" s="66">
        <v>67.855000000000004</v>
      </c>
      <c r="M250" s="66">
        <v>20234974</v>
      </c>
      <c r="N250" s="66" t="s">
        <v>425</v>
      </c>
      <c r="O250" s="25">
        <f t="shared" si="1"/>
        <v>-6.2633556849163163E-3</v>
      </c>
      <c r="Q250" s="25">
        <f t="shared" si="3"/>
        <v>8.0000000000000002E-3</v>
      </c>
    </row>
    <row r="251" spans="1:17">
      <c r="A251" s="65">
        <v>594.96</v>
      </c>
      <c r="B251" s="65">
        <v>599.6</v>
      </c>
      <c r="C251" s="65">
        <v>591.45000000000005</v>
      </c>
      <c r="D251" s="65">
        <v>598.91</v>
      </c>
      <c r="E251" s="65">
        <v>6622130</v>
      </c>
      <c r="F251" s="65" t="s">
        <v>426</v>
      </c>
      <c r="G251" s="25">
        <f t="shared" si="0"/>
        <v>-6.5953148219264346E-3</v>
      </c>
      <c r="I251" s="66">
        <v>67.959999999999994</v>
      </c>
      <c r="J251" s="66">
        <v>68.58</v>
      </c>
      <c r="K251" s="66">
        <v>67.87</v>
      </c>
      <c r="L251" s="66">
        <v>68.010000000000005</v>
      </c>
      <c r="M251" s="66">
        <v>23464235</v>
      </c>
      <c r="N251" s="66" t="s">
        <v>426</v>
      </c>
      <c r="O251" s="25">
        <f t="shared" si="1"/>
        <v>-7.3518600205868534E-4</v>
      </c>
      <c r="Q251" s="25">
        <f t="shared" si="3"/>
        <v>9.0000000000000011E-3</v>
      </c>
    </row>
    <row r="252" spans="1:17">
      <c r="A252" s="65">
        <v>596.59</v>
      </c>
      <c r="B252" s="65">
        <v>596.77</v>
      </c>
      <c r="C252" s="65">
        <v>591.6</v>
      </c>
      <c r="D252" s="65">
        <v>592.47</v>
      </c>
      <c r="E252" s="65">
        <v>8012477</v>
      </c>
      <c r="F252" s="65" t="s">
        <v>427</v>
      </c>
      <c r="G252" s="25">
        <f t="shared" ref="G252:G315" si="4">A252/D252-1</f>
        <v>6.9539385960470934E-3</v>
      </c>
      <c r="I252" s="66">
        <v>68.25</v>
      </c>
      <c r="J252" s="66">
        <v>69.459999999999994</v>
      </c>
      <c r="K252" s="66">
        <v>68.114999999999995</v>
      </c>
      <c r="L252" s="66">
        <v>69.11</v>
      </c>
      <c r="M252" s="66">
        <v>16440742</v>
      </c>
      <c r="N252" s="66" t="s">
        <v>427</v>
      </c>
      <c r="O252" s="25">
        <f t="shared" ref="O252:O315" si="5">I252/L252-1</f>
        <v>-1.2443929966719725E-2</v>
      </c>
      <c r="Q252" s="25">
        <f t="shared" si="3"/>
        <v>1.0000000000000002E-2</v>
      </c>
    </row>
    <row r="253" spans="1:17">
      <c r="A253" s="65">
        <v>591.72</v>
      </c>
      <c r="B253" s="65">
        <v>592.23</v>
      </c>
      <c r="C253" s="65">
        <v>588.78</v>
      </c>
      <c r="D253" s="65">
        <v>590.80999999999995</v>
      </c>
      <c r="E253" s="65">
        <v>6669875</v>
      </c>
      <c r="F253" s="65" t="s">
        <v>428</v>
      </c>
      <c r="G253" s="25">
        <f t="shared" si="4"/>
        <v>1.5402582894672445E-3</v>
      </c>
      <c r="I253" s="66">
        <v>68.989999999999995</v>
      </c>
      <c r="J253" s="66">
        <v>69.094999999999999</v>
      </c>
      <c r="K253" s="66">
        <v>67.37</v>
      </c>
      <c r="L253" s="66">
        <v>68.66</v>
      </c>
      <c r="M253" s="66">
        <v>33395145</v>
      </c>
      <c r="N253" s="66" t="s">
        <v>428</v>
      </c>
      <c r="O253" s="25">
        <f t="shared" si="5"/>
        <v>4.8062918729974147E-3</v>
      </c>
      <c r="Q253" s="25">
        <f t="shared" si="3"/>
        <v>1.1000000000000003E-2</v>
      </c>
    </row>
    <row r="254" spans="1:17">
      <c r="A254" s="65">
        <v>588.71</v>
      </c>
      <c r="B254" s="65">
        <v>588.79999999999995</v>
      </c>
      <c r="C254" s="65">
        <v>583.66999999999996</v>
      </c>
      <c r="D254" s="65">
        <v>586.05999999999995</v>
      </c>
      <c r="E254" s="65">
        <v>11063662</v>
      </c>
      <c r="F254" s="65" t="s">
        <v>429</v>
      </c>
      <c r="G254" s="25">
        <f t="shared" si="4"/>
        <v>4.5217213254618027E-3</v>
      </c>
      <c r="I254" s="66">
        <v>69.06</v>
      </c>
      <c r="J254" s="66">
        <v>69.34</v>
      </c>
      <c r="K254" s="66">
        <v>68.254999999999995</v>
      </c>
      <c r="L254" s="66">
        <v>68.959999999999994</v>
      </c>
      <c r="M254" s="66">
        <v>24352870</v>
      </c>
      <c r="N254" s="66" t="s">
        <v>429</v>
      </c>
      <c r="O254" s="25">
        <f t="shared" si="5"/>
        <v>1.4501160092807996E-3</v>
      </c>
      <c r="Q254" s="25">
        <f t="shared" si="3"/>
        <v>1.2000000000000004E-2</v>
      </c>
    </row>
    <row r="255" spans="1:17">
      <c r="A255" s="65">
        <v>593.08000000000004</v>
      </c>
      <c r="B255" s="65">
        <v>595.54999999999995</v>
      </c>
      <c r="C255" s="65">
        <v>591.245</v>
      </c>
      <c r="D255" s="65">
        <v>595.24</v>
      </c>
      <c r="E255" s="65">
        <v>7480746</v>
      </c>
      <c r="F255" s="65" t="s">
        <v>430</v>
      </c>
      <c r="G255" s="25">
        <f t="shared" si="4"/>
        <v>-3.6287883878770577E-3</v>
      </c>
      <c r="I255" s="66">
        <v>68.989999999999995</v>
      </c>
      <c r="J255" s="66">
        <v>69.14</v>
      </c>
      <c r="K255" s="66">
        <v>68.424999999999997</v>
      </c>
      <c r="L255" s="66">
        <v>68.67</v>
      </c>
      <c r="M255" s="66">
        <v>14404355</v>
      </c>
      <c r="N255" s="66" t="s">
        <v>430</v>
      </c>
      <c r="O255" s="25">
        <f t="shared" si="5"/>
        <v>4.6599679627201684E-3</v>
      </c>
      <c r="Q255" s="25">
        <f t="shared" si="3"/>
        <v>1.3000000000000005E-2</v>
      </c>
    </row>
    <row r="256" spans="1:17">
      <c r="A256" s="65">
        <v>596.52</v>
      </c>
      <c r="B256" s="65">
        <v>597.07000000000005</v>
      </c>
      <c r="C256" s="65">
        <v>593.27</v>
      </c>
      <c r="D256" s="65">
        <v>595.07000000000005</v>
      </c>
      <c r="E256" s="65">
        <v>5037983</v>
      </c>
      <c r="F256" s="65" t="s">
        <v>431</v>
      </c>
      <c r="G256" s="25">
        <f t="shared" si="4"/>
        <v>2.4366881207251723E-3</v>
      </c>
      <c r="I256" s="66">
        <v>68.36</v>
      </c>
      <c r="J256" s="66">
        <v>68.900000000000006</v>
      </c>
      <c r="K256" s="66">
        <v>68.28</v>
      </c>
      <c r="L256" s="66">
        <v>68.88</v>
      </c>
      <c r="M256" s="66">
        <v>15940898</v>
      </c>
      <c r="N256" s="66" t="s">
        <v>431</v>
      </c>
      <c r="O256" s="25">
        <f t="shared" si="5"/>
        <v>-7.5493612078977312E-3</v>
      </c>
      <c r="Q256" s="25">
        <f t="shared" si="3"/>
        <v>1.4000000000000005E-2</v>
      </c>
    </row>
    <row r="257" spans="1:17">
      <c r="A257" s="65">
        <v>594.41999999999996</v>
      </c>
      <c r="B257" s="65">
        <v>595.14</v>
      </c>
      <c r="C257" s="65">
        <v>592.44000000000005</v>
      </c>
      <c r="D257" s="65">
        <v>592.52</v>
      </c>
      <c r="E257" s="65">
        <v>6089564</v>
      </c>
      <c r="F257" s="65" t="s">
        <v>432</v>
      </c>
      <c r="G257" s="25">
        <f t="shared" si="4"/>
        <v>3.20664281374472E-3</v>
      </c>
      <c r="I257" s="66">
        <v>68.83</v>
      </c>
      <c r="J257" s="66">
        <v>68.87</v>
      </c>
      <c r="K257" s="66">
        <v>68.465000000000003</v>
      </c>
      <c r="L257" s="66">
        <v>68.819999999999993</v>
      </c>
      <c r="M257" s="66">
        <v>11291376</v>
      </c>
      <c r="N257" s="66" t="s">
        <v>432</v>
      </c>
      <c r="O257" s="25">
        <f t="shared" si="5"/>
        <v>1.4530659691947001E-4</v>
      </c>
      <c r="Q257" s="25">
        <f t="shared" si="3"/>
        <v>1.5000000000000006E-2</v>
      </c>
    </row>
    <row r="258" spans="1:17">
      <c r="A258" s="65">
        <v>593.05999999999995</v>
      </c>
      <c r="B258" s="65">
        <v>593.42999999999995</v>
      </c>
      <c r="C258" s="65">
        <v>589.79499999999996</v>
      </c>
      <c r="D258" s="65">
        <v>590.38</v>
      </c>
      <c r="E258" s="65">
        <v>4746851</v>
      </c>
      <c r="F258" s="65" t="s">
        <v>433</v>
      </c>
      <c r="G258" s="25">
        <f t="shared" si="4"/>
        <v>4.5394491683321547E-3</v>
      </c>
      <c r="I258" s="66">
        <v>68.73</v>
      </c>
      <c r="J258" s="66">
        <v>69.08</v>
      </c>
      <c r="K258" s="66">
        <v>68.575000000000003</v>
      </c>
      <c r="L258" s="66">
        <v>69.040000000000006</v>
      </c>
      <c r="M258" s="66">
        <v>17624084</v>
      </c>
      <c r="N258" s="66" t="s">
        <v>433</v>
      </c>
      <c r="O258" s="25">
        <f t="shared" si="5"/>
        <v>-4.4901506373117295E-3</v>
      </c>
      <c r="Q258" s="25">
        <f t="shared" si="3"/>
        <v>1.6000000000000007E-2</v>
      </c>
    </row>
    <row r="259" spans="1:17">
      <c r="A259" s="65">
        <v>590.70000000000005</v>
      </c>
      <c r="B259" s="65">
        <v>593.22990000000004</v>
      </c>
      <c r="C259" s="65">
        <v>590.54999999999995</v>
      </c>
      <c r="D259" s="65">
        <v>592.04999999999995</v>
      </c>
      <c r="E259" s="65">
        <v>6483035</v>
      </c>
      <c r="F259" s="65" t="s">
        <v>434</v>
      </c>
      <c r="G259" s="25">
        <f t="shared" si="4"/>
        <v>-2.2802128198630145E-3</v>
      </c>
      <c r="I259" s="66">
        <v>68.930000000000007</v>
      </c>
      <c r="J259" s="66">
        <v>70.23</v>
      </c>
      <c r="K259" s="66">
        <v>68.715000000000003</v>
      </c>
      <c r="L259" s="66">
        <v>70.11</v>
      </c>
      <c r="M259" s="66">
        <v>13634562</v>
      </c>
      <c r="N259" s="66" t="s">
        <v>434</v>
      </c>
      <c r="O259" s="25">
        <f t="shared" si="5"/>
        <v>-1.6830694622735565E-2</v>
      </c>
      <c r="Q259" s="25">
        <f t="shared" si="3"/>
        <v>1.7000000000000008E-2</v>
      </c>
    </row>
    <row r="260" spans="1:17">
      <c r="A260" s="65">
        <v>593.21</v>
      </c>
      <c r="B260" s="65">
        <v>594.32000000000005</v>
      </c>
      <c r="C260" s="65">
        <v>585.84</v>
      </c>
      <c r="D260" s="65">
        <v>586.27</v>
      </c>
      <c r="E260" s="65">
        <v>6368542</v>
      </c>
      <c r="F260" s="65" t="s">
        <v>435</v>
      </c>
      <c r="G260" s="25">
        <f t="shared" si="4"/>
        <v>1.1837549252051272E-2</v>
      </c>
      <c r="I260" s="66">
        <v>70.13</v>
      </c>
      <c r="J260" s="66">
        <v>71.02</v>
      </c>
      <c r="K260" s="66">
        <v>69.92</v>
      </c>
      <c r="L260" s="66">
        <v>70.959999999999994</v>
      </c>
      <c r="M260" s="66">
        <v>12675082</v>
      </c>
      <c r="N260" s="66" t="s">
        <v>435</v>
      </c>
      <c r="O260" s="25">
        <f t="shared" si="5"/>
        <v>-1.1696730552423928E-2</v>
      </c>
      <c r="Q260" s="25">
        <f t="shared" si="3"/>
        <v>1.8000000000000009E-2</v>
      </c>
    </row>
    <row r="261" spans="1:17">
      <c r="A261" s="65">
        <v>584.27</v>
      </c>
      <c r="B261" s="65">
        <v>586.46</v>
      </c>
      <c r="C261" s="65">
        <v>582.65</v>
      </c>
      <c r="D261" s="65">
        <v>584.92999999999995</v>
      </c>
      <c r="E261" s="65">
        <v>4807277</v>
      </c>
      <c r="F261" s="65" t="s">
        <v>436</v>
      </c>
      <c r="G261" s="25">
        <f t="shared" si="4"/>
        <v>-1.1283401432649054E-3</v>
      </c>
      <c r="I261" s="66">
        <v>70.66</v>
      </c>
      <c r="J261" s="66">
        <v>70.905000000000001</v>
      </c>
      <c r="K261" s="66">
        <v>70.33</v>
      </c>
      <c r="L261" s="66">
        <v>70.599999999999994</v>
      </c>
      <c r="M261" s="66">
        <v>8840427</v>
      </c>
      <c r="N261" s="66" t="s">
        <v>436</v>
      </c>
      <c r="O261" s="25">
        <f t="shared" si="5"/>
        <v>8.4985835694051381E-4</v>
      </c>
      <c r="Q261" s="25">
        <f t="shared" si="3"/>
        <v>1.900000000000001E-2</v>
      </c>
    </row>
    <row r="262" spans="1:17">
      <c r="A262" s="65">
        <v>586.58000000000004</v>
      </c>
      <c r="B262" s="65">
        <v>588</v>
      </c>
      <c r="C262" s="65">
        <v>581.85</v>
      </c>
      <c r="D262" s="65">
        <v>587.80999999999995</v>
      </c>
      <c r="E262" s="65">
        <v>7054266</v>
      </c>
      <c r="F262" s="65" t="s">
        <v>437</v>
      </c>
      <c r="G262" s="25">
        <f t="shared" si="4"/>
        <v>-2.0925128868169995E-3</v>
      </c>
      <c r="I262" s="66">
        <v>70.7</v>
      </c>
      <c r="J262" s="66">
        <v>71.704999999999998</v>
      </c>
      <c r="K262" s="66">
        <v>70.405000000000001</v>
      </c>
      <c r="L262" s="66">
        <v>70.739999999999995</v>
      </c>
      <c r="M262" s="66">
        <v>16279891</v>
      </c>
      <c r="N262" s="66" t="s">
        <v>437</v>
      </c>
      <c r="O262" s="25">
        <f t="shared" si="5"/>
        <v>-5.6545094713023047E-4</v>
      </c>
      <c r="Q262" s="25">
        <f t="shared" si="3"/>
        <v>2.0000000000000011E-2</v>
      </c>
    </row>
    <row r="263" spans="1:17">
      <c r="A263" s="65">
        <v>588.13</v>
      </c>
      <c r="B263" s="65">
        <v>592.12</v>
      </c>
      <c r="C263" s="65">
        <v>586.94000000000005</v>
      </c>
      <c r="D263" s="65">
        <v>591.25</v>
      </c>
      <c r="E263" s="65">
        <v>6689596</v>
      </c>
      <c r="F263" s="65" t="s">
        <v>438</v>
      </c>
      <c r="G263" s="25">
        <f t="shared" si="4"/>
        <v>-5.2769556025370479E-3</v>
      </c>
      <c r="I263" s="66">
        <v>70.13</v>
      </c>
      <c r="J263" s="66">
        <v>70.22</v>
      </c>
      <c r="K263" s="66">
        <v>69.239999999999995</v>
      </c>
      <c r="L263" s="66">
        <v>69.3</v>
      </c>
      <c r="M263" s="66">
        <v>12405177</v>
      </c>
      <c r="N263" s="66" t="s">
        <v>438</v>
      </c>
      <c r="O263" s="25">
        <f t="shared" si="5"/>
        <v>1.1976911976911975E-2</v>
      </c>
      <c r="Q263" s="25">
        <f t="shared" si="3"/>
        <v>2.1000000000000012E-2</v>
      </c>
    </row>
    <row r="264" spans="1:17">
      <c r="A264" s="65">
        <v>591.36</v>
      </c>
      <c r="B264" s="65">
        <v>592.02</v>
      </c>
      <c r="C264" s="65">
        <v>590.35</v>
      </c>
      <c r="D264" s="65">
        <v>590.98</v>
      </c>
      <c r="E264" s="65">
        <v>5311743</v>
      </c>
      <c r="F264" s="65" t="s">
        <v>439</v>
      </c>
      <c r="G264" s="25">
        <f t="shared" si="4"/>
        <v>6.4299976310544515E-4</v>
      </c>
      <c r="I264" s="66">
        <v>69.13</v>
      </c>
      <c r="J264" s="66">
        <v>70.05</v>
      </c>
      <c r="K264" s="66">
        <v>69.05</v>
      </c>
      <c r="L264" s="66">
        <v>69.98</v>
      </c>
      <c r="M264" s="66">
        <v>14094881</v>
      </c>
      <c r="N264" s="66" t="s">
        <v>439</v>
      </c>
      <c r="O264" s="25">
        <f t="shared" si="5"/>
        <v>-1.2146327522149281E-2</v>
      </c>
      <c r="Q264" s="25">
        <f t="shared" si="3"/>
        <v>2.2000000000000013E-2</v>
      </c>
    </row>
    <row r="265" spans="1:17">
      <c r="A265" s="65">
        <v>591.57000000000005</v>
      </c>
      <c r="B265" s="65">
        <v>593.95000000000005</v>
      </c>
      <c r="C265" s="65">
        <v>590.66</v>
      </c>
      <c r="D265" s="65">
        <v>593.86</v>
      </c>
      <c r="E265" s="65">
        <v>7196315</v>
      </c>
      <c r="F265" s="65" t="s">
        <v>440</v>
      </c>
      <c r="G265" s="25">
        <f t="shared" si="4"/>
        <v>-3.8561277068668298E-3</v>
      </c>
      <c r="I265" s="66">
        <v>69.92</v>
      </c>
      <c r="J265" s="66">
        <v>70.385000000000005</v>
      </c>
      <c r="K265" s="66">
        <v>69.569999999999993</v>
      </c>
      <c r="L265" s="66">
        <v>69.739999999999995</v>
      </c>
      <c r="M265" s="66">
        <v>12381112</v>
      </c>
      <c r="N265" s="66" t="s">
        <v>440</v>
      </c>
      <c r="O265" s="25">
        <f t="shared" si="5"/>
        <v>2.5810151993117536E-3</v>
      </c>
      <c r="Q265" s="25">
        <f t="shared" si="3"/>
        <v>2.3000000000000013E-2</v>
      </c>
    </row>
    <row r="266" spans="1:17">
      <c r="A266" s="65">
        <v>592.85</v>
      </c>
      <c r="B266" s="65">
        <v>593.51</v>
      </c>
      <c r="C266" s="65">
        <v>590.5</v>
      </c>
      <c r="D266" s="65">
        <v>590.91999999999996</v>
      </c>
      <c r="E266" s="65">
        <v>6236666</v>
      </c>
      <c r="F266" s="65" t="s">
        <v>441</v>
      </c>
      <c r="G266" s="25">
        <f t="shared" si="4"/>
        <v>3.2660935490422816E-3</v>
      </c>
      <c r="I266" s="66">
        <v>69.55</v>
      </c>
      <c r="J266" s="66">
        <v>70.459999999999994</v>
      </c>
      <c r="K266" s="66">
        <v>69.39</v>
      </c>
      <c r="L266" s="66">
        <v>70.38</v>
      </c>
      <c r="M266" s="66">
        <v>10722373</v>
      </c>
      <c r="N266" s="66" t="s">
        <v>441</v>
      </c>
      <c r="O266" s="25">
        <f t="shared" si="5"/>
        <v>-1.1793123046319964E-2</v>
      </c>
      <c r="Q266" s="25">
        <f t="shared" si="3"/>
        <v>2.4000000000000014E-2</v>
      </c>
    </row>
    <row r="267" spans="1:17">
      <c r="A267" s="65">
        <v>592.84</v>
      </c>
      <c r="B267" s="65">
        <v>594.03</v>
      </c>
      <c r="C267" s="65">
        <v>590.80999999999995</v>
      </c>
      <c r="D267" s="65">
        <v>592.86</v>
      </c>
      <c r="E267" s="65">
        <v>5392973</v>
      </c>
      <c r="F267" s="65" t="s">
        <v>442</v>
      </c>
      <c r="G267" s="25">
        <f t="shared" si="4"/>
        <v>-3.3734777181715359E-5</v>
      </c>
      <c r="I267" s="66">
        <v>70.459999999999994</v>
      </c>
      <c r="J267" s="66">
        <v>70.77</v>
      </c>
      <c r="K267" s="66">
        <v>70.23</v>
      </c>
      <c r="L267" s="66">
        <v>70.69</v>
      </c>
      <c r="M267" s="66">
        <v>10356518</v>
      </c>
      <c r="N267" s="66" t="s">
        <v>442</v>
      </c>
      <c r="O267" s="25">
        <f t="shared" si="5"/>
        <v>-3.2536426651578187E-3</v>
      </c>
      <c r="Q267" s="25">
        <f t="shared" si="3"/>
        <v>2.5000000000000015E-2</v>
      </c>
    </row>
    <row r="268" spans="1:17">
      <c r="A268" s="65">
        <v>590.78</v>
      </c>
      <c r="B268" s="65">
        <v>590.96</v>
      </c>
      <c r="C268" s="65">
        <v>585.43499999999995</v>
      </c>
      <c r="D268" s="65">
        <v>586.75</v>
      </c>
      <c r="E268" s="65">
        <v>5874245</v>
      </c>
      <c r="F268" s="65" t="s">
        <v>443</v>
      </c>
      <c r="G268" s="25">
        <f t="shared" si="4"/>
        <v>6.8683425649764818E-3</v>
      </c>
      <c r="I268" s="66">
        <v>70.709999999999994</v>
      </c>
      <c r="J268" s="66">
        <v>71.06</v>
      </c>
      <c r="K268" s="66">
        <v>70.22</v>
      </c>
      <c r="L268" s="66">
        <v>70.814999999999998</v>
      </c>
      <c r="M268" s="66">
        <v>11065044</v>
      </c>
      <c r="N268" s="66" t="s">
        <v>443</v>
      </c>
      <c r="O268" s="25">
        <f t="shared" si="5"/>
        <v>-1.4827367083245502E-3</v>
      </c>
      <c r="Q268" s="25">
        <f t="shared" si="3"/>
        <v>2.6000000000000016E-2</v>
      </c>
    </row>
    <row r="269" spans="1:17">
      <c r="A269" s="65">
        <v>584.54</v>
      </c>
      <c r="B269" s="65">
        <v>587.36</v>
      </c>
      <c r="C269" s="65">
        <v>583.44000000000005</v>
      </c>
      <c r="D269" s="65">
        <v>586.03</v>
      </c>
      <c r="E269" s="65">
        <v>5373949</v>
      </c>
      <c r="F269" s="65" t="s">
        <v>444</v>
      </c>
      <c r="G269" s="25">
        <f t="shared" si="4"/>
        <v>-2.542531952289151E-3</v>
      </c>
      <c r="I269" s="66">
        <v>70.75</v>
      </c>
      <c r="J269" s="66">
        <v>70.86</v>
      </c>
      <c r="K269" s="66">
        <v>69.959999999999994</v>
      </c>
      <c r="L269" s="66">
        <v>70.3</v>
      </c>
      <c r="M269" s="66">
        <v>10909371</v>
      </c>
      <c r="N269" s="66" t="s">
        <v>444</v>
      </c>
      <c r="O269" s="25">
        <f t="shared" si="5"/>
        <v>6.4011379800854584E-3</v>
      </c>
      <c r="Q269" s="25">
        <f t="shared" si="3"/>
        <v>2.7000000000000017E-2</v>
      </c>
    </row>
    <row r="270" spans="1:17">
      <c r="A270" s="65">
        <v>585.74</v>
      </c>
      <c r="B270" s="65">
        <v>586.16999999999996</v>
      </c>
      <c r="C270" s="65">
        <v>582.6</v>
      </c>
      <c r="D270" s="65">
        <v>582.92999999999995</v>
      </c>
      <c r="E270" s="65">
        <v>4342341</v>
      </c>
      <c r="F270" s="65" t="s">
        <v>445</v>
      </c>
      <c r="G270" s="25">
        <f t="shared" si="4"/>
        <v>4.8204758718886076E-3</v>
      </c>
      <c r="I270" s="66">
        <v>70.34</v>
      </c>
      <c r="J270" s="66">
        <v>70.870999999999995</v>
      </c>
      <c r="K270" s="66">
        <v>70.08</v>
      </c>
      <c r="L270" s="66">
        <v>70.364999999999995</v>
      </c>
      <c r="M270" s="66">
        <v>9232651</v>
      </c>
      <c r="N270" s="66" t="s">
        <v>445</v>
      </c>
      <c r="O270" s="25">
        <f t="shared" si="5"/>
        <v>-3.5529027215219777E-4</v>
      </c>
      <c r="Q270" s="25">
        <f t="shared" si="3"/>
        <v>2.8000000000000018E-2</v>
      </c>
    </row>
    <row r="271" spans="1:17">
      <c r="A271" s="65">
        <v>581.29</v>
      </c>
      <c r="B271" s="65">
        <v>585.52</v>
      </c>
      <c r="C271" s="65">
        <v>578.31269999999995</v>
      </c>
      <c r="D271" s="65">
        <v>584.87</v>
      </c>
      <c r="E271" s="65">
        <v>4594260</v>
      </c>
      <c r="F271" s="65" t="s">
        <v>446</v>
      </c>
      <c r="G271" s="25">
        <f t="shared" si="4"/>
        <v>-6.1210183459572409E-3</v>
      </c>
      <c r="I271" s="66">
        <v>70.430000000000007</v>
      </c>
      <c r="J271" s="66">
        <v>70.715000000000003</v>
      </c>
      <c r="K271" s="66">
        <v>69.33</v>
      </c>
      <c r="L271" s="66">
        <v>69.459999999999994</v>
      </c>
      <c r="M271" s="66">
        <v>15790802</v>
      </c>
      <c r="N271" s="66" t="s">
        <v>446</v>
      </c>
      <c r="O271" s="25">
        <f t="shared" si="5"/>
        <v>1.3964871868701545E-2</v>
      </c>
      <c r="Q271" s="25">
        <f t="shared" si="3"/>
        <v>2.9000000000000019E-2</v>
      </c>
    </row>
    <row r="272" spans="1:17">
      <c r="A272" s="65">
        <v>581.64</v>
      </c>
      <c r="B272" s="65">
        <v>582.27</v>
      </c>
      <c r="C272" s="65">
        <v>577.41</v>
      </c>
      <c r="D272" s="65">
        <v>578.25</v>
      </c>
      <c r="E272" s="65">
        <v>4545015</v>
      </c>
      <c r="F272" s="65" t="s">
        <v>447</v>
      </c>
      <c r="G272" s="25">
        <f t="shared" si="4"/>
        <v>5.8625162127108332E-3</v>
      </c>
      <c r="I272" s="66">
        <v>69.510000000000005</v>
      </c>
      <c r="J272" s="66">
        <v>69.8</v>
      </c>
      <c r="K272" s="66">
        <v>68.63</v>
      </c>
      <c r="L272" s="66">
        <v>69.12</v>
      </c>
      <c r="M272" s="66">
        <v>10782977</v>
      </c>
      <c r="N272" s="66" t="s">
        <v>447</v>
      </c>
      <c r="O272" s="25">
        <f t="shared" si="5"/>
        <v>5.6423611111111605E-3</v>
      </c>
      <c r="Q272" s="25">
        <f t="shared" si="3"/>
        <v>3.000000000000002E-2</v>
      </c>
    </row>
    <row r="273" spans="1:17">
      <c r="A273" s="65">
        <v>577.35</v>
      </c>
      <c r="B273" s="65">
        <v>581.5</v>
      </c>
      <c r="C273" s="65">
        <v>576.4</v>
      </c>
      <c r="D273" s="65">
        <v>580.79</v>
      </c>
      <c r="E273" s="65">
        <v>4647381</v>
      </c>
      <c r="F273" s="65" t="s">
        <v>448</v>
      </c>
      <c r="G273" s="25">
        <f t="shared" si="4"/>
        <v>-5.9229669932332474E-3</v>
      </c>
      <c r="I273" s="66">
        <v>69.05</v>
      </c>
      <c r="J273" s="66">
        <v>69.484999999999999</v>
      </c>
      <c r="K273" s="66">
        <v>68.75</v>
      </c>
      <c r="L273" s="66">
        <v>68.900000000000006</v>
      </c>
      <c r="M273" s="66">
        <v>11993391</v>
      </c>
      <c r="N273" s="66" t="s">
        <v>448</v>
      </c>
      <c r="O273" s="25">
        <f t="shared" si="5"/>
        <v>2.1770682148039011E-3</v>
      </c>
      <c r="Q273" s="25">
        <f t="shared" si="3"/>
        <v>3.1000000000000021E-2</v>
      </c>
    </row>
    <row r="274" spans="1:17">
      <c r="A274" s="65">
        <v>580.14</v>
      </c>
      <c r="B274" s="65">
        <v>580.21</v>
      </c>
      <c r="C274" s="65">
        <v>575.08000000000004</v>
      </c>
      <c r="D274" s="65">
        <v>575.16999999999996</v>
      </c>
      <c r="E274" s="65">
        <v>6640089</v>
      </c>
      <c r="F274" s="65" t="s">
        <v>449</v>
      </c>
      <c r="G274" s="25">
        <f t="shared" si="4"/>
        <v>8.6409235530364725E-3</v>
      </c>
      <c r="I274" s="66">
        <v>68.959999999999994</v>
      </c>
      <c r="J274" s="66">
        <v>69.084999999999994</v>
      </c>
      <c r="K274" s="66">
        <v>68.31</v>
      </c>
      <c r="L274" s="66">
        <v>68.715000000000003</v>
      </c>
      <c r="M274" s="66">
        <v>10701525</v>
      </c>
      <c r="N274" s="66" t="s">
        <v>449</v>
      </c>
      <c r="O274" s="25">
        <f t="shared" si="5"/>
        <v>3.565451502582917E-3</v>
      </c>
    </row>
    <row r="275" spans="1:17">
      <c r="A275" s="65">
        <v>571.45000000000005</v>
      </c>
      <c r="B275" s="65">
        <v>575.74</v>
      </c>
      <c r="C275" s="65">
        <v>569.29</v>
      </c>
      <c r="D275" s="65">
        <v>575.73</v>
      </c>
      <c r="E275" s="65">
        <v>8781254</v>
      </c>
      <c r="F275" s="65" t="s">
        <v>450</v>
      </c>
      <c r="G275" s="25">
        <f t="shared" si="4"/>
        <v>-7.4340402619282875E-3</v>
      </c>
      <c r="I275" s="66">
        <v>68.86</v>
      </c>
      <c r="J275" s="66">
        <v>69.040000000000006</v>
      </c>
      <c r="K275" s="66">
        <v>68.27</v>
      </c>
      <c r="L275" s="66">
        <v>68.594999999999999</v>
      </c>
      <c r="M275" s="66">
        <v>16107506</v>
      </c>
      <c r="N275" s="66" t="s">
        <v>450</v>
      </c>
      <c r="O275" s="25">
        <f t="shared" si="5"/>
        <v>3.863255339310534E-3</v>
      </c>
    </row>
    <row r="276" spans="1:17">
      <c r="A276" s="65">
        <v>581.02</v>
      </c>
      <c r="B276" s="65">
        <v>588.16139999999996</v>
      </c>
      <c r="C276" s="65">
        <v>579.84</v>
      </c>
      <c r="D276" s="65">
        <v>587.83000000000004</v>
      </c>
      <c r="E276" s="65">
        <v>7046843</v>
      </c>
      <c r="F276" s="65" t="s">
        <v>451</v>
      </c>
      <c r="G276" s="25">
        <f t="shared" si="4"/>
        <v>-1.1584982052634363E-2</v>
      </c>
      <c r="I276" s="66">
        <v>67.89</v>
      </c>
      <c r="J276" s="66">
        <v>68.650000000000006</v>
      </c>
      <c r="K276" s="66">
        <v>67.739999999999995</v>
      </c>
      <c r="L276" s="66">
        <v>68.150000000000006</v>
      </c>
      <c r="M276" s="66">
        <v>17193418</v>
      </c>
      <c r="N276" s="66" t="s">
        <v>451</v>
      </c>
      <c r="O276" s="25">
        <f t="shared" si="5"/>
        <v>-3.8151137197359741E-3</v>
      </c>
    </row>
    <row r="277" spans="1:17">
      <c r="A277" s="65">
        <v>583.21</v>
      </c>
      <c r="B277" s="65">
        <v>586.15</v>
      </c>
      <c r="C277" s="65">
        <v>580.54999999999995</v>
      </c>
      <c r="D277" s="65">
        <v>584.66</v>
      </c>
      <c r="E277" s="65">
        <v>6974729</v>
      </c>
      <c r="F277" s="65" t="s">
        <v>452</v>
      </c>
      <c r="G277" s="25">
        <f t="shared" si="4"/>
        <v>-2.4800738890977669E-3</v>
      </c>
      <c r="I277" s="66">
        <v>68.75</v>
      </c>
      <c r="J277" s="66">
        <v>69.33</v>
      </c>
      <c r="K277" s="66">
        <v>68.525000000000006</v>
      </c>
      <c r="L277" s="66">
        <v>69.11</v>
      </c>
      <c r="M277" s="66">
        <v>10448179</v>
      </c>
      <c r="N277" s="66" t="s">
        <v>452</v>
      </c>
      <c r="O277" s="25">
        <f t="shared" si="5"/>
        <v>-5.2090869628128589E-3</v>
      </c>
    </row>
    <row r="278" spans="1:17">
      <c r="A278" s="65">
        <v>583.91999999999996</v>
      </c>
      <c r="B278" s="65">
        <v>587.08000000000004</v>
      </c>
      <c r="C278" s="65">
        <v>583.12</v>
      </c>
      <c r="D278" s="65">
        <v>586.82000000000005</v>
      </c>
      <c r="E278" s="65">
        <v>5033308</v>
      </c>
      <c r="F278" s="65" t="s">
        <v>453</v>
      </c>
      <c r="G278" s="25">
        <f t="shared" si="4"/>
        <v>-4.9418901877920085E-3</v>
      </c>
      <c r="I278" s="66">
        <v>69.38</v>
      </c>
      <c r="J278" s="66">
        <v>69.42</v>
      </c>
      <c r="K278" s="66">
        <v>68.150000000000006</v>
      </c>
      <c r="L278" s="66">
        <v>68.34</v>
      </c>
      <c r="M278" s="66">
        <v>15710608</v>
      </c>
      <c r="N278" s="66" t="s">
        <v>453</v>
      </c>
      <c r="O278" s="25">
        <f t="shared" si="5"/>
        <v>1.5218027509511067E-2</v>
      </c>
    </row>
    <row r="279" spans="1:17">
      <c r="A279" s="65">
        <v>585.44000000000005</v>
      </c>
      <c r="B279" s="65">
        <v>586.5</v>
      </c>
      <c r="C279" s="65">
        <v>584.24</v>
      </c>
      <c r="D279" s="65">
        <v>586.04</v>
      </c>
      <c r="E279" s="65">
        <v>4169858</v>
      </c>
      <c r="F279" s="65" t="s">
        <v>454</v>
      </c>
      <c r="G279" s="25">
        <f t="shared" si="4"/>
        <v>-1.0238208995971831E-3</v>
      </c>
      <c r="I279" s="66">
        <v>68.09</v>
      </c>
      <c r="J279" s="66">
        <v>68.900000000000006</v>
      </c>
      <c r="K279" s="66">
        <v>68.06</v>
      </c>
      <c r="L279" s="66">
        <v>68.739999999999995</v>
      </c>
      <c r="M279" s="66">
        <v>13597305</v>
      </c>
      <c r="N279" s="66" t="s">
        <v>454</v>
      </c>
      <c r="O279" s="25">
        <f t="shared" si="5"/>
        <v>-9.4559208612160495E-3</v>
      </c>
    </row>
    <row r="280" spans="1:17">
      <c r="A280" s="65">
        <v>585.58000000000004</v>
      </c>
      <c r="B280" s="65">
        <v>586.04</v>
      </c>
      <c r="C280" s="65">
        <v>583.59</v>
      </c>
      <c r="D280" s="65">
        <v>583.80999999999995</v>
      </c>
      <c r="E280" s="65">
        <v>3189061</v>
      </c>
      <c r="F280" s="65" t="s">
        <v>455</v>
      </c>
      <c r="G280" s="25">
        <f t="shared" si="4"/>
        <v>3.0318082937943469E-3</v>
      </c>
      <c r="I280" s="66">
        <v>69.17</v>
      </c>
      <c r="J280" s="66">
        <v>69.23</v>
      </c>
      <c r="K280" s="66">
        <v>68.75</v>
      </c>
      <c r="L280" s="66">
        <v>69.13</v>
      </c>
      <c r="M280" s="66">
        <v>12528172</v>
      </c>
      <c r="N280" s="66" t="s">
        <v>455</v>
      </c>
      <c r="O280" s="25">
        <f t="shared" si="5"/>
        <v>5.7861999132069464E-4</v>
      </c>
    </row>
    <row r="281" spans="1:17">
      <c r="A281" s="65">
        <v>583.26</v>
      </c>
      <c r="B281" s="65">
        <v>584.75</v>
      </c>
      <c r="C281" s="65">
        <v>582.72</v>
      </c>
      <c r="D281" s="65">
        <v>583.34</v>
      </c>
      <c r="E281" s="65">
        <v>3840901</v>
      </c>
      <c r="F281" s="65" t="s">
        <v>456</v>
      </c>
      <c r="G281" s="25">
        <f t="shared" si="4"/>
        <v>-1.3714128981390239E-4</v>
      </c>
      <c r="I281" s="66">
        <v>69.099999999999994</v>
      </c>
      <c r="J281" s="66">
        <v>69.55</v>
      </c>
      <c r="K281" s="66">
        <v>68.989999999999995</v>
      </c>
      <c r="L281" s="66">
        <v>69.254999999999995</v>
      </c>
      <c r="M281" s="66">
        <v>12511367</v>
      </c>
      <c r="N281" s="66" t="s">
        <v>456</v>
      </c>
      <c r="O281" s="25">
        <f t="shared" si="5"/>
        <v>-2.2381055519457016E-3</v>
      </c>
    </row>
    <row r="282" spans="1:17">
      <c r="A282" s="65">
        <v>582.86</v>
      </c>
      <c r="B282" s="65">
        <v>582.96</v>
      </c>
      <c r="C282" s="65">
        <v>578.87</v>
      </c>
      <c r="D282" s="65">
        <v>580.57000000000005</v>
      </c>
      <c r="E282" s="65">
        <v>4257345</v>
      </c>
      <c r="F282" s="65" t="s">
        <v>457</v>
      </c>
      <c r="G282" s="25">
        <f t="shared" si="4"/>
        <v>3.9443994694867701E-3</v>
      </c>
      <c r="I282" s="66">
        <v>69.16</v>
      </c>
      <c r="J282" s="66">
        <v>69.739999999999995</v>
      </c>
      <c r="K282" s="66">
        <v>68.599999999999994</v>
      </c>
      <c r="L282" s="66">
        <v>69.66</v>
      </c>
      <c r="M282" s="66">
        <v>21029993</v>
      </c>
      <c r="N282" s="66" t="s">
        <v>457</v>
      </c>
      <c r="O282" s="25">
        <f t="shared" si="5"/>
        <v>-7.1777203560149383E-3</v>
      </c>
    </row>
    <row r="283" spans="1:17">
      <c r="A283" s="65">
        <v>577.95000000000005</v>
      </c>
      <c r="B283" s="65">
        <v>578.84</v>
      </c>
      <c r="C283" s="65">
        <v>575.64</v>
      </c>
      <c r="D283" s="65">
        <v>578.28</v>
      </c>
      <c r="E283" s="65">
        <v>4743679</v>
      </c>
      <c r="F283" s="65" t="s">
        <v>458</v>
      </c>
      <c r="G283" s="25">
        <f t="shared" si="4"/>
        <v>-5.7065781282406025E-4</v>
      </c>
      <c r="I283" s="66">
        <v>69.66</v>
      </c>
      <c r="J283" s="66">
        <v>70.259200000000007</v>
      </c>
      <c r="K283" s="66">
        <v>68.69</v>
      </c>
      <c r="L283" s="66">
        <v>69.45</v>
      </c>
      <c r="M283" s="66">
        <v>21985207</v>
      </c>
      <c r="N283" s="66" t="s">
        <v>458</v>
      </c>
      <c r="O283" s="25">
        <f t="shared" si="5"/>
        <v>3.0237580993519586E-3</v>
      </c>
    </row>
    <row r="284" spans="1:17">
      <c r="A284" s="65">
        <v>577.95000000000005</v>
      </c>
      <c r="B284" s="65">
        <v>580.53</v>
      </c>
      <c r="C284" s="65">
        <v>577.59</v>
      </c>
      <c r="D284" s="65">
        <v>577.98</v>
      </c>
      <c r="E284" s="65">
        <v>5892207</v>
      </c>
      <c r="F284" s="65" t="s">
        <v>459</v>
      </c>
      <c r="G284" s="25">
        <f t="shared" si="4"/>
        <v>-5.1904910204458865E-5</v>
      </c>
      <c r="I284" s="66">
        <v>70.069999999999993</v>
      </c>
      <c r="J284" s="66">
        <v>70.62</v>
      </c>
      <c r="K284" s="66">
        <v>69.930000000000007</v>
      </c>
      <c r="L284" s="66">
        <v>70.194999999999993</v>
      </c>
      <c r="M284" s="66">
        <v>17724428</v>
      </c>
      <c r="N284" s="66" t="s">
        <v>459</v>
      </c>
      <c r="O284" s="25">
        <f t="shared" si="5"/>
        <v>-1.7807536149297976E-3</v>
      </c>
    </row>
    <row r="285" spans="1:17">
      <c r="A285" s="65">
        <v>576.91999999999996</v>
      </c>
      <c r="B285" s="65">
        <v>578.5</v>
      </c>
      <c r="C285" s="65">
        <v>575.84</v>
      </c>
      <c r="D285" s="65">
        <v>578.47</v>
      </c>
      <c r="E285" s="65">
        <v>4244147</v>
      </c>
      <c r="F285" s="65" t="s">
        <v>460</v>
      </c>
      <c r="G285" s="25">
        <f t="shared" si="4"/>
        <v>-2.6794820820441601E-3</v>
      </c>
      <c r="I285" s="66">
        <v>69.849999999999994</v>
      </c>
      <c r="J285" s="66">
        <v>70.7</v>
      </c>
      <c r="K285" s="66">
        <v>69.834999999999994</v>
      </c>
      <c r="L285" s="66">
        <v>70.444999999999993</v>
      </c>
      <c r="M285" s="66">
        <v>14837699</v>
      </c>
      <c r="N285" s="66" t="s">
        <v>460</v>
      </c>
      <c r="O285" s="25">
        <f t="shared" si="5"/>
        <v>-8.446305628504458E-3</v>
      </c>
    </row>
    <row r="286" spans="1:17">
      <c r="A286" s="65">
        <v>577.17999999999995</v>
      </c>
      <c r="B286" s="65">
        <v>577.65</v>
      </c>
      <c r="C286" s="65">
        <v>573.79999999999995</v>
      </c>
      <c r="D286" s="65">
        <v>574.02</v>
      </c>
      <c r="E286" s="65">
        <v>5391575</v>
      </c>
      <c r="F286" s="65" t="s">
        <v>461</v>
      </c>
      <c r="G286" s="25">
        <f t="shared" si="4"/>
        <v>5.5050346677816275E-3</v>
      </c>
      <c r="I286" s="66">
        <v>70.59</v>
      </c>
      <c r="J286" s="66">
        <v>70.685000000000002</v>
      </c>
      <c r="K286" s="66">
        <v>69.510000000000005</v>
      </c>
      <c r="L286" s="66">
        <v>69.81</v>
      </c>
      <c r="M286" s="66">
        <v>20368481</v>
      </c>
      <c r="N286" s="66" t="s">
        <v>461</v>
      </c>
      <c r="O286" s="25">
        <f t="shared" si="5"/>
        <v>1.1173184357541999E-2</v>
      </c>
    </row>
    <row r="287" spans="1:17">
      <c r="A287" s="65">
        <v>573.74</v>
      </c>
      <c r="B287" s="65">
        <v>574.26</v>
      </c>
      <c r="C287" s="65">
        <v>568.16999999999996</v>
      </c>
      <c r="D287" s="65">
        <v>573.4</v>
      </c>
      <c r="E287" s="65">
        <v>6119852</v>
      </c>
      <c r="F287" s="65" t="s">
        <v>462</v>
      </c>
      <c r="G287" s="25">
        <f t="shared" si="4"/>
        <v>5.9295430763861567E-4</v>
      </c>
      <c r="I287" s="66">
        <v>69.27</v>
      </c>
      <c r="J287" s="66">
        <v>69.5</v>
      </c>
      <c r="K287" s="66">
        <v>68.790000000000006</v>
      </c>
      <c r="L287" s="66">
        <v>69.349999999999994</v>
      </c>
      <c r="M287" s="66">
        <v>13132001</v>
      </c>
      <c r="N287" s="66" t="s">
        <v>462</v>
      </c>
      <c r="O287" s="25">
        <f t="shared" si="5"/>
        <v>-1.1535688536409294E-3</v>
      </c>
    </row>
    <row r="288" spans="1:17">
      <c r="A288" s="65">
        <v>571.86</v>
      </c>
      <c r="B288" s="65">
        <v>577.16</v>
      </c>
      <c r="C288" s="65">
        <v>571.85</v>
      </c>
      <c r="D288" s="65">
        <v>576.85</v>
      </c>
      <c r="E288" s="65">
        <v>5338268</v>
      </c>
      <c r="F288" s="65" t="s">
        <v>463</v>
      </c>
      <c r="G288" s="25">
        <f t="shared" si="4"/>
        <v>-8.6504290543468754E-3</v>
      </c>
      <c r="I288" s="66">
        <v>69.36</v>
      </c>
      <c r="J288" s="66">
        <v>69.55</v>
      </c>
      <c r="K288" s="66">
        <v>69.150000000000006</v>
      </c>
      <c r="L288" s="66">
        <v>69.510000000000005</v>
      </c>
      <c r="M288" s="66">
        <v>12605460</v>
      </c>
      <c r="N288" s="66" t="s">
        <v>463</v>
      </c>
      <c r="O288" s="25">
        <f t="shared" si="5"/>
        <v>-2.1579628830384889E-3</v>
      </c>
    </row>
    <row r="289" spans="1:15">
      <c r="A289" s="65">
        <v>574.35</v>
      </c>
      <c r="B289" s="65">
        <v>574.67899999999997</v>
      </c>
      <c r="C289" s="65">
        <v>571.58000000000004</v>
      </c>
      <c r="D289" s="65">
        <v>572.85</v>
      </c>
      <c r="E289" s="65">
        <v>4719971</v>
      </c>
      <c r="F289" s="65" t="s">
        <v>464</v>
      </c>
      <c r="G289" s="25">
        <f t="shared" si="4"/>
        <v>2.6184865147944603E-3</v>
      </c>
      <c r="I289" s="66">
        <v>69.47</v>
      </c>
      <c r="J289" s="66">
        <v>70.08</v>
      </c>
      <c r="K289" s="66">
        <v>69.271900000000002</v>
      </c>
      <c r="L289" s="66">
        <v>69.8</v>
      </c>
      <c r="M289" s="66">
        <v>13969274</v>
      </c>
      <c r="N289" s="66" t="s">
        <v>464</v>
      </c>
      <c r="O289" s="25">
        <f t="shared" si="5"/>
        <v>-4.7277936962750733E-3</v>
      </c>
    </row>
    <row r="290" spans="1:15">
      <c r="A290" s="65">
        <v>573.22</v>
      </c>
      <c r="B290" s="65">
        <v>574.37570000000005</v>
      </c>
      <c r="C290" s="65">
        <v>571.37</v>
      </c>
      <c r="D290" s="65">
        <v>572.45000000000005</v>
      </c>
      <c r="E290" s="65">
        <v>4414258</v>
      </c>
      <c r="F290" s="65" t="s">
        <v>465</v>
      </c>
      <c r="G290" s="25">
        <f t="shared" si="4"/>
        <v>1.3450956415406168E-3</v>
      </c>
      <c r="I290" s="66">
        <v>69.87</v>
      </c>
      <c r="J290" s="66">
        <v>70.155000000000001</v>
      </c>
      <c r="K290" s="66">
        <v>69.25</v>
      </c>
      <c r="L290" s="66">
        <v>69.564999999999998</v>
      </c>
      <c r="M290" s="66">
        <v>12873044</v>
      </c>
      <c r="N290" s="66" t="s">
        <v>465</v>
      </c>
      <c r="O290" s="25">
        <f t="shared" si="5"/>
        <v>4.3843887012147142E-3</v>
      </c>
    </row>
    <row r="291" spans="1:15">
      <c r="A291" s="65">
        <v>575.29</v>
      </c>
      <c r="B291" s="65">
        <v>576.26</v>
      </c>
      <c r="C291" s="65">
        <v>572.70000000000005</v>
      </c>
      <c r="D291" s="65">
        <v>573.78</v>
      </c>
      <c r="E291" s="65">
        <v>4920279</v>
      </c>
      <c r="F291" s="65" t="s">
        <v>466</v>
      </c>
      <c r="G291" s="25">
        <f t="shared" si="4"/>
        <v>2.6316706751716712E-3</v>
      </c>
      <c r="I291" s="66">
        <v>69.77</v>
      </c>
      <c r="J291" s="66">
        <v>69.844999999999999</v>
      </c>
      <c r="K291" s="66">
        <v>69.16</v>
      </c>
      <c r="L291" s="66">
        <v>69.290000000000006</v>
      </c>
      <c r="M291" s="66">
        <v>14582309</v>
      </c>
      <c r="N291" s="66" t="s">
        <v>466</v>
      </c>
      <c r="O291" s="25">
        <f t="shared" si="5"/>
        <v>6.9274065521718331E-3</v>
      </c>
    </row>
    <row r="292" spans="1:15">
      <c r="A292" s="65">
        <v>573.61</v>
      </c>
      <c r="B292" s="65">
        <v>574.26</v>
      </c>
      <c r="C292" s="65">
        <v>570.76</v>
      </c>
      <c r="D292" s="65">
        <v>572.46</v>
      </c>
      <c r="E292" s="65">
        <v>6833139</v>
      </c>
      <c r="F292" s="65" t="s">
        <v>467</v>
      </c>
      <c r="G292" s="25">
        <f t="shared" si="4"/>
        <v>2.0088739824615232E-3</v>
      </c>
      <c r="I292" s="66">
        <v>69.48</v>
      </c>
      <c r="J292" s="66">
        <v>70.25</v>
      </c>
      <c r="K292" s="66">
        <v>68.97</v>
      </c>
      <c r="L292" s="66">
        <v>70.16</v>
      </c>
      <c r="M292" s="66">
        <v>33673617</v>
      </c>
      <c r="N292" s="66" t="s">
        <v>467</v>
      </c>
      <c r="O292" s="25">
        <f t="shared" si="5"/>
        <v>-9.6921322690991518E-3</v>
      </c>
    </row>
    <row r="293" spans="1:15">
      <c r="A293" s="65">
        <v>570.23</v>
      </c>
      <c r="B293" s="65">
        <v>571.83000000000004</v>
      </c>
      <c r="C293" s="65">
        <v>569.48</v>
      </c>
      <c r="D293" s="65">
        <v>571.15</v>
      </c>
      <c r="E293" s="65">
        <v>6916815</v>
      </c>
      <c r="F293" s="65" t="s">
        <v>468</v>
      </c>
      <c r="G293" s="25">
        <f t="shared" si="4"/>
        <v>-1.6107852578131077E-3</v>
      </c>
      <c r="I293" s="66">
        <v>70.239999999999995</v>
      </c>
      <c r="J293" s="66">
        <v>70.680000000000007</v>
      </c>
      <c r="K293" s="66">
        <v>69.88</v>
      </c>
      <c r="L293" s="66">
        <v>70.680000000000007</v>
      </c>
      <c r="M293" s="66">
        <v>16388871</v>
      </c>
      <c r="N293" s="66" t="s">
        <v>468</v>
      </c>
      <c r="O293" s="25">
        <f t="shared" si="5"/>
        <v>-6.2252405206566497E-3</v>
      </c>
    </row>
    <row r="294" spans="1:15">
      <c r="A294" s="65">
        <v>570.61</v>
      </c>
      <c r="B294" s="65">
        <v>573.59</v>
      </c>
      <c r="C294" s="65">
        <v>567.98</v>
      </c>
      <c r="D294" s="65">
        <v>573</v>
      </c>
      <c r="E294" s="65">
        <v>6347907</v>
      </c>
      <c r="F294" s="65" t="s">
        <v>469</v>
      </c>
      <c r="G294" s="25">
        <f t="shared" si="4"/>
        <v>-4.1710296684118742E-3</v>
      </c>
      <c r="I294" s="66">
        <v>71.010000000000005</v>
      </c>
      <c r="J294" s="66">
        <v>71.37</v>
      </c>
      <c r="K294" s="66">
        <v>70.8</v>
      </c>
      <c r="L294" s="66">
        <v>71.37</v>
      </c>
      <c r="M294" s="66">
        <v>16969630</v>
      </c>
      <c r="N294" s="66" t="s">
        <v>469</v>
      </c>
      <c r="O294" s="25">
        <f t="shared" si="5"/>
        <v>-5.0441361916772065E-3</v>
      </c>
    </row>
    <row r="295" spans="1:15">
      <c r="A295" s="65">
        <v>575.22</v>
      </c>
      <c r="B295" s="65">
        <v>575.66999999999996</v>
      </c>
      <c r="C295" s="65">
        <v>572.13</v>
      </c>
      <c r="D295" s="65">
        <v>572.17999999999995</v>
      </c>
      <c r="E295" s="65">
        <v>4833973</v>
      </c>
      <c r="F295" s="65" t="s">
        <v>470</v>
      </c>
      <c r="G295" s="25">
        <f t="shared" si="4"/>
        <v>5.3130133873957597E-3</v>
      </c>
      <c r="I295" s="66">
        <v>71.349999999999994</v>
      </c>
      <c r="J295" s="66">
        <v>71.394999999999996</v>
      </c>
      <c r="K295" s="66">
        <v>70.45</v>
      </c>
      <c r="L295" s="66">
        <v>71.040000000000006</v>
      </c>
      <c r="M295" s="66">
        <v>9439715</v>
      </c>
      <c r="N295" s="66" t="s">
        <v>470</v>
      </c>
      <c r="O295" s="25">
        <f t="shared" si="5"/>
        <v>4.3637387387385207E-3</v>
      </c>
    </row>
    <row r="296" spans="1:15">
      <c r="A296" s="65">
        <v>570.29</v>
      </c>
      <c r="B296" s="65">
        <v>570.34</v>
      </c>
      <c r="C296" s="65">
        <v>566.80999999999995</v>
      </c>
      <c r="D296" s="65">
        <v>567.37</v>
      </c>
      <c r="E296" s="65">
        <v>6134026</v>
      </c>
      <c r="F296" s="65" t="s">
        <v>471</v>
      </c>
      <c r="G296" s="25">
        <f t="shared" si="4"/>
        <v>5.1465533954913045E-3</v>
      </c>
      <c r="I296" s="66">
        <v>70.91</v>
      </c>
      <c r="J296" s="66">
        <v>71.825000000000003</v>
      </c>
      <c r="K296" s="66">
        <v>70.734999999999999</v>
      </c>
      <c r="L296" s="66">
        <v>71.69</v>
      </c>
      <c r="M296" s="66">
        <v>13036120</v>
      </c>
      <c r="N296" s="66" t="s">
        <v>471</v>
      </c>
      <c r="O296" s="25">
        <f t="shared" si="5"/>
        <v>-1.0880178546519792E-2</v>
      </c>
    </row>
    <row r="297" spans="1:15">
      <c r="A297" s="65">
        <v>567.77</v>
      </c>
      <c r="B297" s="65">
        <v>568.79999999999995</v>
      </c>
      <c r="C297" s="65">
        <v>565.79999999999995</v>
      </c>
      <c r="D297" s="65">
        <v>566.55999999999995</v>
      </c>
      <c r="E297" s="65">
        <v>7369350</v>
      </c>
      <c r="F297" s="65" t="s">
        <v>472</v>
      </c>
      <c r="G297" s="25">
        <f t="shared" si="4"/>
        <v>2.1356961310365907E-3</v>
      </c>
      <c r="I297" s="66">
        <v>71.67</v>
      </c>
      <c r="J297" s="66">
        <v>72.45</v>
      </c>
      <c r="K297" s="66">
        <v>70.900000000000006</v>
      </c>
      <c r="L297" s="66">
        <v>70.989999999999995</v>
      </c>
      <c r="M297" s="66">
        <v>21709285</v>
      </c>
      <c r="N297" s="66" t="s">
        <v>472</v>
      </c>
      <c r="O297" s="25">
        <f t="shared" si="5"/>
        <v>9.5788139174532994E-3</v>
      </c>
    </row>
    <row r="298" spans="1:15">
      <c r="A298" s="65">
        <v>568.03</v>
      </c>
      <c r="B298" s="65">
        <v>569.15</v>
      </c>
      <c r="C298" s="65">
        <v>565.375</v>
      </c>
      <c r="D298" s="65">
        <v>567.5</v>
      </c>
      <c r="E298" s="65">
        <v>5719188</v>
      </c>
      <c r="F298" s="65" t="s">
        <v>473</v>
      </c>
      <c r="G298" s="25">
        <f t="shared" si="4"/>
        <v>9.3392070484576983E-4</v>
      </c>
      <c r="I298" s="66">
        <v>70.75</v>
      </c>
      <c r="J298" s="66">
        <v>70.790000000000006</v>
      </c>
      <c r="K298" s="66">
        <v>70.09</v>
      </c>
      <c r="L298" s="66">
        <v>70.125</v>
      </c>
      <c r="M298" s="66">
        <v>15406620</v>
      </c>
      <c r="N298" s="66" t="s">
        <v>473</v>
      </c>
      <c r="O298" s="25">
        <f t="shared" si="5"/>
        <v>8.9126559714796105E-3</v>
      </c>
    </row>
    <row r="299" spans="1:15">
      <c r="A299" s="65">
        <v>566.95000000000005</v>
      </c>
      <c r="B299" s="65">
        <v>568.33000000000004</v>
      </c>
      <c r="C299" s="65">
        <v>563.21</v>
      </c>
      <c r="D299" s="65">
        <v>565.11</v>
      </c>
      <c r="E299" s="65">
        <v>6056524</v>
      </c>
      <c r="F299" s="65" t="s">
        <v>474</v>
      </c>
      <c r="G299" s="25">
        <f t="shared" si="4"/>
        <v>3.2560032560033925E-3</v>
      </c>
      <c r="I299" s="66">
        <v>70.33</v>
      </c>
      <c r="J299" s="66">
        <v>70.56</v>
      </c>
      <c r="K299" s="66">
        <v>69.47</v>
      </c>
      <c r="L299" s="66">
        <v>69.59</v>
      </c>
      <c r="M299" s="66">
        <v>23470691</v>
      </c>
      <c r="N299" s="66" t="s">
        <v>474</v>
      </c>
      <c r="O299" s="25">
        <f t="shared" si="5"/>
        <v>1.0633711740192453E-2</v>
      </c>
    </row>
    <row r="300" spans="1:15">
      <c r="A300" s="65">
        <v>564.15</v>
      </c>
      <c r="B300" s="65">
        <v>564.54999999999995</v>
      </c>
      <c r="C300" s="65">
        <v>560.96</v>
      </c>
      <c r="D300" s="65">
        <v>561.52</v>
      </c>
      <c r="E300" s="65">
        <v>6081444</v>
      </c>
      <c r="F300" s="65" t="s">
        <v>475</v>
      </c>
      <c r="G300" s="25">
        <f t="shared" si="4"/>
        <v>4.6837156290069348E-3</v>
      </c>
      <c r="I300" s="66">
        <v>69.47</v>
      </c>
      <c r="J300" s="66">
        <v>69.92</v>
      </c>
      <c r="K300" s="66">
        <v>69.144999999999996</v>
      </c>
      <c r="L300" s="66">
        <v>69.7</v>
      </c>
      <c r="M300" s="66">
        <v>14454090</v>
      </c>
      <c r="N300" s="66" t="s">
        <v>475</v>
      </c>
      <c r="O300" s="25">
        <f t="shared" si="5"/>
        <v>-3.2998565279771519E-3</v>
      </c>
    </row>
    <row r="301" spans="1:15">
      <c r="A301" s="65">
        <v>559.72</v>
      </c>
      <c r="B301" s="65">
        <v>561.02</v>
      </c>
      <c r="C301" s="65">
        <v>558.34</v>
      </c>
      <c r="D301" s="65">
        <v>560.52</v>
      </c>
      <c r="E301" s="65">
        <v>16472305</v>
      </c>
      <c r="F301" s="65" t="s">
        <v>476</v>
      </c>
      <c r="G301" s="25">
        <f t="shared" si="4"/>
        <v>-1.4272461285947946E-3</v>
      </c>
      <c r="I301" s="66">
        <v>69.63</v>
      </c>
      <c r="J301" s="66">
        <v>70.02</v>
      </c>
      <c r="K301" s="66">
        <v>69.430000000000007</v>
      </c>
      <c r="L301" s="66">
        <v>69.924999999999997</v>
      </c>
      <c r="M301" s="66">
        <v>12540374</v>
      </c>
      <c r="N301" s="66" t="s">
        <v>476</v>
      </c>
      <c r="O301" s="25">
        <f t="shared" si="5"/>
        <v>-4.2188058634251568E-3</v>
      </c>
    </row>
    <row r="302" spans="1:15">
      <c r="A302" s="65">
        <v>559.44000000000005</v>
      </c>
      <c r="B302" s="65">
        <v>560.42999999999995</v>
      </c>
      <c r="C302" s="65">
        <v>556.37</v>
      </c>
      <c r="D302" s="65">
        <v>557.17999999999995</v>
      </c>
      <c r="E302" s="65">
        <v>6770036</v>
      </c>
      <c r="F302" s="65" t="s">
        <v>477</v>
      </c>
      <c r="G302" s="25">
        <f t="shared" si="4"/>
        <v>4.0561398470873034E-3</v>
      </c>
      <c r="I302" s="66">
        <v>70.209999999999994</v>
      </c>
      <c r="J302" s="66">
        <v>70.349999999999994</v>
      </c>
      <c r="K302" s="66">
        <v>69.685000000000002</v>
      </c>
      <c r="L302" s="66">
        <v>69.944999999999993</v>
      </c>
      <c r="M302" s="66">
        <v>15216084</v>
      </c>
      <c r="N302" s="66" t="s">
        <v>477</v>
      </c>
      <c r="O302" s="25">
        <f t="shared" si="5"/>
        <v>3.7886911144471291E-3</v>
      </c>
    </row>
    <row r="303" spans="1:15">
      <c r="A303" s="65">
        <v>553.36</v>
      </c>
      <c r="B303" s="65">
        <v>553.70000000000005</v>
      </c>
      <c r="C303" s="65">
        <v>545.75</v>
      </c>
      <c r="D303" s="65">
        <v>548.66</v>
      </c>
      <c r="E303" s="65">
        <v>9691151</v>
      </c>
      <c r="F303" s="65" t="s">
        <v>478</v>
      </c>
      <c r="G303" s="25">
        <f t="shared" si="4"/>
        <v>8.5663252287391245E-3</v>
      </c>
      <c r="I303" s="66">
        <v>69.739999999999995</v>
      </c>
      <c r="J303" s="66">
        <v>69.81</v>
      </c>
      <c r="K303" s="66">
        <v>68.97</v>
      </c>
      <c r="L303" s="66">
        <v>69.14</v>
      </c>
      <c r="M303" s="66">
        <v>20048349</v>
      </c>
      <c r="N303" s="66" t="s">
        <v>478</v>
      </c>
      <c r="O303" s="25">
        <f t="shared" si="5"/>
        <v>8.6780445472953716E-3</v>
      </c>
    </row>
    <row r="304" spans="1:15">
      <c r="A304" s="65">
        <v>547.72</v>
      </c>
      <c r="B304" s="65">
        <v>552.72</v>
      </c>
      <c r="C304" s="65">
        <v>546.62</v>
      </c>
      <c r="D304" s="65">
        <v>551.72</v>
      </c>
      <c r="E304" s="65">
        <v>9942858</v>
      </c>
      <c r="F304" s="65" t="s">
        <v>479</v>
      </c>
      <c r="G304" s="25">
        <f t="shared" si="4"/>
        <v>-7.2500543754078217E-3</v>
      </c>
      <c r="I304" s="66">
        <v>68.84</v>
      </c>
      <c r="J304" s="66">
        <v>69.555400000000006</v>
      </c>
      <c r="K304" s="66">
        <v>68.78</v>
      </c>
      <c r="L304" s="66">
        <v>69.09</v>
      </c>
      <c r="M304" s="66">
        <v>40827323</v>
      </c>
      <c r="N304" s="66" t="s">
        <v>479</v>
      </c>
      <c r="O304" s="25">
        <f t="shared" si="5"/>
        <v>-3.6184686640613473E-3</v>
      </c>
    </row>
    <row r="305" spans="1:15">
      <c r="A305" s="65">
        <v>549.24</v>
      </c>
      <c r="B305" s="65">
        <v>552.71</v>
      </c>
      <c r="C305" s="65">
        <v>548.39</v>
      </c>
      <c r="D305" s="65">
        <v>550.16</v>
      </c>
      <c r="E305" s="65">
        <v>4602329</v>
      </c>
      <c r="F305" s="65" t="s">
        <v>480</v>
      </c>
      <c r="G305" s="25">
        <f t="shared" si="4"/>
        <v>-1.6722408026754731E-3</v>
      </c>
      <c r="I305" s="66">
        <v>69.209999999999994</v>
      </c>
      <c r="J305" s="66">
        <v>70</v>
      </c>
      <c r="K305" s="66">
        <v>69.09</v>
      </c>
      <c r="L305" s="66">
        <v>70</v>
      </c>
      <c r="M305" s="66">
        <v>16227582</v>
      </c>
      <c r="N305" s="66" t="s">
        <v>480</v>
      </c>
      <c r="O305" s="25">
        <f t="shared" si="5"/>
        <v>-1.1285714285714343E-2</v>
      </c>
    </row>
    <row r="306" spans="1:15">
      <c r="A306" s="65">
        <v>549.35</v>
      </c>
      <c r="B306" s="65">
        <v>553.16</v>
      </c>
      <c r="C306" s="65">
        <v>548.63499999999999</v>
      </c>
      <c r="D306" s="65">
        <v>551.79</v>
      </c>
      <c r="E306" s="65">
        <v>4753344</v>
      </c>
      <c r="F306" s="65" t="s">
        <v>481</v>
      </c>
      <c r="G306" s="25">
        <f t="shared" si="4"/>
        <v>-4.4219721270771783E-3</v>
      </c>
      <c r="I306" s="66">
        <v>69.62</v>
      </c>
      <c r="J306" s="66">
        <v>70.459999999999994</v>
      </c>
      <c r="K306" s="66">
        <v>69.58</v>
      </c>
      <c r="L306" s="66">
        <v>70.38</v>
      </c>
      <c r="M306" s="66">
        <v>15437032</v>
      </c>
      <c r="N306" s="66" t="s">
        <v>481</v>
      </c>
      <c r="O306" s="25">
        <f t="shared" si="5"/>
        <v>-1.0798522307473579E-2</v>
      </c>
    </row>
    <row r="307" spans="1:15">
      <c r="A307" s="65">
        <v>554.07000000000005</v>
      </c>
      <c r="B307" s="65">
        <v>555.69000000000005</v>
      </c>
      <c r="C307" s="65">
        <v>551.87</v>
      </c>
      <c r="D307" s="65">
        <v>551.94000000000005</v>
      </c>
      <c r="E307" s="65">
        <v>7421327</v>
      </c>
      <c r="F307" s="65" t="s">
        <v>482</v>
      </c>
      <c r="G307" s="25">
        <f t="shared" si="4"/>
        <v>3.8591151212088448E-3</v>
      </c>
      <c r="I307" s="66">
        <v>70.52</v>
      </c>
      <c r="J307" s="66">
        <v>71.62</v>
      </c>
      <c r="K307" s="66">
        <v>70.239999999999995</v>
      </c>
      <c r="L307" s="66">
        <v>71.2</v>
      </c>
      <c r="M307" s="66">
        <v>15045880</v>
      </c>
      <c r="N307" s="66" t="s">
        <v>482</v>
      </c>
      <c r="O307" s="25">
        <f t="shared" si="5"/>
        <v>-9.5505617977529322E-3</v>
      </c>
    </row>
    <row r="308" spans="1:15">
      <c r="A308" s="65">
        <v>548.77</v>
      </c>
      <c r="B308" s="65">
        <v>553.245</v>
      </c>
      <c r="C308" s="65">
        <v>547.41</v>
      </c>
      <c r="D308" s="65">
        <v>550.24</v>
      </c>
      <c r="E308" s="65">
        <v>7062316</v>
      </c>
      <c r="F308" s="65" t="s">
        <v>483</v>
      </c>
      <c r="G308" s="25">
        <f t="shared" si="4"/>
        <v>-2.671561500436237E-3</v>
      </c>
      <c r="I308" s="66">
        <v>71.02</v>
      </c>
      <c r="J308" s="66">
        <v>71.88</v>
      </c>
      <c r="K308" s="66">
        <v>70.73</v>
      </c>
      <c r="L308" s="66">
        <v>71.77</v>
      </c>
      <c r="M308" s="66">
        <v>15122756</v>
      </c>
      <c r="N308" s="66" t="s">
        <v>483</v>
      </c>
      <c r="O308" s="25">
        <f t="shared" si="5"/>
        <v>-1.045004876689426E-2</v>
      </c>
    </row>
    <row r="309" spans="1:15">
      <c r="A309" s="65">
        <v>554.95000000000005</v>
      </c>
      <c r="B309" s="65">
        <v>555</v>
      </c>
      <c r="C309" s="65">
        <v>551.13220000000001</v>
      </c>
      <c r="D309" s="65">
        <v>551.6</v>
      </c>
      <c r="E309" s="65">
        <v>8422943</v>
      </c>
      <c r="F309" s="65" t="s">
        <v>484</v>
      </c>
      <c r="G309" s="25">
        <f t="shared" si="4"/>
        <v>6.0732414793329692E-3</v>
      </c>
      <c r="I309" s="66">
        <v>71.729999999999976</v>
      </c>
      <c r="J309" s="66">
        <v>71.888771137873746</v>
      </c>
      <c r="K309" s="66">
        <v>71.094518272425233</v>
      </c>
      <c r="L309" s="66">
        <v>71.739929401993336</v>
      </c>
      <c r="M309" s="66">
        <v>12897968.083647013</v>
      </c>
      <c r="N309" s="66" t="s">
        <v>484</v>
      </c>
      <c r="O309" s="25">
        <f t="shared" si="5"/>
        <v>-1.3840830449829422E-4</v>
      </c>
    </row>
    <row r="310" spans="1:15">
      <c r="A310" s="65">
        <v>552.86</v>
      </c>
      <c r="B310" s="65">
        <v>556.22500000000002</v>
      </c>
      <c r="C310" s="65">
        <v>550.91</v>
      </c>
      <c r="D310" s="65">
        <v>555.41</v>
      </c>
      <c r="E310" s="65">
        <v>20800557</v>
      </c>
      <c r="F310" s="65" t="s">
        <v>485</v>
      </c>
      <c r="G310" s="25">
        <f t="shared" si="4"/>
        <v>-4.5912028951584638E-3</v>
      </c>
      <c r="I310" s="66">
        <v>71.56120016611294</v>
      </c>
      <c r="J310" s="66">
        <v>71.849152823920249</v>
      </c>
      <c r="K310" s="66">
        <v>71.253388704318937</v>
      </c>
      <c r="L310" s="66">
        <v>71.754823504983378</v>
      </c>
      <c r="M310" s="66">
        <v>12808938.552906735</v>
      </c>
      <c r="N310" s="66" t="s">
        <v>485</v>
      </c>
      <c r="O310" s="25">
        <f t="shared" si="5"/>
        <v>-2.6984017159068507E-3</v>
      </c>
    </row>
    <row r="311" spans="1:15">
      <c r="A311" s="65">
        <v>554.39</v>
      </c>
      <c r="B311" s="65">
        <v>554.74</v>
      </c>
      <c r="C311" s="65">
        <v>550.74</v>
      </c>
      <c r="D311" s="65">
        <v>551.78</v>
      </c>
      <c r="E311" s="65">
        <v>5951290</v>
      </c>
      <c r="F311" s="65" t="s">
        <v>486</v>
      </c>
      <c r="G311" s="25">
        <f t="shared" si="4"/>
        <v>4.7301460727102729E-3</v>
      </c>
      <c r="I311" s="66">
        <v>71.839223421926889</v>
      </c>
      <c r="J311" s="66">
        <v>72.171858388704308</v>
      </c>
      <c r="K311" s="66">
        <v>71.253388704318937</v>
      </c>
      <c r="L311" s="66">
        <v>71.392400332225904</v>
      </c>
      <c r="M311" s="66">
        <v>12345855.277289839</v>
      </c>
      <c r="N311" s="66" t="s">
        <v>486</v>
      </c>
      <c r="O311" s="25">
        <f t="shared" si="5"/>
        <v>6.2586926286507527E-3</v>
      </c>
    </row>
    <row r="312" spans="1:15">
      <c r="A312" s="65">
        <v>551.25</v>
      </c>
      <c r="B312" s="65">
        <v>552.70000000000005</v>
      </c>
      <c r="C312" s="65">
        <v>550.20000000000005</v>
      </c>
      <c r="D312" s="65">
        <v>551.29999999999995</v>
      </c>
      <c r="E312" s="65">
        <v>4482378</v>
      </c>
      <c r="F312" s="65" t="s">
        <v>487</v>
      </c>
      <c r="G312" s="25">
        <f t="shared" si="4"/>
        <v>-9.0694721567086134E-5</v>
      </c>
      <c r="I312" s="66">
        <v>71.263318106312269</v>
      </c>
      <c r="J312" s="66">
        <v>71.322894518272406</v>
      </c>
      <c r="K312" s="66">
        <v>70.588118770764112</v>
      </c>
      <c r="L312" s="66">
        <v>70.846283222591339</v>
      </c>
      <c r="M312" s="66">
        <v>12155491.345880387</v>
      </c>
      <c r="N312" s="66" t="s">
        <v>487</v>
      </c>
      <c r="O312" s="25">
        <f t="shared" si="5"/>
        <v>5.8864751226348488E-3</v>
      </c>
    </row>
    <row r="313" spans="1:15">
      <c r="A313" s="65">
        <v>550.66</v>
      </c>
      <c r="B313" s="65">
        <v>552.32000000000005</v>
      </c>
      <c r="C313" s="65">
        <v>548.69989999999996</v>
      </c>
      <c r="D313" s="65">
        <v>550.29999999999995</v>
      </c>
      <c r="E313" s="65">
        <v>4712599</v>
      </c>
      <c r="F313" s="65" t="s">
        <v>488</v>
      </c>
      <c r="G313" s="25">
        <f t="shared" si="4"/>
        <v>6.5418862438670899E-4</v>
      </c>
      <c r="I313" s="66">
        <v>70.846283222591339</v>
      </c>
      <c r="J313" s="66">
        <v>70.975365448504974</v>
      </c>
      <c r="K313" s="66">
        <v>70.443943853820585</v>
      </c>
      <c r="L313" s="66">
        <v>70.583154069767417</v>
      </c>
      <c r="M313" s="66">
        <v>8725489.2145545818</v>
      </c>
      <c r="N313" s="66" t="s">
        <v>488</v>
      </c>
      <c r="O313" s="25">
        <f t="shared" si="5"/>
        <v>3.7279313497924349E-3</v>
      </c>
    </row>
    <row r="314" spans="1:15">
      <c r="A314" s="65">
        <v>545.09</v>
      </c>
      <c r="B314" s="65">
        <v>550.63</v>
      </c>
      <c r="C314" s="65">
        <v>543.33749999999998</v>
      </c>
      <c r="D314" s="65">
        <v>549.48</v>
      </c>
      <c r="E314" s="65">
        <v>6334538</v>
      </c>
      <c r="F314" s="65" t="s">
        <v>489</v>
      </c>
      <c r="G314" s="25">
        <f t="shared" si="4"/>
        <v>-7.9893717696730704E-3</v>
      </c>
      <c r="I314" s="66">
        <v>70.409389534883701</v>
      </c>
      <c r="J314" s="66">
        <v>70.950541943521586</v>
      </c>
      <c r="K314" s="66">
        <v>70.334919019933537</v>
      </c>
      <c r="L314" s="66">
        <v>70.876071428571407</v>
      </c>
      <c r="M314" s="66">
        <v>12487177.98745295</v>
      </c>
      <c r="N314" s="66" t="s">
        <v>489</v>
      </c>
      <c r="O314" s="25">
        <f t="shared" si="5"/>
        <v>-6.5844774446623955E-3</v>
      </c>
    </row>
    <row r="315" spans="1:15">
      <c r="A315" s="65">
        <v>547.65</v>
      </c>
      <c r="B315" s="65">
        <v>549.65</v>
      </c>
      <c r="C315" s="65">
        <v>547.44259999999997</v>
      </c>
      <c r="D315" s="65">
        <v>548.75</v>
      </c>
      <c r="E315" s="65">
        <v>4510272</v>
      </c>
      <c r="F315" s="65" t="s">
        <v>490</v>
      </c>
      <c r="G315" s="25">
        <f t="shared" si="4"/>
        <v>-2.0045558086561055E-3</v>
      </c>
      <c r="I315" s="66">
        <v>70.866142026578061</v>
      </c>
      <c r="J315" s="66">
        <v>71.337788621262447</v>
      </c>
      <c r="K315" s="66">
        <v>70.181013289036542</v>
      </c>
      <c r="L315" s="66">
        <v>70.756918604651162</v>
      </c>
      <c r="M315" s="66">
        <v>13486203.911334172</v>
      </c>
      <c r="N315" s="66" t="s">
        <v>490</v>
      </c>
      <c r="O315" s="25">
        <f t="shared" si="5"/>
        <v>1.543642997473782E-3</v>
      </c>
    </row>
    <row r="316" spans="1:15">
      <c r="A316" s="65">
        <v>548</v>
      </c>
      <c r="B316" s="65">
        <v>548.87</v>
      </c>
      <c r="C316" s="65">
        <v>544.09</v>
      </c>
      <c r="D316" s="65">
        <v>544.53</v>
      </c>
      <c r="E316" s="65">
        <v>4968649</v>
      </c>
      <c r="F316" s="65" t="s">
        <v>491</v>
      </c>
      <c r="G316" s="25">
        <f t="shared" ref="G316:G379" si="6">A316/D316-1</f>
        <v>6.3724679999266343E-3</v>
      </c>
      <c r="I316" s="66">
        <v>70.657624584717595</v>
      </c>
      <c r="J316" s="66">
        <v>71.27324750830563</v>
      </c>
      <c r="K316" s="66">
        <v>69.977460548172743</v>
      </c>
      <c r="L316" s="66">
        <v>71.203741694352146</v>
      </c>
      <c r="M316" s="66">
        <v>20272774.748640738</v>
      </c>
      <c r="N316" s="66" t="s">
        <v>491</v>
      </c>
      <c r="O316" s="25">
        <f t="shared" ref="O316:O379" si="7">I316/L316-1</f>
        <v>-7.6697810626132901E-3</v>
      </c>
    </row>
    <row r="317" spans="1:15">
      <c r="A317" s="65">
        <v>544.91</v>
      </c>
      <c r="B317" s="65">
        <v>544.91</v>
      </c>
      <c r="C317" s="65">
        <v>537.79999999999995</v>
      </c>
      <c r="D317" s="65">
        <v>540.25</v>
      </c>
      <c r="E317" s="65">
        <v>5900870</v>
      </c>
      <c r="F317" s="65" t="s">
        <v>492</v>
      </c>
      <c r="G317" s="25">
        <f t="shared" si="6"/>
        <v>8.6256362795000818E-3</v>
      </c>
      <c r="I317" s="66">
        <v>71.491694352159456</v>
      </c>
      <c r="J317" s="66">
        <v>71.531411960132885</v>
      </c>
      <c r="K317" s="66">
        <v>70.8562126245847</v>
      </c>
      <c r="L317" s="66">
        <v>71.516517857142844</v>
      </c>
      <c r="M317" s="66">
        <v>10265239.54496027</v>
      </c>
      <c r="N317" s="66" t="s">
        <v>492</v>
      </c>
      <c r="O317" s="25">
        <f t="shared" si="7"/>
        <v>-3.4710170079832459E-4</v>
      </c>
    </row>
    <row r="318" spans="1:15">
      <c r="A318" s="65">
        <v>541.76</v>
      </c>
      <c r="B318" s="65">
        <v>543.39</v>
      </c>
      <c r="C318" s="65">
        <v>536.16</v>
      </c>
      <c r="D318" s="65">
        <v>541.35</v>
      </c>
      <c r="E318" s="65">
        <v>6160101</v>
      </c>
      <c r="F318" s="65" t="s">
        <v>493</v>
      </c>
      <c r="G318" s="25">
        <f t="shared" si="6"/>
        <v>7.5736584464758394E-4</v>
      </c>
      <c r="I318" s="66">
        <v>71.590988372093008</v>
      </c>
      <c r="J318" s="66">
        <v>71.958376245847163</v>
      </c>
      <c r="K318" s="66">
        <v>71.099482973421914</v>
      </c>
      <c r="L318" s="66">
        <v>71.099482973421914</v>
      </c>
      <c r="M318" s="66">
        <v>28080300.322877463</v>
      </c>
      <c r="N318" s="66" t="s">
        <v>493</v>
      </c>
      <c r="O318" s="25">
        <f t="shared" si="7"/>
        <v>6.9129250750645799E-3</v>
      </c>
    </row>
    <row r="319" spans="1:15">
      <c r="A319" s="65">
        <v>542.32000000000005</v>
      </c>
      <c r="B319" s="65">
        <v>545.28</v>
      </c>
      <c r="C319" s="65">
        <v>538.74</v>
      </c>
      <c r="D319" s="65">
        <v>545.15</v>
      </c>
      <c r="E319" s="65">
        <v>4668939</v>
      </c>
      <c r="F319" s="65" t="s">
        <v>494</v>
      </c>
      <c r="G319" s="25">
        <f t="shared" si="6"/>
        <v>-5.1912317710720579E-3</v>
      </c>
      <c r="I319" s="66">
        <v>70.98529485049832</v>
      </c>
      <c r="J319" s="66">
        <v>71.15409468438537</v>
      </c>
      <c r="K319" s="66">
        <v>69.962566445182702</v>
      </c>
      <c r="L319" s="66">
        <v>70.498754152823906</v>
      </c>
      <c r="M319" s="66">
        <v>10367285.972396489</v>
      </c>
      <c r="N319" s="66" t="s">
        <v>494</v>
      </c>
      <c r="O319" s="25">
        <f t="shared" si="7"/>
        <v>6.901408450704194E-3</v>
      </c>
    </row>
    <row r="320" spans="1:15">
      <c r="A320" s="65">
        <v>540.24</v>
      </c>
      <c r="B320" s="65">
        <v>544.9</v>
      </c>
      <c r="C320" s="65">
        <v>539.61</v>
      </c>
      <c r="D320" s="65">
        <v>543.79</v>
      </c>
      <c r="E320" s="65">
        <v>4806244</v>
      </c>
      <c r="F320" s="65" t="s">
        <v>495</v>
      </c>
      <c r="G320" s="25">
        <f t="shared" si="6"/>
        <v>-6.5282553927066278E-3</v>
      </c>
      <c r="I320" s="66">
        <v>70.647695182724249</v>
      </c>
      <c r="J320" s="66">
        <v>71.392400332225904</v>
      </c>
      <c r="K320" s="66">
        <v>70.548401162790682</v>
      </c>
      <c r="L320" s="66">
        <v>71.1938122923588</v>
      </c>
      <c r="M320" s="66">
        <v>8734294.3772480153</v>
      </c>
      <c r="N320" s="66" t="s">
        <v>495</v>
      </c>
      <c r="O320" s="25">
        <f t="shared" si="7"/>
        <v>-7.670850767085069E-3</v>
      </c>
    </row>
    <row r="321" spans="1:15">
      <c r="A321" s="65">
        <v>543.34</v>
      </c>
      <c r="B321" s="65">
        <v>543.52</v>
      </c>
      <c r="C321" s="65">
        <v>537.17999999999995</v>
      </c>
      <c r="D321" s="65">
        <v>538.72</v>
      </c>
      <c r="E321" s="65">
        <v>6086299</v>
      </c>
      <c r="F321" s="65" t="s">
        <v>496</v>
      </c>
      <c r="G321" s="25">
        <f t="shared" si="6"/>
        <v>8.5758835758835694E-3</v>
      </c>
      <c r="I321" s="66">
        <v>71.27324750830563</v>
      </c>
      <c r="J321" s="66">
        <v>71.710141196013282</v>
      </c>
      <c r="K321" s="66">
        <v>71.054800664451818</v>
      </c>
      <c r="L321" s="66">
        <v>71.233529900332215</v>
      </c>
      <c r="M321" s="66">
        <v>10628517.212881641</v>
      </c>
      <c r="N321" s="66" t="s">
        <v>496</v>
      </c>
      <c r="O321" s="25">
        <f t="shared" si="7"/>
        <v>5.5756899916348246E-4</v>
      </c>
    </row>
    <row r="322" spans="1:15">
      <c r="A322" s="65">
        <v>532.4</v>
      </c>
      <c r="B322" s="65">
        <v>534.80989999999997</v>
      </c>
      <c r="C322" s="65">
        <v>529.11</v>
      </c>
      <c r="D322" s="65">
        <v>529.42999999999995</v>
      </c>
      <c r="E322" s="65">
        <v>6455875</v>
      </c>
      <c r="F322" s="65" t="s">
        <v>497</v>
      </c>
      <c r="G322" s="25">
        <f t="shared" si="6"/>
        <v>5.6098067733223456E-3</v>
      </c>
      <c r="I322" s="66">
        <v>71.263318106312269</v>
      </c>
      <c r="J322" s="66">
        <v>71.471835548172749</v>
      </c>
      <c r="K322" s="66">
        <v>70.185977990033209</v>
      </c>
      <c r="L322" s="66">
        <v>71.034941860465111</v>
      </c>
      <c r="M322" s="66">
        <v>12913310.397323297</v>
      </c>
      <c r="N322" s="66" t="s">
        <v>497</v>
      </c>
      <c r="O322" s="25">
        <f t="shared" si="7"/>
        <v>3.2149846239863944E-3</v>
      </c>
    </row>
    <row r="323" spans="1:15">
      <c r="A323" s="65">
        <v>536.02</v>
      </c>
      <c r="B323" s="65">
        <v>539.22500000000002</v>
      </c>
      <c r="C323" s="65">
        <v>534.44000000000005</v>
      </c>
      <c r="D323" s="65">
        <v>535.6</v>
      </c>
      <c r="E323" s="65">
        <v>5816572</v>
      </c>
      <c r="F323" s="65" t="s">
        <v>498</v>
      </c>
      <c r="G323" s="25">
        <f t="shared" si="6"/>
        <v>7.8416728902164223E-4</v>
      </c>
      <c r="I323" s="66">
        <v>70.637765780730888</v>
      </c>
      <c r="J323" s="66">
        <v>71.476800249169429</v>
      </c>
      <c r="K323" s="66">
        <v>70.459036544850477</v>
      </c>
      <c r="L323" s="66">
        <v>71.332823920265767</v>
      </c>
      <c r="M323" s="66">
        <v>11180731.737348393</v>
      </c>
      <c r="N323" s="66" t="s">
        <v>498</v>
      </c>
      <c r="O323" s="25">
        <f t="shared" si="7"/>
        <v>-9.7438752783963745E-3</v>
      </c>
    </row>
    <row r="324" spans="1:15">
      <c r="A324" s="65">
        <v>535.77</v>
      </c>
      <c r="B324" s="65">
        <v>544.69050000000004</v>
      </c>
      <c r="C324" s="65">
        <v>534.82000000000005</v>
      </c>
      <c r="D324" s="65">
        <v>540.91</v>
      </c>
      <c r="E324" s="65">
        <v>6339491</v>
      </c>
      <c r="F324" s="65" t="s">
        <v>499</v>
      </c>
      <c r="G324" s="25">
        <f t="shared" si="6"/>
        <v>-9.5025050378065856E-3</v>
      </c>
      <c r="I324" s="66">
        <v>71.342753322259114</v>
      </c>
      <c r="J324" s="66">
        <v>71.571129568106301</v>
      </c>
      <c r="K324" s="66">
        <v>71.079624169435192</v>
      </c>
      <c r="L324" s="66">
        <v>71.183882890365439</v>
      </c>
      <c r="M324" s="66">
        <v>12180415.304056883</v>
      </c>
      <c r="N324" s="66" t="s">
        <v>499</v>
      </c>
      <c r="O324" s="25">
        <f t="shared" si="7"/>
        <v>2.2318314967217923E-3</v>
      </c>
    </row>
    <row r="325" spans="1:15">
      <c r="A325" s="65">
        <v>544.88</v>
      </c>
      <c r="B325" s="65">
        <v>546.05999999999995</v>
      </c>
      <c r="C325" s="65">
        <v>541.99</v>
      </c>
      <c r="D325" s="65">
        <v>545.22</v>
      </c>
      <c r="E325" s="65">
        <v>7158205</v>
      </c>
      <c r="F325" s="65" t="s">
        <v>500</v>
      </c>
      <c r="G325" s="25">
        <f t="shared" si="6"/>
        <v>-6.2360148197060372E-4</v>
      </c>
      <c r="I325" s="66">
        <v>71.183882890365439</v>
      </c>
      <c r="J325" s="66">
        <v>71.620776578073077</v>
      </c>
      <c r="K325" s="66">
        <v>70.925718438538198</v>
      </c>
      <c r="L325" s="66">
        <v>71.293106312292338</v>
      </c>
      <c r="M325" s="66">
        <v>12224097.693015477</v>
      </c>
      <c r="N325" s="66" t="s">
        <v>500</v>
      </c>
      <c r="O325" s="25">
        <f t="shared" si="7"/>
        <v>-1.5320334261836877E-3</v>
      </c>
    </row>
    <row r="326" spans="1:15">
      <c r="A326" s="65">
        <v>546.82000000000005</v>
      </c>
      <c r="B326" s="65">
        <v>547.45000000000005</v>
      </c>
      <c r="C326" s="65">
        <v>540.58000000000004</v>
      </c>
      <c r="D326" s="65">
        <v>540.63</v>
      </c>
      <c r="E326" s="65">
        <v>7766058</v>
      </c>
      <c r="F326" s="65" t="s">
        <v>501</v>
      </c>
      <c r="G326" s="25">
        <f t="shared" si="6"/>
        <v>1.144960509035764E-2</v>
      </c>
      <c r="I326" s="66">
        <v>71.422188538205972</v>
      </c>
      <c r="J326" s="66">
        <v>71.660494186046506</v>
      </c>
      <c r="K326" s="66">
        <v>71.134235880398663</v>
      </c>
      <c r="L326" s="66">
        <v>71.521482558139525</v>
      </c>
      <c r="M326" s="66">
        <v>13377215.474696781</v>
      </c>
      <c r="N326" s="66" t="s">
        <v>501</v>
      </c>
      <c r="O326" s="25">
        <f t="shared" si="7"/>
        <v>-1.3883104262112367E-3</v>
      </c>
    </row>
    <row r="327" spans="1:15">
      <c r="A327" s="65">
        <v>546.26</v>
      </c>
      <c r="B327" s="65">
        <v>546.47</v>
      </c>
      <c r="C327" s="65">
        <v>541.70000000000005</v>
      </c>
      <c r="D327" s="65">
        <v>543.47</v>
      </c>
      <c r="E327" s="65">
        <v>7255342</v>
      </c>
      <c r="F327" s="65" t="s">
        <v>502</v>
      </c>
      <c r="G327" s="25">
        <f t="shared" si="6"/>
        <v>5.1336780319060082E-3</v>
      </c>
      <c r="I327" s="66">
        <v>71.491694352159456</v>
      </c>
      <c r="J327" s="66">
        <v>71.749858803986697</v>
      </c>
      <c r="K327" s="66">
        <v>70.925718438538198</v>
      </c>
      <c r="L327" s="66">
        <v>71.352682724252475</v>
      </c>
      <c r="M327" s="66">
        <v>18572316.854872443</v>
      </c>
      <c r="N327" s="66" t="s">
        <v>502</v>
      </c>
      <c r="O327" s="25">
        <f t="shared" si="7"/>
        <v>1.9482326746451673E-3</v>
      </c>
    </row>
    <row r="328" spans="1:15">
      <c r="A328" s="65">
        <v>542.76</v>
      </c>
      <c r="B328" s="65">
        <v>543.24890000000005</v>
      </c>
      <c r="C328" s="65">
        <v>537.84</v>
      </c>
      <c r="D328" s="65">
        <v>538.26</v>
      </c>
      <c r="E328" s="65">
        <v>7362193</v>
      </c>
      <c r="F328" s="65" t="s">
        <v>503</v>
      </c>
      <c r="G328" s="25">
        <f t="shared" si="6"/>
        <v>8.360271987515322E-3</v>
      </c>
      <c r="I328" s="66">
        <v>71.104447674418594</v>
      </c>
      <c r="J328" s="66">
        <v>71.223600498338868</v>
      </c>
      <c r="K328" s="66">
        <v>69.108637873754134</v>
      </c>
      <c r="L328" s="66">
        <v>69.2079318936877</v>
      </c>
      <c r="M328" s="66">
        <v>19957995.469677962</v>
      </c>
      <c r="N328" s="66" t="s">
        <v>503</v>
      </c>
      <c r="O328" s="25">
        <f t="shared" si="7"/>
        <v>2.7403156384504967E-2</v>
      </c>
    </row>
    <row r="329" spans="1:15">
      <c r="A329" s="65">
        <v>540.11</v>
      </c>
      <c r="B329" s="65">
        <v>541.41999999999996</v>
      </c>
      <c r="C329" s="65">
        <v>538.24</v>
      </c>
      <c r="D329" s="65">
        <v>540.37</v>
      </c>
      <c r="E329" s="65">
        <v>5031301</v>
      </c>
      <c r="F329" s="65" t="s">
        <v>504</v>
      </c>
      <c r="G329" s="25">
        <f t="shared" si="6"/>
        <v>-4.8115180339391994E-4</v>
      </c>
      <c r="I329" s="66">
        <v>68.671744186046496</v>
      </c>
      <c r="J329" s="66">
        <v>68.850473421926907</v>
      </c>
      <c r="K329" s="66">
        <v>68.095838870431876</v>
      </c>
      <c r="L329" s="66">
        <v>68.393720930232547</v>
      </c>
      <c r="M329" s="66">
        <v>16402598.072772902</v>
      </c>
      <c r="N329" s="66" t="s">
        <v>504</v>
      </c>
      <c r="O329" s="25">
        <f t="shared" si="7"/>
        <v>4.0650406504063596E-3</v>
      </c>
    </row>
    <row r="330" spans="1:15">
      <c r="A330" s="65">
        <v>539.44000000000005</v>
      </c>
      <c r="B330" s="65">
        <v>541.48</v>
      </c>
      <c r="C330" s="65">
        <v>535.78</v>
      </c>
      <c r="D330" s="65">
        <v>536.33000000000004</v>
      </c>
      <c r="E330" s="65">
        <v>7356804</v>
      </c>
      <c r="F330" s="65" t="s">
        <v>505</v>
      </c>
      <c r="G330" s="25">
        <f t="shared" si="6"/>
        <v>5.7986687300728423E-3</v>
      </c>
      <c r="I330" s="66">
        <v>68.473156146179377</v>
      </c>
      <c r="J330" s="66">
        <v>69.198002491694339</v>
      </c>
      <c r="K330" s="66">
        <v>68.3837915282392</v>
      </c>
      <c r="L330" s="66">
        <v>69.098708471760787</v>
      </c>
      <c r="M330" s="66">
        <v>14491359.106649939</v>
      </c>
      <c r="N330" s="66" t="s">
        <v>505</v>
      </c>
      <c r="O330" s="25">
        <f t="shared" si="7"/>
        <v>-9.0530248598938989E-3</v>
      </c>
    </row>
    <row r="331" spans="1:15">
      <c r="A331" s="65">
        <v>535.91999999999996</v>
      </c>
      <c r="B331" s="65">
        <v>535.91999999999996</v>
      </c>
      <c r="C331" s="65">
        <v>530.39</v>
      </c>
      <c r="D331" s="65">
        <v>534.5</v>
      </c>
      <c r="E331" s="65">
        <v>7793576</v>
      </c>
      <c r="F331" s="65" t="s">
        <v>506</v>
      </c>
      <c r="G331" s="25">
        <f t="shared" si="6"/>
        <v>2.6566884939194235E-3</v>
      </c>
      <c r="I331" s="66">
        <v>69.03913205980065</v>
      </c>
      <c r="J331" s="66">
        <v>69.833484219269096</v>
      </c>
      <c r="K331" s="66">
        <v>68.21499169435215</v>
      </c>
      <c r="L331" s="66">
        <v>69.649790282392004</v>
      </c>
      <c r="M331" s="66">
        <v>21692155.292346302</v>
      </c>
      <c r="N331" s="66" t="s">
        <v>506</v>
      </c>
      <c r="O331" s="25">
        <f t="shared" si="7"/>
        <v>-8.7675529260815566E-3</v>
      </c>
    </row>
    <row r="332" spans="1:15">
      <c r="A332" s="65">
        <v>518.65</v>
      </c>
      <c r="B332" s="65">
        <v>521.63059999999996</v>
      </c>
      <c r="C332" s="65">
        <v>517.36</v>
      </c>
      <c r="D332" s="65">
        <v>520.69000000000005</v>
      </c>
      <c r="E332" s="65">
        <v>4739506</v>
      </c>
      <c r="F332" s="65" t="s">
        <v>507</v>
      </c>
      <c r="G332" s="25">
        <f t="shared" si="6"/>
        <v>-3.9178782000808265E-3</v>
      </c>
      <c r="I332" s="66">
        <v>70.022142857142839</v>
      </c>
      <c r="J332" s="66">
        <v>70.647695182724249</v>
      </c>
      <c r="K332" s="66">
        <v>69.962566445182702</v>
      </c>
      <c r="L332" s="66">
        <v>70.488824750830545</v>
      </c>
      <c r="M332" s="66">
        <v>11308784.766206611</v>
      </c>
      <c r="N332" s="66" t="s">
        <v>507</v>
      </c>
      <c r="O332" s="25">
        <f t="shared" si="7"/>
        <v>-6.6206507958866956E-3</v>
      </c>
    </row>
    <row r="333" spans="1:15">
      <c r="A333" s="65">
        <v>519.34</v>
      </c>
      <c r="B333" s="65">
        <v>524.23</v>
      </c>
      <c r="C333" s="65">
        <v>516.34500000000003</v>
      </c>
      <c r="D333" s="65">
        <v>519.54</v>
      </c>
      <c r="E333" s="65">
        <v>5088200</v>
      </c>
      <c r="F333" s="65" t="s">
        <v>508</v>
      </c>
      <c r="G333" s="25">
        <f t="shared" si="6"/>
        <v>-3.8495592254672584E-4</v>
      </c>
      <c r="I333" s="66">
        <v>70.667553986710956</v>
      </c>
      <c r="J333" s="66">
        <v>71.958376245847163</v>
      </c>
      <c r="K333" s="66">
        <v>70.627836378737527</v>
      </c>
      <c r="L333" s="66">
        <v>71.690282392026575</v>
      </c>
      <c r="M333" s="66">
        <v>14473239.183605189</v>
      </c>
      <c r="N333" s="66" t="s">
        <v>508</v>
      </c>
      <c r="O333" s="25">
        <f t="shared" si="7"/>
        <v>-1.4265927977839432E-2</v>
      </c>
    </row>
    <row r="334" spans="1:15">
      <c r="A334" s="65">
        <v>515.9</v>
      </c>
      <c r="B334" s="65">
        <v>518.17999999999995</v>
      </c>
      <c r="C334" s="65">
        <v>511.1</v>
      </c>
      <c r="D334" s="65">
        <v>514.91999999999996</v>
      </c>
      <c r="E334" s="65">
        <v>5467344</v>
      </c>
      <c r="F334" s="65" t="s">
        <v>509</v>
      </c>
      <c r="G334" s="25">
        <f t="shared" si="6"/>
        <v>1.9032082653616111E-3</v>
      </c>
      <c r="I334" s="66">
        <v>71.888870431893679</v>
      </c>
      <c r="J334" s="66">
        <v>72.171858388704308</v>
      </c>
      <c r="K334" s="66">
        <v>71.164024086378731</v>
      </c>
      <c r="L334" s="66">
        <v>71.213671096345507</v>
      </c>
      <c r="M334" s="66">
        <v>15132619.275616899</v>
      </c>
      <c r="N334" s="66" t="s">
        <v>509</v>
      </c>
      <c r="O334" s="25">
        <f t="shared" si="7"/>
        <v>9.4813162297824327E-3</v>
      </c>
    </row>
    <row r="335" spans="1:15">
      <c r="A335" s="65">
        <v>513.58000000000004</v>
      </c>
      <c r="B335" s="65">
        <v>517.82500000000005</v>
      </c>
      <c r="C335" s="65">
        <v>511.94</v>
      </c>
      <c r="D335" s="65">
        <v>512.89</v>
      </c>
      <c r="E335" s="65">
        <v>4694270</v>
      </c>
      <c r="F335" s="65" t="s">
        <v>510</v>
      </c>
      <c r="G335" s="25">
        <f t="shared" si="6"/>
        <v>1.3453177094504554E-3</v>
      </c>
      <c r="I335" s="66">
        <v>71.213671096345507</v>
      </c>
      <c r="J335" s="66">
        <v>71.392400332225904</v>
      </c>
      <c r="K335" s="66">
        <v>70.657624584717595</v>
      </c>
      <c r="L335" s="66">
        <v>71.168988787375397</v>
      </c>
      <c r="M335" s="66">
        <v>12795810.874111252</v>
      </c>
      <c r="N335" s="66" t="s">
        <v>510</v>
      </c>
      <c r="O335" s="25">
        <f t="shared" si="7"/>
        <v>6.2783397279408959E-4</v>
      </c>
    </row>
    <row r="336" spans="1:15">
      <c r="A336" s="65">
        <v>517.99</v>
      </c>
      <c r="B336" s="65">
        <v>520.85</v>
      </c>
      <c r="C336" s="65">
        <v>516.27</v>
      </c>
      <c r="D336" s="65">
        <v>517.08000000000004</v>
      </c>
      <c r="E336" s="65">
        <v>4793497</v>
      </c>
      <c r="F336" s="65" t="s">
        <v>511</v>
      </c>
      <c r="G336" s="25">
        <f t="shared" si="6"/>
        <v>1.7598824166473737E-3</v>
      </c>
      <c r="I336" s="66">
        <v>71.1938122923588</v>
      </c>
      <c r="J336" s="66">
        <v>71.293106312292338</v>
      </c>
      <c r="K336" s="66">
        <v>70.508683554817267</v>
      </c>
      <c r="L336" s="66">
        <v>71.164024086378731</v>
      </c>
      <c r="M336" s="66">
        <v>12017528.354663324</v>
      </c>
      <c r="N336" s="66" t="s">
        <v>511</v>
      </c>
      <c r="O336" s="25">
        <f t="shared" si="7"/>
        <v>4.185851820845965E-4</v>
      </c>
    </row>
    <row r="337" spans="1:15">
      <c r="A337" s="65">
        <v>520.71</v>
      </c>
      <c r="B337" s="65">
        <v>522.41</v>
      </c>
      <c r="C337" s="65">
        <v>516.89</v>
      </c>
      <c r="D337" s="65">
        <v>519.12</v>
      </c>
      <c r="E337" s="65">
        <v>6285390</v>
      </c>
      <c r="F337" s="65" t="s">
        <v>512</v>
      </c>
      <c r="G337" s="25">
        <f t="shared" si="6"/>
        <v>3.0628756356911868E-3</v>
      </c>
      <c r="I337" s="66">
        <v>71.144165282392024</v>
      </c>
      <c r="J337" s="66">
        <v>71.308000415282379</v>
      </c>
      <c r="K337" s="66">
        <v>70.593083471760778</v>
      </c>
      <c r="L337" s="66">
        <v>70.995224252491681</v>
      </c>
      <c r="M337" s="66">
        <v>12719389.353408618</v>
      </c>
      <c r="N337" s="66" t="s">
        <v>512</v>
      </c>
      <c r="O337" s="25">
        <f t="shared" si="7"/>
        <v>2.0979020979021712E-3</v>
      </c>
    </row>
    <row r="338" spans="1:15">
      <c r="A338" s="65">
        <v>513.35</v>
      </c>
      <c r="B338" s="65">
        <v>518.44000000000005</v>
      </c>
      <c r="C338" s="65">
        <v>512.77</v>
      </c>
      <c r="D338" s="65">
        <v>515.13</v>
      </c>
      <c r="E338" s="65">
        <v>5784483</v>
      </c>
      <c r="F338" s="65" t="s">
        <v>513</v>
      </c>
      <c r="G338" s="25">
        <f t="shared" si="6"/>
        <v>-3.4554384330168775E-3</v>
      </c>
      <c r="I338" s="66">
        <v>70.78670681063123</v>
      </c>
      <c r="J338" s="66">
        <v>71.531411960132885</v>
      </c>
      <c r="K338" s="66">
        <v>70.727130398671093</v>
      </c>
      <c r="L338" s="66">
        <v>71.491694352159456</v>
      </c>
      <c r="M338" s="66">
        <v>18162385.823504813</v>
      </c>
      <c r="N338" s="66" t="s">
        <v>513</v>
      </c>
      <c r="O338" s="25">
        <f t="shared" si="7"/>
        <v>-9.8611111111108762E-3</v>
      </c>
    </row>
    <row r="339" spans="1:15">
      <c r="A339" s="65">
        <v>509.74</v>
      </c>
      <c r="B339" s="65">
        <v>511.5</v>
      </c>
      <c r="C339" s="65">
        <v>497.76</v>
      </c>
      <c r="D339" s="65">
        <v>503.26</v>
      </c>
      <c r="E339" s="65">
        <v>7873686</v>
      </c>
      <c r="F339" s="65" t="s">
        <v>514</v>
      </c>
      <c r="G339" s="25">
        <f t="shared" si="6"/>
        <v>1.2876048165957998E-2</v>
      </c>
      <c r="I339" s="66">
        <v>72.037811461794007</v>
      </c>
      <c r="J339" s="66">
        <v>72.961245847176073</v>
      </c>
      <c r="K339" s="66">
        <v>71.178918189368758</v>
      </c>
      <c r="L339" s="66">
        <v>72.832163621262438</v>
      </c>
      <c r="M339" s="66">
        <v>21224492.687578421</v>
      </c>
      <c r="N339" s="66" t="s">
        <v>514</v>
      </c>
      <c r="O339" s="25">
        <f t="shared" si="7"/>
        <v>-1.0906612133605886E-2</v>
      </c>
    </row>
    <row r="340" spans="1:15">
      <c r="A340" s="65">
        <v>509.49</v>
      </c>
      <c r="B340" s="65">
        <v>510.54969999999997</v>
      </c>
      <c r="C340" s="65">
        <v>504.26</v>
      </c>
      <c r="D340" s="65">
        <v>504.54</v>
      </c>
      <c r="E340" s="65">
        <v>6525457</v>
      </c>
      <c r="F340" s="65" t="s">
        <v>515</v>
      </c>
      <c r="G340" s="25">
        <f t="shared" si="6"/>
        <v>9.810916874777087E-3</v>
      </c>
      <c r="I340" s="66">
        <v>71.839223421926889</v>
      </c>
      <c r="J340" s="66">
        <v>72.196681893687682</v>
      </c>
      <c r="K340" s="66">
        <v>69.78383720930232</v>
      </c>
      <c r="L340" s="66">
        <v>70.687412790697664</v>
      </c>
      <c r="M340" s="66">
        <v>16359552.177331664</v>
      </c>
      <c r="N340" s="66" t="s">
        <v>515</v>
      </c>
      <c r="O340" s="25">
        <f t="shared" si="7"/>
        <v>1.6294423374069167E-2</v>
      </c>
    </row>
    <row r="341" spans="1:15">
      <c r="A341" s="65">
        <v>506.42</v>
      </c>
      <c r="B341" s="65">
        <v>508.74</v>
      </c>
      <c r="C341" s="65">
        <v>500.96</v>
      </c>
      <c r="D341" s="65">
        <v>506.81</v>
      </c>
      <c r="E341" s="65">
        <v>4210016</v>
      </c>
      <c r="F341" s="65" t="s">
        <v>516</v>
      </c>
      <c r="G341" s="25">
        <f t="shared" si="6"/>
        <v>-7.6951914918799158E-4</v>
      </c>
      <c r="I341" s="66">
        <v>71.283176910298991</v>
      </c>
      <c r="J341" s="66">
        <v>71.749858803986697</v>
      </c>
      <c r="K341" s="66">
        <v>70.806565614617924</v>
      </c>
      <c r="L341" s="66">
        <v>71.56616486710962</v>
      </c>
      <c r="M341" s="66">
        <v>16111237.122542871</v>
      </c>
      <c r="N341" s="66" t="s">
        <v>516</v>
      </c>
      <c r="O341" s="25">
        <f t="shared" si="7"/>
        <v>-3.9542143600416191E-3</v>
      </c>
    </row>
    <row r="342" spans="1:15">
      <c r="A342" s="65">
        <v>506.11</v>
      </c>
      <c r="B342" s="65">
        <v>506.52</v>
      </c>
      <c r="C342" s="65">
        <v>499.75</v>
      </c>
      <c r="D342" s="65">
        <v>502.44</v>
      </c>
      <c r="E342" s="65">
        <v>6933423</v>
      </c>
      <c r="F342" s="65" t="s">
        <v>517</v>
      </c>
      <c r="G342" s="25">
        <f t="shared" si="6"/>
        <v>7.3043547488258476E-3</v>
      </c>
      <c r="I342" s="66">
        <v>71.402329734219251</v>
      </c>
      <c r="J342" s="66">
        <v>72.405199335548161</v>
      </c>
      <c r="K342" s="66">
        <v>70.622871677740847</v>
      </c>
      <c r="L342" s="66">
        <v>72.137105481727573</v>
      </c>
      <c r="M342" s="66">
        <v>16431990.57800084</v>
      </c>
      <c r="N342" s="66" t="s">
        <v>517</v>
      </c>
      <c r="O342" s="25">
        <f t="shared" si="7"/>
        <v>-1.0185822436338809E-2</v>
      </c>
    </row>
    <row r="343" spans="1:15">
      <c r="A343" s="65">
        <v>502.41</v>
      </c>
      <c r="B343" s="65">
        <v>503</v>
      </c>
      <c r="C343" s="65">
        <v>492.22309999999999</v>
      </c>
      <c r="D343" s="65">
        <v>493.26</v>
      </c>
      <c r="E343" s="65">
        <v>6184333</v>
      </c>
      <c r="F343" s="65" t="s">
        <v>518</v>
      </c>
      <c r="G343" s="25">
        <f t="shared" si="6"/>
        <v>1.8550054737866528E-2</v>
      </c>
      <c r="I343" s="66">
        <v>72.008023255813939</v>
      </c>
      <c r="J343" s="66">
        <v>72.906634136212602</v>
      </c>
      <c r="K343" s="66">
        <v>71.789576411960113</v>
      </c>
      <c r="L343" s="66">
        <v>72.504493355481713</v>
      </c>
      <c r="M343" s="66">
        <v>17013976.281053957</v>
      </c>
      <c r="N343" s="66" t="s">
        <v>518</v>
      </c>
      <c r="O343" s="25">
        <f t="shared" si="7"/>
        <v>-6.8474390577923927E-3</v>
      </c>
    </row>
    <row r="344" spans="1:15">
      <c r="A344" s="65">
        <v>492.07</v>
      </c>
      <c r="B344" s="65">
        <v>501.18</v>
      </c>
      <c r="C344" s="65">
        <v>490.7</v>
      </c>
      <c r="D344" s="65">
        <v>496.69</v>
      </c>
      <c r="E344" s="65">
        <v>8047601</v>
      </c>
      <c r="F344" s="65" t="s">
        <v>519</v>
      </c>
      <c r="G344" s="25">
        <f t="shared" si="6"/>
        <v>-9.3015764360063757E-3</v>
      </c>
      <c r="I344" s="66">
        <v>72.782516611295662</v>
      </c>
      <c r="J344" s="66">
        <v>73.42792774086378</v>
      </c>
      <c r="K344" s="66">
        <v>71.869011627906957</v>
      </c>
      <c r="L344" s="66">
        <v>72.772587209302316</v>
      </c>
      <c r="M344" s="66">
        <v>16470203.352572149</v>
      </c>
      <c r="N344" s="66" t="s">
        <v>519</v>
      </c>
      <c r="O344" s="25">
        <f t="shared" si="7"/>
        <v>1.364442625186868E-4</v>
      </c>
    </row>
    <row r="345" spans="1:15">
      <c r="A345" s="65">
        <v>484.29</v>
      </c>
      <c r="B345" s="65">
        <v>486.48</v>
      </c>
      <c r="C345" s="65">
        <v>477.19</v>
      </c>
      <c r="D345" s="65">
        <v>478.07</v>
      </c>
      <c r="E345" s="65">
        <v>6236319</v>
      </c>
      <c r="F345" s="65" t="s">
        <v>520</v>
      </c>
      <c r="G345" s="25">
        <f t="shared" si="6"/>
        <v>1.301064697638421E-2</v>
      </c>
      <c r="I345" s="66">
        <v>73.378280730897004</v>
      </c>
      <c r="J345" s="66">
        <v>73.854892026578057</v>
      </c>
      <c r="K345" s="66">
        <v>72.405199335548161</v>
      </c>
      <c r="L345" s="66">
        <v>72.484634551495006</v>
      </c>
      <c r="M345" s="66">
        <v>15724530.047678798</v>
      </c>
      <c r="N345" s="66" t="s">
        <v>520</v>
      </c>
      <c r="O345" s="25">
        <f t="shared" si="7"/>
        <v>1.2328767123287676E-2</v>
      </c>
    </row>
    <row r="346" spans="1:15">
      <c r="A346" s="65">
        <v>472.37</v>
      </c>
      <c r="B346" s="65">
        <v>479.49</v>
      </c>
      <c r="C346" s="65">
        <v>467.33</v>
      </c>
      <c r="D346" s="65">
        <v>479.02</v>
      </c>
      <c r="E346" s="65">
        <v>7762501</v>
      </c>
      <c r="F346" s="65" t="s">
        <v>521</v>
      </c>
      <c r="G346" s="25">
        <f t="shared" si="6"/>
        <v>-1.388251012483821E-2</v>
      </c>
      <c r="I346" s="66">
        <v>72.256258305647819</v>
      </c>
      <c r="J346" s="66">
        <v>72.953600207641188</v>
      </c>
      <c r="K346" s="66">
        <v>71.312965116279045</v>
      </c>
      <c r="L346" s="66">
        <v>72.861951827242507</v>
      </c>
      <c r="M346" s="66">
        <v>16151214.353826854</v>
      </c>
      <c r="N346" s="66" t="s">
        <v>521</v>
      </c>
      <c r="O346" s="25">
        <f t="shared" si="7"/>
        <v>-8.3128917961298177E-3</v>
      </c>
    </row>
    <row r="347" spans="1:15">
      <c r="A347" s="65">
        <v>483.9</v>
      </c>
      <c r="B347" s="65">
        <v>488.16</v>
      </c>
      <c r="C347" s="65">
        <v>481.5</v>
      </c>
      <c r="D347" s="65">
        <v>484.79</v>
      </c>
      <c r="E347" s="65">
        <v>5638939</v>
      </c>
      <c r="F347" s="65" t="s">
        <v>522</v>
      </c>
      <c r="G347" s="25">
        <f t="shared" si="6"/>
        <v>-1.8358464489780513E-3</v>
      </c>
      <c r="I347" s="66">
        <v>72.484634551495006</v>
      </c>
      <c r="J347" s="66">
        <v>72.906634136212602</v>
      </c>
      <c r="K347" s="66">
        <v>71.213671096345507</v>
      </c>
      <c r="L347" s="66">
        <v>71.392400332225904</v>
      </c>
      <c r="M347" s="66">
        <v>20902059.372647431</v>
      </c>
      <c r="N347" s="66" t="s">
        <v>522</v>
      </c>
      <c r="O347" s="25">
        <f t="shared" si="7"/>
        <v>1.5299026425591E-2</v>
      </c>
    </row>
    <row r="348" spans="1:15">
      <c r="A348" s="65">
        <v>483.23</v>
      </c>
      <c r="B348" s="65">
        <v>491.76499999999999</v>
      </c>
      <c r="C348" s="65">
        <v>478.23</v>
      </c>
      <c r="D348" s="65">
        <v>488.65</v>
      </c>
      <c r="E348" s="65">
        <v>6374869</v>
      </c>
      <c r="F348" s="65" t="s">
        <v>523</v>
      </c>
      <c r="G348" s="25">
        <f t="shared" si="6"/>
        <v>-1.1091783485111972E-2</v>
      </c>
      <c r="I348" s="66">
        <v>71.173953488372092</v>
      </c>
      <c r="J348" s="66">
        <v>72.151999584717601</v>
      </c>
      <c r="K348" s="66">
        <v>70.881036129568102</v>
      </c>
      <c r="L348" s="66">
        <v>71.849152823920249</v>
      </c>
      <c r="M348" s="66">
        <v>15384829.831869513</v>
      </c>
      <c r="N348" s="66" t="s">
        <v>523</v>
      </c>
      <c r="O348" s="25">
        <f t="shared" si="7"/>
        <v>-9.3974571586509237E-3</v>
      </c>
    </row>
    <row r="349" spans="1:15">
      <c r="A349" s="65">
        <v>494.09</v>
      </c>
      <c r="B349" s="65">
        <v>499.27</v>
      </c>
      <c r="C349" s="65">
        <v>493.42</v>
      </c>
      <c r="D349" s="65">
        <v>496.03</v>
      </c>
      <c r="E349" s="65">
        <v>8200583</v>
      </c>
      <c r="F349" s="65" t="s">
        <v>524</v>
      </c>
      <c r="G349" s="25">
        <f t="shared" si="6"/>
        <v>-3.911053766909256E-3</v>
      </c>
      <c r="I349" s="66">
        <v>71.352682724252475</v>
      </c>
      <c r="J349" s="66">
        <v>72.117246677740852</v>
      </c>
      <c r="K349" s="66">
        <v>71.218635797342174</v>
      </c>
      <c r="L349" s="66">
        <v>72.107317275747505</v>
      </c>
      <c r="M349" s="66">
        <v>15071896.58552907</v>
      </c>
      <c r="N349" s="66" t="s">
        <v>524</v>
      </c>
      <c r="O349" s="25">
        <f t="shared" si="7"/>
        <v>-1.0465436518865556E-2</v>
      </c>
    </row>
    <row r="350" spans="1:15">
      <c r="A350" s="65">
        <v>495.48</v>
      </c>
      <c r="B350" s="65">
        <v>500.26</v>
      </c>
      <c r="C350" s="65">
        <v>490.69</v>
      </c>
      <c r="D350" s="65">
        <v>500.05</v>
      </c>
      <c r="E350" s="65">
        <v>7701488</v>
      </c>
      <c r="F350" s="65" t="s">
        <v>525</v>
      </c>
      <c r="G350" s="25">
        <f t="shared" si="6"/>
        <v>-9.1390860913908023E-3</v>
      </c>
      <c r="I350" s="66">
        <v>71.938517441860455</v>
      </c>
      <c r="J350" s="66">
        <v>72.14703488372092</v>
      </c>
      <c r="K350" s="66">
        <v>70.429248338870423</v>
      </c>
      <c r="L350" s="66">
        <v>70.796636212624563</v>
      </c>
      <c r="M350" s="66">
        <v>14029250.713508995</v>
      </c>
      <c r="N350" s="66" t="s">
        <v>525</v>
      </c>
      <c r="O350" s="25">
        <f t="shared" si="7"/>
        <v>1.6129032258064724E-2</v>
      </c>
    </row>
    <row r="351" spans="1:15">
      <c r="A351" s="65">
        <v>490.55</v>
      </c>
      <c r="B351" s="65">
        <v>493</v>
      </c>
      <c r="C351" s="65">
        <v>478</v>
      </c>
      <c r="D351" s="65">
        <v>480.69</v>
      </c>
      <c r="E351" s="65">
        <v>11541195</v>
      </c>
      <c r="F351" s="65" t="s">
        <v>526</v>
      </c>
      <c r="G351" s="25">
        <f t="shared" si="6"/>
        <v>2.051218040733116E-2</v>
      </c>
      <c r="I351" s="66">
        <v>70.925718438538198</v>
      </c>
      <c r="J351" s="66">
        <v>71.342753322259114</v>
      </c>
      <c r="K351" s="66">
        <v>70.042001661129561</v>
      </c>
      <c r="L351" s="66">
        <v>70.404424833887035</v>
      </c>
      <c r="M351" s="66">
        <v>20130319.039732333</v>
      </c>
      <c r="N351" s="66" t="s">
        <v>526</v>
      </c>
      <c r="O351" s="25">
        <f t="shared" si="7"/>
        <v>7.4042733234609415E-3</v>
      </c>
    </row>
    <row r="352" spans="1:15">
      <c r="A352" s="65">
        <v>482.06</v>
      </c>
      <c r="B352" s="65">
        <v>490.3</v>
      </c>
      <c r="C352" s="65">
        <v>468.33</v>
      </c>
      <c r="D352" s="65">
        <v>489.15</v>
      </c>
      <c r="E352" s="65">
        <v>16651303</v>
      </c>
      <c r="F352" s="65" t="s">
        <v>527</v>
      </c>
      <c r="G352" s="25">
        <f t="shared" si="6"/>
        <v>-1.4494531329857896E-2</v>
      </c>
      <c r="I352" s="66">
        <v>70.260448504983387</v>
      </c>
      <c r="J352" s="66">
        <v>70.702306893687691</v>
      </c>
      <c r="K352" s="66">
        <v>68.493014950166099</v>
      </c>
      <c r="L352" s="66">
        <v>69.694472591362114</v>
      </c>
      <c r="M352" s="66">
        <v>22609783.565035556</v>
      </c>
      <c r="N352" s="66" t="s">
        <v>527</v>
      </c>
      <c r="O352" s="25">
        <f t="shared" si="7"/>
        <v>8.1208149309019984E-3</v>
      </c>
    </row>
    <row r="353" spans="1:15">
      <c r="A353" s="65">
        <v>499.1</v>
      </c>
      <c r="B353" s="65">
        <v>502.06119999999999</v>
      </c>
      <c r="C353" s="65">
        <v>453.16</v>
      </c>
      <c r="D353" s="65">
        <v>453.49</v>
      </c>
      <c r="E353" s="65">
        <v>29286594</v>
      </c>
      <c r="F353" s="65" t="s">
        <v>528</v>
      </c>
      <c r="G353" s="25">
        <f t="shared" si="6"/>
        <v>0.10057553639551031</v>
      </c>
      <c r="I353" s="66">
        <v>69.45616694352158</v>
      </c>
      <c r="J353" s="66">
        <v>69.972495847176063</v>
      </c>
      <c r="K353" s="66">
        <v>66.80501661129567</v>
      </c>
      <c r="L353" s="66">
        <v>67.440498338870427</v>
      </c>
      <c r="M353" s="66">
        <v>28117176.662484322</v>
      </c>
      <c r="N353" s="66" t="s">
        <v>528</v>
      </c>
      <c r="O353" s="25">
        <f t="shared" si="7"/>
        <v>2.9888103651354303E-2</v>
      </c>
    </row>
    <row r="354" spans="1:15">
      <c r="A354" s="65">
        <v>456.74</v>
      </c>
      <c r="B354" s="65">
        <v>482.49</v>
      </c>
      <c r="C354" s="65">
        <v>449.6</v>
      </c>
      <c r="D354" s="65">
        <v>479.68</v>
      </c>
      <c r="E354" s="65">
        <v>19002684</v>
      </c>
      <c r="F354" s="65" t="s">
        <v>529</v>
      </c>
      <c r="G354" s="25">
        <f t="shared" si="6"/>
        <v>-4.7823549032688484E-2</v>
      </c>
      <c r="I354" s="66">
        <v>67.936968438538202</v>
      </c>
      <c r="J354" s="66">
        <v>69.48744455980065</v>
      </c>
      <c r="K354" s="66">
        <v>67.281627906976738</v>
      </c>
      <c r="L354" s="66">
        <v>68.473156146179377</v>
      </c>
      <c r="M354" s="66">
        <v>22936351.066499375</v>
      </c>
      <c r="N354" s="66" t="s">
        <v>529</v>
      </c>
      <c r="O354" s="25">
        <f t="shared" si="7"/>
        <v>-7.8306264501156742E-3</v>
      </c>
    </row>
    <row r="355" spans="1:15">
      <c r="A355" s="65">
        <v>463.56</v>
      </c>
      <c r="B355" s="65">
        <v>480.76</v>
      </c>
      <c r="C355" s="65">
        <v>442.8</v>
      </c>
      <c r="D355" s="65">
        <v>449.54</v>
      </c>
      <c r="E355" s="65">
        <v>31285267</v>
      </c>
      <c r="F355" s="65" t="s">
        <v>530</v>
      </c>
      <c r="G355" s="25">
        <f t="shared" si="6"/>
        <v>3.1187436045735595E-2</v>
      </c>
      <c r="I355" s="66">
        <v>67.887321428571425</v>
      </c>
      <c r="J355" s="66">
        <v>68.890191029900322</v>
      </c>
      <c r="K355" s="66">
        <v>65.583700166112948</v>
      </c>
      <c r="L355" s="66">
        <v>65.762429401993344</v>
      </c>
      <c r="M355" s="66">
        <v>34501939.817649528</v>
      </c>
      <c r="N355" s="66" t="s">
        <v>530</v>
      </c>
      <c r="O355" s="25">
        <f t="shared" si="7"/>
        <v>3.2311641250188927E-2</v>
      </c>
    </row>
    <row r="356" spans="1:15">
      <c r="A356" s="65">
        <v>465.52</v>
      </c>
      <c r="B356" s="65">
        <v>483.3</v>
      </c>
      <c r="C356" s="65">
        <v>464.24</v>
      </c>
      <c r="D356" s="65">
        <v>481.28</v>
      </c>
      <c r="E356" s="65">
        <v>30966508</v>
      </c>
      <c r="F356" s="65" t="s">
        <v>531</v>
      </c>
      <c r="G356" s="25">
        <f t="shared" si="6"/>
        <v>-3.2746010638297851E-2</v>
      </c>
      <c r="I356" s="66">
        <v>69.436308139534873</v>
      </c>
      <c r="J356" s="66">
        <v>72.494563953488367</v>
      </c>
      <c r="K356" s="66">
        <v>69.297296511627906</v>
      </c>
      <c r="L356" s="66">
        <v>71.908729235880386</v>
      </c>
      <c r="M356" s="66">
        <v>26705826.813885409</v>
      </c>
      <c r="N356" s="66" t="s">
        <v>531</v>
      </c>
      <c r="O356" s="25">
        <f t="shared" si="7"/>
        <v>-3.4382767191383556E-2</v>
      </c>
    </row>
    <row r="357" spans="1:15">
      <c r="A357" s="65">
        <v>494.16</v>
      </c>
      <c r="B357" s="65">
        <v>503.66</v>
      </c>
      <c r="C357" s="65">
        <v>493.5</v>
      </c>
      <c r="D357" s="65">
        <v>501</v>
      </c>
      <c r="E357" s="65">
        <v>16226023</v>
      </c>
      <c r="F357" s="65" t="s">
        <v>532</v>
      </c>
      <c r="G357" s="25">
        <f t="shared" si="6"/>
        <v>-1.3652694610778449E-2</v>
      </c>
      <c r="I357" s="66">
        <v>72.663363787375403</v>
      </c>
      <c r="J357" s="66">
        <v>73.42792774086378</v>
      </c>
      <c r="K357" s="66">
        <v>71.80943521594682</v>
      </c>
      <c r="L357" s="66">
        <v>71.968305647840523</v>
      </c>
      <c r="M357" s="66">
        <v>25137055.601840239</v>
      </c>
      <c r="N357" s="66" t="s">
        <v>532</v>
      </c>
      <c r="O357" s="25">
        <f t="shared" si="7"/>
        <v>9.657836644591633E-3</v>
      </c>
    </row>
    <row r="358" spans="1:15">
      <c r="A358" s="65">
        <v>518.91</v>
      </c>
      <c r="B358" s="65">
        <v>521.49</v>
      </c>
      <c r="C358" s="65">
        <v>509.9298</v>
      </c>
      <c r="D358" s="65">
        <v>510.14</v>
      </c>
      <c r="E358" s="65">
        <v>6308643</v>
      </c>
      <c r="F358" s="65" t="s">
        <v>533</v>
      </c>
      <c r="G358" s="25">
        <f t="shared" si="6"/>
        <v>1.7191359234719927E-2</v>
      </c>
      <c r="I358" s="66">
        <v>70.826424418604631</v>
      </c>
      <c r="J358" s="66">
        <v>71.849152823920249</v>
      </c>
      <c r="K358" s="66">
        <v>70.548401162790682</v>
      </c>
      <c r="L358" s="66">
        <v>71.451976744186027</v>
      </c>
      <c r="M358" s="66">
        <v>14710371.28900042</v>
      </c>
      <c r="N358" s="66" t="s">
        <v>533</v>
      </c>
      <c r="O358" s="25">
        <f t="shared" si="7"/>
        <v>-8.7548638132295409E-3</v>
      </c>
    </row>
    <row r="359" spans="1:15">
      <c r="A359" s="65">
        <v>515.79999999999995</v>
      </c>
      <c r="B359" s="65">
        <v>517.35</v>
      </c>
      <c r="C359" s="65">
        <v>508.88</v>
      </c>
      <c r="D359" s="65">
        <v>512.36</v>
      </c>
      <c r="E359" s="65">
        <v>7697017</v>
      </c>
      <c r="F359" s="65" t="s">
        <v>534</v>
      </c>
      <c r="G359" s="25">
        <f t="shared" si="6"/>
        <v>6.7140291982199507E-3</v>
      </c>
      <c r="I359" s="66">
        <v>71.362612126245835</v>
      </c>
      <c r="J359" s="66">
        <v>71.402329734219251</v>
      </c>
      <c r="K359" s="66">
        <v>70.682448089700983</v>
      </c>
      <c r="L359" s="66">
        <v>71.173953488372092</v>
      </c>
      <c r="M359" s="66">
        <v>15417993.964031789</v>
      </c>
      <c r="N359" s="66" t="s">
        <v>534</v>
      </c>
      <c r="O359" s="25">
        <f t="shared" si="7"/>
        <v>2.6506696428569843E-3</v>
      </c>
    </row>
    <row r="360" spans="1:15">
      <c r="A360" s="65">
        <v>513.91</v>
      </c>
      <c r="B360" s="65">
        <v>515.33000000000004</v>
      </c>
      <c r="C360" s="65">
        <v>502.64</v>
      </c>
      <c r="D360" s="65">
        <v>505.31</v>
      </c>
      <c r="E360" s="65">
        <v>8196668</v>
      </c>
      <c r="F360" s="65" t="s">
        <v>535</v>
      </c>
      <c r="G360" s="25">
        <f t="shared" si="6"/>
        <v>1.7019255506520725E-2</v>
      </c>
      <c r="I360" s="66">
        <v>71.114377076411955</v>
      </c>
      <c r="J360" s="66">
        <v>71.429635589700979</v>
      </c>
      <c r="K360" s="66">
        <v>69.992354651162771</v>
      </c>
      <c r="L360" s="66">
        <v>70.230660299003318</v>
      </c>
      <c r="M360" s="66">
        <v>24187625.816813052</v>
      </c>
      <c r="N360" s="66" t="s">
        <v>535</v>
      </c>
      <c r="O360" s="25">
        <f t="shared" si="7"/>
        <v>1.2583062349780905E-2</v>
      </c>
    </row>
    <row r="361" spans="1:15">
      <c r="A361" s="65">
        <v>510.8</v>
      </c>
      <c r="B361" s="65">
        <v>520.46</v>
      </c>
      <c r="C361" s="65">
        <v>510.16</v>
      </c>
      <c r="D361" s="65">
        <v>519.76</v>
      </c>
      <c r="E361" s="65">
        <v>5831793</v>
      </c>
      <c r="F361" s="65" t="s">
        <v>536</v>
      </c>
      <c r="G361" s="25">
        <f t="shared" si="6"/>
        <v>-1.7238725565645652E-2</v>
      </c>
      <c r="I361" s="66">
        <v>69.873201827242511</v>
      </c>
      <c r="J361" s="66">
        <v>70.811530315614604</v>
      </c>
      <c r="K361" s="66">
        <v>69.03913205980065</v>
      </c>
      <c r="L361" s="66">
        <v>70.310095514950163</v>
      </c>
      <c r="M361" s="66">
        <v>17536720.752823088</v>
      </c>
      <c r="N361" s="66" t="s">
        <v>536</v>
      </c>
      <c r="O361" s="25">
        <f t="shared" si="7"/>
        <v>-6.2138116085300732E-3</v>
      </c>
    </row>
    <row r="362" spans="1:15">
      <c r="A362" s="65">
        <v>521.21</v>
      </c>
      <c r="B362" s="65">
        <v>524.678</v>
      </c>
      <c r="C362" s="65">
        <v>519.23</v>
      </c>
      <c r="D362" s="65">
        <v>521.29</v>
      </c>
      <c r="E362" s="65">
        <v>5534928</v>
      </c>
      <c r="F362" s="65" t="s">
        <v>537</v>
      </c>
      <c r="G362" s="25">
        <f t="shared" si="6"/>
        <v>-1.5346544150074415E-4</v>
      </c>
      <c r="I362" s="66">
        <v>70.240589700996665</v>
      </c>
      <c r="J362" s="66">
        <v>70.483860049833879</v>
      </c>
      <c r="K362" s="66">
        <v>69.57531976744184</v>
      </c>
      <c r="L362" s="66">
        <v>69.684543189368767</v>
      </c>
      <c r="M362" s="66">
        <v>11746291.476369722</v>
      </c>
      <c r="N362" s="66" t="s">
        <v>537</v>
      </c>
      <c r="O362" s="25">
        <f t="shared" si="7"/>
        <v>7.9794813337130677E-3</v>
      </c>
    </row>
    <row r="363" spans="1:15">
      <c r="A363" s="65">
        <v>522.64789999999982</v>
      </c>
      <c r="B363" s="65">
        <v>529.57388654806823</v>
      </c>
      <c r="C363" s="65">
        <v>521.2925990351979</v>
      </c>
      <c r="D363" s="65">
        <v>528.72682344506711</v>
      </c>
      <c r="E363" s="65">
        <v>4444984.1890879134</v>
      </c>
      <c r="F363" s="65" t="s">
        <v>538</v>
      </c>
      <c r="G363" s="25">
        <f t="shared" si="6"/>
        <v>-1.1497285886610364E-2</v>
      </c>
      <c r="I363" s="66">
        <v>69.525672757475064</v>
      </c>
      <c r="J363" s="66">
        <v>69.853343023255803</v>
      </c>
      <c r="K363" s="66">
        <v>68.413579734219269</v>
      </c>
      <c r="L363" s="66">
        <v>68.433438538205976</v>
      </c>
      <c r="M363" s="66">
        <v>14585736.391468007</v>
      </c>
      <c r="N363" s="66" t="s">
        <v>538</v>
      </c>
      <c r="O363" s="25">
        <f t="shared" si="7"/>
        <v>1.5960533952408262E-2</v>
      </c>
    </row>
    <row r="364" spans="1:15">
      <c r="A364" s="65">
        <v>528.81651247950253</v>
      </c>
      <c r="B364" s="65">
        <v>529.76323006520977</v>
      </c>
      <c r="C364" s="65">
        <v>527.28183344582988</v>
      </c>
      <c r="D364" s="65">
        <v>528.75671978987896</v>
      </c>
      <c r="E364" s="65">
        <v>6281904.064935497</v>
      </c>
      <c r="F364" s="65" t="s">
        <v>539</v>
      </c>
      <c r="G364" s="25">
        <f t="shared" si="6"/>
        <v>1.1308166380818996E-4</v>
      </c>
      <c r="I364" s="66">
        <v>68.324215116279063</v>
      </c>
      <c r="J364" s="66">
        <v>68.592308970099651</v>
      </c>
      <c r="K364" s="66">
        <v>68.115697674418584</v>
      </c>
      <c r="L364" s="66">
        <v>68.463226744186031</v>
      </c>
      <c r="M364" s="66">
        <v>12602870.7553325</v>
      </c>
      <c r="N364" s="66" t="s">
        <v>539</v>
      </c>
      <c r="O364" s="25">
        <f t="shared" si="7"/>
        <v>-2.0304568527917954E-3</v>
      </c>
    </row>
    <row r="365" spans="1:15">
      <c r="A365" s="65">
        <v>527.56086599740661</v>
      </c>
      <c r="B365" s="65">
        <v>528.55741082446684</v>
      </c>
      <c r="C365" s="65">
        <v>524.06299365442533</v>
      </c>
      <c r="D365" s="65">
        <v>524.66092055066144</v>
      </c>
      <c r="E365" s="65">
        <v>22453848.931221198</v>
      </c>
      <c r="F365" s="65" t="s">
        <v>540</v>
      </c>
      <c r="G365" s="25">
        <f t="shared" si="6"/>
        <v>5.5272754900470566E-3</v>
      </c>
      <c r="I365" s="66">
        <v>68.463226744186031</v>
      </c>
      <c r="J365" s="66">
        <v>68.592308970099651</v>
      </c>
      <c r="K365" s="66">
        <v>67.847603820597996</v>
      </c>
      <c r="L365" s="66">
        <v>68.314285714285703</v>
      </c>
      <c r="M365" s="66">
        <v>12664823.126725221</v>
      </c>
      <c r="N365" s="66" t="s">
        <v>540</v>
      </c>
      <c r="O365" s="25">
        <f t="shared" si="7"/>
        <v>2.1802325581394832E-3</v>
      </c>
    </row>
    <row r="366" spans="1:15">
      <c r="A366" s="65">
        <v>518.46241172634689</v>
      </c>
      <c r="B366" s="65">
        <v>519.15002765701854</v>
      </c>
      <c r="C366" s="65">
        <v>512.87677797067442</v>
      </c>
      <c r="D366" s="65">
        <v>514.00785634938768</v>
      </c>
      <c r="E366" s="65">
        <v>5076551.3628965141</v>
      </c>
      <c r="F366" s="65" t="s">
        <v>541</v>
      </c>
      <c r="G366" s="25">
        <f t="shared" si="6"/>
        <v>8.666317687431091E-3</v>
      </c>
      <c r="I366" s="66">
        <v>68.185203488372082</v>
      </c>
      <c r="J366" s="66">
        <v>69.476025747508288</v>
      </c>
      <c r="K366" s="66">
        <v>67.698662790697668</v>
      </c>
      <c r="L366" s="66">
        <v>69.217861295681047</v>
      </c>
      <c r="M366" s="66">
        <v>47817051.854454212</v>
      </c>
      <c r="N366" s="66" t="s">
        <v>541</v>
      </c>
      <c r="O366" s="25">
        <f t="shared" si="7"/>
        <v>-1.4918949935446735E-2</v>
      </c>
    </row>
    <row r="367" spans="1:15">
      <c r="A367" s="65">
        <v>518.33286089882904</v>
      </c>
      <c r="B367" s="65">
        <v>522.80236444819411</v>
      </c>
      <c r="C367" s="65">
        <v>515.53256993478999</v>
      </c>
      <c r="D367" s="65">
        <v>516.17035862410842</v>
      </c>
      <c r="E367" s="65">
        <v>6050643.0180241829</v>
      </c>
      <c r="F367" s="65" t="s">
        <v>542</v>
      </c>
      <c r="G367" s="25">
        <f t="shared" si="6"/>
        <v>4.1895127036835067E-3</v>
      </c>
      <c r="I367" s="66">
        <v>69.217861295681047</v>
      </c>
      <c r="J367" s="66">
        <v>69.317155315614613</v>
      </c>
      <c r="K367" s="66">
        <v>68.602238372093012</v>
      </c>
      <c r="L367" s="66">
        <v>68.815720514950158</v>
      </c>
      <c r="M367" s="66">
        <v>16411122.251777502</v>
      </c>
      <c r="N367" s="66" t="s">
        <v>542</v>
      </c>
      <c r="O367" s="25">
        <f t="shared" si="7"/>
        <v>5.8437342183101926E-3</v>
      </c>
    </row>
    <row r="368" spans="1:15">
      <c r="A368" s="65">
        <v>519.52871469130139</v>
      </c>
      <c r="B368" s="65">
        <v>523.14617241352994</v>
      </c>
      <c r="C368" s="65">
        <v>514.63478270009125</v>
      </c>
      <c r="D368" s="65">
        <v>515.75180979674315</v>
      </c>
      <c r="E368" s="65">
        <v>5392581.3009867659</v>
      </c>
      <c r="F368" s="65" t="s">
        <v>543</v>
      </c>
      <c r="G368" s="25">
        <f t="shared" si="6"/>
        <v>7.3231054604474544E-3</v>
      </c>
      <c r="I368" s="66">
        <v>68.79089700996677</v>
      </c>
      <c r="J368" s="66">
        <v>68.890191029900322</v>
      </c>
      <c r="K368" s="66">
        <v>68.056121262458461</v>
      </c>
      <c r="L368" s="66">
        <v>68.066050664451808</v>
      </c>
      <c r="M368" s="66">
        <v>14885092.787954833</v>
      </c>
      <c r="N368" s="66" t="s">
        <v>543</v>
      </c>
      <c r="O368" s="25">
        <f t="shared" si="7"/>
        <v>1.0649161196207402E-2</v>
      </c>
    </row>
    <row r="369" spans="1:15">
      <c r="A369" s="65">
        <v>514.12744172863495</v>
      </c>
      <c r="B369" s="65">
        <v>517.72496855432234</v>
      </c>
      <c r="C369" s="65">
        <v>512.29459648270586</v>
      </c>
      <c r="D369" s="65">
        <v>517.52565958891034</v>
      </c>
      <c r="E369" s="65">
        <v>6031437.6601914996</v>
      </c>
      <c r="F369" s="65" t="s">
        <v>544</v>
      </c>
      <c r="G369" s="25">
        <f t="shared" si="6"/>
        <v>-6.5662789802050092E-3</v>
      </c>
      <c r="I369" s="66">
        <v>68.890191029900322</v>
      </c>
      <c r="J369" s="66">
        <v>69.694472591362114</v>
      </c>
      <c r="K369" s="66">
        <v>68.810755813953477</v>
      </c>
      <c r="L369" s="66">
        <v>69.61503737541527</v>
      </c>
      <c r="M369" s="66">
        <v>12747610.58971142</v>
      </c>
      <c r="N369" s="66" t="s">
        <v>544</v>
      </c>
      <c r="O369" s="25">
        <f t="shared" si="7"/>
        <v>-1.041220938525167E-2</v>
      </c>
    </row>
    <row r="370" spans="1:15">
      <c r="A370" s="65">
        <v>519.60843827746612</v>
      </c>
      <c r="B370" s="65">
        <v>522.03004220722255</v>
      </c>
      <c r="C370" s="65">
        <v>515.29339917629545</v>
      </c>
      <c r="D370" s="65">
        <v>515.66212076230772</v>
      </c>
      <c r="E370" s="65">
        <v>6291581.5021547033</v>
      </c>
      <c r="F370" s="65" t="s">
        <v>545</v>
      </c>
      <c r="G370" s="25">
        <f t="shared" si="6"/>
        <v>7.6529133249587655E-3</v>
      </c>
      <c r="I370" s="66">
        <v>69.62496677740863</v>
      </c>
      <c r="J370" s="66">
        <v>69.674613787375407</v>
      </c>
      <c r="K370" s="66">
        <v>68.592308970099651</v>
      </c>
      <c r="L370" s="66">
        <v>68.75117940199334</v>
      </c>
      <c r="M370" s="66">
        <v>15745971.419489756</v>
      </c>
      <c r="N370" s="66" t="s">
        <v>545</v>
      </c>
      <c r="O370" s="25">
        <f t="shared" si="7"/>
        <v>1.2709416522241668E-2</v>
      </c>
    </row>
    <row r="371" spans="1:15">
      <c r="A371" s="65">
        <v>515.6720862105783</v>
      </c>
      <c r="B371" s="65">
        <v>516.62876924455611</v>
      </c>
      <c r="C371" s="65">
        <v>509.07495945543968</v>
      </c>
      <c r="D371" s="65">
        <v>509.51343917934616</v>
      </c>
      <c r="E371" s="65">
        <v>7437960.4396382375</v>
      </c>
      <c r="F371" s="65" t="s">
        <v>546</v>
      </c>
      <c r="G371" s="25">
        <f t="shared" si="6"/>
        <v>1.2087310280081365E-2</v>
      </c>
      <c r="I371" s="66">
        <v>68.671744186046496</v>
      </c>
      <c r="J371" s="66">
        <v>68.771038205980062</v>
      </c>
      <c r="K371" s="66">
        <v>67.897548712624584</v>
      </c>
      <c r="L371" s="66">
        <v>68.026333056478393</v>
      </c>
      <c r="M371" s="66">
        <v>14306089.137599334</v>
      </c>
      <c r="N371" s="66" t="s">
        <v>546</v>
      </c>
      <c r="O371" s="25">
        <f t="shared" si="7"/>
        <v>9.4876660341556285E-3</v>
      </c>
    </row>
    <row r="372" spans="1:15">
      <c r="A372" s="65">
        <v>505.2980545608815</v>
      </c>
      <c r="B372" s="65">
        <v>512.28383379857348</v>
      </c>
      <c r="C372" s="65">
        <v>503.67368649277336</v>
      </c>
      <c r="D372" s="65">
        <v>511.73573414369048</v>
      </c>
      <c r="E372" s="65">
        <v>21725060.842337649</v>
      </c>
      <c r="F372" s="65" t="s">
        <v>547</v>
      </c>
      <c r="G372" s="25">
        <f t="shared" si="6"/>
        <v>-1.2580086074273189E-2</v>
      </c>
      <c r="I372" s="66">
        <v>68.62209717607972</v>
      </c>
      <c r="J372" s="66">
        <v>69.24306702987073</v>
      </c>
      <c r="K372" s="66">
        <v>68.287956254754079</v>
      </c>
      <c r="L372" s="66">
        <v>69.24306702987073</v>
      </c>
      <c r="M372" s="66">
        <v>15975554.657664118</v>
      </c>
      <c r="N372" s="66" t="s">
        <v>547</v>
      </c>
      <c r="O372" s="25">
        <f t="shared" si="7"/>
        <v>-8.9679715302490859E-3</v>
      </c>
    </row>
    <row r="373" spans="1:15">
      <c r="A373" s="65">
        <v>511.98487035045554</v>
      </c>
      <c r="B373" s="65">
        <v>515.95111876215515</v>
      </c>
      <c r="C373" s="65">
        <v>507.34097145635496</v>
      </c>
      <c r="D373" s="65">
        <v>515.10405565915403</v>
      </c>
      <c r="E373" s="65">
        <v>8620339.7646867074</v>
      </c>
      <c r="F373" s="65" t="s">
        <v>548</v>
      </c>
      <c r="G373" s="25">
        <f t="shared" si="6"/>
        <v>-6.0554470003288952E-3</v>
      </c>
      <c r="I373" s="66">
        <v>68.937510435148155</v>
      </c>
      <c r="J373" s="66">
        <v>69.716186918473412</v>
      </c>
      <c r="K373" s="66">
        <v>68.74037714823038</v>
      </c>
      <c r="L373" s="66">
        <v>69.361347002021404</v>
      </c>
      <c r="M373" s="66">
        <v>19198483.722226333</v>
      </c>
      <c r="N373" s="66" t="s">
        <v>548</v>
      </c>
      <c r="O373" s="25">
        <f t="shared" si="7"/>
        <v>-6.1105584766237842E-3</v>
      </c>
    </row>
    <row r="374" spans="1:15">
      <c r="A374" s="65">
        <v>509.51343917934616</v>
      </c>
      <c r="B374" s="65">
        <v>515.74174469398986</v>
      </c>
      <c r="C374" s="65">
        <v>505.77639607787034</v>
      </c>
      <c r="D374" s="65">
        <v>512.55290090187987</v>
      </c>
      <c r="E374" s="65">
        <v>11247777.014774196</v>
      </c>
      <c r="F374" s="65" t="s">
        <v>549</v>
      </c>
      <c r="G374" s="25">
        <f t="shared" si="6"/>
        <v>-5.9300449127992483E-3</v>
      </c>
      <c r="I374" s="66">
        <v>70.021743513195972</v>
      </c>
      <c r="J374" s="66">
        <v>71.007409947784879</v>
      </c>
      <c r="K374" s="66">
        <v>69.597906946322738</v>
      </c>
      <c r="L374" s="66">
        <v>70.844774986077695</v>
      </c>
      <c r="M374" s="66">
        <v>28484727.707817167</v>
      </c>
      <c r="N374" s="66" t="s">
        <v>549</v>
      </c>
      <c r="O374" s="25">
        <f t="shared" si="7"/>
        <v>-1.161739130434758E-2</v>
      </c>
    </row>
    <row r="375" spans="1:15">
      <c r="A375" s="65">
        <v>513.72882379781095</v>
      </c>
      <c r="B375" s="65">
        <v>521.89052593143413</v>
      </c>
      <c r="C375" s="65">
        <v>509.0649940071691</v>
      </c>
      <c r="D375" s="65">
        <v>520.09674524272566</v>
      </c>
      <c r="E375" s="65">
        <v>11215642.986148039</v>
      </c>
      <c r="F375" s="65" t="s">
        <v>550</v>
      </c>
      <c r="G375" s="25">
        <f t="shared" si="6"/>
        <v>-1.2243724851504045E-2</v>
      </c>
      <c r="I375" s="66">
        <v>70.425866751377413</v>
      </c>
      <c r="J375" s="66">
        <v>72.170496340599783</v>
      </c>
      <c r="K375" s="66">
        <v>70.292801782707912</v>
      </c>
      <c r="L375" s="66">
        <v>70.928556633017749</v>
      </c>
      <c r="M375" s="66">
        <v>25618391.895967867</v>
      </c>
      <c r="N375" s="66" t="s">
        <v>550</v>
      </c>
      <c r="O375" s="25">
        <f t="shared" si="7"/>
        <v>-7.0872707059476125E-3</v>
      </c>
    </row>
    <row r="376" spans="1:15">
      <c r="A376" s="65">
        <v>527.68045137665388</v>
      </c>
      <c r="B376" s="65">
        <v>529.04571778972638</v>
      </c>
      <c r="C376" s="65">
        <v>518.33286089882904</v>
      </c>
      <c r="D376" s="65">
        <v>523.08637972390625</v>
      </c>
      <c r="E376" s="65">
        <v>7333618.9216487836</v>
      </c>
      <c r="F376" s="65" t="s">
        <v>551</v>
      </c>
      <c r="G376" s="25">
        <f t="shared" si="6"/>
        <v>8.782625261954724E-3</v>
      </c>
      <c r="I376" s="66">
        <v>70.406153422685648</v>
      </c>
      <c r="J376" s="66">
        <v>70.79056333217531</v>
      </c>
      <c r="K376" s="66">
        <v>68.651667169117388</v>
      </c>
      <c r="L376" s="66">
        <v>68.651667169117388</v>
      </c>
      <c r="M376" s="66">
        <v>28806155.920123227</v>
      </c>
      <c r="N376" s="66" t="s">
        <v>551</v>
      </c>
      <c r="O376" s="25">
        <f t="shared" si="7"/>
        <v>2.555635319454419E-2</v>
      </c>
    </row>
    <row r="377" spans="1:15">
      <c r="A377" s="65">
        <v>524.85026406780287</v>
      </c>
      <c r="B377" s="65">
        <v>531.58690709872985</v>
      </c>
      <c r="C377" s="65">
        <v>522.4087292415054</v>
      </c>
      <c r="D377" s="65">
        <v>527.36155703199472</v>
      </c>
      <c r="E377" s="65">
        <v>7253989.7892252151</v>
      </c>
      <c r="F377" s="65" t="s">
        <v>552</v>
      </c>
      <c r="G377" s="25">
        <f t="shared" si="6"/>
        <v>-4.7619947466885915E-3</v>
      </c>
      <c r="I377" s="66">
        <v>69.450056981134395</v>
      </c>
      <c r="J377" s="66">
        <v>69.518067965121034</v>
      </c>
      <c r="K377" s="66">
        <v>68.454533882199598</v>
      </c>
      <c r="L377" s="66">
        <v>69.400773659404948</v>
      </c>
      <c r="M377" s="66">
        <v>22009505.68946578</v>
      </c>
      <c r="N377" s="66" t="s">
        <v>552</v>
      </c>
      <c r="O377" s="25">
        <f t="shared" si="7"/>
        <v>7.1012640249956682E-4</v>
      </c>
    </row>
    <row r="378" spans="1:15">
      <c r="A378" s="65">
        <v>534.54664523509871</v>
      </c>
      <c r="B378" s="65">
        <v>535.93194219919519</v>
      </c>
      <c r="C378" s="65">
        <v>525.10936572283845</v>
      </c>
      <c r="D378" s="65">
        <v>528.41789454867842</v>
      </c>
      <c r="E378" s="65">
        <v>6243316.7390512833</v>
      </c>
      <c r="F378" s="65" t="s">
        <v>553</v>
      </c>
      <c r="G378" s="25">
        <f t="shared" si="6"/>
        <v>1.1598302687411577E-2</v>
      </c>
      <c r="I378" s="66">
        <v>69.075503735990608</v>
      </c>
      <c r="J378" s="66">
        <v>69.726043582819287</v>
      </c>
      <c r="K378" s="66">
        <v>68.838943791689275</v>
      </c>
      <c r="L378" s="66">
        <v>68.898083777764612</v>
      </c>
      <c r="M378" s="66">
        <v>24281671.932941515</v>
      </c>
      <c r="N378" s="66" t="s">
        <v>553</v>
      </c>
      <c r="O378" s="25">
        <f t="shared" si="7"/>
        <v>2.5751072961373023E-3</v>
      </c>
    </row>
    <row r="379" spans="1:15">
      <c r="A379" s="65">
        <v>528.61720351409053</v>
      </c>
      <c r="B379" s="65">
        <v>536.42004985548931</v>
      </c>
      <c r="C379" s="65">
        <v>524.34202620600217</v>
      </c>
      <c r="D379" s="65">
        <v>531.21818551271758</v>
      </c>
      <c r="E379" s="65">
        <v>10513761.865493005</v>
      </c>
      <c r="F379" s="65" t="s">
        <v>554</v>
      </c>
      <c r="G379" s="25">
        <f t="shared" si="6"/>
        <v>-4.8962593329079374E-3</v>
      </c>
      <c r="I379" s="66">
        <v>69.183927043795393</v>
      </c>
      <c r="J379" s="66">
        <v>71.60866647288411</v>
      </c>
      <c r="K379" s="66">
        <v>68.878370449072818</v>
      </c>
      <c r="L379" s="66">
        <v>71.036979940822533</v>
      </c>
      <c r="M379" s="66">
        <v>25781397.345237337</v>
      </c>
      <c r="N379" s="66" t="s">
        <v>554</v>
      </c>
      <c r="O379" s="25">
        <f t="shared" si="7"/>
        <v>-2.6085749965311433E-2</v>
      </c>
    </row>
    <row r="380" spans="1:15">
      <c r="A380" s="65">
        <v>535.06484854517009</v>
      </c>
      <c r="B380" s="65">
        <v>547.39210805590494</v>
      </c>
      <c r="C380" s="65">
        <v>531.40852557468611</v>
      </c>
      <c r="D380" s="65">
        <v>546.3058741944094</v>
      </c>
      <c r="E380" s="65">
        <v>7315273.535165838</v>
      </c>
      <c r="F380" s="65" t="s">
        <v>555</v>
      </c>
      <c r="G380" s="25">
        <f t="shared" ref="G380:G443" si="8">A380/D380-1</f>
        <v>-2.0576431959139163E-2</v>
      </c>
      <c r="I380" s="66">
        <v>71.283396549469757</v>
      </c>
      <c r="J380" s="66">
        <v>71.322823206853315</v>
      </c>
      <c r="K380" s="66">
        <v>68.730520483884504</v>
      </c>
      <c r="L380" s="66">
        <v>69.233210365524826</v>
      </c>
      <c r="M380" s="66">
        <v>22033420.473588292</v>
      </c>
      <c r="N380" s="66" t="s">
        <v>555</v>
      </c>
      <c r="O380" s="25">
        <f t="shared" ref="O380:O443" si="9">I380/L380-1</f>
        <v>2.9612756264236983E-2</v>
      </c>
    </row>
    <row r="381" spans="1:15">
      <c r="A381" s="65">
        <v>544.44233536780678</v>
      </c>
      <c r="B381" s="65">
        <v>545.00040047096036</v>
      </c>
      <c r="C381" s="65">
        <v>533.72947847690943</v>
      </c>
      <c r="D381" s="65">
        <v>536.55966578576033</v>
      </c>
      <c r="E381" s="65">
        <v>7353458.470721879</v>
      </c>
      <c r="F381" s="65" t="s">
        <v>556</v>
      </c>
      <c r="G381" s="25">
        <f t="shared" si="8"/>
        <v>1.4691133315998917E-2</v>
      </c>
      <c r="I381" s="66">
        <v>70.189306807076065</v>
      </c>
      <c r="J381" s="66">
        <v>70.544146723528073</v>
      </c>
      <c r="K381" s="66">
        <v>69.54862362459329</v>
      </c>
      <c r="L381" s="66">
        <v>70.425866751377413</v>
      </c>
      <c r="M381" s="66">
        <v>22489737.118059997</v>
      </c>
      <c r="N381" s="66" t="s">
        <v>556</v>
      </c>
      <c r="O381" s="25">
        <f t="shared" si="9"/>
        <v>-3.3589923023094048E-3</v>
      </c>
    </row>
    <row r="382" spans="1:15">
      <c r="A382" s="65">
        <v>536.11122061358333</v>
      </c>
      <c r="B382" s="65">
        <v>547.98006950387048</v>
      </c>
      <c r="C382" s="65">
        <v>535.74249902757106</v>
      </c>
      <c r="D382" s="65">
        <v>546.93369743545725</v>
      </c>
      <c r="E382" s="65">
        <v>5540494.3662071563</v>
      </c>
      <c r="F382" s="65" t="s">
        <v>557</v>
      </c>
      <c r="G382" s="25">
        <f t="shared" si="8"/>
        <v>-1.9787548056775295E-2</v>
      </c>
      <c r="I382" s="66">
        <v>69.85418021931585</v>
      </c>
      <c r="J382" s="66">
        <v>70.509648398317466</v>
      </c>
      <c r="K382" s="66">
        <v>69.410630323750837</v>
      </c>
      <c r="L382" s="66">
        <v>69.706330254127508</v>
      </c>
      <c r="M382" s="66">
        <v>17033628.630158644</v>
      </c>
      <c r="N382" s="66" t="s">
        <v>557</v>
      </c>
      <c r="O382" s="25">
        <f t="shared" si="9"/>
        <v>2.1210407239820039E-3</v>
      </c>
    </row>
    <row r="383" spans="1:15">
      <c r="A383" s="65">
        <v>544.86088419517193</v>
      </c>
      <c r="B383" s="65">
        <v>549.4400076755137</v>
      </c>
      <c r="C383" s="65">
        <v>542.36952212752146</v>
      </c>
      <c r="D383" s="65">
        <v>546.11653067726786</v>
      </c>
      <c r="E383" s="65">
        <v>4195298.4817886017</v>
      </c>
      <c r="F383" s="65" t="s">
        <v>558</v>
      </c>
      <c r="G383" s="25">
        <f t="shared" si="8"/>
        <v>-2.2992281162753647E-3</v>
      </c>
      <c r="I383" s="66">
        <v>69.785183568894624</v>
      </c>
      <c r="J383" s="66">
        <v>70.253375125324368</v>
      </c>
      <c r="K383" s="66">
        <v>69.514125299382684</v>
      </c>
      <c r="L383" s="66">
        <v>70.248446793151402</v>
      </c>
      <c r="M383" s="66">
        <v>14742487.407578742</v>
      </c>
      <c r="N383" s="66" t="s">
        <v>558</v>
      </c>
      <c r="O383" s="25">
        <f t="shared" si="9"/>
        <v>-6.594640101024174E-3</v>
      </c>
    </row>
    <row r="384" spans="1:15">
      <c r="A384" s="65">
        <v>544.52205895397151</v>
      </c>
      <c r="B384" s="65">
        <v>547.87044957289379</v>
      </c>
      <c r="C384" s="65">
        <v>540.2951144155129</v>
      </c>
      <c r="D384" s="65">
        <v>547.28248812492825</v>
      </c>
      <c r="E384" s="65">
        <v>5510533.8474334273</v>
      </c>
      <c r="F384" s="65" t="s">
        <v>559</v>
      </c>
      <c r="G384" s="25">
        <f t="shared" si="8"/>
        <v>-5.0438836082886684E-3</v>
      </c>
      <c r="I384" s="66">
        <v>70.465293408760971</v>
      </c>
      <c r="J384" s="66">
        <v>70.741181443802418</v>
      </c>
      <c r="K384" s="66">
        <v>69.716186918473412</v>
      </c>
      <c r="L384" s="66">
        <v>69.844323554969961</v>
      </c>
      <c r="M384" s="66">
        <v>21869049.450781196</v>
      </c>
      <c r="N384" s="66" t="s">
        <v>559</v>
      </c>
      <c r="O384" s="25">
        <f t="shared" si="9"/>
        <v>8.8907705334462239E-3</v>
      </c>
    </row>
    <row r="385" spans="1:15">
      <c r="A385" s="65">
        <v>547.24262633184594</v>
      </c>
      <c r="B385" s="65">
        <v>552.59407205315927</v>
      </c>
      <c r="C385" s="65">
        <v>546.61809168872719</v>
      </c>
      <c r="D385" s="65">
        <v>551.69718170880503</v>
      </c>
      <c r="E385" s="65">
        <v>4788801.1360994671</v>
      </c>
      <c r="F385" s="65" t="s">
        <v>560</v>
      </c>
      <c r="G385" s="25">
        <f t="shared" si="8"/>
        <v>-8.0742761149544817E-3</v>
      </c>
      <c r="I385" s="66">
        <v>69.578193617630959</v>
      </c>
      <c r="J385" s="66">
        <v>70.701853353062319</v>
      </c>
      <c r="K385" s="66">
        <v>69.321920344637832</v>
      </c>
      <c r="L385" s="66">
        <v>69.824610226278182</v>
      </c>
      <c r="M385" s="66">
        <v>21729909.073076036</v>
      </c>
      <c r="N385" s="66" t="s">
        <v>560</v>
      </c>
      <c r="O385" s="25">
        <f t="shared" si="9"/>
        <v>-3.5290796160361015E-3</v>
      </c>
    </row>
    <row r="386" spans="1:15">
      <c r="A386" s="65">
        <v>549.8436083304731</v>
      </c>
      <c r="B386" s="65">
        <v>559.2609569461921</v>
      </c>
      <c r="C386" s="65">
        <v>549.36028408934885</v>
      </c>
      <c r="D386" s="65">
        <v>559.16130246348609</v>
      </c>
      <c r="E386" s="65">
        <v>6170012.4600902461</v>
      </c>
      <c r="F386" s="65" t="s">
        <v>561</v>
      </c>
      <c r="G386" s="25">
        <f t="shared" si="8"/>
        <v>-1.6663696310817988E-2</v>
      </c>
      <c r="I386" s="66">
        <v>70.327300107918518</v>
      </c>
      <c r="J386" s="66">
        <v>70.573716716565741</v>
      </c>
      <c r="K386" s="66">
        <v>69.124787057720056</v>
      </c>
      <c r="L386" s="66">
        <v>69.312063680291942</v>
      </c>
      <c r="M386" s="66">
        <v>21977264.559114967</v>
      </c>
      <c r="N386" s="66" t="s">
        <v>561</v>
      </c>
      <c r="O386" s="25">
        <f t="shared" si="9"/>
        <v>1.4647326507394753E-2</v>
      </c>
    </row>
    <row r="387" spans="1:15">
      <c r="A387" s="65">
        <v>559.3606114288981</v>
      </c>
      <c r="B387" s="65">
        <v>560.54101877655091</v>
      </c>
      <c r="C387" s="65">
        <v>556.29125336155266</v>
      </c>
      <c r="D387" s="65">
        <v>560.44684529039375</v>
      </c>
      <c r="E387" s="65">
        <v>4462199.6715570865</v>
      </c>
      <c r="F387" s="65" t="s">
        <v>562</v>
      </c>
      <c r="G387" s="25">
        <f t="shared" si="8"/>
        <v>-1.9381567951066714E-3</v>
      </c>
      <c r="I387" s="66">
        <v>69.036077078607065</v>
      </c>
      <c r="J387" s="66">
        <v>69.065647071644719</v>
      </c>
      <c r="K387" s="66">
        <v>68.42496388916193</v>
      </c>
      <c r="L387" s="66">
        <v>68.710807155192711</v>
      </c>
      <c r="M387" s="66">
        <v>13592843.917413015</v>
      </c>
      <c r="N387" s="66" t="s">
        <v>562</v>
      </c>
      <c r="O387" s="25">
        <f t="shared" si="9"/>
        <v>4.7338975756707757E-3</v>
      </c>
    </row>
    <row r="388" spans="1:15">
      <c r="A388" s="65">
        <v>561.72242266903072</v>
      </c>
      <c r="B388" s="65">
        <v>561.97155887579584</v>
      </c>
      <c r="C388" s="65">
        <v>558.5942684568887</v>
      </c>
      <c r="D388" s="65">
        <v>559.08157887732125</v>
      </c>
      <c r="E388" s="65">
        <v>3870935.7524635624</v>
      </c>
      <c r="F388" s="65" t="s">
        <v>563</v>
      </c>
      <c r="G388" s="25">
        <f t="shared" si="8"/>
        <v>4.7235392677620336E-3</v>
      </c>
      <c r="I388" s="66">
        <v>69.065647071644719</v>
      </c>
      <c r="J388" s="66">
        <v>69.124787057720056</v>
      </c>
      <c r="K388" s="66">
        <v>68.178547280514707</v>
      </c>
      <c r="L388" s="66">
        <v>68.21797393789825</v>
      </c>
      <c r="M388" s="66">
        <v>16265411.337342124</v>
      </c>
      <c r="N388" s="66" t="s">
        <v>563</v>
      </c>
      <c r="O388" s="25">
        <f t="shared" si="9"/>
        <v>1.2425950007224573E-2</v>
      </c>
    </row>
    <row r="389" spans="1:15">
      <c r="A389" s="65">
        <v>560.36712170422891</v>
      </c>
      <c r="B389" s="65">
        <v>560.36712170422891</v>
      </c>
      <c r="C389" s="65">
        <v>557.55686529191917</v>
      </c>
      <c r="D389" s="65">
        <v>559.85888384242821</v>
      </c>
      <c r="E389" s="65">
        <v>3858235.8721808712</v>
      </c>
      <c r="F389" s="65" t="s">
        <v>564</v>
      </c>
      <c r="G389" s="25">
        <f t="shared" si="8"/>
        <v>9.077963688144397E-4</v>
      </c>
      <c r="I389" s="66">
        <v>68.060267308364033</v>
      </c>
      <c r="J389" s="66">
        <v>68.375680567432497</v>
      </c>
      <c r="K389" s="66">
        <v>67.439297454573023</v>
      </c>
      <c r="L389" s="66">
        <v>67.567434091069586</v>
      </c>
      <c r="M389" s="66">
        <v>15795528.237190535</v>
      </c>
      <c r="N389" s="66" t="s">
        <v>564</v>
      </c>
      <c r="O389" s="25">
        <f t="shared" si="9"/>
        <v>7.2939460247993804E-3</v>
      </c>
    </row>
    <row r="390" spans="1:15">
      <c r="A390" s="65">
        <v>558.7527190843914</v>
      </c>
      <c r="B390" s="65">
        <v>559.91867653205179</v>
      </c>
      <c r="C390" s="65">
        <v>558.13486129161413</v>
      </c>
      <c r="D390" s="65">
        <v>558.96199349807398</v>
      </c>
      <c r="E390" s="65">
        <v>3392290.9519008892</v>
      </c>
      <c r="F390" s="65" t="s">
        <v>565</v>
      </c>
      <c r="G390" s="25">
        <f t="shared" si="8"/>
        <v>-3.7439828846486112E-4</v>
      </c>
      <c r="I390" s="66">
        <v>67.882847350138036</v>
      </c>
      <c r="J390" s="66">
        <v>69.026220414261161</v>
      </c>
      <c r="K390" s="66">
        <v>67.774424042333266</v>
      </c>
      <c r="L390" s="66">
        <v>68.370752235259545</v>
      </c>
      <c r="M390" s="66">
        <v>21081259.613620054</v>
      </c>
      <c r="N390" s="66" t="s">
        <v>565</v>
      </c>
      <c r="O390" s="25">
        <f t="shared" si="9"/>
        <v>-7.1361637713543979E-3</v>
      </c>
    </row>
    <row r="391" spans="1:15">
      <c r="A391" s="65">
        <v>558.73278818785013</v>
      </c>
      <c r="B391" s="65">
        <v>558.94206260153283</v>
      </c>
      <c r="C391" s="65">
        <v>552.7784328461654</v>
      </c>
      <c r="D391" s="65">
        <v>553.94937301796119</v>
      </c>
      <c r="E391" s="65">
        <v>3400246.4394863169</v>
      </c>
      <c r="F391" s="65" t="s">
        <v>566</v>
      </c>
      <c r="G391" s="25">
        <f t="shared" si="8"/>
        <v>8.6351125263099959E-3</v>
      </c>
      <c r="I391" s="66">
        <v>68.503817203929046</v>
      </c>
      <c r="J391" s="66">
        <v>68.61224051173383</v>
      </c>
      <c r="K391" s="66">
        <v>67.776395375202426</v>
      </c>
      <c r="L391" s="66">
        <v>68.010983986634585</v>
      </c>
      <c r="M391" s="66">
        <v>24747873.26015994</v>
      </c>
      <c r="N391" s="66" t="s">
        <v>566</v>
      </c>
      <c r="O391" s="25">
        <f t="shared" si="9"/>
        <v>7.2463768115942351E-3</v>
      </c>
    </row>
    <row r="392" spans="1:15">
      <c r="A392" s="65">
        <v>552.89303550127727</v>
      </c>
      <c r="B392" s="65">
        <v>553.99421753517879</v>
      </c>
      <c r="C392" s="65">
        <v>548.48830736567118</v>
      </c>
      <c r="D392" s="65">
        <v>549.09619971017787</v>
      </c>
      <c r="E392" s="65">
        <v>3591893.6136163576</v>
      </c>
      <c r="F392" s="65" t="s">
        <v>567</v>
      </c>
      <c r="G392" s="25">
        <f t="shared" si="8"/>
        <v>6.9147005444645249E-3</v>
      </c>
      <c r="I392" s="66">
        <v>67.725140720603804</v>
      </c>
      <c r="J392" s="66">
        <v>67.833564028408588</v>
      </c>
      <c r="K392" s="66">
        <v>65.911514480960221</v>
      </c>
      <c r="L392" s="66">
        <v>65.911514480960221</v>
      </c>
      <c r="M392" s="66">
        <v>26412347.104888406</v>
      </c>
      <c r="N392" s="66" t="s">
        <v>567</v>
      </c>
      <c r="O392" s="25">
        <f t="shared" si="9"/>
        <v>2.7516075968296638E-2</v>
      </c>
    </row>
    <row r="393" spans="1:15">
      <c r="A393" s="65">
        <v>554.72667798306804</v>
      </c>
      <c r="B393" s="65">
        <v>555.19007132765114</v>
      </c>
      <c r="C393" s="65">
        <v>552.07586874308799</v>
      </c>
      <c r="D393" s="65">
        <v>552.18548867406457</v>
      </c>
      <c r="E393" s="65">
        <v>2762467.8040034226</v>
      </c>
      <c r="F393" s="65" t="s">
        <v>568</v>
      </c>
      <c r="G393" s="25">
        <f t="shared" si="8"/>
        <v>4.6020573903626794E-3</v>
      </c>
      <c r="I393" s="66">
        <v>66.631050978210112</v>
      </c>
      <c r="J393" s="66">
        <v>66.700047628631353</v>
      </c>
      <c r="K393" s="66">
        <v>65.458107921049319</v>
      </c>
      <c r="L393" s="66">
        <v>66.532484334751231</v>
      </c>
      <c r="M393" s="66">
        <v>31033975.518054284</v>
      </c>
      <c r="N393" s="66" t="s">
        <v>568</v>
      </c>
      <c r="O393" s="25">
        <f t="shared" si="9"/>
        <v>1.481481481481417E-3</v>
      </c>
    </row>
    <row r="394" spans="1:15">
      <c r="A394" s="65">
        <v>554.22840556953793</v>
      </c>
      <c r="B394" s="65">
        <v>554.85174435886415</v>
      </c>
      <c r="C394" s="65">
        <v>552.325004949853</v>
      </c>
      <c r="D394" s="65">
        <v>553.52085874232534</v>
      </c>
      <c r="E394" s="65">
        <v>3529747.8893916928</v>
      </c>
      <c r="F394" s="65" t="s">
        <v>569</v>
      </c>
      <c r="G394" s="25">
        <f t="shared" si="8"/>
        <v>1.2782658793026869E-3</v>
      </c>
      <c r="I394" s="66">
        <v>63.62476835271395</v>
      </c>
      <c r="J394" s="66">
        <v>63.723334996172852</v>
      </c>
      <c r="K394" s="66">
        <v>62.747525225929827</v>
      </c>
      <c r="L394" s="66">
        <v>63.181218457148944</v>
      </c>
      <c r="M394" s="66">
        <v>16389215.898112113</v>
      </c>
      <c r="N394" s="66" t="s">
        <v>569</v>
      </c>
      <c r="O394" s="25">
        <f t="shared" si="9"/>
        <v>7.0202808112325155E-3</v>
      </c>
    </row>
    <row r="395" spans="1:15">
      <c r="A395" s="65">
        <v>550.29205350265022</v>
      </c>
      <c r="B395" s="65">
        <v>557.26786729207174</v>
      </c>
      <c r="C395" s="65">
        <v>549.8884528476907</v>
      </c>
      <c r="D395" s="65">
        <v>556.17166798230539</v>
      </c>
      <c r="E395" s="65">
        <v>10196785.657877898</v>
      </c>
      <c r="F395" s="65" t="s">
        <v>570</v>
      </c>
      <c r="G395" s="25">
        <f t="shared" si="8"/>
        <v>-1.057158215373577E-2</v>
      </c>
      <c r="I395" s="66">
        <v>62.924945184155831</v>
      </c>
      <c r="J395" s="66">
        <v>63.003798498922947</v>
      </c>
      <c r="K395" s="66">
        <v>62.363115316440158</v>
      </c>
      <c r="L395" s="66">
        <v>62.520821945974376</v>
      </c>
      <c r="M395" s="66">
        <v>13376405.58440944</v>
      </c>
      <c r="N395" s="66" t="s">
        <v>570</v>
      </c>
      <c r="O395" s="25">
        <f t="shared" si="9"/>
        <v>6.463818382469011E-3</v>
      </c>
    </row>
    <row r="396" spans="1:15">
      <c r="A396" s="65">
        <v>555.69332646531655</v>
      </c>
      <c r="B396" s="65">
        <v>555.72322281012828</v>
      </c>
      <c r="C396" s="65">
        <v>552.2751777085</v>
      </c>
      <c r="D396" s="65">
        <v>555.36446667238658</v>
      </c>
      <c r="E396" s="65">
        <v>3618802.5887791775</v>
      </c>
      <c r="F396" s="65" t="s">
        <v>571</v>
      </c>
      <c r="G396" s="25">
        <f t="shared" si="8"/>
        <v>5.9215130363021728E-4</v>
      </c>
      <c r="I396" s="66">
        <v>62.451825295553157</v>
      </c>
      <c r="J396" s="66">
        <v>62.826378540696943</v>
      </c>
      <c r="K396" s="66">
        <v>62.008275399988143</v>
      </c>
      <c r="L396" s="66">
        <v>62.708098568546269</v>
      </c>
      <c r="M396" s="66">
        <v>13618611.255235158</v>
      </c>
      <c r="N396" s="66" t="s">
        <v>571</v>
      </c>
      <c r="O396" s="25">
        <f t="shared" si="9"/>
        <v>-4.0867651681860684E-3</v>
      </c>
    </row>
    <row r="397" spans="1:15">
      <c r="A397" s="65">
        <v>553.70023681119608</v>
      </c>
      <c r="B397" s="65">
        <v>553.80985674217277</v>
      </c>
      <c r="C397" s="65">
        <v>548.50823826221233</v>
      </c>
      <c r="D397" s="65">
        <v>550.43156977843864</v>
      </c>
      <c r="E397" s="65">
        <v>3436056.1682922682</v>
      </c>
      <c r="F397" s="65" t="s">
        <v>572</v>
      </c>
      <c r="G397" s="25">
        <f t="shared" si="8"/>
        <v>5.9383712930440868E-3</v>
      </c>
      <c r="I397" s="66">
        <v>62.215265351251816</v>
      </c>
      <c r="J397" s="66">
        <v>62.38282864513193</v>
      </c>
      <c r="K397" s="66">
        <v>61.687933808746756</v>
      </c>
      <c r="L397" s="66">
        <v>61.820998777416257</v>
      </c>
      <c r="M397" s="66">
        <v>10842160.821330125</v>
      </c>
      <c r="N397" s="66" t="s">
        <v>572</v>
      </c>
      <c r="O397" s="25">
        <f t="shared" si="9"/>
        <v>6.3775510204080454E-3</v>
      </c>
    </row>
    <row r="398" spans="1:15">
      <c r="A398" s="65">
        <v>551.43808005376945</v>
      </c>
      <c r="B398" s="65">
        <v>551.9164215707583</v>
      </c>
      <c r="C398" s="65">
        <v>547.33231536628136</v>
      </c>
      <c r="D398" s="65">
        <v>547.80069143499964</v>
      </c>
      <c r="E398" s="65">
        <v>4195910.5967516582</v>
      </c>
      <c r="F398" s="65" t="s">
        <v>573</v>
      </c>
      <c r="G398" s="25">
        <f t="shared" si="8"/>
        <v>6.6399854466072661E-3</v>
      </c>
      <c r="I398" s="66">
        <v>61.77171545568681</v>
      </c>
      <c r="J398" s="66">
        <v>62.717955232892166</v>
      </c>
      <c r="K398" s="66">
        <v>61.45630219661836</v>
      </c>
      <c r="L398" s="66">
        <v>62.69824190420038</v>
      </c>
      <c r="M398" s="66">
        <v>15905987.51243755</v>
      </c>
      <c r="N398" s="66" t="s">
        <v>573</v>
      </c>
      <c r="O398" s="25">
        <f t="shared" si="9"/>
        <v>-1.4777550699575537E-2</v>
      </c>
    </row>
    <row r="399" spans="1:15">
      <c r="A399" s="65">
        <v>547.80069143499964</v>
      </c>
      <c r="B399" s="65">
        <v>550.05278308967297</v>
      </c>
      <c r="C399" s="65">
        <v>541.10391019715496</v>
      </c>
      <c r="D399" s="65">
        <v>543.106965299546</v>
      </c>
      <c r="E399" s="65">
        <v>7851164.1298472667</v>
      </c>
      <c r="F399" s="65" t="s">
        <v>574</v>
      </c>
      <c r="G399" s="25">
        <f t="shared" si="8"/>
        <v>8.6423604102827678E-3</v>
      </c>
      <c r="I399" s="66">
        <v>62.441968631207267</v>
      </c>
      <c r="J399" s="66">
        <v>62.7178566662487</v>
      </c>
      <c r="K399" s="66">
        <v>61.535155511385469</v>
      </c>
      <c r="L399" s="66">
        <v>62.274405337327153</v>
      </c>
      <c r="M399" s="66">
        <v>12243374.205020143</v>
      </c>
      <c r="N399" s="66" t="s">
        <v>574</v>
      </c>
      <c r="O399" s="25">
        <f t="shared" si="9"/>
        <v>2.6907249129470845E-3</v>
      </c>
    </row>
    <row r="400" spans="1:15">
      <c r="A400" s="65">
        <v>551.41814915722819</v>
      </c>
      <c r="B400" s="65">
        <v>558.9520280498034</v>
      </c>
      <c r="C400" s="65">
        <v>550.80029136445091</v>
      </c>
      <c r="D400" s="65">
        <v>556.68987129237678</v>
      </c>
      <c r="E400" s="65">
        <v>6264968.5498018861</v>
      </c>
      <c r="F400" s="65" t="s">
        <v>575</v>
      </c>
      <c r="G400" s="25">
        <f t="shared" si="8"/>
        <v>-9.4697647774875104E-3</v>
      </c>
      <c r="I400" s="66">
        <v>62.570105267703823</v>
      </c>
      <c r="J400" s="66">
        <v>63.01365516326883</v>
      </c>
      <c r="K400" s="66">
        <v>62.481395288590825</v>
      </c>
      <c r="L400" s="66">
        <v>62.786951883313385</v>
      </c>
      <c r="M400" s="66">
        <v>12278048.207096975</v>
      </c>
      <c r="N400" s="66" t="s">
        <v>575</v>
      </c>
      <c r="O400" s="25">
        <f t="shared" si="9"/>
        <v>-3.4536891679749493E-3</v>
      </c>
    </row>
    <row r="401" spans="1:15">
      <c r="A401" s="65">
        <v>554.37788729359704</v>
      </c>
      <c r="B401" s="65">
        <v>555.85277363764612</v>
      </c>
      <c r="C401" s="65">
        <v>550.47143157152095</v>
      </c>
      <c r="D401" s="65">
        <v>553.45110060443108</v>
      </c>
      <c r="E401" s="65">
        <v>4311434.7526891446</v>
      </c>
      <c r="F401" s="65" t="s">
        <v>576</v>
      </c>
      <c r="G401" s="25">
        <f t="shared" si="8"/>
        <v>1.6745593028071326E-3</v>
      </c>
      <c r="I401" s="66">
        <v>63.131935135419496</v>
      </c>
      <c r="J401" s="66">
        <v>63.363566747547893</v>
      </c>
      <c r="K401" s="66">
        <v>62.323688659056593</v>
      </c>
      <c r="L401" s="66">
        <v>62.934801848501721</v>
      </c>
      <c r="M401" s="66">
        <v>13392945.662703574</v>
      </c>
      <c r="N401" s="66" t="s">
        <v>576</v>
      </c>
      <c r="O401" s="25">
        <f t="shared" si="9"/>
        <v>3.1323414252153459E-3</v>
      </c>
    </row>
    <row r="402" spans="1:15">
      <c r="A402" s="65">
        <v>551.49787274339303</v>
      </c>
      <c r="B402" s="65">
        <v>553.58065143194881</v>
      </c>
      <c r="C402" s="65">
        <v>549.06640301984885</v>
      </c>
      <c r="D402" s="65">
        <v>553.25179163901896</v>
      </c>
      <c r="E402" s="65">
        <v>4188944.5277786455</v>
      </c>
      <c r="F402" s="65" t="s">
        <v>577</v>
      </c>
      <c r="G402" s="25">
        <f t="shared" si="8"/>
        <v>-3.1702001188824713E-3</v>
      </c>
      <c r="I402" s="66">
        <v>61.929422085221034</v>
      </c>
      <c r="J402" s="66">
        <v>62.451825295553157</v>
      </c>
      <c r="K402" s="66">
        <v>61.653435483536136</v>
      </c>
      <c r="L402" s="66">
        <v>61.663292147882032</v>
      </c>
      <c r="M402" s="66">
        <v>11490332.431502137</v>
      </c>
      <c r="N402" s="66" t="s">
        <v>577</v>
      </c>
      <c r="O402" s="25">
        <f t="shared" si="9"/>
        <v>4.3158567774934653E-3</v>
      </c>
    </row>
    <row r="403" spans="1:15">
      <c r="A403" s="65">
        <v>553.92944212141992</v>
      </c>
      <c r="B403" s="65">
        <v>554.72667798306804</v>
      </c>
      <c r="C403" s="65">
        <v>547.32234991801079</v>
      </c>
      <c r="D403" s="65">
        <v>550.39170798535611</v>
      </c>
      <c r="E403" s="65">
        <v>4179113.5600850987</v>
      </c>
      <c r="F403" s="65" t="s">
        <v>578</v>
      </c>
      <c r="G403" s="25">
        <f t="shared" si="8"/>
        <v>6.4276661234836663E-3</v>
      </c>
      <c r="I403" s="66">
        <v>61.466158860964249</v>
      </c>
      <c r="J403" s="66">
        <v>63.122078471073621</v>
      </c>
      <c r="K403" s="66">
        <v>61.38730554619714</v>
      </c>
      <c r="L403" s="66">
        <v>62.599675260741492</v>
      </c>
      <c r="M403" s="66">
        <v>15173521.665306304</v>
      </c>
      <c r="N403" s="66" t="s">
        <v>578</v>
      </c>
      <c r="O403" s="25">
        <f t="shared" si="9"/>
        <v>-1.8107384663832438E-2</v>
      </c>
    </row>
    <row r="404" spans="1:15">
      <c r="A404" s="65">
        <v>549.32540502040172</v>
      </c>
      <c r="B404" s="65">
        <v>549.48485219273141</v>
      </c>
      <c r="C404" s="65">
        <v>544.94060778133689</v>
      </c>
      <c r="D404" s="65">
        <v>545.04026226404278</v>
      </c>
      <c r="E404" s="65">
        <v>7643795.6358382031</v>
      </c>
      <c r="F404" s="65" t="s">
        <v>579</v>
      </c>
      <c r="G404" s="25">
        <f t="shared" si="8"/>
        <v>7.8620664436033216E-3</v>
      </c>
      <c r="I404" s="66">
        <v>62.954515177193493</v>
      </c>
      <c r="J404" s="66">
        <v>63.260071771916067</v>
      </c>
      <c r="K404" s="66">
        <v>61.577539168072796</v>
      </c>
      <c r="L404" s="66">
        <v>61.968848742604585</v>
      </c>
      <c r="M404" s="66">
        <v>21044558.556618869</v>
      </c>
      <c r="N404" s="66" t="s">
        <v>579</v>
      </c>
      <c r="O404" s="25">
        <f t="shared" si="9"/>
        <v>1.5905837442341308E-2</v>
      </c>
    </row>
    <row r="405" spans="1:15">
      <c r="A405" s="65">
        <v>557.0785237749302</v>
      </c>
      <c r="B405" s="65">
        <v>559.71936756663979</v>
      </c>
      <c r="C405" s="65">
        <v>556.09194439614055</v>
      </c>
      <c r="D405" s="65">
        <v>558.82247722228556</v>
      </c>
      <c r="E405" s="65">
        <v>3624664.8438843829</v>
      </c>
      <c r="F405" s="65" t="s">
        <v>580</v>
      </c>
      <c r="G405" s="25">
        <f t="shared" si="8"/>
        <v>-3.1207646765104569E-3</v>
      </c>
      <c r="I405" s="66">
        <v>61.032465629745133</v>
      </c>
      <c r="J405" s="66">
        <v>61.121175608858131</v>
      </c>
      <c r="K405" s="66">
        <v>60.554417408969513</v>
      </c>
      <c r="L405" s="66">
        <v>60.83533234282735</v>
      </c>
      <c r="M405" s="66">
        <v>19524459.111795124</v>
      </c>
      <c r="N405" s="66" t="s">
        <v>580</v>
      </c>
      <c r="O405" s="25">
        <f t="shared" si="9"/>
        <v>3.240440699935121E-3</v>
      </c>
    </row>
    <row r="406" spans="1:15">
      <c r="A406" s="65">
        <v>558.76268453266198</v>
      </c>
      <c r="B406" s="65">
        <v>558.76268453266198</v>
      </c>
      <c r="C406" s="65">
        <v>554.87615970712704</v>
      </c>
      <c r="D406" s="65">
        <v>555.11533046562158</v>
      </c>
      <c r="E406" s="65">
        <v>6239436.3315723669</v>
      </c>
      <c r="F406" s="65" t="s">
        <v>581</v>
      </c>
      <c r="G406" s="25">
        <f t="shared" si="8"/>
        <v>6.5704437742353239E-3</v>
      </c>
      <c r="I406" s="66">
        <v>60.648055720255456</v>
      </c>
      <c r="J406" s="66">
        <v>61.091605615820463</v>
      </c>
      <c r="K406" s="66">
        <v>60.490349090721224</v>
      </c>
      <c r="L406" s="66">
        <v>60.914185657594459</v>
      </c>
      <c r="M406" s="66">
        <v>16768779.39634165</v>
      </c>
      <c r="N406" s="66" t="s">
        <v>581</v>
      </c>
      <c r="O406" s="25">
        <f t="shared" si="9"/>
        <v>-4.3689320388349273E-3</v>
      </c>
    </row>
    <row r="407" spans="1:15">
      <c r="A407" s="65">
        <v>555.68336101704597</v>
      </c>
      <c r="B407" s="65">
        <v>556.99870053428265</v>
      </c>
      <c r="C407" s="65">
        <v>554.80640156923289</v>
      </c>
      <c r="D407" s="65">
        <v>555.2648121896807</v>
      </c>
      <c r="E407" s="65">
        <v>4796609.1140134707</v>
      </c>
      <c r="F407" s="65" t="s">
        <v>582</v>
      </c>
      <c r="G407" s="25">
        <f t="shared" si="8"/>
        <v>7.5378237226075839E-4</v>
      </c>
      <c r="I407" s="66">
        <v>60.894472328902687</v>
      </c>
      <c r="J407" s="66">
        <v>61.392233878370078</v>
      </c>
      <c r="K407" s="66">
        <v>60.776192356752013</v>
      </c>
      <c r="L407" s="66">
        <v>61.229598916662908</v>
      </c>
      <c r="M407" s="66">
        <v>18456432.4822396</v>
      </c>
      <c r="N407" s="66" t="s">
        <v>582</v>
      </c>
      <c r="O407" s="25">
        <f t="shared" si="9"/>
        <v>-5.4732775273662604E-3</v>
      </c>
    </row>
    <row r="408" spans="1:15">
      <c r="A408" s="65">
        <v>552.54424481180627</v>
      </c>
      <c r="B408" s="65">
        <v>552.54424481180627</v>
      </c>
      <c r="C408" s="65">
        <v>548.59792729664775</v>
      </c>
      <c r="D408" s="65">
        <v>550.41163888189737</v>
      </c>
      <c r="E408" s="65">
        <v>5320059.7264047191</v>
      </c>
      <c r="F408" s="65" t="s">
        <v>583</v>
      </c>
      <c r="G408" s="25">
        <f t="shared" si="8"/>
        <v>3.8745654692933229E-3</v>
      </c>
      <c r="I408" s="66">
        <v>61.525298847039586</v>
      </c>
      <c r="J408" s="66">
        <v>62.323688659056593</v>
      </c>
      <c r="K408" s="66">
        <v>61.407018874888912</v>
      </c>
      <c r="L408" s="66">
        <v>61.998418735642254</v>
      </c>
      <c r="M408" s="66">
        <v>20105247.885675568</v>
      </c>
      <c r="N408" s="66" t="s">
        <v>583</v>
      </c>
      <c r="O408" s="25">
        <f t="shared" si="9"/>
        <v>-7.6311605723369258E-3</v>
      </c>
    </row>
    <row r="409" spans="1:15">
      <c r="A409" s="65">
        <v>547.56152067650521</v>
      </c>
      <c r="B409" s="65">
        <v>549.21578508942514</v>
      </c>
      <c r="C409" s="65">
        <v>545.7876708843379</v>
      </c>
      <c r="D409" s="65">
        <v>547.02338646989256</v>
      </c>
      <c r="E409" s="65">
        <v>6581390.843548785</v>
      </c>
      <c r="F409" s="65" t="s">
        <v>584</v>
      </c>
      <c r="G409" s="25">
        <f t="shared" si="8"/>
        <v>9.83749908912257E-4</v>
      </c>
      <c r="I409" s="66">
        <v>61.811142113070368</v>
      </c>
      <c r="J409" s="66">
        <v>61.86535376697276</v>
      </c>
      <c r="K409" s="66">
        <v>61.278882238392356</v>
      </c>
      <c r="L409" s="66">
        <v>61.416875539234802</v>
      </c>
      <c r="M409" s="66">
        <v>18209880.513467979</v>
      </c>
      <c r="N409" s="66" t="s">
        <v>584</v>
      </c>
      <c r="O409" s="25">
        <f t="shared" si="9"/>
        <v>6.4195153265929061E-3</v>
      </c>
    </row>
    <row r="410" spans="1:15">
      <c r="A410" s="65">
        <v>542.35955667925089</v>
      </c>
      <c r="B410" s="65">
        <v>544.62171343667751</v>
      </c>
      <c r="C410" s="65">
        <v>541.51249357624965</v>
      </c>
      <c r="D410" s="65">
        <v>544.46226626434793</v>
      </c>
      <c r="E410" s="65">
        <v>3645347.3053656211</v>
      </c>
      <c r="F410" s="65" t="s">
        <v>585</v>
      </c>
      <c r="G410" s="25">
        <f t="shared" si="8"/>
        <v>-3.8619932277843549E-3</v>
      </c>
      <c r="I410" s="66">
        <v>61.357735553159472</v>
      </c>
      <c r="J410" s="66">
        <v>61.407018874888912</v>
      </c>
      <c r="K410" s="66">
        <v>60.441065768991784</v>
      </c>
      <c r="L410" s="66">
        <v>60.539632412450679</v>
      </c>
      <c r="M410" s="66">
        <v>12768546.800773488</v>
      </c>
      <c r="N410" s="66" t="s">
        <v>585</v>
      </c>
      <c r="O410" s="25">
        <f t="shared" si="9"/>
        <v>1.3513513513513598E-2</v>
      </c>
    </row>
    <row r="411" spans="1:15">
      <c r="A411" s="65">
        <v>543.16675798916958</v>
      </c>
      <c r="B411" s="65">
        <v>544.24302640239466</v>
      </c>
      <c r="C411" s="65">
        <v>539.88812550814146</v>
      </c>
      <c r="D411" s="65">
        <v>540.96439392136654</v>
      </c>
      <c r="E411" s="65">
        <v>5325719.2811451089</v>
      </c>
      <c r="F411" s="65" t="s">
        <v>586</v>
      </c>
      <c r="G411" s="25">
        <f t="shared" si="8"/>
        <v>4.0711811951956722E-3</v>
      </c>
      <c r="I411" s="66">
        <v>60.884615664556797</v>
      </c>
      <c r="J411" s="66">
        <v>61.722432133957362</v>
      </c>
      <c r="K411" s="66">
        <v>60.795905685443792</v>
      </c>
      <c r="L411" s="66">
        <v>61.436588867926581</v>
      </c>
      <c r="M411" s="66">
        <v>16422597.373675622</v>
      </c>
      <c r="N411" s="66" t="s">
        <v>586</v>
      </c>
      <c r="O411" s="25">
        <f t="shared" si="9"/>
        <v>-8.9844376704636408E-3</v>
      </c>
    </row>
    <row r="412" spans="1:15">
      <c r="A412" s="65">
        <v>533.41058413225016</v>
      </c>
      <c r="B412" s="65">
        <v>536.04784036258229</v>
      </c>
      <c r="C412" s="65">
        <v>529.97738754854493</v>
      </c>
      <c r="D412" s="65">
        <v>535.46346647599421</v>
      </c>
      <c r="E412" s="65">
        <v>8850583.2959053349</v>
      </c>
      <c r="F412" s="65" t="s">
        <v>587</v>
      </c>
      <c r="G412" s="25">
        <f t="shared" si="8"/>
        <v>-3.8338420308196008E-3</v>
      </c>
      <c r="I412" s="66">
        <v>61.1507456018958</v>
      </c>
      <c r="J412" s="66">
        <v>61.175387262760516</v>
      </c>
      <c r="K412" s="66">
        <v>60.421352440300005</v>
      </c>
      <c r="L412" s="66">
        <v>60.771264024579068</v>
      </c>
      <c r="M412" s="66">
        <v>16900531.879172377</v>
      </c>
      <c r="N412" s="66" t="s">
        <v>587</v>
      </c>
      <c r="O412" s="25">
        <f t="shared" si="9"/>
        <v>6.2444246208741561E-3</v>
      </c>
    </row>
    <row r="413" spans="1:15">
      <c r="A413" s="65">
        <v>532.7329336498492</v>
      </c>
      <c r="B413" s="65">
        <v>533.06179344277905</v>
      </c>
      <c r="C413" s="65">
        <v>527.19214441139434</v>
      </c>
      <c r="D413" s="65">
        <v>527.5708314456773</v>
      </c>
      <c r="E413" s="65">
        <v>5640499.9026304344</v>
      </c>
      <c r="F413" s="65" t="s">
        <v>588</v>
      </c>
      <c r="G413" s="25">
        <f t="shared" si="8"/>
        <v>9.7846618813750563E-3</v>
      </c>
      <c r="I413" s="66">
        <v>60.766335692406123</v>
      </c>
      <c r="J413" s="66">
        <v>60.958540647150961</v>
      </c>
      <c r="K413" s="66">
        <v>59.839809243892553</v>
      </c>
      <c r="L413" s="66">
        <v>60.253789146419898</v>
      </c>
      <c r="M413" s="66">
        <v>18278164.263059258</v>
      </c>
      <c r="N413" s="66" t="s">
        <v>588</v>
      </c>
      <c r="O413" s="25">
        <f t="shared" si="9"/>
        <v>8.5064616391297143E-3</v>
      </c>
    </row>
    <row r="414" spans="1:15">
      <c r="A414" s="65">
        <v>532.04531771917766</v>
      </c>
      <c r="B414" s="65">
        <v>536.88852557869029</v>
      </c>
      <c r="C414" s="65">
        <v>530.16184799603388</v>
      </c>
      <c r="D414" s="65">
        <v>536.84866378560787</v>
      </c>
      <c r="E414" s="65">
        <v>7962714.5558606498</v>
      </c>
      <c r="F414" s="65" t="s">
        <v>589</v>
      </c>
      <c r="G414" s="25">
        <f t="shared" si="8"/>
        <v>-8.9473000315568596E-3</v>
      </c>
      <c r="I414" s="66">
        <v>60.194649160344561</v>
      </c>
      <c r="J414" s="66">
        <v>60.766335692406123</v>
      </c>
      <c r="K414" s="66">
        <v>59.859522572584325</v>
      </c>
      <c r="L414" s="66">
        <v>60.697339041984897</v>
      </c>
      <c r="M414" s="66">
        <v>22751054.731160443</v>
      </c>
      <c r="N414" s="66" t="s">
        <v>589</v>
      </c>
      <c r="O414" s="25">
        <f t="shared" si="9"/>
        <v>-8.2819097109450013E-3</v>
      </c>
    </row>
    <row r="415" spans="1:15">
      <c r="A415" s="65">
        <v>540.26681254242442</v>
      </c>
      <c r="B415" s="65">
        <v>541.12384109369623</v>
      </c>
      <c r="C415" s="65">
        <v>536.22084054456002</v>
      </c>
      <c r="D415" s="65">
        <v>539.44964578423503</v>
      </c>
      <c r="E415" s="65">
        <v>4331966.6940975003</v>
      </c>
      <c r="F415" s="65" t="s">
        <v>590</v>
      </c>
      <c r="G415" s="25">
        <f t="shared" si="8"/>
        <v>1.5148156358530951E-3</v>
      </c>
      <c r="I415" s="66">
        <v>60.82547567848146</v>
      </c>
      <c r="J415" s="66">
        <v>60.884615664556797</v>
      </c>
      <c r="K415" s="66">
        <v>60.056655859502108</v>
      </c>
      <c r="L415" s="66">
        <v>60.115795845577445</v>
      </c>
      <c r="M415" s="66">
        <v>14621982.137406345</v>
      </c>
      <c r="N415" s="66" t="s">
        <v>590</v>
      </c>
      <c r="O415" s="25">
        <f t="shared" si="9"/>
        <v>1.1805213969503292E-2</v>
      </c>
    </row>
    <row r="416" spans="1:15">
      <c r="A416" s="65">
        <v>539.53933481867045</v>
      </c>
      <c r="B416" s="65">
        <v>547.70103695229363</v>
      </c>
      <c r="C416" s="65">
        <v>537.69572688860899</v>
      </c>
      <c r="D416" s="65">
        <v>547.42200440071679</v>
      </c>
      <c r="E416" s="65">
        <v>5401899.496965358</v>
      </c>
      <c r="F416" s="65" t="s">
        <v>591</v>
      </c>
      <c r="G416" s="25">
        <f t="shared" si="8"/>
        <v>-1.439962135003281E-2</v>
      </c>
      <c r="I416" s="66">
        <v>59.967945880389109</v>
      </c>
      <c r="J416" s="66">
        <v>60.832868176740874</v>
      </c>
      <c r="K416" s="66">
        <v>59.74617093260661</v>
      </c>
      <c r="L416" s="66">
        <v>60.234075817728112</v>
      </c>
      <c r="M416" s="66">
        <v>18058471.279306278</v>
      </c>
      <c r="N416" s="66" t="s">
        <v>591</v>
      </c>
      <c r="O416" s="25">
        <f t="shared" si="9"/>
        <v>-4.4182621502208974E-3</v>
      </c>
    </row>
    <row r="417" spans="1:15">
      <c r="A417" s="65">
        <v>545.67805095336143</v>
      </c>
      <c r="B417" s="65">
        <v>549.52471398581372</v>
      </c>
      <c r="C417" s="65">
        <v>543.93409750600608</v>
      </c>
      <c r="D417" s="65">
        <v>546.38559778057413</v>
      </c>
      <c r="E417" s="65">
        <v>6004180.4819267448</v>
      </c>
      <c r="F417" s="65" t="s">
        <v>592</v>
      </c>
      <c r="G417" s="25">
        <f t="shared" si="8"/>
        <v>-1.2949587801851514E-3</v>
      </c>
      <c r="I417" s="66">
        <v>59.938375887351448</v>
      </c>
      <c r="J417" s="66">
        <v>60.682554045466063</v>
      </c>
      <c r="K417" s="66">
        <v>59.790525922163106</v>
      </c>
      <c r="L417" s="66">
        <v>60.618485727217788</v>
      </c>
      <c r="M417" s="66">
        <v>18184891.329363041</v>
      </c>
      <c r="N417" s="66" t="s">
        <v>592</v>
      </c>
      <c r="O417" s="25">
        <f t="shared" si="9"/>
        <v>-1.121951219512185E-2</v>
      </c>
    </row>
    <row r="418" spans="1:15">
      <c r="A418" s="65">
        <v>542.51900385158046</v>
      </c>
      <c r="B418" s="65">
        <v>542.99734536856943</v>
      </c>
      <c r="C418" s="65">
        <v>537.33697075086741</v>
      </c>
      <c r="D418" s="65">
        <v>538.32355012965706</v>
      </c>
      <c r="E418" s="65">
        <v>6441920.9509499632</v>
      </c>
      <c r="F418" s="65" t="s">
        <v>593</v>
      </c>
      <c r="G418" s="25">
        <f t="shared" si="8"/>
        <v>7.7935541198466129E-3</v>
      </c>
      <c r="I418" s="66">
        <v>60.864902335865018</v>
      </c>
      <c r="J418" s="66">
        <v>61.185243927106413</v>
      </c>
      <c r="K418" s="66">
        <v>60.736765699368455</v>
      </c>
      <c r="L418" s="66">
        <v>61.012752301053347</v>
      </c>
      <c r="M418" s="66">
        <v>10554487.43604511</v>
      </c>
      <c r="N418" s="66" t="s">
        <v>593</v>
      </c>
      <c r="O418" s="25">
        <f t="shared" si="9"/>
        <v>-2.4232633279481774E-3</v>
      </c>
    </row>
    <row r="419" spans="1:15">
      <c r="A419" s="65">
        <v>535.60298275178263</v>
      </c>
      <c r="B419" s="65">
        <v>541.66187564582594</v>
      </c>
      <c r="C419" s="65">
        <v>531.95064596060683</v>
      </c>
      <c r="D419" s="65">
        <v>540.14722716317715</v>
      </c>
      <c r="E419" s="65">
        <v>7167462.8235950079</v>
      </c>
      <c r="F419" s="65" t="s">
        <v>594</v>
      </c>
      <c r="G419" s="25">
        <f t="shared" si="8"/>
        <v>-8.4129736910075748E-3</v>
      </c>
      <c r="I419" s="66">
        <v>60.953612314978017</v>
      </c>
      <c r="J419" s="66">
        <v>61.850568770453926</v>
      </c>
      <c r="K419" s="66">
        <v>60.736765699368455</v>
      </c>
      <c r="L419" s="66">
        <v>61.45630219661836</v>
      </c>
      <c r="M419" s="66">
        <v>13179889.812741933</v>
      </c>
      <c r="N419" s="66" t="s">
        <v>594</v>
      </c>
      <c r="O419" s="25">
        <f t="shared" si="9"/>
        <v>-8.1796311146752343E-3</v>
      </c>
    </row>
    <row r="420" spans="1:15">
      <c r="A420" s="65">
        <v>536.94831826831387</v>
      </c>
      <c r="B420" s="65">
        <v>541.1887161619378</v>
      </c>
      <c r="C420" s="65">
        <v>535.54328971664165</v>
      </c>
      <c r="D420" s="65">
        <v>540.57574143881311</v>
      </c>
      <c r="E420" s="65">
        <v>6061694.2017752314</v>
      </c>
      <c r="F420" s="65" t="s">
        <v>595</v>
      </c>
      <c r="G420" s="25">
        <f t="shared" si="8"/>
        <v>-6.7102958798046508E-3</v>
      </c>
      <c r="I420" s="66">
        <v>61.367592217505354</v>
      </c>
      <c r="J420" s="66">
        <v>61.535155511385469</v>
      </c>
      <c r="K420" s="66">
        <v>60.914185657594459</v>
      </c>
      <c r="L420" s="66">
        <v>61.131032273204021</v>
      </c>
      <c r="M420" s="66">
        <v>9391274.4465734866</v>
      </c>
      <c r="N420" s="66" t="s">
        <v>595</v>
      </c>
      <c r="O420" s="25">
        <f t="shared" si="9"/>
        <v>3.8697194453400918E-3</v>
      </c>
    </row>
    <row r="421" spans="1:15">
      <c r="A421" s="65">
        <v>539.12078599130518</v>
      </c>
      <c r="B421" s="65">
        <v>542.21007495519189</v>
      </c>
      <c r="C421" s="65">
        <v>535.54319006215894</v>
      </c>
      <c r="D421" s="65">
        <v>538.69227171566922</v>
      </c>
      <c r="E421" s="65">
        <v>6527643.1359238243</v>
      </c>
      <c r="F421" s="65" t="s">
        <v>596</v>
      </c>
      <c r="G421" s="25">
        <f t="shared" si="8"/>
        <v>7.9547136303115273E-4</v>
      </c>
      <c r="I421" s="66">
        <v>61.14088893754991</v>
      </c>
      <c r="J421" s="66">
        <v>61.44644553227247</v>
      </c>
      <c r="K421" s="66">
        <v>60.795905685443792</v>
      </c>
      <c r="L421" s="66">
        <v>61.44644553227247</v>
      </c>
      <c r="M421" s="66">
        <v>9102685.9444007035</v>
      </c>
      <c r="N421" s="66" t="s">
        <v>596</v>
      </c>
      <c r="O421" s="25">
        <f t="shared" si="9"/>
        <v>-4.9727301892845688E-3</v>
      </c>
    </row>
    <row r="422" spans="1:15">
      <c r="A422" s="65">
        <v>545.1897439881019</v>
      </c>
      <c r="B422" s="65">
        <v>547.72096784883479</v>
      </c>
      <c r="C422" s="65">
        <v>541.32324971359094</v>
      </c>
      <c r="D422" s="65">
        <v>547.47183164206979</v>
      </c>
      <c r="E422" s="65">
        <v>7101672.5066722762</v>
      </c>
      <c r="F422" s="65" t="s">
        <v>597</v>
      </c>
      <c r="G422" s="25">
        <f t="shared" si="8"/>
        <v>-4.1684110890656267E-3</v>
      </c>
      <c r="I422" s="66">
        <v>61.554868840077255</v>
      </c>
      <c r="J422" s="66">
        <v>62.047702057371708</v>
      </c>
      <c r="K422" s="66">
        <v>61.317323229341326</v>
      </c>
      <c r="L422" s="66">
        <v>61.554868840077255</v>
      </c>
      <c r="M422" s="66">
        <v>8667002.0406679902</v>
      </c>
      <c r="N422" s="66" t="s">
        <v>597</v>
      </c>
      <c r="O422" s="25">
        <f t="shared" si="9"/>
        <v>0</v>
      </c>
    </row>
    <row r="423" spans="1:15">
      <c r="A423" s="65">
        <v>550.8999458471568</v>
      </c>
      <c r="B423" s="65">
        <v>552.05593784654673</v>
      </c>
      <c r="C423" s="65">
        <v>548.02003095143561</v>
      </c>
      <c r="D423" s="65">
        <v>549.29550867558999</v>
      </c>
      <c r="E423" s="65">
        <v>4511857.2470682478</v>
      </c>
      <c r="F423" s="65" t="s">
        <v>598</v>
      </c>
      <c r="G423" s="25">
        <f t="shared" si="8"/>
        <v>2.9208998548619913E-3</v>
      </c>
      <c r="I423" s="66">
        <v>61.673148812227922</v>
      </c>
      <c r="J423" s="66">
        <v>61.840712106108036</v>
      </c>
      <c r="K423" s="66">
        <v>61.5055855183478</v>
      </c>
      <c r="L423" s="66">
        <v>61.722432133957362</v>
      </c>
      <c r="M423" s="66">
        <v>8061186.5446284534</v>
      </c>
      <c r="N423" s="66" t="s">
        <v>598</v>
      </c>
      <c r="O423" s="25">
        <f t="shared" si="9"/>
        <v>-7.9846694346841218E-4</v>
      </c>
    </row>
    <row r="424" spans="1:15">
      <c r="A424" s="65">
        <v>550.90991129542749</v>
      </c>
      <c r="B424" s="65">
        <v>550.98963488159222</v>
      </c>
      <c r="C424" s="65">
        <v>545.64815460854948</v>
      </c>
      <c r="D424" s="65">
        <v>546.16635791862086</v>
      </c>
      <c r="E424" s="65">
        <v>3451174.4044126086</v>
      </c>
      <c r="F424" s="65" t="s">
        <v>599</v>
      </c>
      <c r="G424" s="25">
        <f t="shared" si="8"/>
        <v>8.6851804546947964E-3</v>
      </c>
      <c r="I424" s="66">
        <v>61.939278749566924</v>
      </c>
      <c r="J424" s="66">
        <v>61.939278749566924</v>
      </c>
      <c r="K424" s="66">
        <v>61.121175608858131</v>
      </c>
      <c r="L424" s="66">
        <v>61.308452231430024</v>
      </c>
      <c r="M424" s="66">
        <v>5092119.2239779718</v>
      </c>
      <c r="N424" s="66" t="s">
        <v>599</v>
      </c>
      <c r="O424" s="25">
        <f t="shared" si="9"/>
        <v>1.0289389067524191E-2</v>
      </c>
    </row>
    <row r="425" spans="1:15">
      <c r="A425" s="65">
        <v>545.29936391907859</v>
      </c>
      <c r="B425" s="65">
        <v>545.46877653967874</v>
      </c>
      <c r="C425" s="65">
        <v>538.45310095717491</v>
      </c>
      <c r="D425" s="65">
        <v>541.43276999008481</v>
      </c>
      <c r="E425" s="65">
        <v>7087844.7293101177</v>
      </c>
      <c r="F425" s="65" t="s">
        <v>600</v>
      </c>
      <c r="G425" s="25">
        <f t="shared" si="8"/>
        <v>7.1414109808398685E-3</v>
      </c>
      <c r="I425" s="66">
        <v>61.485872189656028</v>
      </c>
      <c r="J425" s="66">
        <v>61.860425434799808</v>
      </c>
      <c r="K425" s="66">
        <v>60.649829919837714</v>
      </c>
      <c r="L425" s="66">
        <v>61.604152161806695</v>
      </c>
      <c r="M425" s="66">
        <v>13199960.497210611</v>
      </c>
      <c r="N425" s="66" t="s">
        <v>600</v>
      </c>
      <c r="O425" s="25">
        <f t="shared" si="9"/>
        <v>-1.9199999999999218E-3</v>
      </c>
    </row>
    <row r="426" spans="1:15">
      <c r="A426" s="65">
        <v>541.42429935905466</v>
      </c>
      <c r="B426" s="65">
        <v>545.89444714108117</v>
      </c>
      <c r="C426" s="65">
        <v>532.29526422198273</v>
      </c>
      <c r="D426" s="65">
        <v>533.05022251405831</v>
      </c>
      <c r="E426" s="65">
        <v>9452116.6995613053</v>
      </c>
      <c r="F426" s="65" t="s">
        <v>601</v>
      </c>
      <c r="G426" s="25">
        <f t="shared" si="8"/>
        <v>1.5709733325879105E-2</v>
      </c>
      <c r="I426" s="66">
        <v>61.653435483536136</v>
      </c>
      <c r="J426" s="66">
        <v>62.156125365176486</v>
      </c>
      <c r="K426" s="66">
        <v>61.38730554619714</v>
      </c>
      <c r="L426" s="66">
        <v>61.574582168769027</v>
      </c>
      <c r="M426" s="66">
        <v>43075521.809473038</v>
      </c>
      <c r="N426" s="66" t="s">
        <v>601</v>
      </c>
      <c r="O426" s="25">
        <f t="shared" si="9"/>
        <v>1.2806146950534725E-3</v>
      </c>
    </row>
    <row r="427" spans="1:15">
      <c r="A427" s="65">
        <v>535.36476569897434</v>
      </c>
      <c r="B427" s="65">
        <v>541.48390132948168</v>
      </c>
      <c r="C427" s="65">
        <v>535.07668950857703</v>
      </c>
      <c r="D427" s="65">
        <v>540.08325502444677</v>
      </c>
      <c r="E427" s="65">
        <v>16904264.956033021</v>
      </c>
      <c r="F427" s="65" t="s">
        <v>602</v>
      </c>
      <c r="G427" s="25">
        <f t="shared" si="8"/>
        <v>-8.7365962221117588E-3</v>
      </c>
      <c r="I427" s="66">
        <v>61.554868840077255</v>
      </c>
      <c r="J427" s="66">
        <v>62.264548672981263</v>
      </c>
      <c r="K427" s="66">
        <v>61.5055855183478</v>
      </c>
      <c r="L427" s="66">
        <v>61.801285448724478</v>
      </c>
      <c r="M427" s="66">
        <v>21610401.097693745</v>
      </c>
      <c r="N427" s="66" t="s">
        <v>602</v>
      </c>
      <c r="O427" s="25">
        <f t="shared" si="9"/>
        <v>-3.9872408293459838E-3</v>
      </c>
    </row>
    <row r="428" spans="1:15">
      <c r="A428" s="65">
        <v>535.56343893373094</v>
      </c>
      <c r="B428" s="65">
        <v>553.83144286961283</v>
      </c>
      <c r="C428" s="65">
        <v>534.95748556772298</v>
      </c>
      <c r="D428" s="65">
        <v>551.61623630207521</v>
      </c>
      <c r="E428" s="65">
        <v>24749111.303395186</v>
      </c>
      <c r="F428" s="65" t="s">
        <v>603</v>
      </c>
      <c r="G428" s="25">
        <f t="shared" si="8"/>
        <v>-2.9101386637853555E-2</v>
      </c>
      <c r="I428" s="66">
        <v>61.949135413912813</v>
      </c>
      <c r="J428" s="66">
        <v>62.727811897238048</v>
      </c>
      <c r="K428" s="66">
        <v>61.889995427837476</v>
      </c>
      <c r="L428" s="66">
        <v>61.909708756529255</v>
      </c>
      <c r="M428" s="66">
        <v>21250685.084691968</v>
      </c>
      <c r="N428" s="66" t="s">
        <v>603</v>
      </c>
      <c r="O428" s="25">
        <f t="shared" si="9"/>
        <v>6.3684126731411439E-4</v>
      </c>
    </row>
    <row r="429" spans="1:15">
      <c r="A429" s="65">
        <v>551.76524122814283</v>
      </c>
      <c r="B429" s="65">
        <v>552.69403860063051</v>
      </c>
      <c r="C429" s="65">
        <v>550.61293646655361</v>
      </c>
      <c r="D429" s="65">
        <v>551.78510855161846</v>
      </c>
      <c r="E429" s="65">
        <v>6151689.2373373276</v>
      </c>
      <c r="F429" s="65" t="s">
        <v>604</v>
      </c>
      <c r="G429" s="25">
        <f t="shared" si="8"/>
        <v>-3.6005544853834337E-5</v>
      </c>
      <c r="I429" s="66">
        <v>62.491251952936707</v>
      </c>
      <c r="J429" s="66">
        <v>62.639101918125043</v>
      </c>
      <c r="K429" s="66">
        <v>61.426732203580691</v>
      </c>
      <c r="L429" s="66">
        <v>61.554868840077255</v>
      </c>
      <c r="M429" s="66">
        <v>22220886.53057852</v>
      </c>
      <c r="N429" s="66" t="s">
        <v>604</v>
      </c>
      <c r="O429" s="25">
        <f t="shared" si="9"/>
        <v>1.5212169735788539E-2</v>
      </c>
    </row>
    <row r="430" spans="1:15">
      <c r="A430" s="65">
        <v>554.08971807479656</v>
      </c>
      <c r="B430" s="65">
        <v>555.09132918782268</v>
      </c>
      <c r="C430" s="65">
        <v>552.72383958584396</v>
      </c>
      <c r="D430" s="65">
        <v>553.43409640009929</v>
      </c>
      <c r="E430" s="65">
        <v>22999352.708959177</v>
      </c>
      <c r="F430" s="65" t="s">
        <v>605</v>
      </c>
      <c r="G430" s="25">
        <f t="shared" si="8"/>
        <v>1.1846427225243872E-3</v>
      </c>
      <c r="I430" s="66">
        <v>61.653435483536136</v>
      </c>
      <c r="J430" s="66">
        <v>62.94465851284761</v>
      </c>
      <c r="K430" s="66">
        <v>61.45630219661836</v>
      </c>
      <c r="L430" s="66">
        <v>62.323688659056593</v>
      </c>
      <c r="M430" s="66">
        <v>24916885.812636152</v>
      </c>
      <c r="N430" s="66" t="s">
        <v>605</v>
      </c>
      <c r="O430" s="25">
        <f t="shared" si="9"/>
        <v>-1.0754388739522391E-2</v>
      </c>
    </row>
    <row r="431" spans="1:15">
      <c r="A431" s="65">
        <v>551.92417981594815</v>
      </c>
      <c r="B431" s="65">
        <v>554.45726355909653</v>
      </c>
      <c r="C431" s="65">
        <v>550.5279043220778</v>
      </c>
      <c r="D431" s="65">
        <v>553.81157554613708</v>
      </c>
      <c r="E431" s="65">
        <v>4698028.9073304981</v>
      </c>
      <c r="F431" s="65" t="s">
        <v>606</v>
      </c>
      <c r="G431" s="25">
        <f t="shared" si="8"/>
        <v>-3.4080106186434866E-3</v>
      </c>
      <c r="I431" s="66">
        <v>62.215265351251816</v>
      </c>
      <c r="J431" s="66">
        <v>62.920016851982886</v>
      </c>
      <c r="K431" s="66">
        <v>62.205408686905926</v>
      </c>
      <c r="L431" s="66">
        <v>62.658815246816829</v>
      </c>
      <c r="M431" s="66">
        <v>13624318.054008666</v>
      </c>
      <c r="N431" s="66" t="s">
        <v>606</v>
      </c>
      <c r="O431" s="25">
        <f t="shared" si="9"/>
        <v>-7.0788107597924421E-3</v>
      </c>
    </row>
    <row r="432" spans="1:15">
      <c r="A432" s="65">
        <v>551.96391446289942</v>
      </c>
      <c r="B432" s="65">
        <v>554.49699820604792</v>
      </c>
      <c r="C432" s="65">
        <v>551.93411347768597</v>
      </c>
      <c r="D432" s="65">
        <v>553.97051413394252</v>
      </c>
      <c r="E432" s="65">
        <v>4075639.0813863762</v>
      </c>
      <c r="F432" s="65" t="s">
        <v>607</v>
      </c>
      <c r="G432" s="25">
        <f t="shared" si="8"/>
        <v>-3.6222138540715765E-3</v>
      </c>
      <c r="I432" s="66">
        <v>62.924945184155831</v>
      </c>
      <c r="J432" s="66">
        <v>63.003798498922947</v>
      </c>
      <c r="K432" s="66">
        <v>62.313831994710711</v>
      </c>
      <c r="L432" s="66">
        <v>62.639101918125043</v>
      </c>
      <c r="M432" s="66">
        <v>17797188.160633974</v>
      </c>
      <c r="N432" s="66" t="s">
        <v>607</v>
      </c>
      <c r="O432" s="25">
        <f t="shared" si="9"/>
        <v>4.5633359559402731E-3</v>
      </c>
    </row>
    <row r="433" spans="1:15">
      <c r="A433" s="65">
        <v>554.8248090433965</v>
      </c>
      <c r="B433" s="65">
        <v>555.67910395285048</v>
      </c>
      <c r="C433" s="65">
        <v>552.96721429842103</v>
      </c>
      <c r="D433" s="65">
        <v>553.22548950360476</v>
      </c>
      <c r="E433" s="65">
        <v>3537886.7257114095</v>
      </c>
      <c r="F433" s="65" t="s">
        <v>608</v>
      </c>
      <c r="G433" s="25">
        <f t="shared" si="8"/>
        <v>2.8908999497234689E-3</v>
      </c>
      <c r="I433" s="66">
        <v>61.742145462649141</v>
      </c>
      <c r="J433" s="66">
        <v>62.717955232892166</v>
      </c>
      <c r="K433" s="66">
        <v>61.5055855183478</v>
      </c>
      <c r="L433" s="66">
        <v>62.096985379101149</v>
      </c>
      <c r="M433" s="66">
        <v>33296265.195119336</v>
      </c>
      <c r="N433" s="66" t="s">
        <v>608</v>
      </c>
      <c r="O433" s="25">
        <f t="shared" si="9"/>
        <v>-5.7142857142857828E-3</v>
      </c>
    </row>
    <row r="434" spans="1:15">
      <c r="A434" s="65">
        <v>550.65267111350511</v>
      </c>
      <c r="B434" s="65">
        <v>553.18575485665338</v>
      </c>
      <c r="C434" s="65">
        <v>549.89771282142954</v>
      </c>
      <c r="D434" s="65">
        <v>552.88774500451837</v>
      </c>
      <c r="E434" s="65">
        <v>4137560.8597027324</v>
      </c>
      <c r="F434" s="65" t="s">
        <v>609</v>
      </c>
      <c r="G434" s="25">
        <f t="shared" si="8"/>
        <v>-4.0425455460131321E-3</v>
      </c>
      <c r="I434" s="66">
        <v>62.008275399988143</v>
      </c>
      <c r="J434" s="66">
        <v>62.136412036484707</v>
      </c>
      <c r="K434" s="66">
        <v>60.904328993248569</v>
      </c>
      <c r="L434" s="66">
        <v>61.801285448724478</v>
      </c>
      <c r="M434" s="66">
        <v>15166809.455406653</v>
      </c>
      <c r="N434" s="66" t="s">
        <v>609</v>
      </c>
      <c r="O434" s="25">
        <f t="shared" si="9"/>
        <v>3.3492822966505464E-3</v>
      </c>
    </row>
    <row r="435" spans="1:15">
      <c r="A435" s="65">
        <v>552.22218966808327</v>
      </c>
      <c r="B435" s="65">
        <v>555.15758671161404</v>
      </c>
      <c r="C435" s="65">
        <v>551.69570559597787</v>
      </c>
      <c r="D435" s="65">
        <v>555.00361495467757</v>
      </c>
      <c r="E435" s="65">
        <v>4441741.7428196585</v>
      </c>
      <c r="F435" s="65" t="s">
        <v>610</v>
      </c>
      <c r="G435" s="25">
        <f t="shared" si="8"/>
        <v>-5.0115444506094731E-3</v>
      </c>
      <c r="I435" s="66">
        <v>61.70271880526559</v>
      </c>
      <c r="J435" s="66">
        <v>62.027003062245342</v>
      </c>
      <c r="K435" s="66">
        <v>61.012752301053347</v>
      </c>
      <c r="L435" s="66">
        <v>61.791428784378589</v>
      </c>
      <c r="M435" s="66">
        <v>22673320.522800233</v>
      </c>
      <c r="N435" s="66" t="s">
        <v>610</v>
      </c>
      <c r="O435" s="25">
        <f t="shared" si="9"/>
        <v>-1.4356356675705451E-3</v>
      </c>
    </row>
    <row r="436" spans="1:15">
      <c r="A436" s="65">
        <v>555.1128852337938</v>
      </c>
      <c r="B436" s="65">
        <v>556.24532267190716</v>
      </c>
      <c r="C436" s="65">
        <v>554.37779426519387</v>
      </c>
      <c r="D436" s="65">
        <v>554.76520707296947</v>
      </c>
      <c r="E436" s="65">
        <v>5169171.3846481517</v>
      </c>
      <c r="F436" s="65" t="s">
        <v>611</v>
      </c>
      <c r="G436" s="25">
        <f t="shared" si="8"/>
        <v>6.2671226744503983E-4</v>
      </c>
      <c r="I436" s="66">
        <v>61.633722154844364</v>
      </c>
      <c r="J436" s="66">
        <v>62.451825295553157</v>
      </c>
      <c r="K436" s="66">
        <v>61.614008826152585</v>
      </c>
      <c r="L436" s="66">
        <v>61.929422085221034</v>
      </c>
      <c r="M436" s="66">
        <v>15807729.119332794</v>
      </c>
      <c r="N436" s="66" t="s">
        <v>611</v>
      </c>
      <c r="O436" s="25">
        <f t="shared" si="9"/>
        <v>-4.7747891134808373E-3</v>
      </c>
    </row>
    <row r="437" spans="1:15">
      <c r="A437" s="65">
        <v>554.0102487808939</v>
      </c>
      <c r="B437" s="65">
        <v>555.69897127632612</v>
      </c>
      <c r="C437" s="65">
        <v>553.76190723744799</v>
      </c>
      <c r="D437" s="65">
        <v>554.9241456607748</v>
      </c>
      <c r="E437" s="65">
        <v>3041739.3703784416</v>
      </c>
      <c r="F437" s="65" t="s">
        <v>612</v>
      </c>
      <c r="G437" s="25">
        <f t="shared" si="8"/>
        <v>-1.6468861321445871E-3</v>
      </c>
      <c r="I437" s="66">
        <v>62.01813206433404</v>
      </c>
      <c r="J437" s="66">
        <v>62.215265351251816</v>
      </c>
      <c r="K437" s="66">
        <v>61.209885587971137</v>
      </c>
      <c r="L437" s="66">
        <v>61.574582168769027</v>
      </c>
      <c r="M437" s="66">
        <v>21346327.988509949</v>
      </c>
      <c r="N437" s="66" t="s">
        <v>612</v>
      </c>
      <c r="O437" s="25">
        <f t="shared" si="9"/>
        <v>7.2034576596766708E-3</v>
      </c>
    </row>
    <row r="438" spans="1:15">
      <c r="A438" s="65">
        <v>554.93407932251262</v>
      </c>
      <c r="B438" s="65">
        <v>555.17248720422072</v>
      </c>
      <c r="C438" s="65">
        <v>552.48145823944083</v>
      </c>
      <c r="D438" s="65">
        <v>553.13608654796428</v>
      </c>
      <c r="E438" s="65">
        <v>5526986.0650556246</v>
      </c>
      <c r="F438" s="65" t="s">
        <v>613</v>
      </c>
      <c r="G438" s="25">
        <f t="shared" si="8"/>
        <v>3.2505432537757173E-3</v>
      </c>
      <c r="I438" s="66">
        <v>61.318308895775914</v>
      </c>
      <c r="J438" s="66">
        <v>62.441968631207267</v>
      </c>
      <c r="K438" s="66">
        <v>61.012752301053347</v>
      </c>
      <c r="L438" s="66">
        <v>62.368043648613096</v>
      </c>
      <c r="M438" s="66">
        <v>28546837.969313018</v>
      </c>
      <c r="N438" s="66" t="s">
        <v>613</v>
      </c>
      <c r="O438" s="25">
        <f t="shared" si="9"/>
        <v>-1.6831291979454654E-2</v>
      </c>
    </row>
    <row r="439" spans="1:15">
      <c r="A439" s="65">
        <v>551.45729771426977</v>
      </c>
      <c r="B439" s="65">
        <v>551.74547324128446</v>
      </c>
      <c r="C439" s="65">
        <v>550.11625337966177</v>
      </c>
      <c r="D439" s="65">
        <v>551.11955321518337</v>
      </c>
      <c r="E439" s="65">
        <v>4230973.5432115309</v>
      </c>
      <c r="F439" s="65" t="s">
        <v>614</v>
      </c>
      <c r="G439" s="25">
        <f t="shared" si="8"/>
        <v>6.1283345349671947E-4</v>
      </c>
      <c r="I439" s="66">
        <v>62.609531925087381</v>
      </c>
      <c r="J439" s="66">
        <v>63.161505128457165</v>
      </c>
      <c r="K439" s="66">
        <v>62.121627039965873</v>
      </c>
      <c r="L439" s="66">
        <v>62.806665212005164</v>
      </c>
      <c r="M439" s="66">
        <v>25236214.937535565</v>
      </c>
      <c r="N439" s="66" t="s">
        <v>614</v>
      </c>
      <c r="O439" s="25">
        <f t="shared" si="9"/>
        <v>-3.1387319522913071E-3</v>
      </c>
    </row>
    <row r="440" spans="1:15">
      <c r="A440" s="65">
        <v>551.3281601116779</v>
      </c>
      <c r="B440" s="65">
        <v>551.88444516899688</v>
      </c>
      <c r="C440" s="65">
        <v>550.21558999704018</v>
      </c>
      <c r="D440" s="65">
        <v>550.68247209871856</v>
      </c>
      <c r="E440" s="65">
        <v>5477346.7665760098</v>
      </c>
      <c r="F440" s="65" t="s">
        <v>615</v>
      </c>
      <c r="G440" s="25">
        <f t="shared" si="8"/>
        <v>1.1725232700772192E-3</v>
      </c>
      <c r="I440" s="66">
        <v>62.737668561583938</v>
      </c>
      <c r="J440" s="66">
        <v>63.269928436261949</v>
      </c>
      <c r="K440" s="66">
        <v>62.437040299034322</v>
      </c>
      <c r="L440" s="66">
        <v>63.131935135419496</v>
      </c>
      <c r="M440" s="66">
        <v>16740039.450447261</v>
      </c>
      <c r="N440" s="66" t="s">
        <v>615</v>
      </c>
      <c r="O440" s="25">
        <f t="shared" si="9"/>
        <v>-6.2451209992192558E-3</v>
      </c>
    </row>
    <row r="441" spans="1:15">
      <c r="A441" s="65">
        <v>549.77850888057549</v>
      </c>
      <c r="B441" s="65">
        <v>551.02021659780507</v>
      </c>
      <c r="C441" s="65">
        <v>547.41429738697036</v>
      </c>
      <c r="D441" s="65">
        <v>547.6328379452026</v>
      </c>
      <c r="E441" s="65">
        <v>4015364.2284870273</v>
      </c>
      <c r="F441" s="65" t="s">
        <v>616</v>
      </c>
      <c r="G441" s="25">
        <f t="shared" si="8"/>
        <v>3.9180830415936896E-3</v>
      </c>
      <c r="I441" s="66">
        <v>63.161505128457165</v>
      </c>
      <c r="J441" s="66">
        <v>63.329068422337279</v>
      </c>
      <c r="K441" s="66">
        <v>62.855948533734612</v>
      </c>
      <c r="L441" s="66">
        <v>63.102365142381828</v>
      </c>
      <c r="M441" s="66">
        <v>10803202.408369642</v>
      </c>
      <c r="N441" s="66" t="s">
        <v>616</v>
      </c>
      <c r="O441" s="25">
        <f t="shared" si="9"/>
        <v>9.3720712277423068E-4</v>
      </c>
    </row>
    <row r="442" spans="1:15">
      <c r="A442" s="65">
        <v>546.89774697660266</v>
      </c>
      <c r="B442" s="65">
        <v>548.71560707462686</v>
      </c>
      <c r="C442" s="65">
        <v>545.46729968635429</v>
      </c>
      <c r="D442" s="65">
        <v>548.37786257554035</v>
      </c>
      <c r="E442" s="65">
        <v>3334338.4216355425</v>
      </c>
      <c r="F442" s="65" t="s">
        <v>617</v>
      </c>
      <c r="G442" s="25">
        <f t="shared" si="8"/>
        <v>-2.6990797768278174E-3</v>
      </c>
      <c r="I442" s="66">
        <v>63.028440159787642</v>
      </c>
      <c r="J442" s="66">
        <v>63.683865503681119</v>
      </c>
      <c r="K442" s="66">
        <v>62.852355739040128</v>
      </c>
      <c r="L442" s="66">
        <v>63.546910954210837</v>
      </c>
      <c r="M442" s="66">
        <v>13558340.538391</v>
      </c>
      <c r="N442" s="66" t="s">
        <v>617</v>
      </c>
      <c r="O442" s="25">
        <f t="shared" si="9"/>
        <v>-8.1588669950736215E-3</v>
      </c>
    </row>
    <row r="443" spans="1:15">
      <c r="A443" s="65">
        <v>548.64607144246202</v>
      </c>
      <c r="B443" s="65">
        <v>549.15258885447429</v>
      </c>
      <c r="C443" s="65">
        <v>546.20239065495423</v>
      </c>
      <c r="D443" s="65">
        <v>546.84807866791357</v>
      </c>
      <c r="E443" s="65">
        <v>4468215.3642233675</v>
      </c>
      <c r="F443" s="65" t="s">
        <v>618</v>
      </c>
      <c r="G443" s="25">
        <f t="shared" si="8"/>
        <v>3.2879200726612101E-3</v>
      </c>
      <c r="I443" s="66">
        <v>63.145829773619305</v>
      </c>
      <c r="J443" s="66">
        <v>63.233871983993062</v>
      </c>
      <c r="K443" s="66">
        <v>62.666488850473321</v>
      </c>
      <c r="L443" s="66">
        <v>62.911050545955966</v>
      </c>
      <c r="M443" s="66">
        <v>14795112.30431729</v>
      </c>
      <c r="N443" s="66" t="s">
        <v>618</v>
      </c>
      <c r="O443" s="25">
        <f t="shared" si="9"/>
        <v>3.73192349556839E-3</v>
      </c>
    </row>
    <row r="444" spans="1:15">
      <c r="A444" s="65">
        <v>545.58650362720834</v>
      </c>
      <c r="B444" s="65">
        <v>548.71560707462686</v>
      </c>
      <c r="C444" s="65">
        <v>543.56987095781005</v>
      </c>
      <c r="D444" s="65">
        <v>547.54343498956223</v>
      </c>
      <c r="E444" s="65">
        <v>4333750.3466647081</v>
      </c>
      <c r="F444" s="65" t="s">
        <v>619</v>
      </c>
      <c r="G444" s="25">
        <f t="shared" ref="G444:G507" si="10">A444/D444-1</f>
        <v>-3.5740203193034281E-3</v>
      </c>
      <c r="I444" s="66">
        <v>62.979527820691104</v>
      </c>
      <c r="J444" s="66">
        <v>63.302349258728192</v>
      </c>
      <c r="K444" s="66">
        <v>62.451274558448596</v>
      </c>
      <c r="L444" s="66">
        <v>62.920833013775265</v>
      </c>
      <c r="M444" s="66">
        <v>37623688.296080306</v>
      </c>
      <c r="N444" s="66" t="s">
        <v>619</v>
      </c>
      <c r="O444" s="25">
        <f t="shared" ref="O444:O507" si="11">I444/L444-1</f>
        <v>9.3283582089553896E-4</v>
      </c>
    </row>
    <row r="445" spans="1:15">
      <c r="A445" s="65">
        <v>543.8381791613491</v>
      </c>
      <c r="B445" s="65">
        <v>544.41393419567407</v>
      </c>
      <c r="C445" s="65">
        <v>541.75211019640335</v>
      </c>
      <c r="D445" s="65">
        <v>542.19912497460598</v>
      </c>
      <c r="E445" s="65">
        <v>5611815.81084718</v>
      </c>
      <c r="F445" s="65" t="s">
        <v>620</v>
      </c>
      <c r="G445" s="25">
        <f t="shared" si="10"/>
        <v>3.0229746070133956E-3</v>
      </c>
      <c r="I445" s="66">
        <v>62.529534301003039</v>
      </c>
      <c r="J445" s="66">
        <v>63.077352498884167</v>
      </c>
      <c r="K445" s="66">
        <v>62.265407669881775</v>
      </c>
      <c r="L445" s="66">
        <v>62.842573271220822</v>
      </c>
      <c r="M445" s="66">
        <v>19997235.218493257</v>
      </c>
      <c r="N445" s="66" t="s">
        <v>620</v>
      </c>
      <c r="O445" s="25">
        <f t="shared" si="11"/>
        <v>-4.9813200498131094E-3</v>
      </c>
    </row>
    <row r="446" spans="1:15">
      <c r="A446" s="65">
        <v>542.02031906332491</v>
      </c>
      <c r="B446" s="65">
        <v>543.44083269183557</v>
      </c>
      <c r="C446" s="65">
        <v>536.45746849013631</v>
      </c>
      <c r="D446" s="65">
        <v>541.96071709289788</v>
      </c>
      <c r="E446" s="65">
        <v>4560875.0524926046</v>
      </c>
      <c r="F446" s="65" t="s">
        <v>621</v>
      </c>
      <c r="G446" s="25">
        <f t="shared" si="10"/>
        <v>1.0997470581775026E-4</v>
      </c>
      <c r="I446" s="66">
        <v>62.373014815894138</v>
      </c>
      <c r="J446" s="66">
        <v>62.421927154990676</v>
      </c>
      <c r="K446" s="66">
        <v>61.580634922530372</v>
      </c>
      <c r="L446" s="66">
        <v>61.776284278916485</v>
      </c>
      <c r="M446" s="66">
        <v>17676827.891908184</v>
      </c>
      <c r="N446" s="66" t="s">
        <v>621</v>
      </c>
      <c r="O446" s="25">
        <f t="shared" si="11"/>
        <v>9.659540775930342E-3</v>
      </c>
    </row>
    <row r="447" spans="1:15">
      <c r="A447" s="65">
        <v>539.29849574715763</v>
      </c>
      <c r="B447" s="65">
        <v>539.46736799670089</v>
      </c>
      <c r="C447" s="65">
        <v>533.87471643829883</v>
      </c>
      <c r="D447" s="65">
        <v>539.17929180630358</v>
      </c>
      <c r="E447" s="65">
        <v>3975432.327193358</v>
      </c>
      <c r="F447" s="65" t="s">
        <v>622</v>
      </c>
      <c r="G447" s="25">
        <f t="shared" si="10"/>
        <v>2.2108404878595778E-4</v>
      </c>
      <c r="I447" s="66">
        <v>61.61976479380759</v>
      </c>
      <c r="J447" s="66">
        <v>61.639329729446203</v>
      </c>
      <c r="K447" s="66">
        <v>60.67086541533493</v>
      </c>
      <c r="L447" s="66">
        <v>61.336073227047727</v>
      </c>
      <c r="M447" s="66">
        <v>19325296.386552747</v>
      </c>
      <c r="N447" s="66" t="s">
        <v>622</v>
      </c>
      <c r="O447" s="25">
        <f t="shared" si="11"/>
        <v>4.6251993620414211E-3</v>
      </c>
    </row>
    <row r="448" spans="1:15">
      <c r="A448" s="65">
        <v>539.09982251240092</v>
      </c>
      <c r="B448" s="65">
        <v>539.76537784883601</v>
      </c>
      <c r="C448" s="65">
        <v>533.3382987044555</v>
      </c>
      <c r="D448" s="65">
        <v>533.93431840872574</v>
      </c>
      <c r="E448" s="65">
        <v>7024975.4664181583</v>
      </c>
      <c r="F448" s="65" t="s">
        <v>623</v>
      </c>
      <c r="G448" s="25">
        <f t="shared" si="10"/>
        <v>9.674418604651347E-3</v>
      </c>
      <c r="I448" s="66">
        <v>61.228466081035357</v>
      </c>
      <c r="J448" s="66">
        <v>61.257813484493269</v>
      </c>
      <c r="K448" s="66">
        <v>60.289349170381996</v>
      </c>
      <c r="L448" s="66">
        <v>60.553475801503254</v>
      </c>
      <c r="M448" s="66">
        <v>16616289.774979712</v>
      </c>
      <c r="N448" s="66" t="s">
        <v>623</v>
      </c>
      <c r="O448" s="25">
        <f t="shared" si="11"/>
        <v>1.1147011308562105E-2</v>
      </c>
    </row>
    <row r="449" spans="1:15">
      <c r="A449" s="65">
        <v>537.14289115004703</v>
      </c>
      <c r="B449" s="65">
        <v>538.33493055858742</v>
      </c>
      <c r="C449" s="65">
        <v>534.57503959081623</v>
      </c>
      <c r="D449" s="65">
        <v>535.34489837549859</v>
      </c>
      <c r="E449" s="65">
        <v>4534325.9302293137</v>
      </c>
      <c r="F449" s="65" t="s">
        <v>624</v>
      </c>
      <c r="G449" s="25">
        <f t="shared" si="10"/>
        <v>3.3585689898314453E-3</v>
      </c>
      <c r="I449" s="66">
        <v>60.514345930226028</v>
      </c>
      <c r="J449" s="66">
        <v>60.788255029166592</v>
      </c>
      <c r="K449" s="66">
        <v>60.220871895646859</v>
      </c>
      <c r="L449" s="66">
        <v>60.504563462406722</v>
      </c>
      <c r="M449" s="66">
        <v>16436919.903040333</v>
      </c>
      <c r="N449" s="66" t="s">
        <v>624</v>
      </c>
      <c r="O449" s="25">
        <f t="shared" si="11"/>
        <v>1.6168148746964484E-4</v>
      </c>
    </row>
    <row r="450" spans="1:15">
      <c r="A450" s="65">
        <v>534.92768458250941</v>
      </c>
      <c r="B450" s="65">
        <v>538.97068490980905</v>
      </c>
      <c r="C450" s="65">
        <v>533.18929377838799</v>
      </c>
      <c r="D450" s="65">
        <v>538.53360379334424</v>
      </c>
      <c r="E450" s="65">
        <v>7409265.7815855956</v>
      </c>
      <c r="F450" s="65" t="s">
        <v>625</v>
      </c>
      <c r="G450" s="25">
        <f t="shared" si="10"/>
        <v>-6.6958109678492139E-3</v>
      </c>
      <c r="I450" s="66">
        <v>60.396956316394359</v>
      </c>
      <c r="J450" s="66">
        <v>61.267595952312583</v>
      </c>
      <c r="K450" s="66">
        <v>60.054569942718658</v>
      </c>
      <c r="L450" s="66">
        <v>61.130641402842301</v>
      </c>
      <c r="M450" s="66">
        <v>26868814.17399345</v>
      </c>
      <c r="N450" s="66" t="s">
        <v>625</v>
      </c>
      <c r="O450" s="25">
        <f t="shared" si="11"/>
        <v>-1.2001920307249225E-2</v>
      </c>
    </row>
    <row r="451" spans="1:15">
      <c r="A451" s="65">
        <v>541.92098244594649</v>
      </c>
      <c r="B451" s="65">
        <v>545.92424812629474</v>
      </c>
      <c r="C451" s="65">
        <v>541.26536077124933</v>
      </c>
      <c r="D451" s="65">
        <v>545.45736602461648</v>
      </c>
      <c r="E451" s="65">
        <v>3966595.7065879218</v>
      </c>
      <c r="F451" s="65" t="s">
        <v>626</v>
      </c>
      <c r="G451" s="25">
        <f t="shared" si="10"/>
        <v>-6.4833363686033207E-3</v>
      </c>
      <c r="I451" s="66">
        <v>61.189336209758132</v>
      </c>
      <c r="J451" s="66">
        <v>61.73715440763926</v>
      </c>
      <c r="K451" s="66">
        <v>61.071946595926462</v>
      </c>
      <c r="L451" s="66">
        <v>61.73715440763926</v>
      </c>
      <c r="M451" s="66">
        <v>16264627.999695273</v>
      </c>
      <c r="N451" s="66" t="s">
        <v>626</v>
      </c>
      <c r="O451" s="25">
        <f t="shared" si="11"/>
        <v>-8.8733956583743057E-3</v>
      </c>
    </row>
    <row r="452" spans="1:15">
      <c r="A452" s="65">
        <v>545.38783039245152</v>
      </c>
      <c r="B452" s="65">
        <v>547.22555781395135</v>
      </c>
      <c r="C452" s="65">
        <v>543.34149607445727</v>
      </c>
      <c r="D452" s="65">
        <v>545.51696799504339</v>
      </c>
      <c r="E452" s="65">
        <v>3726289.5573551976</v>
      </c>
      <c r="F452" s="65" t="s">
        <v>627</v>
      </c>
      <c r="G452" s="25">
        <f t="shared" si="10"/>
        <v>-2.3672518027528788E-4</v>
      </c>
      <c r="I452" s="66">
        <v>61.629547261626897</v>
      </c>
      <c r="J452" s="66">
        <v>61.883891424928848</v>
      </c>
      <c r="K452" s="66">
        <v>61.130641402842301</v>
      </c>
      <c r="L452" s="66">
        <v>61.678459600723421</v>
      </c>
      <c r="M452" s="66">
        <v>13470667.364725415</v>
      </c>
      <c r="N452" s="66" t="s">
        <v>627</v>
      </c>
      <c r="O452" s="25">
        <f t="shared" si="11"/>
        <v>-7.9302141157799877E-4</v>
      </c>
    </row>
    <row r="453" spans="1:15">
      <c r="A453" s="65">
        <v>545.10968786379215</v>
      </c>
      <c r="B453" s="65">
        <v>547.28515978437838</v>
      </c>
      <c r="C453" s="65">
        <v>542.80507834061393</v>
      </c>
      <c r="D453" s="65">
        <v>546.73880838879734</v>
      </c>
      <c r="E453" s="65">
        <v>4850792.3132173652</v>
      </c>
      <c r="F453" s="65" t="s">
        <v>628</v>
      </c>
      <c r="G453" s="25">
        <f t="shared" si="10"/>
        <v>-2.9797052998782325E-3</v>
      </c>
      <c r="I453" s="66">
        <v>61.825196618013017</v>
      </c>
      <c r="J453" s="66">
        <v>62.363232348074838</v>
      </c>
      <c r="K453" s="66">
        <v>61.746936875458566</v>
      </c>
      <c r="L453" s="66">
        <v>62.294755073339694</v>
      </c>
      <c r="M453" s="66">
        <v>15354995.567024371</v>
      </c>
      <c r="N453" s="66" t="s">
        <v>628</v>
      </c>
      <c r="O453" s="25">
        <f t="shared" si="11"/>
        <v>-7.5376884422110324E-3</v>
      </c>
    </row>
    <row r="454" spans="1:15">
      <c r="A454" s="65">
        <v>546.74874205053516</v>
      </c>
      <c r="B454" s="65">
        <v>548.06991906166752</v>
      </c>
      <c r="C454" s="65">
        <v>545.20902448117056</v>
      </c>
      <c r="D454" s="65">
        <v>547.77190920953228</v>
      </c>
      <c r="E454" s="65">
        <v>4925805.9405851793</v>
      </c>
      <c r="F454" s="65" t="s">
        <v>629</v>
      </c>
      <c r="G454" s="25">
        <f t="shared" si="10"/>
        <v>-1.8678708086247164E-3</v>
      </c>
      <c r="I454" s="66">
        <v>61.981716103121904</v>
      </c>
      <c r="J454" s="66">
        <v>62.725183657389159</v>
      </c>
      <c r="K454" s="66">
        <v>61.874989379213282</v>
      </c>
      <c r="L454" s="66">
        <v>62.598011575738177</v>
      </c>
      <c r="M454" s="66">
        <v>14291764.877987662</v>
      </c>
      <c r="N454" s="66" t="s">
        <v>629</v>
      </c>
      <c r="O454" s="25">
        <f t="shared" si="11"/>
        <v>-9.8452883263010493E-3</v>
      </c>
    </row>
    <row r="455" spans="1:15">
      <c r="A455" s="65">
        <v>546.30172727233264</v>
      </c>
      <c r="B455" s="65">
        <v>547.5831696365135</v>
      </c>
      <c r="C455" s="65">
        <v>544.4242652038813</v>
      </c>
      <c r="D455" s="65">
        <v>544.43419886561924</v>
      </c>
      <c r="E455" s="65">
        <v>6843373.7522054855</v>
      </c>
      <c r="F455" s="65" t="s">
        <v>630</v>
      </c>
      <c r="G455" s="25">
        <f t="shared" si="10"/>
        <v>3.4302187676757967E-3</v>
      </c>
      <c r="I455" s="66">
        <v>62.529534301003039</v>
      </c>
      <c r="J455" s="66">
        <v>62.842573271220822</v>
      </c>
      <c r="K455" s="66">
        <v>62.353449880255532</v>
      </c>
      <c r="L455" s="66">
        <v>62.519751833183726</v>
      </c>
      <c r="M455" s="66">
        <v>15046620.415097313</v>
      </c>
      <c r="N455" s="66" t="s">
        <v>630</v>
      </c>
      <c r="O455" s="25">
        <f t="shared" si="11"/>
        <v>1.5647003598817655E-4</v>
      </c>
    </row>
    <row r="456" spans="1:15">
      <c r="A456" s="65">
        <v>543.89778113177601</v>
      </c>
      <c r="B456" s="65">
        <v>544.83651216600163</v>
      </c>
      <c r="C456" s="65">
        <v>541.53356963817089</v>
      </c>
      <c r="D456" s="65">
        <v>541.60310527033573</v>
      </c>
      <c r="E456" s="65">
        <v>6091687.1942106001</v>
      </c>
      <c r="F456" s="65" t="s">
        <v>631</v>
      </c>
      <c r="G456" s="25">
        <f t="shared" si="10"/>
        <v>4.23682183338836E-3</v>
      </c>
      <c r="I456" s="66">
        <v>62.275190137701081</v>
      </c>
      <c r="J456" s="66">
        <v>62.98931028851041</v>
      </c>
      <c r="K456" s="66">
        <v>62.21649533078525</v>
      </c>
      <c r="L456" s="66">
        <v>62.891485610317361</v>
      </c>
      <c r="M456" s="66">
        <v>15186404.161413489</v>
      </c>
      <c r="N456" s="66" t="s">
        <v>631</v>
      </c>
      <c r="O456" s="25">
        <f t="shared" si="11"/>
        <v>-9.7993467102195364E-3</v>
      </c>
    </row>
    <row r="457" spans="1:15">
      <c r="A457" s="65">
        <v>539.69584221667105</v>
      </c>
      <c r="B457" s="65">
        <v>540.5302698026494</v>
      </c>
      <c r="C457" s="65">
        <v>534.59987374516083</v>
      </c>
      <c r="D457" s="65">
        <v>538.05678802992804</v>
      </c>
      <c r="E457" s="65">
        <v>7533311.6805219874</v>
      </c>
      <c r="F457" s="65" t="s">
        <v>632</v>
      </c>
      <c r="G457" s="25">
        <f t="shared" si="10"/>
        <v>3.0462475768484598E-3</v>
      </c>
      <c r="I457" s="66">
        <v>62.314320008978314</v>
      </c>
      <c r="J457" s="66">
        <v>63.449086276017788</v>
      </c>
      <c r="K457" s="66">
        <v>61.805631682374404</v>
      </c>
      <c r="L457" s="66">
        <v>63.018657691968329</v>
      </c>
      <c r="M457" s="66">
        <v>23408472.609342948</v>
      </c>
      <c r="N457" s="66" t="s">
        <v>632</v>
      </c>
      <c r="O457" s="25">
        <f t="shared" si="11"/>
        <v>-1.1176653213287646E-2</v>
      </c>
    </row>
    <row r="458" spans="1:15">
      <c r="A458" s="65">
        <v>526.58340872272663</v>
      </c>
      <c r="B458" s="65">
        <v>526.65294435489136</v>
      </c>
      <c r="C458" s="65">
        <v>521.00069082606228</v>
      </c>
      <c r="D458" s="65">
        <v>521.23909870777038</v>
      </c>
      <c r="E458" s="65">
        <v>3322318.6847901442</v>
      </c>
      <c r="F458" s="65" t="s">
        <v>633</v>
      </c>
      <c r="G458" s="25">
        <f t="shared" si="10"/>
        <v>1.0253087360878377E-2</v>
      </c>
      <c r="I458" s="66">
        <v>63.947992134802391</v>
      </c>
      <c r="J458" s="66">
        <v>64.045621163639069</v>
      </c>
      <c r="K458" s="66">
        <v>63.233871983993062</v>
      </c>
      <c r="L458" s="66">
        <v>63.233871983993062</v>
      </c>
      <c r="M458" s="66">
        <v>8975465.252921246</v>
      </c>
      <c r="N458" s="66" t="s">
        <v>633</v>
      </c>
      <c r="O458" s="25">
        <f t="shared" si="11"/>
        <v>1.1293316831683109E-2</v>
      </c>
    </row>
    <row r="459" spans="1:15">
      <c r="A459" s="65">
        <v>520.32520182788937</v>
      </c>
      <c r="B459" s="65">
        <v>522.78874993887291</v>
      </c>
      <c r="C459" s="65">
        <v>518.56704303690969</v>
      </c>
      <c r="D459" s="65">
        <v>521.57684320685678</v>
      </c>
      <c r="E459" s="65">
        <v>3706046.2668841663</v>
      </c>
      <c r="F459" s="65" t="s">
        <v>634</v>
      </c>
      <c r="G459" s="25">
        <f t="shared" si="10"/>
        <v>-2.3997257456290777E-3</v>
      </c>
      <c r="I459" s="66">
        <v>63.693647971500432</v>
      </c>
      <c r="J459" s="66">
        <v>63.996904473898915</v>
      </c>
      <c r="K459" s="66">
        <v>63.244339224559717</v>
      </c>
      <c r="L459" s="66">
        <v>63.664300568042513</v>
      </c>
      <c r="M459" s="66">
        <v>11228763.746425938</v>
      </c>
      <c r="N459" s="66" t="s">
        <v>634</v>
      </c>
      <c r="O459" s="25">
        <f t="shared" si="11"/>
        <v>4.609711124770044E-4</v>
      </c>
    </row>
    <row r="460" spans="1:15">
      <c r="A460" s="65">
        <v>521.45763926600284</v>
      </c>
      <c r="B460" s="65">
        <v>525.57017522546732</v>
      </c>
      <c r="C460" s="65">
        <v>521.0603921331068</v>
      </c>
      <c r="D460" s="65">
        <v>521.67617982423519</v>
      </c>
      <c r="E460" s="65">
        <v>6147724.938870227</v>
      </c>
      <c r="F460" s="65" t="s">
        <v>635</v>
      </c>
      <c r="G460" s="25">
        <f t="shared" si="10"/>
        <v>-4.1891994820619782E-4</v>
      </c>
      <c r="I460" s="66">
        <v>63.595823293307383</v>
      </c>
      <c r="J460" s="66">
        <v>64.231683701562247</v>
      </c>
      <c r="K460" s="66">
        <v>63.478433679475707</v>
      </c>
      <c r="L460" s="66">
        <v>64.04581681299544</v>
      </c>
      <c r="M460" s="66">
        <v>12433564.029718492</v>
      </c>
      <c r="N460" s="66" t="s">
        <v>635</v>
      </c>
      <c r="O460" s="25">
        <f t="shared" si="11"/>
        <v>-7.0261188330531521E-3</v>
      </c>
    </row>
    <row r="461" spans="1:15">
      <c r="A461" s="65">
        <v>519.20269805151383</v>
      </c>
      <c r="B461" s="65">
        <v>525.71918015153483</v>
      </c>
      <c r="C461" s="65">
        <v>519.04375946370851</v>
      </c>
      <c r="D461" s="65">
        <v>525.58010888720514</v>
      </c>
      <c r="E461" s="65">
        <v>8026017.2033361597</v>
      </c>
      <c r="F461" s="65" t="s">
        <v>636</v>
      </c>
      <c r="G461" s="25">
        <f t="shared" si="10"/>
        <v>-1.213404146742536E-2</v>
      </c>
      <c r="I461" s="66">
        <v>63.889297327886553</v>
      </c>
      <c r="J461" s="66">
        <v>64.554505139599343</v>
      </c>
      <c r="K461" s="66">
        <v>63.83549375488036</v>
      </c>
      <c r="L461" s="66">
        <v>64.378420718851842</v>
      </c>
      <c r="M461" s="66">
        <v>13681329.953968283</v>
      </c>
      <c r="N461" s="66" t="s">
        <v>636</v>
      </c>
      <c r="O461" s="25">
        <f t="shared" si="11"/>
        <v>-7.5976295395836502E-3</v>
      </c>
    </row>
    <row r="462" spans="1:15">
      <c r="A462" s="65">
        <v>529.62310921450455</v>
      </c>
      <c r="B462" s="65">
        <v>532.64294238280706</v>
      </c>
      <c r="C462" s="65">
        <v>529.05689049544799</v>
      </c>
      <c r="D462" s="65">
        <v>530.80521496130723</v>
      </c>
      <c r="E462" s="65">
        <v>3087496.9179974315</v>
      </c>
      <c r="F462" s="65" t="s">
        <v>637</v>
      </c>
      <c r="G462" s="25">
        <f t="shared" si="10"/>
        <v>-2.2270047721533182E-3</v>
      </c>
      <c r="I462" s="66">
        <v>64.486027864864212</v>
      </c>
      <c r="J462" s="66">
        <v>65.087649635751518</v>
      </c>
      <c r="K462" s="66">
        <v>63.899079795705852</v>
      </c>
      <c r="L462" s="66">
        <v>64.084946684272666</v>
      </c>
      <c r="M462" s="66">
        <v>14493036.176433876</v>
      </c>
      <c r="N462" s="66" t="s">
        <v>637</v>
      </c>
      <c r="O462" s="25">
        <f t="shared" si="11"/>
        <v>6.258586475347272E-3</v>
      </c>
    </row>
    <row r="463" spans="1:15">
      <c r="A463" s="65">
        <v>531.22242875429629</v>
      </c>
      <c r="B463" s="65">
        <v>532.26546323676928</v>
      </c>
      <c r="C463" s="65">
        <v>528.22246290946964</v>
      </c>
      <c r="D463" s="65">
        <v>529.58337456755328</v>
      </c>
      <c r="E463" s="65">
        <v>3047829.7730513616</v>
      </c>
      <c r="F463" s="65" t="s">
        <v>638</v>
      </c>
      <c r="G463" s="25">
        <f t="shared" si="10"/>
        <v>3.0949879951980286E-3</v>
      </c>
      <c r="I463" s="66">
        <v>64.133859023369197</v>
      </c>
      <c r="J463" s="66">
        <v>64.896891513275051</v>
      </c>
      <c r="K463" s="66">
        <v>64.094729152091972</v>
      </c>
      <c r="L463" s="66">
        <v>64.847979174178533</v>
      </c>
      <c r="M463" s="66">
        <v>16893402.876711577</v>
      </c>
      <c r="N463" s="66" t="s">
        <v>638</v>
      </c>
      <c r="O463" s="25">
        <f t="shared" si="11"/>
        <v>-1.1012219037562332E-2</v>
      </c>
    </row>
    <row r="464" spans="1:15">
      <c r="A464" s="65">
        <v>530.37806750658012</v>
      </c>
      <c r="B464" s="65">
        <v>532.01712169332336</v>
      </c>
      <c r="C464" s="65">
        <v>530.13052065607326</v>
      </c>
      <c r="D464" s="65">
        <v>531.97738704637186</v>
      </c>
      <c r="E464" s="65">
        <v>3430729.8657243685</v>
      </c>
      <c r="F464" s="65" t="s">
        <v>639</v>
      </c>
      <c r="G464" s="25">
        <f t="shared" si="10"/>
        <v>-3.0063675237614884E-3</v>
      </c>
      <c r="I464" s="66">
        <v>65.219712951312147</v>
      </c>
      <c r="J464" s="66">
        <v>65.928941868211822</v>
      </c>
      <c r="K464" s="66">
        <v>65.151235676577002</v>
      </c>
      <c r="L464" s="66">
        <v>65.503404518072017</v>
      </c>
      <c r="M464" s="66">
        <v>11000716.995727982</v>
      </c>
      <c r="N464" s="66" t="s">
        <v>639</v>
      </c>
      <c r="O464" s="25">
        <f t="shared" si="11"/>
        <v>-4.3309438470728878E-3</v>
      </c>
    </row>
    <row r="465" spans="1:15">
      <c r="A465" s="65">
        <v>528.72907965809929</v>
      </c>
      <c r="B465" s="65">
        <v>533.69600986363503</v>
      </c>
      <c r="C465" s="65">
        <v>527.88869187507828</v>
      </c>
      <c r="D465" s="65">
        <v>531.10322481344224</v>
      </c>
      <c r="E465" s="65">
        <v>4356087.5276414705</v>
      </c>
      <c r="F465" s="65" t="s">
        <v>640</v>
      </c>
      <c r="G465" s="25">
        <f t="shared" si="10"/>
        <v>-4.4702141587954491E-3</v>
      </c>
      <c r="I465" s="66">
        <v>65.464274646794792</v>
      </c>
      <c r="J465" s="66">
        <v>66.227307136700659</v>
      </c>
      <c r="K465" s="66">
        <v>65.337102565143823</v>
      </c>
      <c r="L465" s="66">
        <v>65.611011664084373</v>
      </c>
      <c r="M465" s="66">
        <v>11385804.89681625</v>
      </c>
      <c r="N465" s="66" t="s">
        <v>640</v>
      </c>
      <c r="O465" s="25">
        <f t="shared" si="11"/>
        <v>-2.2364693603696972E-3</v>
      </c>
    </row>
    <row r="466" spans="1:15">
      <c r="A466" s="65">
        <v>528.93768655459394</v>
      </c>
      <c r="B466" s="65">
        <v>529.6429765379803</v>
      </c>
      <c r="C466" s="65">
        <v>526.52380675229949</v>
      </c>
      <c r="D466" s="65">
        <v>529.63304287624237</v>
      </c>
      <c r="E466" s="65">
        <v>4507665.0666938424</v>
      </c>
      <c r="F466" s="65" t="s">
        <v>641</v>
      </c>
      <c r="G466" s="25">
        <f t="shared" si="10"/>
        <v>-1.3129020762605581E-3</v>
      </c>
      <c r="I466" s="66">
        <v>65.836008423928419</v>
      </c>
      <c r="J466" s="66">
        <v>66.559911042557061</v>
      </c>
      <c r="K466" s="66">
        <v>65.495578543816563</v>
      </c>
      <c r="L466" s="66">
        <v>66.178394797604128</v>
      </c>
      <c r="M466" s="66">
        <v>17959508.096032403</v>
      </c>
      <c r="N466" s="66" t="s">
        <v>641</v>
      </c>
      <c r="O466" s="25">
        <f t="shared" si="11"/>
        <v>-5.1736881005174373E-3</v>
      </c>
    </row>
    <row r="467" spans="1:15">
      <c r="A467" s="65">
        <v>527.74564714605344</v>
      </c>
      <c r="B467" s="65">
        <v>531.1727604456072</v>
      </c>
      <c r="C467" s="65">
        <v>524.51720708125652</v>
      </c>
      <c r="D467" s="65">
        <v>530.73567932914227</v>
      </c>
      <c r="E467" s="65">
        <v>5262665.6090852972</v>
      </c>
      <c r="F467" s="65" t="s">
        <v>642</v>
      </c>
      <c r="G467" s="25">
        <f t="shared" si="10"/>
        <v>-5.6337500935838003E-3</v>
      </c>
      <c r="I467" s="66">
        <v>66.530563639099142</v>
      </c>
      <c r="J467" s="66">
        <v>67.205553918631239</v>
      </c>
      <c r="K467" s="66">
        <v>65.131670740938389</v>
      </c>
      <c r="L467" s="66">
        <v>65.532751921529936</v>
      </c>
      <c r="M467" s="66">
        <v>25203459.347285111</v>
      </c>
      <c r="N467" s="66" t="s">
        <v>642</v>
      </c>
      <c r="O467" s="25">
        <f t="shared" si="11"/>
        <v>1.5226153157187783E-2</v>
      </c>
    </row>
    <row r="468" spans="1:15">
      <c r="A468" s="65">
        <v>532.60320773585568</v>
      </c>
      <c r="B468" s="65">
        <v>533.7157778504934</v>
      </c>
      <c r="C468" s="65">
        <v>529.93105272837761</v>
      </c>
      <c r="D468" s="65">
        <v>530.56680707959913</v>
      </c>
      <c r="E468" s="65">
        <v>3389077.5515103652</v>
      </c>
      <c r="F468" s="65" t="s">
        <v>643</v>
      </c>
      <c r="G468" s="25">
        <f t="shared" si="10"/>
        <v>3.8381606785118372E-3</v>
      </c>
      <c r="I468" s="66">
        <v>67.939239005079173</v>
      </c>
      <c r="J468" s="66">
        <v>68.227821805748704</v>
      </c>
      <c r="K468" s="66">
        <v>67.185988982992626</v>
      </c>
      <c r="L468" s="66">
        <v>67.499027953210415</v>
      </c>
      <c r="M468" s="66">
        <v>19016930.434758175</v>
      </c>
      <c r="N468" s="66" t="s">
        <v>643</v>
      </c>
      <c r="O468" s="25">
        <f t="shared" si="11"/>
        <v>6.5217391304346339E-3</v>
      </c>
    </row>
    <row r="469" spans="1:15">
      <c r="A469" s="65">
        <v>532.97075322015553</v>
      </c>
      <c r="B469" s="65">
        <v>534.04358868784198</v>
      </c>
      <c r="C469" s="65">
        <v>530.16946061008571</v>
      </c>
      <c r="D469" s="65">
        <v>533.15949279317454</v>
      </c>
      <c r="E469" s="65">
        <v>3695949.2852627807</v>
      </c>
      <c r="F469" s="65" t="s">
        <v>644</v>
      </c>
      <c r="G469" s="25">
        <f t="shared" si="10"/>
        <v>-3.5400208674929434E-4</v>
      </c>
      <c r="I469" s="66">
        <v>67.939239005079173</v>
      </c>
      <c r="J469" s="66">
        <v>68.795204939268444</v>
      </c>
      <c r="K469" s="66">
        <v>67.797393221699252</v>
      </c>
      <c r="L469" s="66">
        <v>68.477274735140995</v>
      </c>
      <c r="M469" s="66">
        <v>12247587.44041558</v>
      </c>
      <c r="N469" s="66" t="s">
        <v>644</v>
      </c>
      <c r="O469" s="25">
        <f t="shared" si="11"/>
        <v>-7.8571428571428958E-3</v>
      </c>
    </row>
    <row r="470" spans="1:15">
      <c r="A470" s="65">
        <v>533.79524714439606</v>
      </c>
      <c r="B470" s="65">
        <v>534.53033811299599</v>
      </c>
      <c r="C470" s="65">
        <v>532.00718803158543</v>
      </c>
      <c r="D470" s="65">
        <v>533.3382987044555</v>
      </c>
      <c r="E470" s="65">
        <v>5104272.8591080224</v>
      </c>
      <c r="F470" s="65" t="s">
        <v>645</v>
      </c>
      <c r="G470" s="25">
        <f t="shared" si="10"/>
        <v>8.5677034829600984E-4</v>
      </c>
      <c r="I470" s="66">
        <v>68.907703319190446</v>
      </c>
      <c r="J470" s="66">
        <v>69.015310465202816</v>
      </c>
      <c r="K470" s="66">
        <v>68.090867256278415</v>
      </c>
      <c r="L470" s="66">
        <v>68.350102653490026</v>
      </c>
      <c r="M470" s="66">
        <v>15423019.302168867</v>
      </c>
      <c r="N470" s="66" t="s">
        <v>645</v>
      </c>
      <c r="O470" s="25">
        <f t="shared" si="11"/>
        <v>8.1580077286387276E-3</v>
      </c>
    </row>
    <row r="471" spans="1:15">
      <c r="A471" s="65">
        <v>531.74891282640169</v>
      </c>
      <c r="B471" s="65">
        <v>535.18595978769315</v>
      </c>
      <c r="C471" s="65">
        <v>531.59990790033407</v>
      </c>
      <c r="D471" s="65">
        <v>535.04688852336346</v>
      </c>
      <c r="E471" s="65">
        <v>3246835.945414796</v>
      </c>
      <c r="F471" s="65" t="s">
        <v>646</v>
      </c>
      <c r="G471" s="25">
        <f t="shared" si="10"/>
        <v>-6.1639003379004853E-3</v>
      </c>
      <c r="I471" s="66">
        <v>68.379450056947945</v>
      </c>
      <c r="J471" s="66">
        <v>69.152265014673105</v>
      </c>
      <c r="K471" s="66">
        <v>68.066411086730156</v>
      </c>
      <c r="L471" s="66">
        <v>69.093570207757267</v>
      </c>
      <c r="M471" s="66">
        <v>15000949.935188523</v>
      </c>
      <c r="N471" s="66" t="s">
        <v>646</v>
      </c>
      <c r="O471" s="25">
        <f t="shared" si="11"/>
        <v>-1.0335551465382897E-2</v>
      </c>
    </row>
    <row r="472" spans="1:15">
      <c r="A472" s="65">
        <v>531.66944353249903</v>
      </c>
      <c r="B472" s="65">
        <v>532.17606028112868</v>
      </c>
      <c r="C472" s="65">
        <v>528.68437818027905</v>
      </c>
      <c r="D472" s="65">
        <v>529.39463499453439</v>
      </c>
      <c r="E472" s="65">
        <v>3258834.5420195116</v>
      </c>
      <c r="F472" s="65" t="s">
        <v>647</v>
      </c>
      <c r="G472" s="25">
        <f t="shared" si="10"/>
        <v>4.2969996059520899E-3</v>
      </c>
      <c r="I472" s="66">
        <v>69.034875400841429</v>
      </c>
      <c r="J472" s="66">
        <v>69.162047482492412</v>
      </c>
      <c r="K472" s="66">
        <v>68.447927331683076</v>
      </c>
      <c r="L472" s="66">
        <v>68.565316945514752</v>
      </c>
      <c r="M472" s="66">
        <v>8113849.3339436483</v>
      </c>
      <c r="N472" s="66" t="s">
        <v>647</v>
      </c>
      <c r="O472" s="25">
        <f t="shared" si="11"/>
        <v>6.8483378513339854E-3</v>
      </c>
    </row>
    <row r="473" spans="1:15">
      <c r="A473" s="65">
        <v>529.44430330322359</v>
      </c>
      <c r="B473" s="65">
        <v>534.04358868784198</v>
      </c>
      <c r="C473" s="65">
        <v>528.2919985416346</v>
      </c>
      <c r="D473" s="65">
        <v>533.81511446787169</v>
      </c>
      <c r="E473" s="65">
        <v>4843460.6764129233</v>
      </c>
      <c r="F473" s="65" t="s">
        <v>648</v>
      </c>
      <c r="G473" s="25">
        <f t="shared" si="10"/>
        <v>-8.1878745022143651E-3</v>
      </c>
      <c r="I473" s="66">
        <v>68.809878640997397</v>
      </c>
      <c r="J473" s="66">
        <v>69.660953341276993</v>
      </c>
      <c r="K473" s="66">
        <v>68.633794220249882</v>
      </c>
      <c r="L473" s="66">
        <v>68.927268254829059</v>
      </c>
      <c r="M473" s="66">
        <v>10589080.578989355</v>
      </c>
      <c r="N473" s="66" t="s">
        <v>648</v>
      </c>
      <c r="O473" s="25">
        <f t="shared" si="11"/>
        <v>-1.7030939540163548E-3</v>
      </c>
    </row>
    <row r="474" spans="1:15">
      <c r="A474" s="65">
        <v>533.50717095399887</v>
      </c>
      <c r="B474" s="65">
        <v>534.41113417214194</v>
      </c>
      <c r="C474" s="65">
        <v>530.42773581526944</v>
      </c>
      <c r="D474" s="65">
        <v>530.70587834392882</v>
      </c>
      <c r="E474" s="65">
        <v>2656552.1049991744</v>
      </c>
      <c r="F474" s="65" t="s">
        <v>649</v>
      </c>
      <c r="G474" s="25">
        <f t="shared" si="10"/>
        <v>5.2784277023867343E-3</v>
      </c>
      <c r="I474" s="66">
        <v>68.809878640997397</v>
      </c>
      <c r="J474" s="66">
        <v>68.937050722648365</v>
      </c>
      <c r="K474" s="66">
        <v>67.958803940717786</v>
      </c>
      <c r="L474" s="66">
        <v>68.056628618910835</v>
      </c>
      <c r="M474" s="66">
        <v>7829637.8188785994</v>
      </c>
      <c r="N474" s="66" t="s">
        <v>649</v>
      </c>
      <c r="O474" s="25">
        <f t="shared" si="11"/>
        <v>1.1067989075751239E-2</v>
      </c>
    </row>
    <row r="475" spans="1:15">
      <c r="A475" s="65">
        <v>529.17609443630204</v>
      </c>
      <c r="B475" s="65">
        <v>529.89131808142622</v>
      </c>
      <c r="C475" s="65">
        <v>525.87811873934015</v>
      </c>
      <c r="D475" s="65">
        <v>525.98738901845638</v>
      </c>
      <c r="E475" s="65">
        <v>5465424.6775090043</v>
      </c>
      <c r="F475" s="65" t="s">
        <v>650</v>
      </c>
      <c r="G475" s="25">
        <f t="shared" si="10"/>
        <v>6.0623229461758132E-3</v>
      </c>
      <c r="I475" s="66">
        <v>68.056628618910835</v>
      </c>
      <c r="J475" s="66">
        <v>68.076193554549462</v>
      </c>
      <c r="K475" s="66">
        <v>67.494136719300769</v>
      </c>
      <c r="L475" s="66">
        <v>67.94902147289848</v>
      </c>
      <c r="M475" s="66">
        <v>8981698.8538005315</v>
      </c>
      <c r="N475" s="66" t="s">
        <v>650</v>
      </c>
      <c r="O475" s="25">
        <f t="shared" si="11"/>
        <v>1.5836452634607756E-3</v>
      </c>
    </row>
    <row r="476" spans="1:15">
      <c r="A476" s="65">
        <v>526.04699098888329</v>
      </c>
      <c r="B476" s="65">
        <v>527.37810166175348</v>
      </c>
      <c r="C476" s="65">
        <v>524.58674271342147</v>
      </c>
      <c r="D476" s="65">
        <v>525.7589147984861</v>
      </c>
      <c r="E476" s="65">
        <v>3661925.577900907</v>
      </c>
      <c r="F476" s="65" t="s">
        <v>651</v>
      </c>
      <c r="G476" s="25">
        <f t="shared" si="10"/>
        <v>5.4792449978258162E-4</v>
      </c>
      <c r="I476" s="66">
        <v>67.74358964869306</v>
      </c>
      <c r="J476" s="66">
        <v>68.389232524767237</v>
      </c>
      <c r="K476" s="66">
        <v>67.484354251481449</v>
      </c>
      <c r="L476" s="66">
        <v>68.310972782212801</v>
      </c>
      <c r="M476" s="66">
        <v>8827169.3395795207</v>
      </c>
      <c r="N476" s="66" t="s">
        <v>651</v>
      </c>
      <c r="O476" s="25">
        <f t="shared" si="11"/>
        <v>-8.3058857224688198E-3</v>
      </c>
    </row>
    <row r="477" spans="1:15">
      <c r="A477" s="65">
        <v>526.93108688355096</v>
      </c>
      <c r="B477" s="65">
        <v>527.50723926434534</v>
      </c>
      <c r="C477" s="65">
        <v>522.81855092408637</v>
      </c>
      <c r="D477" s="65">
        <v>523.37483598140534</v>
      </c>
      <c r="E477" s="65">
        <v>2961430.6160586346</v>
      </c>
      <c r="F477" s="65" t="s">
        <v>652</v>
      </c>
      <c r="G477" s="25">
        <f t="shared" si="10"/>
        <v>6.7948450281853923E-3</v>
      </c>
      <c r="I477" s="66">
        <v>68.056628618910835</v>
      </c>
      <c r="J477" s="66">
        <v>68.222930571839044</v>
      </c>
      <c r="K477" s="66">
        <v>67.567505227945546</v>
      </c>
      <c r="L477" s="66">
        <v>67.684894841777222</v>
      </c>
      <c r="M477" s="66">
        <v>9238706.5993346646</v>
      </c>
      <c r="N477" s="66" t="s">
        <v>652</v>
      </c>
      <c r="O477" s="25">
        <f t="shared" si="11"/>
        <v>5.4921231391817926E-3</v>
      </c>
    </row>
    <row r="478" spans="1:15">
      <c r="A478" s="65">
        <v>523.3549686579297</v>
      </c>
      <c r="B478" s="65">
        <v>523.88145273003499</v>
      </c>
      <c r="C478" s="65">
        <v>520.02719197575436</v>
      </c>
      <c r="D478" s="65">
        <v>520.84175223825696</v>
      </c>
      <c r="E478" s="65">
        <v>2644208.2177966391</v>
      </c>
      <c r="F478" s="65" t="s">
        <v>653</v>
      </c>
      <c r="G478" s="25">
        <f t="shared" si="10"/>
        <v>4.8252975282270238E-3</v>
      </c>
      <c r="I478" s="66">
        <v>67.67511237395793</v>
      </c>
      <c r="J478" s="66">
        <v>67.929456537259867</v>
      </c>
      <c r="K478" s="66">
        <v>67.362073403740126</v>
      </c>
      <c r="L478" s="66">
        <v>67.538157824487641</v>
      </c>
      <c r="M478" s="66">
        <v>13851005.952975839</v>
      </c>
      <c r="N478" s="66" t="s">
        <v>653</v>
      </c>
      <c r="O478" s="25">
        <f t="shared" si="11"/>
        <v>2.0278099652375481E-3</v>
      </c>
    </row>
    <row r="479" spans="1:15">
      <c r="A479" s="65">
        <v>518.44773975943826</v>
      </c>
      <c r="B479" s="65">
        <v>522.23256421817143</v>
      </c>
      <c r="C479" s="65">
        <v>517.35503696827618</v>
      </c>
      <c r="D479" s="65">
        <v>521.65631250075955</v>
      </c>
      <c r="E479" s="65">
        <v>3997020.5396430702</v>
      </c>
      <c r="F479" s="65" t="s">
        <v>654</v>
      </c>
      <c r="G479" s="25">
        <f t="shared" si="10"/>
        <v>-6.15074075484634E-3</v>
      </c>
      <c r="I479" s="66">
        <v>67.508810421029722</v>
      </c>
      <c r="J479" s="66">
        <v>68.575099413334044</v>
      </c>
      <c r="K479" s="66">
        <v>67.371855871559447</v>
      </c>
      <c r="L479" s="66">
        <v>68.526187074237527</v>
      </c>
      <c r="M479" s="66">
        <v>14834663.673884427</v>
      </c>
      <c r="N479" s="66" t="s">
        <v>654</v>
      </c>
      <c r="O479" s="25">
        <f t="shared" si="11"/>
        <v>-1.4846538187009206E-2</v>
      </c>
    </row>
    <row r="480" spans="1:15">
      <c r="A480" s="65">
        <v>523.15629542317288</v>
      </c>
      <c r="B480" s="65">
        <v>523.52384090747285</v>
      </c>
      <c r="C480" s="65">
        <v>518.83515256721387</v>
      </c>
      <c r="D480" s="65">
        <v>522.66954599801886</v>
      </c>
      <c r="E480" s="65">
        <v>5393957.5771852722</v>
      </c>
      <c r="F480" s="65" t="s">
        <v>655</v>
      </c>
      <c r="G480" s="25">
        <f t="shared" si="10"/>
        <v>9.312756575947656E-4</v>
      </c>
      <c r="I480" s="66">
        <v>68.643576688069203</v>
      </c>
      <c r="J480" s="66">
        <v>68.751183834081559</v>
      </c>
      <c r="K480" s="66">
        <v>68.203365636200431</v>
      </c>
      <c r="L480" s="66">
        <v>68.438144863863769</v>
      </c>
      <c r="M480" s="66">
        <v>12969415.524129231</v>
      </c>
      <c r="N480" s="66" t="s">
        <v>655</v>
      </c>
      <c r="O480" s="25">
        <f t="shared" si="11"/>
        <v>3.0017152658663449E-3</v>
      </c>
    </row>
    <row r="481" spans="1:15">
      <c r="A481" s="65">
        <v>518.37820412727342</v>
      </c>
      <c r="B481" s="65">
        <v>520.28050035006913</v>
      </c>
      <c r="C481" s="65">
        <v>516.37160445623044</v>
      </c>
      <c r="D481" s="65">
        <v>518.10006159861393</v>
      </c>
      <c r="E481" s="65">
        <v>4034717.615493123</v>
      </c>
      <c r="F481" s="65" t="s">
        <v>656</v>
      </c>
      <c r="G481" s="25">
        <f t="shared" si="10"/>
        <v>5.3685098550504406E-4</v>
      </c>
      <c r="I481" s="66">
        <v>68.985963061744897</v>
      </c>
      <c r="J481" s="66">
        <v>69.445739049252268</v>
      </c>
      <c r="K481" s="66">
        <v>68.672924091527122</v>
      </c>
      <c r="L481" s="66">
        <v>69.318566967601299</v>
      </c>
      <c r="M481" s="66">
        <v>9583260.7611534316</v>
      </c>
      <c r="N481" s="66" t="s">
        <v>656</v>
      </c>
      <c r="O481" s="25">
        <f t="shared" si="11"/>
        <v>-4.798193621225022E-3</v>
      </c>
    </row>
    <row r="482" spans="1:15">
      <c r="A482" s="65">
        <v>519.36163663931927</v>
      </c>
      <c r="B482" s="65">
        <v>520.37487013657858</v>
      </c>
      <c r="C482" s="65">
        <v>516.13329591113973</v>
      </c>
      <c r="D482" s="65">
        <v>518.38813778901124</v>
      </c>
      <c r="E482" s="65">
        <v>3292424.3711083229</v>
      </c>
      <c r="F482" s="65" t="s">
        <v>657</v>
      </c>
      <c r="G482" s="25">
        <f t="shared" si="10"/>
        <v>1.877934272300541E-3</v>
      </c>
      <c r="I482" s="66">
        <v>69.465303984890895</v>
      </c>
      <c r="J482" s="66">
        <v>69.876167633301748</v>
      </c>
      <c r="K482" s="66">
        <v>68.878355915732527</v>
      </c>
      <c r="L482" s="66">
        <v>69.837037762024508</v>
      </c>
      <c r="M482" s="66">
        <v>11403543.774490606</v>
      </c>
      <c r="N482" s="66" t="s">
        <v>657</v>
      </c>
      <c r="O482" s="25">
        <f t="shared" si="11"/>
        <v>-5.3228743521500643E-3</v>
      </c>
    </row>
    <row r="483" spans="1:15">
      <c r="A483" s="65">
        <v>519.27223368367868</v>
      </c>
      <c r="B483" s="65">
        <v>523.60331020137562</v>
      </c>
      <c r="C483" s="65">
        <v>516.77888458748168</v>
      </c>
      <c r="D483" s="65">
        <v>523.54370823094848</v>
      </c>
      <c r="E483" s="65">
        <v>9260086.8066232149</v>
      </c>
      <c r="F483" s="65" t="s">
        <v>658</v>
      </c>
      <c r="G483" s="25">
        <f t="shared" si="10"/>
        <v>-8.158773527625951E-3</v>
      </c>
      <c r="I483" s="66">
        <v>70.150076732242297</v>
      </c>
      <c r="J483" s="66">
        <v>71.162562151540456</v>
      </c>
      <c r="K483" s="66">
        <v>70.071816989687846</v>
      </c>
      <c r="L483" s="66">
        <v>70.531592977195217</v>
      </c>
      <c r="M483" s="66">
        <v>13590126.996138025</v>
      </c>
      <c r="N483" s="66" t="s">
        <v>658</v>
      </c>
      <c r="O483" s="25">
        <f t="shared" si="11"/>
        <v>-5.4091539528431376E-3</v>
      </c>
    </row>
    <row r="484" spans="1:15">
      <c r="A484" s="65">
        <v>524.16952892043219</v>
      </c>
      <c r="B484" s="65">
        <v>524.45263827996064</v>
      </c>
      <c r="C484" s="65">
        <v>518.72588228809775</v>
      </c>
      <c r="D484" s="65">
        <v>520.84175223825696</v>
      </c>
      <c r="E484" s="65">
        <v>8070889.8808808522</v>
      </c>
      <c r="F484" s="65" t="s">
        <v>659</v>
      </c>
      <c r="G484" s="25">
        <f t="shared" si="10"/>
        <v>6.3892279523953821E-3</v>
      </c>
      <c r="I484" s="66">
        <v>70.296813749531893</v>
      </c>
      <c r="J484" s="66">
        <v>70.629417655388295</v>
      </c>
      <c r="K484" s="66">
        <v>70.130511796603685</v>
      </c>
      <c r="L484" s="66">
        <v>70.433768299002168</v>
      </c>
      <c r="M484" s="66">
        <v>18416634.056740887</v>
      </c>
      <c r="N484" s="66" t="s">
        <v>659</v>
      </c>
      <c r="O484" s="25">
        <f t="shared" si="11"/>
        <v>-1.9444444444443043E-3</v>
      </c>
    </row>
    <row r="485" spans="1:15">
      <c r="A485" s="65">
        <v>521.89472038246765</v>
      </c>
      <c r="B485" s="65">
        <v>524.2688655378106</v>
      </c>
      <c r="C485" s="65">
        <v>520.84175223825696</v>
      </c>
      <c r="D485" s="65">
        <v>523.59337653963769</v>
      </c>
      <c r="E485" s="65">
        <v>5635982.1259820741</v>
      </c>
      <c r="F485" s="65" t="s">
        <v>660</v>
      </c>
      <c r="G485" s="25">
        <f t="shared" si="10"/>
        <v>-3.2442277409928666E-3</v>
      </c>
      <c r="I485" s="66">
        <v>70.228336474796748</v>
      </c>
      <c r="J485" s="66">
        <v>70.629417655388295</v>
      </c>
      <c r="K485" s="66">
        <v>69.905515036759653</v>
      </c>
      <c r="L485" s="66">
        <v>69.983774779314103</v>
      </c>
      <c r="M485" s="66">
        <v>11424219.538902612</v>
      </c>
      <c r="N485" s="66" t="s">
        <v>660</v>
      </c>
      <c r="O485" s="25">
        <f t="shared" si="11"/>
        <v>3.4945485043331725E-3</v>
      </c>
    </row>
    <row r="486" spans="1:15">
      <c r="A486" s="65">
        <v>522.57160009328379</v>
      </c>
      <c r="B486" s="65">
        <v>524.77002524432999</v>
      </c>
      <c r="C486" s="65">
        <v>520.3830777582333</v>
      </c>
      <c r="D486" s="65">
        <v>524.52245484443733</v>
      </c>
      <c r="E486" s="65">
        <v>5325672.0131809711</v>
      </c>
      <c r="F486" s="65" t="s">
        <v>661</v>
      </c>
      <c r="G486" s="25">
        <f t="shared" si="10"/>
        <v>-3.7192969207240356E-3</v>
      </c>
      <c r="I486" s="66">
        <v>69.846820229843829</v>
      </c>
      <c r="J486" s="66">
        <v>70.052252054049234</v>
      </c>
      <c r="K486" s="66">
        <v>69.299002031962686</v>
      </c>
      <c r="L486" s="66">
        <v>69.318566967601299</v>
      </c>
      <c r="M486" s="66">
        <v>11055716.409979895</v>
      </c>
      <c r="N486" s="66" t="s">
        <v>661</v>
      </c>
      <c r="O486" s="25">
        <f t="shared" si="11"/>
        <v>7.6206604572397474E-3</v>
      </c>
    </row>
    <row r="487" spans="1:15">
      <c r="A487" s="65">
        <v>520.50191155018172</v>
      </c>
      <c r="B487" s="65">
        <v>522.17548745345562</v>
      </c>
      <c r="C487" s="65">
        <v>519.55124121459414</v>
      </c>
      <c r="D487" s="65">
        <v>521.4921931497521</v>
      </c>
      <c r="E487" s="65">
        <v>35765633.750405967</v>
      </c>
      <c r="F487" s="65" t="s">
        <v>662</v>
      </c>
      <c r="G487" s="25">
        <f t="shared" si="10"/>
        <v>-1.8989384933821851E-3</v>
      </c>
      <c r="I487" s="66">
        <v>69.895732568940346</v>
      </c>
      <c r="J487" s="66">
        <v>70.355508556447717</v>
      </c>
      <c r="K487" s="66">
        <v>69.753886785560425</v>
      </c>
      <c r="L487" s="66">
        <v>70.150076732242297</v>
      </c>
      <c r="M487" s="66">
        <v>12603289.096099321</v>
      </c>
      <c r="N487" s="66" t="s">
        <v>662</v>
      </c>
      <c r="O487" s="25">
        <f t="shared" si="11"/>
        <v>-3.6257146841444099E-3</v>
      </c>
    </row>
    <row r="488" spans="1:15">
      <c r="A488" s="65">
        <v>521.56151286172189</v>
      </c>
      <c r="B488" s="65">
        <v>521.71995791765323</v>
      </c>
      <c r="C488" s="65">
        <v>518.29358358313982</v>
      </c>
      <c r="D488" s="65">
        <v>520.89802419000989</v>
      </c>
      <c r="E488" s="65">
        <v>4696248.0187632013</v>
      </c>
      <c r="F488" s="65" t="s">
        <v>663</v>
      </c>
      <c r="G488" s="25">
        <f t="shared" si="10"/>
        <v>1.2737400429647661E-3</v>
      </c>
      <c r="I488" s="66">
        <v>69.77834295510867</v>
      </c>
      <c r="J488" s="66">
        <v>70.252792644345007</v>
      </c>
      <c r="K488" s="66">
        <v>69.064222804299348</v>
      </c>
      <c r="L488" s="66">
        <v>69.670735809096314</v>
      </c>
      <c r="M488" s="66">
        <v>13627070.639263205</v>
      </c>
      <c r="N488" s="66" t="s">
        <v>663</v>
      </c>
      <c r="O488" s="25">
        <f t="shared" si="11"/>
        <v>1.5445099691095976E-3</v>
      </c>
    </row>
    <row r="489" spans="1:15">
      <c r="A489" s="65">
        <v>520.06618764637074</v>
      </c>
      <c r="B489" s="65">
        <v>520.71977350208726</v>
      </c>
      <c r="C489" s="65">
        <v>518.7392103029465</v>
      </c>
      <c r="D489" s="65">
        <v>519.89783977444381</v>
      </c>
      <c r="E489" s="65">
        <v>29576592.1660132</v>
      </c>
      <c r="F489" s="65" t="s">
        <v>664</v>
      </c>
      <c r="G489" s="25">
        <f t="shared" si="10"/>
        <v>3.2380952380939299E-4</v>
      </c>
      <c r="I489" s="66">
        <v>70.16964166788091</v>
      </c>
      <c r="J489" s="66">
        <v>70.629417655388295</v>
      </c>
      <c r="K489" s="66">
        <v>69.631605937819089</v>
      </c>
      <c r="L489" s="66">
        <v>69.993557247133396</v>
      </c>
      <c r="M489" s="66">
        <v>11871260.109930048</v>
      </c>
      <c r="N489" s="66" t="s">
        <v>664</v>
      </c>
      <c r="O489" s="25">
        <f t="shared" si="11"/>
        <v>2.5157232704404731E-3</v>
      </c>
    </row>
    <row r="490" spans="1:15">
      <c r="A490" s="65">
        <v>518.78872438292501</v>
      </c>
      <c r="B490" s="65">
        <v>519.81861724647808</v>
      </c>
      <c r="C490" s="65">
        <v>516.05554716811071</v>
      </c>
      <c r="D490" s="65">
        <v>518.42232019108394</v>
      </c>
      <c r="E490" s="65">
        <v>5667759.5569129474</v>
      </c>
      <c r="F490" s="65" t="s">
        <v>665</v>
      </c>
      <c r="G490" s="25">
        <f t="shared" si="10"/>
        <v>7.0676777903000421E-4</v>
      </c>
      <c r="I490" s="66">
        <v>70.081599457507153</v>
      </c>
      <c r="J490" s="66">
        <v>70.238118942616055</v>
      </c>
      <c r="K490" s="66">
        <v>68.849008512274622</v>
      </c>
      <c r="L490" s="66">
        <v>68.878355915732527</v>
      </c>
      <c r="M490" s="66">
        <v>49658716.897723489</v>
      </c>
      <c r="N490" s="66" t="s">
        <v>665</v>
      </c>
      <c r="O490" s="25">
        <f t="shared" si="11"/>
        <v>1.7469109501491387E-2</v>
      </c>
    </row>
    <row r="491" spans="1:15">
      <c r="A491" s="65">
        <v>519.80871443048238</v>
      </c>
      <c r="B491" s="65">
        <v>521.4822903337564</v>
      </c>
      <c r="C491" s="65">
        <v>517.11514847965111</v>
      </c>
      <c r="D491" s="65">
        <v>519.77900598249528</v>
      </c>
      <c r="E491" s="65">
        <v>5612919.6002545981</v>
      </c>
      <c r="F491" s="65" t="s">
        <v>666</v>
      </c>
      <c r="G491" s="25">
        <f t="shared" si="10"/>
        <v>5.7155921353357897E-5</v>
      </c>
      <c r="I491" s="66">
        <v>69.083787739937961</v>
      </c>
      <c r="J491" s="66">
        <v>70.375073492086329</v>
      </c>
      <c r="K491" s="66">
        <v>69.064222804299348</v>
      </c>
      <c r="L491" s="66">
        <v>70.003339714952716</v>
      </c>
      <c r="M491" s="66">
        <v>13938861.084817303</v>
      </c>
      <c r="N491" s="66" t="s">
        <v>666</v>
      </c>
      <c r="O491" s="25">
        <f t="shared" si="11"/>
        <v>-1.3135830072666388E-2</v>
      </c>
    </row>
    <row r="492" spans="1:15">
      <c r="A492" s="65">
        <v>510.89618003434907</v>
      </c>
      <c r="B492" s="65">
        <v>517.64990054341911</v>
      </c>
      <c r="C492" s="65">
        <v>510.4604561305382</v>
      </c>
      <c r="D492" s="65">
        <v>513.14411926537377</v>
      </c>
      <c r="E492" s="65">
        <v>6989201.8623821521</v>
      </c>
      <c r="F492" s="65" t="s">
        <v>667</v>
      </c>
      <c r="G492" s="25">
        <f t="shared" si="10"/>
        <v>-4.3807171253231747E-3</v>
      </c>
      <c r="I492" s="66">
        <v>70.189206603519523</v>
      </c>
      <c r="J492" s="66">
        <v>70.805502076135781</v>
      </c>
      <c r="K492" s="66">
        <v>69.719648148192832</v>
      </c>
      <c r="L492" s="66">
        <v>70.326161152989798</v>
      </c>
      <c r="M492" s="66">
        <v>10958086.648488099</v>
      </c>
      <c r="N492" s="66" t="s">
        <v>667</v>
      </c>
      <c r="O492" s="25">
        <f t="shared" si="11"/>
        <v>-1.9474196689385215E-3</v>
      </c>
    </row>
    <row r="493" spans="1:15">
      <c r="A493" s="65">
        <v>512.55985312162738</v>
      </c>
      <c r="B493" s="65">
        <v>515.6742887522762</v>
      </c>
      <c r="C493" s="65">
        <v>510.49016457852525</v>
      </c>
      <c r="D493" s="65">
        <v>514.39187408083262</v>
      </c>
      <c r="E493" s="65">
        <v>8229938.8411698611</v>
      </c>
      <c r="F493" s="65" t="s">
        <v>668</v>
      </c>
      <c r="G493" s="25">
        <f t="shared" si="10"/>
        <v>-3.5615277991684069E-3</v>
      </c>
      <c r="I493" s="66">
        <v>70.238118942616055</v>
      </c>
      <c r="J493" s="66">
        <v>70.776154672677862</v>
      </c>
      <c r="K493" s="66">
        <v>70.16475043397125</v>
      </c>
      <c r="L493" s="66">
        <v>70.335943620809118</v>
      </c>
      <c r="M493" s="66">
        <v>13262892.594846925</v>
      </c>
      <c r="N493" s="66" t="s">
        <v>668</v>
      </c>
      <c r="O493" s="25">
        <f t="shared" si="11"/>
        <v>-1.3908205841447474E-3</v>
      </c>
    </row>
    <row r="494" spans="1:15">
      <c r="A494" s="65">
        <v>512.32218553773043</v>
      </c>
      <c r="B494" s="65">
        <v>512.55985312162738</v>
      </c>
      <c r="C494" s="65">
        <v>509.64842521889045</v>
      </c>
      <c r="D494" s="65">
        <v>511.32200112216441</v>
      </c>
      <c r="E494" s="65">
        <v>4298022.9076724881</v>
      </c>
      <c r="F494" s="65" t="s">
        <v>669</v>
      </c>
      <c r="G494" s="25">
        <f t="shared" si="10"/>
        <v>1.9560754541581016E-3</v>
      </c>
      <c r="I494" s="66">
        <v>70.531592977195217</v>
      </c>
      <c r="J494" s="66">
        <v>70.668547526665506</v>
      </c>
      <c r="K494" s="66">
        <v>70.062034521868554</v>
      </c>
      <c r="L494" s="66">
        <v>70.208771539158136</v>
      </c>
      <c r="M494" s="66">
        <v>11026390.476555014</v>
      </c>
      <c r="N494" s="66" t="s">
        <v>669</v>
      </c>
      <c r="O494" s="25">
        <f t="shared" si="11"/>
        <v>4.5980214574332656E-3</v>
      </c>
    </row>
    <row r="495" spans="1:15">
      <c r="A495" s="65">
        <v>511.5497658900656</v>
      </c>
      <c r="B495" s="65">
        <v>512.50043622565306</v>
      </c>
      <c r="C495" s="65">
        <v>509.23250694707093</v>
      </c>
      <c r="D495" s="65">
        <v>509.4305632669849</v>
      </c>
      <c r="E495" s="65">
        <v>4459984.9193564206</v>
      </c>
      <c r="F495" s="65" t="s">
        <v>670</v>
      </c>
      <c r="G495" s="25">
        <f t="shared" si="10"/>
        <v>4.1599440157069623E-3</v>
      </c>
      <c r="I495" s="66">
        <v>69.856602697663121</v>
      </c>
      <c r="J495" s="66">
        <v>69.910406270669313</v>
      </c>
      <c r="K495" s="66">
        <v>68.946833190467686</v>
      </c>
      <c r="L495" s="66">
        <v>69.299002031962686</v>
      </c>
      <c r="M495" s="66">
        <v>11320097.550584916</v>
      </c>
      <c r="N495" s="66" t="s">
        <v>670</v>
      </c>
      <c r="O495" s="25">
        <f t="shared" si="11"/>
        <v>8.046301524562427E-3</v>
      </c>
    </row>
    <row r="496" spans="1:15">
      <c r="A496" s="65">
        <v>508.84629712323851</v>
      </c>
      <c r="B496" s="65">
        <v>509.14318354678971</v>
      </c>
      <c r="C496" s="65">
        <v>503.12246947772172</v>
      </c>
      <c r="D496" s="65">
        <v>505.13274112484953</v>
      </c>
      <c r="E496" s="65">
        <v>4139769.9419827382</v>
      </c>
      <c r="F496" s="65" t="s">
        <v>671</v>
      </c>
      <c r="G496" s="25">
        <f t="shared" si="10"/>
        <v>7.3516438275600393E-3</v>
      </c>
      <c r="I496" s="66">
        <v>69.206068587679255</v>
      </c>
      <c r="J496" s="66">
        <v>69.351806483062532</v>
      </c>
      <c r="K496" s="66">
        <v>68.647406655376628</v>
      </c>
      <c r="L496" s="66">
        <v>68.982603814758207</v>
      </c>
      <c r="M496" s="66">
        <v>12701685.070527099</v>
      </c>
      <c r="N496" s="66" t="s">
        <v>671</v>
      </c>
      <c r="O496" s="25">
        <f t="shared" si="11"/>
        <v>3.2394366197183722E-3</v>
      </c>
    </row>
    <row r="497" spans="1:15">
      <c r="A497" s="65">
        <v>504.50886371712022</v>
      </c>
      <c r="B497" s="65">
        <v>505.4793396846992</v>
      </c>
      <c r="C497" s="65">
        <v>491.42724378679566</v>
      </c>
      <c r="D497" s="65">
        <v>499.40891347933285</v>
      </c>
      <c r="E497" s="65">
        <v>4994369.2805619482</v>
      </c>
      <c r="F497" s="65" t="s">
        <v>672</v>
      </c>
      <c r="G497" s="25">
        <f t="shared" si="10"/>
        <v>1.0211972794511137E-2</v>
      </c>
      <c r="I497" s="66">
        <v>69.060330692295963</v>
      </c>
      <c r="J497" s="66">
        <v>69.342090623370325</v>
      </c>
      <c r="K497" s="66">
        <v>68.56491900658969</v>
      </c>
      <c r="L497" s="66">
        <v>69.332374763678104</v>
      </c>
      <c r="M497" s="66">
        <v>11752160.242848925</v>
      </c>
      <c r="N497" s="66" t="s">
        <v>672</v>
      </c>
      <c r="O497" s="25">
        <f t="shared" si="11"/>
        <v>-3.9237668161434813E-3</v>
      </c>
    </row>
    <row r="498" spans="1:15">
      <c r="A498" s="65">
        <v>499.39901066333715</v>
      </c>
      <c r="B498" s="65">
        <v>499.80007471116312</v>
      </c>
      <c r="C498" s="65">
        <v>494.64536190091951</v>
      </c>
      <c r="D498" s="65">
        <v>499.05241210348748</v>
      </c>
      <c r="E498" s="65">
        <v>3004584.7578010764</v>
      </c>
      <c r="F498" s="65" t="s">
        <v>673</v>
      </c>
      <c r="G498" s="25">
        <f t="shared" si="10"/>
        <v>6.9451334457792946E-4</v>
      </c>
      <c r="I498" s="66">
        <v>69.516976097830266</v>
      </c>
      <c r="J498" s="66">
        <v>70.362255891053366</v>
      </c>
      <c r="K498" s="66">
        <v>69.487828518753616</v>
      </c>
      <c r="L498" s="66">
        <v>69.925042204903491</v>
      </c>
      <c r="M498" s="66">
        <v>10578152.963890955</v>
      </c>
      <c r="N498" s="66" t="s">
        <v>673</v>
      </c>
      <c r="O498" s="25">
        <f t="shared" si="11"/>
        <v>-5.8357649020426283E-3</v>
      </c>
    </row>
    <row r="499" spans="1:15">
      <c r="A499" s="65">
        <v>497.34912775222648</v>
      </c>
      <c r="B499" s="65">
        <v>498.47804877573668</v>
      </c>
      <c r="C499" s="65">
        <v>493.90294778572161</v>
      </c>
      <c r="D499" s="65">
        <v>495.73496874492679</v>
      </c>
      <c r="E499" s="65">
        <v>3692683.9815932065</v>
      </c>
      <c r="F499" s="65" t="s">
        <v>674</v>
      </c>
      <c r="G499" s="25">
        <f t="shared" si="10"/>
        <v>3.2560926887734709E-3</v>
      </c>
      <c r="I499" s="66">
        <v>69.808451888596849</v>
      </c>
      <c r="J499" s="66">
        <v>70.250523504592849</v>
      </c>
      <c r="K499" s="66">
        <v>68.963172095373764</v>
      </c>
      <c r="L499" s="66">
        <v>69.206068587679255</v>
      </c>
      <c r="M499" s="66">
        <v>13317664.529842744</v>
      </c>
      <c r="N499" s="66" t="s">
        <v>674</v>
      </c>
      <c r="O499" s="25">
        <f t="shared" si="11"/>
        <v>8.7041976695210188E-3</v>
      </c>
    </row>
    <row r="500" spans="1:15">
      <c r="A500" s="65">
        <v>491.81345361062807</v>
      </c>
      <c r="B500" s="65">
        <v>502.01335408620292</v>
      </c>
      <c r="C500" s="65">
        <v>490.98161706698903</v>
      </c>
      <c r="D500" s="65">
        <v>500.42890352689028</v>
      </c>
      <c r="E500" s="65">
        <v>7484173.1919642175</v>
      </c>
      <c r="F500" s="65" t="s">
        <v>675</v>
      </c>
      <c r="G500" s="25">
        <f t="shared" si="10"/>
        <v>-1.7216131713301941E-2</v>
      </c>
      <c r="I500" s="66">
        <v>69.118625850449277</v>
      </c>
      <c r="J500" s="66">
        <v>69.633566414136908</v>
      </c>
      <c r="K500" s="66">
        <v>68.875729358143786</v>
      </c>
      <c r="L500" s="66">
        <v>68.972887955065971</v>
      </c>
      <c r="M500" s="66">
        <v>17997076.485164445</v>
      </c>
      <c r="N500" s="66" t="s">
        <v>675</v>
      </c>
      <c r="O500" s="25">
        <f t="shared" si="11"/>
        <v>2.1129736582619074E-3</v>
      </c>
    </row>
    <row r="501" spans="1:15">
      <c r="A501" s="65">
        <v>500.14172186301494</v>
      </c>
      <c r="B501" s="65">
        <v>503.99391728534363</v>
      </c>
      <c r="C501" s="65">
        <v>497.95319952796439</v>
      </c>
      <c r="D501" s="65">
        <v>501.43899075845212</v>
      </c>
      <c r="E501" s="65">
        <v>3459186.762115113</v>
      </c>
      <c r="F501" s="65" t="s">
        <v>676</v>
      </c>
      <c r="G501" s="25">
        <f t="shared" si="10"/>
        <v>-2.5870921873766273E-3</v>
      </c>
      <c r="I501" s="66">
        <v>69.147773429525941</v>
      </c>
      <c r="J501" s="66">
        <v>70.614868243051077</v>
      </c>
      <c r="K501" s="66">
        <v>68.963172095373764</v>
      </c>
      <c r="L501" s="66">
        <v>70.556573084897764</v>
      </c>
      <c r="M501" s="66">
        <v>24564089.803717706</v>
      </c>
      <c r="N501" s="66" t="s">
        <v>676</v>
      </c>
      <c r="O501" s="25">
        <f t="shared" si="11"/>
        <v>-1.9966951253098331E-2</v>
      </c>
    </row>
    <row r="502" spans="1:15">
      <c r="A502" s="65">
        <v>501.37957386247791</v>
      </c>
      <c r="B502" s="65">
        <v>504.57818342909013</v>
      </c>
      <c r="C502" s="65">
        <v>500.11201341502777</v>
      </c>
      <c r="D502" s="65">
        <v>500.76559927074425</v>
      </c>
      <c r="E502" s="65">
        <v>3636716.0629486055</v>
      </c>
      <c r="F502" s="65" t="s">
        <v>677</v>
      </c>
      <c r="G502" s="25">
        <f t="shared" si="10"/>
        <v>1.2260718240786339E-3</v>
      </c>
      <c r="I502" s="66">
        <v>70.498277926744436</v>
      </c>
      <c r="J502" s="66">
        <v>71.440716316889734</v>
      </c>
      <c r="K502" s="66">
        <v>69.866747046750177</v>
      </c>
      <c r="L502" s="66">
        <v>71.217251543968672</v>
      </c>
      <c r="M502" s="66">
        <v>18671359.585943092</v>
      </c>
      <c r="N502" s="66" t="s">
        <v>677</v>
      </c>
      <c r="O502" s="25">
        <f t="shared" si="11"/>
        <v>-1.0095497953615196E-2</v>
      </c>
    </row>
    <row r="503" spans="1:15">
      <c r="A503" s="65">
        <v>502.62732867793653</v>
      </c>
      <c r="B503" s="65">
        <v>510.42084486655529</v>
      </c>
      <c r="C503" s="65">
        <v>500.19123594299344</v>
      </c>
      <c r="D503" s="65">
        <v>510.11385757068854</v>
      </c>
      <c r="E503" s="65">
        <v>5924012.9298021281</v>
      </c>
      <c r="F503" s="65" t="s">
        <v>678</v>
      </c>
      <c r="G503" s="25">
        <f t="shared" si="10"/>
        <v>-1.4676191955272588E-2</v>
      </c>
      <c r="I503" s="66">
        <v>70.935491612894324</v>
      </c>
      <c r="J503" s="66">
        <v>71.20267775443034</v>
      </c>
      <c r="K503" s="66">
        <v>70.192228346439535</v>
      </c>
      <c r="L503" s="66">
        <v>70.381687610437808</v>
      </c>
      <c r="M503" s="66">
        <v>15187283.953695336</v>
      </c>
      <c r="N503" s="66" t="s">
        <v>678</v>
      </c>
      <c r="O503" s="25">
        <f t="shared" si="11"/>
        <v>7.8685808945335722E-3</v>
      </c>
    </row>
    <row r="504" spans="1:15">
      <c r="A504" s="65">
        <v>513.00547984143395</v>
      </c>
      <c r="B504" s="65">
        <v>513.54023190520206</v>
      </c>
      <c r="C504" s="65">
        <v>507.14301277197745</v>
      </c>
      <c r="D504" s="65">
        <v>510.41094205055958</v>
      </c>
      <c r="E504" s="65">
        <v>5693052.3625258831</v>
      </c>
      <c r="F504" s="65" t="s">
        <v>679</v>
      </c>
      <c r="G504" s="25">
        <f t="shared" si="10"/>
        <v>5.0832330914594159E-3</v>
      </c>
      <c r="I504" s="66">
        <v>70.410835189514458</v>
      </c>
      <c r="J504" s="66">
        <v>70.507993786436657</v>
      </c>
      <c r="K504" s="66">
        <v>69.740440870751328</v>
      </c>
      <c r="L504" s="66">
        <v>70.148506977824539</v>
      </c>
      <c r="M504" s="66">
        <v>19168892.501519371</v>
      </c>
      <c r="N504" s="66" t="s">
        <v>679</v>
      </c>
      <c r="O504" s="25">
        <f t="shared" si="11"/>
        <v>3.7396121883654931E-3</v>
      </c>
    </row>
    <row r="505" spans="1:15">
      <c r="A505" s="65">
        <v>508.22241971550915</v>
      </c>
      <c r="B505" s="65">
        <v>513.05499392141257</v>
      </c>
      <c r="C505" s="65">
        <v>507.1529155879731</v>
      </c>
      <c r="D505" s="65">
        <v>509.98512096274442</v>
      </c>
      <c r="E505" s="65">
        <v>3521367.0551011832</v>
      </c>
      <c r="F505" s="65" t="s">
        <v>680</v>
      </c>
      <c r="G505" s="25">
        <f t="shared" si="10"/>
        <v>-3.4563777937436369E-3</v>
      </c>
      <c r="I505" s="66">
        <v>70.002769082441247</v>
      </c>
      <c r="J505" s="66">
        <v>70.167938697208982</v>
      </c>
      <c r="K505" s="66">
        <v>69.206068587679255</v>
      </c>
      <c r="L505" s="66">
        <v>69.857031187057956</v>
      </c>
      <c r="M505" s="66">
        <v>17704740.028075162</v>
      </c>
      <c r="N505" s="66" t="s">
        <v>680</v>
      </c>
      <c r="O505" s="25">
        <f t="shared" si="11"/>
        <v>2.0862308762170656E-3</v>
      </c>
    </row>
    <row r="506" spans="1:15">
      <c r="A506" s="65">
        <v>508.14319718754348</v>
      </c>
      <c r="B506" s="65">
        <v>511.21307014621163</v>
      </c>
      <c r="C506" s="65">
        <v>505.2020608368195</v>
      </c>
      <c r="D506" s="65">
        <v>510.78724905839636</v>
      </c>
      <c r="E506" s="65">
        <v>3979098.4723027707</v>
      </c>
      <c r="F506" s="65" t="s">
        <v>681</v>
      </c>
      <c r="G506" s="25">
        <f t="shared" si="10"/>
        <v>-5.1764249709189691E-3</v>
      </c>
      <c r="I506" s="66">
        <v>69.711293291674664</v>
      </c>
      <c r="J506" s="66">
        <v>69.769588449827978</v>
      </c>
      <c r="K506" s="66">
        <v>69.269221675678679</v>
      </c>
      <c r="L506" s="66">
        <v>69.575271255983594</v>
      </c>
      <c r="M506" s="66">
        <v>13660740.706896773</v>
      </c>
      <c r="N506" s="66" t="s">
        <v>681</v>
      </c>
      <c r="O506" s="25">
        <f t="shared" si="11"/>
        <v>1.9550342130987275E-3</v>
      </c>
    </row>
    <row r="507" spans="1:15">
      <c r="A507" s="65">
        <v>511.06452790627611</v>
      </c>
      <c r="B507" s="65">
        <v>511.569571522057</v>
      </c>
      <c r="C507" s="65">
        <v>508.17290563553058</v>
      </c>
      <c r="D507" s="65">
        <v>509.26221539505798</v>
      </c>
      <c r="E507" s="65">
        <v>3061531.1859932854</v>
      </c>
      <c r="F507" s="65" t="s">
        <v>682</v>
      </c>
      <c r="G507" s="25">
        <f t="shared" si="10"/>
        <v>3.5390658421812216E-3</v>
      </c>
      <c r="I507" s="66">
        <v>69.468396799369174</v>
      </c>
      <c r="J507" s="66">
        <v>69.497544378445838</v>
      </c>
      <c r="K507" s="66">
        <v>69.031183113219299</v>
      </c>
      <c r="L507" s="66">
        <v>69.293511324909218</v>
      </c>
      <c r="M507" s="66">
        <v>17485233.976365928</v>
      </c>
      <c r="N507" s="66" t="s">
        <v>682</v>
      </c>
      <c r="O507" s="25">
        <f t="shared" si="11"/>
        <v>2.5238362310713303E-3</v>
      </c>
    </row>
    <row r="508" spans="1:15">
      <c r="A508" s="65">
        <v>510.38123360257254</v>
      </c>
      <c r="B508" s="65">
        <v>513.2530502413266</v>
      </c>
      <c r="C508" s="65">
        <v>508.88095697922341</v>
      </c>
      <c r="D508" s="65">
        <v>512.60936720160589</v>
      </c>
      <c r="E508" s="65">
        <v>3431993.4869783409</v>
      </c>
      <c r="F508" s="65" t="s">
        <v>683</v>
      </c>
      <c r="G508" s="25">
        <f t="shared" ref="G508:G571" si="12">A508/D508-1</f>
        <v>-4.3466501815934144E-3</v>
      </c>
      <c r="I508" s="66">
        <v>68.827150059682694</v>
      </c>
      <c r="J508" s="66">
        <v>68.90487693722045</v>
      </c>
      <c r="K508" s="66">
        <v>67.74868963384634</v>
      </c>
      <c r="L508" s="66">
        <v>67.845848230768524</v>
      </c>
      <c r="M508" s="66">
        <v>13289866.680907534</v>
      </c>
      <c r="N508" s="66" t="s">
        <v>683</v>
      </c>
      <c r="O508" s="25">
        <f t="shared" ref="O508:O571" si="13">I508/L508-1</f>
        <v>1.4463697551195809E-2</v>
      </c>
    </row>
    <row r="509" spans="1:15">
      <c r="A509" s="65">
        <v>511.63889123402686</v>
      </c>
      <c r="B509" s="65">
        <v>512.52024185764446</v>
      </c>
      <c r="C509" s="65">
        <v>507.27382897128069</v>
      </c>
      <c r="D509" s="65">
        <v>509.331535107028</v>
      </c>
      <c r="E509" s="65">
        <v>5152868.6408127062</v>
      </c>
      <c r="F509" s="65" t="s">
        <v>684</v>
      </c>
      <c r="G509" s="25">
        <f t="shared" si="12"/>
        <v>4.5301654579743555E-3</v>
      </c>
      <c r="I509" s="66">
        <v>67.806984791999653</v>
      </c>
      <c r="J509" s="66">
        <v>67.865279950152953</v>
      </c>
      <c r="K509" s="66">
        <v>66.976278788314886</v>
      </c>
      <c r="L509" s="66">
        <v>67.428066264003093</v>
      </c>
      <c r="M509" s="66">
        <v>12180852.106661601</v>
      </c>
      <c r="N509" s="66" t="s">
        <v>684</v>
      </c>
      <c r="O509" s="25">
        <f t="shared" si="13"/>
        <v>5.6195965417866756E-3</v>
      </c>
    </row>
    <row r="510" spans="1:15">
      <c r="A510" s="65">
        <v>506.16263398840277</v>
      </c>
      <c r="B510" s="65">
        <v>512.59946438561019</v>
      </c>
      <c r="C510" s="65">
        <v>505.14264394084529</v>
      </c>
      <c r="D510" s="65">
        <v>512.02510105785927</v>
      </c>
      <c r="E510" s="65">
        <v>3713173.1030802694</v>
      </c>
      <c r="F510" s="65" t="s">
        <v>685</v>
      </c>
      <c r="G510" s="25">
        <f t="shared" si="12"/>
        <v>-1.1449569674112592E-2</v>
      </c>
      <c r="I510" s="66">
        <v>67.360055246157543</v>
      </c>
      <c r="J510" s="66">
        <v>67.933290967998502</v>
      </c>
      <c r="K510" s="66">
        <v>66.835398822777705</v>
      </c>
      <c r="L510" s="66">
        <v>67.933290967998502</v>
      </c>
      <c r="M510" s="66">
        <v>12875033.601007501</v>
      </c>
      <c r="N510" s="66" t="s">
        <v>685</v>
      </c>
      <c r="O510" s="25">
        <f t="shared" si="13"/>
        <v>-8.438215102974933E-3</v>
      </c>
    </row>
    <row r="511" spans="1:15">
      <c r="A511" s="65">
        <v>510.29210825861117</v>
      </c>
      <c r="B511" s="65">
        <v>511.63879220586693</v>
      </c>
      <c r="C511" s="65">
        <v>507.86591833966384</v>
      </c>
      <c r="D511" s="65">
        <v>509.47017453096782</v>
      </c>
      <c r="E511" s="65">
        <v>3376867.7530217734</v>
      </c>
      <c r="F511" s="65" t="s">
        <v>686</v>
      </c>
      <c r="G511" s="25">
        <f t="shared" si="12"/>
        <v>1.6133107858571361E-3</v>
      </c>
      <c r="I511" s="66">
        <v>67.593235878770813</v>
      </c>
      <c r="J511" s="66">
        <v>68.137324021535107</v>
      </c>
      <c r="K511" s="66">
        <v>67.364913176003654</v>
      </c>
      <c r="L511" s="66">
        <v>67.505793141540849</v>
      </c>
      <c r="M511" s="66">
        <v>9049530.642194245</v>
      </c>
      <c r="N511" s="66" t="s">
        <v>686</v>
      </c>
      <c r="O511" s="25">
        <f t="shared" si="13"/>
        <v>1.2953367875645494E-3</v>
      </c>
    </row>
    <row r="512" spans="1:15">
      <c r="A512" s="65">
        <v>508.50960137938455</v>
      </c>
      <c r="B512" s="65">
        <v>510.47025991837393</v>
      </c>
      <c r="C512" s="65">
        <v>507.27174937992157</v>
      </c>
      <c r="D512" s="65">
        <v>508.92551965120407</v>
      </c>
      <c r="E512" s="65">
        <v>3186953.0862425533</v>
      </c>
      <c r="F512" s="65" t="s">
        <v>687</v>
      </c>
      <c r="G512" s="25">
        <f t="shared" si="12"/>
        <v>-8.1724782067238433E-4</v>
      </c>
      <c r="I512" s="66">
        <v>67.40863454461865</v>
      </c>
      <c r="J512" s="66">
        <v>67.418350404310871</v>
      </c>
      <c r="K512" s="66">
        <v>66.811109173547152</v>
      </c>
      <c r="L512" s="66">
        <v>67.029716016622089</v>
      </c>
      <c r="M512" s="66">
        <v>12307065.333164038</v>
      </c>
      <c r="N512" s="66" t="s">
        <v>687</v>
      </c>
      <c r="O512" s="25">
        <f t="shared" si="13"/>
        <v>5.6529931874185202E-3</v>
      </c>
    </row>
    <row r="513" spans="1:15">
      <c r="A513" s="65">
        <v>509.35134073901935</v>
      </c>
      <c r="B513" s="65">
        <v>509.35134073901935</v>
      </c>
      <c r="C513" s="65">
        <v>504.1127510772921</v>
      </c>
      <c r="D513" s="65">
        <v>504.9049763569484</v>
      </c>
      <c r="E513" s="65">
        <v>3841647.6703702165</v>
      </c>
      <c r="F513" s="65" t="s">
        <v>688</v>
      </c>
      <c r="G513" s="25">
        <f t="shared" si="12"/>
        <v>8.8063389950181481E-3</v>
      </c>
      <c r="I513" s="66">
        <v>67.020000156929868</v>
      </c>
      <c r="J513" s="66">
        <v>67.447497983387535</v>
      </c>
      <c r="K513" s="66">
        <v>66.888836051084908</v>
      </c>
      <c r="L513" s="66">
        <v>67.379486965541986</v>
      </c>
      <c r="M513" s="66">
        <v>10131744.705909081</v>
      </c>
      <c r="N513" s="66" t="s">
        <v>688</v>
      </c>
      <c r="O513" s="25">
        <f t="shared" si="13"/>
        <v>-5.335255948089368E-3</v>
      </c>
    </row>
    <row r="514" spans="1:15">
      <c r="A514" s="65">
        <v>504.49896090112452</v>
      </c>
      <c r="B514" s="65">
        <v>505.15254675684099</v>
      </c>
      <c r="C514" s="65">
        <v>501.72617242232747</v>
      </c>
      <c r="D514" s="65">
        <v>501.91432592624585</v>
      </c>
      <c r="E514" s="65">
        <v>3483136.5154078021</v>
      </c>
      <c r="F514" s="65" t="s">
        <v>689</v>
      </c>
      <c r="G514" s="25">
        <f t="shared" si="12"/>
        <v>5.149554099913134E-3</v>
      </c>
      <c r="I514" s="66">
        <v>67.214317350774266</v>
      </c>
      <c r="J514" s="66">
        <v>67.330907667080893</v>
      </c>
      <c r="K514" s="66">
        <v>66.689660927394414</v>
      </c>
      <c r="L514" s="66">
        <v>66.883978121238798</v>
      </c>
      <c r="M514" s="66">
        <v>13021215.20973713</v>
      </c>
      <c r="N514" s="66" t="s">
        <v>689</v>
      </c>
      <c r="O514" s="25">
        <f t="shared" si="13"/>
        <v>4.9389889599071868E-3</v>
      </c>
    </row>
    <row r="515" spans="1:15">
      <c r="A515" s="65">
        <v>503.43935958958423</v>
      </c>
      <c r="B515" s="65">
        <v>503.64731872549402</v>
      </c>
      <c r="C515" s="65">
        <v>499.58290595637737</v>
      </c>
      <c r="D515" s="65">
        <v>500.18133312699769</v>
      </c>
      <c r="E515" s="65">
        <v>4320945.680356387</v>
      </c>
      <c r="F515" s="65" t="s">
        <v>690</v>
      </c>
      <c r="G515" s="25">
        <f t="shared" si="12"/>
        <v>6.5136906293927765E-3</v>
      </c>
      <c r="I515" s="66">
        <v>66.699376787086635</v>
      </c>
      <c r="J515" s="66">
        <v>66.961704998776554</v>
      </c>
      <c r="K515" s="66">
        <v>66.553638891703329</v>
      </c>
      <c r="L515" s="66">
        <v>66.670229208009971</v>
      </c>
      <c r="M515" s="66">
        <v>11615153.324041115</v>
      </c>
      <c r="N515" s="66" t="s">
        <v>690</v>
      </c>
      <c r="O515" s="25">
        <f t="shared" si="13"/>
        <v>4.3719032352096399E-4</v>
      </c>
    </row>
    <row r="516" spans="1:15">
      <c r="A516" s="65">
        <v>494.9427434652705</v>
      </c>
      <c r="B516" s="65">
        <v>495.98253914481938</v>
      </c>
      <c r="C516" s="65">
        <v>491.65302799149771</v>
      </c>
      <c r="D516" s="65">
        <v>494.07129565764859</v>
      </c>
      <c r="E516" s="65">
        <v>3736818.9024267974</v>
      </c>
      <c r="F516" s="65" t="s">
        <v>691</v>
      </c>
      <c r="G516" s="25">
        <f t="shared" si="12"/>
        <v>1.7638098292311888E-3</v>
      </c>
      <c r="I516" s="66">
        <v>66.631365769241086</v>
      </c>
      <c r="J516" s="66">
        <v>66.93255741969989</v>
      </c>
      <c r="K516" s="66">
        <v>66.194152083091211</v>
      </c>
      <c r="L516" s="66">
        <v>66.29131068001341</v>
      </c>
      <c r="M516" s="66">
        <v>14747056.311932951</v>
      </c>
      <c r="N516" s="66" t="s">
        <v>691</v>
      </c>
      <c r="O516" s="25">
        <f t="shared" si="13"/>
        <v>5.1297083394399312E-3</v>
      </c>
    </row>
    <row r="517" spans="1:15">
      <c r="A517" s="65">
        <v>493.36819572195355</v>
      </c>
      <c r="B517" s="65">
        <v>493.53654359388054</v>
      </c>
      <c r="C517" s="65">
        <v>488.12960606022637</v>
      </c>
      <c r="D517" s="65">
        <v>488.3474680121318</v>
      </c>
      <c r="E517" s="65">
        <v>3279761.0310128825</v>
      </c>
      <c r="F517" s="65" t="s">
        <v>692</v>
      </c>
      <c r="G517" s="25">
        <f t="shared" si="12"/>
        <v>1.0281056089548546E-2</v>
      </c>
      <c r="I517" s="66">
        <v>66.514775452934458</v>
      </c>
      <c r="J517" s="66">
        <v>66.66051334831775</v>
      </c>
      <c r="K517" s="66">
        <v>66.077561766784584</v>
      </c>
      <c r="L517" s="66">
        <v>66.145572784630119</v>
      </c>
      <c r="M517" s="66">
        <v>10166438.49633814</v>
      </c>
      <c r="N517" s="66" t="s">
        <v>692</v>
      </c>
      <c r="O517" s="25">
        <f t="shared" si="13"/>
        <v>5.5816686251468628E-3</v>
      </c>
    </row>
    <row r="518" spans="1:15">
      <c r="A518" s="65">
        <v>485.3073035014508</v>
      </c>
      <c r="B518" s="65">
        <v>487.56514554847126</v>
      </c>
      <c r="C518" s="65">
        <v>483.23761495834873</v>
      </c>
      <c r="D518" s="65">
        <v>486.16884849307701</v>
      </c>
      <c r="E518" s="65">
        <v>3613249.0006401851</v>
      </c>
      <c r="F518" s="65" t="s">
        <v>693</v>
      </c>
      <c r="G518" s="25">
        <f t="shared" si="12"/>
        <v>-1.7721106448852497E-3</v>
      </c>
      <c r="I518" s="66">
        <v>66.233015521860096</v>
      </c>
      <c r="J518" s="66">
        <v>66.592502330472215</v>
      </c>
      <c r="K518" s="66">
        <v>65.902676292324628</v>
      </c>
      <c r="L518" s="66">
        <v>66.505059593242237</v>
      </c>
      <c r="M518" s="66">
        <v>11334373.229801526</v>
      </c>
      <c r="N518" s="66" t="s">
        <v>693</v>
      </c>
      <c r="O518" s="25">
        <f t="shared" si="13"/>
        <v>-4.0905770635499827E-3</v>
      </c>
    </row>
    <row r="519" spans="1:15">
      <c r="A519" s="65">
        <v>485.05973310155821</v>
      </c>
      <c r="B519" s="65">
        <v>486.43622452496101</v>
      </c>
      <c r="C519" s="65">
        <v>481.09860670327669</v>
      </c>
      <c r="D519" s="65">
        <v>482.19781927879984</v>
      </c>
      <c r="E519" s="65">
        <v>7736517.5757318391</v>
      </c>
      <c r="F519" s="65" t="s">
        <v>694</v>
      </c>
      <c r="G519" s="25">
        <f t="shared" si="12"/>
        <v>5.9351446819870812E-3</v>
      </c>
      <c r="I519" s="66">
        <v>66.728524366163299</v>
      </c>
      <c r="J519" s="66">
        <v>66.830540892931594</v>
      </c>
      <c r="K519" s="66">
        <v>66.305884469551742</v>
      </c>
      <c r="L519" s="66">
        <v>66.747956085547727</v>
      </c>
      <c r="M519" s="66">
        <v>12433711.87181109</v>
      </c>
      <c r="N519" s="66" t="s">
        <v>694</v>
      </c>
      <c r="O519" s="25">
        <f t="shared" si="13"/>
        <v>-2.9112081513815724E-4</v>
      </c>
    </row>
    <row r="520" spans="1:15">
      <c r="A520" s="65">
        <v>482.99004455845613</v>
      </c>
      <c r="B520" s="65">
        <v>483.52479662222407</v>
      </c>
      <c r="C520" s="65">
        <v>474.97866641793183</v>
      </c>
      <c r="D520" s="65">
        <v>476.81068737713701</v>
      </c>
      <c r="E520" s="65">
        <v>4218228.4330157014</v>
      </c>
      <c r="F520" s="65" t="s">
        <v>695</v>
      </c>
      <c r="G520" s="25">
        <f t="shared" si="12"/>
        <v>1.295977071174903E-2</v>
      </c>
      <c r="I520" s="66">
        <v>66.777103664624391</v>
      </c>
      <c r="J520" s="66">
        <v>66.908267770469337</v>
      </c>
      <c r="K520" s="66">
        <v>65.922108011709071</v>
      </c>
      <c r="L520" s="66">
        <v>66.067845907092362</v>
      </c>
      <c r="M520" s="66">
        <v>15686634.515939996</v>
      </c>
      <c r="N520" s="66" t="s">
        <v>695</v>
      </c>
      <c r="O520" s="25">
        <f t="shared" si="13"/>
        <v>1.0735294117647287E-2</v>
      </c>
    </row>
    <row r="521" spans="1:15">
      <c r="A521" s="65">
        <v>471.97811317123364</v>
      </c>
      <c r="B521" s="65">
        <v>483.80207547010383</v>
      </c>
      <c r="C521" s="65">
        <v>471.48297237144845</v>
      </c>
      <c r="D521" s="65">
        <v>480.97977291132827</v>
      </c>
      <c r="E521" s="65">
        <v>6035001.5617707362</v>
      </c>
      <c r="F521" s="65" t="s">
        <v>696</v>
      </c>
      <c r="G521" s="25">
        <f t="shared" si="12"/>
        <v>-1.8715256331068519E-2</v>
      </c>
      <c r="I521" s="66">
        <v>66.514775452934458</v>
      </c>
      <c r="J521" s="66">
        <v>67.214317350774266</v>
      </c>
      <c r="K521" s="66">
        <v>65.902676292324628</v>
      </c>
      <c r="L521" s="66">
        <v>66.116425205553455</v>
      </c>
      <c r="M521" s="66">
        <v>13756137.308881694</v>
      </c>
      <c r="N521" s="66" t="s">
        <v>696</v>
      </c>
      <c r="O521" s="25">
        <f t="shared" si="13"/>
        <v>6.0249816311537252E-3</v>
      </c>
    </row>
    <row r="522" spans="1:15">
      <c r="A522" s="65">
        <v>475.27575089780294</v>
      </c>
      <c r="B522" s="65">
        <v>482.12849956682993</v>
      </c>
      <c r="C522" s="65">
        <v>471.31462449952147</v>
      </c>
      <c r="D522" s="65">
        <v>472.75053281889848</v>
      </c>
      <c r="E522" s="65">
        <v>8336053.1020483728</v>
      </c>
      <c r="F522" s="65" t="s">
        <v>697</v>
      </c>
      <c r="G522" s="25">
        <f t="shared" si="12"/>
        <v>5.3415446490290286E-3</v>
      </c>
      <c r="I522" s="66">
        <v>66.116425205553455</v>
      </c>
      <c r="J522" s="66">
        <v>66.883978121238798</v>
      </c>
      <c r="K522" s="66">
        <v>65.844381134171314</v>
      </c>
      <c r="L522" s="66">
        <v>66.213583802475654</v>
      </c>
      <c r="M522" s="66">
        <v>13348380.288350349</v>
      </c>
      <c r="N522" s="66" t="s">
        <v>697</v>
      </c>
      <c r="O522" s="25">
        <f t="shared" si="13"/>
        <v>-1.4673514306676738E-3</v>
      </c>
    </row>
    <row r="523" spans="1:15">
      <c r="A523" s="65">
        <v>470.58181611583939</v>
      </c>
      <c r="B523" s="65">
        <v>476.50370008127021</v>
      </c>
      <c r="C523" s="65">
        <v>464.33313922255036</v>
      </c>
      <c r="D523" s="65">
        <v>465.60069967000044</v>
      </c>
      <c r="E523" s="65">
        <v>15393879.888926227</v>
      </c>
      <c r="F523" s="65" t="s">
        <v>698</v>
      </c>
      <c r="G523" s="25">
        <f t="shared" si="12"/>
        <v>1.0698258076865752E-2</v>
      </c>
      <c r="I523" s="66">
        <v>66.165004504014547</v>
      </c>
      <c r="J523" s="66">
        <v>67.573804159386384</v>
      </c>
      <c r="K523" s="66">
        <v>65.805517695402443</v>
      </c>
      <c r="L523" s="66">
        <v>67.029716016622089</v>
      </c>
      <c r="M523" s="66">
        <v>26229560.540492367</v>
      </c>
      <c r="N523" s="66" t="s">
        <v>698</v>
      </c>
      <c r="O523" s="25">
        <f t="shared" si="13"/>
        <v>-1.2900420350775654E-2</v>
      </c>
    </row>
    <row r="524" spans="1:15">
      <c r="A524" s="65">
        <v>485.14885844551952</v>
      </c>
      <c r="B524" s="65">
        <v>488.72377501996851</v>
      </c>
      <c r="C524" s="65">
        <v>481.07880107128534</v>
      </c>
      <c r="D524" s="65">
        <v>487.62456244444547</v>
      </c>
      <c r="E524" s="65">
        <v>8645183.3536180388</v>
      </c>
      <c r="F524" s="65" t="s">
        <v>699</v>
      </c>
      <c r="G524" s="25">
        <f t="shared" si="12"/>
        <v>-5.0770699214069959E-3</v>
      </c>
      <c r="I524" s="66">
        <v>67.360055246157543</v>
      </c>
      <c r="J524" s="66">
        <v>67.690394475693012</v>
      </c>
      <c r="K524" s="66">
        <v>65.766654256633558</v>
      </c>
      <c r="L524" s="66">
        <v>66.582786470779993</v>
      </c>
      <c r="M524" s="66">
        <v>23173219.57420814</v>
      </c>
      <c r="N524" s="66" t="s">
        <v>699</v>
      </c>
      <c r="O524" s="25">
        <f t="shared" si="13"/>
        <v>1.1673719538888072E-2</v>
      </c>
    </row>
    <row r="525" spans="1:15">
      <c r="A525" s="65">
        <v>494.18022663360125</v>
      </c>
      <c r="B525" s="65">
        <v>504.9445876209312</v>
      </c>
      <c r="C525" s="65">
        <v>490.93210298701047</v>
      </c>
      <c r="D525" s="65">
        <v>502.90460752581623</v>
      </c>
      <c r="E525" s="65">
        <v>7007316.9116850803</v>
      </c>
      <c r="F525" s="65" t="s">
        <v>700</v>
      </c>
      <c r="G525" s="25">
        <f t="shared" si="12"/>
        <v>-1.7347983616887275E-2</v>
      </c>
      <c r="I525" s="66">
        <v>66.028982468323477</v>
      </c>
      <c r="J525" s="66">
        <v>66.169862433860672</v>
      </c>
      <c r="K525" s="66">
        <v>64.804784147103831</v>
      </c>
      <c r="L525" s="66">
        <v>65.096259937870414</v>
      </c>
      <c r="M525" s="66">
        <v>16978329.785073008</v>
      </c>
      <c r="N525" s="66" t="s">
        <v>700</v>
      </c>
      <c r="O525" s="25">
        <f t="shared" si="13"/>
        <v>1.4328358208955061E-2</v>
      </c>
    </row>
    <row r="526" spans="1:15">
      <c r="A526" s="65">
        <v>501.01316967063684</v>
      </c>
      <c r="B526" s="65">
        <v>503.7099045225869</v>
      </c>
      <c r="C526" s="65">
        <v>498.41368047176462</v>
      </c>
      <c r="D526" s="65">
        <v>499.57726135125984</v>
      </c>
      <c r="E526" s="65">
        <v>5420263.289077281</v>
      </c>
      <c r="F526" s="65" t="s">
        <v>701</v>
      </c>
      <c r="G526" s="25">
        <f t="shared" si="12"/>
        <v>2.8742467491278401E-3</v>
      </c>
      <c r="I526" s="66">
        <v>64.843647585872702</v>
      </c>
      <c r="J526" s="66">
        <v>65.688927379095801</v>
      </c>
      <c r="K526" s="66">
        <v>64.717341409873853</v>
      </c>
      <c r="L526" s="66">
        <v>65.582052922481395</v>
      </c>
      <c r="M526" s="66">
        <v>16032390.846971635</v>
      </c>
      <c r="N526" s="66" t="s">
        <v>701</v>
      </c>
      <c r="O526" s="25">
        <f t="shared" si="13"/>
        <v>-1.1259259259259413E-2</v>
      </c>
    </row>
    <row r="527" spans="1:15">
      <c r="A527" s="65">
        <v>493.23945911400943</v>
      </c>
      <c r="B527" s="65">
        <v>498.12154739989137</v>
      </c>
      <c r="C527" s="65">
        <v>490.10521785136922</v>
      </c>
      <c r="D527" s="65">
        <v>497.1708770643038</v>
      </c>
      <c r="E527" s="65">
        <v>3855267.0287485314</v>
      </c>
      <c r="F527" s="65" t="s">
        <v>702</v>
      </c>
      <c r="G527" s="25">
        <f t="shared" si="12"/>
        <v>-7.9075789264017038E-3</v>
      </c>
      <c r="I527" s="66">
        <v>65.756938396941351</v>
      </c>
      <c r="J527" s="66">
        <v>65.902676292324628</v>
      </c>
      <c r="K527" s="66">
        <v>64.474444917568377</v>
      </c>
      <c r="L527" s="66">
        <v>64.591035233875004</v>
      </c>
      <c r="M527" s="66">
        <v>13645689.028030196</v>
      </c>
      <c r="N527" s="66" t="s">
        <v>702</v>
      </c>
      <c r="O527" s="25">
        <f t="shared" si="13"/>
        <v>1.8050541516245744E-2</v>
      </c>
    </row>
    <row r="528" spans="1:15">
      <c r="A528" s="65">
        <v>495.8339969048838</v>
      </c>
      <c r="B528" s="65">
        <v>497.87892840799663</v>
      </c>
      <c r="C528" s="65">
        <v>493.92730871307106</v>
      </c>
      <c r="D528" s="65">
        <v>496.9431122964026</v>
      </c>
      <c r="E528" s="65">
        <v>3126563.1930788858</v>
      </c>
      <c r="F528" s="65" t="s">
        <v>703</v>
      </c>
      <c r="G528" s="25">
        <f t="shared" si="12"/>
        <v>-2.2318759714637926E-3</v>
      </c>
      <c r="I528" s="66">
        <v>64.93109032310268</v>
      </c>
      <c r="J528" s="66">
        <v>65.120549587100967</v>
      </c>
      <c r="K528" s="66">
        <v>64.503592496645027</v>
      </c>
      <c r="L528" s="66">
        <v>64.979669621563772</v>
      </c>
      <c r="M528" s="66">
        <v>12495191.763341259</v>
      </c>
      <c r="N528" s="66" t="s">
        <v>703</v>
      </c>
      <c r="O528" s="25">
        <f t="shared" si="13"/>
        <v>-7.4760765550230257E-4</v>
      </c>
    </row>
    <row r="529" spans="1:15">
      <c r="A529" s="65">
        <v>495.46759271304273</v>
      </c>
      <c r="B529" s="65">
        <v>497.99776219994504</v>
      </c>
      <c r="C529" s="65">
        <v>492.83344365818562</v>
      </c>
      <c r="D529" s="65">
        <v>493.51673796188913</v>
      </c>
      <c r="E529" s="65">
        <v>3671666.7275020173</v>
      </c>
      <c r="F529" s="65" t="s">
        <v>704</v>
      </c>
      <c r="G529" s="25">
        <f t="shared" si="12"/>
        <v>3.9529657275865215E-3</v>
      </c>
      <c r="I529" s="66">
        <v>65.144839236331507</v>
      </c>
      <c r="J529" s="66">
        <v>65.203134394484835</v>
      </c>
      <c r="K529" s="66">
        <v>64.134389828340687</v>
      </c>
      <c r="L529" s="66">
        <v>64.192684986494001</v>
      </c>
      <c r="M529" s="66">
        <v>13925757.913975419</v>
      </c>
      <c r="N529" s="66" t="s">
        <v>704</v>
      </c>
      <c r="O529" s="25">
        <f t="shared" si="13"/>
        <v>1.4832753140608501E-2</v>
      </c>
    </row>
    <row r="530" spans="1:15">
      <c r="A530" s="65">
        <v>489.97152983542719</v>
      </c>
      <c r="B530" s="65">
        <v>498.25028400783549</v>
      </c>
      <c r="C530" s="65">
        <v>489.11988765979675</v>
      </c>
      <c r="D530" s="65">
        <v>492.71460986623714</v>
      </c>
      <c r="E530" s="65">
        <v>5702015.4695894197</v>
      </c>
      <c r="F530" s="65" t="s">
        <v>705</v>
      </c>
      <c r="G530" s="25">
        <f t="shared" si="12"/>
        <v>-5.5672796703849503E-3</v>
      </c>
      <c r="I530" s="66">
        <v>64.192684986494001</v>
      </c>
      <c r="J530" s="66">
        <v>64.989385481256008</v>
      </c>
      <c r="K530" s="66">
        <v>63.988651932957396</v>
      </c>
      <c r="L530" s="66">
        <v>64.163537407417351</v>
      </c>
      <c r="M530" s="66">
        <v>16806112.394846596</v>
      </c>
      <c r="N530" s="66" t="s">
        <v>705</v>
      </c>
      <c r="O530" s="25">
        <f t="shared" si="13"/>
        <v>4.542701393093207E-4</v>
      </c>
    </row>
    <row r="531" spans="1:15">
      <c r="A531" s="65">
        <v>492.45713665034884</v>
      </c>
      <c r="B531" s="65">
        <v>499.79512330316527</v>
      </c>
      <c r="C531" s="65">
        <v>491.71937685866897</v>
      </c>
      <c r="D531" s="65">
        <v>499.52774727128127</v>
      </c>
      <c r="E531" s="65">
        <v>6217829.3554796651</v>
      </c>
      <c r="F531" s="65" t="s">
        <v>706</v>
      </c>
      <c r="G531" s="25">
        <f t="shared" si="12"/>
        <v>-1.4154590329679029E-2</v>
      </c>
      <c r="I531" s="66">
        <v>63.940072634496303</v>
      </c>
      <c r="J531" s="66">
        <v>64.090668459725705</v>
      </c>
      <c r="K531" s="66">
        <v>62.992776314504894</v>
      </c>
      <c r="L531" s="66">
        <v>63.240530736656503</v>
      </c>
      <c r="M531" s="66">
        <v>13631905.379002489</v>
      </c>
      <c r="N531" s="66" t="s">
        <v>706</v>
      </c>
      <c r="O531" s="25">
        <f t="shared" si="13"/>
        <v>1.1061607005684371E-2</v>
      </c>
    </row>
    <row r="532" spans="1:15">
      <c r="A532" s="65">
        <v>503.99391728534363</v>
      </c>
      <c r="B532" s="65">
        <v>506.67758042017931</v>
      </c>
      <c r="C532" s="65">
        <v>503.548290565537</v>
      </c>
      <c r="D532" s="65">
        <v>504.70692003703437</v>
      </c>
      <c r="E532" s="65">
        <v>3146625.1633392838</v>
      </c>
      <c r="F532" s="65" t="s">
        <v>707</v>
      </c>
      <c r="G532" s="25">
        <f t="shared" si="12"/>
        <v>-1.4127065102226277E-3</v>
      </c>
      <c r="I532" s="66">
        <v>63.11422456065764</v>
      </c>
      <c r="J532" s="66">
        <v>64.163537407417351</v>
      </c>
      <c r="K532" s="66">
        <v>63.002492174197123</v>
      </c>
      <c r="L532" s="66">
        <v>63.570869966191964</v>
      </c>
      <c r="M532" s="66">
        <v>12155653.101349074</v>
      </c>
      <c r="N532" s="66" t="s">
        <v>707</v>
      </c>
      <c r="O532" s="25">
        <f t="shared" si="13"/>
        <v>-7.1832492740334652E-3</v>
      </c>
    </row>
    <row r="533" spans="1:15">
      <c r="A533" s="65">
        <v>504.83565664497849</v>
      </c>
      <c r="B533" s="65">
        <v>505.36050589275072</v>
      </c>
      <c r="C533" s="65">
        <v>501.51821328641773</v>
      </c>
      <c r="D533" s="65">
        <v>503.33042861363151</v>
      </c>
      <c r="E533" s="65">
        <v>4385549.5264015486</v>
      </c>
      <c r="F533" s="65" t="s">
        <v>708</v>
      </c>
      <c r="G533" s="25">
        <f t="shared" si="12"/>
        <v>2.9905365258622307E-3</v>
      </c>
      <c r="I533" s="66">
        <v>62.92962322650547</v>
      </c>
      <c r="J533" s="66">
        <v>63.434847930500894</v>
      </c>
      <c r="K533" s="66">
        <v>62.487551610509485</v>
      </c>
      <c r="L533" s="66">
        <v>63.395984491732008</v>
      </c>
      <c r="M533" s="66">
        <v>12139133.719113806</v>
      </c>
      <c r="N533" s="66" t="s">
        <v>708</v>
      </c>
      <c r="O533" s="25">
        <f t="shared" si="13"/>
        <v>-7.3563218390805263E-3</v>
      </c>
    </row>
    <row r="534" spans="1:15">
      <c r="A534" s="65">
        <v>499.64658106322975</v>
      </c>
      <c r="B534" s="65">
        <v>504.25139050123192</v>
      </c>
      <c r="C534" s="65">
        <v>498.66620227965507</v>
      </c>
      <c r="D534" s="65">
        <v>502.70655120590214</v>
      </c>
      <c r="E534" s="65">
        <v>4079079.1243142341</v>
      </c>
      <c r="F534" s="65" t="s">
        <v>709</v>
      </c>
      <c r="G534" s="25">
        <f t="shared" si="12"/>
        <v>-6.0869907808682733E-3</v>
      </c>
      <c r="I534" s="66">
        <v>63.434847930500894</v>
      </c>
      <c r="J534" s="66">
        <v>63.774903019728569</v>
      </c>
      <c r="K534" s="66">
        <v>62.978202524966569</v>
      </c>
      <c r="L534" s="66">
        <v>63.774903019728569</v>
      </c>
      <c r="M534" s="66">
        <v>14178541.514994977</v>
      </c>
      <c r="N534" s="66" t="s">
        <v>709</v>
      </c>
      <c r="O534" s="25">
        <f t="shared" si="13"/>
        <v>-5.332114564289947E-3</v>
      </c>
    </row>
    <row r="535" spans="1:15">
      <c r="A535" s="65">
        <v>503.0036356857733</v>
      </c>
      <c r="B535" s="65">
        <v>509.19289568308812</v>
      </c>
      <c r="C535" s="65">
        <v>500.95474305626215</v>
      </c>
      <c r="D535" s="65">
        <v>508.26203097949195</v>
      </c>
      <c r="E535" s="65">
        <v>5105466.9724182151</v>
      </c>
      <c r="F535" s="65" t="s">
        <v>710</v>
      </c>
      <c r="G535" s="25">
        <f t="shared" si="12"/>
        <v>-1.0345835362883582E-2</v>
      </c>
      <c r="I535" s="66">
        <v>63.337689333578687</v>
      </c>
      <c r="J535" s="66">
        <v>63.9352147046502</v>
      </c>
      <c r="K535" s="66">
        <v>62.881043928044377</v>
      </c>
      <c r="L535" s="66">
        <v>62.958770805582134</v>
      </c>
      <c r="M535" s="66">
        <v>11453647.286520153</v>
      </c>
      <c r="N535" s="66" t="s">
        <v>710</v>
      </c>
      <c r="O535" s="25">
        <f t="shared" si="13"/>
        <v>6.0185185185184231E-3</v>
      </c>
    </row>
    <row r="536" spans="1:15">
      <c r="A536" s="65">
        <v>506.81621984411925</v>
      </c>
      <c r="B536" s="65">
        <v>510.10395475469284</v>
      </c>
      <c r="C536" s="65">
        <v>506.588455076218</v>
      </c>
      <c r="D536" s="65">
        <v>508.5690182753587</v>
      </c>
      <c r="E536" s="65">
        <v>5033220.8557267217</v>
      </c>
      <c r="F536" s="65" t="s">
        <v>711</v>
      </c>
      <c r="G536" s="25">
        <f t="shared" si="12"/>
        <v>-3.4465301035904172E-3</v>
      </c>
      <c r="I536" s="66">
        <v>63.357121052963123</v>
      </c>
      <c r="J536" s="66">
        <v>63.532006527423086</v>
      </c>
      <c r="K536" s="66">
        <v>62.574994347739469</v>
      </c>
      <c r="L536" s="66">
        <v>62.638147435738894</v>
      </c>
      <c r="M536" s="66">
        <v>12874017.736193405</v>
      </c>
      <c r="N536" s="66" t="s">
        <v>711</v>
      </c>
      <c r="O536" s="25">
        <f t="shared" si="13"/>
        <v>1.147820691794621E-2</v>
      </c>
    </row>
    <row r="537" spans="1:15">
      <c r="A537" s="65">
        <v>513.99576144100433</v>
      </c>
      <c r="B537" s="65">
        <v>514.3522628168497</v>
      </c>
      <c r="C537" s="65">
        <v>511.57947433805271</v>
      </c>
      <c r="D537" s="65">
        <v>512.30237990573903</v>
      </c>
      <c r="E537" s="65">
        <v>4205167.5016547516</v>
      </c>
      <c r="F537" s="65" t="s">
        <v>712</v>
      </c>
      <c r="G537" s="25">
        <f t="shared" si="12"/>
        <v>3.3054336690312436E-3</v>
      </c>
      <c r="I537" s="66">
        <v>62.443830241894496</v>
      </c>
      <c r="J537" s="66">
        <v>62.482693680663381</v>
      </c>
      <c r="K537" s="66">
        <v>61.588834588979189</v>
      </c>
      <c r="L537" s="66">
        <v>61.627698027748067</v>
      </c>
      <c r="M537" s="66">
        <v>9289004.046885673</v>
      </c>
      <c r="N537" s="66" t="s">
        <v>712</v>
      </c>
      <c r="O537" s="25">
        <f t="shared" si="13"/>
        <v>1.3242944978716586E-2</v>
      </c>
    </row>
    <row r="538" spans="1:15">
      <c r="A538" s="65">
        <v>511.09423635426322</v>
      </c>
      <c r="B538" s="65">
        <v>514.07498396897006</v>
      </c>
      <c r="C538" s="65">
        <v>509.34143792302365</v>
      </c>
      <c r="D538" s="65">
        <v>511.5596687060613</v>
      </c>
      <c r="E538" s="65">
        <v>7847791.9849986648</v>
      </c>
      <c r="F538" s="65" t="s">
        <v>713</v>
      </c>
      <c r="G538" s="25">
        <f t="shared" si="12"/>
        <v>-9.0983003600608736E-4</v>
      </c>
      <c r="I538" s="66">
        <v>61.608266308363625</v>
      </c>
      <c r="J538" s="66">
        <v>62.123206872051256</v>
      </c>
      <c r="K538" s="66">
        <v>61.549971150210311</v>
      </c>
      <c r="L538" s="66">
        <v>61.977468976667964</v>
      </c>
      <c r="M538" s="66">
        <v>8447549.9441111181</v>
      </c>
      <c r="N538" s="66" t="s">
        <v>713</v>
      </c>
      <c r="O538" s="25">
        <f t="shared" si="13"/>
        <v>-5.9570465590217392E-3</v>
      </c>
    </row>
    <row r="539" spans="1:15">
      <c r="A539" s="65">
        <v>509.54939705893338</v>
      </c>
      <c r="B539" s="65">
        <v>512.99557702543825</v>
      </c>
      <c r="C539" s="65">
        <v>507.1925268519559</v>
      </c>
      <c r="D539" s="65">
        <v>507.50941696381847</v>
      </c>
      <c r="E539" s="65">
        <v>5289576.2198071387</v>
      </c>
      <c r="F539" s="65" t="s">
        <v>714</v>
      </c>
      <c r="G539" s="25">
        <f t="shared" si="12"/>
        <v>4.0195906261584202E-3</v>
      </c>
      <c r="I539" s="66">
        <v>61.890026239437994</v>
      </c>
      <c r="J539" s="66">
        <v>62.293234416665094</v>
      </c>
      <c r="K539" s="66">
        <v>61.583976659133079</v>
      </c>
      <c r="L539" s="66">
        <v>61.656845606824724</v>
      </c>
      <c r="M539" s="66">
        <v>9470614.3269737046</v>
      </c>
      <c r="N539" s="66" t="s">
        <v>714</v>
      </c>
      <c r="O539" s="25">
        <f t="shared" si="13"/>
        <v>3.7819098644815696E-3</v>
      </c>
    </row>
    <row r="540" spans="1:15">
      <c r="A540" s="65">
        <v>506.42010720429101</v>
      </c>
      <c r="B540" s="65">
        <v>511.76762784197103</v>
      </c>
      <c r="C540" s="65">
        <v>505.86059810053376</v>
      </c>
      <c r="D540" s="65">
        <v>510.98530537831044</v>
      </c>
      <c r="E540" s="65">
        <v>5600738.2166913431</v>
      </c>
      <c r="F540" s="65" t="s">
        <v>715</v>
      </c>
      <c r="G540" s="25">
        <f t="shared" si="12"/>
        <v>-8.9341085271318343E-3</v>
      </c>
      <c r="I540" s="66">
        <v>61.307074657904828</v>
      </c>
      <c r="J540" s="66">
        <v>61.656845606824724</v>
      </c>
      <c r="K540" s="66">
        <v>60.622106549603359</v>
      </c>
      <c r="L540" s="66">
        <v>60.860145112062732</v>
      </c>
      <c r="M540" s="66">
        <v>11768821.660894066</v>
      </c>
      <c r="N540" s="66" t="s">
        <v>715</v>
      </c>
      <c r="O540" s="25">
        <f t="shared" si="13"/>
        <v>7.3435504469987478E-3</v>
      </c>
    </row>
    <row r="541" spans="1:15">
      <c r="A541" s="65">
        <v>510.79715187439206</v>
      </c>
      <c r="B541" s="65">
        <v>511.16850747423092</v>
      </c>
      <c r="C541" s="65">
        <v>506.71719168416217</v>
      </c>
      <c r="D541" s="65">
        <v>507.00437334803757</v>
      </c>
      <c r="E541" s="65">
        <v>3480750.3254583725</v>
      </c>
      <c r="F541" s="65" t="s">
        <v>716</v>
      </c>
      <c r="G541" s="25">
        <f t="shared" si="12"/>
        <v>7.480760967225164E-3</v>
      </c>
      <c r="I541" s="66">
        <v>61.044746446214894</v>
      </c>
      <c r="J541" s="66">
        <v>61.073894025291558</v>
      </c>
      <c r="K541" s="66">
        <v>60.515232092988938</v>
      </c>
      <c r="L541" s="66">
        <v>60.937871989600481</v>
      </c>
      <c r="M541" s="66">
        <v>12279311.741763789</v>
      </c>
      <c r="N541" s="66" t="s">
        <v>716</v>
      </c>
      <c r="O541" s="25">
        <f t="shared" si="13"/>
        <v>1.7538265306122902E-3</v>
      </c>
    </row>
    <row r="542" spans="1:15">
      <c r="A542" s="65">
        <v>505.92496640450588</v>
      </c>
      <c r="B542" s="65">
        <v>507.03408179602468</v>
      </c>
      <c r="C542" s="65">
        <v>505.57836784465627</v>
      </c>
      <c r="D542" s="65">
        <v>506.24185651636839</v>
      </c>
      <c r="E542" s="65">
        <v>3176695.3979199519</v>
      </c>
      <c r="F542" s="65" t="s">
        <v>717</v>
      </c>
      <c r="G542" s="25">
        <f t="shared" si="12"/>
        <v>-6.2596584573848535E-4</v>
      </c>
      <c r="I542" s="66">
        <v>60.908724410523824</v>
      </c>
      <c r="J542" s="66">
        <v>61.433380833903676</v>
      </c>
      <c r="K542" s="66">
        <v>60.811565813601632</v>
      </c>
      <c r="L542" s="66">
        <v>61.268211219135949</v>
      </c>
      <c r="M542" s="66">
        <v>12001199.450561821</v>
      </c>
      <c r="N542" s="66" t="s">
        <v>717</v>
      </c>
      <c r="O542" s="25">
        <f t="shared" si="13"/>
        <v>-5.867427846495521E-3</v>
      </c>
    </row>
    <row r="543" spans="1:15">
      <c r="A543" s="65">
        <v>505.37040870874642</v>
      </c>
      <c r="B543" s="65">
        <v>506.23690510837054</v>
      </c>
      <c r="C543" s="65">
        <v>504.3702242931804</v>
      </c>
      <c r="D543" s="65">
        <v>505.53875658067341</v>
      </c>
      <c r="E543" s="65">
        <v>3174227.4130547778</v>
      </c>
      <c r="F543" s="65" t="s">
        <v>718</v>
      </c>
      <c r="G543" s="25">
        <f t="shared" si="12"/>
        <v>-3.330068560235544E-4</v>
      </c>
      <c r="I543" s="66">
        <v>61.17105262221375</v>
      </c>
      <c r="J543" s="66">
        <v>61.78315178282358</v>
      </c>
      <c r="K543" s="66">
        <v>61.054462305907123</v>
      </c>
      <c r="L543" s="66">
        <v>61.78315178282358</v>
      </c>
      <c r="M543" s="66">
        <v>11563706.512761997</v>
      </c>
      <c r="N543" s="66" t="s">
        <v>718</v>
      </c>
      <c r="O543" s="25">
        <f t="shared" si="13"/>
        <v>-9.9072181160559936E-3</v>
      </c>
    </row>
    <row r="544" spans="1:15">
      <c r="A544" s="65">
        <v>504.88517072495694</v>
      </c>
      <c r="B544" s="65">
        <v>505.14264394084529</v>
      </c>
      <c r="C544" s="65">
        <v>501.56772736639624</v>
      </c>
      <c r="D544" s="65">
        <v>502.20150759012125</v>
      </c>
      <c r="E544" s="65">
        <v>3187903.3210044717</v>
      </c>
      <c r="F544" s="65" t="s">
        <v>719</v>
      </c>
      <c r="G544" s="25">
        <f t="shared" si="12"/>
        <v>5.3437974483860895E-3</v>
      </c>
      <c r="I544" s="66">
        <v>61.948321397591307</v>
      </c>
      <c r="J544" s="66">
        <v>61.977468976667964</v>
      </c>
      <c r="K544" s="66">
        <v>61.205058131136518</v>
      </c>
      <c r="L544" s="66">
        <v>61.530539430825868</v>
      </c>
      <c r="M544" s="66">
        <v>12078663.516927736</v>
      </c>
      <c r="N544" s="66" t="s">
        <v>719</v>
      </c>
      <c r="O544" s="25">
        <f t="shared" si="13"/>
        <v>6.7898310437390919E-3</v>
      </c>
    </row>
    <row r="545" spans="1:15">
      <c r="A545" s="65">
        <v>501.88461747825875</v>
      </c>
      <c r="B545" s="65">
        <v>502.21141040611695</v>
      </c>
      <c r="C545" s="65">
        <v>499.31978813537154</v>
      </c>
      <c r="D545" s="65">
        <v>499.31978813537154</v>
      </c>
      <c r="E545" s="65">
        <v>2151999.9977022349</v>
      </c>
      <c r="F545" s="65" t="s">
        <v>720</v>
      </c>
      <c r="G545" s="25">
        <f t="shared" si="12"/>
        <v>5.1366467018363338E-3</v>
      </c>
      <c r="I545" s="66">
        <v>61.530539430825868</v>
      </c>
      <c r="J545" s="66">
        <v>61.856020730515226</v>
      </c>
      <c r="K545" s="66">
        <v>61.141905043137093</v>
      </c>
      <c r="L545" s="66">
        <v>61.394517395134798</v>
      </c>
      <c r="M545" s="66">
        <v>9421912.5121071395</v>
      </c>
      <c r="N545" s="66" t="s">
        <v>720</v>
      </c>
      <c r="O545" s="25">
        <f t="shared" si="13"/>
        <v>2.2155404336128282E-3</v>
      </c>
    </row>
    <row r="546" spans="1:15">
      <c r="A546" s="65">
        <v>499.62677543123829</v>
      </c>
      <c r="B546" s="65">
        <v>499.70599795920396</v>
      </c>
      <c r="C546" s="65">
        <v>494.75458996135211</v>
      </c>
      <c r="D546" s="65">
        <v>494.83381248931772</v>
      </c>
      <c r="E546" s="65">
        <v>4251399.8056982309</v>
      </c>
      <c r="F546" s="65" t="s">
        <v>721</v>
      </c>
      <c r="G546" s="25">
        <f t="shared" si="12"/>
        <v>9.6860053233003285E-3</v>
      </c>
      <c r="I546" s="66">
        <v>61.35565395636592</v>
      </c>
      <c r="J546" s="66">
        <v>61.579118729286975</v>
      </c>
      <c r="K546" s="66">
        <v>61.069036095445448</v>
      </c>
      <c r="L546" s="66">
        <v>61.462528412980333</v>
      </c>
      <c r="M546" s="66">
        <v>9137797.6640705243</v>
      </c>
      <c r="N546" s="66" t="s">
        <v>721</v>
      </c>
      <c r="O546" s="25">
        <f t="shared" si="13"/>
        <v>-1.7388555169143283E-3</v>
      </c>
    </row>
    <row r="547" spans="1:15">
      <c r="A547" s="65">
        <v>496.40836023263461</v>
      </c>
      <c r="B547" s="65">
        <v>496.8043738443028</v>
      </c>
      <c r="C547" s="65">
        <v>493.75440554578603</v>
      </c>
      <c r="D547" s="65">
        <v>496.6163193685444</v>
      </c>
      <c r="E547" s="65">
        <v>4411397.7295905249</v>
      </c>
      <c r="F547" s="65" t="s">
        <v>722</v>
      </c>
      <c r="G547" s="25">
        <f t="shared" si="12"/>
        <v>-4.1875211868636075E-4</v>
      </c>
      <c r="I547" s="66">
        <v>61.481960132364776</v>
      </c>
      <c r="J547" s="66">
        <v>62.47297782097116</v>
      </c>
      <c r="K547" s="66">
        <v>61.326506377289263</v>
      </c>
      <c r="L547" s="66">
        <v>62.210649609281234</v>
      </c>
      <c r="M547" s="66">
        <v>10326786.633235134</v>
      </c>
      <c r="N547" s="66" t="s">
        <v>722</v>
      </c>
      <c r="O547" s="25">
        <f t="shared" si="13"/>
        <v>-1.1713259409651733E-2</v>
      </c>
    </row>
    <row r="548" spans="1:15">
      <c r="A548" s="65">
        <v>495.2695363931287</v>
      </c>
      <c r="B548" s="65">
        <v>500.81511335072275</v>
      </c>
      <c r="C548" s="65">
        <v>494.16042100160985</v>
      </c>
      <c r="D548" s="65">
        <v>498.08193613590856</v>
      </c>
      <c r="E548" s="65">
        <v>5653514.1139943674</v>
      </c>
      <c r="F548" s="65" t="s">
        <v>723</v>
      </c>
      <c r="G548" s="25">
        <f t="shared" si="12"/>
        <v>-5.6464600274370724E-3</v>
      </c>
      <c r="I548" s="66">
        <v>61.841446940976894</v>
      </c>
      <c r="J548" s="66">
        <v>62.239797188357898</v>
      </c>
      <c r="K548" s="66">
        <v>61.715140764978045</v>
      </c>
      <c r="L548" s="66">
        <v>62.084343433282378</v>
      </c>
      <c r="M548" s="66">
        <v>17866485.879680913</v>
      </c>
      <c r="N548" s="66" t="s">
        <v>723</v>
      </c>
      <c r="O548" s="25">
        <f t="shared" si="13"/>
        <v>-3.9123630672925902E-3</v>
      </c>
    </row>
    <row r="549" spans="1:15">
      <c r="A549" s="65">
        <v>497.18721671069676</v>
      </c>
      <c r="B549" s="65">
        <v>497.80888575213316</v>
      </c>
      <c r="C549" s="65">
        <v>495.67744903863684</v>
      </c>
      <c r="D549" s="65">
        <v>496.34845689288568</v>
      </c>
      <c r="E549" s="65">
        <v>3668161.832107625</v>
      </c>
      <c r="F549" s="65" t="s">
        <v>724</v>
      </c>
      <c r="G549" s="25">
        <f t="shared" si="12"/>
        <v>1.6898608349902311E-3</v>
      </c>
      <c r="I549" s="66">
        <v>62.094059292974599</v>
      </c>
      <c r="J549" s="66">
        <v>62.443830241894496</v>
      </c>
      <c r="K549" s="66">
        <v>61.812299361900237</v>
      </c>
      <c r="L549" s="66">
        <v>62.230081328665669</v>
      </c>
      <c r="M549" s="66">
        <v>8742533.6193380393</v>
      </c>
      <c r="N549" s="66" t="s">
        <v>724</v>
      </c>
      <c r="O549" s="25">
        <f t="shared" si="13"/>
        <v>-2.1857923497267118E-3</v>
      </c>
    </row>
    <row r="550" spans="1:15">
      <c r="A550" s="65">
        <v>496.41753123082304</v>
      </c>
      <c r="B550" s="65">
        <v>497.10827461019687</v>
      </c>
      <c r="C550" s="65">
        <v>494.26635899220179</v>
      </c>
      <c r="D550" s="65">
        <v>494.83868922082587</v>
      </c>
      <c r="E550" s="65">
        <v>3245619.2371071526</v>
      </c>
      <c r="F550" s="65" t="s">
        <v>725</v>
      </c>
      <c r="G550" s="25">
        <f t="shared" si="12"/>
        <v>3.1906195784392466E-3</v>
      </c>
      <c r="I550" s="66">
        <v>62.230081328665669</v>
      </c>
      <c r="J550" s="66">
        <v>62.28837648681899</v>
      </c>
      <c r="K550" s="66">
        <v>61.433380833903676</v>
      </c>
      <c r="L550" s="66">
        <v>61.598550448671411</v>
      </c>
      <c r="M550" s="66">
        <v>9677478.1623592153</v>
      </c>
      <c r="N550" s="66" t="s">
        <v>725</v>
      </c>
      <c r="O550" s="25">
        <f t="shared" si="13"/>
        <v>1.0252365930599305E-2</v>
      </c>
    </row>
    <row r="551" spans="1:15">
      <c r="A551" s="65">
        <v>495.86493652732401</v>
      </c>
      <c r="B551" s="65">
        <v>496.18070492932344</v>
      </c>
      <c r="C551" s="65">
        <v>493.70389652614028</v>
      </c>
      <c r="D551" s="65">
        <v>495.07551552232536</v>
      </c>
      <c r="E551" s="65">
        <v>6421642.1502602752</v>
      </c>
      <c r="F551" s="65" t="s">
        <v>726</v>
      </c>
      <c r="G551" s="25">
        <f t="shared" si="12"/>
        <v>1.5945466504554417E-3</v>
      </c>
      <c r="I551" s="66">
        <v>62.026048275129071</v>
      </c>
      <c r="J551" s="66">
        <v>62.249513048050105</v>
      </c>
      <c r="K551" s="66">
        <v>61.705424905285824</v>
      </c>
      <c r="L551" s="66">
        <v>62.118348942205152</v>
      </c>
      <c r="M551" s="66">
        <v>10855233.951603843</v>
      </c>
      <c r="N551" s="66" t="s">
        <v>726</v>
      </c>
      <c r="O551" s="25">
        <f t="shared" si="13"/>
        <v>-1.4858841010401136E-3</v>
      </c>
    </row>
    <row r="552" spans="1:15">
      <c r="A552" s="65">
        <v>493.81244191432762</v>
      </c>
      <c r="B552" s="65">
        <v>497.76892131375513</v>
      </c>
      <c r="C552" s="65">
        <v>493.81244191432762</v>
      </c>
      <c r="D552" s="65">
        <v>495.39128392432485</v>
      </c>
      <c r="E552" s="65">
        <v>7116956.8131896658</v>
      </c>
      <c r="F552" s="65" t="s">
        <v>727</v>
      </c>
      <c r="G552" s="25">
        <f t="shared" si="12"/>
        <v>-3.1870605342310121E-3</v>
      </c>
      <c r="I552" s="66">
        <v>62.15235445112792</v>
      </c>
      <c r="J552" s="66">
        <v>62.234939258511787</v>
      </c>
      <c r="K552" s="66">
        <v>61.122473323752651</v>
      </c>
      <c r="L552" s="66">
        <v>61.200200201290414</v>
      </c>
      <c r="M552" s="66">
        <v>13598852.205101969</v>
      </c>
      <c r="N552" s="66" t="s">
        <v>727</v>
      </c>
      <c r="O552" s="25">
        <f t="shared" si="13"/>
        <v>1.5558025083346472E-2</v>
      </c>
    </row>
    <row r="553" spans="1:15">
      <c r="A553" s="65">
        <v>495.14458986026278</v>
      </c>
      <c r="B553" s="65">
        <v>496.56130453135847</v>
      </c>
      <c r="C553" s="65">
        <v>494.22688794195193</v>
      </c>
      <c r="D553" s="65">
        <v>495.46035826226228</v>
      </c>
      <c r="E553" s="65">
        <v>4406103.1793878563</v>
      </c>
      <c r="F553" s="65" t="s">
        <v>728</v>
      </c>
      <c r="G553" s="25">
        <f t="shared" si="12"/>
        <v>-6.3732324238208182E-4</v>
      </c>
      <c r="I553" s="66">
        <v>60.986451288061588</v>
      </c>
      <c r="J553" s="66">
        <v>61.307074657904828</v>
      </c>
      <c r="K553" s="66">
        <v>60.413215566220636</v>
      </c>
      <c r="L553" s="66">
        <v>60.413215566220636</v>
      </c>
      <c r="M553" s="66">
        <v>29109306.737569086</v>
      </c>
      <c r="N553" s="66" t="s">
        <v>728</v>
      </c>
      <c r="O553" s="25">
        <f t="shared" si="13"/>
        <v>9.4885815374718963E-3</v>
      </c>
    </row>
    <row r="554" spans="1:15">
      <c r="A554" s="65">
        <v>496.23004374213588</v>
      </c>
      <c r="B554" s="65">
        <v>499.05222383500598</v>
      </c>
      <c r="C554" s="65">
        <v>494.56239186907629</v>
      </c>
      <c r="D554" s="65">
        <v>498.46015808125702</v>
      </c>
      <c r="E554" s="65">
        <v>4875337.2099678321</v>
      </c>
      <c r="F554" s="65" t="s">
        <v>729</v>
      </c>
      <c r="G554" s="25">
        <f t="shared" si="12"/>
        <v>-4.4740072059231695E-3</v>
      </c>
      <c r="I554" s="66">
        <v>60.413215566220636</v>
      </c>
      <c r="J554" s="66">
        <v>60.957303708984924</v>
      </c>
      <c r="K554" s="66">
        <v>60.184892863453477</v>
      </c>
      <c r="L554" s="66">
        <v>60.626964479449462</v>
      </c>
      <c r="M554" s="66">
        <v>13695414.94167085</v>
      </c>
      <c r="N554" s="66" t="s">
        <v>729</v>
      </c>
      <c r="O554" s="25">
        <f t="shared" si="13"/>
        <v>-3.5256410256410131E-3</v>
      </c>
    </row>
    <row r="555" spans="1:15">
      <c r="A555" s="65">
        <v>497.61153050088348</v>
      </c>
      <c r="B555" s="65">
        <v>497.68573607535336</v>
      </c>
      <c r="C555" s="65">
        <v>495.98334967807381</v>
      </c>
      <c r="D555" s="65">
        <v>496.39779570569812</v>
      </c>
      <c r="E555" s="65">
        <v>3477652.5866635391</v>
      </c>
      <c r="F555" s="65" t="s">
        <v>730</v>
      </c>
      <c r="G555" s="25">
        <f t="shared" si="12"/>
        <v>2.4450849816122222E-3</v>
      </c>
      <c r="I555" s="66">
        <v>60.85042925237051</v>
      </c>
      <c r="J555" s="66">
        <v>61.03503058652268</v>
      </c>
      <c r="K555" s="66">
        <v>60.665827918218341</v>
      </c>
      <c r="L555" s="66">
        <v>60.753270655448318</v>
      </c>
      <c r="M555" s="66">
        <v>10963168.816167582</v>
      </c>
      <c r="N555" s="66" t="s">
        <v>730</v>
      </c>
      <c r="O555" s="25">
        <f t="shared" si="13"/>
        <v>1.5992323684630438E-3</v>
      </c>
    </row>
    <row r="556" spans="1:15">
      <c r="A556" s="65">
        <v>496.28925031751078</v>
      </c>
      <c r="B556" s="65">
        <v>497.51285287525866</v>
      </c>
      <c r="C556" s="65">
        <v>491.32576574858194</v>
      </c>
      <c r="D556" s="65">
        <v>491.88822821464345</v>
      </c>
      <c r="E556" s="65">
        <v>4671311.2225920837</v>
      </c>
      <c r="F556" s="65" t="s">
        <v>731</v>
      </c>
      <c r="G556" s="25">
        <f t="shared" si="12"/>
        <v>8.9471994864387394E-3</v>
      </c>
      <c r="I556" s="66">
        <v>60.840713392678289</v>
      </c>
      <c r="J556" s="66">
        <v>61.107899534214326</v>
      </c>
      <c r="K556" s="66">
        <v>60.413215566220636</v>
      </c>
      <c r="L556" s="66">
        <v>60.597816900372798</v>
      </c>
      <c r="M556" s="66">
        <v>10840744.240506765</v>
      </c>
      <c r="N556" s="66" t="s">
        <v>731</v>
      </c>
      <c r="O556" s="25">
        <f t="shared" si="13"/>
        <v>4.0083373416708312E-3</v>
      </c>
    </row>
    <row r="557" spans="1:15">
      <c r="A557" s="65">
        <v>492.38161634276764</v>
      </c>
      <c r="B557" s="65">
        <v>492.44082291814249</v>
      </c>
      <c r="C557" s="65">
        <v>489.72718821345973</v>
      </c>
      <c r="D557" s="65">
        <v>490.68436118202055</v>
      </c>
      <c r="E557" s="65">
        <v>5889932.9642338268</v>
      </c>
      <c r="F557" s="65" t="s">
        <v>732</v>
      </c>
      <c r="G557" s="25">
        <f t="shared" si="12"/>
        <v>3.4589550738044483E-3</v>
      </c>
      <c r="I557" s="66">
        <v>60.772702374832754</v>
      </c>
      <c r="J557" s="66">
        <v>60.908724410523824</v>
      </c>
      <c r="K557" s="66">
        <v>60.325772828990665</v>
      </c>
      <c r="L557" s="66">
        <v>60.607532760065027</v>
      </c>
      <c r="M557" s="66">
        <v>8418440.8370470777</v>
      </c>
      <c r="N557" s="66" t="s">
        <v>732</v>
      </c>
      <c r="O557" s="25">
        <f t="shared" si="13"/>
        <v>2.7252324462967437E-3</v>
      </c>
    </row>
    <row r="558" spans="1:15">
      <c r="A558" s="65">
        <v>491.98690584026826</v>
      </c>
      <c r="B558" s="65">
        <v>492.84540118320427</v>
      </c>
      <c r="C558" s="65">
        <v>489.50022967452264</v>
      </c>
      <c r="D558" s="65">
        <v>492.69738474476708</v>
      </c>
      <c r="E558" s="65">
        <v>8926926.3870325722</v>
      </c>
      <c r="F558" s="65" t="s">
        <v>733</v>
      </c>
      <c r="G558" s="25">
        <f t="shared" si="12"/>
        <v>-1.4420188263569722E-3</v>
      </c>
      <c r="I558" s="66">
        <v>60.728981006217744</v>
      </c>
      <c r="J558" s="66">
        <v>60.772365736258692</v>
      </c>
      <c r="K558" s="66">
        <v>60.20836424572628</v>
      </c>
      <c r="L558" s="66">
        <v>60.603647341654984</v>
      </c>
      <c r="M558" s="66">
        <v>10028873.283048222</v>
      </c>
      <c r="N558" s="66" t="s">
        <v>733</v>
      </c>
      <c r="O558" s="25">
        <f t="shared" si="13"/>
        <v>2.0680878141903225E-3</v>
      </c>
    </row>
    <row r="559" spans="1:15">
      <c r="A559" s="65">
        <v>491.05933615939489</v>
      </c>
      <c r="B559" s="65">
        <v>493.53614456257804</v>
      </c>
      <c r="C559" s="65">
        <v>490.14163424108398</v>
      </c>
      <c r="D559" s="65">
        <v>491.34550127370693</v>
      </c>
      <c r="E559" s="65">
        <v>3748354.2764423308</v>
      </c>
      <c r="F559" s="65" t="s">
        <v>734</v>
      </c>
      <c r="G559" s="25">
        <f t="shared" si="12"/>
        <v>-5.8241118229473976E-4</v>
      </c>
      <c r="I559" s="66">
        <v>60.622929443895408</v>
      </c>
      <c r="J559" s="66">
        <v>61.403854584632604</v>
      </c>
      <c r="K559" s="66">
        <v>60.434928947051269</v>
      </c>
      <c r="L559" s="66">
        <v>61.403854584632604</v>
      </c>
      <c r="M559" s="66">
        <v>9925836.8000326511</v>
      </c>
      <c r="N559" s="66" t="s">
        <v>734</v>
      </c>
      <c r="O559" s="25">
        <f t="shared" si="13"/>
        <v>-1.2717852096090332E-2</v>
      </c>
    </row>
    <row r="560" spans="1:15">
      <c r="A560" s="65">
        <v>487.00368574621444</v>
      </c>
      <c r="B560" s="65">
        <v>487.13196665952677</v>
      </c>
      <c r="C560" s="65">
        <v>482.64114791734079</v>
      </c>
      <c r="D560" s="65">
        <v>484.49727405534384</v>
      </c>
      <c r="E560" s="65">
        <v>4082407.7134932731</v>
      </c>
      <c r="F560" s="65" t="s">
        <v>735</v>
      </c>
      <c r="G560" s="25">
        <f t="shared" si="12"/>
        <v>5.1732214505386676E-3</v>
      </c>
      <c r="I560" s="66">
        <v>61.268879868949632</v>
      </c>
      <c r="J560" s="66">
        <v>61.360469854591656</v>
      </c>
      <c r="K560" s="66">
        <v>60.806109415179442</v>
      </c>
      <c r="L560" s="66">
        <v>61.307444073430489</v>
      </c>
      <c r="M560" s="66">
        <v>8708552.5170569289</v>
      </c>
      <c r="N560" s="66" t="s">
        <v>735</v>
      </c>
      <c r="O560" s="25">
        <f t="shared" si="13"/>
        <v>-6.2902972165446158E-4</v>
      </c>
    </row>
    <row r="561" spans="1:15">
      <c r="A561" s="65">
        <v>485.89849633921642</v>
      </c>
      <c r="B561" s="65">
        <v>486.17479369096588</v>
      </c>
      <c r="C561" s="65">
        <v>483.08618400890879</v>
      </c>
      <c r="D561" s="65">
        <v>483.68811752522026</v>
      </c>
      <c r="E561" s="65">
        <v>3511659.2824950577</v>
      </c>
      <c r="F561" s="65" t="s">
        <v>736</v>
      </c>
      <c r="G561" s="25">
        <f t="shared" si="12"/>
        <v>4.5698431156537822E-3</v>
      </c>
      <c r="I561" s="66">
        <v>61.307444073430489</v>
      </c>
      <c r="J561" s="66">
        <v>61.69308611823898</v>
      </c>
      <c r="K561" s="66">
        <v>61.090520423225712</v>
      </c>
      <c r="L561" s="66">
        <v>61.644880862637919</v>
      </c>
      <c r="M561" s="66">
        <v>16271180.190209843</v>
      </c>
      <c r="N561" s="66" t="s">
        <v>736</v>
      </c>
      <c r="O561" s="25">
        <f t="shared" si="13"/>
        <v>-5.4738817641538651E-3</v>
      </c>
    </row>
    <row r="562" spans="1:15">
      <c r="A562" s="65">
        <v>484.30978656665667</v>
      </c>
      <c r="B562" s="65">
        <v>487.00368574621444</v>
      </c>
      <c r="C562" s="65">
        <v>483.06644848378386</v>
      </c>
      <c r="D562" s="65">
        <v>484.0630925025946</v>
      </c>
      <c r="E562" s="65">
        <v>3104641.9901181473</v>
      </c>
      <c r="F562" s="65" t="s">
        <v>737</v>
      </c>
      <c r="G562" s="25">
        <f t="shared" si="12"/>
        <v>5.0963204566301101E-4</v>
      </c>
      <c r="I562" s="66">
        <v>61.615957709277275</v>
      </c>
      <c r="J562" s="66">
        <v>61.919650819563962</v>
      </c>
      <c r="K562" s="66">
        <v>61.519547198075159</v>
      </c>
      <c r="L562" s="66">
        <v>61.789496629441111</v>
      </c>
      <c r="M562" s="66">
        <v>9877645.9965396635</v>
      </c>
      <c r="N562" s="66" t="s">
        <v>737</v>
      </c>
      <c r="O562" s="25">
        <f t="shared" si="13"/>
        <v>-2.8085504758934565E-3</v>
      </c>
    </row>
    <row r="563" spans="1:15">
      <c r="A563" s="65">
        <v>484.94132337065554</v>
      </c>
      <c r="B563" s="65">
        <v>485.67153780027928</v>
      </c>
      <c r="C563" s="65">
        <v>483.16522478703428</v>
      </c>
      <c r="D563" s="65">
        <v>485.33603387315486</v>
      </c>
      <c r="E563" s="65">
        <v>21629993.491280023</v>
      </c>
      <c r="F563" s="65" t="s">
        <v>738</v>
      </c>
      <c r="G563" s="25">
        <f t="shared" si="12"/>
        <v>-8.1327260897856579E-4</v>
      </c>
      <c r="I563" s="66">
        <v>61.847342936162384</v>
      </c>
      <c r="J563" s="66">
        <v>62.049805009686835</v>
      </c>
      <c r="K563" s="66">
        <v>61.548470351435796</v>
      </c>
      <c r="L563" s="66">
        <v>61.625598760397494</v>
      </c>
      <c r="M563" s="66">
        <v>8980821.5847415514</v>
      </c>
      <c r="N563" s="66" t="s">
        <v>738</v>
      </c>
      <c r="O563" s="25">
        <f t="shared" si="13"/>
        <v>3.5982478097622561E-3</v>
      </c>
    </row>
    <row r="564" spans="1:15">
      <c r="A564" s="65">
        <v>485.04986875884288</v>
      </c>
      <c r="B564" s="65">
        <v>485.04986875884288</v>
      </c>
      <c r="C564" s="65">
        <v>479.63246711203982</v>
      </c>
      <c r="D564" s="65">
        <v>481.4185321358492</v>
      </c>
      <c r="E564" s="65">
        <v>3066699.244979193</v>
      </c>
      <c r="F564" s="65" t="s">
        <v>739</v>
      </c>
      <c r="G564" s="25">
        <f t="shared" si="12"/>
        <v>7.5429930104331522E-3</v>
      </c>
      <c r="I564" s="66">
        <v>61.625598760397494</v>
      </c>
      <c r="J564" s="66">
        <v>61.770214527200672</v>
      </c>
      <c r="K564" s="66">
        <v>61.076058846545386</v>
      </c>
      <c r="L564" s="66">
        <v>61.69308611823898</v>
      </c>
      <c r="M564" s="66">
        <v>9991156.4412364755</v>
      </c>
      <c r="N564" s="66" t="s">
        <v>739</v>
      </c>
      <c r="O564" s="25">
        <f t="shared" si="13"/>
        <v>-1.093920925144598E-3</v>
      </c>
    </row>
    <row r="565" spans="1:15">
      <c r="A565" s="65">
        <v>479.31669871004038</v>
      </c>
      <c r="B565" s="65">
        <v>479.9778388017267</v>
      </c>
      <c r="C565" s="65">
        <v>476.17875021517079</v>
      </c>
      <c r="D565" s="65">
        <v>477.59970802416836</v>
      </c>
      <c r="E565" s="65">
        <v>2594579.0484806858</v>
      </c>
      <c r="F565" s="65" t="s">
        <v>740</v>
      </c>
      <c r="G565" s="25">
        <f t="shared" si="12"/>
        <v>3.5950413223140298E-3</v>
      </c>
      <c r="I565" s="66">
        <v>61.644880862637919</v>
      </c>
      <c r="J565" s="66">
        <v>61.673804015998556</v>
      </c>
      <c r="K565" s="66">
        <v>60.680775750616682</v>
      </c>
      <c r="L565" s="66">
        <v>60.931443079742209</v>
      </c>
      <c r="M565" s="66">
        <v>12338511.487674762</v>
      </c>
      <c r="N565" s="66" t="s">
        <v>740</v>
      </c>
      <c r="O565" s="25">
        <f t="shared" si="13"/>
        <v>1.1708860759493511E-2</v>
      </c>
    </row>
    <row r="566" spans="1:15">
      <c r="A566" s="65">
        <v>478.73450071885384</v>
      </c>
      <c r="B566" s="65">
        <v>479.9778388017267</v>
      </c>
      <c r="C566" s="65">
        <v>474.04731350167452</v>
      </c>
      <c r="D566" s="65">
        <v>479.86929341353942</v>
      </c>
      <c r="E566" s="65">
        <v>4267690.8502147933</v>
      </c>
      <c r="F566" s="65" t="s">
        <v>741</v>
      </c>
      <c r="G566" s="25">
        <f t="shared" si="12"/>
        <v>-2.3647953937899757E-3</v>
      </c>
      <c r="I566" s="66">
        <v>60.67113469949647</v>
      </c>
      <c r="J566" s="66">
        <v>60.825391517419867</v>
      </c>
      <c r="K566" s="66">
        <v>60.203543720166167</v>
      </c>
      <c r="L566" s="66">
        <v>60.459031574851799</v>
      </c>
      <c r="M566" s="66">
        <v>9717867.7751826067</v>
      </c>
      <c r="N566" s="66" t="s">
        <v>741</v>
      </c>
      <c r="O566" s="25">
        <f t="shared" si="13"/>
        <v>3.5082124063148257E-3</v>
      </c>
    </row>
    <row r="567" spans="1:15">
      <c r="A567" s="65">
        <v>478.21150930304231</v>
      </c>
      <c r="B567" s="65">
        <v>478.49767441735429</v>
      </c>
      <c r="C567" s="65">
        <v>470.17421669590004</v>
      </c>
      <c r="D567" s="65">
        <v>474.87620555692308</v>
      </c>
      <c r="E567" s="65">
        <v>5405451.3028918337</v>
      </c>
      <c r="F567" s="65" t="s">
        <v>742</v>
      </c>
      <c r="G567" s="25">
        <f t="shared" si="12"/>
        <v>7.0235225667028001E-3</v>
      </c>
      <c r="I567" s="66">
        <v>60.67113469949647</v>
      </c>
      <c r="J567" s="66">
        <v>60.762724685138487</v>
      </c>
      <c r="K567" s="66">
        <v>59.475644360590131</v>
      </c>
      <c r="L567" s="66">
        <v>59.764875894196507</v>
      </c>
      <c r="M567" s="66">
        <v>20554428.92368304</v>
      </c>
      <c r="N567" s="66" t="s">
        <v>742</v>
      </c>
      <c r="O567" s="25">
        <f t="shared" si="13"/>
        <v>1.5163736086465596E-2</v>
      </c>
    </row>
    <row r="568" spans="1:15">
      <c r="A568" s="65">
        <v>474.08678455192444</v>
      </c>
      <c r="B568" s="65">
        <v>476.36663241436048</v>
      </c>
      <c r="C568" s="65">
        <v>472.86318199417656</v>
      </c>
      <c r="D568" s="65">
        <v>475.74456866242156</v>
      </c>
      <c r="E568" s="65">
        <v>3439066.3319184515</v>
      </c>
      <c r="F568" s="65" t="s">
        <v>743</v>
      </c>
      <c r="G568" s="25">
        <f t="shared" si="12"/>
        <v>-3.4846096407533667E-3</v>
      </c>
      <c r="I568" s="66">
        <v>59.745593791956082</v>
      </c>
      <c r="J568" s="66">
        <v>59.851645354278418</v>
      </c>
      <c r="K568" s="66">
        <v>59.388874900508227</v>
      </c>
      <c r="L568" s="66">
        <v>59.629901178513535</v>
      </c>
      <c r="M568" s="66">
        <v>9788166.1266330108</v>
      </c>
      <c r="N568" s="66" t="s">
        <v>743</v>
      </c>
      <c r="O568" s="25">
        <f t="shared" si="13"/>
        <v>1.9401778496361821E-3</v>
      </c>
    </row>
    <row r="569" spans="1:15">
      <c r="A569" s="65">
        <v>477.29380738473139</v>
      </c>
      <c r="B569" s="65">
        <v>478.27071587841715</v>
      </c>
      <c r="C569" s="65">
        <v>476.57346071767012</v>
      </c>
      <c r="D569" s="65">
        <v>476.80041925660726</v>
      </c>
      <c r="E569" s="65">
        <v>5680072.8275627885</v>
      </c>
      <c r="F569" s="65" t="s">
        <v>744</v>
      </c>
      <c r="G569" s="25">
        <f t="shared" si="12"/>
        <v>1.0347896272686619E-3</v>
      </c>
      <c r="I569" s="66">
        <v>59.48528541171035</v>
      </c>
      <c r="J569" s="66">
        <v>59.658824331874172</v>
      </c>
      <c r="K569" s="66">
        <v>58.877899191136969</v>
      </c>
      <c r="L569" s="66">
        <v>59.263541235945461</v>
      </c>
      <c r="M569" s="66">
        <v>12303445.809069319</v>
      </c>
      <c r="N569" s="66" t="s">
        <v>744</v>
      </c>
      <c r="O569" s="25">
        <f t="shared" si="13"/>
        <v>3.7416625996422592E-3</v>
      </c>
    </row>
    <row r="570" spans="1:15">
      <c r="A570" s="65">
        <v>480.678449943663</v>
      </c>
      <c r="B570" s="65">
        <v>481.19650747819333</v>
      </c>
      <c r="C570" s="65">
        <v>478.11776555869864</v>
      </c>
      <c r="D570" s="65">
        <v>480.95474729541246</v>
      </c>
      <c r="E570" s="65">
        <v>4088785.0457001971</v>
      </c>
      <c r="F570" s="65" t="s">
        <v>745</v>
      </c>
      <c r="G570" s="25">
        <f t="shared" si="12"/>
        <v>-5.7447681575695242E-4</v>
      </c>
      <c r="I570" s="66">
        <v>59.600978025152898</v>
      </c>
      <c r="J570" s="66">
        <v>59.899850609879479</v>
      </c>
      <c r="K570" s="66">
        <v>59.196053878103974</v>
      </c>
      <c r="L570" s="66">
        <v>59.572054871792254</v>
      </c>
      <c r="M570" s="66">
        <v>12806692.803562295</v>
      </c>
      <c r="N570" s="66" t="s">
        <v>745</v>
      </c>
      <c r="O570" s="25">
        <f t="shared" si="13"/>
        <v>4.8551545557540265E-4</v>
      </c>
    </row>
    <row r="571" spans="1:15">
      <c r="A571" s="65">
        <v>480.29360720372614</v>
      </c>
      <c r="B571" s="65">
        <v>480.95474729541246</v>
      </c>
      <c r="C571" s="65">
        <v>477.92534418873026</v>
      </c>
      <c r="D571" s="65">
        <v>478.76410400654134</v>
      </c>
      <c r="E571" s="65">
        <v>2589483.6684812554</v>
      </c>
      <c r="F571" s="65" t="s">
        <v>746</v>
      </c>
      <c r="G571" s="25">
        <f t="shared" si="12"/>
        <v>3.1946906302815492E-3</v>
      </c>
      <c r="I571" s="66">
        <v>59.774516945316719</v>
      </c>
      <c r="J571" s="66">
        <v>60.179441092365643</v>
      </c>
      <c r="K571" s="66">
        <v>59.745593791956082</v>
      </c>
      <c r="L571" s="66">
        <v>59.98662006996139</v>
      </c>
      <c r="M571" s="66">
        <v>8508549.4286014121</v>
      </c>
      <c r="N571" s="66" t="s">
        <v>746</v>
      </c>
      <c r="O571" s="25">
        <f t="shared" si="13"/>
        <v>-3.5358405657344161E-3</v>
      </c>
    </row>
    <row r="572" spans="1:15">
      <c r="A572" s="65">
        <v>477.04711332066933</v>
      </c>
      <c r="B572" s="65">
        <v>483.51049779909556</v>
      </c>
      <c r="C572" s="65">
        <v>475.9123206259838</v>
      </c>
      <c r="D572" s="65">
        <v>483.43155569859573</v>
      </c>
      <c r="E572" s="65">
        <v>3862382.1518472382</v>
      </c>
      <c r="F572" s="65" t="s">
        <v>747</v>
      </c>
      <c r="G572" s="25">
        <f t="shared" ref="G572:G635" si="14">A572/D572-1</f>
        <v>-1.320650731767059E-2</v>
      </c>
      <c r="I572" s="66">
        <v>59.86128640539863</v>
      </c>
      <c r="J572" s="66">
        <v>60.622929443895408</v>
      </c>
      <c r="K572" s="66">
        <v>59.822722200917774</v>
      </c>
      <c r="L572" s="66">
        <v>60.246928450207129</v>
      </c>
      <c r="M572" s="66">
        <v>10200435.489220152</v>
      </c>
      <c r="N572" s="66" t="s">
        <v>747</v>
      </c>
      <c r="O572" s="25">
        <f t="shared" ref="O572:O635" si="15">I572/L572-1</f>
        <v>-6.4010241638662313E-3</v>
      </c>
    </row>
    <row r="573" spans="1:15">
      <c r="A573" s="65">
        <v>480.6192433682881</v>
      </c>
      <c r="B573" s="65">
        <v>481.97112683934824</v>
      </c>
      <c r="C573" s="65">
        <v>478.52727770504174</v>
      </c>
      <c r="D573" s="65">
        <v>481.33959003534937</v>
      </c>
      <c r="E573" s="65">
        <v>3294141.8882115106</v>
      </c>
      <c r="F573" s="65" t="s">
        <v>748</v>
      </c>
      <c r="G573" s="25">
        <f t="shared" si="14"/>
        <v>-1.4965456446421888E-3</v>
      </c>
      <c r="I573" s="66">
        <v>60.738622057337956</v>
      </c>
      <c r="J573" s="66">
        <v>60.757904159578381</v>
      </c>
      <c r="K573" s="66">
        <v>60.410826319250731</v>
      </c>
      <c r="L573" s="66">
        <v>60.459031574851799</v>
      </c>
      <c r="M573" s="66">
        <v>7695640.1407780992</v>
      </c>
      <c r="N573" s="66" t="s">
        <v>748</v>
      </c>
      <c r="O573" s="25">
        <f t="shared" si="15"/>
        <v>4.6244618083239875E-3</v>
      </c>
    </row>
    <row r="574" spans="1:15">
      <c r="A574" s="65">
        <v>482.02046565216068</v>
      </c>
      <c r="B574" s="65">
        <v>482.11914327778544</v>
      </c>
      <c r="C574" s="65">
        <v>479.9186322263518</v>
      </c>
      <c r="D574" s="65">
        <v>480.09625195247645</v>
      </c>
      <c r="E574" s="65">
        <v>2486456.2604378862</v>
      </c>
      <c r="F574" s="65" t="s">
        <v>749</v>
      </c>
      <c r="G574" s="25">
        <f t="shared" si="14"/>
        <v>4.0079748422503503E-3</v>
      </c>
      <c r="I574" s="66">
        <v>60.651852597256038</v>
      </c>
      <c r="J574" s="66">
        <v>60.719339955097524</v>
      </c>
      <c r="K574" s="66">
        <v>60.19872319460606</v>
      </c>
      <c r="L574" s="66">
        <v>60.565083137174135</v>
      </c>
      <c r="M574" s="66">
        <v>10160927.348950939</v>
      </c>
      <c r="N574" s="66" t="s">
        <v>749</v>
      </c>
      <c r="O574" s="25">
        <f t="shared" si="15"/>
        <v>1.4326647564468775E-3</v>
      </c>
    </row>
    <row r="575" spans="1:15">
      <c r="A575" s="65">
        <v>480.72778875647543</v>
      </c>
      <c r="B575" s="65">
        <v>482.14864788784729</v>
      </c>
      <c r="C575" s="65">
        <v>480.01730985197662</v>
      </c>
      <c r="D575" s="65">
        <v>480.34294601653852</v>
      </c>
      <c r="E575" s="65">
        <v>2634421.9204094037</v>
      </c>
      <c r="F575" s="65" t="s">
        <v>750</v>
      </c>
      <c r="G575" s="25">
        <f t="shared" si="14"/>
        <v>8.0118328608413947E-4</v>
      </c>
      <c r="I575" s="66">
        <v>60.32405685916882</v>
      </c>
      <c r="J575" s="66">
        <v>60.748263108458168</v>
      </c>
      <c r="K575" s="66">
        <v>60.218005296846485</v>
      </c>
      <c r="L575" s="66">
        <v>60.67113469949647</v>
      </c>
      <c r="M575" s="66">
        <v>11410465.376474086</v>
      </c>
      <c r="N575" s="66" t="s">
        <v>750</v>
      </c>
      <c r="O575" s="25">
        <f t="shared" si="15"/>
        <v>-5.7206419831559163E-3</v>
      </c>
    </row>
    <row r="576" spans="1:15">
      <c r="A576" s="65">
        <v>480.25413615347622</v>
      </c>
      <c r="B576" s="65">
        <v>480.29360720372614</v>
      </c>
      <c r="C576" s="65">
        <v>478.29045140354214</v>
      </c>
      <c r="D576" s="65">
        <v>479.66207039972721</v>
      </c>
      <c r="E576" s="65">
        <v>3317910.1941993055</v>
      </c>
      <c r="F576" s="65" t="s">
        <v>751</v>
      </c>
      <c r="G576" s="25">
        <f t="shared" si="14"/>
        <v>1.2343393198790409E-3</v>
      </c>
      <c r="I576" s="66">
        <v>60.767545210698593</v>
      </c>
      <c r="J576" s="66">
        <v>61.095340948785811</v>
      </c>
      <c r="K576" s="66">
        <v>60.675955225056576</v>
      </c>
      <c r="L576" s="66">
        <v>61.066417795425181</v>
      </c>
      <c r="M576" s="66">
        <v>11968634.805605944</v>
      </c>
      <c r="N576" s="66" t="s">
        <v>751</v>
      </c>
      <c r="O576" s="25">
        <f t="shared" si="15"/>
        <v>-4.8942216608778288E-3</v>
      </c>
    </row>
    <row r="577" spans="1:15">
      <c r="A577" s="65">
        <v>479.54365724897747</v>
      </c>
      <c r="B577" s="65">
        <v>482.10927551522298</v>
      </c>
      <c r="C577" s="65">
        <v>479.40550857310268</v>
      </c>
      <c r="D577" s="65">
        <v>480.60937560572563</v>
      </c>
      <c r="E577" s="65">
        <v>3392239.1006110399</v>
      </c>
      <c r="F577" s="65" t="s">
        <v>752</v>
      </c>
      <c r="G577" s="25">
        <f t="shared" si="14"/>
        <v>-2.2174314752079205E-3</v>
      </c>
      <c r="I577" s="66">
        <v>61.04713569318475</v>
      </c>
      <c r="J577" s="66">
        <v>61.437598263553355</v>
      </c>
      <c r="K577" s="66">
        <v>60.806109415179442</v>
      </c>
      <c r="L577" s="66">
        <v>60.970007284223051</v>
      </c>
      <c r="M577" s="66">
        <v>10608803.824882837</v>
      </c>
      <c r="N577" s="66" t="s">
        <v>752</v>
      </c>
      <c r="O577" s="25">
        <f t="shared" si="15"/>
        <v>1.2650221378873727E-3</v>
      </c>
    </row>
    <row r="578" spans="1:15">
      <c r="A578" s="65">
        <v>480.46135916728832</v>
      </c>
      <c r="B578" s="65">
        <v>480.78699533185028</v>
      </c>
      <c r="C578" s="65">
        <v>476.35143606001429</v>
      </c>
      <c r="D578" s="65">
        <v>476.94843569504445</v>
      </c>
      <c r="E578" s="65">
        <v>4458442.2984870141</v>
      </c>
      <c r="F578" s="65" t="s">
        <v>753</v>
      </c>
      <c r="G578" s="25">
        <f t="shared" si="14"/>
        <v>7.3654156494393774E-3</v>
      </c>
      <c r="I578" s="66">
        <v>60.863955721900716</v>
      </c>
      <c r="J578" s="66">
        <v>61.11606920869427</v>
      </c>
      <c r="K578" s="66">
        <v>60.738622057337956</v>
      </c>
      <c r="L578" s="66">
        <v>60.79646836405923</v>
      </c>
      <c r="M578" s="66">
        <v>10205211.939362964</v>
      </c>
      <c r="N578" s="66" t="s">
        <v>753</v>
      </c>
      <c r="O578" s="25">
        <f t="shared" si="15"/>
        <v>1.110053916904441E-3</v>
      </c>
    </row>
    <row r="579" spans="1:15">
      <c r="A579" s="65">
        <v>474.67885030567345</v>
      </c>
      <c r="B579" s="65">
        <v>475.10316409586022</v>
      </c>
      <c r="C579" s="65">
        <v>472.15270308967786</v>
      </c>
      <c r="D579" s="65">
        <v>472.646091217802</v>
      </c>
      <c r="E579" s="65">
        <v>3301380.6112297941</v>
      </c>
      <c r="F579" s="65" t="s">
        <v>754</v>
      </c>
      <c r="G579" s="25">
        <f t="shared" si="14"/>
        <v>4.3008058791598192E-3</v>
      </c>
      <c r="I579" s="66">
        <v>60.835032568540079</v>
      </c>
      <c r="J579" s="66">
        <v>61.471341942474091</v>
      </c>
      <c r="K579" s="66">
        <v>60.545801034933703</v>
      </c>
      <c r="L579" s="66">
        <v>61.297803022310269</v>
      </c>
      <c r="M579" s="66">
        <v>11256273.682906212</v>
      </c>
      <c r="N579" s="66" t="s">
        <v>754</v>
      </c>
      <c r="O579" s="25">
        <f t="shared" si="15"/>
        <v>-7.549543881723797E-3</v>
      </c>
    </row>
    <row r="580" spans="1:15">
      <c r="A580" s="65">
        <v>472.43886820398978</v>
      </c>
      <c r="B580" s="65">
        <v>474.06704902679951</v>
      </c>
      <c r="C580" s="65">
        <v>471.41262089749165</v>
      </c>
      <c r="D580" s="65">
        <v>473.99797468886214</v>
      </c>
      <c r="E580" s="65">
        <v>3150098.0899340655</v>
      </c>
      <c r="F580" s="65" t="s">
        <v>755</v>
      </c>
      <c r="G580" s="25">
        <f t="shared" si="14"/>
        <v>-3.2892682419071173E-3</v>
      </c>
      <c r="I580" s="66">
        <v>61.297803022310269</v>
      </c>
      <c r="J580" s="66">
        <v>61.336367226791118</v>
      </c>
      <c r="K580" s="66">
        <v>60.912160977501777</v>
      </c>
      <c r="L580" s="66">
        <v>60.970007284223051</v>
      </c>
      <c r="M580" s="66">
        <v>10515055.748171043</v>
      </c>
      <c r="N580" s="66" t="s">
        <v>755</v>
      </c>
      <c r="O580" s="25">
        <f t="shared" si="15"/>
        <v>5.3763440860215006E-3</v>
      </c>
    </row>
    <row r="581" spans="1:15">
      <c r="A581" s="65">
        <v>472.40926491630239</v>
      </c>
      <c r="B581" s="65">
        <v>474.037445739112</v>
      </c>
      <c r="C581" s="65">
        <v>471.2744722216168</v>
      </c>
      <c r="D581" s="65">
        <v>473.34670235973823</v>
      </c>
      <c r="E581" s="65">
        <v>3392014.1255991319</v>
      </c>
      <c r="F581" s="65" t="s">
        <v>756</v>
      </c>
      <c r="G581" s="25">
        <f t="shared" si="14"/>
        <v>-1.9804457045174972E-3</v>
      </c>
      <c r="I581" s="66">
        <v>60.989289386463476</v>
      </c>
      <c r="J581" s="66">
        <v>61.085699897665599</v>
      </c>
      <c r="K581" s="66">
        <v>60.536159983813498</v>
      </c>
      <c r="L581" s="66">
        <v>60.661493648376258</v>
      </c>
      <c r="M581" s="66">
        <v>8683379.9506039619</v>
      </c>
      <c r="N581" s="66" t="s">
        <v>756</v>
      </c>
      <c r="O581" s="25">
        <f t="shared" si="15"/>
        <v>5.4036872218690135E-3</v>
      </c>
    </row>
    <row r="582" spans="1:15">
      <c r="A582" s="65">
        <v>471.82706692511584</v>
      </c>
      <c r="B582" s="65">
        <v>471.82706692511584</v>
      </c>
      <c r="C582" s="65">
        <v>468.65951514255892</v>
      </c>
      <c r="D582" s="65">
        <v>469.30091970912025</v>
      </c>
      <c r="E582" s="65">
        <v>3532765.3841752745</v>
      </c>
      <c r="F582" s="65" t="s">
        <v>757</v>
      </c>
      <c r="G582" s="25">
        <f t="shared" si="14"/>
        <v>5.382787695283664E-3</v>
      </c>
      <c r="I582" s="66">
        <v>60.622929443895408</v>
      </c>
      <c r="J582" s="66">
        <v>60.88323782414114</v>
      </c>
      <c r="K582" s="66">
        <v>60.497595779332649</v>
      </c>
      <c r="L582" s="66">
        <v>60.555442086053922</v>
      </c>
      <c r="M582" s="66">
        <v>9452975.4965133332</v>
      </c>
      <c r="N582" s="66" t="s">
        <v>757</v>
      </c>
      <c r="O582" s="25">
        <f t="shared" si="15"/>
        <v>1.1144722177998112E-3</v>
      </c>
    </row>
    <row r="583" spans="1:15">
      <c r="A583" s="65">
        <v>469.13316774555813</v>
      </c>
      <c r="B583" s="65">
        <v>469.56734929830736</v>
      </c>
      <c r="C583" s="65">
        <v>467.2385573335614</v>
      </c>
      <c r="D583" s="65">
        <v>467.3273671966237</v>
      </c>
      <c r="E583" s="65">
        <v>3257960.4339315477</v>
      </c>
      <c r="F583" s="65" t="s">
        <v>758</v>
      </c>
      <c r="G583" s="25">
        <f t="shared" si="14"/>
        <v>3.8641018602589838E-3</v>
      </c>
      <c r="I583" s="66">
        <v>60.594006290534772</v>
      </c>
      <c r="J583" s="66">
        <v>60.709698903977319</v>
      </c>
      <c r="K583" s="66">
        <v>60.23728739908691</v>
      </c>
      <c r="L583" s="66">
        <v>60.594006290534772</v>
      </c>
      <c r="M583" s="66">
        <v>10874756.153942112</v>
      </c>
      <c r="N583" s="66" t="s">
        <v>758</v>
      </c>
      <c r="O583" s="25">
        <f t="shared" si="15"/>
        <v>0</v>
      </c>
    </row>
    <row r="584" spans="1:15">
      <c r="A584" s="65">
        <v>469.11343222043308</v>
      </c>
      <c r="B584" s="65">
        <v>470.33703477818096</v>
      </c>
      <c r="C584" s="65">
        <v>468.43255660362178</v>
      </c>
      <c r="D584" s="65">
        <v>469.40946509730759</v>
      </c>
      <c r="E584" s="65">
        <v>3497552.7412078525</v>
      </c>
      <c r="F584" s="65" t="s">
        <v>759</v>
      </c>
      <c r="G584" s="25">
        <f t="shared" si="14"/>
        <v>-6.3064956905611869E-4</v>
      </c>
      <c r="I584" s="66">
        <v>60.372262114769882</v>
      </c>
      <c r="J584" s="66">
        <v>60.565083137174135</v>
      </c>
      <c r="K584" s="66">
        <v>60.015543223322027</v>
      </c>
      <c r="L584" s="66">
        <v>60.507236830452854</v>
      </c>
      <c r="M584" s="66">
        <v>10172157.452250881</v>
      </c>
      <c r="N584" s="66" t="s">
        <v>759</v>
      </c>
      <c r="O584" s="25">
        <f t="shared" si="15"/>
        <v>-2.2307202039515417E-3</v>
      </c>
    </row>
    <row r="585" spans="1:15">
      <c r="A585" s="65">
        <v>468.4424243661843</v>
      </c>
      <c r="B585" s="65">
        <v>468.53123422924665</v>
      </c>
      <c r="C585" s="65">
        <v>465.58077322306428</v>
      </c>
      <c r="D585" s="65">
        <v>465.97548372556361</v>
      </c>
      <c r="E585" s="65">
        <v>4846632.6279304698</v>
      </c>
      <c r="F585" s="65" t="s">
        <v>760</v>
      </c>
      <c r="G585" s="25">
        <f t="shared" si="14"/>
        <v>5.2941425606709558E-3</v>
      </c>
      <c r="I585" s="66">
        <v>60.11195373452415</v>
      </c>
      <c r="J585" s="66">
        <v>60.140876887884794</v>
      </c>
      <c r="K585" s="66">
        <v>59.67328590855449</v>
      </c>
      <c r="L585" s="66">
        <v>60.063748478923088</v>
      </c>
      <c r="M585" s="66">
        <v>9657348.4404415265</v>
      </c>
      <c r="N585" s="66" t="s">
        <v>760</v>
      </c>
      <c r="O585" s="25">
        <f t="shared" si="15"/>
        <v>8.0256821829860492E-4</v>
      </c>
    </row>
    <row r="586" spans="1:15">
      <c r="A586" s="65">
        <v>463.76510491156745</v>
      </c>
      <c r="B586" s="65">
        <v>464.77161669294065</v>
      </c>
      <c r="C586" s="65">
        <v>461.25879189832239</v>
      </c>
      <c r="D586" s="65">
        <v>463.54801413519277</v>
      </c>
      <c r="E586" s="65">
        <v>4648327.2889431035</v>
      </c>
      <c r="F586" s="65" t="s">
        <v>761</v>
      </c>
      <c r="G586" s="25">
        <f t="shared" si="14"/>
        <v>4.6832425068132899E-4</v>
      </c>
      <c r="I586" s="66">
        <v>59.938414814360328</v>
      </c>
      <c r="J586" s="66">
        <v>60.092671632283725</v>
      </c>
      <c r="K586" s="66">
        <v>59.42743910498907</v>
      </c>
      <c r="L586" s="66">
        <v>59.764875894196507</v>
      </c>
      <c r="M586" s="66">
        <v>12061625.703467738</v>
      </c>
      <c r="N586" s="66" t="s">
        <v>761</v>
      </c>
      <c r="O586" s="25">
        <f t="shared" si="15"/>
        <v>2.9036941442168729E-3</v>
      </c>
    </row>
    <row r="587" spans="1:15">
      <c r="A587" s="65">
        <v>458.08127367557734</v>
      </c>
      <c r="B587" s="65">
        <v>458.80162034263856</v>
      </c>
      <c r="C587" s="65">
        <v>453.08818581896105</v>
      </c>
      <c r="D587" s="65">
        <v>457.23264609520379</v>
      </c>
      <c r="E587" s="65">
        <v>4025658.2734399545</v>
      </c>
      <c r="F587" s="65" t="s">
        <v>762</v>
      </c>
      <c r="G587" s="25">
        <f t="shared" si="14"/>
        <v>1.8560082872929318E-3</v>
      </c>
      <c r="I587" s="66">
        <v>59.764875894196507</v>
      </c>
      <c r="J587" s="66">
        <v>60.15929129552439</v>
      </c>
      <c r="K587" s="66">
        <v>59.504567513950768</v>
      </c>
      <c r="L587" s="66">
        <v>59.948055865480541</v>
      </c>
      <c r="M587" s="66">
        <v>11400524.55168175</v>
      </c>
      <c r="N587" s="66" t="s">
        <v>762</v>
      </c>
      <c r="O587" s="25">
        <f t="shared" si="15"/>
        <v>-3.0556449018976917E-3</v>
      </c>
    </row>
    <row r="588" spans="1:15">
      <c r="A588" s="65">
        <v>453.84800353627219</v>
      </c>
      <c r="B588" s="65">
        <v>460.89358600588491</v>
      </c>
      <c r="C588" s="65">
        <v>453.36448317071051</v>
      </c>
      <c r="D588" s="65">
        <v>454.67689559152075</v>
      </c>
      <c r="E588" s="65">
        <v>6197328.889175579</v>
      </c>
      <c r="F588" s="65" t="s">
        <v>763</v>
      </c>
      <c r="G588" s="25">
        <f t="shared" si="14"/>
        <v>-1.8230353538641886E-3</v>
      </c>
      <c r="I588" s="66">
        <v>59.707029587475233</v>
      </c>
      <c r="J588" s="66">
        <v>60.32405685916882</v>
      </c>
      <c r="K588" s="66">
        <v>59.012873906819941</v>
      </c>
      <c r="L588" s="66">
        <v>59.581695922912466</v>
      </c>
      <c r="M588" s="66">
        <v>17353740.57391312</v>
      </c>
      <c r="N588" s="66" t="s">
        <v>763</v>
      </c>
      <c r="O588" s="25">
        <f t="shared" si="15"/>
        <v>2.1035598705503311E-3</v>
      </c>
    </row>
    <row r="589" spans="1:15">
      <c r="A589" s="65">
        <v>455.3281679206446</v>
      </c>
      <c r="B589" s="65">
        <v>462.14679185132024</v>
      </c>
      <c r="C589" s="65">
        <v>455.25909358270724</v>
      </c>
      <c r="D589" s="65">
        <v>461.23895769557186</v>
      </c>
      <c r="E589" s="65">
        <v>4423328.9688131372</v>
      </c>
      <c r="F589" s="65" t="s">
        <v>764</v>
      </c>
      <c r="G589" s="25">
        <f t="shared" si="14"/>
        <v>-1.2815027170424931E-2</v>
      </c>
      <c r="I589" s="66">
        <v>59.552772769551837</v>
      </c>
      <c r="J589" s="66">
        <v>60.57472418829434</v>
      </c>
      <c r="K589" s="66">
        <v>59.258720710385361</v>
      </c>
      <c r="L589" s="66">
        <v>59.909491660999691</v>
      </c>
      <c r="M589" s="66">
        <v>20069547.146612138</v>
      </c>
      <c r="N589" s="66" t="s">
        <v>764</v>
      </c>
      <c r="O589" s="25">
        <f t="shared" si="15"/>
        <v>-5.9542967492758336E-3</v>
      </c>
    </row>
    <row r="590" spans="1:15">
      <c r="A590" s="65">
        <v>462.64017997944438</v>
      </c>
      <c r="B590" s="65">
        <v>463.21251020806841</v>
      </c>
      <c r="C590" s="65">
        <v>460.04495842551137</v>
      </c>
      <c r="D590" s="65">
        <v>462.64017997944438</v>
      </c>
      <c r="E590" s="65">
        <v>3296801.0523162251</v>
      </c>
      <c r="F590" s="65" t="s">
        <v>765</v>
      </c>
      <c r="G590" s="25">
        <f t="shared" si="14"/>
        <v>0</v>
      </c>
      <c r="I590" s="66">
        <v>59.813081149797569</v>
      </c>
      <c r="J590" s="66">
        <v>59.822722200917774</v>
      </c>
      <c r="K590" s="66">
        <v>59.321387542666734</v>
      </c>
      <c r="L590" s="66">
        <v>59.697388536355021</v>
      </c>
      <c r="M590" s="66">
        <v>13920420.950640459</v>
      </c>
      <c r="N590" s="66" t="s">
        <v>765</v>
      </c>
      <c r="O590" s="25">
        <f t="shared" si="15"/>
        <v>1.9379844961240345E-3</v>
      </c>
    </row>
    <row r="591" spans="1:15">
      <c r="A591" s="65">
        <v>461.03173468175964</v>
      </c>
      <c r="B591" s="65">
        <v>462.43295696563223</v>
      </c>
      <c r="C591" s="65">
        <v>458.66347166676383</v>
      </c>
      <c r="D591" s="65">
        <v>459.17659532001289</v>
      </c>
      <c r="E591" s="65">
        <v>4972872.9982385458</v>
      </c>
      <c r="F591" s="65" t="s">
        <v>766</v>
      </c>
      <c r="G591" s="25">
        <f t="shared" si="14"/>
        <v>4.0401435540369235E-3</v>
      </c>
      <c r="I591" s="66">
        <v>59.5238496161912</v>
      </c>
      <c r="J591" s="66">
        <v>59.707029587475233</v>
      </c>
      <c r="K591" s="66">
        <v>59.147848622502913</v>
      </c>
      <c r="L591" s="66">
        <v>59.340669644907159</v>
      </c>
      <c r="M591" s="66">
        <v>11403592.681871204</v>
      </c>
      <c r="N591" s="66" t="s">
        <v>766</v>
      </c>
      <c r="O591" s="25">
        <f t="shared" si="15"/>
        <v>3.0869212022746062E-3</v>
      </c>
    </row>
    <row r="592" spans="1:15">
      <c r="A592" s="65">
        <v>456.46296061533013</v>
      </c>
      <c r="B592" s="65">
        <v>457.33132372082861</v>
      </c>
      <c r="C592" s="65">
        <v>451.21331093208926</v>
      </c>
      <c r="D592" s="65">
        <v>452.70334307902419</v>
      </c>
      <c r="E592" s="65">
        <v>4941574.1097575594</v>
      </c>
      <c r="F592" s="65" t="s">
        <v>767</v>
      </c>
      <c r="G592" s="25">
        <f t="shared" si="14"/>
        <v>8.3048150489350991E-3</v>
      </c>
      <c r="I592" s="66">
        <v>59.5238496161912</v>
      </c>
      <c r="J592" s="66">
        <v>60.343338961409252</v>
      </c>
      <c r="K592" s="66">
        <v>59.167130724743338</v>
      </c>
      <c r="L592" s="66">
        <v>59.649183280753952</v>
      </c>
      <c r="M592" s="66">
        <v>19757736.747256659</v>
      </c>
      <c r="N592" s="66" t="s">
        <v>767</v>
      </c>
      <c r="O592" s="25">
        <f t="shared" si="15"/>
        <v>-2.1011798933245895E-3</v>
      </c>
    </row>
    <row r="593" spans="1:15">
      <c r="A593" s="65">
        <v>458.35757102732686</v>
      </c>
      <c r="B593" s="65">
        <v>460.14363605113624</v>
      </c>
      <c r="C593" s="65">
        <v>456.3248119394554</v>
      </c>
      <c r="D593" s="65">
        <v>459.4134216215125</v>
      </c>
      <c r="E593" s="65">
        <v>7790861.3541524773</v>
      </c>
      <c r="F593" s="65" t="s">
        <v>768</v>
      </c>
      <c r="G593" s="25">
        <f t="shared" si="14"/>
        <v>-2.298258049272861E-3</v>
      </c>
      <c r="I593" s="66">
        <v>59.340669644907159</v>
      </c>
      <c r="J593" s="66">
        <v>59.437080156109282</v>
      </c>
      <c r="K593" s="66">
        <v>57.692049903350849</v>
      </c>
      <c r="L593" s="66">
        <v>58.154820357121039</v>
      </c>
      <c r="M593" s="66">
        <v>20276124.207055744</v>
      </c>
      <c r="N593" s="66" t="s">
        <v>768</v>
      </c>
      <c r="O593" s="25">
        <f t="shared" si="15"/>
        <v>2.0391246684350106E-2</v>
      </c>
    </row>
    <row r="594" spans="1:15">
      <c r="A594" s="65">
        <v>458.69307495445122</v>
      </c>
      <c r="B594" s="65">
        <v>458.97924006876326</v>
      </c>
      <c r="C594" s="65">
        <v>454.57821796589593</v>
      </c>
      <c r="D594" s="65">
        <v>455.08147385658253</v>
      </c>
      <c r="E594" s="65">
        <v>4314453.2238611141</v>
      </c>
      <c r="F594" s="65" t="s">
        <v>769</v>
      </c>
      <c r="G594" s="25">
        <f t="shared" si="14"/>
        <v>7.9361637538488683E-3</v>
      </c>
      <c r="I594" s="66">
        <v>58.463333992967833</v>
      </c>
      <c r="J594" s="66">
        <v>58.497077671888576</v>
      </c>
      <c r="K594" s="66">
        <v>57.971640385837006</v>
      </c>
      <c r="L594" s="66">
        <v>58.357282430645498</v>
      </c>
      <c r="M594" s="66">
        <v>14198791.012839744</v>
      </c>
      <c r="N594" s="66" t="s">
        <v>769</v>
      </c>
      <c r="O594" s="25">
        <f t="shared" si="15"/>
        <v>1.8172806872625014E-3</v>
      </c>
    </row>
    <row r="595" spans="1:15">
      <c r="A595" s="65">
        <v>452.97964043077371</v>
      </c>
      <c r="B595" s="65">
        <v>455.62410211989345</v>
      </c>
      <c r="C595" s="65">
        <v>449.32856828265511</v>
      </c>
      <c r="D595" s="65">
        <v>451.4994760464013</v>
      </c>
      <c r="E595" s="65">
        <v>5896055.932801161</v>
      </c>
      <c r="F595" s="65" t="s">
        <v>770</v>
      </c>
      <c r="G595" s="25">
        <f t="shared" si="14"/>
        <v>3.2783302371326428E-3</v>
      </c>
      <c r="I595" s="66">
        <v>58.376564532885922</v>
      </c>
      <c r="J595" s="66">
        <v>58.453692941847628</v>
      </c>
      <c r="K595" s="66">
        <v>57.571536764348195</v>
      </c>
      <c r="L595" s="66">
        <v>57.981281436957218</v>
      </c>
      <c r="M595" s="66">
        <v>16206268.180907458</v>
      </c>
      <c r="N595" s="66" t="s">
        <v>770</v>
      </c>
      <c r="O595" s="25">
        <f t="shared" si="15"/>
        <v>6.8174260059858938E-3</v>
      </c>
    </row>
    <row r="596" spans="1:15">
      <c r="A596" s="65">
        <v>449.08187421859304</v>
      </c>
      <c r="B596" s="65">
        <v>453.85787129883465</v>
      </c>
      <c r="C596" s="65">
        <v>447.89774271109502</v>
      </c>
      <c r="D596" s="65">
        <v>452.92043385539881</v>
      </c>
      <c r="E596" s="65">
        <v>9918615.2261221297</v>
      </c>
      <c r="F596" s="65" t="s">
        <v>771</v>
      </c>
      <c r="G596" s="25">
        <f t="shared" si="14"/>
        <v>-8.4751301771279763E-3</v>
      </c>
      <c r="I596" s="66">
        <v>58.010204590317855</v>
      </c>
      <c r="J596" s="66">
        <v>58.188564036041782</v>
      </c>
      <c r="K596" s="66">
        <v>56.877381083692896</v>
      </c>
      <c r="L596" s="66">
        <v>56.978612120455132</v>
      </c>
      <c r="M596" s="66">
        <v>21997447.929238684</v>
      </c>
      <c r="N596" s="66" t="s">
        <v>771</v>
      </c>
      <c r="O596" s="25">
        <f t="shared" si="15"/>
        <v>1.8104906937394194E-2</v>
      </c>
    </row>
    <row r="597" spans="1:15">
      <c r="A597" s="65">
        <v>452.87109504258638</v>
      </c>
      <c r="B597" s="65">
        <v>457.17343951982895</v>
      </c>
      <c r="C597" s="65">
        <v>452.15074837552515</v>
      </c>
      <c r="D597" s="65">
        <v>455.25909358270724</v>
      </c>
      <c r="E597" s="65">
        <v>5712831.0134183131</v>
      </c>
      <c r="F597" s="65" t="s">
        <v>772</v>
      </c>
      <c r="G597" s="25">
        <f t="shared" si="14"/>
        <v>-5.245361539795379E-3</v>
      </c>
      <c r="I597" s="66">
        <v>56.795432149171091</v>
      </c>
      <c r="J597" s="66">
        <v>56.862919507012577</v>
      </c>
      <c r="K597" s="66">
        <v>56.438713257723236</v>
      </c>
      <c r="L597" s="66">
        <v>56.515841666684935</v>
      </c>
      <c r="M597" s="66">
        <v>11540099.581750708</v>
      </c>
      <c r="N597" s="66" t="s">
        <v>772</v>
      </c>
      <c r="O597" s="25">
        <f t="shared" si="15"/>
        <v>4.9471170249062446E-3</v>
      </c>
    </row>
    <row r="598" spans="1:15">
      <c r="A598" s="65">
        <v>453.90721011164709</v>
      </c>
      <c r="B598" s="65">
        <v>459.0877854569506</v>
      </c>
      <c r="C598" s="65">
        <v>452.66387202877428</v>
      </c>
      <c r="D598" s="65">
        <v>458.95950454363833</v>
      </c>
      <c r="E598" s="65">
        <v>7252129.2995110629</v>
      </c>
      <c r="F598" s="65" t="s">
        <v>773</v>
      </c>
      <c r="G598" s="25">
        <f t="shared" si="14"/>
        <v>-1.1008148610006319E-2</v>
      </c>
      <c r="I598" s="66">
        <v>56.4097901043626</v>
      </c>
      <c r="J598" s="66">
        <v>56.453174834403555</v>
      </c>
      <c r="K598" s="66">
        <v>56.014507008433895</v>
      </c>
      <c r="L598" s="66">
        <v>56.188045928597717</v>
      </c>
      <c r="M598" s="66">
        <v>14319048.647151973</v>
      </c>
      <c r="N598" s="66" t="s">
        <v>773</v>
      </c>
      <c r="O598" s="25">
        <f t="shared" si="15"/>
        <v>3.9464653397391913E-3</v>
      </c>
    </row>
    <row r="599" spans="1:15">
      <c r="A599" s="65">
        <v>456.66031586657977</v>
      </c>
      <c r="B599" s="65">
        <v>459.3542150461376</v>
      </c>
      <c r="C599" s="65">
        <v>455.48605212164432</v>
      </c>
      <c r="D599" s="65">
        <v>457.91352171201515</v>
      </c>
      <c r="E599" s="65">
        <v>6852028.4686488919</v>
      </c>
      <c r="F599" s="65" t="s">
        <v>774</v>
      </c>
      <c r="G599" s="25">
        <f t="shared" si="14"/>
        <v>-2.736774054520108E-3</v>
      </c>
      <c r="I599" s="66">
        <v>55.975942803953046</v>
      </c>
      <c r="J599" s="66">
        <v>56.28445643979984</v>
      </c>
      <c r="K599" s="66">
        <v>55.850609139390279</v>
      </c>
      <c r="L599" s="66">
        <v>56.15912277523708</v>
      </c>
      <c r="M599" s="66">
        <v>11655201.139263822</v>
      </c>
      <c r="N599" s="66" t="s">
        <v>774</v>
      </c>
      <c r="O599" s="25">
        <f t="shared" si="15"/>
        <v>-3.2618025751072199E-3</v>
      </c>
    </row>
    <row r="600" spans="1:15">
      <c r="A600" s="65">
        <v>457.47934015926592</v>
      </c>
      <c r="B600" s="65">
        <v>467.3273671966237</v>
      </c>
      <c r="C600" s="65">
        <v>456.72939020451719</v>
      </c>
      <c r="D600" s="65">
        <v>467.20895404587395</v>
      </c>
      <c r="E600" s="65">
        <v>9657755.6864138376</v>
      </c>
      <c r="F600" s="65" t="s">
        <v>775</v>
      </c>
      <c r="G600" s="25">
        <f t="shared" si="14"/>
        <v>-2.0824973071155495E-2</v>
      </c>
      <c r="I600" s="66">
        <v>56.053071212914745</v>
      </c>
      <c r="J600" s="66">
        <v>56.694201112408862</v>
      </c>
      <c r="K600" s="66">
        <v>55.956660701712615</v>
      </c>
      <c r="L600" s="66">
        <v>56.506200615564723</v>
      </c>
      <c r="M600" s="66">
        <v>12887649.743865583</v>
      </c>
      <c r="N600" s="66" t="s">
        <v>775</v>
      </c>
      <c r="O600" s="25">
        <f t="shared" si="15"/>
        <v>-8.0191093670021196E-3</v>
      </c>
    </row>
    <row r="601" spans="1:15">
      <c r="A601" s="65">
        <v>463.3605266465056</v>
      </c>
      <c r="B601" s="65">
        <v>467.78128427449792</v>
      </c>
      <c r="C601" s="65">
        <v>461.72247806113353</v>
      </c>
      <c r="D601" s="65">
        <v>466.51821066650012</v>
      </c>
      <c r="E601" s="65">
        <v>7052989.9315381097</v>
      </c>
      <c r="F601" s="65" t="s">
        <v>776</v>
      </c>
      <c r="G601" s="25">
        <f t="shared" si="14"/>
        <v>-6.7686189902066429E-3</v>
      </c>
      <c r="I601" s="66">
        <v>56.188045928597717</v>
      </c>
      <c r="J601" s="66">
        <v>56.891842660373214</v>
      </c>
      <c r="K601" s="66">
        <v>56.043430161794532</v>
      </c>
      <c r="L601" s="66">
        <v>56.833996353651948</v>
      </c>
      <c r="M601" s="66">
        <v>12707067.774296932</v>
      </c>
      <c r="N601" s="66" t="s">
        <v>776</v>
      </c>
      <c r="O601" s="25">
        <f t="shared" si="15"/>
        <v>-1.1365564037319809E-2</v>
      </c>
    </row>
    <row r="602" spans="1:15">
      <c r="A602" s="65">
        <v>469.764704549557</v>
      </c>
      <c r="B602" s="65">
        <v>471.11658802061714</v>
      </c>
      <c r="C602" s="65">
        <v>464.44598052837875</v>
      </c>
      <c r="D602" s="65">
        <v>467.71220993656055</v>
      </c>
      <c r="E602" s="65">
        <v>5178378.5510079227</v>
      </c>
      <c r="F602" s="65" t="s">
        <v>777</v>
      </c>
      <c r="G602" s="25">
        <f t="shared" si="14"/>
        <v>4.3883708173340086E-3</v>
      </c>
      <c r="I602" s="66">
        <v>56.930406864854064</v>
      </c>
      <c r="J602" s="66">
        <v>57.238920500700864</v>
      </c>
      <c r="K602" s="66">
        <v>56.674919010168438</v>
      </c>
      <c r="L602" s="66">
        <v>57.026817376056194</v>
      </c>
      <c r="M602" s="66">
        <v>11522609.787546992</v>
      </c>
      <c r="N602" s="66" t="s">
        <v>777</v>
      </c>
      <c r="O602" s="25">
        <f t="shared" si="15"/>
        <v>-1.6906170752325478E-3</v>
      </c>
    </row>
    <row r="603" spans="1:15">
      <c r="A603" s="65">
        <v>466.39979751575032</v>
      </c>
      <c r="B603" s="65">
        <v>468.11678820162234</v>
      </c>
      <c r="C603" s="65">
        <v>464.44598052837875</v>
      </c>
      <c r="D603" s="65">
        <v>465.66958308612664</v>
      </c>
      <c r="E603" s="65">
        <v>7026302.0174002824</v>
      </c>
      <c r="F603" s="65" t="s">
        <v>778</v>
      </c>
      <c r="G603" s="25">
        <f t="shared" si="14"/>
        <v>1.5680956114512146E-3</v>
      </c>
      <c r="I603" s="66">
        <v>56.805073200291311</v>
      </c>
      <c r="J603" s="66">
        <v>57.258202602941289</v>
      </c>
      <c r="K603" s="66">
        <v>56.583329024526421</v>
      </c>
      <c r="L603" s="66">
        <v>57.190715245099803</v>
      </c>
      <c r="M603" s="66">
        <v>12303514.26633521</v>
      </c>
      <c r="N603" s="66" t="s">
        <v>778</v>
      </c>
      <c r="O603" s="25">
        <f t="shared" si="15"/>
        <v>-6.7430883344571368E-3</v>
      </c>
    </row>
    <row r="604" spans="1:15">
      <c r="A604" s="65">
        <v>470.95870381961737</v>
      </c>
      <c r="B604" s="65">
        <v>472.27111624042766</v>
      </c>
      <c r="C604" s="65">
        <v>466.48860737881267</v>
      </c>
      <c r="D604" s="65">
        <v>472.05402546405298</v>
      </c>
      <c r="E604" s="65">
        <v>5324602.174738585</v>
      </c>
      <c r="F604" s="65" t="s">
        <v>779</v>
      </c>
      <c r="G604" s="25">
        <f t="shared" si="14"/>
        <v>-2.3203311175217234E-3</v>
      </c>
      <c r="I604" s="66">
        <v>57.576357289908294</v>
      </c>
      <c r="J604" s="66">
        <v>57.595639392148726</v>
      </c>
      <c r="K604" s="66">
        <v>57.007535273815769</v>
      </c>
      <c r="L604" s="66">
        <v>57.344972063023199</v>
      </c>
      <c r="M604" s="66">
        <v>11193946.454006843</v>
      </c>
      <c r="N604" s="66" t="s">
        <v>779</v>
      </c>
      <c r="O604" s="25">
        <f t="shared" si="15"/>
        <v>4.0349697377268789E-3</v>
      </c>
    </row>
    <row r="605" spans="1:15">
      <c r="A605" s="65">
        <v>470.37650582843094</v>
      </c>
      <c r="B605" s="65">
        <v>471.74812482461601</v>
      </c>
      <c r="C605" s="65">
        <v>469.67589468649464</v>
      </c>
      <c r="D605" s="65">
        <v>470.84029066886757</v>
      </c>
      <c r="E605" s="65">
        <v>4800255.3466468742</v>
      </c>
      <c r="F605" s="65" t="s">
        <v>780</v>
      </c>
      <c r="G605" s="25">
        <f t="shared" si="14"/>
        <v>-9.8501519438320972E-4</v>
      </c>
      <c r="I605" s="66">
        <v>57.142509989498741</v>
      </c>
      <c r="J605" s="66">
        <v>57.335331011902987</v>
      </c>
      <c r="K605" s="66">
        <v>56.949688967094495</v>
      </c>
      <c r="L605" s="66">
        <v>57.267843654061501</v>
      </c>
      <c r="M605" s="66">
        <v>10667441.622043232</v>
      </c>
      <c r="N605" s="66" t="s">
        <v>780</v>
      </c>
      <c r="O605" s="25">
        <f t="shared" si="15"/>
        <v>-2.1885521885521841E-3</v>
      </c>
    </row>
    <row r="606" spans="1:15">
      <c r="A606" s="65">
        <v>470.18901833974377</v>
      </c>
      <c r="B606" s="65">
        <v>472.00468665124055</v>
      </c>
      <c r="C606" s="65">
        <v>466.17283897681324</v>
      </c>
      <c r="D606" s="65">
        <v>466.59715276700001</v>
      </c>
      <c r="E606" s="65">
        <v>5663046.6781255519</v>
      </c>
      <c r="F606" s="65" t="s">
        <v>781</v>
      </c>
      <c r="G606" s="25">
        <f t="shared" si="14"/>
        <v>7.6980014803849084E-3</v>
      </c>
      <c r="I606" s="66">
        <v>57.373895216383836</v>
      </c>
      <c r="J606" s="66">
        <v>57.537793085427445</v>
      </c>
      <c r="K606" s="66">
        <v>56.795528559682296</v>
      </c>
      <c r="L606" s="66">
        <v>57.123227887258317</v>
      </c>
      <c r="M606" s="66">
        <v>10535946.623811953</v>
      </c>
      <c r="N606" s="66" t="s">
        <v>781</v>
      </c>
      <c r="O606" s="25">
        <f t="shared" si="15"/>
        <v>4.3881856540084474E-3</v>
      </c>
    </row>
    <row r="607" spans="1:15">
      <c r="A607" s="65">
        <v>465.24526929593986</v>
      </c>
      <c r="B607" s="65">
        <v>475.11303185842269</v>
      </c>
      <c r="C607" s="65">
        <v>465.03804628212771</v>
      </c>
      <c r="D607" s="65">
        <v>474.83673450667311</v>
      </c>
      <c r="E607" s="65">
        <v>6963270.5048297672</v>
      </c>
      <c r="F607" s="65" t="s">
        <v>782</v>
      </c>
      <c r="G607" s="25">
        <f t="shared" si="14"/>
        <v>-2.0199501246882634E-2</v>
      </c>
      <c r="I607" s="66">
        <v>57.171433142859371</v>
      </c>
      <c r="J607" s="66">
        <v>57.99092248807743</v>
      </c>
      <c r="K607" s="66">
        <v>57.046099478296618</v>
      </c>
      <c r="L607" s="66">
        <v>57.933076181356157</v>
      </c>
      <c r="M607" s="66">
        <v>14853863.776302166</v>
      </c>
      <c r="N607" s="66" t="s">
        <v>782</v>
      </c>
      <c r="O607" s="25">
        <f t="shared" si="15"/>
        <v>-1.3146946247295843E-2</v>
      </c>
    </row>
    <row r="608" spans="1:15">
      <c r="A608" s="65">
        <v>471.04751368267978</v>
      </c>
      <c r="B608" s="65">
        <v>472.47044504418977</v>
      </c>
      <c r="C608" s="65">
        <v>469.49827496036994</v>
      </c>
      <c r="D608" s="65">
        <v>469.54761377318232</v>
      </c>
      <c r="E608" s="65">
        <v>6308230.4226357285</v>
      </c>
      <c r="F608" s="65" t="s">
        <v>783</v>
      </c>
      <c r="G608" s="25">
        <f t="shared" si="14"/>
        <v>3.194351042367316E-3</v>
      </c>
      <c r="I608" s="66">
        <v>57.68240885223063</v>
      </c>
      <c r="J608" s="66">
        <v>58.222307714962525</v>
      </c>
      <c r="K608" s="66">
        <v>57.634203596629575</v>
      </c>
      <c r="L608" s="66">
        <v>57.8945119768753</v>
      </c>
      <c r="M608" s="66">
        <v>14181982.67960103</v>
      </c>
      <c r="N608" s="66" t="s">
        <v>783</v>
      </c>
      <c r="O608" s="25">
        <f t="shared" si="15"/>
        <v>-3.6636136552872234E-3</v>
      </c>
    </row>
    <row r="609" spans="1:15">
      <c r="A609" s="65">
        <v>470.62319989249301</v>
      </c>
      <c r="B609" s="65">
        <v>470.68240646786791</v>
      </c>
      <c r="C609" s="65">
        <v>468.43255660362178</v>
      </c>
      <c r="D609" s="65">
        <v>470.03113413874399</v>
      </c>
      <c r="E609" s="65">
        <v>4882385.4136066614</v>
      </c>
      <c r="F609" s="65" t="s">
        <v>784</v>
      </c>
      <c r="G609" s="25">
        <f t="shared" si="14"/>
        <v>1.259630928138078E-3</v>
      </c>
      <c r="I609" s="66">
        <v>57.99092248807743</v>
      </c>
      <c r="J609" s="66">
        <v>58.550103453049744</v>
      </c>
      <c r="K609" s="66">
        <v>57.952358283596581</v>
      </c>
      <c r="L609" s="66">
        <v>58.280154021683806</v>
      </c>
      <c r="M609" s="66">
        <v>13501909.530081669</v>
      </c>
      <c r="N609" s="66" t="s">
        <v>784</v>
      </c>
      <c r="O609" s="25">
        <f t="shared" si="15"/>
        <v>-4.9627791563275903E-3</v>
      </c>
    </row>
    <row r="610" spans="1:15">
      <c r="A610" s="65">
        <v>473.72167733711257</v>
      </c>
      <c r="B610" s="65">
        <v>475.58668446142184</v>
      </c>
      <c r="C610" s="65">
        <v>472.49807477936469</v>
      </c>
      <c r="D610" s="65">
        <v>475.07356080817272</v>
      </c>
      <c r="E610" s="65">
        <v>5810800.5372975701</v>
      </c>
      <c r="F610" s="65" t="s">
        <v>785</v>
      </c>
      <c r="G610" s="25">
        <f t="shared" si="14"/>
        <v>-2.8456297773347128E-3</v>
      </c>
      <c r="I610" s="66">
        <v>58.501898197448682</v>
      </c>
      <c r="J610" s="66">
        <v>59.099643366901851</v>
      </c>
      <c r="K610" s="66">
        <v>58.453692941847628</v>
      </c>
      <c r="L610" s="66">
        <v>58.983950753459304</v>
      </c>
      <c r="M610" s="66">
        <v>12103126.365066884</v>
      </c>
      <c r="N610" s="66" t="s">
        <v>785</v>
      </c>
      <c r="O610" s="25">
        <f t="shared" si="15"/>
        <v>-8.1726054266100245E-3</v>
      </c>
    </row>
    <row r="611" spans="1:15">
      <c r="A611" s="65">
        <v>474.34334637854897</v>
      </c>
      <c r="B611" s="65">
        <v>475.78384235742027</v>
      </c>
      <c r="C611" s="65">
        <v>474.14934616657058</v>
      </c>
      <c r="D611" s="65">
        <v>474.51109834211121</v>
      </c>
      <c r="E611" s="65">
        <v>4119493.1214246862</v>
      </c>
      <c r="F611" s="65" t="s">
        <v>786</v>
      </c>
      <c r="G611" s="25">
        <f t="shared" si="14"/>
        <v>-3.5352590097126324E-4</v>
      </c>
      <c r="I611" s="66">
        <v>58.983950753459304</v>
      </c>
      <c r="J611" s="66">
        <v>59.061079162421002</v>
      </c>
      <c r="K611" s="66">
        <v>58.805591307735369</v>
      </c>
      <c r="L611" s="66">
        <v>58.945386548978455</v>
      </c>
      <c r="M611" s="66">
        <v>14192983.554783368</v>
      </c>
      <c r="N611" s="66" t="s">
        <v>786</v>
      </c>
      <c r="O611" s="25">
        <f t="shared" si="15"/>
        <v>6.5423617926074762E-4</v>
      </c>
    </row>
    <row r="612" spans="1:15">
      <c r="A612" s="65">
        <v>474.40255295392387</v>
      </c>
      <c r="B612" s="65">
        <v>474.51109834211121</v>
      </c>
      <c r="C612" s="65">
        <v>471.13632354574207</v>
      </c>
      <c r="D612" s="65">
        <v>473.16908263361353</v>
      </c>
      <c r="E612" s="65">
        <v>5017782.8749399669</v>
      </c>
      <c r="F612" s="65" t="s">
        <v>787</v>
      </c>
      <c r="G612" s="25">
        <f t="shared" si="14"/>
        <v>2.6068278033826164E-3</v>
      </c>
      <c r="I612" s="66">
        <v>58.839334986656119</v>
      </c>
      <c r="J612" s="66">
        <v>59.224977031464611</v>
      </c>
      <c r="K612" s="66">
        <v>58.521180299689114</v>
      </c>
      <c r="L612" s="66">
        <v>58.607949759771017</v>
      </c>
      <c r="M612" s="66">
        <v>13018514.10546563</v>
      </c>
      <c r="N612" s="66" t="s">
        <v>787</v>
      </c>
      <c r="O612" s="25">
        <f t="shared" si="15"/>
        <v>3.9480177660800031E-3</v>
      </c>
    </row>
    <row r="613" spans="1:15">
      <c r="A613" s="65">
        <v>470.29756372793105</v>
      </c>
      <c r="B613" s="65">
        <v>473.0309339577388</v>
      </c>
      <c r="C613" s="65">
        <v>470.12981176436887</v>
      </c>
      <c r="D613" s="65">
        <v>472.72503331830183</v>
      </c>
      <c r="E613" s="65">
        <v>8181694.6332853744</v>
      </c>
      <c r="F613" s="65" t="s">
        <v>788</v>
      </c>
      <c r="G613" s="25">
        <f t="shared" si="14"/>
        <v>-5.1350561516302351E-3</v>
      </c>
      <c r="I613" s="66">
        <v>58.36692348176571</v>
      </c>
      <c r="J613" s="66">
        <v>58.530821350809326</v>
      </c>
      <c r="K613" s="66">
        <v>58.212666663842313</v>
      </c>
      <c r="L613" s="66">
        <v>58.328359277284861</v>
      </c>
      <c r="M613" s="66">
        <v>13771722.434044644</v>
      </c>
      <c r="N613" s="66" t="s">
        <v>788</v>
      </c>
      <c r="O613" s="25">
        <f t="shared" si="15"/>
        <v>6.6115702479341287E-4</v>
      </c>
    </row>
    <row r="614" spans="1:15">
      <c r="A614" s="65">
        <v>471.61984391130375</v>
      </c>
      <c r="B614" s="65">
        <v>472.45860372911483</v>
      </c>
      <c r="C614" s="65">
        <v>471.23500117136695</v>
      </c>
      <c r="D614" s="65">
        <v>471.41262089749165</v>
      </c>
      <c r="E614" s="65">
        <v>6162771.9166257447</v>
      </c>
      <c r="F614" s="65" t="s">
        <v>789</v>
      </c>
      <c r="G614" s="25">
        <f t="shared" si="14"/>
        <v>4.3957884160494842E-4</v>
      </c>
      <c r="I614" s="66">
        <v>58.231948766082738</v>
      </c>
      <c r="J614" s="66">
        <v>58.530821350809326</v>
      </c>
      <c r="K614" s="66">
        <v>57.961999334716786</v>
      </c>
      <c r="L614" s="66">
        <v>58.309077175044436</v>
      </c>
      <c r="M614" s="66">
        <v>13634043.462794593</v>
      </c>
      <c r="N614" s="66" t="s">
        <v>789</v>
      </c>
      <c r="O614" s="25">
        <f t="shared" si="15"/>
        <v>-1.322751322751281E-3</v>
      </c>
    </row>
    <row r="615" spans="1:15">
      <c r="A615" s="65">
        <v>472.84344646905163</v>
      </c>
      <c r="B615" s="65">
        <v>473.96837140117464</v>
      </c>
      <c r="C615" s="65">
        <v>472.48820701680222</v>
      </c>
      <c r="D615" s="65">
        <v>473.52432208586293</v>
      </c>
      <c r="E615" s="65">
        <v>5960320.7543333527</v>
      </c>
      <c r="F615" s="65" t="s">
        <v>790</v>
      </c>
      <c r="G615" s="25">
        <f t="shared" si="14"/>
        <v>-1.4378894283868515E-3</v>
      </c>
      <c r="I615" s="66">
        <v>58.318718226164648</v>
      </c>
      <c r="J615" s="66">
        <v>58.607949759771017</v>
      </c>
      <c r="K615" s="66">
        <v>58.260871919443375</v>
      </c>
      <c r="L615" s="66">
        <v>58.347641379525292</v>
      </c>
      <c r="M615" s="66">
        <v>11931108.814353652</v>
      </c>
      <c r="N615" s="66" t="s">
        <v>790</v>
      </c>
      <c r="O615" s="25">
        <f t="shared" si="15"/>
        <v>-4.9570389953745853E-4</v>
      </c>
    </row>
    <row r="616" spans="1:15">
      <c r="A616" s="65">
        <v>473.46225385934514</v>
      </c>
      <c r="B616" s="65">
        <v>475.31636489814201</v>
      </c>
      <c r="C616" s="65">
        <v>473.32454799969969</v>
      </c>
      <c r="D616" s="65">
        <v>474.71144272898545</v>
      </c>
      <c r="E616" s="65">
        <v>5128722.9303001203</v>
      </c>
      <c r="F616" s="65" t="s">
        <v>791</v>
      </c>
      <c r="G616" s="25">
        <f t="shared" si="14"/>
        <v>-2.6314698934979397E-3</v>
      </c>
      <c r="I616" s="66">
        <v>58.299436123924224</v>
      </c>
      <c r="J616" s="66">
        <v>58.80077078217527</v>
      </c>
      <c r="K616" s="66">
        <v>58.154820357121039</v>
      </c>
      <c r="L616" s="66">
        <v>58.386205584006142</v>
      </c>
      <c r="M616" s="66">
        <v>13553581.281822056</v>
      </c>
      <c r="N616" s="66" t="s">
        <v>791</v>
      </c>
      <c r="O616" s="25">
        <f t="shared" si="15"/>
        <v>-1.486129458388441E-3</v>
      </c>
    </row>
    <row r="617" spans="1:15">
      <c r="A617" s="65">
        <v>471.88847260625494</v>
      </c>
      <c r="B617" s="65">
        <v>472.1540481927139</v>
      </c>
      <c r="C617" s="65">
        <v>467.14745658132085</v>
      </c>
      <c r="D617" s="65">
        <v>467.74746068406148</v>
      </c>
      <c r="E617" s="65">
        <v>6282302.3089051498</v>
      </c>
      <c r="F617" s="65" t="s">
        <v>792</v>
      </c>
      <c r="G617" s="25">
        <f t="shared" si="14"/>
        <v>8.8530933254824529E-3</v>
      </c>
      <c r="I617" s="66">
        <v>58.569385555290168</v>
      </c>
      <c r="J617" s="66">
        <v>58.627231862011449</v>
      </c>
      <c r="K617" s="66">
        <v>57.995743013637536</v>
      </c>
      <c r="L617" s="66">
        <v>58.019845641438067</v>
      </c>
      <c r="M617" s="66">
        <v>15826867.641029455</v>
      </c>
      <c r="N617" s="66" t="s">
        <v>792</v>
      </c>
      <c r="O617" s="25">
        <f t="shared" si="15"/>
        <v>9.4715852442670556E-3</v>
      </c>
    </row>
    <row r="618" spans="1:15">
      <c r="A618" s="65">
        <v>467.80647748105235</v>
      </c>
      <c r="B618" s="65">
        <v>467.94418334069775</v>
      </c>
      <c r="C618" s="65">
        <v>463.56710423054074</v>
      </c>
      <c r="D618" s="65">
        <v>464.46219231823574</v>
      </c>
      <c r="E618" s="65">
        <v>4626053.8341683242</v>
      </c>
      <c r="F618" s="65" t="s">
        <v>793</v>
      </c>
      <c r="G618" s="25">
        <f t="shared" si="14"/>
        <v>7.2003388394747958E-3</v>
      </c>
      <c r="I618" s="66">
        <v>58.068050897039122</v>
      </c>
      <c r="J618" s="66">
        <v>58.183743510481676</v>
      </c>
      <c r="K618" s="66">
        <v>57.90415302799552</v>
      </c>
      <c r="L618" s="66">
        <v>58.077691948159341</v>
      </c>
      <c r="M618" s="66">
        <v>15590236.803628631</v>
      </c>
      <c r="N618" s="66" t="s">
        <v>793</v>
      </c>
      <c r="O618" s="25">
        <f t="shared" si="15"/>
        <v>-1.6600265604260755E-4</v>
      </c>
    </row>
    <row r="619" spans="1:15">
      <c r="A619" s="65">
        <v>465.1999022806217</v>
      </c>
      <c r="B619" s="65">
        <v>467.49073761715113</v>
      </c>
      <c r="C619" s="65">
        <v>464.75727630319011</v>
      </c>
      <c r="D619" s="65">
        <v>466.1835155638031</v>
      </c>
      <c r="E619" s="65">
        <v>4004729.366056887</v>
      </c>
      <c r="F619" s="65" t="s">
        <v>794</v>
      </c>
      <c r="G619" s="25">
        <f t="shared" si="14"/>
        <v>-2.1099272075114639E-3</v>
      </c>
      <c r="I619" s="66">
        <v>57.971640385837006</v>
      </c>
      <c r="J619" s="66">
        <v>58.231948766082738</v>
      </c>
      <c r="K619" s="66">
        <v>57.654449803982018</v>
      </c>
      <c r="L619" s="66">
        <v>57.740255158951911</v>
      </c>
      <c r="M619" s="66">
        <v>16447051.055207668</v>
      </c>
      <c r="N619" s="66" t="s">
        <v>794</v>
      </c>
      <c r="O619" s="25">
        <f t="shared" si="15"/>
        <v>4.0073468024710568E-3</v>
      </c>
    </row>
    <row r="620" spans="1:15">
      <c r="A620" s="65">
        <v>462.30807922806855</v>
      </c>
      <c r="B620" s="65">
        <v>464.05045179789602</v>
      </c>
      <c r="C620" s="65">
        <v>461.03931645409295</v>
      </c>
      <c r="D620" s="65">
        <v>462.70152454134114</v>
      </c>
      <c r="E620" s="65">
        <v>6920491.128366488</v>
      </c>
      <c r="F620" s="65" t="s">
        <v>795</v>
      </c>
      <c r="G620" s="25">
        <f t="shared" si="14"/>
        <v>-8.5032205948010198E-4</v>
      </c>
      <c r="I620" s="66">
        <v>57.730614107831698</v>
      </c>
      <c r="J620" s="66">
        <v>58.280154021683806</v>
      </c>
      <c r="K620" s="66">
        <v>57.499228880946596</v>
      </c>
      <c r="L620" s="66">
        <v>57.86558882351467</v>
      </c>
      <c r="M620" s="66">
        <v>38221900.849321775</v>
      </c>
      <c r="N620" s="66" t="s">
        <v>795</v>
      </c>
      <c r="O620" s="25">
        <f t="shared" si="15"/>
        <v>-2.3325558147283543E-3</v>
      </c>
    </row>
    <row r="621" spans="1:15">
      <c r="A621" s="65">
        <v>465.51465853123977</v>
      </c>
      <c r="B621" s="65">
        <v>467.53598382817745</v>
      </c>
      <c r="C621" s="65">
        <v>462.74086907266832</v>
      </c>
      <c r="D621" s="65">
        <v>467.37368763645253</v>
      </c>
      <c r="E621" s="65">
        <v>5238827.1774181742</v>
      </c>
      <c r="F621" s="65" t="s">
        <v>796</v>
      </c>
      <c r="G621" s="25">
        <f t="shared" si="14"/>
        <v>-3.9776075427224722E-3</v>
      </c>
      <c r="I621" s="66">
        <v>58.328359277284861</v>
      </c>
      <c r="J621" s="66">
        <v>58.61759081089123</v>
      </c>
      <c r="K621" s="66">
        <v>58.231948766082738</v>
      </c>
      <c r="L621" s="66">
        <v>58.405487686246559</v>
      </c>
      <c r="M621" s="66">
        <v>14517720.967847832</v>
      </c>
      <c r="N621" s="66" t="s">
        <v>796</v>
      </c>
      <c r="O621" s="25">
        <f t="shared" si="15"/>
        <v>-1.320567844173004E-3</v>
      </c>
    </row>
    <row r="622" spans="1:15">
      <c r="A622" s="65">
        <v>466.5376163457484</v>
      </c>
      <c r="B622" s="65">
        <v>467.67860775423878</v>
      </c>
      <c r="C622" s="65">
        <v>465.15072161646265</v>
      </c>
      <c r="D622" s="65">
        <v>467.52122962892975</v>
      </c>
      <c r="E622" s="65">
        <v>3603576.792431822</v>
      </c>
      <c r="F622" s="65" t="s">
        <v>797</v>
      </c>
      <c r="G622" s="25">
        <f t="shared" si="14"/>
        <v>-2.1038900927815574E-3</v>
      </c>
      <c r="I622" s="66">
        <v>58.458513467407712</v>
      </c>
      <c r="J622" s="66">
        <v>58.544594393652261</v>
      </c>
      <c r="K622" s="66">
        <v>58.152543597345151</v>
      </c>
      <c r="L622" s="66">
        <v>58.228964330755595</v>
      </c>
      <c r="M622" s="66">
        <v>14542726.880559163</v>
      </c>
      <c r="N622" s="66" t="s">
        <v>797</v>
      </c>
      <c r="O622" s="25">
        <f t="shared" si="15"/>
        <v>3.9421813403415218E-3</v>
      </c>
    </row>
    <row r="623" spans="1:15">
      <c r="A623" s="65">
        <v>467.2458179096389</v>
      </c>
      <c r="B623" s="65">
        <v>467.75729681689324</v>
      </c>
      <c r="C623" s="65">
        <v>461.87528938346873</v>
      </c>
      <c r="D623" s="65">
        <v>464.18678059894495</v>
      </c>
      <c r="E623" s="65">
        <v>4891186.4878841415</v>
      </c>
      <c r="F623" s="65" t="s">
        <v>798</v>
      </c>
      <c r="G623" s="25">
        <f t="shared" si="14"/>
        <v>6.5901000169519275E-3</v>
      </c>
      <c r="I623" s="66">
        <v>57.865511531056391</v>
      </c>
      <c r="J623" s="66">
        <v>58.104625215069021</v>
      </c>
      <c r="K623" s="66">
        <v>57.588139657601744</v>
      </c>
      <c r="L623" s="66">
        <v>57.693349678567301</v>
      </c>
      <c r="M623" s="66">
        <v>13262148.768668976</v>
      </c>
      <c r="N623" s="66" t="s">
        <v>798</v>
      </c>
      <c r="O623" s="25">
        <f t="shared" si="15"/>
        <v>2.9840848806366171E-3</v>
      </c>
    </row>
    <row r="624" spans="1:15">
      <c r="A624" s="65">
        <v>462.29824309523673</v>
      </c>
      <c r="B624" s="65">
        <v>462.74578713908426</v>
      </c>
      <c r="C624" s="65">
        <v>459.73101242613342</v>
      </c>
      <c r="D624" s="65">
        <v>461.51135246869165</v>
      </c>
      <c r="E624" s="65">
        <v>5412560.0894497139</v>
      </c>
      <c r="F624" s="65" t="s">
        <v>799</v>
      </c>
      <c r="G624" s="25">
        <f t="shared" si="14"/>
        <v>1.7050298380221207E-3</v>
      </c>
      <c r="I624" s="66">
        <v>57.616833299683258</v>
      </c>
      <c r="J624" s="66">
        <v>57.664656036485781</v>
      </c>
      <c r="K624" s="66">
        <v>56.980790900209669</v>
      </c>
      <c r="L624" s="66">
        <v>57.176864121100017</v>
      </c>
      <c r="M624" s="66">
        <v>14756850.970576929</v>
      </c>
      <c r="N624" s="66" t="s">
        <v>799</v>
      </c>
      <c r="O624" s="25">
        <f t="shared" si="15"/>
        <v>7.6948812311810055E-3</v>
      </c>
    </row>
    <row r="625" spans="1:15">
      <c r="A625" s="65">
        <v>462.68185227567744</v>
      </c>
      <c r="B625" s="65">
        <v>468.49441661130936</v>
      </c>
      <c r="C625" s="65">
        <v>462.1211927042641</v>
      </c>
      <c r="D625" s="65">
        <v>466.00646517283042</v>
      </c>
      <c r="E625" s="65">
        <v>6390341.7201423468</v>
      </c>
      <c r="F625" s="65" t="s">
        <v>800</v>
      </c>
      <c r="G625" s="25">
        <f t="shared" si="14"/>
        <v>-7.1342634611731848E-3</v>
      </c>
      <c r="I625" s="66">
        <v>56.92818588972689</v>
      </c>
      <c r="J625" s="66">
        <v>57.186428668460522</v>
      </c>
      <c r="K625" s="66">
        <v>56.402135784899102</v>
      </c>
      <c r="L625" s="66">
        <v>56.717765847795768</v>
      </c>
      <c r="M625" s="66">
        <v>13841755.914835816</v>
      </c>
      <c r="N625" s="66" t="s">
        <v>800</v>
      </c>
      <c r="O625" s="25">
        <f t="shared" si="15"/>
        <v>3.7099494097809771E-3</v>
      </c>
    </row>
    <row r="626" spans="1:15">
      <c r="A626" s="65">
        <v>465.50482239840795</v>
      </c>
      <c r="B626" s="65">
        <v>466.4195827517666</v>
      </c>
      <c r="C626" s="65">
        <v>463.06546145611816</v>
      </c>
      <c r="D626" s="65">
        <v>463.90153274682234</v>
      </c>
      <c r="E626" s="65">
        <v>7268915.6625406686</v>
      </c>
      <c r="F626" s="65" t="s">
        <v>801</v>
      </c>
      <c r="G626" s="25">
        <f t="shared" si="14"/>
        <v>3.4560990607044317E-3</v>
      </c>
      <c r="I626" s="66">
        <v>56.851669510842839</v>
      </c>
      <c r="J626" s="66">
        <v>57.16729957373952</v>
      </c>
      <c r="K626" s="66">
        <v>56.66037856363274</v>
      </c>
      <c r="L626" s="66">
        <v>57.090783194855469</v>
      </c>
      <c r="M626" s="66">
        <v>14309991.350471053</v>
      </c>
      <c r="N626" s="66" t="s">
        <v>801</v>
      </c>
      <c r="O626" s="25">
        <f t="shared" si="15"/>
        <v>-4.1883062489529443E-3</v>
      </c>
    </row>
    <row r="627" spans="1:15">
      <c r="A627" s="65">
        <v>460.94085676444649</v>
      </c>
      <c r="B627" s="65">
        <v>462.94742786213646</v>
      </c>
      <c r="C627" s="65">
        <v>459.66206113498242</v>
      </c>
      <c r="D627" s="65">
        <v>461.56053313285071</v>
      </c>
      <c r="E627" s="65">
        <v>5413763.8145520939</v>
      </c>
      <c r="F627" s="65" t="s">
        <v>802</v>
      </c>
      <c r="G627" s="25">
        <f t="shared" si="14"/>
        <v>-1.3425679275438362E-3</v>
      </c>
      <c r="I627" s="66">
        <v>56.956879531808397</v>
      </c>
      <c r="J627" s="66">
        <v>57.382501889350877</v>
      </c>
      <c r="K627" s="66">
        <v>56.794282226679812</v>
      </c>
      <c r="L627" s="66">
        <v>56.92818588972689</v>
      </c>
      <c r="M627" s="66">
        <v>12942395.006705435</v>
      </c>
      <c r="N627" s="66" t="s">
        <v>802</v>
      </c>
      <c r="O627" s="25">
        <f t="shared" si="15"/>
        <v>5.0403225806427976E-4</v>
      </c>
    </row>
    <row r="628" spans="1:15">
      <c r="A628" s="65">
        <v>458.51133195498852</v>
      </c>
      <c r="B628" s="65">
        <v>461.68840285966428</v>
      </c>
      <c r="C628" s="65">
        <v>456.4555801931395</v>
      </c>
      <c r="D628" s="65">
        <v>461.26544914789633</v>
      </c>
      <c r="E628" s="65">
        <v>4693412.6235755878</v>
      </c>
      <c r="F628" s="65" t="s">
        <v>803</v>
      </c>
      <c r="G628" s="25">
        <f t="shared" si="14"/>
        <v>-5.9707857980595413E-3</v>
      </c>
      <c r="I628" s="66">
        <v>56.92818588972689</v>
      </c>
      <c r="J628" s="66">
        <v>57.492494183996691</v>
      </c>
      <c r="K628" s="66">
        <v>56.832540416121837</v>
      </c>
      <c r="L628" s="66">
        <v>57.301203236786584</v>
      </c>
      <c r="M628" s="66">
        <v>12870404.145659227</v>
      </c>
      <c r="N628" s="66" t="s">
        <v>803</v>
      </c>
      <c r="O628" s="25">
        <f t="shared" si="15"/>
        <v>-6.5097646469702841E-3</v>
      </c>
    </row>
    <row r="629" spans="1:15">
      <c r="A629" s="65">
        <v>463.1539866516045</v>
      </c>
      <c r="B629" s="65">
        <v>464.85563763150827</v>
      </c>
      <c r="C629" s="65">
        <v>462.88841106514559</v>
      </c>
      <c r="D629" s="65">
        <v>462.89824719797735</v>
      </c>
      <c r="E629" s="65">
        <v>4036385.0995981134</v>
      </c>
      <c r="F629" s="65" t="s">
        <v>804</v>
      </c>
      <c r="G629" s="25">
        <f t="shared" si="14"/>
        <v>5.5247444805672785E-4</v>
      </c>
      <c r="I629" s="66">
        <v>57.205557763181538</v>
      </c>
      <c r="J629" s="66">
        <v>57.33946142622861</v>
      </c>
      <c r="K629" s="66">
        <v>56.641249468911731</v>
      </c>
      <c r="L629" s="66">
        <v>56.650814016272228</v>
      </c>
      <c r="M629" s="66">
        <v>10612361.063643554</v>
      </c>
      <c r="N629" s="66" t="s">
        <v>804</v>
      </c>
      <c r="O629" s="25">
        <f t="shared" si="15"/>
        <v>9.7923349653892267E-3</v>
      </c>
    </row>
    <row r="630" spans="1:15">
      <c r="A630" s="65">
        <v>463.70481009018607</v>
      </c>
      <c r="B630" s="65">
        <v>464.03923860646773</v>
      </c>
      <c r="C630" s="65">
        <v>459.77035695746065</v>
      </c>
      <c r="D630" s="65">
        <v>460.16380227073319</v>
      </c>
      <c r="E630" s="65">
        <v>4920044.3738901056</v>
      </c>
      <c r="F630" s="65" t="s">
        <v>805</v>
      </c>
      <c r="G630" s="25">
        <f t="shared" si="14"/>
        <v>7.6951029220015954E-3</v>
      </c>
      <c r="I630" s="66">
        <v>56.937750437087388</v>
      </c>
      <c r="J630" s="66">
        <v>57.29163868942608</v>
      </c>
      <c r="K630" s="66">
        <v>56.756024037237793</v>
      </c>
      <c r="L630" s="66">
        <v>57.29163868942608</v>
      </c>
      <c r="M630" s="66">
        <v>11425071.765678223</v>
      </c>
      <c r="N630" s="66" t="s">
        <v>805</v>
      </c>
      <c r="O630" s="25">
        <f t="shared" si="15"/>
        <v>-6.176961602671116E-3</v>
      </c>
    </row>
    <row r="631" spans="1:15">
      <c r="A631" s="65">
        <v>459.27855031587001</v>
      </c>
      <c r="B631" s="65">
        <v>460.81298703763292</v>
      </c>
      <c r="C631" s="65">
        <v>456.85886163924386</v>
      </c>
      <c r="D631" s="65">
        <v>459.31789484719724</v>
      </c>
      <c r="E631" s="65">
        <v>7455085.3728639456</v>
      </c>
      <c r="F631" s="65" t="s">
        <v>806</v>
      </c>
      <c r="G631" s="25">
        <f t="shared" si="14"/>
        <v>-8.5658607619332194E-5</v>
      </c>
      <c r="I631" s="66">
        <v>57.406413257752149</v>
      </c>
      <c r="J631" s="66">
        <v>57.999415194103463</v>
      </c>
      <c r="K631" s="66">
        <v>57.29163868942608</v>
      </c>
      <c r="L631" s="66">
        <v>57.722043320648815</v>
      </c>
      <c r="M631" s="66">
        <v>18979100.960864704</v>
      </c>
      <c r="N631" s="66" t="s">
        <v>806</v>
      </c>
      <c r="O631" s="25">
        <f t="shared" si="15"/>
        <v>-5.4681027340512944E-3</v>
      </c>
    </row>
    <row r="632" spans="1:15">
      <c r="A632" s="65">
        <v>457.58673546879805</v>
      </c>
      <c r="B632" s="65">
        <v>458.1965757043705</v>
      </c>
      <c r="C632" s="65">
        <v>456.50476085729855</v>
      </c>
      <c r="D632" s="65">
        <v>456.8785339049075</v>
      </c>
      <c r="E632" s="65">
        <v>2847259.2307231338</v>
      </c>
      <c r="F632" s="65" t="s">
        <v>807</v>
      </c>
      <c r="G632" s="25">
        <f t="shared" si="14"/>
        <v>1.55008719240457E-3</v>
      </c>
      <c r="I632" s="66">
        <v>57.769866057451338</v>
      </c>
      <c r="J632" s="66">
        <v>57.855946983695887</v>
      </c>
      <c r="K632" s="66">
        <v>57.444671447194168</v>
      </c>
      <c r="L632" s="66">
        <v>57.741172415369824</v>
      </c>
      <c r="M632" s="66">
        <v>8444242.7807408608</v>
      </c>
      <c r="N632" s="66" t="s">
        <v>807</v>
      </c>
      <c r="O632" s="25">
        <f t="shared" si="15"/>
        <v>4.969355640218609E-4</v>
      </c>
    </row>
    <row r="633" spans="1:15">
      <c r="A633" s="65">
        <v>458.29493703268861</v>
      </c>
      <c r="B633" s="65">
        <v>458.48182355649311</v>
      </c>
      <c r="C633" s="65">
        <v>456.30803820066234</v>
      </c>
      <c r="D633" s="65">
        <v>458.0785421103887</v>
      </c>
      <c r="E633" s="65">
        <v>3646700.4475565357</v>
      </c>
      <c r="F633" s="65" t="s">
        <v>808</v>
      </c>
      <c r="G633" s="25">
        <f t="shared" si="14"/>
        <v>4.7239698524825791E-4</v>
      </c>
      <c r="I633" s="66">
        <v>57.712478773288311</v>
      </c>
      <c r="J633" s="66">
        <v>58.133318857150542</v>
      </c>
      <c r="K633" s="66">
        <v>57.502058731357195</v>
      </c>
      <c r="L633" s="66">
        <v>57.90376972049841</v>
      </c>
      <c r="M633" s="66">
        <v>10383228.422296662</v>
      </c>
      <c r="N633" s="66" t="s">
        <v>808</v>
      </c>
      <c r="O633" s="25">
        <f t="shared" si="15"/>
        <v>-3.3036009250081433E-3</v>
      </c>
    </row>
    <row r="634" spans="1:15">
      <c r="A634" s="65">
        <v>457.44902960915266</v>
      </c>
      <c r="B634" s="65">
        <v>459.92773508276963</v>
      </c>
      <c r="C634" s="65">
        <v>457.32115988233909</v>
      </c>
      <c r="D634" s="65">
        <v>459.53428976949715</v>
      </c>
      <c r="E634" s="65">
        <v>3508293.4106368246</v>
      </c>
      <c r="F634" s="65" t="s">
        <v>809</v>
      </c>
      <c r="G634" s="25">
        <f t="shared" si="14"/>
        <v>-4.5377683597680463E-3</v>
      </c>
      <c r="I634" s="66">
        <v>58.066367025627002</v>
      </c>
      <c r="J634" s="66">
        <v>58.601981677815296</v>
      </c>
      <c r="K634" s="66">
        <v>58.018544288824472</v>
      </c>
      <c r="L634" s="66">
        <v>58.573288035733782</v>
      </c>
      <c r="M634" s="66">
        <v>10806675.538751328</v>
      </c>
      <c r="N634" s="66" t="s">
        <v>809</v>
      </c>
      <c r="O634" s="25">
        <f t="shared" si="15"/>
        <v>-8.6544741998694219E-3</v>
      </c>
    </row>
    <row r="635" spans="1:15">
      <c r="A635" s="65">
        <v>459.13100832339273</v>
      </c>
      <c r="B635" s="65">
        <v>461.18676008524181</v>
      </c>
      <c r="C635" s="65">
        <v>458.4530036872959</v>
      </c>
      <c r="D635" s="65">
        <v>460.41954172436033</v>
      </c>
      <c r="E635" s="65">
        <v>4118103.1908178921</v>
      </c>
      <c r="F635" s="65" t="s">
        <v>810</v>
      </c>
      <c r="G635" s="25">
        <f t="shared" si="14"/>
        <v>-2.7986071054711958E-3</v>
      </c>
      <c r="I635" s="66">
        <v>58.535029846291756</v>
      </c>
      <c r="J635" s="66">
        <v>58.936740835432971</v>
      </c>
      <c r="K635" s="66">
        <v>58.34373889908165</v>
      </c>
      <c r="L635" s="66">
        <v>58.429819825326206</v>
      </c>
      <c r="M635" s="66">
        <v>14232679.798535684</v>
      </c>
      <c r="N635" s="66" t="s">
        <v>810</v>
      </c>
      <c r="O635" s="25">
        <f t="shared" si="15"/>
        <v>1.8006220330659684E-3</v>
      </c>
    </row>
    <row r="636" spans="1:15">
      <c r="A636" s="65">
        <v>458.9244495339247</v>
      </c>
      <c r="B636" s="65">
        <v>459.67199562914249</v>
      </c>
      <c r="C636" s="65">
        <v>454.73917501398802</v>
      </c>
      <c r="D636" s="65">
        <v>455.62934503526719</v>
      </c>
      <c r="E636" s="65">
        <v>4400648.1754699135</v>
      </c>
      <c r="F636" s="65" t="s">
        <v>811</v>
      </c>
      <c r="G636" s="25">
        <f t="shared" ref="G636:G699" si="16">A636/D636-1</f>
        <v>7.2319848020379052E-3</v>
      </c>
      <c r="I636" s="66">
        <v>58.487207109489226</v>
      </c>
      <c r="J636" s="66">
        <v>58.582852583094279</v>
      </c>
      <c r="K636" s="66">
        <v>57.865511531056391</v>
      </c>
      <c r="L636" s="66">
        <v>58.334174351721153</v>
      </c>
      <c r="M636" s="66">
        <v>13573877.059367985</v>
      </c>
      <c r="N636" s="66" t="s">
        <v>811</v>
      </c>
      <c r="O636" s="25">
        <f t="shared" ref="O636:O699" si="17">I636/L636-1</f>
        <v>2.62338088211167E-3</v>
      </c>
    </row>
    <row r="637" spans="1:15">
      <c r="A637" s="65">
        <v>449.48176201538371</v>
      </c>
      <c r="B637" s="65">
        <v>449.62930400786092</v>
      </c>
      <c r="C637" s="65">
        <v>446.16698525106256</v>
      </c>
      <c r="D637" s="65">
        <v>447.85880009813445</v>
      </c>
      <c r="E637" s="65">
        <v>4293433.275261458</v>
      </c>
      <c r="F637" s="65" t="s">
        <v>812</v>
      </c>
      <c r="G637" s="25">
        <f t="shared" si="16"/>
        <v>3.6238250021962681E-3</v>
      </c>
      <c r="I637" s="66">
        <v>58.573288035733782</v>
      </c>
      <c r="J637" s="66">
        <v>58.6115462251758</v>
      </c>
      <c r="K637" s="66">
        <v>58.181141593953065</v>
      </c>
      <c r="L637" s="66">
        <v>58.334174351721153</v>
      </c>
      <c r="M637" s="66">
        <v>15032874.487476589</v>
      </c>
      <c r="N637" s="66" t="s">
        <v>812</v>
      </c>
      <c r="O637" s="25">
        <f t="shared" si="17"/>
        <v>4.0990326282996925E-3</v>
      </c>
    </row>
    <row r="638" spans="1:15">
      <c r="A638" s="65">
        <v>449.02929990512024</v>
      </c>
      <c r="B638" s="65">
        <v>450.55390049405139</v>
      </c>
      <c r="C638" s="65">
        <v>446.98338427610304</v>
      </c>
      <c r="D638" s="65">
        <v>449.94406025847894</v>
      </c>
      <c r="E638" s="65">
        <v>5395193.508200678</v>
      </c>
      <c r="F638" s="65" t="s">
        <v>813</v>
      </c>
      <c r="G638" s="25">
        <f t="shared" si="16"/>
        <v>-2.0330535152152107E-3</v>
      </c>
      <c r="I638" s="66">
        <v>58.056802478266498</v>
      </c>
      <c r="J638" s="66">
        <v>58.190706141313569</v>
      </c>
      <c r="K638" s="66">
        <v>56.918621342366379</v>
      </c>
      <c r="L638" s="66">
        <v>56.999919994930671</v>
      </c>
      <c r="M638" s="66">
        <v>19174272.768754773</v>
      </c>
      <c r="N638" s="66" t="s">
        <v>813</v>
      </c>
      <c r="O638" s="25">
        <f t="shared" si="17"/>
        <v>1.8541823978521776E-2</v>
      </c>
    </row>
    <row r="639" spans="1:15">
      <c r="A639" s="65">
        <v>451.50800537873727</v>
      </c>
      <c r="B639" s="65">
        <v>454.5768788222631</v>
      </c>
      <c r="C639" s="65">
        <v>450.888329010333</v>
      </c>
      <c r="D639" s="65">
        <v>453.52441260925906</v>
      </c>
      <c r="E639" s="65">
        <v>5619986.1210910352</v>
      </c>
      <c r="F639" s="65" t="s">
        <v>814</v>
      </c>
      <c r="G639" s="25">
        <f t="shared" si="16"/>
        <v>-4.4460831092218989E-3</v>
      </c>
      <c r="I639" s="66">
        <v>56.803846774040316</v>
      </c>
      <c r="J639" s="66">
        <v>57.023831363331936</v>
      </c>
      <c r="K639" s="66">
        <v>56.387788963858341</v>
      </c>
      <c r="L639" s="66">
        <v>56.765588584598298</v>
      </c>
      <c r="M639" s="66">
        <v>14582035.588627512</v>
      </c>
      <c r="N639" s="66" t="s">
        <v>814</v>
      </c>
      <c r="O639" s="25">
        <f t="shared" si="17"/>
        <v>6.7396798652064049E-4</v>
      </c>
    </row>
    <row r="640" spans="1:15">
      <c r="A640" s="65">
        <v>453.82933272704526</v>
      </c>
      <c r="B640" s="65">
        <v>453.97687471952253</v>
      </c>
      <c r="C640" s="65">
        <v>450.91783740882846</v>
      </c>
      <c r="D640" s="65">
        <v>451.38013565192369</v>
      </c>
      <c r="E640" s="65">
        <v>5790599.9211174203</v>
      </c>
      <c r="F640" s="65" t="s">
        <v>815</v>
      </c>
      <c r="G640" s="25">
        <f t="shared" si="16"/>
        <v>5.4260187404662208E-3</v>
      </c>
      <c r="I640" s="66">
        <v>56.813411321400821</v>
      </c>
      <c r="J640" s="66">
        <v>56.995137721250423</v>
      </c>
      <c r="K640" s="66">
        <v>56.555168542667182</v>
      </c>
      <c r="L640" s="66">
        <v>56.832540416121837</v>
      </c>
      <c r="M640" s="66">
        <v>14319389.599715047</v>
      </c>
      <c r="N640" s="66" t="s">
        <v>815</v>
      </c>
      <c r="O640" s="25">
        <f t="shared" si="17"/>
        <v>-3.3658700774163997E-4</v>
      </c>
    </row>
    <row r="641" spans="1:15">
      <c r="A641" s="65">
        <v>450.78013154918312</v>
      </c>
      <c r="B641" s="65">
        <v>451.15390459679202</v>
      </c>
      <c r="C641" s="65">
        <v>446.95387587760757</v>
      </c>
      <c r="D641" s="65">
        <v>449.09323476852705</v>
      </c>
      <c r="E641" s="65">
        <v>5717703.3862433787</v>
      </c>
      <c r="F641" s="65" t="s">
        <v>816</v>
      </c>
      <c r="G641" s="25">
        <f t="shared" si="16"/>
        <v>3.7562284400154411E-3</v>
      </c>
      <c r="I641" s="66">
        <v>56.708201300435263</v>
      </c>
      <c r="J641" s="66">
        <v>56.995137721250423</v>
      </c>
      <c r="K641" s="66">
        <v>56.464305342742378</v>
      </c>
      <c r="L641" s="66">
        <v>56.593426732109208</v>
      </c>
      <c r="M641" s="66">
        <v>16595090.600462701</v>
      </c>
      <c r="N641" s="66" t="s">
        <v>816</v>
      </c>
      <c r="O641" s="25">
        <f t="shared" si="17"/>
        <v>2.0280547574782481E-3</v>
      </c>
    </row>
    <row r="642" spans="1:15">
      <c r="A642" s="65">
        <v>446.53092216583963</v>
      </c>
      <c r="B642" s="65">
        <v>448.23257314574334</v>
      </c>
      <c r="C642" s="65">
        <v>443.60467264837507</v>
      </c>
      <c r="D642" s="65">
        <v>447.03256494026215</v>
      </c>
      <c r="E642" s="65">
        <v>8288056.0270930398</v>
      </c>
      <c r="F642" s="65" t="s">
        <v>817</v>
      </c>
      <c r="G642" s="25">
        <f t="shared" si="16"/>
        <v>-1.1221615912692107E-3</v>
      </c>
      <c r="I642" s="66">
        <v>56.765588584598298</v>
      </c>
      <c r="J642" s="66">
        <v>58.013762015144223</v>
      </c>
      <c r="K642" s="66">
        <v>56.229973932410005</v>
      </c>
      <c r="L642" s="66">
        <v>56.909056795005874</v>
      </c>
      <c r="M642" s="66">
        <v>25297282.859313492</v>
      </c>
      <c r="N642" s="66" t="s">
        <v>817</v>
      </c>
      <c r="O642" s="25">
        <f t="shared" si="17"/>
        <v>-2.5210084033613356E-3</v>
      </c>
    </row>
    <row r="643" spans="1:15">
      <c r="A643" s="65">
        <v>452.91457237368661</v>
      </c>
      <c r="B643" s="65">
        <v>455.15721065934014</v>
      </c>
      <c r="C643" s="65">
        <v>452.21620694262788</v>
      </c>
      <c r="D643" s="65">
        <v>453.06211436616383</v>
      </c>
      <c r="E643" s="65">
        <v>4640271.8202804755</v>
      </c>
      <c r="F643" s="65" t="s">
        <v>818</v>
      </c>
      <c r="G643" s="25">
        <f t="shared" si="16"/>
        <v>-3.2565510952864418E-4</v>
      </c>
      <c r="I643" s="66">
        <v>57.10034774221598</v>
      </c>
      <c r="J643" s="66">
        <v>57.157735026379008</v>
      </c>
      <c r="K643" s="66">
        <v>56.392571237538597</v>
      </c>
      <c r="L643" s="66">
        <v>57.062089552773955</v>
      </c>
      <c r="M643" s="66">
        <v>14132171.121672463</v>
      </c>
      <c r="N643" s="66" t="s">
        <v>818</v>
      </c>
      <c r="O643" s="25">
        <f t="shared" si="17"/>
        <v>6.7046597385189699E-4</v>
      </c>
    </row>
    <row r="644" spans="1:15">
      <c r="A644" s="65">
        <v>453.1211311631547</v>
      </c>
      <c r="B644" s="65">
        <v>453.47523194509995</v>
      </c>
      <c r="C644" s="65">
        <v>450.66209795520132</v>
      </c>
      <c r="D644" s="65">
        <v>451.02603486997845</v>
      </c>
      <c r="E644" s="65">
        <v>4069276.0746928803</v>
      </c>
      <c r="F644" s="65" t="s">
        <v>819</v>
      </c>
      <c r="G644" s="25">
        <f t="shared" si="16"/>
        <v>4.6451781742049558E-3</v>
      </c>
      <c r="I644" s="66">
        <v>56.966444079168909</v>
      </c>
      <c r="J644" s="66">
        <v>56.985573173889911</v>
      </c>
      <c r="K644" s="66">
        <v>56.459523069062129</v>
      </c>
      <c r="L644" s="66">
        <v>56.88036315292436</v>
      </c>
      <c r="M644" s="66">
        <v>15928878.205894828</v>
      </c>
      <c r="N644" s="66" t="s">
        <v>819</v>
      </c>
      <c r="O644" s="25">
        <f t="shared" si="17"/>
        <v>1.5133680847485564E-3</v>
      </c>
    </row>
    <row r="645" spans="1:15">
      <c r="A645" s="65">
        <v>450.56373662688316</v>
      </c>
      <c r="B645" s="65">
        <v>450.8194760805103</v>
      </c>
      <c r="C645" s="65">
        <v>449.54077881237453</v>
      </c>
      <c r="D645" s="65">
        <v>450.30799717325601</v>
      </c>
      <c r="E645" s="65">
        <v>4254306.1094758129</v>
      </c>
      <c r="F645" s="65" t="s">
        <v>820</v>
      </c>
      <c r="G645" s="25">
        <f t="shared" si="16"/>
        <v>5.6792119001336516E-4</v>
      </c>
      <c r="I645" s="66">
        <v>57.22468685790254</v>
      </c>
      <c r="J645" s="66">
        <v>57.358590520949619</v>
      </c>
      <c r="K645" s="66">
        <v>56.822975868761326</v>
      </c>
      <c r="L645" s="66">
        <v>57.282074142065575</v>
      </c>
      <c r="M645" s="66">
        <v>13460920.328716913</v>
      </c>
      <c r="N645" s="66" t="s">
        <v>820</v>
      </c>
      <c r="O645" s="25">
        <f t="shared" si="17"/>
        <v>-1.0018367006178197E-3</v>
      </c>
    </row>
    <row r="646" spans="1:15">
      <c r="A646" s="65">
        <v>450.25881650909696</v>
      </c>
      <c r="B646" s="65">
        <v>450.67193408803314</v>
      </c>
      <c r="C646" s="65">
        <v>447.80961943397534</v>
      </c>
      <c r="D646" s="65">
        <v>448.67519912317493</v>
      </c>
      <c r="E646" s="65">
        <v>6876091.5652996404</v>
      </c>
      <c r="F646" s="65" t="s">
        <v>821</v>
      </c>
      <c r="G646" s="25">
        <f t="shared" si="16"/>
        <v>3.5295407212541097E-3</v>
      </c>
      <c r="I646" s="66">
        <v>57.377719615670628</v>
      </c>
      <c r="J646" s="66">
        <v>57.588139657601744</v>
      </c>
      <c r="K646" s="66">
        <v>57.329896878868098</v>
      </c>
      <c r="L646" s="66">
        <v>57.454235994554672</v>
      </c>
      <c r="M646" s="66">
        <v>10727002.139553506</v>
      </c>
      <c r="N646" s="66" t="s">
        <v>821</v>
      </c>
      <c r="O646" s="25">
        <f t="shared" si="17"/>
        <v>-1.3317795904778107E-3</v>
      </c>
    </row>
    <row r="647" spans="1:15">
      <c r="A647" s="65">
        <v>446.5899389628305</v>
      </c>
      <c r="B647" s="65">
        <v>446.8456784164577</v>
      </c>
      <c r="C647" s="65">
        <v>444.79976278744044</v>
      </c>
      <c r="D647" s="65">
        <v>446.14731298539886</v>
      </c>
      <c r="E647" s="65">
        <v>4456630.5426680259</v>
      </c>
      <c r="F647" s="65" t="s">
        <v>822</v>
      </c>
      <c r="G647" s="25">
        <f t="shared" si="16"/>
        <v>9.9210723576881321E-4</v>
      </c>
      <c r="I647" s="66">
        <v>57.329896878868098</v>
      </c>
      <c r="J647" s="66">
        <v>57.435106899833656</v>
      </c>
      <c r="K647" s="66">
        <v>57.081218647494964</v>
      </c>
      <c r="L647" s="66">
        <v>57.349025973589114</v>
      </c>
      <c r="M647" s="66">
        <v>13358865.316262206</v>
      </c>
      <c r="N647" s="66" t="s">
        <v>822</v>
      </c>
      <c r="O647" s="25">
        <f t="shared" si="17"/>
        <v>-3.3355570380266819E-4</v>
      </c>
    </row>
    <row r="648" spans="1:15">
      <c r="A648" s="65">
        <v>445.2030442335448</v>
      </c>
      <c r="B648" s="65">
        <v>446.70797255681225</v>
      </c>
      <c r="C648" s="65">
        <v>443.1571286045276</v>
      </c>
      <c r="D648" s="65">
        <v>446.29485497787613</v>
      </c>
      <c r="E648" s="65">
        <v>7220171.9125122745</v>
      </c>
      <c r="F648" s="65" t="s">
        <v>823</v>
      </c>
      <c r="G648" s="25">
        <f t="shared" si="16"/>
        <v>-2.4463888215459084E-3</v>
      </c>
      <c r="I648" s="66">
        <v>57.425542352473151</v>
      </c>
      <c r="J648" s="66">
        <v>57.750736962730336</v>
      </c>
      <c r="K648" s="66">
        <v>57.27250959470507</v>
      </c>
      <c r="L648" s="66">
        <v>57.750736962730336</v>
      </c>
      <c r="M648" s="66">
        <v>13340483.892304188</v>
      </c>
      <c r="N648" s="66" t="s">
        <v>823</v>
      </c>
      <c r="O648" s="25">
        <f t="shared" si="17"/>
        <v>-5.631003643590704E-3</v>
      </c>
    </row>
    <row r="649" spans="1:15">
      <c r="A649" s="65">
        <v>446.83584228362582</v>
      </c>
      <c r="B649" s="65">
        <v>448.40962353671603</v>
      </c>
      <c r="C649" s="65">
        <v>442.32105731382342</v>
      </c>
      <c r="D649" s="65">
        <v>442.63581356444143</v>
      </c>
      <c r="E649" s="65">
        <v>6357663.2269279826</v>
      </c>
      <c r="F649" s="65" t="s">
        <v>824</v>
      </c>
      <c r="G649" s="25">
        <f t="shared" si="16"/>
        <v>9.488678029377029E-3</v>
      </c>
      <c r="I649" s="66">
        <v>57.90376972049841</v>
      </c>
      <c r="J649" s="66">
        <v>58.219399783395083</v>
      </c>
      <c r="K649" s="66">
        <v>57.607268752322753</v>
      </c>
      <c r="L649" s="66">
        <v>58.17157704659256</v>
      </c>
      <c r="M649" s="66">
        <v>18343686.678209201</v>
      </c>
      <c r="N649" s="66" t="s">
        <v>824</v>
      </c>
      <c r="O649" s="25">
        <f t="shared" si="17"/>
        <v>-4.6037487668530996E-3</v>
      </c>
    </row>
    <row r="650" spans="1:15">
      <c r="A650" s="65">
        <v>442.29154891532801</v>
      </c>
      <c r="B650" s="65">
        <v>442.29154891532801</v>
      </c>
      <c r="C650" s="65">
        <v>437.36384308924602</v>
      </c>
      <c r="D650" s="65">
        <v>438.05217566481639</v>
      </c>
      <c r="E650" s="65">
        <v>6240623.3272352358</v>
      </c>
      <c r="F650" s="65" t="s">
        <v>825</v>
      </c>
      <c r="G650" s="25">
        <f t="shared" si="16"/>
        <v>9.6777815201527506E-3</v>
      </c>
      <c r="I650" s="66">
        <v>58.324609804360641</v>
      </c>
      <c r="J650" s="66">
        <v>58.348521172761906</v>
      </c>
      <c r="K650" s="66">
        <v>56.775153131958803</v>
      </c>
      <c r="L650" s="66">
        <v>56.976008626529413</v>
      </c>
      <c r="M650" s="66">
        <v>16593450.16737072</v>
      </c>
      <c r="N650" s="66" t="s">
        <v>825</v>
      </c>
      <c r="O650" s="25">
        <f t="shared" si="17"/>
        <v>2.3669632365284521E-2</v>
      </c>
    </row>
    <row r="651" spans="1:15">
      <c r="A651" s="65">
        <v>436.54724734154888</v>
      </c>
      <c r="B651" s="65">
        <v>442.09974432510762</v>
      </c>
      <c r="C651" s="65">
        <v>436.47839441172619</v>
      </c>
      <c r="D651" s="65">
        <v>441.68170867975556</v>
      </c>
      <c r="E651" s="65">
        <v>7226460.9695083257</v>
      </c>
      <c r="F651" s="65" t="s">
        <v>826</v>
      </c>
      <c r="G651" s="25">
        <f t="shared" si="16"/>
        <v>-1.1624799572421129E-2</v>
      </c>
      <c r="I651" s="66">
        <v>56.89949224764537</v>
      </c>
      <c r="J651" s="66">
        <v>57.817688794253868</v>
      </c>
      <c r="K651" s="66">
        <v>56.708201300435263</v>
      </c>
      <c r="L651" s="66">
        <v>57.482929636636186</v>
      </c>
      <c r="M651" s="66">
        <v>23876715.895935271</v>
      </c>
      <c r="N651" s="66" t="s">
        <v>826</v>
      </c>
      <c r="O651" s="25">
        <f t="shared" si="17"/>
        <v>-1.0149750415973324E-2</v>
      </c>
    </row>
    <row r="652" spans="1:15">
      <c r="A652" s="65">
        <v>443.77680497293187</v>
      </c>
      <c r="B652" s="65">
        <v>444.40631747416791</v>
      </c>
      <c r="C652" s="65">
        <v>443.05876727620944</v>
      </c>
      <c r="D652" s="65">
        <v>443.45221258948197</v>
      </c>
      <c r="E652" s="65">
        <v>3466761.8446255634</v>
      </c>
      <c r="F652" s="65" t="s">
        <v>827</v>
      </c>
      <c r="G652" s="25">
        <f t="shared" si="16"/>
        <v>7.3196699494282313E-4</v>
      </c>
      <c r="I652" s="66">
        <v>57.29163868942608</v>
      </c>
      <c r="J652" s="66">
        <v>57.406413257752149</v>
      </c>
      <c r="K652" s="66">
        <v>56.856451784523095</v>
      </c>
      <c r="L652" s="66">
        <v>57.243815952623557</v>
      </c>
      <c r="M652" s="66">
        <v>23065948.830049742</v>
      </c>
      <c r="N652" s="66" t="s">
        <v>827</v>
      </c>
      <c r="O652" s="25">
        <f t="shared" si="17"/>
        <v>8.3542188805352247E-4</v>
      </c>
    </row>
    <row r="653" spans="1:15">
      <c r="A653" s="65">
        <v>444.09156122354989</v>
      </c>
      <c r="B653" s="65">
        <v>444.20939809487498</v>
      </c>
      <c r="C653" s="65">
        <v>440.37468334906418</v>
      </c>
      <c r="D653" s="65">
        <v>440.88498192037866</v>
      </c>
      <c r="E653" s="65">
        <v>4618941.2828032468</v>
      </c>
      <c r="F653" s="65" t="s">
        <v>828</v>
      </c>
      <c r="G653" s="25">
        <f t="shared" si="16"/>
        <v>7.2730517814514339E-3</v>
      </c>
      <c r="I653" s="66">
        <v>57.129041384297487</v>
      </c>
      <c r="J653" s="66">
        <v>57.186428668460522</v>
      </c>
      <c r="K653" s="66">
        <v>56.593426732109208</v>
      </c>
      <c r="L653" s="66">
        <v>56.756024037237793</v>
      </c>
      <c r="M653" s="66">
        <v>15209365.850462619</v>
      </c>
      <c r="N653" s="66" t="s">
        <v>828</v>
      </c>
      <c r="O653" s="25">
        <f t="shared" si="17"/>
        <v>6.5722952477247354E-3</v>
      </c>
    </row>
    <row r="654" spans="1:15">
      <c r="A654" s="65">
        <v>440.88498192037866</v>
      </c>
      <c r="B654" s="65">
        <v>442.14400692285079</v>
      </c>
      <c r="C654" s="65">
        <v>439.83251570737463</v>
      </c>
      <c r="D654" s="65">
        <v>440.75711219356509</v>
      </c>
      <c r="E654" s="65">
        <v>6510712.1970609371</v>
      </c>
      <c r="F654" s="65" t="s">
        <v>829</v>
      </c>
      <c r="G654" s="25">
        <f t="shared" si="16"/>
        <v>2.9011381388088786E-4</v>
      </c>
      <c r="I654" s="66">
        <v>56.784717679319307</v>
      </c>
      <c r="J654" s="66">
        <v>56.89949224764537</v>
      </c>
      <c r="K654" s="66">
        <v>56.550386268986927</v>
      </c>
      <c r="L654" s="66">
        <v>56.669943110993245</v>
      </c>
      <c r="M654" s="66">
        <v>13618074.655350998</v>
      </c>
      <c r="N654" s="66" t="s">
        <v>829</v>
      </c>
      <c r="O654" s="25">
        <f t="shared" si="17"/>
        <v>2.0253164556962577E-3</v>
      </c>
    </row>
    <row r="655" spans="1:15">
      <c r="A655" s="65">
        <v>441.15055750683763</v>
      </c>
      <c r="B655" s="65">
        <v>441.40629696046477</v>
      </c>
      <c r="C655" s="65">
        <v>438.79972176003417</v>
      </c>
      <c r="D655" s="65">
        <v>440.79645672489232</v>
      </c>
      <c r="E655" s="65">
        <v>4236476.9480565209</v>
      </c>
      <c r="F655" s="65" t="s">
        <v>830</v>
      </c>
      <c r="G655" s="25">
        <f t="shared" si="16"/>
        <v>8.033203909492137E-4</v>
      </c>
      <c r="I655" s="66">
        <v>56.583862184748696</v>
      </c>
      <c r="J655" s="66">
        <v>56.593426732109208</v>
      </c>
      <c r="K655" s="66">
        <v>56.105634816723438</v>
      </c>
      <c r="L655" s="66">
        <v>56.44039397434112</v>
      </c>
      <c r="M655" s="66">
        <v>15578062.859017527</v>
      </c>
      <c r="N655" s="66" t="s">
        <v>830</v>
      </c>
      <c r="O655" s="25">
        <f t="shared" si="17"/>
        <v>2.5419420437213791E-3</v>
      </c>
    </row>
    <row r="656" spans="1:15">
      <c r="A656" s="65">
        <v>438.68168816605242</v>
      </c>
      <c r="B656" s="65">
        <v>441.82885722691947</v>
      </c>
      <c r="C656" s="65">
        <v>438.44562097808887</v>
      </c>
      <c r="D656" s="65">
        <v>440.97350711586495</v>
      </c>
      <c r="E656" s="65">
        <v>4644308.9760081377</v>
      </c>
      <c r="F656" s="65" t="s">
        <v>831</v>
      </c>
      <c r="G656" s="25">
        <f t="shared" si="16"/>
        <v>-5.1971805852961683E-3</v>
      </c>
      <c r="I656" s="66">
        <v>56.344748500736067</v>
      </c>
      <c r="J656" s="66">
        <v>57.205557763181538</v>
      </c>
      <c r="K656" s="66">
        <v>56.325619406015058</v>
      </c>
      <c r="L656" s="66">
        <v>57.195993215821026</v>
      </c>
      <c r="M656" s="66">
        <v>17115795.847902339</v>
      </c>
      <c r="N656" s="66" t="s">
        <v>831</v>
      </c>
      <c r="O656" s="25">
        <f t="shared" si="17"/>
        <v>-1.4882943143812666E-2</v>
      </c>
    </row>
    <row r="657" spans="1:15">
      <c r="A657" s="65">
        <v>438.3177512512753</v>
      </c>
      <c r="B657" s="65">
        <v>438.51447390791157</v>
      </c>
      <c r="C657" s="65">
        <v>436.50790281022159</v>
      </c>
      <c r="D657" s="65">
        <v>437.54069675756205</v>
      </c>
      <c r="E657" s="65">
        <v>3305756.4955642079</v>
      </c>
      <c r="F657" s="65" t="s">
        <v>832</v>
      </c>
      <c r="G657" s="25">
        <f t="shared" si="16"/>
        <v>1.7759593552593156E-3</v>
      </c>
      <c r="I657" s="66">
        <v>57.243815952623557</v>
      </c>
      <c r="J657" s="66">
        <v>57.387284163031133</v>
      </c>
      <c r="K657" s="66">
        <v>56.870798605563856</v>
      </c>
      <c r="L657" s="66">
        <v>56.937750437087388</v>
      </c>
      <c r="M657" s="66">
        <v>15140960.104185313</v>
      </c>
      <c r="N657" s="66" t="s">
        <v>832</v>
      </c>
      <c r="O657" s="25">
        <f t="shared" si="17"/>
        <v>5.3754409541408865E-3</v>
      </c>
    </row>
    <row r="658" spans="1:15">
      <c r="A658" s="65">
        <v>437.01938171747594</v>
      </c>
      <c r="B658" s="65">
        <v>438.61283523622973</v>
      </c>
      <c r="C658" s="65">
        <v>436.40954148190349</v>
      </c>
      <c r="D658" s="65">
        <v>437.48167996057117</v>
      </c>
      <c r="E658" s="65">
        <v>5968211.3899611058</v>
      </c>
      <c r="F658" s="65" t="s">
        <v>833</v>
      </c>
      <c r="G658" s="25">
        <f t="shared" si="16"/>
        <v>-1.0567259482429092E-3</v>
      </c>
      <c r="I658" s="66">
        <v>56.976008626529413</v>
      </c>
      <c r="J658" s="66">
        <v>57.449453720874416</v>
      </c>
      <c r="K658" s="66">
        <v>56.851669510842839</v>
      </c>
      <c r="L658" s="66">
        <v>57.152952752698759</v>
      </c>
      <c r="M658" s="66">
        <v>14965961.75487382</v>
      </c>
      <c r="N658" s="66" t="s">
        <v>833</v>
      </c>
      <c r="O658" s="25">
        <f t="shared" si="17"/>
        <v>-3.0959752321981782E-3</v>
      </c>
    </row>
    <row r="659" spans="1:15">
      <c r="A659" s="65">
        <v>436.02593230146277</v>
      </c>
      <c r="B659" s="65">
        <v>436.34068855208079</v>
      </c>
      <c r="C659" s="65">
        <v>431.1275381512196</v>
      </c>
      <c r="D659" s="65">
        <v>431.80623131661474</v>
      </c>
      <c r="E659" s="65">
        <v>4917381.7420969186</v>
      </c>
      <c r="F659" s="65" t="s">
        <v>834</v>
      </c>
      <c r="G659" s="25">
        <f t="shared" si="16"/>
        <v>9.7722095671981535E-3</v>
      </c>
      <c r="I659" s="66">
        <v>57.22468685790254</v>
      </c>
      <c r="J659" s="66">
        <v>57.655091489125283</v>
      </c>
      <c r="K659" s="66">
        <v>57.042960458052946</v>
      </c>
      <c r="L659" s="66">
        <v>57.635962394404267</v>
      </c>
      <c r="M659" s="66">
        <v>15047863.173777832</v>
      </c>
      <c r="N659" s="66" t="s">
        <v>834</v>
      </c>
      <c r="O659" s="25">
        <f t="shared" si="17"/>
        <v>-7.1357451045470643E-3</v>
      </c>
    </row>
    <row r="660" spans="1:15">
      <c r="A660" s="65">
        <v>430.7537651036107</v>
      </c>
      <c r="B660" s="65">
        <v>431.20622721387412</v>
      </c>
      <c r="C660" s="65">
        <v>427.04554302601701</v>
      </c>
      <c r="D660" s="65">
        <v>428.44227388813448</v>
      </c>
      <c r="E660" s="65">
        <v>4403442.9730260307</v>
      </c>
      <c r="F660" s="65" t="s">
        <v>835</v>
      </c>
      <c r="G660" s="25">
        <f t="shared" si="16"/>
        <v>5.395105376739151E-3</v>
      </c>
      <c r="I660" s="66">
        <v>57.540316920799214</v>
      </c>
      <c r="J660" s="66">
        <v>57.607268752322753</v>
      </c>
      <c r="K660" s="66">
        <v>56.932968163407139</v>
      </c>
      <c r="L660" s="66">
        <v>57.090783194855469</v>
      </c>
      <c r="M660" s="66">
        <v>10871065.412813017</v>
      </c>
      <c r="N660" s="66" t="s">
        <v>835</v>
      </c>
      <c r="O660" s="25">
        <f t="shared" si="17"/>
        <v>7.8740157480314821E-3</v>
      </c>
    </row>
    <row r="661" spans="1:15">
      <c r="A661" s="65">
        <v>426.95701783053067</v>
      </c>
      <c r="B661" s="65">
        <v>427.36029927663503</v>
      </c>
      <c r="C661" s="65">
        <v>424.73405181054079</v>
      </c>
      <c r="D661" s="65">
        <v>426.49471958743544</v>
      </c>
      <c r="E661" s="65">
        <v>6145312.4956279369</v>
      </c>
      <c r="F661" s="65" t="s">
        <v>836</v>
      </c>
      <c r="G661" s="25">
        <f t="shared" si="16"/>
        <v>1.0839483394833316E-3</v>
      </c>
      <c r="I661" s="66">
        <v>57.377719615670628</v>
      </c>
      <c r="J661" s="66">
        <v>57.588139657601744</v>
      </c>
      <c r="K661" s="66">
        <v>57.215122310542043</v>
      </c>
      <c r="L661" s="66">
        <v>57.253380499984061</v>
      </c>
      <c r="M661" s="66">
        <v>9391068.5591770373</v>
      </c>
      <c r="N661" s="66" t="s">
        <v>836</v>
      </c>
      <c r="O661" s="25">
        <f t="shared" si="17"/>
        <v>2.1717340461075985E-3</v>
      </c>
    </row>
    <row r="662" spans="1:15">
      <c r="A662" s="65">
        <v>429.34719810866136</v>
      </c>
      <c r="B662" s="65">
        <v>430.80294576776976</v>
      </c>
      <c r="C662" s="65">
        <v>427.61603873026218</v>
      </c>
      <c r="D662" s="65">
        <v>429.63244596078397</v>
      </c>
      <c r="E662" s="65">
        <v>5826313.1435806062</v>
      </c>
      <c r="F662" s="65" t="s">
        <v>837</v>
      </c>
      <c r="G662" s="25">
        <f t="shared" si="16"/>
        <v>-6.6393461388769559E-4</v>
      </c>
      <c r="I662" s="66">
        <v>57.377719615670628</v>
      </c>
      <c r="J662" s="66">
        <v>57.798559699532859</v>
      </c>
      <c r="K662" s="66">
        <v>57.243815952623557</v>
      </c>
      <c r="L662" s="66">
        <v>57.760301510090834</v>
      </c>
      <c r="M662" s="66">
        <v>12365362.995468836</v>
      </c>
      <c r="N662" s="66" t="s">
        <v>837</v>
      </c>
      <c r="O662" s="25">
        <f t="shared" si="17"/>
        <v>-6.62361318099014E-3</v>
      </c>
    </row>
    <row r="663" spans="1:15">
      <c r="A663" s="65">
        <v>430.81278190060158</v>
      </c>
      <c r="B663" s="65">
        <v>432.59312194315982</v>
      </c>
      <c r="C663" s="65">
        <v>429.57342916379309</v>
      </c>
      <c r="D663" s="65">
        <v>431.91442877776473</v>
      </c>
      <c r="E663" s="65">
        <v>5269010.787692301</v>
      </c>
      <c r="F663" s="65" t="s">
        <v>838</v>
      </c>
      <c r="G663" s="25">
        <f t="shared" si="16"/>
        <v>-2.5506137414316177E-3</v>
      </c>
      <c r="I663" s="66">
        <v>57.760301510090834</v>
      </c>
      <c r="J663" s="66">
        <v>57.827253341614373</v>
      </c>
      <c r="K663" s="66">
        <v>57.262945047344566</v>
      </c>
      <c r="L663" s="66">
        <v>57.463800541915177</v>
      </c>
      <c r="M663" s="66">
        <v>13819794.603747813</v>
      </c>
      <c r="N663" s="66" t="s">
        <v>838</v>
      </c>
      <c r="O663" s="25">
        <f t="shared" si="17"/>
        <v>5.1597869507322702E-3</v>
      </c>
    </row>
    <row r="664" spans="1:15">
      <c r="A664" s="65">
        <v>430.61605924396531</v>
      </c>
      <c r="B664" s="65">
        <v>432.15541403214417</v>
      </c>
      <c r="C664" s="65">
        <v>426.88816490070798</v>
      </c>
      <c r="D664" s="65">
        <v>431.74721451962387</v>
      </c>
      <c r="E664" s="65">
        <v>4876496.7716643009</v>
      </c>
      <c r="F664" s="65" t="s">
        <v>839</v>
      </c>
      <c r="G664" s="25">
        <f t="shared" si="16"/>
        <v>-2.6199480566819755E-3</v>
      </c>
      <c r="I664" s="66">
        <v>57.205557763181538</v>
      </c>
      <c r="J664" s="66">
        <v>57.635962394404267</v>
      </c>
      <c r="K664" s="66">
        <v>57.090783194855469</v>
      </c>
      <c r="L664" s="66">
        <v>57.626397847043762</v>
      </c>
      <c r="M664" s="66">
        <v>14380431.693814643</v>
      </c>
      <c r="N664" s="66" t="s">
        <v>839</v>
      </c>
      <c r="O664" s="25">
        <f t="shared" si="17"/>
        <v>-7.3029045643152601E-3</v>
      </c>
    </row>
    <row r="665" spans="1:15">
      <c r="A665" s="65">
        <v>430.76360123644253</v>
      </c>
      <c r="B665" s="65">
        <v>431.54557379657172</v>
      </c>
      <c r="C665" s="65">
        <v>428.34391255981637</v>
      </c>
      <c r="D665" s="65">
        <v>428.62916041193893</v>
      </c>
      <c r="E665" s="65">
        <v>4350125.2709405348</v>
      </c>
      <c r="F665" s="65" t="s">
        <v>840</v>
      </c>
      <c r="G665" s="25">
        <f t="shared" si="16"/>
        <v>4.9796911214632367E-3</v>
      </c>
      <c r="I665" s="66">
        <v>57.578575110241239</v>
      </c>
      <c r="J665" s="66">
        <v>57.779430604811843</v>
      </c>
      <c r="K665" s="66">
        <v>57.368155068310124</v>
      </c>
      <c r="L665" s="66">
        <v>57.597704204962248</v>
      </c>
      <c r="M665" s="66">
        <v>12816061.793594953</v>
      </c>
      <c r="N665" s="66" t="s">
        <v>840</v>
      </c>
      <c r="O665" s="25">
        <f t="shared" si="17"/>
        <v>-3.3211557622048193E-4</v>
      </c>
    </row>
    <row r="666" spans="1:15">
      <c r="A666" s="65">
        <v>427.94063111371202</v>
      </c>
      <c r="B666" s="65">
        <v>429.27834517883866</v>
      </c>
      <c r="C666" s="65">
        <v>426.06517566667014</v>
      </c>
      <c r="D666" s="65">
        <v>426.51439185309908</v>
      </c>
      <c r="E666" s="65">
        <v>8071837.922237711</v>
      </c>
      <c r="F666" s="65" t="s">
        <v>841</v>
      </c>
      <c r="G666" s="25">
        <f t="shared" si="16"/>
        <v>3.3439417001059901E-3</v>
      </c>
      <c r="I666" s="66">
        <v>57.387284163031133</v>
      </c>
      <c r="J666" s="66">
        <v>57.516405552397948</v>
      </c>
      <c r="K666" s="66">
        <v>57.023831363331936</v>
      </c>
      <c r="L666" s="66">
        <v>57.377719615670628</v>
      </c>
      <c r="M666" s="66">
        <v>10971405.75970313</v>
      </c>
      <c r="N666" s="66" t="s">
        <v>841</v>
      </c>
      <c r="O666" s="25">
        <f t="shared" si="17"/>
        <v>1.6669444907480013E-4</v>
      </c>
    </row>
    <row r="667" spans="1:15">
      <c r="A667" s="65">
        <v>428.98326119388423</v>
      </c>
      <c r="B667" s="65">
        <v>429.12096705352963</v>
      </c>
      <c r="C667" s="65">
        <v>423.31764868275968</v>
      </c>
      <c r="D667" s="65">
        <v>423.39633774541414</v>
      </c>
      <c r="E667" s="65">
        <v>7342684.4914500499</v>
      </c>
      <c r="F667" s="65" t="s">
        <v>842</v>
      </c>
      <c r="G667" s="25">
        <f t="shared" si="16"/>
        <v>1.3195493088628218E-2</v>
      </c>
      <c r="I667" s="66">
        <v>57.492494183996691</v>
      </c>
      <c r="J667" s="66">
        <v>57.55944601552023</v>
      </c>
      <c r="K667" s="66">
        <v>56.832540416121837</v>
      </c>
      <c r="L667" s="66">
        <v>57.081218647494964</v>
      </c>
      <c r="M667" s="66">
        <v>12080690.872745803</v>
      </c>
      <c r="N667" s="66" t="s">
        <v>842</v>
      </c>
      <c r="O667" s="25">
        <f t="shared" si="17"/>
        <v>7.2050938337802073E-3</v>
      </c>
    </row>
    <row r="668" spans="1:15">
      <c r="A668" s="65">
        <v>422.93403950231897</v>
      </c>
      <c r="B668" s="65">
        <v>425.21602231929967</v>
      </c>
      <c r="C668" s="65">
        <v>421.61599770285591</v>
      </c>
      <c r="D668" s="65">
        <v>422.5504303218782</v>
      </c>
      <c r="E668" s="65">
        <v>5819978.3368973872</v>
      </c>
      <c r="F668" s="65" t="s">
        <v>843</v>
      </c>
      <c r="G668" s="25">
        <f t="shared" si="16"/>
        <v>9.0784236132135376E-4</v>
      </c>
      <c r="I668" s="66">
        <v>57.071654100134467</v>
      </c>
      <c r="J668" s="66">
        <v>57.33946142622861</v>
      </c>
      <c r="K668" s="66">
        <v>56.518918908170868</v>
      </c>
      <c r="L668" s="66">
        <v>57.195993215821026</v>
      </c>
      <c r="M668" s="66">
        <v>10886869.610785227</v>
      </c>
      <c r="N668" s="66" t="s">
        <v>843</v>
      </c>
      <c r="O668" s="25">
        <f t="shared" si="17"/>
        <v>-2.1739130434781373E-3</v>
      </c>
    </row>
    <row r="669" spans="1:15">
      <c r="A669" s="65">
        <v>422.39305219656916</v>
      </c>
      <c r="B669" s="65">
        <v>425.68815669522667</v>
      </c>
      <c r="C669" s="65">
        <v>422.17665727426925</v>
      </c>
      <c r="D669" s="65">
        <v>423.27830415143239</v>
      </c>
      <c r="E669" s="65">
        <v>4010985.8899420621</v>
      </c>
      <c r="F669" s="65" t="s">
        <v>844</v>
      </c>
      <c r="G669" s="25">
        <f t="shared" si="16"/>
        <v>-2.0914182139288862E-3</v>
      </c>
      <c r="I669" s="66">
        <v>57.157735026379008</v>
      </c>
      <c r="J669" s="66">
        <v>57.635962394404267</v>
      </c>
      <c r="K669" s="66">
        <v>57.062089552773955</v>
      </c>
      <c r="L669" s="66">
        <v>57.435106899833656</v>
      </c>
      <c r="M669" s="66">
        <v>13500822.896566171</v>
      </c>
      <c r="N669" s="66" t="s">
        <v>844</v>
      </c>
      <c r="O669" s="25">
        <f t="shared" si="17"/>
        <v>-4.8293089092422692E-3</v>
      </c>
    </row>
    <row r="670" spans="1:15">
      <c r="A670" s="65">
        <v>423.73076626169586</v>
      </c>
      <c r="B670" s="65">
        <v>425.90455161752664</v>
      </c>
      <c r="C670" s="65">
        <v>423.19961508877788</v>
      </c>
      <c r="D670" s="65">
        <v>425.23569458496331</v>
      </c>
      <c r="E670" s="65">
        <v>4885099.7461713459</v>
      </c>
      <c r="F670" s="65" t="s">
        <v>845</v>
      </c>
      <c r="G670" s="25">
        <f t="shared" si="16"/>
        <v>-3.5390451517394172E-3</v>
      </c>
      <c r="I670" s="66">
        <v>57.349025973589114</v>
      </c>
      <c r="J670" s="66">
        <v>57.578575110241239</v>
      </c>
      <c r="K670" s="66">
        <v>57.157735026379008</v>
      </c>
      <c r="L670" s="66">
        <v>57.320332331507601</v>
      </c>
      <c r="M670" s="66">
        <v>15505839.890803428</v>
      </c>
      <c r="N670" s="66" t="s">
        <v>845</v>
      </c>
      <c r="O670" s="25">
        <f t="shared" si="17"/>
        <v>5.0058401468366931E-4</v>
      </c>
    </row>
    <row r="671" spans="1:15">
      <c r="A671" s="65">
        <v>426.8980010335398</v>
      </c>
      <c r="B671" s="65">
        <v>428.13735377034828</v>
      </c>
      <c r="C671" s="65">
        <v>425.27503911629054</v>
      </c>
      <c r="D671" s="65">
        <v>426.79963970522169</v>
      </c>
      <c r="E671" s="65">
        <v>9227245.2550100368</v>
      </c>
      <c r="F671" s="65" t="s">
        <v>846</v>
      </c>
      <c r="G671" s="25">
        <f t="shared" si="16"/>
        <v>2.3046253831426888E-4</v>
      </c>
      <c r="I671" s="66">
        <v>57.215122310542043</v>
      </c>
      <c r="J671" s="66">
        <v>57.27250959470507</v>
      </c>
      <c r="K671" s="66">
        <v>56.115199364083942</v>
      </c>
      <c r="L671" s="66">
        <v>56.239538479770509</v>
      </c>
      <c r="M671" s="66">
        <v>17065724.476832803</v>
      </c>
      <c r="N671" s="66" t="s">
        <v>846</v>
      </c>
      <c r="O671" s="25">
        <f t="shared" si="17"/>
        <v>1.7346938775510301E-2</v>
      </c>
    </row>
    <row r="672" spans="1:15">
      <c r="A672" s="65">
        <v>429.64228209361579</v>
      </c>
      <c r="B672" s="65">
        <v>431.15704654971501</v>
      </c>
      <c r="C672" s="65">
        <v>427.81276138689844</v>
      </c>
      <c r="D672" s="65">
        <v>430.69474830661983</v>
      </c>
      <c r="E672" s="65">
        <v>4449802.6560231056</v>
      </c>
      <c r="F672" s="65" t="s">
        <v>847</v>
      </c>
      <c r="G672" s="25">
        <f t="shared" si="16"/>
        <v>-2.4436476579806632E-3</v>
      </c>
      <c r="I672" s="66">
        <v>56.363877595457076</v>
      </c>
      <c r="J672" s="66">
        <v>56.411700332259599</v>
      </c>
      <c r="K672" s="66">
        <v>56.076941174641924</v>
      </c>
      <c r="L672" s="66">
        <v>56.182151195607481</v>
      </c>
      <c r="M672" s="66">
        <v>9665213.2626501247</v>
      </c>
      <c r="N672" s="66" t="s">
        <v>847</v>
      </c>
      <c r="O672" s="25">
        <f t="shared" si="17"/>
        <v>3.2345931222335089E-3</v>
      </c>
    </row>
    <row r="673" spans="1:15">
      <c r="A673" s="65">
        <v>430.79310963493799</v>
      </c>
      <c r="B673" s="65">
        <v>431.6488531913057</v>
      </c>
      <c r="C673" s="65">
        <v>430.48818951715174</v>
      </c>
      <c r="D673" s="65">
        <v>431.06852135422872</v>
      </c>
      <c r="E673" s="65">
        <v>4782016.5510440329</v>
      </c>
      <c r="F673" s="65" t="s">
        <v>848</v>
      </c>
      <c r="G673" s="25">
        <f t="shared" si="16"/>
        <v>-6.3890473474037535E-4</v>
      </c>
      <c r="I673" s="66">
        <v>56.191715742967986</v>
      </c>
      <c r="J673" s="66">
        <v>56.306490311294041</v>
      </c>
      <c r="K673" s="66">
        <v>55.976513427356615</v>
      </c>
      <c r="L673" s="66">
        <v>56.096070269362933</v>
      </c>
      <c r="M673" s="66">
        <v>8782577.6624690313</v>
      </c>
      <c r="N673" s="66" t="s">
        <v>848</v>
      </c>
      <c r="O673" s="25">
        <f t="shared" si="17"/>
        <v>1.7050298380221207E-3</v>
      </c>
    </row>
    <row r="674" spans="1:15">
      <c r="A674" s="65">
        <v>430.72425670511524</v>
      </c>
      <c r="B674" s="65">
        <v>430.84229029909699</v>
      </c>
      <c r="C674" s="65">
        <v>429.26850904600684</v>
      </c>
      <c r="D674" s="65">
        <v>429.73572535551796</v>
      </c>
      <c r="E674" s="65">
        <v>4342162.7920538438</v>
      </c>
      <c r="F674" s="65" t="s">
        <v>849</v>
      </c>
      <c r="G674" s="25">
        <f t="shared" si="16"/>
        <v>2.3003238764462974E-3</v>
      </c>
      <c r="I674" s="66">
        <v>56.153457553525968</v>
      </c>
      <c r="J674" s="66">
        <v>56.210844837688995</v>
      </c>
      <c r="K674" s="66">
        <v>55.856956585350304</v>
      </c>
      <c r="L674" s="66">
        <v>56.086505722002428</v>
      </c>
      <c r="M674" s="66">
        <v>8949780.5566283148</v>
      </c>
      <c r="N674" s="66" t="s">
        <v>849</v>
      </c>
      <c r="O674" s="25">
        <f t="shared" si="17"/>
        <v>1.1937244201909447E-3</v>
      </c>
    </row>
    <row r="675" spans="1:15">
      <c r="A675" s="65">
        <v>429.93736607857016</v>
      </c>
      <c r="B675" s="65">
        <v>430.74392897077888</v>
      </c>
      <c r="C675" s="65">
        <v>428.44227388813448</v>
      </c>
      <c r="D675" s="65">
        <v>428.52647118517484</v>
      </c>
      <c r="E675" s="65">
        <v>3899740.9506239491</v>
      </c>
      <c r="F675" s="65" t="s">
        <v>850</v>
      </c>
      <c r="G675" s="25">
        <f t="shared" si="16"/>
        <v>3.2924334627291163E-3</v>
      </c>
      <c r="I675" s="66">
        <v>56.009989343118392</v>
      </c>
      <c r="J675" s="66">
        <v>56.148675279845712</v>
      </c>
      <c r="K675" s="66">
        <v>55.531761975093126</v>
      </c>
      <c r="L675" s="66">
        <v>55.531761975093126</v>
      </c>
      <c r="M675" s="66">
        <v>6714934.5995404944</v>
      </c>
      <c r="N675" s="66" t="s">
        <v>850</v>
      </c>
      <c r="O675" s="25">
        <f t="shared" si="17"/>
        <v>8.6117809162935544E-3</v>
      </c>
    </row>
    <row r="676" spans="1:15">
      <c r="A676" s="65">
        <v>428.15702603601193</v>
      </c>
      <c r="B676" s="65">
        <v>429.67965939837666</v>
      </c>
      <c r="C676" s="65">
        <v>426.37668599345369</v>
      </c>
      <c r="D676" s="65">
        <v>428.32424029415273</v>
      </c>
      <c r="E676" s="65">
        <v>4105098.0797455548</v>
      </c>
      <c r="F676" s="65" t="s">
        <v>851</v>
      </c>
      <c r="G676" s="25">
        <f t="shared" si="16"/>
        <v>-3.9039176962285538E-4</v>
      </c>
      <c r="I676" s="66">
        <v>55.78044020646626</v>
      </c>
      <c r="J676" s="66">
        <v>55.914343869513338</v>
      </c>
      <c r="K676" s="66">
        <v>55.493503785651107</v>
      </c>
      <c r="L676" s="66">
        <v>55.589149259256153</v>
      </c>
      <c r="M676" s="66">
        <v>9440530.3875489142</v>
      </c>
      <c r="N676" s="66" t="s">
        <v>851</v>
      </c>
      <c r="O676" s="25">
        <f t="shared" si="17"/>
        <v>3.4411562284928365E-3</v>
      </c>
    </row>
    <row r="677" spans="1:15">
      <c r="A677" s="65">
        <v>427.16357661999871</v>
      </c>
      <c r="B677" s="65">
        <v>427.51767740194401</v>
      </c>
      <c r="C677" s="65">
        <v>423.79489784775927</v>
      </c>
      <c r="D677" s="65">
        <v>426.03242134434021</v>
      </c>
      <c r="E677" s="65">
        <v>4698600.6381004583</v>
      </c>
      <c r="F677" s="65" t="s">
        <v>852</v>
      </c>
      <c r="G677" s="25">
        <f t="shared" si="16"/>
        <v>2.6550920047097026E-3</v>
      </c>
      <c r="I677" s="66">
        <v>55.464810143569593</v>
      </c>
      <c r="J677" s="66">
        <v>55.54132652245363</v>
      </c>
      <c r="K677" s="66">
        <v>54.967453680823319</v>
      </c>
      <c r="L677" s="66">
        <v>55.330906480522522</v>
      </c>
      <c r="M677" s="66">
        <v>12258941.858991111</v>
      </c>
      <c r="N677" s="66" t="s">
        <v>852</v>
      </c>
      <c r="O677" s="25">
        <f t="shared" si="17"/>
        <v>2.420051858254002E-3</v>
      </c>
    </row>
    <row r="678" spans="1:15">
      <c r="A678" s="65">
        <v>423.04223696346884</v>
      </c>
      <c r="B678" s="65">
        <v>430.13900680162237</v>
      </c>
      <c r="C678" s="65">
        <v>422.85535043966439</v>
      </c>
      <c r="D678" s="65">
        <v>428.37342095831178</v>
      </c>
      <c r="E678" s="65">
        <v>5879581.0293400744</v>
      </c>
      <c r="F678" s="65" t="s">
        <v>853</v>
      </c>
      <c r="G678" s="25">
        <f t="shared" si="16"/>
        <v>-1.2445179215173074E-2</v>
      </c>
      <c r="I678" s="66">
        <v>55.10135734387039</v>
      </c>
      <c r="J678" s="66">
        <v>56.115199364083942</v>
      </c>
      <c r="K678" s="66">
        <v>55.063099154428372</v>
      </c>
      <c r="L678" s="66">
        <v>55.952602058955357</v>
      </c>
      <c r="M678" s="66">
        <v>18506883.109902915</v>
      </c>
      <c r="N678" s="66" t="s">
        <v>853</v>
      </c>
      <c r="O678" s="25">
        <f t="shared" si="17"/>
        <v>-1.5213675213675337E-2</v>
      </c>
    </row>
    <row r="679" spans="1:15">
      <c r="A679" s="65">
        <v>429.23791867290009</v>
      </c>
      <c r="B679" s="65">
        <v>429.2673057825105</v>
      </c>
      <c r="C679" s="65">
        <v>427.04368115532253</v>
      </c>
      <c r="D679" s="65">
        <v>427.13184248415382</v>
      </c>
      <c r="E679" s="65">
        <v>4146213.8201173837</v>
      </c>
      <c r="F679" s="65" t="s">
        <v>854</v>
      </c>
      <c r="G679" s="25">
        <f t="shared" si="16"/>
        <v>4.9307402990550475E-3</v>
      </c>
      <c r="I679" s="66">
        <v>56.268232121852023</v>
      </c>
      <c r="J679" s="66">
        <v>56.622120374190722</v>
      </c>
      <c r="K679" s="66">
        <v>56.081723448322172</v>
      </c>
      <c r="L679" s="66">
        <v>56.430829426980615</v>
      </c>
      <c r="M679" s="66">
        <v>15277463.166043855</v>
      </c>
      <c r="N679" s="66" t="s">
        <v>854</v>
      </c>
      <c r="O679" s="25">
        <f t="shared" si="17"/>
        <v>-2.8813559322035109E-3</v>
      </c>
    </row>
    <row r="680" spans="1:15">
      <c r="A680" s="65">
        <v>426.64205732398028</v>
      </c>
      <c r="B680" s="65">
        <v>427.48448779947876</v>
      </c>
      <c r="C680" s="65">
        <v>425.57432567480186</v>
      </c>
      <c r="D680" s="65">
        <v>425.76044403566783</v>
      </c>
      <c r="E680" s="65">
        <v>4369747.5424563875</v>
      </c>
      <c r="F680" s="65" t="s">
        <v>855</v>
      </c>
      <c r="G680" s="25">
        <f t="shared" si="16"/>
        <v>2.0706791827720394E-3</v>
      </c>
      <c r="I680" s="66">
        <v>56.449958521701625</v>
      </c>
      <c r="J680" s="66">
        <v>56.89949224764537</v>
      </c>
      <c r="K680" s="66">
        <v>56.067376627281412</v>
      </c>
      <c r="L680" s="66">
        <v>56.239538479770509</v>
      </c>
      <c r="M680" s="66">
        <v>17478774.865010437</v>
      </c>
      <c r="N680" s="66" t="s">
        <v>855</v>
      </c>
      <c r="O680" s="25">
        <f t="shared" si="17"/>
        <v>3.7414965986395377E-3</v>
      </c>
    </row>
    <row r="681" spans="1:15">
      <c r="A681" s="65">
        <v>424.24211003912978</v>
      </c>
      <c r="B681" s="65">
        <v>425.37841161073248</v>
      </c>
      <c r="C681" s="65">
        <v>423.40947526683476</v>
      </c>
      <c r="D681" s="65">
        <v>424.34006707116453</v>
      </c>
      <c r="E681" s="65">
        <v>5437119.6119056791</v>
      </c>
      <c r="F681" s="65" t="s">
        <v>856</v>
      </c>
      <c r="G681" s="25">
        <f t="shared" si="16"/>
        <v>-2.3084558738661887E-4</v>
      </c>
      <c r="I681" s="66">
        <v>56.04824753256041</v>
      </c>
      <c r="J681" s="66">
        <v>56.593426732109208</v>
      </c>
      <c r="K681" s="66">
        <v>55.283083743719992</v>
      </c>
      <c r="L681" s="66">
        <v>56.268232121852023</v>
      </c>
      <c r="M681" s="66">
        <v>68144763.723097295</v>
      </c>
      <c r="N681" s="66" t="s">
        <v>856</v>
      </c>
      <c r="O681" s="25">
        <f t="shared" si="17"/>
        <v>-3.9095699473057355E-3</v>
      </c>
    </row>
    <row r="682" spans="1:15">
      <c r="A682" s="65">
        <v>424.88862645055889</v>
      </c>
      <c r="B682" s="65">
        <v>426.46984886166319</v>
      </c>
      <c r="C682" s="65">
        <v>422.42990494648768</v>
      </c>
      <c r="D682" s="65">
        <v>425.34902450112207</v>
      </c>
      <c r="E682" s="65">
        <v>8523270.6897872202</v>
      </c>
      <c r="F682" s="65" t="s">
        <v>857</v>
      </c>
      <c r="G682" s="25">
        <f t="shared" si="16"/>
        <v>-1.082400626410629E-3</v>
      </c>
      <c r="I682" s="66">
        <v>56.469087616422634</v>
      </c>
      <c r="J682" s="66">
        <v>57.425542352473151</v>
      </c>
      <c r="K682" s="66">
        <v>56.210844837688995</v>
      </c>
      <c r="L682" s="66">
        <v>57.358590520949619</v>
      </c>
      <c r="M682" s="66">
        <v>23501695.53534703</v>
      </c>
      <c r="N682" s="66" t="s">
        <v>857</v>
      </c>
      <c r="O682" s="25">
        <f t="shared" si="17"/>
        <v>-1.5507753876938479E-2</v>
      </c>
    </row>
    <row r="683" spans="1:15">
      <c r="A683" s="65">
        <v>423.64457214371811</v>
      </c>
      <c r="B683" s="65">
        <v>423.7719162853632</v>
      </c>
      <c r="C683" s="65">
        <v>417.79653733124582</v>
      </c>
      <c r="D683" s="65">
        <v>418.15897834977426</v>
      </c>
      <c r="E683" s="65">
        <v>8839708.4110629745</v>
      </c>
      <c r="F683" s="65" t="s">
        <v>858</v>
      </c>
      <c r="G683" s="25">
        <f t="shared" si="16"/>
        <v>1.311844077961033E-2</v>
      </c>
      <c r="I683" s="66">
        <v>57.320332331507601</v>
      </c>
      <c r="J683" s="66">
        <v>57.406413257752149</v>
      </c>
      <c r="K683" s="66">
        <v>56.679507658353749</v>
      </c>
      <c r="L683" s="66">
        <v>56.861234058203351</v>
      </c>
      <c r="M683" s="66">
        <v>16934154.215055823</v>
      </c>
      <c r="N683" s="66" t="s">
        <v>858</v>
      </c>
      <c r="O683" s="25">
        <f t="shared" si="17"/>
        <v>8.0740117746005424E-3</v>
      </c>
    </row>
    <row r="684" spans="1:15">
      <c r="A684" s="65">
        <v>417.95326858250138</v>
      </c>
      <c r="B684" s="65">
        <v>417.95326858250138</v>
      </c>
      <c r="C684" s="65">
        <v>414.62654981757061</v>
      </c>
      <c r="D684" s="65">
        <v>415.553321297651</v>
      </c>
      <c r="E684" s="65">
        <v>6107327.7494566049</v>
      </c>
      <c r="F684" s="65" t="s">
        <v>859</v>
      </c>
      <c r="G684" s="25">
        <f t="shared" si="16"/>
        <v>5.7753052661353443E-3</v>
      </c>
      <c r="I684" s="66">
        <v>56.832540416121837</v>
      </c>
      <c r="J684" s="66">
        <v>56.832540416121837</v>
      </c>
      <c r="K684" s="66">
        <v>56.330401679695314</v>
      </c>
      <c r="L684" s="66">
        <v>56.622120374190722</v>
      </c>
      <c r="M684" s="66">
        <v>13486277.514045043</v>
      </c>
      <c r="N684" s="66" t="s">
        <v>859</v>
      </c>
      <c r="O684" s="25">
        <f t="shared" si="17"/>
        <v>3.716216216216317E-3</v>
      </c>
    </row>
    <row r="685" spans="1:15">
      <c r="A685" s="65">
        <v>415.88637520656897</v>
      </c>
      <c r="B685" s="65">
        <v>416.03331075462103</v>
      </c>
      <c r="C685" s="65">
        <v>413.59418065695678</v>
      </c>
      <c r="D685" s="65">
        <v>413.7802990178227</v>
      </c>
      <c r="E685" s="65">
        <v>5356517.9456853075</v>
      </c>
      <c r="F685" s="65" t="s">
        <v>860</v>
      </c>
      <c r="G685" s="25">
        <f t="shared" si="16"/>
        <v>5.0898416230675814E-3</v>
      </c>
      <c r="I685" s="66">
        <v>56.469087616422634</v>
      </c>
      <c r="J685" s="66">
        <v>56.516910353225164</v>
      </c>
      <c r="K685" s="66">
        <v>55.952602058955357</v>
      </c>
      <c r="L685" s="66">
        <v>56.268232121852023</v>
      </c>
      <c r="M685" s="66">
        <v>15186047.444311906</v>
      </c>
      <c r="N685" s="66" t="s">
        <v>860</v>
      </c>
      <c r="O685" s="25">
        <f t="shared" si="17"/>
        <v>3.5696073431923381E-3</v>
      </c>
    </row>
    <row r="686" spans="1:15">
      <c r="A686" s="65">
        <v>414.27987988119975</v>
      </c>
      <c r="B686" s="65">
        <v>414.72068652535592</v>
      </c>
      <c r="C686" s="65">
        <v>411.56647009383818</v>
      </c>
      <c r="D686" s="65">
        <v>411.78197556431456</v>
      </c>
      <c r="E686" s="65">
        <v>5232169.5477501424</v>
      </c>
      <c r="F686" s="65" t="s">
        <v>861</v>
      </c>
      <c r="G686" s="25">
        <f t="shared" si="16"/>
        <v>6.0660846397222468E-3</v>
      </c>
      <c r="I686" s="66">
        <v>56.057812079920915</v>
      </c>
      <c r="J686" s="66">
        <v>56.191715742967986</v>
      </c>
      <c r="K686" s="66">
        <v>55.823480669588534</v>
      </c>
      <c r="L686" s="66">
        <v>56.182151195607481</v>
      </c>
      <c r="M686" s="66">
        <v>11687610.06522901</v>
      </c>
      <c r="N686" s="66" t="s">
        <v>861</v>
      </c>
      <c r="O686" s="25">
        <f t="shared" si="17"/>
        <v>-2.2131426625808803E-3</v>
      </c>
    </row>
    <row r="687" spans="1:15">
      <c r="A687" s="65">
        <v>412.52644900777841</v>
      </c>
      <c r="B687" s="65">
        <v>413.05541698076587</v>
      </c>
      <c r="C687" s="65">
        <v>410.71424391513619</v>
      </c>
      <c r="D687" s="65">
        <v>411.2334161849202</v>
      </c>
      <c r="E687" s="65">
        <v>3315995.7305045594</v>
      </c>
      <c r="F687" s="65" t="s">
        <v>862</v>
      </c>
      <c r="G687" s="25">
        <f t="shared" si="16"/>
        <v>3.1442795550369329E-3</v>
      </c>
      <c r="I687" s="66">
        <v>56.182151195607481</v>
      </c>
      <c r="J687" s="66">
        <v>56.325715051488658</v>
      </c>
      <c r="K687" s="66">
        <v>55.847392037989799</v>
      </c>
      <c r="L687" s="66">
        <v>56.115199364083942</v>
      </c>
      <c r="M687" s="66">
        <v>12115434.806512309</v>
      </c>
      <c r="N687" s="66" t="s">
        <v>862</v>
      </c>
      <c r="O687" s="25">
        <f t="shared" si="17"/>
        <v>1.1931140276120189E-3</v>
      </c>
    </row>
    <row r="688" spans="1:15">
      <c r="A688" s="65">
        <v>409.32325406024336</v>
      </c>
      <c r="B688" s="65">
        <v>413.05541698076587</v>
      </c>
      <c r="C688" s="65">
        <v>408.9314259321045</v>
      </c>
      <c r="D688" s="65">
        <v>412.99664276154499</v>
      </c>
      <c r="E688" s="65">
        <v>4289432.7367034713</v>
      </c>
      <c r="F688" s="65" t="s">
        <v>863</v>
      </c>
      <c r="G688" s="25">
        <f t="shared" si="16"/>
        <v>-8.8944759374777194E-3</v>
      </c>
      <c r="I688" s="66">
        <v>56.04824753256041</v>
      </c>
      <c r="J688" s="66">
        <v>56.17258664824697</v>
      </c>
      <c r="K688" s="66">
        <v>55.670447911820453</v>
      </c>
      <c r="L688" s="66">
        <v>56.009989343118392</v>
      </c>
      <c r="M688" s="66">
        <v>15545481.076706864</v>
      </c>
      <c r="N688" s="66" t="s">
        <v>863</v>
      </c>
      <c r="O688" s="25">
        <f t="shared" si="17"/>
        <v>6.8306010928953498E-4</v>
      </c>
    </row>
    <row r="689" spans="1:15">
      <c r="A689" s="65">
        <v>411.03750212085077</v>
      </c>
      <c r="B689" s="65">
        <v>411.87993259634931</v>
      </c>
      <c r="C689" s="65">
        <v>409.46039390509196</v>
      </c>
      <c r="D689" s="65">
        <v>409.79344781400994</v>
      </c>
      <c r="E689" s="65">
        <v>3490594.7321764301</v>
      </c>
      <c r="F689" s="65" t="s">
        <v>864</v>
      </c>
      <c r="G689" s="25">
        <f t="shared" si="16"/>
        <v>3.0358081942918336E-3</v>
      </c>
      <c r="I689" s="66">
        <v>56.105634816723438</v>
      </c>
      <c r="J689" s="66">
        <v>56.268232121852023</v>
      </c>
      <c r="K689" s="66">
        <v>55.871303406391057</v>
      </c>
      <c r="L689" s="66">
        <v>56.00042479575788</v>
      </c>
      <c r="M689" s="66">
        <v>12432907.226852713</v>
      </c>
      <c r="N689" s="66" t="s">
        <v>864</v>
      </c>
      <c r="O689" s="25">
        <f t="shared" si="17"/>
        <v>1.8787361229717359E-3</v>
      </c>
    </row>
    <row r="690" spans="1:15">
      <c r="A690" s="65">
        <v>411.16484626249593</v>
      </c>
      <c r="B690" s="65">
        <v>411.29219040414102</v>
      </c>
      <c r="C690" s="65">
        <v>408.97060874491837</v>
      </c>
      <c r="D690" s="65">
        <v>410.09711461331756</v>
      </c>
      <c r="E690" s="65">
        <v>5927169.1673371857</v>
      </c>
      <c r="F690" s="65" t="s">
        <v>865</v>
      </c>
      <c r="G690" s="25">
        <f t="shared" si="16"/>
        <v>2.6036068314820859E-3</v>
      </c>
      <c r="I690" s="66">
        <v>56.019553890478889</v>
      </c>
      <c r="J690" s="66">
        <v>56.387788963858341</v>
      </c>
      <c r="K690" s="66">
        <v>55.895214774792322</v>
      </c>
      <c r="L690" s="66">
        <v>56.038682985199905</v>
      </c>
      <c r="M690" s="66">
        <v>15622534.383279761</v>
      </c>
      <c r="N690" s="66" t="s">
        <v>865</v>
      </c>
      <c r="O690" s="25">
        <f t="shared" si="17"/>
        <v>-3.4135518006495058E-4</v>
      </c>
    </row>
    <row r="691" spans="1:15">
      <c r="A691" s="65">
        <v>413.24153534163179</v>
      </c>
      <c r="B691" s="65">
        <v>413.74111620500884</v>
      </c>
      <c r="C691" s="65">
        <v>409.7052864851787</v>
      </c>
      <c r="D691" s="65">
        <v>410.27343727098003</v>
      </c>
      <c r="E691" s="65">
        <v>5077353.7097751191</v>
      </c>
      <c r="F691" s="65" t="s">
        <v>866</v>
      </c>
      <c r="G691" s="25">
        <f t="shared" si="16"/>
        <v>7.2344387937828269E-3</v>
      </c>
      <c r="I691" s="66">
        <v>56.086505722002428</v>
      </c>
      <c r="J691" s="66">
        <v>56.129546185124703</v>
      </c>
      <c r="K691" s="66">
        <v>55.703923827582223</v>
      </c>
      <c r="L691" s="66">
        <v>55.732617469663737</v>
      </c>
      <c r="M691" s="66">
        <v>16070967.522699488</v>
      </c>
      <c r="N691" s="66" t="s">
        <v>866</v>
      </c>
      <c r="O691" s="25">
        <f t="shared" si="17"/>
        <v>6.3497511584005295E-3</v>
      </c>
    </row>
    <row r="692" spans="1:15">
      <c r="A692" s="65">
        <v>410.83179235357784</v>
      </c>
      <c r="B692" s="65">
        <v>411.12566344968201</v>
      </c>
      <c r="C692" s="65">
        <v>408.05960834699556</v>
      </c>
      <c r="D692" s="65">
        <v>409.98936187807942</v>
      </c>
      <c r="E692" s="65">
        <v>4497573.9959524777</v>
      </c>
      <c r="F692" s="65" t="s">
        <v>867</v>
      </c>
      <c r="G692" s="25">
        <f t="shared" si="16"/>
        <v>2.0547617909874027E-3</v>
      </c>
      <c r="I692" s="66">
        <v>55.895214774792322</v>
      </c>
      <c r="J692" s="66">
        <v>55.909561595833082</v>
      </c>
      <c r="K692" s="66">
        <v>55.091792796509893</v>
      </c>
      <c r="L692" s="66">
        <v>55.436116501488073</v>
      </c>
      <c r="M692" s="66">
        <v>23762219.102859415</v>
      </c>
      <c r="N692" s="66" t="s">
        <v>867</v>
      </c>
      <c r="O692" s="25">
        <f t="shared" si="17"/>
        <v>8.2815734989647449E-3</v>
      </c>
    </row>
    <row r="693" spans="1:15">
      <c r="A693" s="65">
        <v>409.24488843461552</v>
      </c>
      <c r="B693" s="65">
        <v>412.5166533045749</v>
      </c>
      <c r="C693" s="65">
        <v>408.83836675167151</v>
      </c>
      <c r="D693" s="65">
        <v>411.47772102281476</v>
      </c>
      <c r="E693" s="65">
        <v>4177972.6426886683</v>
      </c>
      <c r="F693" s="65" t="s">
        <v>868</v>
      </c>
      <c r="G693" s="25">
        <f t="shared" si="16"/>
        <v>-5.4263754126203656E-3</v>
      </c>
      <c r="I693" s="66">
        <v>55.25439010163845</v>
      </c>
      <c r="J693" s="66">
        <v>55.671905671700635</v>
      </c>
      <c r="K693" s="66">
        <v>55.131033228665537</v>
      </c>
      <c r="L693" s="66">
        <v>55.586504759642459</v>
      </c>
      <c r="M693" s="66">
        <v>11870211.401366118</v>
      </c>
      <c r="N693" s="66" t="s">
        <v>868</v>
      </c>
      <c r="O693" s="25">
        <f t="shared" si="17"/>
        <v>-5.9747354045749379E-3</v>
      </c>
    </row>
    <row r="694" spans="1:15">
      <c r="A694" s="65">
        <v>409.50937242110928</v>
      </c>
      <c r="B694" s="65">
        <v>410.68485680552584</v>
      </c>
      <c r="C694" s="65">
        <v>408.19674819184416</v>
      </c>
      <c r="D694" s="65">
        <v>408.72571616483162</v>
      </c>
      <c r="E694" s="65">
        <v>3452985.3852671185</v>
      </c>
      <c r="F694" s="65" t="s">
        <v>869</v>
      </c>
      <c r="G694" s="25">
        <f t="shared" si="16"/>
        <v>1.9173157579388533E-3</v>
      </c>
      <c r="I694" s="66">
        <v>55.586504759642459</v>
      </c>
      <c r="J694" s="66">
        <v>55.823729515359609</v>
      </c>
      <c r="K694" s="66">
        <v>55.37774697461137</v>
      </c>
      <c r="L694" s="66">
        <v>55.415702935526113</v>
      </c>
      <c r="M694" s="66">
        <v>14479531.192332825</v>
      </c>
      <c r="N694" s="66" t="s">
        <v>869</v>
      </c>
      <c r="O694" s="25">
        <f t="shared" si="17"/>
        <v>3.082191780821919E-3</v>
      </c>
    </row>
    <row r="695" spans="1:15">
      <c r="A695" s="65">
        <v>409.10774858976697</v>
      </c>
      <c r="B695" s="65">
        <v>409.97692133501101</v>
      </c>
      <c r="C695" s="65">
        <v>408.70612475842466</v>
      </c>
      <c r="D695" s="65">
        <v>409.25468413781908</v>
      </c>
      <c r="E695" s="65">
        <v>3708311.6184173571</v>
      </c>
      <c r="F695" s="65" t="s">
        <v>870</v>
      </c>
      <c r="G695" s="25">
        <f t="shared" si="16"/>
        <v>-3.5903204959442103E-4</v>
      </c>
      <c r="I695" s="66">
        <v>55.472636876898228</v>
      </c>
      <c r="J695" s="66">
        <v>55.690883652158007</v>
      </c>
      <c r="K695" s="66">
        <v>55.2923460625532</v>
      </c>
      <c r="L695" s="66">
        <v>55.548548798727715</v>
      </c>
      <c r="M695" s="66">
        <v>17121428.738418873</v>
      </c>
      <c r="N695" s="66" t="s">
        <v>870</v>
      </c>
      <c r="O695" s="25">
        <f t="shared" si="17"/>
        <v>-1.3665869490946392E-3</v>
      </c>
    </row>
    <row r="696" spans="1:15">
      <c r="A696" s="65">
        <v>409.82283492362035</v>
      </c>
      <c r="B696" s="65">
        <v>409.94038336206205</v>
      </c>
      <c r="C696" s="65">
        <v>409.3036626538364</v>
      </c>
      <c r="D696" s="65">
        <v>409.64651226595788</v>
      </c>
      <c r="E696" s="65">
        <v>1379453.7992139023</v>
      </c>
      <c r="F696" s="65" t="s">
        <v>871</v>
      </c>
      <c r="G696" s="25">
        <f t="shared" si="16"/>
        <v>4.304263612233683E-4</v>
      </c>
      <c r="I696" s="66">
        <v>55.577015769413777</v>
      </c>
      <c r="J696" s="66">
        <v>55.747817593530122</v>
      </c>
      <c r="K696" s="66">
        <v>55.354024499039653</v>
      </c>
      <c r="L696" s="66">
        <v>55.472636876898228</v>
      </c>
      <c r="M696" s="66">
        <v>5075380.9245590465</v>
      </c>
      <c r="N696" s="66" t="s">
        <v>871</v>
      </c>
      <c r="O696" s="25">
        <f t="shared" si="17"/>
        <v>1.8816284639069369E-3</v>
      </c>
    </row>
    <row r="697" spans="1:15">
      <c r="A697" s="65">
        <v>409.59753374994051</v>
      </c>
      <c r="B697" s="65">
        <v>410.74363102474666</v>
      </c>
      <c r="C697" s="65">
        <v>408.53959780396565</v>
      </c>
      <c r="D697" s="65">
        <v>409.52896382751624</v>
      </c>
      <c r="E697" s="65">
        <v>3771106.4976846292</v>
      </c>
      <c r="F697" s="65" t="s">
        <v>872</v>
      </c>
      <c r="G697" s="25">
        <f t="shared" si="16"/>
        <v>1.6743607529834392E-4</v>
      </c>
      <c r="I697" s="66">
        <v>55.434680915983485</v>
      </c>
      <c r="J697" s="66">
        <v>55.543804303613371</v>
      </c>
      <c r="K697" s="66">
        <v>55.156748392185271</v>
      </c>
      <c r="L697" s="66">
        <v>55.282857072324511</v>
      </c>
      <c r="M697" s="66">
        <v>11937147.923028862</v>
      </c>
      <c r="N697" s="66" t="s">
        <v>872</v>
      </c>
      <c r="O697" s="25">
        <f t="shared" si="17"/>
        <v>2.746309646412648E-3</v>
      </c>
    </row>
    <row r="698" spans="1:15">
      <c r="A698" s="65">
        <v>407.83430717331572</v>
      </c>
      <c r="B698" s="65">
        <v>408.32409233348926</v>
      </c>
      <c r="C698" s="65">
        <v>406.81555404015472</v>
      </c>
      <c r="D698" s="65">
        <v>407.89308139253654</v>
      </c>
      <c r="E698" s="65">
        <v>5357641.9078727392</v>
      </c>
      <c r="F698" s="65" t="s">
        <v>873</v>
      </c>
      <c r="G698" s="25">
        <f t="shared" si="16"/>
        <v>-1.4409221902011993E-4</v>
      </c>
      <c r="I698" s="66">
        <v>55.064610297064732</v>
      </c>
      <c r="J698" s="66">
        <v>55.074099287293421</v>
      </c>
      <c r="K698" s="66">
        <v>54.400380981056713</v>
      </c>
      <c r="L698" s="66">
        <v>54.523737854029633</v>
      </c>
      <c r="M698" s="66">
        <v>14639751.612352218</v>
      </c>
      <c r="N698" s="66" t="s">
        <v>873</v>
      </c>
      <c r="O698" s="25">
        <f t="shared" si="17"/>
        <v>9.9199443090844941E-3</v>
      </c>
    </row>
    <row r="699" spans="1:15">
      <c r="A699" s="65">
        <v>408.90203882249409</v>
      </c>
      <c r="B699" s="65">
        <v>409.65630796916133</v>
      </c>
      <c r="C699" s="65">
        <v>405.52242326026453</v>
      </c>
      <c r="D699" s="65">
        <v>405.53231692050002</v>
      </c>
      <c r="E699" s="65">
        <v>3597916.2769561326</v>
      </c>
      <c r="F699" s="65" t="s">
        <v>874</v>
      </c>
      <c r="G699" s="25">
        <f t="shared" si="16"/>
        <v>8.3093794536099885E-3</v>
      </c>
      <c r="I699" s="66">
        <v>54.466803912657518</v>
      </c>
      <c r="J699" s="66">
        <v>54.632861241659526</v>
      </c>
      <c r="K699" s="66">
        <v>54.044543847480988</v>
      </c>
      <c r="L699" s="66">
        <v>54.134689254653502</v>
      </c>
      <c r="M699" s="66">
        <v>13756910.572567517</v>
      </c>
      <c r="N699" s="66" t="s">
        <v>874</v>
      </c>
      <c r="O699" s="25">
        <f t="shared" si="17"/>
        <v>6.1349693251535609E-3</v>
      </c>
    </row>
    <row r="700" spans="1:15">
      <c r="A700" s="65">
        <v>405.84577942301109</v>
      </c>
      <c r="B700" s="65">
        <v>406.31597317677773</v>
      </c>
      <c r="C700" s="65">
        <v>404.43519816171124</v>
      </c>
      <c r="D700" s="65">
        <v>405.48333840448265</v>
      </c>
      <c r="E700" s="65">
        <v>4798163.9524710281</v>
      </c>
      <c r="F700" s="65" t="s">
        <v>875</v>
      </c>
      <c r="G700" s="25">
        <f t="shared" ref="G700:G763" si="18">A700/D700-1</f>
        <v>8.9384935014735767E-4</v>
      </c>
      <c r="I700" s="66">
        <v>54.333958049455909</v>
      </c>
      <c r="J700" s="66">
        <v>54.409869971285403</v>
      </c>
      <c r="K700" s="66">
        <v>53.802574596649499</v>
      </c>
      <c r="L700" s="66">
        <v>54.267535117855111</v>
      </c>
      <c r="M700" s="66">
        <v>15256237.65133195</v>
      </c>
      <c r="N700" s="66" t="s">
        <v>875</v>
      </c>
      <c r="O700" s="25">
        <f t="shared" ref="O700:O763" si="19">I700/L700-1</f>
        <v>1.2239902080781739E-3</v>
      </c>
    </row>
    <row r="701" spans="1:15">
      <c r="A701" s="65">
        <v>405.24824152759936</v>
      </c>
      <c r="B701" s="65">
        <v>405.4931341076861</v>
      </c>
      <c r="C701" s="65">
        <v>403.33807940292252</v>
      </c>
      <c r="D701" s="65">
        <v>404.30785402006615</v>
      </c>
      <c r="E701" s="65">
        <v>3878117.7023144872</v>
      </c>
      <c r="F701" s="65" t="s">
        <v>876</v>
      </c>
      <c r="G701" s="25">
        <f t="shared" si="18"/>
        <v>2.3259194650384618E-3</v>
      </c>
      <c r="I701" s="66">
        <v>54.229579156940368</v>
      </c>
      <c r="J701" s="66">
        <v>54.590160785630438</v>
      </c>
      <c r="K701" s="66">
        <v>53.906953489165048</v>
      </c>
      <c r="L701" s="66">
        <v>54.324469059227226</v>
      </c>
      <c r="M701" s="66">
        <v>16872658.327330898</v>
      </c>
      <c r="N701" s="66" t="s">
        <v>876</v>
      </c>
      <c r="O701" s="25">
        <f t="shared" si="19"/>
        <v>-1.7467248908297206E-3</v>
      </c>
    </row>
    <row r="702" spans="1:15">
      <c r="A702" s="65">
        <v>404.68009074179804</v>
      </c>
      <c r="B702" s="65">
        <v>406.24740325435346</v>
      </c>
      <c r="C702" s="65">
        <v>403.9454130015377</v>
      </c>
      <c r="D702" s="65">
        <v>405.09151027634385</v>
      </c>
      <c r="E702" s="65">
        <v>4506881.1378805526</v>
      </c>
      <c r="F702" s="65" t="s">
        <v>877</v>
      </c>
      <c r="G702" s="25">
        <f t="shared" si="18"/>
        <v>-1.0156212216473337E-3</v>
      </c>
      <c r="I702" s="66">
        <v>54.286513098312483</v>
      </c>
      <c r="J702" s="66">
        <v>54.405125476171058</v>
      </c>
      <c r="K702" s="66">
        <v>53.850019547792925</v>
      </c>
      <c r="L702" s="66">
        <v>54.371914010370652</v>
      </c>
      <c r="M702" s="66">
        <v>10751260.939397911</v>
      </c>
      <c r="N702" s="66" t="s">
        <v>877</v>
      </c>
      <c r="O702" s="25">
        <f t="shared" si="19"/>
        <v>-1.5706806282721475E-3</v>
      </c>
    </row>
    <row r="703" spans="1:15">
      <c r="A703" s="65">
        <v>403.79847745348565</v>
      </c>
      <c r="B703" s="65">
        <v>405.06212316673339</v>
      </c>
      <c r="C703" s="65">
        <v>401.51176849766733</v>
      </c>
      <c r="D703" s="65">
        <v>401.66301415512896</v>
      </c>
      <c r="E703" s="65">
        <v>7118544.5854760921</v>
      </c>
      <c r="F703" s="65" t="s">
        <v>878</v>
      </c>
      <c r="G703" s="25">
        <f t="shared" si="18"/>
        <v>5.3165544824895772E-3</v>
      </c>
      <c r="I703" s="66">
        <v>54.182134205796935</v>
      </c>
      <c r="J703" s="66">
        <v>54.314980068998544</v>
      </c>
      <c r="K703" s="66">
        <v>53.902208994050703</v>
      </c>
      <c r="L703" s="66">
        <v>54.106222283967455</v>
      </c>
      <c r="M703" s="66">
        <v>13380839.998776425</v>
      </c>
      <c r="N703" s="66" t="s">
        <v>878</v>
      </c>
      <c r="O703" s="25">
        <f t="shared" si="19"/>
        <v>1.4030164854434979E-3</v>
      </c>
    </row>
    <row r="704" spans="1:15">
      <c r="A704" s="65">
        <v>396.18721606438856</v>
      </c>
      <c r="B704" s="65">
        <v>397.20596919754962</v>
      </c>
      <c r="C704" s="65">
        <v>394.59051644222279</v>
      </c>
      <c r="D704" s="65">
        <v>395.34478558889003</v>
      </c>
      <c r="E704" s="65">
        <v>2932858.3566945717</v>
      </c>
      <c r="F704" s="65" t="s">
        <v>879</v>
      </c>
      <c r="G704" s="25">
        <f t="shared" si="18"/>
        <v>2.1308753933446667E-3</v>
      </c>
      <c r="I704" s="66">
        <v>54.020821371909278</v>
      </c>
      <c r="J704" s="66">
        <v>54.17738971068259</v>
      </c>
      <c r="K704" s="66">
        <v>53.707684694362641</v>
      </c>
      <c r="L704" s="66">
        <v>53.726662674820005</v>
      </c>
      <c r="M704" s="66">
        <v>13487400.336139111</v>
      </c>
      <c r="N704" s="66" t="s">
        <v>879</v>
      </c>
      <c r="O704" s="25">
        <f t="shared" si="19"/>
        <v>5.4750971388204395E-3</v>
      </c>
    </row>
    <row r="705" spans="1:15">
      <c r="A705" s="65">
        <v>396.58883989573093</v>
      </c>
      <c r="B705" s="65">
        <v>396.83275290549733</v>
      </c>
      <c r="C705" s="65">
        <v>390.98569766334543</v>
      </c>
      <c r="D705" s="65">
        <v>392.40607462784874</v>
      </c>
      <c r="E705" s="65">
        <v>4077746.0454136403</v>
      </c>
      <c r="F705" s="65" t="s">
        <v>880</v>
      </c>
      <c r="G705" s="25">
        <f t="shared" si="18"/>
        <v>1.065927756559093E-2</v>
      </c>
      <c r="I705" s="66">
        <v>53.821552577106871</v>
      </c>
      <c r="J705" s="66">
        <v>54.016076876794926</v>
      </c>
      <c r="K705" s="66">
        <v>53.190534726899251</v>
      </c>
      <c r="L705" s="66">
        <v>53.963887430537156</v>
      </c>
      <c r="M705" s="66">
        <v>12309453.08035952</v>
      </c>
      <c r="N705" s="66" t="s">
        <v>880</v>
      </c>
      <c r="O705" s="25">
        <f t="shared" si="19"/>
        <v>-2.6375945138032986E-3</v>
      </c>
    </row>
    <row r="706" spans="1:15">
      <c r="A706" s="65">
        <v>390.49591250317189</v>
      </c>
      <c r="B706" s="65">
        <v>394.64929066144362</v>
      </c>
      <c r="C706" s="65">
        <v>390.07469726542263</v>
      </c>
      <c r="D706" s="65">
        <v>394.58072073901934</v>
      </c>
      <c r="E706" s="65">
        <v>4232074.935193019</v>
      </c>
      <c r="F706" s="65" t="s">
        <v>881</v>
      </c>
      <c r="G706" s="25">
        <f t="shared" si="18"/>
        <v>-1.0352275266254596E-2</v>
      </c>
      <c r="I706" s="66">
        <v>53.764618635734749</v>
      </c>
      <c r="J706" s="66">
        <v>54.220090166711678</v>
      </c>
      <c r="K706" s="66">
        <v>53.489437919102855</v>
      </c>
      <c r="L706" s="66">
        <v>54.115711274196137</v>
      </c>
      <c r="M706" s="66">
        <v>12668462.829331698</v>
      </c>
      <c r="N706" s="66" t="s">
        <v>881</v>
      </c>
      <c r="O706" s="25">
        <f t="shared" si="19"/>
        <v>-6.4878134315273783E-3</v>
      </c>
    </row>
    <row r="707" spans="1:15">
      <c r="A707" s="65">
        <v>393.46401057382366</v>
      </c>
      <c r="B707" s="65">
        <v>394.27960082254458</v>
      </c>
      <c r="C707" s="65">
        <v>391.39711719789125</v>
      </c>
      <c r="D707" s="65">
        <v>393.77747307633473</v>
      </c>
      <c r="E707" s="65">
        <v>3809688.7201294741</v>
      </c>
      <c r="F707" s="65" t="s">
        <v>882</v>
      </c>
      <c r="G707" s="25">
        <f t="shared" si="18"/>
        <v>-7.9603970248010025E-4</v>
      </c>
      <c r="I707" s="66">
        <v>54.172645215568252</v>
      </c>
      <c r="J707" s="66">
        <v>54.528482349143978</v>
      </c>
      <c r="K707" s="66">
        <v>54.011332381680589</v>
      </c>
      <c r="L707" s="66">
        <v>54.390891990828031</v>
      </c>
      <c r="M707" s="66">
        <v>14484169.199005753</v>
      </c>
      <c r="N707" s="66" t="s">
        <v>882</v>
      </c>
      <c r="O707" s="25">
        <f t="shared" si="19"/>
        <v>-4.0125610607117945E-3</v>
      </c>
    </row>
    <row r="708" spans="1:15">
      <c r="A708" s="65">
        <v>393.14075236810908</v>
      </c>
      <c r="B708" s="65">
        <v>393.8264515923521</v>
      </c>
      <c r="C708" s="65">
        <v>391.07385899217672</v>
      </c>
      <c r="D708" s="65">
        <v>392.08281642213421</v>
      </c>
      <c r="E708" s="65">
        <v>3428623.6835043048</v>
      </c>
      <c r="F708" s="65" t="s">
        <v>883</v>
      </c>
      <c r="G708" s="25">
        <f t="shared" si="18"/>
        <v>2.6982461400089086E-3</v>
      </c>
      <c r="I708" s="66">
        <v>54.258046127626422</v>
      </c>
      <c r="J708" s="66">
        <v>54.466329463146081</v>
      </c>
      <c r="K708" s="66">
        <v>53.831041567335554</v>
      </c>
      <c r="L708" s="66">
        <v>54.011332381680589</v>
      </c>
      <c r="M708" s="66">
        <v>11012029.465907674</v>
      </c>
      <c r="N708" s="66" t="s">
        <v>883</v>
      </c>
      <c r="O708" s="25">
        <f t="shared" si="19"/>
        <v>4.5678144764580431E-3</v>
      </c>
    </row>
    <row r="709" spans="1:15">
      <c r="A709" s="65">
        <v>392.03383790611684</v>
      </c>
      <c r="B709" s="65">
        <v>392.54615318365842</v>
      </c>
      <c r="C709" s="65">
        <v>390.31958984550937</v>
      </c>
      <c r="D709" s="65">
        <v>391.94567657728561</v>
      </c>
      <c r="E709" s="65">
        <v>4090676.2044200012</v>
      </c>
      <c r="F709" s="65" t="s">
        <v>884</v>
      </c>
      <c r="G709" s="25">
        <f t="shared" si="18"/>
        <v>2.2493252024391452E-4</v>
      </c>
      <c r="I709" s="66">
        <v>54.058777332824015</v>
      </c>
      <c r="J709" s="66">
        <v>54.348191534798943</v>
      </c>
      <c r="K709" s="66">
        <v>53.840530557564243</v>
      </c>
      <c r="L709" s="66">
        <v>53.878486518478987</v>
      </c>
      <c r="M709" s="66">
        <v>13355680.314316189</v>
      </c>
      <c r="N709" s="66" t="s">
        <v>884</v>
      </c>
      <c r="O709" s="25">
        <f t="shared" si="19"/>
        <v>3.3462486791122625E-3</v>
      </c>
    </row>
    <row r="710" spans="1:15">
      <c r="A710" s="65">
        <v>391.27956875944955</v>
      </c>
      <c r="B710" s="65">
        <v>392.66076291113905</v>
      </c>
      <c r="C710" s="65">
        <v>389.71225624689419</v>
      </c>
      <c r="D710" s="65">
        <v>389.79062187252197</v>
      </c>
      <c r="E710" s="65">
        <v>6106182.3492982965</v>
      </c>
      <c r="F710" s="65" t="s">
        <v>885</v>
      </c>
      <c r="G710" s="25">
        <f t="shared" si="18"/>
        <v>3.8198632891033313E-3</v>
      </c>
      <c r="I710" s="66">
        <v>53.840530557564243</v>
      </c>
      <c r="J710" s="66">
        <v>54.647094727002553</v>
      </c>
      <c r="K710" s="66">
        <v>53.802574596649499</v>
      </c>
      <c r="L710" s="66">
        <v>54.466803912657518</v>
      </c>
      <c r="M710" s="66">
        <v>14710451.44276957</v>
      </c>
      <c r="N710" s="66" t="s">
        <v>885</v>
      </c>
      <c r="O710" s="25">
        <f t="shared" si="19"/>
        <v>-1.1498257839721249E-2</v>
      </c>
    </row>
    <row r="711" spans="1:15">
      <c r="A711" s="65">
        <v>387.69434138697915</v>
      </c>
      <c r="B711" s="65">
        <v>387.82129370049614</v>
      </c>
      <c r="C711" s="65">
        <v>383.91319995043932</v>
      </c>
      <c r="D711" s="65">
        <v>383.92299565364277</v>
      </c>
      <c r="E711" s="65">
        <v>4851273.9731804803</v>
      </c>
      <c r="F711" s="65" t="s">
        <v>886</v>
      </c>
      <c r="G711" s="25">
        <f t="shared" si="18"/>
        <v>9.8231827111985304E-3</v>
      </c>
      <c r="I711" s="66">
        <v>54.172645215568252</v>
      </c>
      <c r="J711" s="66">
        <v>54.229579156940368</v>
      </c>
      <c r="K711" s="66">
        <v>53.475204433759828</v>
      </c>
      <c r="L711" s="66">
        <v>53.612794792075775</v>
      </c>
      <c r="M711" s="66">
        <v>13792022.843944168</v>
      </c>
      <c r="N711" s="66" t="s">
        <v>886</v>
      </c>
      <c r="O711" s="25">
        <f t="shared" si="19"/>
        <v>1.0442477876106304E-2</v>
      </c>
    </row>
    <row r="712" spans="1:15">
      <c r="A712" s="65">
        <v>380.46511242281747</v>
      </c>
      <c r="B712" s="65">
        <v>381.13122024065348</v>
      </c>
      <c r="C712" s="65">
        <v>376.76233661190543</v>
      </c>
      <c r="D712" s="65">
        <v>377.2227346624685</v>
      </c>
      <c r="E712" s="65">
        <v>5664890.9064881224</v>
      </c>
      <c r="F712" s="65" t="s">
        <v>887</v>
      </c>
      <c r="G712" s="25">
        <f t="shared" si="18"/>
        <v>8.5953932846867254E-3</v>
      </c>
      <c r="I712" s="66">
        <v>53.55586085070366</v>
      </c>
      <c r="J712" s="66">
        <v>53.973376420765845</v>
      </c>
      <c r="K712" s="66">
        <v>53.385059026587314</v>
      </c>
      <c r="L712" s="66">
        <v>53.897464498936351</v>
      </c>
      <c r="M712" s="66">
        <v>14870704.532229288</v>
      </c>
      <c r="N712" s="66" t="s">
        <v>887</v>
      </c>
      <c r="O712" s="25">
        <f t="shared" si="19"/>
        <v>-6.338028169013965E-3</v>
      </c>
    </row>
    <row r="713" spans="1:15">
      <c r="A713" s="65">
        <v>376.3215299677492</v>
      </c>
      <c r="B713" s="65">
        <v>376.62519676705682</v>
      </c>
      <c r="C713" s="65">
        <v>372.78528111129611</v>
      </c>
      <c r="D713" s="65">
        <v>374.53871198471751</v>
      </c>
      <c r="E713" s="65">
        <v>4617493.921617819</v>
      </c>
      <c r="F713" s="65" t="s">
        <v>888</v>
      </c>
      <c r="G713" s="25">
        <f t="shared" si="18"/>
        <v>4.7600366156661522E-3</v>
      </c>
      <c r="I713" s="66">
        <v>53.603305801847092</v>
      </c>
      <c r="J713" s="66">
        <v>53.821552577106871</v>
      </c>
      <c r="K713" s="66">
        <v>53.280680134071766</v>
      </c>
      <c r="L713" s="66">
        <v>53.67921772367658</v>
      </c>
      <c r="M713" s="66">
        <v>17535453.824894704</v>
      </c>
      <c r="N713" s="66" t="s">
        <v>888</v>
      </c>
      <c r="O713" s="25">
        <f t="shared" si="19"/>
        <v>-1.4141771256849234E-3</v>
      </c>
    </row>
    <row r="714" spans="1:15">
      <c r="A714" s="65">
        <v>374.05872252774742</v>
      </c>
      <c r="B714" s="65">
        <v>374.97951862887368</v>
      </c>
      <c r="C714" s="65">
        <v>370.97307601865396</v>
      </c>
      <c r="D714" s="65">
        <v>372.14856040307052</v>
      </c>
      <c r="E714" s="65">
        <v>5916635.9776460733</v>
      </c>
      <c r="F714" s="65" t="s">
        <v>889</v>
      </c>
      <c r="G714" s="25">
        <f t="shared" si="18"/>
        <v>5.1327946092496468E-3</v>
      </c>
      <c r="I714" s="66">
        <v>53.280680134071766</v>
      </c>
      <c r="J714" s="66">
        <v>53.399292511930341</v>
      </c>
      <c r="K714" s="66">
        <v>52.587983847377693</v>
      </c>
      <c r="L714" s="66">
        <v>52.597472837606375</v>
      </c>
      <c r="M714" s="66">
        <v>15822856.424291162</v>
      </c>
      <c r="N714" s="66" t="s">
        <v>889</v>
      </c>
      <c r="O714" s="25">
        <f t="shared" si="19"/>
        <v>1.2989355944434511E-2</v>
      </c>
    </row>
    <row r="715" spans="1:15">
      <c r="A715" s="65">
        <v>369.61147327337147</v>
      </c>
      <c r="B715" s="65">
        <v>373.1085393170107</v>
      </c>
      <c r="C715" s="65">
        <v>368.2645640828942</v>
      </c>
      <c r="D715" s="65">
        <v>372.7558940016857</v>
      </c>
      <c r="E715" s="65">
        <v>5756352.4362415485</v>
      </c>
      <c r="F715" s="65" t="s">
        <v>890</v>
      </c>
      <c r="G715" s="25">
        <f t="shared" si="18"/>
        <v>-8.4356029747982841E-3</v>
      </c>
      <c r="I715" s="66">
        <v>52.417182023261347</v>
      </c>
      <c r="J715" s="66">
        <v>53.266446648728738</v>
      </c>
      <c r="K715" s="66">
        <v>52.284336160059745</v>
      </c>
      <c r="L715" s="66">
        <v>52.711340720350606</v>
      </c>
      <c r="M715" s="66">
        <v>14360349.912476389</v>
      </c>
      <c r="N715" s="66" t="s">
        <v>890</v>
      </c>
      <c r="O715" s="25">
        <f t="shared" si="19"/>
        <v>-5.5805580558054846E-3</v>
      </c>
    </row>
    <row r="716" spans="1:15">
      <c r="A716" s="65">
        <v>371.25715141155467</v>
      </c>
      <c r="B716" s="65">
        <v>375.56442006715292</v>
      </c>
      <c r="C716" s="65">
        <v>370.42451663925959</v>
      </c>
      <c r="D716" s="65">
        <v>374.81299167441466</v>
      </c>
      <c r="E716" s="65">
        <v>7104544.5696373712</v>
      </c>
      <c r="F716" s="65" t="s">
        <v>891</v>
      </c>
      <c r="G716" s="25">
        <f t="shared" si="18"/>
        <v>-9.4869717481639304E-3</v>
      </c>
      <c r="I716" s="66">
        <v>52.929587495610392</v>
      </c>
      <c r="J716" s="66">
        <v>53.73140716993435</v>
      </c>
      <c r="K716" s="66">
        <v>52.872653554238269</v>
      </c>
      <c r="L716" s="66">
        <v>53.489437919102855</v>
      </c>
      <c r="M716" s="66">
        <v>17102331.86977081</v>
      </c>
      <c r="N716" s="66" t="s">
        <v>891</v>
      </c>
      <c r="O716" s="25">
        <f t="shared" si="19"/>
        <v>-1.0466560227070931E-2</v>
      </c>
    </row>
    <row r="717" spans="1:15">
      <c r="A717" s="65">
        <v>375.87092762038952</v>
      </c>
      <c r="B717" s="65">
        <v>379.75982179216754</v>
      </c>
      <c r="C717" s="65">
        <v>375.29298113138475</v>
      </c>
      <c r="D717" s="65">
        <v>379.68145616653982</v>
      </c>
      <c r="E717" s="65">
        <v>5585320.3045813804</v>
      </c>
      <c r="F717" s="65" t="s">
        <v>892</v>
      </c>
      <c r="G717" s="25">
        <f t="shared" si="18"/>
        <v>-1.0036119711042457E-2</v>
      </c>
      <c r="I717" s="66">
        <v>53.252213163385711</v>
      </c>
      <c r="J717" s="66">
        <v>53.345015487822259</v>
      </c>
      <c r="K717" s="66">
        <v>52.720829710579295</v>
      </c>
      <c r="L717" s="66">
        <v>52.910609515153013</v>
      </c>
      <c r="M717" s="66">
        <v>17600422.803167682</v>
      </c>
      <c r="N717" s="66" t="s">
        <v>892</v>
      </c>
      <c r="O717" s="25">
        <f t="shared" si="19"/>
        <v>6.4562410329986886E-3</v>
      </c>
    </row>
    <row r="718" spans="1:15">
      <c r="A718" s="65">
        <v>381.24876867909518</v>
      </c>
      <c r="B718" s="65">
        <v>382.28711321866308</v>
      </c>
      <c r="C718" s="65">
        <v>378.65290733017537</v>
      </c>
      <c r="D718" s="65">
        <v>380.34756398437582</v>
      </c>
      <c r="E718" s="65">
        <v>4544352.6692627948</v>
      </c>
      <c r="F718" s="65" t="s">
        <v>893</v>
      </c>
      <c r="G718" s="25">
        <f t="shared" si="18"/>
        <v>2.3694241269187621E-3</v>
      </c>
      <c r="I718" s="66">
        <v>52.796741632408782</v>
      </c>
      <c r="J718" s="66">
        <v>53.299658114529144</v>
      </c>
      <c r="K718" s="66">
        <v>52.474115964633455</v>
      </c>
      <c r="L718" s="66">
        <v>52.806230622637472</v>
      </c>
      <c r="M718" s="66">
        <v>26652834.907073393</v>
      </c>
      <c r="N718" s="66" t="s">
        <v>893</v>
      </c>
      <c r="O718" s="25">
        <f t="shared" si="19"/>
        <v>-1.7969451931720837E-4</v>
      </c>
    </row>
    <row r="719" spans="1:15">
      <c r="A719" s="65">
        <v>378.41781045329202</v>
      </c>
      <c r="B719" s="65">
        <v>381.97365071615201</v>
      </c>
      <c r="C719" s="65">
        <v>376.00806746523813</v>
      </c>
      <c r="D719" s="65">
        <v>377.60476708740396</v>
      </c>
      <c r="E719" s="65">
        <v>5652612.0534541337</v>
      </c>
      <c r="F719" s="65" t="s">
        <v>894</v>
      </c>
      <c r="G719" s="25">
        <f t="shared" si="18"/>
        <v>2.1531596970010281E-3</v>
      </c>
      <c r="I719" s="66">
        <v>51.316459156733771</v>
      </c>
      <c r="J719" s="66">
        <v>52.085067365257338</v>
      </c>
      <c r="K719" s="66">
        <v>51.283247690933372</v>
      </c>
      <c r="L719" s="66">
        <v>51.601128863594354</v>
      </c>
      <c r="M719" s="66">
        <v>22355013.008520611</v>
      </c>
      <c r="N719" s="66" t="s">
        <v>894</v>
      </c>
      <c r="O719" s="25">
        <f t="shared" si="19"/>
        <v>-5.5167340934167974E-3</v>
      </c>
    </row>
    <row r="720" spans="1:15">
      <c r="A720" s="65">
        <v>379.08391827112808</v>
      </c>
      <c r="B720" s="65">
        <v>383.81524291840458</v>
      </c>
      <c r="C720" s="65">
        <v>378.93698272307597</v>
      </c>
      <c r="D720" s="65">
        <v>383.38423197745186</v>
      </c>
      <c r="E720" s="65">
        <v>7707066.9079937013</v>
      </c>
      <c r="F720" s="65" t="s">
        <v>895</v>
      </c>
      <c r="G720" s="25">
        <f t="shared" si="18"/>
        <v>-1.1216720322959728E-2</v>
      </c>
      <c r="I720" s="66">
        <v>51.781419677939382</v>
      </c>
      <c r="J720" s="66">
        <v>52.208424238230258</v>
      </c>
      <c r="K720" s="66">
        <v>51.658062804966463</v>
      </c>
      <c r="L720" s="66">
        <v>51.743463717024639</v>
      </c>
      <c r="M720" s="66">
        <v>16531106.705726078</v>
      </c>
      <c r="N720" s="66" t="s">
        <v>895</v>
      </c>
      <c r="O720" s="25">
        <f t="shared" si="19"/>
        <v>7.3354116999824193E-4</v>
      </c>
    </row>
    <row r="721" spans="1:15">
      <c r="A721" s="65">
        <v>383.86422143442195</v>
      </c>
      <c r="B721" s="65">
        <v>389.4771593700109</v>
      </c>
      <c r="C721" s="65">
        <v>383.14423724896682</v>
      </c>
      <c r="D721" s="65">
        <v>387.88045974784512</v>
      </c>
      <c r="E721" s="65">
        <v>6848822.2444537785</v>
      </c>
      <c r="F721" s="65" t="s">
        <v>896</v>
      </c>
      <c r="G721" s="25">
        <f t="shared" si="18"/>
        <v>-1.0354319771699982E-2</v>
      </c>
      <c r="I721" s="66">
        <v>51.572661892908293</v>
      </c>
      <c r="J721" s="66">
        <v>51.961710492284418</v>
      </c>
      <c r="K721" s="66">
        <v>51.107701371702682</v>
      </c>
      <c r="L721" s="66">
        <v>51.392371078563258</v>
      </c>
      <c r="M721" s="66">
        <v>17074721.977286361</v>
      </c>
      <c r="N721" s="66" t="s">
        <v>896</v>
      </c>
      <c r="O721" s="25">
        <f t="shared" si="19"/>
        <v>3.5081240768095601E-3</v>
      </c>
    </row>
    <row r="722" spans="1:15">
      <c r="A722" s="65">
        <v>387.14578200758478</v>
      </c>
      <c r="B722" s="65">
        <v>391.64200977797799</v>
      </c>
      <c r="C722" s="65">
        <v>386.16621168723771</v>
      </c>
      <c r="D722" s="65">
        <v>390.74080508325864</v>
      </c>
      <c r="E722" s="65">
        <v>7482118.2795767868</v>
      </c>
      <c r="F722" s="65" t="s">
        <v>897</v>
      </c>
      <c r="G722" s="25">
        <f t="shared" si="18"/>
        <v>-9.2005314748425659E-3</v>
      </c>
      <c r="I722" s="66">
        <v>51.28799218604771</v>
      </c>
      <c r="J722" s="66">
        <v>51.743463717024639</v>
      </c>
      <c r="K722" s="66">
        <v>51.164635313074797</v>
      </c>
      <c r="L722" s="66">
        <v>51.335437137191143</v>
      </c>
      <c r="M722" s="66">
        <v>13499277.258475831</v>
      </c>
      <c r="N722" s="66" t="s">
        <v>897</v>
      </c>
      <c r="O722" s="25">
        <f t="shared" si="19"/>
        <v>-9.2421441774492852E-4</v>
      </c>
    </row>
    <row r="723" spans="1:15">
      <c r="A723" s="65">
        <v>392.39627892464529</v>
      </c>
      <c r="B723" s="65">
        <v>394.27705393971172</v>
      </c>
      <c r="C723" s="65">
        <v>389.19063505130936</v>
      </c>
      <c r="D723" s="65">
        <v>389.50654647962131</v>
      </c>
      <c r="E723" s="65">
        <v>4302507.8572271941</v>
      </c>
      <c r="F723" s="65" t="s">
        <v>898</v>
      </c>
      <c r="G723" s="25">
        <f t="shared" si="18"/>
        <v>7.4189573221337124E-3</v>
      </c>
      <c r="I723" s="66">
        <v>51.306970166505089</v>
      </c>
      <c r="J723" s="66">
        <v>51.335437137191143</v>
      </c>
      <c r="K723" s="66">
        <v>50.490917006838089</v>
      </c>
      <c r="L723" s="66">
        <v>50.585806909124955</v>
      </c>
      <c r="M723" s="66">
        <v>17343458.685676154</v>
      </c>
      <c r="N723" s="66" t="s">
        <v>898</v>
      </c>
      <c r="O723" s="25">
        <f t="shared" si="19"/>
        <v>1.4256237103732916E-2</v>
      </c>
    </row>
    <row r="724" spans="1:15">
      <c r="A724" s="65">
        <v>392.38648322144178</v>
      </c>
      <c r="B724" s="65">
        <v>393.39544065139933</v>
      </c>
      <c r="C724" s="65">
        <v>390.20204140706772</v>
      </c>
      <c r="D724" s="65">
        <v>390.42734258074756</v>
      </c>
      <c r="E724" s="65">
        <v>5258367.7690181229</v>
      </c>
      <c r="F724" s="65" t="s">
        <v>899</v>
      </c>
      <c r="G724" s="25">
        <f t="shared" si="18"/>
        <v>5.0179391323983413E-3</v>
      </c>
      <c r="I724" s="66">
        <v>50.699674791869185</v>
      </c>
      <c r="J724" s="66">
        <v>50.823031664842105</v>
      </c>
      <c r="K724" s="66">
        <v>50.139824368376715</v>
      </c>
      <c r="L724" s="66">
        <v>50.310626192493061</v>
      </c>
      <c r="M724" s="66">
        <v>13507040.992890615</v>
      </c>
      <c r="N724" s="66" t="s">
        <v>899</v>
      </c>
      <c r="O724" s="25">
        <f t="shared" si="19"/>
        <v>7.7329309694453841E-3</v>
      </c>
    </row>
    <row r="725" spans="1:15">
      <c r="A725" s="65">
        <v>388.32126639200129</v>
      </c>
      <c r="B725" s="65">
        <v>392.76851564637718</v>
      </c>
      <c r="C725" s="65">
        <v>386.89109372429448</v>
      </c>
      <c r="D725" s="65">
        <v>391.64200977797799</v>
      </c>
      <c r="E725" s="65">
        <v>3850891.479300146</v>
      </c>
      <c r="F725" s="65" t="s">
        <v>900</v>
      </c>
      <c r="G725" s="25">
        <f t="shared" si="18"/>
        <v>-8.4790275380806079E-3</v>
      </c>
      <c r="I725" s="66">
        <v>50.187269319520141</v>
      </c>
      <c r="J725" s="66">
        <v>50.690185801640496</v>
      </c>
      <c r="K725" s="66">
        <v>49.95004456380299</v>
      </c>
      <c r="L725" s="66">
        <v>50.044934466089849</v>
      </c>
      <c r="M725" s="66">
        <v>15309314.953327417</v>
      </c>
      <c r="N725" s="66" t="s">
        <v>900</v>
      </c>
      <c r="O725" s="25">
        <f t="shared" si="19"/>
        <v>2.8441410693971214E-3</v>
      </c>
    </row>
    <row r="726" spans="1:15">
      <c r="A726" s="65">
        <v>390.37836406473019</v>
      </c>
      <c r="B726" s="65">
        <v>393.59135471546875</v>
      </c>
      <c r="C726" s="65">
        <v>388.1057609215249</v>
      </c>
      <c r="D726" s="65">
        <v>393.27789221295768</v>
      </c>
      <c r="E726" s="65">
        <v>3953701.8624937828</v>
      </c>
      <c r="F726" s="65" t="s">
        <v>901</v>
      </c>
      <c r="G726" s="25">
        <f t="shared" si="18"/>
        <v>-7.3727209325497034E-3</v>
      </c>
      <c r="I726" s="66">
        <v>50.111357397690654</v>
      </c>
      <c r="J726" s="66">
        <v>51.07923440101662</v>
      </c>
      <c r="K726" s="66">
        <v>49.750680879098304</v>
      </c>
      <c r="L726" s="66">
        <v>51.012811469415816</v>
      </c>
      <c r="M726" s="66">
        <v>20371359.369264353</v>
      </c>
      <c r="N726" s="66" t="s">
        <v>901</v>
      </c>
      <c r="O726" s="25">
        <f t="shared" si="19"/>
        <v>-1.767113095238082E-2</v>
      </c>
    </row>
    <row r="727" spans="1:15">
      <c r="A727" s="65">
        <v>392.73912853676677</v>
      </c>
      <c r="B727" s="65">
        <v>392.89585978802228</v>
      </c>
      <c r="C727" s="65">
        <v>389.8591917949463</v>
      </c>
      <c r="D727" s="65">
        <v>392.09261212533767</v>
      </c>
      <c r="E727" s="65">
        <v>4268998.2670342531</v>
      </c>
      <c r="F727" s="65" t="s">
        <v>902</v>
      </c>
      <c r="G727" s="25">
        <f t="shared" si="18"/>
        <v>1.6488870012740797E-3</v>
      </c>
      <c r="I727" s="66">
        <v>50.96536651827239</v>
      </c>
      <c r="J727" s="66">
        <v>51.506238961307488</v>
      </c>
      <c r="K727" s="66">
        <v>50.310626192493061</v>
      </c>
      <c r="L727" s="66">
        <v>51.449305019935373</v>
      </c>
      <c r="M727" s="66">
        <v>22277321.917874172</v>
      </c>
      <c r="N727" s="66" t="s">
        <v>902</v>
      </c>
      <c r="O727" s="25">
        <f t="shared" si="19"/>
        <v>-9.4061232017705887E-3</v>
      </c>
    </row>
    <row r="728" spans="1:15">
      <c r="A728" s="65">
        <v>391.08365469538018</v>
      </c>
      <c r="B728" s="65">
        <v>393.47380627702711</v>
      </c>
      <c r="C728" s="65">
        <v>389.26900067693714</v>
      </c>
      <c r="D728" s="65">
        <v>389.64368632446991</v>
      </c>
      <c r="E728" s="65">
        <v>3358247.9293924696</v>
      </c>
      <c r="F728" s="65" t="s">
        <v>903</v>
      </c>
      <c r="G728" s="25">
        <f t="shared" si="18"/>
        <v>3.6956029866506146E-3</v>
      </c>
      <c r="I728" s="66">
        <v>51.269014205590345</v>
      </c>
      <c r="J728" s="66">
        <v>51.553683912450921</v>
      </c>
      <c r="K728" s="66">
        <v>50.823031664842105</v>
      </c>
      <c r="L728" s="66">
        <v>51.363904107877204</v>
      </c>
      <c r="M728" s="66">
        <v>22035731.406686824</v>
      </c>
      <c r="N728" s="66" t="s">
        <v>903</v>
      </c>
      <c r="O728" s="25">
        <f t="shared" si="19"/>
        <v>-1.8474043968224052E-3</v>
      </c>
    </row>
    <row r="729" spans="1:15">
      <c r="A729" s="65">
        <v>389.07553553866859</v>
      </c>
      <c r="B729" s="65">
        <v>389.56532069884213</v>
      </c>
      <c r="C729" s="65">
        <v>384.29523237537467</v>
      </c>
      <c r="D729" s="65">
        <v>384.77522183234476</v>
      </c>
      <c r="E729" s="65">
        <v>3021224.6517955987</v>
      </c>
      <c r="F729" s="65" t="s">
        <v>904</v>
      </c>
      <c r="G729" s="25">
        <f t="shared" si="18"/>
        <v>1.1176171079429809E-2</v>
      </c>
      <c r="I729" s="66">
        <v>50.177780329291458</v>
      </c>
      <c r="J729" s="66">
        <v>50.433983065465974</v>
      </c>
      <c r="K729" s="66">
        <v>49.447128081682635</v>
      </c>
      <c r="L729" s="66">
        <v>50.253692251120945</v>
      </c>
      <c r="M729" s="66">
        <v>16550495.491631221</v>
      </c>
      <c r="N729" s="66" t="s">
        <v>904</v>
      </c>
      <c r="O729" s="25">
        <f t="shared" si="19"/>
        <v>-1.5105740181268201E-3</v>
      </c>
    </row>
    <row r="730" spans="1:15">
      <c r="A730" s="65">
        <v>386.49926559615568</v>
      </c>
      <c r="B730" s="65">
        <v>387.99311033468501</v>
      </c>
      <c r="C730" s="65">
        <v>378.51615931345486</v>
      </c>
      <c r="D730" s="65">
        <v>379.76961749537105</v>
      </c>
      <c r="E730" s="65">
        <v>4999354.2048769658</v>
      </c>
      <c r="F730" s="65" t="s">
        <v>905</v>
      </c>
      <c r="G730" s="25">
        <f t="shared" si="18"/>
        <v>1.7720343573473629E-2</v>
      </c>
      <c r="I730" s="66">
        <v>50.424494075237291</v>
      </c>
      <c r="J730" s="66">
        <v>50.566828928667576</v>
      </c>
      <c r="K730" s="66">
        <v>48.915744628876219</v>
      </c>
      <c r="L730" s="66">
        <v>49.38070515008183</v>
      </c>
      <c r="M730" s="66">
        <v>31930548.214080881</v>
      </c>
      <c r="N730" s="66" t="s">
        <v>905</v>
      </c>
      <c r="O730" s="25">
        <f t="shared" si="19"/>
        <v>2.1137586471944747E-2</v>
      </c>
    </row>
    <row r="731" spans="1:15">
      <c r="A731" s="65">
        <v>381.94426360654165</v>
      </c>
      <c r="B731" s="65">
        <v>382.80520796109471</v>
      </c>
      <c r="C731" s="65">
        <v>379.04473545831416</v>
      </c>
      <c r="D731" s="65">
        <v>381.92467220013464</v>
      </c>
      <c r="E731" s="65">
        <v>3398521.7098251195</v>
      </c>
      <c r="F731" s="65" t="s">
        <v>906</v>
      </c>
      <c r="G731" s="25">
        <f t="shared" si="18"/>
        <v>5.1296519531396356E-5</v>
      </c>
      <c r="I731" s="66">
        <v>49.703330817857157</v>
      </c>
      <c r="J731" s="66">
        <v>52.142001306629453</v>
      </c>
      <c r="K731" s="66">
        <v>49.56574045954121</v>
      </c>
      <c r="L731" s="66">
        <v>51.942732511827046</v>
      </c>
      <c r="M731" s="66">
        <v>31487093.231138747</v>
      </c>
      <c r="N731" s="66" t="s">
        <v>906</v>
      </c>
      <c r="O731" s="25">
        <f t="shared" si="19"/>
        <v>-4.3112897332846178E-2</v>
      </c>
    </row>
    <row r="732" spans="1:15">
      <c r="A732" s="65">
        <v>382.26752181225618</v>
      </c>
      <c r="B732" s="65">
        <v>382.86505970766791</v>
      </c>
      <c r="C732" s="65">
        <v>378.50597178212325</v>
      </c>
      <c r="D732" s="65">
        <v>379.80880030818491</v>
      </c>
      <c r="E732" s="65">
        <v>4424123.4243033649</v>
      </c>
      <c r="F732" s="65" t="s">
        <v>907</v>
      </c>
      <c r="G732" s="25">
        <f t="shared" si="18"/>
        <v>6.4735769736672388E-3</v>
      </c>
      <c r="I732" s="66">
        <v>52.227402218687622</v>
      </c>
      <c r="J732" s="66">
        <v>52.455137984176091</v>
      </c>
      <c r="K732" s="66">
        <v>51.914265541140992</v>
      </c>
      <c r="L732" s="66">
        <v>52.085067365257338</v>
      </c>
      <c r="M732" s="66">
        <v>12752165.096997537</v>
      </c>
      <c r="N732" s="66" t="s">
        <v>907</v>
      </c>
      <c r="O732" s="25">
        <f t="shared" si="19"/>
        <v>2.7327382036799186E-3</v>
      </c>
    </row>
    <row r="733" spans="1:15">
      <c r="A733" s="65">
        <v>379.47574639926688</v>
      </c>
      <c r="B733" s="65">
        <v>383.92299565364277</v>
      </c>
      <c r="C733" s="65">
        <v>378.14353076359481</v>
      </c>
      <c r="D733" s="65">
        <v>382.60057572117415</v>
      </c>
      <c r="E733" s="65">
        <v>7030289.5636524763</v>
      </c>
      <c r="F733" s="65" t="s">
        <v>908</v>
      </c>
      <c r="G733" s="25">
        <f t="shared" si="18"/>
        <v>-8.167340877669127E-3</v>
      </c>
      <c r="I733" s="66">
        <v>52.075578375028655</v>
      </c>
      <c r="J733" s="66">
        <v>52.59272834249203</v>
      </c>
      <c r="K733" s="66">
        <v>51.980688472741789</v>
      </c>
      <c r="L733" s="66">
        <v>52.341270101431853</v>
      </c>
      <c r="M733" s="66">
        <v>14336822.646179382</v>
      </c>
      <c r="N733" s="66" t="s">
        <v>908</v>
      </c>
      <c r="O733" s="25">
        <f t="shared" si="19"/>
        <v>-5.0761421319794886E-3</v>
      </c>
    </row>
    <row r="734" spans="1:15">
      <c r="A734" s="65">
        <v>384.64787769069966</v>
      </c>
      <c r="B734" s="65">
        <v>385.71551138284599</v>
      </c>
      <c r="C734" s="65">
        <v>382.00303782576248</v>
      </c>
      <c r="D734" s="65">
        <v>383.89360854403236</v>
      </c>
      <c r="E734" s="65">
        <v>6008913.1711485982</v>
      </c>
      <c r="F734" s="65" t="s">
        <v>909</v>
      </c>
      <c r="G734" s="25">
        <f t="shared" si="18"/>
        <v>1.964786935442886E-3</v>
      </c>
      <c r="I734" s="66">
        <v>52.644917788749808</v>
      </c>
      <c r="J734" s="66">
        <v>53.146885371847297</v>
      </c>
      <c r="K734" s="66">
        <v>52.260613684488028</v>
      </c>
      <c r="L734" s="66">
        <v>53.052944368583304</v>
      </c>
      <c r="M734" s="66">
        <v>12427562.591802783</v>
      </c>
      <c r="N734" s="66" t="s">
        <v>909</v>
      </c>
      <c r="O734" s="25">
        <f t="shared" si="19"/>
        <v>-7.6909318547665473E-3</v>
      </c>
    </row>
    <row r="735" spans="1:15">
      <c r="A735" s="65">
        <v>384.67726480031007</v>
      </c>
      <c r="B735" s="65">
        <v>388.63472889451236</v>
      </c>
      <c r="C735" s="65">
        <v>383.30586635182414</v>
      </c>
      <c r="D735" s="65">
        <v>388.51718045607072</v>
      </c>
      <c r="E735" s="65">
        <v>5886851.490107025</v>
      </c>
      <c r="F735" s="65" t="s">
        <v>910</v>
      </c>
      <c r="G735" s="25">
        <f t="shared" si="18"/>
        <v>-9.8835157077302727E-3</v>
      </c>
      <c r="I735" s="66">
        <v>53.119367300184102</v>
      </c>
      <c r="J735" s="66">
        <v>53.394548016816003</v>
      </c>
      <c r="K735" s="66">
        <v>52.773019156837073</v>
      </c>
      <c r="L735" s="66">
        <v>53.271191143843083</v>
      </c>
      <c r="M735" s="66">
        <v>12932420.314758137</v>
      </c>
      <c r="N735" s="66" t="s">
        <v>910</v>
      </c>
      <c r="O735" s="25">
        <f t="shared" si="19"/>
        <v>-2.8500178126114051E-3</v>
      </c>
    </row>
    <row r="736" spans="1:15">
      <c r="A736" s="65">
        <v>385.59806090143633</v>
      </c>
      <c r="B736" s="65">
        <v>387.1947605236021</v>
      </c>
      <c r="C736" s="65">
        <v>382.35568314108741</v>
      </c>
      <c r="D736" s="65">
        <v>382.88465111407487</v>
      </c>
      <c r="E736" s="65">
        <v>4150569.8116285275</v>
      </c>
      <c r="F736" s="65" t="s">
        <v>911</v>
      </c>
      <c r="G736" s="25">
        <f t="shared" si="18"/>
        <v>7.0867551871465206E-3</v>
      </c>
      <c r="I736" s="66">
        <v>52.958054466296446</v>
      </c>
      <c r="J736" s="66">
        <v>53.441992967959429</v>
      </c>
      <c r="K736" s="66">
        <v>52.853675573780905</v>
      </c>
      <c r="L736" s="66">
        <v>53.356592055901253</v>
      </c>
      <c r="M736" s="66">
        <v>13157110.186769444</v>
      </c>
      <c r="N736" s="66" t="s">
        <v>911</v>
      </c>
      <c r="O736" s="25">
        <f t="shared" si="19"/>
        <v>-7.469322425751268E-3</v>
      </c>
    </row>
    <row r="737" spans="1:15">
      <c r="A737" s="65">
        <v>383.36219164524408</v>
      </c>
      <c r="B737" s="65">
        <v>384.86499876025914</v>
      </c>
      <c r="C737" s="65">
        <v>380.04430580689905</v>
      </c>
      <c r="D737" s="65">
        <v>384.32828193346802</v>
      </c>
      <c r="E737" s="65">
        <v>4957425.903540004</v>
      </c>
      <c r="F737" s="65" t="s">
        <v>912</v>
      </c>
      <c r="G737" s="25">
        <f t="shared" si="18"/>
        <v>-2.5137111517365973E-3</v>
      </c>
      <c r="I737" s="66">
        <v>53.090900329498055</v>
      </c>
      <c r="J737" s="66">
        <v>53.641261762761836</v>
      </c>
      <c r="K737" s="66">
        <v>52.834697593323526</v>
      </c>
      <c r="L737" s="66">
        <v>53.536882870246295</v>
      </c>
      <c r="M737" s="66">
        <v>14507656.418892043</v>
      </c>
      <c r="N737" s="66" t="s">
        <v>912</v>
      </c>
      <c r="O737" s="25">
        <f t="shared" si="19"/>
        <v>-8.3303792981211933E-3</v>
      </c>
    </row>
    <row r="738" spans="1:15">
      <c r="A738" s="65">
        <v>383.27436525540548</v>
      </c>
      <c r="B738" s="65">
        <v>386.78742084894725</v>
      </c>
      <c r="C738" s="65">
        <v>382.49368623461845</v>
      </c>
      <c r="D738" s="65">
        <v>386.16287763231765</v>
      </c>
      <c r="E738" s="65">
        <v>5876662.5947943795</v>
      </c>
      <c r="F738" s="65" t="s">
        <v>913</v>
      </c>
      <c r="G738" s="25">
        <f t="shared" si="18"/>
        <v>-7.4800363893663402E-3</v>
      </c>
      <c r="I738" s="66">
        <v>53.641261762761836</v>
      </c>
      <c r="J738" s="66">
        <v>53.987609906108879</v>
      </c>
      <c r="K738" s="66">
        <v>53.517904889788916</v>
      </c>
      <c r="L738" s="66">
        <v>53.831041567335554</v>
      </c>
      <c r="M738" s="66">
        <v>11797567.212323103</v>
      </c>
      <c r="N738" s="66" t="s">
        <v>913</v>
      </c>
      <c r="O738" s="25">
        <f t="shared" si="19"/>
        <v>-3.5254715318173702E-3</v>
      </c>
    </row>
    <row r="739" spans="1:15">
      <c r="A739" s="65">
        <v>388.98308059491086</v>
      </c>
      <c r="B739" s="65">
        <v>389.01157537916959</v>
      </c>
      <c r="C739" s="65">
        <v>385.82133056072325</v>
      </c>
      <c r="D739" s="65">
        <v>386.20191158335695</v>
      </c>
      <c r="E739" s="65">
        <v>3307787.1074293554</v>
      </c>
      <c r="F739" s="65" t="s">
        <v>914</v>
      </c>
      <c r="G739" s="25">
        <f t="shared" si="18"/>
        <v>7.2013341419041588E-3</v>
      </c>
      <c r="I739" s="66">
        <v>54.087244303510076</v>
      </c>
      <c r="J739" s="66">
        <v>54.54746032960135</v>
      </c>
      <c r="K739" s="66">
        <v>53.840530557564243</v>
      </c>
      <c r="L739" s="66">
        <v>54.466803912657518</v>
      </c>
      <c r="M739" s="66">
        <v>13024382.681561083</v>
      </c>
      <c r="N739" s="66" t="s">
        <v>914</v>
      </c>
      <c r="O739" s="25">
        <f t="shared" si="19"/>
        <v>-6.9686411149826322E-3</v>
      </c>
    </row>
    <row r="740" spans="1:15">
      <c r="A740" s="65">
        <v>387.37293011453755</v>
      </c>
      <c r="B740" s="65">
        <v>390.65763709449914</v>
      </c>
      <c r="C740" s="65">
        <v>386.9777113602641</v>
      </c>
      <c r="D740" s="65">
        <v>389.16361261846788</v>
      </c>
      <c r="E740" s="65">
        <v>7384881.9380181106</v>
      </c>
      <c r="F740" s="65" t="s">
        <v>915</v>
      </c>
      <c r="G740" s="25">
        <f t="shared" si="18"/>
        <v>-4.6013616018255599E-3</v>
      </c>
      <c r="I740" s="66">
        <v>54.656583717231236</v>
      </c>
      <c r="J740" s="66">
        <v>55.002931860578279</v>
      </c>
      <c r="K740" s="66">
        <v>54.561693814944377</v>
      </c>
      <c r="L740" s="66">
        <v>54.893808472948386</v>
      </c>
      <c r="M740" s="66">
        <v>15434091.138302365</v>
      </c>
      <c r="N740" s="66" t="s">
        <v>915</v>
      </c>
      <c r="O740" s="25">
        <f t="shared" si="19"/>
        <v>-4.321521175453813E-3</v>
      </c>
    </row>
    <row r="741" spans="1:15">
      <c r="A741" s="65">
        <v>388.30974493948202</v>
      </c>
      <c r="B741" s="65">
        <v>392.34000038429519</v>
      </c>
      <c r="C741" s="65">
        <v>388.08529972100575</v>
      </c>
      <c r="D741" s="65">
        <v>392.09603819029928</v>
      </c>
      <c r="E741" s="65">
        <v>4747804.284868842</v>
      </c>
      <c r="F741" s="65" t="s">
        <v>916</v>
      </c>
      <c r="G741" s="25">
        <f t="shared" si="18"/>
        <v>-9.656545545047357E-3</v>
      </c>
      <c r="I741" s="66">
        <v>54.59964977585912</v>
      </c>
      <c r="J741" s="66">
        <v>55.434680915983485</v>
      </c>
      <c r="K741" s="66">
        <v>54.48578189311489</v>
      </c>
      <c r="L741" s="66">
        <v>55.387235964840052</v>
      </c>
      <c r="M741" s="66">
        <v>16804549.921228189</v>
      </c>
      <c r="N741" s="66" t="s">
        <v>916</v>
      </c>
      <c r="O741" s="25">
        <f t="shared" si="19"/>
        <v>-1.4219633373308116E-2</v>
      </c>
    </row>
    <row r="742" spans="1:15">
      <c r="A742" s="65">
        <v>394.77962232425477</v>
      </c>
      <c r="B742" s="65">
        <v>399.94186234920915</v>
      </c>
      <c r="C742" s="65">
        <v>394.56493559353828</v>
      </c>
      <c r="D742" s="65">
        <v>399.57103981433528</v>
      </c>
      <c r="E742" s="65">
        <v>4108643.7762427176</v>
      </c>
      <c r="F742" s="65" t="s">
        <v>917</v>
      </c>
      <c r="G742" s="25">
        <f t="shared" si="18"/>
        <v>-1.1991403311678694E-2</v>
      </c>
      <c r="I742" s="66">
        <v>55.453658896440857</v>
      </c>
      <c r="J742" s="66">
        <v>55.823729515359609</v>
      </c>
      <c r="K742" s="66">
        <v>55.112055248208158</v>
      </c>
      <c r="L742" s="66">
        <v>55.320813033239254</v>
      </c>
      <c r="M742" s="66">
        <v>15563218.681957733</v>
      </c>
      <c r="N742" s="66" t="s">
        <v>917</v>
      </c>
      <c r="O742" s="25">
        <f t="shared" si="19"/>
        <v>2.4013722126929871E-3</v>
      </c>
    </row>
    <row r="743" spans="1:15">
      <c r="A743" s="65">
        <v>398.50736464851298</v>
      </c>
      <c r="B743" s="65">
        <v>398.93185886606591</v>
      </c>
      <c r="C743" s="65">
        <v>395.91160690439597</v>
      </c>
      <c r="D743" s="65">
        <v>398.36098733211543</v>
      </c>
      <c r="E743" s="65">
        <v>3719606.0386923924</v>
      </c>
      <c r="F743" s="65" t="s">
        <v>918</v>
      </c>
      <c r="G743" s="25">
        <f t="shared" si="18"/>
        <v>3.6744892459950051E-4</v>
      </c>
      <c r="I743" s="66">
        <v>55.206945150495024</v>
      </c>
      <c r="J743" s="66">
        <v>55.406213945297431</v>
      </c>
      <c r="K743" s="66">
        <v>54.960231404549191</v>
      </c>
      <c r="L743" s="66">
        <v>55.282857072324511</v>
      </c>
      <c r="M743" s="66">
        <v>12646325.59502778</v>
      </c>
      <c r="N743" s="66" t="s">
        <v>918</v>
      </c>
      <c r="O743" s="25">
        <f t="shared" si="19"/>
        <v>-1.373154823206324E-3</v>
      </c>
    </row>
    <row r="744" spans="1:15">
      <c r="A744" s="65">
        <v>399.30756064481966</v>
      </c>
      <c r="B744" s="65">
        <v>400.42978673720103</v>
      </c>
      <c r="C744" s="65">
        <v>398.30243640555636</v>
      </c>
      <c r="D744" s="65">
        <v>398.71229289146953</v>
      </c>
      <c r="E744" s="65">
        <v>3089178.4405435175</v>
      </c>
      <c r="F744" s="65" t="s">
        <v>919</v>
      </c>
      <c r="G744" s="25">
        <f t="shared" si="18"/>
        <v>1.4929756718391474E-3</v>
      </c>
      <c r="I744" s="66">
        <v>55.320813033239254</v>
      </c>
      <c r="J744" s="66">
        <v>55.368163094480394</v>
      </c>
      <c r="K744" s="66">
        <v>54.685050687917297</v>
      </c>
      <c r="L744" s="66">
        <v>55.017165345921299</v>
      </c>
      <c r="M744" s="66">
        <v>14350705.050610758</v>
      </c>
      <c r="N744" s="66" t="s">
        <v>919</v>
      </c>
      <c r="O744" s="25">
        <f t="shared" si="19"/>
        <v>5.5191445325974975E-3</v>
      </c>
    </row>
    <row r="745" spans="1:15">
      <c r="A745" s="65">
        <v>398.86842869562696</v>
      </c>
      <c r="B745" s="65">
        <v>402.70351438524341</v>
      </c>
      <c r="C745" s="65">
        <v>398.61470801387117</v>
      </c>
      <c r="D745" s="65">
        <v>402.38148428916867</v>
      </c>
      <c r="E745" s="65">
        <v>4103125.5031941393</v>
      </c>
      <c r="F745" s="65" t="s">
        <v>920</v>
      </c>
      <c r="G745" s="25">
        <f t="shared" si="18"/>
        <v>-8.7306591647667853E-3</v>
      </c>
      <c r="I745" s="66">
        <v>54.979209385006556</v>
      </c>
      <c r="J745" s="66">
        <v>55.638694205900229</v>
      </c>
      <c r="K745" s="66">
        <v>54.798918570661527</v>
      </c>
      <c r="L745" s="66">
        <v>55.425191925754795</v>
      </c>
      <c r="M745" s="66">
        <v>58728597.729536355</v>
      </c>
      <c r="N745" s="66" t="s">
        <v>920</v>
      </c>
      <c r="O745" s="25">
        <f t="shared" si="19"/>
        <v>-8.0465673686012096E-3</v>
      </c>
    </row>
    <row r="746" spans="1:15">
      <c r="A746" s="65">
        <v>403.90380837970343</v>
      </c>
      <c r="B746" s="65">
        <v>404.49907613305362</v>
      </c>
      <c r="C746" s="65">
        <v>401.48370341526362</v>
      </c>
      <c r="D746" s="65">
        <v>402.70351438524341</v>
      </c>
      <c r="E746" s="65">
        <v>3751504.4237353187</v>
      </c>
      <c r="F746" s="65" t="s">
        <v>921</v>
      </c>
      <c r="G746" s="25">
        <f t="shared" si="18"/>
        <v>2.9805898175294665E-3</v>
      </c>
      <c r="I746" s="66">
        <v>55.472636876898228</v>
      </c>
      <c r="J746" s="66">
        <v>55.595993749871148</v>
      </c>
      <c r="K746" s="66">
        <v>55.216434140723706</v>
      </c>
      <c r="L746" s="66">
        <v>55.263879091867139</v>
      </c>
      <c r="M746" s="66">
        <v>12974590.239097431</v>
      </c>
      <c r="N746" s="66" t="s">
        <v>921</v>
      </c>
      <c r="O746" s="25">
        <f t="shared" si="19"/>
        <v>3.777472527472403E-3</v>
      </c>
    </row>
    <row r="747" spans="1:15">
      <c r="A747" s="65">
        <v>400.43954522496091</v>
      </c>
      <c r="B747" s="65">
        <v>401.46418643974391</v>
      </c>
      <c r="C747" s="65">
        <v>399.11239088962293</v>
      </c>
      <c r="D747" s="65">
        <v>400.12727361664605</v>
      </c>
      <c r="E747" s="65">
        <v>2592356.5846046028</v>
      </c>
      <c r="F747" s="65" t="s">
        <v>922</v>
      </c>
      <c r="G747" s="25">
        <f t="shared" si="18"/>
        <v>7.8043070019284677E-4</v>
      </c>
      <c r="I747" s="66">
        <v>55.017165345921292</v>
      </c>
      <c r="J747" s="66">
        <v>55.243108530093451</v>
      </c>
      <c r="K747" s="66">
        <v>54.923022352516227</v>
      </c>
      <c r="L747" s="66">
        <v>54.979508148559262</v>
      </c>
      <c r="M747" s="66">
        <v>13427839.441654699</v>
      </c>
      <c r="N747" s="66" t="s">
        <v>922</v>
      </c>
      <c r="O747" s="25">
        <f t="shared" si="19"/>
        <v>6.8493150684934001E-4</v>
      </c>
    </row>
    <row r="748" spans="1:15">
      <c r="A748" s="65">
        <v>399.97113781248868</v>
      </c>
      <c r="B748" s="65">
        <v>402.19607302173176</v>
      </c>
      <c r="C748" s="65">
        <v>399.40514552241808</v>
      </c>
      <c r="D748" s="65">
        <v>400.78109229655524</v>
      </c>
      <c r="E748" s="65">
        <v>7783271.5344061935</v>
      </c>
      <c r="F748" s="65" t="s">
        <v>923</v>
      </c>
      <c r="G748" s="25">
        <f t="shared" si="18"/>
        <v>-2.020939858777715E-3</v>
      </c>
      <c r="I748" s="66">
        <v>54.885365155154197</v>
      </c>
      <c r="J748" s="66">
        <v>55.544366108989664</v>
      </c>
      <c r="K748" s="66">
        <v>54.78180786240862</v>
      </c>
      <c r="L748" s="66">
        <v>55.534951809649165</v>
      </c>
      <c r="M748" s="66">
        <v>13057502.800137589</v>
      </c>
      <c r="N748" s="66" t="s">
        <v>923</v>
      </c>
      <c r="O748" s="25">
        <f t="shared" si="19"/>
        <v>-1.1696897779284732E-2</v>
      </c>
    </row>
    <row r="749" spans="1:15">
      <c r="A749" s="65">
        <v>402.12776360741293</v>
      </c>
      <c r="B749" s="65">
        <v>402.42051824020808</v>
      </c>
      <c r="C749" s="65">
        <v>400.3809942984019</v>
      </c>
      <c r="D749" s="65">
        <v>401.93259385221614</v>
      </c>
      <c r="E749" s="65">
        <v>3429386.8910437454</v>
      </c>
      <c r="F749" s="65" t="s">
        <v>924</v>
      </c>
      <c r="G749" s="25">
        <f t="shared" si="18"/>
        <v>4.8557832378359755E-4</v>
      </c>
      <c r="I749" s="66">
        <v>55.431394516903588</v>
      </c>
      <c r="J749" s="66">
        <v>55.534951809649165</v>
      </c>
      <c r="K749" s="66">
        <v>54.814757910100397</v>
      </c>
      <c r="L749" s="66">
        <v>54.979508148559262</v>
      </c>
      <c r="M749" s="66">
        <v>15686159.389961723</v>
      </c>
      <c r="N749" s="66" t="s">
        <v>924</v>
      </c>
      <c r="O749" s="25">
        <f t="shared" si="19"/>
        <v>8.2191780821918581E-3</v>
      </c>
    </row>
    <row r="750" spans="1:15">
      <c r="A750" s="65">
        <v>399.50273040001645</v>
      </c>
      <c r="B750" s="65">
        <v>400.91771112519297</v>
      </c>
      <c r="C750" s="65">
        <v>398.62446650163099</v>
      </c>
      <c r="D750" s="65">
        <v>398.94649659770567</v>
      </c>
      <c r="E750" s="65">
        <v>4227317.901629867</v>
      </c>
      <c r="F750" s="65" t="s">
        <v>925</v>
      </c>
      <c r="G750" s="25">
        <f t="shared" si="18"/>
        <v>1.3942566410645174E-3</v>
      </c>
      <c r="I750" s="66">
        <v>54.913608053175714</v>
      </c>
      <c r="J750" s="66">
        <v>54.988922447899768</v>
      </c>
      <c r="K750" s="66">
        <v>54.612350474279502</v>
      </c>
      <c r="L750" s="66">
        <v>54.885365155154197</v>
      </c>
      <c r="M750" s="66">
        <v>15224507.402617324</v>
      </c>
      <c r="N750" s="66" t="s">
        <v>925</v>
      </c>
      <c r="O750" s="25">
        <f t="shared" si="19"/>
        <v>5.1457975986268778E-4</v>
      </c>
    </row>
    <row r="751" spans="1:15">
      <c r="A751" s="65">
        <v>398.9562550854655</v>
      </c>
      <c r="B751" s="65">
        <v>399.5417643510558</v>
      </c>
      <c r="C751" s="65">
        <v>397.02895375289745</v>
      </c>
      <c r="D751" s="65">
        <v>397.33634611733237</v>
      </c>
      <c r="E751" s="65">
        <v>2301339.1575307297</v>
      </c>
      <c r="F751" s="65" t="s">
        <v>926</v>
      </c>
      <c r="G751" s="25">
        <f t="shared" si="18"/>
        <v>4.0769211877103029E-3</v>
      </c>
      <c r="I751" s="66">
        <v>54.913608053175714</v>
      </c>
      <c r="J751" s="66">
        <v>55.69499489843777</v>
      </c>
      <c r="K751" s="66">
        <v>54.885365155154197</v>
      </c>
      <c r="L751" s="66">
        <v>55.497294612287135</v>
      </c>
      <c r="M751" s="66">
        <v>18725338.299101867</v>
      </c>
      <c r="N751" s="66" t="s">
        <v>926</v>
      </c>
      <c r="O751" s="25">
        <f t="shared" si="19"/>
        <v>-1.0517387616624352E-2</v>
      </c>
    </row>
    <row r="752" spans="1:15">
      <c r="A752" s="65">
        <v>400.14679059216576</v>
      </c>
      <c r="B752" s="65">
        <v>402.17655604621211</v>
      </c>
      <c r="C752" s="65">
        <v>397.98040630948168</v>
      </c>
      <c r="D752" s="65">
        <v>402.14728058293264</v>
      </c>
      <c r="E752" s="65">
        <v>3836729.7189314449</v>
      </c>
      <c r="F752" s="65" t="s">
        <v>927</v>
      </c>
      <c r="G752" s="25">
        <f t="shared" si="18"/>
        <v>-4.9745207473915753E-3</v>
      </c>
      <c r="I752" s="66">
        <v>55.337251523498523</v>
      </c>
      <c r="J752" s="66">
        <v>55.384323020201052</v>
      </c>
      <c r="K752" s="66">
        <v>54.99833674724028</v>
      </c>
      <c r="L752" s="66">
        <v>55.18662273405041</v>
      </c>
      <c r="M752" s="66">
        <v>14789786.787521638</v>
      </c>
      <c r="N752" s="66" t="s">
        <v>927</v>
      </c>
      <c r="O752" s="25">
        <f t="shared" si="19"/>
        <v>2.7294438758103112E-3</v>
      </c>
    </row>
    <row r="753" spans="1:15">
      <c r="A753" s="65">
        <v>402.92795960371961</v>
      </c>
      <c r="B753" s="65">
        <v>404.46004218201426</v>
      </c>
      <c r="C753" s="65">
        <v>402.80109926284172</v>
      </c>
      <c r="D753" s="65">
        <v>404.19656301249859</v>
      </c>
      <c r="E753" s="65">
        <v>4536242.8164519137</v>
      </c>
      <c r="F753" s="65" t="s">
        <v>928</v>
      </c>
      <c r="G753" s="25">
        <f t="shared" si="18"/>
        <v>-3.1385803959439462E-3</v>
      </c>
      <c r="I753" s="66">
        <v>55.374908720860546</v>
      </c>
      <c r="J753" s="66">
        <v>55.845623687885883</v>
      </c>
      <c r="K753" s="66">
        <v>55.233694230752945</v>
      </c>
      <c r="L753" s="66">
        <v>55.779723592502336</v>
      </c>
      <c r="M753" s="66">
        <v>13250740.760202505</v>
      </c>
      <c r="N753" s="66" t="s">
        <v>928</v>
      </c>
      <c r="O753" s="25">
        <f t="shared" si="19"/>
        <v>-7.257383966244757E-3</v>
      </c>
    </row>
    <row r="754" spans="1:15">
      <c r="A754" s="65">
        <v>404.69424588825035</v>
      </c>
      <c r="B754" s="65">
        <v>406.81183773213525</v>
      </c>
      <c r="C754" s="65">
        <v>403.23047272427465</v>
      </c>
      <c r="D754" s="65">
        <v>406.40198124622202</v>
      </c>
      <c r="E754" s="65">
        <v>3676769.4834506679</v>
      </c>
      <c r="F754" s="65" t="s">
        <v>929</v>
      </c>
      <c r="G754" s="25">
        <f t="shared" si="18"/>
        <v>-4.2020842337798792E-3</v>
      </c>
      <c r="I754" s="66">
        <v>55.836209388545377</v>
      </c>
      <c r="J754" s="66">
        <v>56.608181934466927</v>
      </c>
      <c r="K754" s="66">
        <v>55.657337701075747</v>
      </c>
      <c r="L754" s="66">
        <v>56.485796043040338</v>
      </c>
      <c r="M754" s="66">
        <v>11962947.631739326</v>
      </c>
      <c r="N754" s="66" t="s">
        <v>929</v>
      </c>
      <c r="O754" s="25">
        <f t="shared" si="19"/>
        <v>-1.1499999999999955E-2</v>
      </c>
    </row>
    <row r="755" spans="1:15">
      <c r="A755" s="65">
        <v>403.8354989653846</v>
      </c>
      <c r="B755" s="65">
        <v>406.07019266238757</v>
      </c>
      <c r="C755" s="65">
        <v>403.6696046734674</v>
      </c>
      <c r="D755" s="65">
        <v>404.95967675531801</v>
      </c>
      <c r="E755" s="65">
        <v>4868716.4619436599</v>
      </c>
      <c r="F755" s="65" t="s">
        <v>930</v>
      </c>
      <c r="G755" s="25">
        <f t="shared" si="18"/>
        <v>-2.7760240203190678E-3</v>
      </c>
      <c r="I755" s="66">
        <v>56.325752954251726</v>
      </c>
      <c r="J755" s="66">
        <v>56.928268112044151</v>
      </c>
      <c r="K755" s="66">
        <v>56.302217205900455</v>
      </c>
      <c r="L755" s="66">
        <v>56.768225023255539</v>
      </c>
      <c r="M755" s="66">
        <v>15575729.50427423</v>
      </c>
      <c r="N755" s="66" t="s">
        <v>930</v>
      </c>
      <c r="O755" s="25">
        <f t="shared" si="19"/>
        <v>-7.7943615257047849E-3</v>
      </c>
    </row>
    <row r="756" spans="1:15">
      <c r="A756" s="65">
        <v>404.35269881665607</v>
      </c>
      <c r="B756" s="65">
        <v>405.0057368175444</v>
      </c>
      <c r="C756" s="65">
        <v>402.44003521572773</v>
      </c>
      <c r="D756" s="65">
        <v>403.05481994459751</v>
      </c>
      <c r="E756" s="65">
        <v>3078874.5899393465</v>
      </c>
      <c r="F756" s="65" t="s">
        <v>931</v>
      </c>
      <c r="G756" s="25">
        <f t="shared" si="18"/>
        <v>3.2201050771132333E-3</v>
      </c>
      <c r="I756" s="66">
        <v>56.928268112044151</v>
      </c>
      <c r="J756" s="66">
        <v>57.182454194237842</v>
      </c>
      <c r="K756" s="66">
        <v>56.762670586644646</v>
      </c>
      <c r="L756" s="66">
        <v>57.08831120083277</v>
      </c>
      <c r="M756" s="66">
        <v>10035703.83549273</v>
      </c>
      <c r="N756" s="66" t="s">
        <v>931</v>
      </c>
      <c r="O756" s="25">
        <f t="shared" si="19"/>
        <v>-2.8034300791557332E-3</v>
      </c>
    </row>
    <row r="757" spans="1:15">
      <c r="A757" s="65">
        <v>402.67423892196388</v>
      </c>
      <c r="B757" s="65">
        <v>403.00602750579839</v>
      </c>
      <c r="C757" s="65">
        <v>396.75083685174206</v>
      </c>
      <c r="D757" s="65">
        <v>396.95576509469862</v>
      </c>
      <c r="E757" s="65">
        <v>3568856.2466954826</v>
      </c>
      <c r="F757" s="65" t="s">
        <v>932</v>
      </c>
      <c r="G757" s="25">
        <f t="shared" si="18"/>
        <v>1.4405821328482338E-2</v>
      </c>
      <c r="I757" s="66">
        <v>56.956511010065675</v>
      </c>
      <c r="J757" s="66">
        <v>57.078896901492264</v>
      </c>
      <c r="K757" s="66">
        <v>56.627010533147939</v>
      </c>
      <c r="L757" s="66">
        <v>57.012996806108717</v>
      </c>
      <c r="M757" s="66">
        <v>8699098.7898194417</v>
      </c>
      <c r="N757" s="66" t="s">
        <v>932</v>
      </c>
      <c r="O757" s="25">
        <f t="shared" si="19"/>
        <v>-9.9075297225892367E-4</v>
      </c>
    </row>
    <row r="758" spans="1:15">
      <c r="A758" s="65">
        <v>397.03383299677739</v>
      </c>
      <c r="B758" s="65">
        <v>397.59982528684799</v>
      </c>
      <c r="C758" s="65">
        <v>395.3163391510459</v>
      </c>
      <c r="D758" s="65">
        <v>396.54590860878545</v>
      </c>
      <c r="E758" s="65">
        <v>3316816.1703506233</v>
      </c>
      <c r="F758" s="65" t="s">
        <v>933</v>
      </c>
      <c r="G758" s="25">
        <f t="shared" si="18"/>
        <v>1.2304360665420511E-3</v>
      </c>
      <c r="I758" s="66">
        <v>57.012996806108717</v>
      </c>
      <c r="J758" s="66">
        <v>57.168332745227076</v>
      </c>
      <c r="K758" s="66">
        <v>56.83337197469185</v>
      </c>
      <c r="L758" s="66">
        <v>57.003582506768204</v>
      </c>
      <c r="M758" s="66">
        <v>6643356.8487565909</v>
      </c>
      <c r="N758" s="66" t="s">
        <v>933</v>
      </c>
      <c r="O758" s="25">
        <f t="shared" si="19"/>
        <v>1.6515276630890696E-4</v>
      </c>
    </row>
    <row r="759" spans="1:15">
      <c r="A759" s="65">
        <v>394.43807525266038</v>
      </c>
      <c r="B759" s="65">
        <v>395.99943329423456</v>
      </c>
      <c r="C759" s="65">
        <v>390.05651424849304</v>
      </c>
      <c r="D759" s="65">
        <v>393.34512462355855</v>
      </c>
      <c r="E759" s="65">
        <v>4527171.7388240546</v>
      </c>
      <c r="F759" s="65" t="s">
        <v>934</v>
      </c>
      <c r="G759" s="25">
        <f t="shared" si="18"/>
        <v>2.7786047434750216E-3</v>
      </c>
      <c r="I759" s="66">
        <v>56.852953717320105</v>
      </c>
      <c r="J759" s="66">
        <v>57.022411105449223</v>
      </c>
      <c r="K759" s="66">
        <v>56.495210342380844</v>
      </c>
      <c r="L759" s="66">
        <v>56.871782316001109</v>
      </c>
      <c r="M759" s="66">
        <v>8103865.9639532538</v>
      </c>
      <c r="N759" s="66" t="s">
        <v>934</v>
      </c>
      <c r="O759" s="25">
        <f t="shared" si="19"/>
        <v>-3.3107101473250911E-4</v>
      </c>
    </row>
    <row r="760" spans="1:15">
      <c r="A760" s="65">
        <v>391.84231750854349</v>
      </c>
      <c r="B760" s="65">
        <v>399.1992414306855</v>
      </c>
      <c r="C760" s="65">
        <v>391.70569867990571</v>
      </c>
      <c r="D760" s="65">
        <v>398.73180986698924</v>
      </c>
      <c r="E760" s="65">
        <v>3544392.4152212543</v>
      </c>
      <c r="F760" s="65" t="s">
        <v>935</v>
      </c>
      <c r="G760" s="25">
        <f t="shared" si="18"/>
        <v>-1.7278511992168344E-2</v>
      </c>
      <c r="I760" s="66">
        <v>56.589353335785916</v>
      </c>
      <c r="J760" s="66">
        <v>57.314254385004936</v>
      </c>
      <c r="K760" s="66">
        <v>56.570524737104904</v>
      </c>
      <c r="L760" s="66">
        <v>56.739982125234022</v>
      </c>
      <c r="M760" s="66">
        <v>9512263.9254404586</v>
      </c>
      <c r="N760" s="66" t="s">
        <v>935</v>
      </c>
      <c r="O760" s="25">
        <f t="shared" si="19"/>
        <v>-2.6547204247552303E-3</v>
      </c>
    </row>
    <row r="761" spans="1:15">
      <c r="A761" s="65">
        <v>397.12165938661593</v>
      </c>
      <c r="B761" s="65">
        <v>397.82427050532431</v>
      </c>
      <c r="C761" s="65">
        <v>393.72570564619224</v>
      </c>
      <c r="D761" s="65">
        <v>393.81353203603078</v>
      </c>
      <c r="E761" s="65">
        <v>3330397.1680688797</v>
      </c>
      <c r="F761" s="65" t="s">
        <v>936</v>
      </c>
      <c r="G761" s="25">
        <f t="shared" si="18"/>
        <v>8.4002378828427204E-3</v>
      </c>
      <c r="I761" s="66">
        <v>56.739982125234022</v>
      </c>
      <c r="J761" s="66">
        <v>56.895318064352381</v>
      </c>
      <c r="K761" s="66">
        <v>56.636424832488444</v>
      </c>
      <c r="L761" s="66">
        <v>56.674082029850474</v>
      </c>
      <c r="M761" s="66">
        <v>8231616.310155361</v>
      </c>
      <c r="N761" s="66" t="s">
        <v>936</v>
      </c>
      <c r="O761" s="25">
        <f t="shared" si="19"/>
        <v>1.1627906976743319E-3</v>
      </c>
    </row>
    <row r="762" spans="1:15">
      <c r="A762" s="65">
        <v>392.88647569884614</v>
      </c>
      <c r="B762" s="65">
        <v>395.60909378384099</v>
      </c>
      <c r="C762" s="65">
        <v>392.34975887205502</v>
      </c>
      <c r="D762" s="65">
        <v>395.56030134504181</v>
      </c>
      <c r="E762" s="65">
        <v>2713587.4586001462</v>
      </c>
      <c r="F762" s="65" t="s">
        <v>937</v>
      </c>
      <c r="G762" s="25">
        <f t="shared" si="18"/>
        <v>-6.7595904773651849E-3</v>
      </c>
      <c r="I762" s="66">
        <v>56.54228183908338</v>
      </c>
      <c r="J762" s="66">
        <v>57.027118255119476</v>
      </c>
      <c r="K762" s="66">
        <v>56.462260294689074</v>
      </c>
      <c r="L762" s="66">
        <v>56.805882220617569</v>
      </c>
      <c r="M762" s="66">
        <v>9997778.5489593204</v>
      </c>
      <c r="N762" s="66" t="s">
        <v>937</v>
      </c>
      <c r="O762" s="25">
        <f t="shared" si="19"/>
        <v>-4.6403712296984034E-3</v>
      </c>
    </row>
    <row r="763" spans="1:15">
      <c r="A763" s="65">
        <v>393.98918481570786</v>
      </c>
      <c r="B763" s="65">
        <v>394.62348652009734</v>
      </c>
      <c r="C763" s="65">
        <v>390.32975190576855</v>
      </c>
      <c r="D763" s="65">
        <v>392.42782677413373</v>
      </c>
      <c r="E763" s="65">
        <v>3373918.2556033526</v>
      </c>
      <c r="F763" s="65" t="s">
        <v>938</v>
      </c>
      <c r="G763" s="25">
        <f t="shared" si="18"/>
        <v>3.9787138807381162E-3</v>
      </c>
      <c r="I763" s="66">
        <v>56.890610914682128</v>
      </c>
      <c r="J763" s="66">
        <v>57.361325881707465</v>
      </c>
      <c r="K763" s="66">
        <v>56.787618479896985</v>
      </c>
      <c r="L763" s="66">
        <v>57.295425786323918</v>
      </c>
      <c r="M763" s="66">
        <v>9186577.4469143823</v>
      </c>
      <c r="N763" s="66" t="s">
        <v>938</v>
      </c>
      <c r="O763" s="25">
        <f t="shared" si="19"/>
        <v>-7.0653959907985842E-3</v>
      </c>
    </row>
    <row r="764" spans="1:15">
      <c r="A764" s="65">
        <v>391.40318555935073</v>
      </c>
      <c r="B764" s="65">
        <v>392.31072492101566</v>
      </c>
      <c r="C764" s="65">
        <v>388.24143552516318</v>
      </c>
      <c r="D764" s="65">
        <v>388.55370713347799</v>
      </c>
      <c r="E764" s="65">
        <v>4260564.8562794654</v>
      </c>
      <c r="F764" s="65" t="s">
        <v>939</v>
      </c>
      <c r="G764" s="25">
        <f t="shared" ref="G764:G827" si="20">A764/D764-1</f>
        <v>7.3335509958056821E-3</v>
      </c>
      <c r="I764" s="66">
        <v>57.380154480388484</v>
      </c>
      <c r="J764" s="66">
        <v>57.507247521485318</v>
      </c>
      <c r="K764" s="66">
        <v>56.834125118639086</v>
      </c>
      <c r="L764" s="66">
        <v>56.994168207427698</v>
      </c>
      <c r="M764" s="66">
        <v>11773335.007853508</v>
      </c>
      <c r="N764" s="66" t="s">
        <v>939</v>
      </c>
      <c r="O764" s="25">
        <f t="shared" ref="O764:O827" si="21">I764/L764-1</f>
        <v>6.7723818962670546E-3</v>
      </c>
    </row>
    <row r="765" spans="1:15">
      <c r="A765" s="65">
        <v>391.04212151223675</v>
      </c>
      <c r="B765" s="65">
        <v>395.78474656351807</v>
      </c>
      <c r="C765" s="65">
        <v>390.70057444064236</v>
      </c>
      <c r="D765" s="65">
        <v>395.5407843695221</v>
      </c>
      <c r="E765" s="65">
        <v>7278283.4541545361</v>
      </c>
      <c r="F765" s="65" t="s">
        <v>940</v>
      </c>
      <c r="G765" s="25">
        <f t="shared" si="20"/>
        <v>-1.137344879480906E-2</v>
      </c>
      <c r="I765" s="66">
        <v>57.060068302811246</v>
      </c>
      <c r="J765" s="66">
        <v>57.446054575772031</v>
      </c>
      <c r="K765" s="66">
        <v>56.909439513363147</v>
      </c>
      <c r="L765" s="66">
        <v>57.031825404789728</v>
      </c>
      <c r="M765" s="66">
        <v>13674407.977032825</v>
      </c>
      <c r="N765" s="66" t="s">
        <v>940</v>
      </c>
      <c r="O765" s="25">
        <f t="shared" si="21"/>
        <v>4.9521294156473772E-4</v>
      </c>
    </row>
    <row r="766" spans="1:15">
      <c r="A766" s="65">
        <v>394.23314700970383</v>
      </c>
      <c r="B766" s="65">
        <v>398.25364396675718</v>
      </c>
      <c r="C766" s="65">
        <v>394.11604515658576</v>
      </c>
      <c r="D766" s="65">
        <v>396.77035382726172</v>
      </c>
      <c r="E766" s="65">
        <v>3436652.3610371388</v>
      </c>
      <c r="F766" s="65" t="s">
        <v>941</v>
      </c>
      <c r="G766" s="25">
        <f t="shared" si="20"/>
        <v>-6.3946481713764713E-3</v>
      </c>
      <c r="I766" s="66">
        <v>56.937682411384657</v>
      </c>
      <c r="J766" s="66">
        <v>57.257768588961888</v>
      </c>
      <c r="K766" s="66">
        <v>56.862368016660604</v>
      </c>
      <c r="L766" s="66">
        <v>56.994168207427698</v>
      </c>
      <c r="M766" s="66">
        <v>8893137.6591955312</v>
      </c>
      <c r="N766" s="66" t="s">
        <v>941</v>
      </c>
      <c r="O766" s="25">
        <f t="shared" si="21"/>
        <v>-9.910802775024985E-4</v>
      </c>
    </row>
    <row r="767" spans="1:15">
      <c r="A767" s="65">
        <v>397.17045182541511</v>
      </c>
      <c r="B767" s="65">
        <v>401.76913918223886</v>
      </c>
      <c r="C767" s="65">
        <v>396.59470104758469</v>
      </c>
      <c r="D767" s="65">
        <v>400.18582454320511</v>
      </c>
      <c r="E767" s="65">
        <v>4802095.4837757498</v>
      </c>
      <c r="F767" s="65" t="s">
        <v>942</v>
      </c>
      <c r="G767" s="25">
        <f t="shared" si="20"/>
        <v>-7.5349313565314935E-3</v>
      </c>
      <c r="I767" s="66">
        <v>56.928268112044151</v>
      </c>
      <c r="J767" s="66">
        <v>57.332988840692543</v>
      </c>
      <c r="K767" s="66">
        <v>56.834125118639086</v>
      </c>
      <c r="L767" s="66">
        <v>57.135382697535299</v>
      </c>
      <c r="M767" s="66">
        <v>7634603.2137248116</v>
      </c>
      <c r="N767" s="66" t="s">
        <v>942</v>
      </c>
      <c r="O767" s="25">
        <f t="shared" si="21"/>
        <v>-3.6249794035261296E-3</v>
      </c>
    </row>
    <row r="768" spans="1:15">
      <c r="A768" s="65">
        <v>401.77645804805877</v>
      </c>
      <c r="B768" s="65">
        <v>401.79597502357842</v>
      </c>
      <c r="C768" s="65">
        <v>398.44881372195391</v>
      </c>
      <c r="D768" s="65">
        <v>398.69277591594988</v>
      </c>
      <c r="E768" s="65">
        <v>2841538.6361523434</v>
      </c>
      <c r="F768" s="65" t="s">
        <v>943</v>
      </c>
      <c r="G768" s="25">
        <f t="shared" si="20"/>
        <v>7.7344820834148731E-3</v>
      </c>
      <c r="I768" s="66">
        <v>57.314254385004936</v>
      </c>
      <c r="J768" s="66">
        <v>57.879112345435331</v>
      </c>
      <c r="K768" s="66">
        <v>57.19186849357834</v>
      </c>
      <c r="L768" s="66">
        <v>57.728483555987225</v>
      </c>
      <c r="M768" s="66">
        <v>7622756.3416458536</v>
      </c>
      <c r="N768" s="66" t="s">
        <v>943</v>
      </c>
      <c r="O768" s="25">
        <f t="shared" si="21"/>
        <v>-7.1754729288974195E-3</v>
      </c>
    </row>
    <row r="769" spans="1:15">
      <c r="A769" s="65">
        <v>399.52224737553615</v>
      </c>
      <c r="B769" s="65">
        <v>400.49809615151997</v>
      </c>
      <c r="C769" s="65">
        <v>397.50224040924957</v>
      </c>
      <c r="D769" s="65">
        <v>398.09750816259975</v>
      </c>
      <c r="E769" s="65">
        <v>2991100.7441263557</v>
      </c>
      <c r="F769" s="65" t="s">
        <v>944</v>
      </c>
      <c r="G769" s="25">
        <f t="shared" si="20"/>
        <v>3.5788699595540319E-3</v>
      </c>
      <c r="I769" s="66">
        <v>57.587269065879624</v>
      </c>
      <c r="J769" s="66">
        <v>57.613817390019854</v>
      </c>
      <c r="K769" s="66">
        <v>57.135382697535299</v>
      </c>
      <c r="L769" s="66">
        <v>57.276597187642906</v>
      </c>
      <c r="M769" s="66">
        <v>9011729.5968022142</v>
      </c>
      <c r="N769" s="66" t="s">
        <v>944</v>
      </c>
      <c r="O769" s="25">
        <f t="shared" si="21"/>
        <v>5.4240631163706698E-3</v>
      </c>
    </row>
    <row r="770" spans="1:15">
      <c r="A770" s="65">
        <v>399.89306991041002</v>
      </c>
      <c r="B770" s="65">
        <v>405.02603447208486</v>
      </c>
      <c r="C770" s="65">
        <v>398.75132684250889</v>
      </c>
      <c r="D770" s="65">
        <v>401.85452595013749</v>
      </c>
      <c r="E770" s="65">
        <v>4701882.2105650436</v>
      </c>
      <c r="F770" s="65" t="s">
        <v>945</v>
      </c>
      <c r="G770" s="25">
        <f t="shared" si="20"/>
        <v>-4.8810101991257904E-3</v>
      </c>
      <c r="I770" s="66">
        <v>57.351911582366959</v>
      </c>
      <c r="J770" s="66">
        <v>58.114469828947996</v>
      </c>
      <c r="K770" s="66">
        <v>57.22952569094037</v>
      </c>
      <c r="L770" s="66">
        <v>57.756726454008749</v>
      </c>
      <c r="M770" s="66">
        <v>8359957.2473084135</v>
      </c>
      <c r="N770" s="66" t="s">
        <v>945</v>
      </c>
      <c r="O770" s="25">
        <f t="shared" si="21"/>
        <v>-7.0089649551752231E-3</v>
      </c>
    </row>
    <row r="771" spans="1:15">
      <c r="A771" s="65">
        <v>399.65886620417388</v>
      </c>
      <c r="B771" s="65">
        <v>402.76206531180242</v>
      </c>
      <c r="C771" s="65">
        <v>398.97577206098521</v>
      </c>
      <c r="D771" s="65">
        <v>402.69375589748358</v>
      </c>
      <c r="E771" s="65">
        <v>3223792.5357116582</v>
      </c>
      <c r="F771" s="65" t="s">
        <v>946</v>
      </c>
      <c r="G771" s="25">
        <f t="shared" si="20"/>
        <v>-7.5364707022731459E-3</v>
      </c>
      <c r="I771" s="66">
        <v>57.483711773134054</v>
      </c>
      <c r="J771" s="66">
        <v>58.020326835542939</v>
      </c>
      <c r="K771" s="66">
        <v>57.19186849357834</v>
      </c>
      <c r="L771" s="66">
        <v>57.342497283026447</v>
      </c>
      <c r="M771" s="66">
        <v>8395810.1544438098</v>
      </c>
      <c r="N771" s="66" t="s">
        <v>946</v>
      </c>
      <c r="O771" s="25">
        <f t="shared" si="21"/>
        <v>2.4626498111970374E-3</v>
      </c>
    </row>
    <row r="772" spans="1:15">
      <c r="A772" s="65">
        <v>402.33269185036954</v>
      </c>
      <c r="B772" s="65">
        <v>402.77182379956224</v>
      </c>
      <c r="C772" s="65">
        <v>399.24413047438071</v>
      </c>
      <c r="D772" s="65">
        <v>401.81549199909807</v>
      </c>
      <c r="E772" s="65">
        <v>3873639.1262970357</v>
      </c>
      <c r="F772" s="65" t="s">
        <v>947</v>
      </c>
      <c r="G772" s="25">
        <f t="shared" si="20"/>
        <v>1.2871575675150737E-3</v>
      </c>
      <c r="I772" s="66">
        <v>57.351911582366959</v>
      </c>
      <c r="J772" s="66">
        <v>57.756726454008749</v>
      </c>
      <c r="K772" s="66">
        <v>57.069482602151751</v>
      </c>
      <c r="L772" s="66">
        <v>57.606097664560636</v>
      </c>
      <c r="M772" s="66">
        <v>8451042.0927106049</v>
      </c>
      <c r="N772" s="66" t="s">
        <v>947</v>
      </c>
      <c r="O772" s="25">
        <f t="shared" si="21"/>
        <v>-4.4124857002777462E-3</v>
      </c>
    </row>
    <row r="773" spans="1:15">
      <c r="A773" s="65">
        <v>404.07946115938057</v>
      </c>
      <c r="B773" s="65">
        <v>404.235596963538</v>
      </c>
      <c r="C773" s="65">
        <v>401.69839014598006</v>
      </c>
      <c r="D773" s="65">
        <v>402.33269185036954</v>
      </c>
      <c r="E773" s="65">
        <v>2662274.1801164825</v>
      </c>
      <c r="F773" s="65" t="s">
        <v>948</v>
      </c>
      <c r="G773" s="25">
        <f t="shared" si="20"/>
        <v>4.341604210628347E-3</v>
      </c>
      <c r="I773" s="66">
        <v>57.606097664560636</v>
      </c>
      <c r="J773" s="66">
        <v>57.736956425393686</v>
      </c>
      <c r="K773" s="66">
        <v>57.182454194237842</v>
      </c>
      <c r="L773" s="66">
        <v>57.22952569094037</v>
      </c>
      <c r="M773" s="66">
        <v>7417064.9853419261</v>
      </c>
      <c r="N773" s="66" t="s">
        <v>948</v>
      </c>
      <c r="O773" s="25">
        <f t="shared" si="21"/>
        <v>6.5800296101332645E-3</v>
      </c>
    </row>
    <row r="774" spans="1:15">
      <c r="A774" s="65">
        <v>400.46882068824044</v>
      </c>
      <c r="B774" s="65">
        <v>406.07848737698339</v>
      </c>
      <c r="C774" s="65">
        <v>400.12727361664605</v>
      </c>
      <c r="D774" s="65">
        <v>404.1477705736994</v>
      </c>
      <c r="E774" s="65">
        <v>5858762.280288795</v>
      </c>
      <c r="F774" s="65" t="s">
        <v>949</v>
      </c>
      <c r="G774" s="25">
        <f t="shared" si="20"/>
        <v>-9.1029820113484039E-3</v>
      </c>
      <c r="I774" s="66">
        <v>57.154211296216317</v>
      </c>
      <c r="J774" s="66">
        <v>58.265098618396109</v>
      </c>
      <c r="K774" s="66">
        <v>57.069482602151751</v>
      </c>
      <c r="L774" s="66">
        <v>58.067398332245467</v>
      </c>
      <c r="M774" s="66">
        <v>9941576.8093648031</v>
      </c>
      <c r="N774" s="66" t="s">
        <v>949</v>
      </c>
      <c r="O774" s="25">
        <f t="shared" si="21"/>
        <v>-1.5726329442282694E-2</v>
      </c>
    </row>
    <row r="775" spans="1:15">
      <c r="A775" s="65">
        <v>402.44003521572773</v>
      </c>
      <c r="B775" s="65">
        <v>404.18680452473876</v>
      </c>
      <c r="C775" s="65">
        <v>401.16167331918894</v>
      </c>
      <c r="D775" s="65">
        <v>401.73742409701941</v>
      </c>
      <c r="E775" s="65">
        <v>3103143.719114739</v>
      </c>
      <c r="F775" s="65" t="s">
        <v>950</v>
      </c>
      <c r="G775" s="25">
        <f t="shared" si="20"/>
        <v>1.748931208705784E-3</v>
      </c>
      <c r="I775" s="66">
        <v>58.029741134883444</v>
      </c>
      <c r="J775" s="66">
        <v>58.481627503227763</v>
      </c>
      <c r="K775" s="66">
        <v>57.921476692467614</v>
      </c>
      <c r="L775" s="66">
        <v>58.246270019715091</v>
      </c>
      <c r="M775" s="66">
        <v>8539203.7253484</v>
      </c>
      <c r="N775" s="66" t="s">
        <v>950</v>
      </c>
      <c r="O775" s="25">
        <f t="shared" si="21"/>
        <v>-3.7174721189590088E-3</v>
      </c>
    </row>
    <row r="776" spans="1:15">
      <c r="A776" s="65">
        <v>403.58177828362881</v>
      </c>
      <c r="B776" s="65">
        <v>406.63618495245817</v>
      </c>
      <c r="C776" s="65">
        <v>402.90844262819996</v>
      </c>
      <c r="D776" s="65">
        <v>406.40198124622202</v>
      </c>
      <c r="E776" s="65">
        <v>5102294.661363136</v>
      </c>
      <c r="F776" s="65" t="s">
        <v>951</v>
      </c>
      <c r="G776" s="25">
        <f t="shared" si="20"/>
        <v>-6.9394419632137216E-3</v>
      </c>
      <c r="I776" s="66">
        <v>58.330998713779657</v>
      </c>
      <c r="J776" s="66">
        <v>58.91939242256133</v>
      </c>
      <c r="K776" s="66">
        <v>57.954426740159391</v>
      </c>
      <c r="L776" s="66">
        <v>57.954426740159391</v>
      </c>
      <c r="M776" s="66">
        <v>11749235.497970302</v>
      </c>
      <c r="N776" s="66" t="s">
        <v>951</v>
      </c>
      <c r="O776" s="25">
        <f t="shared" si="21"/>
        <v>6.4977257959712986E-3</v>
      </c>
    </row>
    <row r="777" spans="1:15">
      <c r="A777" s="65">
        <v>409.25145967209482</v>
      </c>
      <c r="B777" s="65">
        <v>409.93455381528349</v>
      </c>
      <c r="C777" s="65">
        <v>408.44150518802826</v>
      </c>
      <c r="D777" s="65">
        <v>409.13435781897675</v>
      </c>
      <c r="E777" s="65">
        <v>3214919.2346294592</v>
      </c>
      <c r="F777" s="65" t="s">
        <v>952</v>
      </c>
      <c r="G777" s="25">
        <f t="shared" si="20"/>
        <v>2.8621857558563946E-4</v>
      </c>
      <c r="I777" s="66">
        <v>58.152127026310033</v>
      </c>
      <c r="J777" s="66">
        <v>58.707570687399922</v>
      </c>
      <c r="K777" s="66">
        <v>58.010912536202426</v>
      </c>
      <c r="L777" s="66">
        <v>58.453384605206246</v>
      </c>
      <c r="M777" s="66">
        <v>9860997.2598346546</v>
      </c>
      <c r="N777" s="66" t="s">
        <v>952</v>
      </c>
      <c r="O777" s="25">
        <f t="shared" si="21"/>
        <v>-5.153808986954389E-3</v>
      </c>
    </row>
    <row r="778" spans="1:15">
      <c r="A778" s="65">
        <v>410.5200630808738</v>
      </c>
      <c r="B778" s="65">
        <v>410.80305922590912</v>
      </c>
      <c r="C778" s="65">
        <v>408.92942957602014</v>
      </c>
      <c r="D778" s="65">
        <v>410.16875752151958</v>
      </c>
      <c r="E778" s="65">
        <v>3540033.1332252184</v>
      </c>
      <c r="F778" s="65" t="s">
        <v>953</v>
      </c>
      <c r="G778" s="25">
        <f t="shared" si="20"/>
        <v>8.5649029311007929E-4</v>
      </c>
      <c r="I778" s="66">
        <v>58.30275581575814</v>
      </c>
      <c r="J778" s="66">
        <v>58.792299381464488</v>
      </c>
      <c r="K778" s="66">
        <v>58.114469828947996</v>
      </c>
      <c r="L778" s="66">
        <v>58.792299381464488</v>
      </c>
      <c r="M778" s="66">
        <v>16554076.343148407</v>
      </c>
      <c r="N778" s="66" t="s">
        <v>953</v>
      </c>
      <c r="O778" s="25">
        <f t="shared" si="21"/>
        <v>-8.3266613290632341E-3</v>
      </c>
    </row>
    <row r="779" spans="1:15">
      <c r="A779" s="65">
        <v>409.72962557232688</v>
      </c>
      <c r="B779" s="65">
        <v>410.46151215431473</v>
      </c>
      <c r="C779" s="65">
        <v>408.06092416539457</v>
      </c>
      <c r="D779" s="65">
        <v>408.81232772290213</v>
      </c>
      <c r="E779" s="65">
        <v>2769618.6812092797</v>
      </c>
      <c r="F779" s="65" t="s">
        <v>954</v>
      </c>
      <c r="G779" s="25">
        <f t="shared" si="20"/>
        <v>2.2438116153056242E-3</v>
      </c>
      <c r="I779" s="66">
        <v>58.820542279486006</v>
      </c>
      <c r="J779" s="66">
        <v>59.093556960360708</v>
      </c>
      <c r="K779" s="66">
        <v>58.576429497586666</v>
      </c>
      <c r="L779" s="66">
        <v>58.91939242256133</v>
      </c>
      <c r="M779" s="66">
        <v>10328185.506237203</v>
      </c>
      <c r="N779" s="66" t="s">
        <v>954</v>
      </c>
      <c r="O779" s="25">
        <f t="shared" si="21"/>
        <v>-1.6777183031078113E-3</v>
      </c>
    </row>
    <row r="780" spans="1:15">
      <c r="A780" s="65">
        <v>405.77743802959242</v>
      </c>
      <c r="B780" s="65">
        <v>411.95456078156997</v>
      </c>
      <c r="C780" s="65">
        <v>404.89917413120696</v>
      </c>
      <c r="D780" s="65">
        <v>411.60325522221586</v>
      </c>
      <c r="E780" s="65">
        <v>4252137.3209867058</v>
      </c>
      <c r="F780" s="65" t="s">
        <v>955</v>
      </c>
      <c r="G780" s="25">
        <f t="shared" si="20"/>
        <v>-1.4153962872519577E-2</v>
      </c>
      <c r="I780" s="66">
        <v>58.782885082123975</v>
      </c>
      <c r="J780" s="66">
        <v>59.559564777715785</v>
      </c>
      <c r="K780" s="66">
        <v>58.726399286080941</v>
      </c>
      <c r="L780" s="66">
        <v>59.35715734189489</v>
      </c>
      <c r="M780" s="66">
        <v>12233636.921279468</v>
      </c>
      <c r="N780" s="66" t="s">
        <v>955</v>
      </c>
      <c r="O780" s="25">
        <f t="shared" si="21"/>
        <v>-9.6748612212530505E-3</v>
      </c>
    </row>
    <row r="781" spans="1:15">
      <c r="A781" s="65">
        <v>408.54884855338651</v>
      </c>
      <c r="B781" s="65">
        <v>409.74914254784653</v>
      </c>
      <c r="C781" s="65">
        <v>406.51908309934009</v>
      </c>
      <c r="D781" s="65">
        <v>407.53396582636327</v>
      </c>
      <c r="E781" s="65">
        <v>6290766.7161963824</v>
      </c>
      <c r="F781" s="65" t="s">
        <v>956</v>
      </c>
      <c r="G781" s="25">
        <f t="shared" si="20"/>
        <v>2.4903021885926968E-3</v>
      </c>
      <c r="I781" s="66">
        <v>59.35715734189489</v>
      </c>
      <c r="J781" s="66">
        <v>59.470128933980973</v>
      </c>
      <c r="K781" s="66">
        <v>57.794383651370772</v>
      </c>
      <c r="L781" s="66">
        <v>58.236855720374592</v>
      </c>
      <c r="M781" s="66">
        <v>18212207.175342638</v>
      </c>
      <c r="N781" s="66" t="s">
        <v>956</v>
      </c>
      <c r="O781" s="25">
        <f t="shared" si="21"/>
        <v>1.923698674426122E-2</v>
      </c>
    </row>
    <row r="782" spans="1:15">
      <c r="A782" s="65">
        <v>408.45126367578808</v>
      </c>
      <c r="B782" s="65">
        <v>409.51493884161044</v>
      </c>
      <c r="C782" s="65">
        <v>406.99471179275463</v>
      </c>
      <c r="D782" s="65">
        <v>407.00700748733203</v>
      </c>
      <c r="E782" s="65">
        <v>4047049.1916315909</v>
      </c>
      <c r="F782" s="65" t="s">
        <v>957</v>
      </c>
      <c r="G782" s="25">
        <f t="shared" si="20"/>
        <v>3.548479907931279E-3</v>
      </c>
      <c r="I782" s="66">
        <v>58.604013394654352</v>
      </c>
      <c r="J782" s="66">
        <v>58.735813585421447</v>
      </c>
      <c r="K782" s="66">
        <v>58.411020258173963</v>
      </c>
      <c r="L782" s="66">
        <v>58.651084891356881</v>
      </c>
      <c r="M782" s="66">
        <v>14257731.260197561</v>
      </c>
      <c r="N782" s="66" t="s">
        <v>957</v>
      </c>
      <c r="O782" s="25">
        <f t="shared" si="21"/>
        <v>-8.025682182984939E-4</v>
      </c>
    </row>
    <row r="783" spans="1:15">
      <c r="A783" s="65">
        <v>407.25096968132794</v>
      </c>
      <c r="B783" s="65">
        <v>408.00237323883556</v>
      </c>
      <c r="C783" s="65">
        <v>405.96772854090926</v>
      </c>
      <c r="D783" s="65">
        <v>406.51908309934009</v>
      </c>
      <c r="E783" s="65">
        <v>3557032.6934114527</v>
      </c>
      <c r="F783" s="65" t="s">
        <v>958</v>
      </c>
      <c r="G783" s="25">
        <f t="shared" si="20"/>
        <v>1.8003744778913866E-3</v>
      </c>
      <c r="I783" s="66">
        <v>58.801713680804994</v>
      </c>
      <c r="J783" s="66">
        <v>59.131214157722731</v>
      </c>
      <c r="K783" s="66">
        <v>58.745227884761952</v>
      </c>
      <c r="L783" s="66">
        <v>58.764056483442971</v>
      </c>
      <c r="M783" s="66">
        <v>10888898.503463386</v>
      </c>
      <c r="N783" s="66" t="s">
        <v>958</v>
      </c>
      <c r="O783" s="25">
        <f t="shared" si="21"/>
        <v>6.4082024991973796E-4</v>
      </c>
    </row>
    <row r="784" spans="1:15">
      <c r="A784" s="65">
        <v>405.53347583559645</v>
      </c>
      <c r="B784" s="65">
        <v>407.22169421804847</v>
      </c>
      <c r="C784" s="65">
        <v>405.44564944575791</v>
      </c>
      <c r="D784" s="65">
        <v>407.03628295061156</v>
      </c>
      <c r="E784" s="65">
        <v>3255333.2833740916</v>
      </c>
      <c r="F784" s="65" t="s">
        <v>959</v>
      </c>
      <c r="G784" s="25">
        <f t="shared" si="20"/>
        <v>-3.6920716357795591E-3</v>
      </c>
      <c r="I784" s="66">
        <v>58.782885082123975</v>
      </c>
      <c r="J784" s="66">
        <v>59.008828266296142</v>
      </c>
      <c r="K784" s="66">
        <v>58.594599095313846</v>
      </c>
      <c r="L784" s="66">
        <v>58.801713680804994</v>
      </c>
      <c r="M784" s="66">
        <v>13612344.94091435</v>
      </c>
      <c r="N784" s="66" t="s">
        <v>959</v>
      </c>
      <c r="O784" s="25">
        <f t="shared" si="21"/>
        <v>-3.2020493115603177E-4</v>
      </c>
    </row>
    <row r="785" spans="1:15">
      <c r="A785" s="65">
        <v>405.48468339679727</v>
      </c>
      <c r="B785" s="65">
        <v>408.06092416539457</v>
      </c>
      <c r="C785" s="65">
        <v>404.8015892536086</v>
      </c>
      <c r="D785" s="65">
        <v>407.22169421804847</v>
      </c>
      <c r="E785" s="65">
        <v>4186096.3507195371</v>
      </c>
      <c r="F785" s="65" t="s">
        <v>960</v>
      </c>
      <c r="G785" s="25">
        <f t="shared" si="20"/>
        <v>-4.2655164150491309E-3</v>
      </c>
      <c r="I785" s="66">
        <v>58.735813585421447</v>
      </c>
      <c r="J785" s="66">
        <v>58.754642184102458</v>
      </c>
      <c r="K785" s="66">
        <v>58.057984032904962</v>
      </c>
      <c r="L785" s="66">
        <v>58.067398332245467</v>
      </c>
      <c r="M785" s="66">
        <v>12282401.038862253</v>
      </c>
      <c r="N785" s="66" t="s">
        <v>960</v>
      </c>
      <c r="O785" s="25">
        <f t="shared" si="21"/>
        <v>1.1511024643320322E-2</v>
      </c>
    </row>
    <row r="786" spans="1:15">
      <c r="A786" s="65">
        <v>408.14875055523311</v>
      </c>
      <c r="B786" s="65">
        <v>409.241701184335</v>
      </c>
      <c r="C786" s="65">
        <v>407.40710548548543</v>
      </c>
      <c r="D786" s="65">
        <v>407.97309777555603</v>
      </c>
      <c r="E786" s="65">
        <v>3581411.4707235582</v>
      </c>
      <c r="F786" s="65" t="s">
        <v>961</v>
      </c>
      <c r="G786" s="25">
        <f t="shared" si="20"/>
        <v>4.3054990791024927E-4</v>
      </c>
      <c r="I786" s="66">
        <v>58.029741134883444</v>
      </c>
      <c r="J786" s="66">
        <v>58.170955624991045</v>
      </c>
      <c r="K786" s="66">
        <v>57.125968398194793</v>
      </c>
      <c r="L786" s="66">
        <v>57.210697092259359</v>
      </c>
      <c r="M786" s="66">
        <v>13740846.272372426</v>
      </c>
      <c r="N786" s="66" t="s">
        <v>961</v>
      </c>
      <c r="O786" s="25">
        <f t="shared" si="21"/>
        <v>1.4316274477538249E-2</v>
      </c>
    </row>
    <row r="787" spans="1:15">
      <c r="A787" s="65">
        <v>407.27048665684771</v>
      </c>
      <c r="B787" s="65">
        <v>407.83647894691831</v>
      </c>
      <c r="C787" s="65">
        <v>403.55250282034933</v>
      </c>
      <c r="D787" s="65">
        <v>403.91356686746332</v>
      </c>
      <c r="E787" s="65">
        <v>3686312.9703404387</v>
      </c>
      <c r="F787" s="65" t="s">
        <v>962</v>
      </c>
      <c r="G787" s="25">
        <f t="shared" si="20"/>
        <v>8.3109854799354732E-3</v>
      </c>
      <c r="I787" s="66">
        <v>57.022411105449223</v>
      </c>
      <c r="J787" s="66">
        <v>57.661453744682824</v>
      </c>
      <c r="K787" s="66">
        <v>56.871782316001109</v>
      </c>
      <c r="L787" s="66">
        <v>57.389568779728982</v>
      </c>
      <c r="M787" s="66">
        <v>11846797.723981969</v>
      </c>
      <c r="N787" s="66" t="s">
        <v>962</v>
      </c>
      <c r="O787" s="25">
        <f t="shared" si="21"/>
        <v>-6.3976377952755792E-3</v>
      </c>
    </row>
    <row r="788" spans="1:15">
      <c r="A788" s="65">
        <v>404.20632150025847</v>
      </c>
      <c r="B788" s="65">
        <v>405.22071630289366</v>
      </c>
      <c r="C788" s="65">
        <v>402.66448043420399</v>
      </c>
      <c r="D788" s="65">
        <v>402.6839974097237</v>
      </c>
      <c r="E788" s="65">
        <v>3041728.4655683292</v>
      </c>
      <c r="F788" s="65" t="s">
        <v>963</v>
      </c>
      <c r="G788" s="25">
        <f t="shared" si="20"/>
        <v>3.7804434750998706E-3</v>
      </c>
      <c r="I788" s="66">
        <v>57.248354289621389</v>
      </c>
      <c r="J788" s="66">
        <v>57.521368970496077</v>
      </c>
      <c r="K788" s="66">
        <v>56.94709671072517</v>
      </c>
      <c r="L788" s="66">
        <v>57.201282792918846</v>
      </c>
      <c r="M788" s="66">
        <v>10638520.868894447</v>
      </c>
      <c r="N788" s="66" t="s">
        <v>963</v>
      </c>
      <c r="O788" s="25">
        <f t="shared" si="21"/>
        <v>8.2290980908505951E-4</v>
      </c>
    </row>
    <row r="789" spans="1:15">
      <c r="A789" s="65">
        <v>402.80109926284172</v>
      </c>
      <c r="B789" s="65">
        <v>404.69424588825035</v>
      </c>
      <c r="C789" s="65">
        <v>402.12776360741293</v>
      </c>
      <c r="D789" s="65">
        <v>403.94284233074285</v>
      </c>
      <c r="E789" s="65">
        <v>3772044.4915135377</v>
      </c>
      <c r="F789" s="65" t="s">
        <v>964</v>
      </c>
      <c r="G789" s="25">
        <f t="shared" si="20"/>
        <v>-2.8264965937093711E-3</v>
      </c>
      <c r="I789" s="66">
        <v>57.333082983685941</v>
      </c>
      <c r="J789" s="66">
        <v>57.464883174453036</v>
      </c>
      <c r="K789" s="66">
        <v>56.570524737104904</v>
      </c>
      <c r="L789" s="66">
        <v>56.617596233807433</v>
      </c>
      <c r="M789" s="66">
        <v>12358021.111503972</v>
      </c>
      <c r="N789" s="66" t="s">
        <v>964</v>
      </c>
      <c r="O789" s="25">
        <f t="shared" si="21"/>
        <v>1.2637179913534968E-2</v>
      </c>
    </row>
    <row r="790" spans="1:15">
      <c r="A790" s="65">
        <v>403.12312935891646</v>
      </c>
      <c r="B790" s="65">
        <v>403.81598198986495</v>
      </c>
      <c r="C790" s="65">
        <v>401.20070727022829</v>
      </c>
      <c r="D790" s="65">
        <v>401.60080526838169</v>
      </c>
      <c r="E790" s="65">
        <v>3354440.8524771994</v>
      </c>
      <c r="F790" s="65" t="s">
        <v>965</v>
      </c>
      <c r="G790" s="25">
        <f t="shared" si="20"/>
        <v>3.7906400349905223E-3</v>
      </c>
      <c r="I790" s="66">
        <v>56.815296519958075</v>
      </c>
      <c r="J790" s="66">
        <v>56.918853812703652</v>
      </c>
      <c r="K790" s="66">
        <v>56.466967444359319</v>
      </c>
      <c r="L790" s="66">
        <v>56.598767635126414</v>
      </c>
      <c r="M790" s="66">
        <v>11970889.805372821</v>
      </c>
      <c r="N790" s="66" t="s">
        <v>965</v>
      </c>
      <c r="O790" s="25">
        <f t="shared" si="21"/>
        <v>3.8256819693947008E-3</v>
      </c>
    </row>
    <row r="791" spans="1:15">
      <c r="A791" s="65">
        <v>399.86379444713043</v>
      </c>
      <c r="B791" s="65">
        <v>401.20070727022829</v>
      </c>
      <c r="C791" s="65">
        <v>398.9172211344262</v>
      </c>
      <c r="D791" s="65">
        <v>400.28340942080348</v>
      </c>
      <c r="E791" s="65">
        <v>4351451.8893759446</v>
      </c>
      <c r="F791" s="65" t="s">
        <v>966</v>
      </c>
      <c r="G791" s="25">
        <f t="shared" si="20"/>
        <v>-1.0482946927033998E-3</v>
      </c>
      <c r="I791" s="66">
        <v>56.335167253592232</v>
      </c>
      <c r="J791" s="66">
        <v>56.532867539742867</v>
      </c>
      <c r="K791" s="66">
        <v>55.963302429642219</v>
      </c>
      <c r="L791" s="66">
        <v>56.250438559527673</v>
      </c>
      <c r="M791" s="66">
        <v>15127279.773996931</v>
      </c>
      <c r="N791" s="66" t="s">
        <v>966</v>
      </c>
      <c r="O791" s="25">
        <f t="shared" si="21"/>
        <v>1.5062761506274835E-3</v>
      </c>
    </row>
    <row r="792" spans="1:15">
      <c r="A792" s="65">
        <v>396.74107836398224</v>
      </c>
      <c r="B792" s="65">
        <v>397.17045182541511</v>
      </c>
      <c r="C792" s="65">
        <v>394.01846027898733</v>
      </c>
      <c r="D792" s="65">
        <v>394.99430905497115</v>
      </c>
      <c r="E792" s="65">
        <v>3260618.9384130086</v>
      </c>
      <c r="F792" s="65" t="s">
        <v>967</v>
      </c>
      <c r="G792" s="25">
        <f t="shared" si="20"/>
        <v>4.4222644958866741E-3</v>
      </c>
      <c r="I792" s="66">
        <v>56.033909674696019</v>
      </c>
      <c r="J792" s="66">
        <v>56.071566872058042</v>
      </c>
      <c r="K792" s="66">
        <v>55.393737319541565</v>
      </c>
      <c r="L792" s="66">
        <v>55.977423878652978</v>
      </c>
      <c r="M792" s="66">
        <v>16963695.78061495</v>
      </c>
      <c r="N792" s="66" t="s">
        <v>967</v>
      </c>
      <c r="O792" s="25">
        <f t="shared" si="21"/>
        <v>1.0090817356205317E-3</v>
      </c>
    </row>
    <row r="793" spans="1:15">
      <c r="A793" s="65">
        <v>394.21363003418418</v>
      </c>
      <c r="B793" s="65">
        <v>394.3502488628219</v>
      </c>
      <c r="C793" s="65">
        <v>392.34975887205502</v>
      </c>
      <c r="D793" s="65">
        <v>392.90599267436579</v>
      </c>
      <c r="E793" s="65">
        <v>3445489.7959063947</v>
      </c>
      <c r="F793" s="65" t="s">
        <v>968</v>
      </c>
      <c r="G793" s="25">
        <f t="shared" si="20"/>
        <v>3.3281176266053425E-3</v>
      </c>
      <c r="I793" s="66">
        <v>55.836209388545377</v>
      </c>
      <c r="J793" s="66">
        <v>56.627010533147939</v>
      </c>
      <c r="K793" s="66">
        <v>55.676166299756758</v>
      </c>
      <c r="L793" s="66">
        <v>56.457553145018821</v>
      </c>
      <c r="M793" s="66">
        <v>16443761.176566493</v>
      </c>
      <c r="N793" s="66" t="s">
        <v>968</v>
      </c>
      <c r="O793" s="25">
        <f t="shared" si="21"/>
        <v>-1.1005502751375684E-2</v>
      </c>
    </row>
    <row r="794" spans="1:15">
      <c r="A794" s="65">
        <v>393.15971335612159</v>
      </c>
      <c r="B794" s="65">
        <v>396.85720436832429</v>
      </c>
      <c r="C794" s="65">
        <v>392.98406057644451</v>
      </c>
      <c r="D794" s="65">
        <v>393.29633218475931</v>
      </c>
      <c r="E794" s="65">
        <v>3764158.0236617527</v>
      </c>
      <c r="F794" s="65" t="s">
        <v>969</v>
      </c>
      <c r="G794" s="25">
        <f t="shared" si="20"/>
        <v>-3.4736868223206319E-4</v>
      </c>
      <c r="I794" s="66">
        <v>56.259852858868179</v>
      </c>
      <c r="J794" s="66">
        <v>56.951803860395422</v>
      </c>
      <c r="K794" s="66">
        <v>56.231609960846654</v>
      </c>
      <c r="L794" s="66">
        <v>56.777639322596052</v>
      </c>
      <c r="M794" s="66">
        <v>15480664.543236798</v>
      </c>
      <c r="N794" s="66" t="s">
        <v>969</v>
      </c>
      <c r="O794" s="25">
        <f t="shared" si="21"/>
        <v>-9.1195489968496357E-3</v>
      </c>
    </row>
    <row r="795" spans="1:15">
      <c r="A795" s="65">
        <v>394.0770112055464</v>
      </c>
      <c r="B795" s="65">
        <v>394.58445256905799</v>
      </c>
      <c r="C795" s="65">
        <v>391.86183448406314</v>
      </c>
      <c r="D795" s="65">
        <v>394.02821876674716</v>
      </c>
      <c r="E795" s="65">
        <v>6189761.3120540967</v>
      </c>
      <c r="F795" s="65" t="s">
        <v>970</v>
      </c>
      <c r="G795" s="25">
        <f t="shared" si="20"/>
        <v>1.2382980831149304E-4</v>
      </c>
      <c r="I795" s="66">
        <v>57.012996806108717</v>
      </c>
      <c r="J795" s="66">
        <v>57.446054575772031</v>
      </c>
      <c r="K795" s="66">
        <v>56.956511010065675</v>
      </c>
      <c r="L795" s="66">
        <v>57.173039894897329</v>
      </c>
      <c r="M795" s="66">
        <v>13388520.530431287</v>
      </c>
      <c r="N795" s="66" t="s">
        <v>970</v>
      </c>
      <c r="O795" s="25">
        <f t="shared" si="21"/>
        <v>-2.7992754816400511E-3</v>
      </c>
    </row>
    <row r="796" spans="1:15">
      <c r="A796" s="65">
        <v>397.31682914181266</v>
      </c>
      <c r="B796" s="65">
        <v>397.9901647972415</v>
      </c>
      <c r="C796" s="65">
        <v>396.20436153719112</v>
      </c>
      <c r="D796" s="65">
        <v>396.20436153719112</v>
      </c>
      <c r="E796" s="65">
        <v>4338914.0860798694</v>
      </c>
      <c r="F796" s="65" t="s">
        <v>971</v>
      </c>
      <c r="G796" s="25">
        <f t="shared" si="20"/>
        <v>2.8078126154527094E-3</v>
      </c>
      <c r="I796" s="66">
        <v>57.45546887511253</v>
      </c>
      <c r="J796" s="66">
        <v>57.521368970496077</v>
      </c>
      <c r="K796" s="66">
        <v>56.636424832488444</v>
      </c>
      <c r="L796" s="66">
        <v>56.749396424574527</v>
      </c>
      <c r="M796" s="66">
        <v>15633322.744130868</v>
      </c>
      <c r="N796" s="66" t="s">
        <v>971</v>
      </c>
      <c r="O796" s="25">
        <f t="shared" si="21"/>
        <v>1.2441937624419364E-2</v>
      </c>
    </row>
    <row r="797" spans="1:15">
      <c r="A797" s="65">
        <v>398.20485152795794</v>
      </c>
      <c r="B797" s="65">
        <v>398.20485152795794</v>
      </c>
      <c r="C797" s="65">
        <v>396.85818021710031</v>
      </c>
      <c r="D797" s="65">
        <v>397.0923839233364</v>
      </c>
      <c r="E797" s="65">
        <v>2430723.9588517216</v>
      </c>
      <c r="F797" s="65" t="s">
        <v>972</v>
      </c>
      <c r="G797" s="25">
        <f t="shared" si="20"/>
        <v>2.8015334709525774E-3</v>
      </c>
      <c r="I797" s="66">
        <v>57.031825404789728</v>
      </c>
      <c r="J797" s="66">
        <v>57.078896901492264</v>
      </c>
      <c r="K797" s="66">
        <v>56.514038941061862</v>
      </c>
      <c r="L797" s="66">
        <v>56.674082029850474</v>
      </c>
      <c r="M797" s="66">
        <v>10297654.290943965</v>
      </c>
      <c r="N797" s="66" t="s">
        <v>972</v>
      </c>
      <c r="O797" s="25">
        <f t="shared" si="21"/>
        <v>6.3122923588039281E-3</v>
      </c>
    </row>
    <row r="798" spans="1:15">
      <c r="A798" s="65">
        <v>397.44368948269056</v>
      </c>
      <c r="B798" s="65">
        <v>398.36098733211543</v>
      </c>
      <c r="C798" s="65">
        <v>395.5017504184828</v>
      </c>
      <c r="D798" s="65">
        <v>395.60909378384099</v>
      </c>
      <c r="E798" s="65">
        <v>5301735.3993030749</v>
      </c>
      <c r="F798" s="65" t="s">
        <v>973</v>
      </c>
      <c r="G798" s="25">
        <f t="shared" si="20"/>
        <v>4.6373951652687317E-3</v>
      </c>
      <c r="I798" s="66">
        <v>56.692910628531486</v>
      </c>
      <c r="J798" s="66">
        <v>56.815296519958075</v>
      </c>
      <c r="K798" s="66">
        <v>56.363410151613749</v>
      </c>
      <c r="L798" s="66">
        <v>56.485796043040338</v>
      </c>
      <c r="M798" s="66">
        <v>20967245.979813449</v>
      </c>
      <c r="N798" s="66" t="s">
        <v>973</v>
      </c>
      <c r="O798" s="25">
        <f t="shared" si="21"/>
        <v>3.6666666666667069E-3</v>
      </c>
    </row>
    <row r="799" spans="1:15">
      <c r="A799" s="65">
        <v>392.78889082124778</v>
      </c>
      <c r="B799" s="65">
        <v>392.94502662540521</v>
      </c>
      <c r="C799" s="65">
        <v>390.52492166096528</v>
      </c>
      <c r="D799" s="65">
        <v>390.92501965911868</v>
      </c>
      <c r="E799" s="65">
        <v>4011737.3678653939</v>
      </c>
      <c r="F799" s="65" t="s">
        <v>974</v>
      </c>
      <c r="G799" s="25">
        <f t="shared" si="20"/>
        <v>4.7678482276585221E-3</v>
      </c>
      <c r="I799" s="66">
        <v>56.504624641721357</v>
      </c>
      <c r="J799" s="66">
        <v>56.815296519958075</v>
      </c>
      <c r="K799" s="66">
        <v>56.264560008538432</v>
      </c>
      <c r="L799" s="66">
        <v>56.692910628531486</v>
      </c>
      <c r="M799" s="66">
        <v>18208795.34416559</v>
      </c>
      <c r="N799" s="66" t="s">
        <v>974</v>
      </c>
      <c r="O799" s="25">
        <f t="shared" si="21"/>
        <v>-3.3211557622051524E-3</v>
      </c>
    </row>
    <row r="800" spans="1:15">
      <c r="A800" s="65">
        <v>391.28979193158125</v>
      </c>
      <c r="B800" s="65">
        <v>392.1986379270005</v>
      </c>
      <c r="C800" s="65">
        <v>389.50126077482031</v>
      </c>
      <c r="D800" s="65">
        <v>390.12335856847631</v>
      </c>
      <c r="E800" s="65">
        <v>4445008.6597304381</v>
      </c>
      <c r="F800" s="65" t="s">
        <v>975</v>
      </c>
      <c r="G800" s="25">
        <f t="shared" si="20"/>
        <v>2.9899090569327491E-3</v>
      </c>
      <c r="I800" s="66">
        <v>56.975339608746694</v>
      </c>
      <c r="J800" s="66">
        <v>57.464883174453036</v>
      </c>
      <c r="K800" s="66">
        <v>56.862368016660604</v>
      </c>
      <c r="L800" s="66">
        <v>57.314254385004936</v>
      </c>
      <c r="M800" s="66">
        <v>11868309.680705994</v>
      </c>
      <c r="N800" s="66" t="s">
        <v>975</v>
      </c>
      <c r="O800" s="25">
        <f t="shared" si="21"/>
        <v>-5.9132720105125047E-3</v>
      </c>
    </row>
    <row r="801" spans="1:15">
      <c r="A801" s="65">
        <v>391.11482692711547</v>
      </c>
      <c r="B801" s="65">
        <v>391.65916249656448</v>
      </c>
      <c r="C801" s="65">
        <v>387.24615627281742</v>
      </c>
      <c r="D801" s="65">
        <v>387.64468767187827</v>
      </c>
      <c r="E801" s="65">
        <v>4426170.7211948764</v>
      </c>
      <c r="F801" s="65" t="s">
        <v>976</v>
      </c>
      <c r="G801" s="25">
        <f t="shared" si="20"/>
        <v>8.9518555667000843E-3</v>
      </c>
      <c r="I801" s="66">
        <v>57.511954671155578</v>
      </c>
      <c r="J801" s="66">
        <v>57.766140753349255</v>
      </c>
      <c r="K801" s="66">
        <v>57.408397378409994</v>
      </c>
      <c r="L801" s="66">
        <v>57.63434056258216</v>
      </c>
      <c r="M801" s="66">
        <v>9632734.9195079729</v>
      </c>
      <c r="N801" s="66" t="s">
        <v>976</v>
      </c>
      <c r="O801" s="25">
        <f t="shared" si="21"/>
        <v>-2.123489055864014E-3</v>
      </c>
    </row>
    <row r="802" spans="1:15">
      <c r="A802" s="65">
        <v>386.82818431770477</v>
      </c>
      <c r="B802" s="65">
        <v>389.64706494520846</v>
      </c>
      <c r="C802" s="65">
        <v>386.60461792310969</v>
      </c>
      <c r="D802" s="65">
        <v>387.87797434449925</v>
      </c>
      <c r="E802" s="65">
        <v>3344245.9066982488</v>
      </c>
      <c r="F802" s="65" t="s">
        <v>977</v>
      </c>
      <c r="G802" s="25">
        <f t="shared" si="20"/>
        <v>-2.7064955894147147E-3</v>
      </c>
      <c r="I802" s="66">
        <v>57.63434056258216</v>
      </c>
      <c r="J802" s="66">
        <v>57.700240657965708</v>
      </c>
      <c r="K802" s="66">
        <v>56.852953717320105</v>
      </c>
      <c r="L802" s="66">
        <v>57.620219113571395</v>
      </c>
      <c r="M802" s="66">
        <v>13655899.961332677</v>
      </c>
      <c r="N802" s="66" t="s">
        <v>977</v>
      </c>
      <c r="O802" s="25">
        <f t="shared" si="21"/>
        <v>2.4507801650197614E-4</v>
      </c>
    </row>
    <row r="803" spans="1:15">
      <c r="A803" s="65">
        <v>388.43203019197409</v>
      </c>
      <c r="B803" s="65">
        <v>390.05531662229515</v>
      </c>
      <c r="C803" s="65">
        <v>387.77105128621463</v>
      </c>
      <c r="D803" s="65">
        <v>388.15986240724959</v>
      </c>
      <c r="E803" s="65">
        <v>4336611.5545040993</v>
      </c>
      <c r="F803" s="65" t="s">
        <v>978</v>
      </c>
      <c r="G803" s="25">
        <f t="shared" si="20"/>
        <v>7.0117446723272359E-4</v>
      </c>
      <c r="I803" s="66">
        <v>57.615511963901149</v>
      </c>
      <c r="J803" s="66">
        <v>58.340413013120163</v>
      </c>
      <c r="K803" s="66">
        <v>57.59668336522013</v>
      </c>
      <c r="L803" s="66">
        <v>58.312170115098638</v>
      </c>
      <c r="M803" s="66">
        <v>26674381.270150207</v>
      </c>
      <c r="N803" s="66" t="s">
        <v>978</v>
      </c>
      <c r="O803" s="25">
        <f t="shared" si="21"/>
        <v>-1.1947045527930134E-2</v>
      </c>
    </row>
    <row r="804" spans="1:15">
      <c r="A804" s="65">
        <v>391.36755415578824</v>
      </c>
      <c r="B804" s="65">
        <v>391.45503665802113</v>
      </c>
      <c r="C804" s="65">
        <v>388.76251964485385</v>
      </c>
      <c r="D804" s="65">
        <v>389.08328881970766</v>
      </c>
      <c r="E804" s="65">
        <v>3231410.6568133757</v>
      </c>
      <c r="F804" s="65" t="s">
        <v>979</v>
      </c>
      <c r="G804" s="25">
        <f t="shared" si="20"/>
        <v>5.8708903767363818E-3</v>
      </c>
      <c r="I804" s="66">
        <v>58.227441421034086</v>
      </c>
      <c r="J804" s="66">
        <v>58.462798904546752</v>
      </c>
      <c r="K804" s="66">
        <v>57.977962488510656</v>
      </c>
      <c r="L804" s="66">
        <v>58.189784223672056</v>
      </c>
      <c r="M804" s="66">
        <v>16139443.255882468</v>
      </c>
      <c r="N804" s="66" t="s">
        <v>979</v>
      </c>
      <c r="O804" s="25">
        <f t="shared" si="21"/>
        <v>6.471444750040245E-4</v>
      </c>
    </row>
    <row r="805" spans="1:15">
      <c r="A805" s="65">
        <v>389.94839356401053</v>
      </c>
      <c r="B805" s="65">
        <v>391.78552611090083</v>
      </c>
      <c r="C805" s="65">
        <v>389.46237966271684</v>
      </c>
      <c r="D805" s="65">
        <v>391.05650525896021</v>
      </c>
      <c r="E805" s="65">
        <v>3522062.8369752495</v>
      </c>
      <c r="F805" s="65" t="s">
        <v>980</v>
      </c>
      <c r="G805" s="25">
        <f t="shared" si="20"/>
        <v>-2.8336357535233558E-3</v>
      </c>
      <c r="I805" s="66">
        <v>57.832040848732802</v>
      </c>
      <c r="J805" s="66">
        <v>58.104961386614093</v>
      </c>
      <c r="K805" s="66">
        <v>57.408397378409994</v>
      </c>
      <c r="L805" s="66">
        <v>57.719069256646719</v>
      </c>
      <c r="M805" s="66">
        <v>14816473.850564023</v>
      </c>
      <c r="N805" s="66" t="s">
        <v>980</v>
      </c>
      <c r="O805" s="25">
        <f t="shared" si="21"/>
        <v>1.9572663513294231E-3</v>
      </c>
    </row>
    <row r="806" spans="1:15">
      <c r="A806" s="65">
        <v>392.0965750077288</v>
      </c>
      <c r="B806" s="65">
        <v>393.01028114216103</v>
      </c>
      <c r="C806" s="65">
        <v>390.03587606624342</v>
      </c>
      <c r="D806" s="65">
        <v>392.20349806601342</v>
      </c>
      <c r="E806" s="65">
        <v>4369094.1644829009</v>
      </c>
      <c r="F806" s="65" t="s">
        <v>981</v>
      </c>
      <c r="G806" s="25">
        <f t="shared" si="20"/>
        <v>-2.7262137847283707E-4</v>
      </c>
      <c r="I806" s="66">
        <v>57.671997759944183</v>
      </c>
      <c r="J806" s="66">
        <v>58.330998713779657</v>
      </c>
      <c r="K806" s="66">
        <v>57.653169161263172</v>
      </c>
      <c r="L806" s="66">
        <v>57.982669638180909</v>
      </c>
      <c r="M806" s="66">
        <v>14842782.765443575</v>
      </c>
      <c r="N806" s="66" t="s">
        <v>981</v>
      </c>
      <c r="O806" s="25">
        <f t="shared" si="21"/>
        <v>-5.3580126643936188E-3</v>
      </c>
    </row>
    <row r="807" spans="1:15">
      <c r="A807" s="65">
        <v>393.91426699856737</v>
      </c>
      <c r="B807" s="65">
        <v>397.32608458564931</v>
      </c>
      <c r="C807" s="65">
        <v>393.56433698963588</v>
      </c>
      <c r="D807" s="65">
        <v>397.25804263946821</v>
      </c>
      <c r="E807" s="65">
        <v>5289853.8357778713</v>
      </c>
      <c r="F807" s="65" t="s">
        <v>982</v>
      </c>
      <c r="G807" s="25">
        <f t="shared" si="20"/>
        <v>-8.4171376838190204E-3</v>
      </c>
      <c r="I807" s="66">
        <v>58.057984032904962</v>
      </c>
      <c r="J807" s="66">
        <v>58.528698999930299</v>
      </c>
      <c r="K807" s="66">
        <v>57.879112345435331</v>
      </c>
      <c r="L807" s="66">
        <v>57.992083937521414</v>
      </c>
      <c r="M807" s="66">
        <v>28401457.222583737</v>
      </c>
      <c r="N807" s="66" t="s">
        <v>982</v>
      </c>
      <c r="O807" s="25">
        <f t="shared" si="21"/>
        <v>1.1363636363637131E-3</v>
      </c>
    </row>
    <row r="808" spans="1:15">
      <c r="A808" s="65">
        <v>395.37230870244855</v>
      </c>
      <c r="B808" s="65">
        <v>396.51930150950176</v>
      </c>
      <c r="C808" s="65">
        <v>389.67622577928603</v>
      </c>
      <c r="D808" s="65">
        <v>389.78314883757065</v>
      </c>
      <c r="E808" s="65">
        <v>5437070.8182747522</v>
      </c>
      <c r="F808" s="65" t="s">
        <v>983</v>
      </c>
      <c r="G808" s="25">
        <f t="shared" si="20"/>
        <v>1.4339152119700715E-2</v>
      </c>
      <c r="I808" s="66">
        <v>57.643754861922666</v>
      </c>
      <c r="J808" s="66">
        <v>57.708242812405132</v>
      </c>
      <c r="K808" s="66">
        <v>56.805882220617569</v>
      </c>
      <c r="L808" s="66">
        <v>57.060068302811246</v>
      </c>
      <c r="M808" s="66">
        <v>16221483.349580873</v>
      </c>
      <c r="N808" s="66" t="s">
        <v>983</v>
      </c>
      <c r="O808" s="25">
        <f t="shared" si="21"/>
        <v>1.0229335093218994E-2</v>
      </c>
    </row>
    <row r="809" spans="1:15">
      <c r="A809" s="65">
        <v>390.36636551912318</v>
      </c>
      <c r="B809" s="65">
        <v>392.1510085646737</v>
      </c>
      <c r="C809" s="65">
        <v>387.31419821899851</v>
      </c>
      <c r="D809" s="65">
        <v>390.37608579714902</v>
      </c>
      <c r="E809" s="65">
        <v>5309804.9111981187</v>
      </c>
      <c r="F809" s="65" t="s">
        <v>984</v>
      </c>
      <c r="G809" s="25">
        <f t="shared" si="20"/>
        <v>-2.4899778391929139E-5</v>
      </c>
      <c r="I809" s="66">
        <v>56.862368016660596</v>
      </c>
      <c r="J809" s="66">
        <v>57.067917161643592</v>
      </c>
      <c r="K809" s="66">
        <v>56.61944629986251</v>
      </c>
      <c r="L809" s="66">
        <v>56.74090715826155</v>
      </c>
      <c r="M809" s="66">
        <v>15090933.607418109</v>
      </c>
      <c r="N809" s="66" t="s">
        <v>984</v>
      </c>
      <c r="O809" s="25">
        <f t="shared" si="21"/>
        <v>2.1406224271365293E-3</v>
      </c>
    </row>
    <row r="810" spans="1:15">
      <c r="A810" s="65">
        <v>390.06503690032105</v>
      </c>
      <c r="B810" s="65">
        <v>390.60937246977005</v>
      </c>
      <c r="C810" s="65">
        <v>388.22790435343069</v>
      </c>
      <c r="D810" s="65">
        <v>388.82958956323239</v>
      </c>
      <c r="E810" s="65">
        <v>4025692.4643345485</v>
      </c>
      <c r="F810" s="65" t="s">
        <v>985</v>
      </c>
      <c r="G810" s="25">
        <f t="shared" si="20"/>
        <v>3.1773490759188228E-3</v>
      </c>
      <c r="I810" s="66">
        <v>56.479299155555921</v>
      </c>
      <c r="J810" s="66">
        <v>56.684848300538917</v>
      </c>
      <c r="K810" s="66">
        <v>56.096230294451232</v>
      </c>
      <c r="L810" s="66">
        <v>56.255063724665369</v>
      </c>
      <c r="M810" s="66">
        <v>14339694.968051491</v>
      </c>
      <c r="N810" s="66" t="s">
        <v>985</v>
      </c>
      <c r="O810" s="25">
        <f t="shared" si="21"/>
        <v>3.9860488290983653E-3</v>
      </c>
    </row>
    <row r="811" spans="1:15">
      <c r="A811" s="65">
        <v>387.50860377951602</v>
      </c>
      <c r="B811" s="65">
        <v>387.53290447458073</v>
      </c>
      <c r="C811" s="65">
        <v>384.24259036282217</v>
      </c>
      <c r="D811" s="65">
        <v>384.90356926858163</v>
      </c>
      <c r="E811" s="65">
        <v>3906518.9183807769</v>
      </c>
      <c r="F811" s="65" t="s">
        <v>986</v>
      </c>
      <c r="G811" s="25">
        <f t="shared" si="20"/>
        <v>6.7680185867973197E-3</v>
      </c>
      <c r="I811" s="66">
        <v>56.255063724665369</v>
      </c>
      <c r="J811" s="66">
        <v>56.666162014631368</v>
      </c>
      <c r="K811" s="66">
        <v>56.07754400854369</v>
      </c>
      <c r="L811" s="66">
        <v>56.610103156908735</v>
      </c>
      <c r="M811" s="66">
        <v>15220740.034013592</v>
      </c>
      <c r="N811" s="66" t="s">
        <v>986</v>
      </c>
      <c r="O811" s="25">
        <f t="shared" si="21"/>
        <v>-6.2716619904275017E-3</v>
      </c>
    </row>
    <row r="812" spans="1:15">
      <c r="A812" s="65">
        <v>383.98014285612351</v>
      </c>
      <c r="B812" s="65">
        <v>385.8269956810397</v>
      </c>
      <c r="C812" s="65">
        <v>383.05671644366544</v>
      </c>
      <c r="D812" s="65">
        <v>383.9995834121753</v>
      </c>
      <c r="E812" s="65">
        <v>3151008.635603732</v>
      </c>
      <c r="F812" s="65" t="s">
        <v>987</v>
      </c>
      <c r="G812" s="25">
        <f t="shared" si="20"/>
        <v>-5.0626502974382426E-5</v>
      </c>
      <c r="I812" s="66">
        <v>56.497985441463456</v>
      </c>
      <c r="J812" s="66">
        <v>56.681765063364168</v>
      </c>
      <c r="K812" s="66">
        <v>56.217691152850279</v>
      </c>
      <c r="L812" s="66">
        <v>56.311122582388009</v>
      </c>
      <c r="M812" s="66">
        <v>13467172.730049316</v>
      </c>
      <c r="N812" s="66" t="s">
        <v>987</v>
      </c>
      <c r="O812" s="25">
        <f t="shared" si="21"/>
        <v>3.3184005309438991E-3</v>
      </c>
    </row>
    <row r="813" spans="1:15">
      <c r="A813" s="65">
        <v>383.33860450641583</v>
      </c>
      <c r="B813" s="65">
        <v>383.68853451534733</v>
      </c>
      <c r="C813" s="65">
        <v>380.34475887444648</v>
      </c>
      <c r="D813" s="65">
        <v>380.99601750218005</v>
      </c>
      <c r="E813" s="65">
        <v>3559930.066597715</v>
      </c>
      <c r="F813" s="65" t="s">
        <v>988</v>
      </c>
      <c r="G813" s="25">
        <f t="shared" si="20"/>
        <v>6.1485865904684633E-3</v>
      </c>
      <c r="I813" s="66">
        <v>56.404554011925732</v>
      </c>
      <c r="J813" s="66">
        <v>56.43725501226394</v>
      </c>
      <c r="K813" s="66">
        <v>56.040171436728599</v>
      </c>
      <c r="L813" s="66">
        <v>56.180318581035195</v>
      </c>
      <c r="M813" s="66">
        <v>16686013.557894759</v>
      </c>
      <c r="N813" s="66" t="s">
        <v>988</v>
      </c>
      <c r="O813" s="25">
        <f t="shared" si="21"/>
        <v>3.9913520705137095E-3</v>
      </c>
    </row>
    <row r="814" spans="1:15">
      <c r="A814" s="65">
        <v>381.05433917033525</v>
      </c>
      <c r="B814" s="65">
        <v>383.7176953494249</v>
      </c>
      <c r="C814" s="65">
        <v>380.58776582509336</v>
      </c>
      <c r="D814" s="65">
        <v>382.65818504460464</v>
      </c>
      <c r="E814" s="65">
        <v>4056358.2538527637</v>
      </c>
      <c r="F814" s="65" t="s">
        <v>989</v>
      </c>
      <c r="G814" s="25">
        <f t="shared" si="20"/>
        <v>-4.1913277618311762E-3</v>
      </c>
      <c r="I814" s="66">
        <v>56.264406867619144</v>
      </c>
      <c r="J814" s="66">
        <v>56.390539297495074</v>
      </c>
      <c r="K814" s="66">
        <v>55.890681149468236</v>
      </c>
      <c r="L814" s="66">
        <v>56.068200865589915</v>
      </c>
      <c r="M814" s="66">
        <v>18000268.307153597</v>
      </c>
      <c r="N814" s="66" t="s">
        <v>989</v>
      </c>
      <c r="O814" s="25">
        <f t="shared" si="21"/>
        <v>3.4994167638726648E-3</v>
      </c>
    </row>
    <row r="815" spans="1:15">
      <c r="A815" s="65">
        <v>382.30825503567314</v>
      </c>
      <c r="B815" s="65">
        <v>382.7748283809151</v>
      </c>
      <c r="C815" s="65">
        <v>380.46140221075694</v>
      </c>
      <c r="D815" s="65">
        <v>381.08350000441294</v>
      </c>
      <c r="E815" s="65">
        <v>2977963.1737843766</v>
      </c>
      <c r="F815" s="65" t="s">
        <v>990</v>
      </c>
      <c r="G815" s="25">
        <f t="shared" si="20"/>
        <v>3.2138757811503993E-3</v>
      </c>
      <c r="I815" s="66">
        <v>56.3484951542031</v>
      </c>
      <c r="J815" s="66">
        <v>56.983828875059643</v>
      </c>
      <c r="K815" s="66">
        <v>56.175086420981074</v>
      </c>
      <c r="L815" s="66">
        <v>56.946456303244553</v>
      </c>
      <c r="M815" s="66">
        <v>11712892.603854561</v>
      </c>
      <c r="N815" s="66" t="s">
        <v>990</v>
      </c>
      <c r="O815" s="25">
        <f t="shared" si="21"/>
        <v>-1.0500410172272323E-2</v>
      </c>
    </row>
    <row r="816" spans="1:15">
      <c r="A816" s="65">
        <v>381.52091251557727</v>
      </c>
      <c r="B816" s="65">
        <v>383.7274156274508</v>
      </c>
      <c r="C816" s="65">
        <v>380.83077277574017</v>
      </c>
      <c r="D816" s="65">
        <v>382.53182143026822</v>
      </c>
      <c r="E816" s="65">
        <v>4127225.568364379</v>
      </c>
      <c r="F816" s="65" t="s">
        <v>991</v>
      </c>
      <c r="G816" s="25">
        <f t="shared" si="20"/>
        <v>-2.642679270213999E-3</v>
      </c>
      <c r="I816" s="66">
        <v>56.759593444169099</v>
      </c>
      <c r="J816" s="66">
        <v>57.404270307979409</v>
      </c>
      <c r="K816" s="66">
        <v>56.577215293711454</v>
      </c>
      <c r="L816" s="66">
        <v>56.993172018013411</v>
      </c>
      <c r="M816" s="66">
        <v>14891523.193896856</v>
      </c>
      <c r="N816" s="66" t="s">
        <v>991</v>
      </c>
      <c r="O816" s="25">
        <f t="shared" si="21"/>
        <v>-4.098360655737654E-3</v>
      </c>
    </row>
    <row r="817" spans="1:15">
      <c r="A817" s="65">
        <v>382.25965364554372</v>
      </c>
      <c r="B817" s="65">
        <v>382.94007310735492</v>
      </c>
      <c r="C817" s="65">
        <v>378.64371021991843</v>
      </c>
      <c r="D817" s="65">
        <v>379.16860523331559</v>
      </c>
      <c r="E817" s="65">
        <v>7580958.055299025</v>
      </c>
      <c r="F817" s="65" t="s">
        <v>992</v>
      </c>
      <c r="G817" s="25">
        <f t="shared" si="20"/>
        <v>8.152173913043459E-3</v>
      </c>
      <c r="I817" s="66">
        <v>57.142662305273774</v>
      </c>
      <c r="J817" s="66">
        <v>57.292152592534137</v>
      </c>
      <c r="K817" s="66">
        <v>56.133602866266322</v>
      </c>
      <c r="L817" s="66">
        <v>56.311122582388009</v>
      </c>
      <c r="M817" s="66">
        <v>16332667.792306645</v>
      </c>
      <c r="N817" s="66" t="s">
        <v>992</v>
      </c>
      <c r="O817" s="25">
        <f t="shared" si="21"/>
        <v>1.4766882362701184E-2</v>
      </c>
    </row>
    <row r="818" spans="1:15">
      <c r="A818" s="65">
        <v>376.72881544882108</v>
      </c>
      <c r="B818" s="65">
        <v>377.70084325140857</v>
      </c>
      <c r="C818" s="65">
        <v>372.25748755691882</v>
      </c>
      <c r="D818" s="65">
        <v>373.45308175410133</v>
      </c>
      <c r="E818" s="65">
        <v>3666103.9843861563</v>
      </c>
      <c r="F818" s="65" t="s">
        <v>993</v>
      </c>
      <c r="G818" s="25">
        <f t="shared" si="20"/>
        <v>8.7714731910464305E-3</v>
      </c>
      <c r="I818" s="66">
        <v>56.058857722636141</v>
      </c>
      <c r="J818" s="66">
        <v>56.213019581373395</v>
      </c>
      <c r="K818" s="66">
        <v>55.843965434699378</v>
      </c>
      <c r="L818" s="66">
        <v>56.002798864913508</v>
      </c>
      <c r="M818" s="66">
        <v>14344935.174718803</v>
      </c>
      <c r="N818" s="66" t="s">
        <v>993</v>
      </c>
      <c r="O818" s="25">
        <f t="shared" si="21"/>
        <v>1.0010010010008674E-3</v>
      </c>
    </row>
    <row r="819" spans="1:15">
      <c r="A819" s="65">
        <v>373.15175313529926</v>
      </c>
      <c r="B819" s="65">
        <v>374.38622844458536</v>
      </c>
      <c r="C819" s="65">
        <v>371.72287226549571</v>
      </c>
      <c r="D819" s="65">
        <v>373.56000481238601</v>
      </c>
      <c r="E819" s="65">
        <v>4326365.9627900664</v>
      </c>
      <c r="F819" s="65" t="s">
        <v>994</v>
      </c>
      <c r="G819" s="25">
        <f t="shared" si="20"/>
        <v>-1.0928677369832496E-3</v>
      </c>
      <c r="I819" s="66">
        <v>55.741190862207873</v>
      </c>
      <c r="J819" s="66">
        <v>56.320465725341784</v>
      </c>
      <c r="K819" s="66">
        <v>55.465568145071579</v>
      </c>
      <c r="L819" s="66">
        <v>55.984112579005966</v>
      </c>
      <c r="M819" s="66">
        <v>63610464.159709491</v>
      </c>
      <c r="N819" s="66" t="s">
        <v>994</v>
      </c>
      <c r="O819" s="25">
        <f t="shared" si="21"/>
        <v>-4.3391188251001855E-3</v>
      </c>
    </row>
    <row r="820" spans="1:15">
      <c r="A820" s="65">
        <v>375.19301152073291</v>
      </c>
      <c r="B820" s="65">
        <v>377.39951463260644</v>
      </c>
      <c r="C820" s="65">
        <v>373.99741732355034</v>
      </c>
      <c r="D820" s="65">
        <v>376.91350073131269</v>
      </c>
      <c r="E820" s="65">
        <v>4082651.7404505406</v>
      </c>
      <c r="F820" s="65" t="s">
        <v>995</v>
      </c>
      <c r="G820" s="25">
        <f t="shared" si="20"/>
        <v>-4.5646791829997424E-3</v>
      </c>
      <c r="I820" s="66">
        <v>55.853308577653145</v>
      </c>
      <c r="J820" s="66">
        <v>56.241049010234711</v>
      </c>
      <c r="K820" s="66">
        <v>55.610386860855058</v>
      </c>
      <c r="L820" s="66">
        <v>56.142946009220104</v>
      </c>
      <c r="M820" s="66">
        <v>16733347.736788107</v>
      </c>
      <c r="N820" s="66" t="s">
        <v>995</v>
      </c>
      <c r="O820" s="25">
        <f t="shared" si="21"/>
        <v>-5.1589282742553477E-3</v>
      </c>
    </row>
    <row r="821" spans="1:15">
      <c r="A821" s="65">
        <v>375.07636818442245</v>
      </c>
      <c r="B821" s="65">
        <v>375.75678764623365</v>
      </c>
      <c r="C821" s="65">
        <v>370.86262766020582</v>
      </c>
      <c r="D821" s="65">
        <v>370.96469057947746</v>
      </c>
      <c r="E821" s="65">
        <v>3130354.9053847413</v>
      </c>
      <c r="F821" s="65" t="s">
        <v>996</v>
      </c>
      <c r="G821" s="25">
        <f t="shared" si="20"/>
        <v>1.1083743842364546E-2</v>
      </c>
      <c r="I821" s="66">
        <v>56.301779439434235</v>
      </c>
      <c r="J821" s="66">
        <v>56.656818871677594</v>
      </c>
      <c r="K821" s="66">
        <v>56.161632295127646</v>
      </c>
      <c r="L821" s="66">
        <v>56.479299155555921</v>
      </c>
      <c r="M821" s="66">
        <v>13454017.627894921</v>
      </c>
      <c r="N821" s="66" t="s">
        <v>996</v>
      </c>
      <c r="O821" s="25">
        <f t="shared" si="21"/>
        <v>-3.1430934656742071E-3</v>
      </c>
    </row>
    <row r="822" spans="1:15">
      <c r="A822" s="65">
        <v>370.26483056161453</v>
      </c>
      <c r="B822" s="65">
        <v>371.5867883731334</v>
      </c>
      <c r="C822" s="65">
        <v>368.32077495643961</v>
      </c>
      <c r="D822" s="65">
        <v>370.33287250779563</v>
      </c>
      <c r="E822" s="65">
        <v>3411293.3716231384</v>
      </c>
      <c r="F822" s="65" t="s">
        <v>997</v>
      </c>
      <c r="G822" s="25">
        <f t="shared" si="20"/>
        <v>-1.8373185647913015E-4</v>
      </c>
      <c r="I822" s="66">
        <v>56.441926583740823</v>
      </c>
      <c r="J822" s="66">
        <v>56.74090715826155</v>
      </c>
      <c r="K822" s="66">
        <v>56.19900486694273</v>
      </c>
      <c r="L822" s="66">
        <v>56.497985441463456</v>
      </c>
      <c r="M822" s="66">
        <v>15480475.972124236</v>
      </c>
      <c r="N822" s="66" t="s">
        <v>997</v>
      </c>
      <c r="O822" s="25">
        <f t="shared" si="21"/>
        <v>-9.9222755085159875E-4</v>
      </c>
    </row>
    <row r="823" spans="1:15">
      <c r="A823" s="65">
        <v>367.06685909110178</v>
      </c>
      <c r="B823" s="65">
        <v>368.64154413129347</v>
      </c>
      <c r="C823" s="65">
        <v>366.03650962035908</v>
      </c>
      <c r="D823" s="65">
        <v>368.31105467841377</v>
      </c>
      <c r="E823" s="65">
        <v>3715523.3527129977</v>
      </c>
      <c r="F823" s="65" t="s">
        <v>998</v>
      </c>
      <c r="G823" s="25">
        <f t="shared" si="20"/>
        <v>-3.378110897046871E-3</v>
      </c>
      <c r="I823" s="66">
        <v>56.881054302568145</v>
      </c>
      <c r="J823" s="66">
        <v>57.394927165025635</v>
      </c>
      <c r="K823" s="66">
        <v>56.731564015307775</v>
      </c>
      <c r="L823" s="66">
        <v>57.348211450256777</v>
      </c>
      <c r="M823" s="66">
        <v>11869805.540673966</v>
      </c>
      <c r="N823" s="66" t="s">
        <v>998</v>
      </c>
      <c r="O823" s="25">
        <f t="shared" si="21"/>
        <v>-8.1459758879113275E-3</v>
      </c>
    </row>
    <row r="824" spans="1:15">
      <c r="A824" s="65">
        <v>369.83713832847604</v>
      </c>
      <c r="B824" s="65">
        <v>373.3655992518685</v>
      </c>
      <c r="C824" s="65">
        <v>369.44832720744103</v>
      </c>
      <c r="D824" s="65">
        <v>372.47133367348806</v>
      </c>
      <c r="E824" s="65">
        <v>2970351.2515941835</v>
      </c>
      <c r="F824" s="65" t="s">
        <v>999</v>
      </c>
      <c r="G824" s="25">
        <f t="shared" si="20"/>
        <v>-7.0722096088102759E-3</v>
      </c>
      <c r="I824" s="66">
        <v>57.366897736164319</v>
      </c>
      <c r="J824" s="66">
        <v>57.619162595916187</v>
      </c>
      <c r="K824" s="66">
        <v>57.152005448227548</v>
      </c>
      <c r="L824" s="66">
        <v>57.469672308655817</v>
      </c>
      <c r="M824" s="66">
        <v>14912245.342852291</v>
      </c>
      <c r="N824" s="66" t="s">
        <v>999</v>
      </c>
      <c r="O824" s="25">
        <f t="shared" si="21"/>
        <v>-1.7883271012842927E-3</v>
      </c>
    </row>
    <row r="825" spans="1:15">
      <c r="A825" s="65">
        <v>374.01685787960207</v>
      </c>
      <c r="B825" s="65">
        <v>375.42629819335394</v>
      </c>
      <c r="C825" s="65">
        <v>372.74350145821256</v>
      </c>
      <c r="D825" s="65">
        <v>373.90021454329161</v>
      </c>
      <c r="E825" s="65">
        <v>2864127.9525021706</v>
      </c>
      <c r="F825" s="65" t="s">
        <v>1000</v>
      </c>
      <c r="G825" s="25">
        <f t="shared" si="20"/>
        <v>3.1196381219777969E-4</v>
      </c>
      <c r="I825" s="66">
        <v>57.469672308655817</v>
      </c>
      <c r="J825" s="66">
        <v>58.73566817889202</v>
      </c>
      <c r="K825" s="66">
        <v>57.404270307979409</v>
      </c>
      <c r="L825" s="66">
        <v>58.660923035261838</v>
      </c>
      <c r="M825" s="66">
        <v>16113818.523905551</v>
      </c>
      <c r="N825" s="66" t="s">
        <v>1000</v>
      </c>
      <c r="O825" s="25">
        <f t="shared" si="21"/>
        <v>-2.0307398263916587E-2</v>
      </c>
    </row>
    <row r="826" spans="1:15">
      <c r="A826" s="65">
        <v>373.81273204105872</v>
      </c>
      <c r="B826" s="65">
        <v>375.72762681215602</v>
      </c>
      <c r="C826" s="65">
        <v>372.71434062413488</v>
      </c>
      <c r="D826" s="65">
        <v>375.22217235481054</v>
      </c>
      <c r="E826" s="65">
        <v>3754052.0860478966</v>
      </c>
      <c r="F826" s="65" t="s">
        <v>1001</v>
      </c>
      <c r="G826" s="25">
        <f t="shared" si="20"/>
        <v>-3.7562820579244427E-3</v>
      </c>
      <c r="I826" s="66">
        <v>58.702967178553813</v>
      </c>
      <c r="J826" s="66">
        <v>58.955232038305681</v>
      </c>
      <c r="K826" s="66">
        <v>58.492746462093926</v>
      </c>
      <c r="L826" s="66">
        <v>58.899173180583041</v>
      </c>
      <c r="M826" s="66">
        <v>15253277.264954412</v>
      </c>
      <c r="N826" s="66" t="s">
        <v>1001</v>
      </c>
      <c r="O826" s="25">
        <f t="shared" si="21"/>
        <v>-3.331218274111758E-3</v>
      </c>
    </row>
    <row r="827" spans="1:15">
      <c r="A827" s="65">
        <v>374.40566900063709</v>
      </c>
      <c r="B827" s="65">
        <v>374.78475984364616</v>
      </c>
      <c r="C827" s="65">
        <v>370.34259278582152</v>
      </c>
      <c r="D827" s="65">
        <v>370.59532001449423</v>
      </c>
      <c r="E827" s="65">
        <v>3436753.5487231379</v>
      </c>
      <c r="F827" s="65" t="s">
        <v>1002</v>
      </c>
      <c r="G827" s="25">
        <f t="shared" si="20"/>
        <v>1.0281697529245237E-2</v>
      </c>
      <c r="I827" s="66">
        <v>58.674937749692496</v>
      </c>
      <c r="J827" s="66">
        <v>58.899173180583041</v>
      </c>
      <c r="K827" s="66">
        <v>58.460045461755726</v>
      </c>
      <c r="L827" s="66">
        <v>58.871143751721725</v>
      </c>
      <c r="M827" s="66">
        <v>14550834.839266181</v>
      </c>
      <c r="N827" s="66" t="s">
        <v>1002</v>
      </c>
      <c r="O827" s="25">
        <f t="shared" si="21"/>
        <v>-3.3328043167751842E-3</v>
      </c>
    </row>
    <row r="828" spans="1:15">
      <c r="A828" s="65">
        <v>370.78000529698585</v>
      </c>
      <c r="B828" s="65">
        <v>371.40210309064179</v>
      </c>
      <c r="C828" s="65">
        <v>366.72664936019612</v>
      </c>
      <c r="D828" s="65">
        <v>368.25273301025851</v>
      </c>
      <c r="E828" s="65">
        <v>3315383.5635375697</v>
      </c>
      <c r="F828" s="65" t="s">
        <v>1003</v>
      </c>
      <c r="G828" s="25">
        <f t="shared" ref="G828:G891" si="22">A828/D828-1</f>
        <v>6.8628744885836923E-3</v>
      </c>
      <c r="I828" s="66">
        <v>59.001947753074539</v>
      </c>
      <c r="J828" s="66">
        <v>59.254212612826407</v>
      </c>
      <c r="K828" s="66">
        <v>58.609535749016082</v>
      </c>
      <c r="L828" s="66">
        <v>59.235526326918858</v>
      </c>
      <c r="M828" s="66">
        <v>12397276.866370637</v>
      </c>
      <c r="N828" s="66" t="s">
        <v>1003</v>
      </c>
      <c r="O828" s="25">
        <f t="shared" ref="O828:O891" si="23">I828/L828-1</f>
        <v>-3.9432176656152285E-3</v>
      </c>
    </row>
    <row r="829" spans="1:15">
      <c r="A829" s="65">
        <v>366.40588018534231</v>
      </c>
      <c r="B829" s="65">
        <v>368.67070496537104</v>
      </c>
      <c r="C829" s="65">
        <v>366.36699907323884</v>
      </c>
      <c r="D829" s="65">
        <v>367.80560022106823</v>
      </c>
      <c r="E829" s="65">
        <v>2343159.3149261507</v>
      </c>
      <c r="F829" s="65" t="s">
        <v>1004</v>
      </c>
      <c r="G829" s="25">
        <f t="shared" si="22"/>
        <v>-3.8055973995083647E-3</v>
      </c>
      <c r="I829" s="66">
        <v>59.067349753750946</v>
      </c>
      <c r="J829" s="66">
        <v>59.698011903130613</v>
      </c>
      <c r="K829" s="66">
        <v>59.011290896028314</v>
      </c>
      <c r="L829" s="66">
        <v>59.698011903130613</v>
      </c>
      <c r="M829" s="66">
        <v>9772258.698357204</v>
      </c>
      <c r="N829" s="66" t="s">
        <v>1004</v>
      </c>
      <c r="O829" s="25">
        <f t="shared" si="23"/>
        <v>-1.0564206901948703E-2</v>
      </c>
    </row>
    <row r="830" spans="1:15">
      <c r="A830" s="65">
        <v>368.84566996983682</v>
      </c>
      <c r="B830" s="65">
        <v>369.21504053482005</v>
      </c>
      <c r="C830" s="65">
        <v>366.36699907323884</v>
      </c>
      <c r="D830" s="65">
        <v>368.14580995197389</v>
      </c>
      <c r="E830" s="65">
        <v>3994290.0703713847</v>
      </c>
      <c r="F830" s="65" t="s">
        <v>1005</v>
      </c>
      <c r="G830" s="25">
        <f t="shared" si="22"/>
        <v>1.9010402914927393E-3</v>
      </c>
      <c r="I830" s="66">
        <v>59.74005604642258</v>
      </c>
      <c r="J830" s="66">
        <v>60.029693477989539</v>
      </c>
      <c r="K830" s="66">
        <v>59.52516375848581</v>
      </c>
      <c r="L830" s="66">
        <v>60.001664049128216</v>
      </c>
      <c r="M830" s="66">
        <v>8722967.2502325289</v>
      </c>
      <c r="N830" s="66" t="s">
        <v>1005</v>
      </c>
      <c r="O830" s="25">
        <f t="shared" si="23"/>
        <v>-4.3600124571784304E-3</v>
      </c>
    </row>
    <row r="831" spans="1:15">
      <c r="A831" s="65">
        <v>367.57231354844726</v>
      </c>
      <c r="B831" s="65">
        <v>369.38028526125993</v>
      </c>
      <c r="C831" s="65">
        <v>365.32206918545728</v>
      </c>
      <c r="D831" s="65">
        <v>369.22476081284594</v>
      </c>
      <c r="E831" s="65">
        <v>2603850.4179228684</v>
      </c>
      <c r="F831" s="65" t="s">
        <v>1006</v>
      </c>
      <c r="G831" s="25">
        <f t="shared" si="22"/>
        <v>-4.4754508358563205E-3</v>
      </c>
      <c r="I831" s="66">
        <v>59.898889476636718</v>
      </c>
      <c r="J831" s="66">
        <v>59.9736346202669</v>
      </c>
      <c r="K831" s="66">
        <v>59.515820615532043</v>
      </c>
      <c r="L831" s="66">
        <v>59.665310902792399</v>
      </c>
      <c r="M831" s="66">
        <v>9355258.7638301626</v>
      </c>
      <c r="N831" s="66" t="s">
        <v>1006</v>
      </c>
      <c r="O831" s="25">
        <f t="shared" si="23"/>
        <v>3.9148136548701196E-3</v>
      </c>
    </row>
    <row r="832" spans="1:15">
      <c r="A832" s="65">
        <v>368.0680477277669</v>
      </c>
      <c r="B832" s="65">
        <v>368.28189384433608</v>
      </c>
      <c r="C832" s="65">
        <v>366.13371240061781</v>
      </c>
      <c r="D832" s="65">
        <v>367.88336244527528</v>
      </c>
      <c r="E832" s="65">
        <v>2753647.5735313874</v>
      </c>
      <c r="F832" s="65" t="s">
        <v>1007</v>
      </c>
      <c r="G832" s="25">
        <f t="shared" si="22"/>
        <v>5.0202129627185954E-4</v>
      </c>
      <c r="I832" s="66">
        <v>59.665310902792399</v>
      </c>
      <c r="J832" s="66">
        <v>59.730712903468813</v>
      </c>
      <c r="K832" s="66">
        <v>58.871143751721725</v>
      </c>
      <c r="L832" s="66">
        <v>59.403702900086763</v>
      </c>
      <c r="M832" s="66">
        <v>10255141.17402116</v>
      </c>
      <c r="N832" s="66" t="s">
        <v>1007</v>
      </c>
      <c r="O832" s="25">
        <f t="shared" si="23"/>
        <v>4.4039005976721501E-3</v>
      </c>
    </row>
    <row r="833" spans="1:15">
      <c r="A833" s="65">
        <v>368.58322246313821</v>
      </c>
      <c r="B833" s="65">
        <v>370.17734805938164</v>
      </c>
      <c r="C833" s="65">
        <v>365.13252376395269</v>
      </c>
      <c r="D833" s="65">
        <v>369.64273276795853</v>
      </c>
      <c r="E833" s="65">
        <v>3614039.6299867393</v>
      </c>
      <c r="F833" s="65" t="s">
        <v>1008</v>
      </c>
      <c r="G833" s="25">
        <f t="shared" si="22"/>
        <v>-2.8663090354474896E-3</v>
      </c>
      <c r="I833" s="66">
        <v>59.328957756456589</v>
      </c>
      <c r="J833" s="66">
        <v>59.459761757809403</v>
      </c>
      <c r="K833" s="66">
        <v>58.852457465814183</v>
      </c>
      <c r="L833" s="66">
        <v>59.160781183288677</v>
      </c>
      <c r="M833" s="66">
        <v>10846485.010601232</v>
      </c>
      <c r="N833" s="66" t="s">
        <v>1008</v>
      </c>
      <c r="O833" s="25">
        <f t="shared" si="23"/>
        <v>2.8427037271006039E-3</v>
      </c>
    </row>
    <row r="834" spans="1:15">
      <c r="A834" s="65">
        <v>366.97937658886894</v>
      </c>
      <c r="B834" s="65">
        <v>367.99028550355985</v>
      </c>
      <c r="C834" s="65">
        <v>366.77525075032554</v>
      </c>
      <c r="D834" s="65">
        <v>367.14462131530877</v>
      </c>
      <c r="E834" s="65">
        <v>2336403.3353312062</v>
      </c>
      <c r="F834" s="65" t="s">
        <v>1009</v>
      </c>
      <c r="G834" s="25">
        <f t="shared" si="22"/>
        <v>-4.500807497814785E-4</v>
      </c>
      <c r="I834" s="66">
        <v>59.226183183965084</v>
      </c>
      <c r="J834" s="66">
        <v>59.562536330300901</v>
      </c>
      <c r="K834" s="66">
        <v>59.123408611473586</v>
      </c>
      <c r="L834" s="66">
        <v>59.459761757809403</v>
      </c>
      <c r="M834" s="66">
        <v>9705142.0971125681</v>
      </c>
      <c r="N834" s="66" t="s">
        <v>1009</v>
      </c>
      <c r="O834" s="25">
        <f t="shared" si="23"/>
        <v>-3.9283469516028235E-3</v>
      </c>
    </row>
    <row r="835" spans="1:15">
      <c r="A835" s="65">
        <v>368.57350218511232</v>
      </c>
      <c r="B835" s="65">
        <v>369.0011944182508</v>
      </c>
      <c r="C835" s="65">
        <v>367.30986604174865</v>
      </c>
      <c r="D835" s="65">
        <v>368.79706857970746</v>
      </c>
      <c r="E835" s="65">
        <v>3042729.8397505339</v>
      </c>
      <c r="F835" s="65" t="s">
        <v>1010</v>
      </c>
      <c r="G835" s="25">
        <f t="shared" si="22"/>
        <v>-6.0620436994285321E-4</v>
      </c>
      <c r="I835" s="66">
        <v>59.721369760515039</v>
      </c>
      <c r="J835" s="66">
        <v>59.847502190390976</v>
      </c>
      <c r="K835" s="66">
        <v>59.431732328948087</v>
      </c>
      <c r="L835" s="66">
        <v>59.618595188023541</v>
      </c>
      <c r="M835" s="66">
        <v>7749767.9697561003</v>
      </c>
      <c r="N835" s="66" t="s">
        <v>1010</v>
      </c>
      <c r="O835" s="25">
        <f t="shared" si="23"/>
        <v>1.7238677323303531E-3</v>
      </c>
    </row>
    <row r="836" spans="1:15">
      <c r="A836" s="65">
        <v>368.36937634656897</v>
      </c>
      <c r="B836" s="65">
        <v>369.45804748546692</v>
      </c>
      <c r="C836" s="65">
        <v>364.9283979254094</v>
      </c>
      <c r="D836" s="65">
        <v>365.22972654421147</v>
      </c>
      <c r="E836" s="65">
        <v>3229736.8363777162</v>
      </c>
      <c r="F836" s="65" t="s">
        <v>1011</v>
      </c>
      <c r="G836" s="25">
        <f t="shared" si="22"/>
        <v>8.5963698302018443E-3</v>
      </c>
      <c r="I836" s="66">
        <v>59.814801190052762</v>
      </c>
      <c r="J836" s="66">
        <v>59.987649334697558</v>
      </c>
      <c r="K836" s="66">
        <v>59.450418614855636</v>
      </c>
      <c r="L836" s="66">
        <v>59.459761757809403</v>
      </c>
      <c r="M836" s="66">
        <v>9674499.3036311306</v>
      </c>
      <c r="N836" s="66" t="s">
        <v>1011</v>
      </c>
      <c r="O836" s="25">
        <f t="shared" si="23"/>
        <v>5.9710873664362563E-3</v>
      </c>
    </row>
    <row r="837" spans="1:15">
      <c r="A837" s="65">
        <v>361.73042645489659</v>
      </c>
      <c r="B837" s="65">
        <v>363.64532122599394</v>
      </c>
      <c r="C837" s="65">
        <v>360.54455253573997</v>
      </c>
      <c r="D837" s="65">
        <v>363.38287371929528</v>
      </c>
      <c r="E837" s="65">
        <v>4548721.7425575415</v>
      </c>
      <c r="F837" s="65" t="s">
        <v>1012</v>
      </c>
      <c r="G837" s="25">
        <f t="shared" si="22"/>
        <v>-4.5473999572009927E-3</v>
      </c>
      <c r="I837" s="66">
        <v>59.534506901439585</v>
      </c>
      <c r="J837" s="66">
        <v>59.730712903468813</v>
      </c>
      <c r="K837" s="66">
        <v>59.338300899410356</v>
      </c>
      <c r="L837" s="66">
        <v>59.553193187347134</v>
      </c>
      <c r="M837" s="66">
        <v>12777614.61969219</v>
      </c>
      <c r="N837" s="66" t="s">
        <v>1012</v>
      </c>
      <c r="O837" s="25">
        <f t="shared" si="23"/>
        <v>-3.1377470975846311E-4</v>
      </c>
    </row>
    <row r="838" spans="1:15">
      <c r="A838" s="65">
        <v>364.39378263398623</v>
      </c>
      <c r="B838" s="65">
        <v>369.56497054375154</v>
      </c>
      <c r="C838" s="65">
        <v>364.12161484926179</v>
      </c>
      <c r="D838" s="65">
        <v>367.33902687582628</v>
      </c>
      <c r="E838" s="65">
        <v>5671688.5929854512</v>
      </c>
      <c r="F838" s="65" t="s">
        <v>1013</v>
      </c>
      <c r="G838" s="25">
        <f t="shared" si="22"/>
        <v>-8.0177820115902021E-3</v>
      </c>
      <c r="I838" s="66">
        <v>59.469104900763178</v>
      </c>
      <c r="J838" s="66">
        <v>59.964291477313132</v>
      </c>
      <c r="K838" s="66">
        <v>59.403702900086763</v>
      </c>
      <c r="L838" s="66">
        <v>59.814801190052762</v>
      </c>
      <c r="M838" s="66">
        <v>11863881.409974707</v>
      </c>
      <c r="N838" s="66" t="s">
        <v>1013</v>
      </c>
      <c r="O838" s="25">
        <f t="shared" si="23"/>
        <v>-5.7794439237737194E-3</v>
      </c>
    </row>
    <row r="839" spans="1:15">
      <c r="A839" s="65">
        <v>366.95021575479126</v>
      </c>
      <c r="B839" s="65">
        <v>370.44951584410614</v>
      </c>
      <c r="C839" s="65">
        <v>364.18965679544289</v>
      </c>
      <c r="D839" s="65">
        <v>370.40091445397678</v>
      </c>
      <c r="E839" s="65">
        <v>4435665.3055837518</v>
      </c>
      <c r="F839" s="65" t="s">
        <v>1014</v>
      </c>
      <c r="G839" s="25">
        <f t="shared" si="22"/>
        <v>-9.3161181966096018E-3</v>
      </c>
      <c r="I839" s="66">
        <v>59.805458047098995</v>
      </c>
      <c r="J839" s="66">
        <v>59.926918905498042</v>
      </c>
      <c r="K839" s="66">
        <v>59.114065468519819</v>
      </c>
      <c r="L839" s="66">
        <v>59.926918905498042</v>
      </c>
      <c r="M839" s="66">
        <v>11718133.880825521</v>
      </c>
      <c r="N839" s="66" t="s">
        <v>1014</v>
      </c>
      <c r="O839" s="25">
        <f t="shared" si="23"/>
        <v>-2.0268163392579419E-3</v>
      </c>
    </row>
    <row r="840" spans="1:15">
      <c r="A840" s="65">
        <v>371.11049474986561</v>
      </c>
      <c r="B840" s="65">
        <v>372.90874618465239</v>
      </c>
      <c r="C840" s="65">
        <v>370.84804724316695</v>
      </c>
      <c r="D840" s="65">
        <v>371.05217308171035</v>
      </c>
      <c r="E840" s="65">
        <v>3157622.6439509075</v>
      </c>
      <c r="F840" s="65" t="s">
        <v>1015</v>
      </c>
      <c r="G840" s="25">
        <f t="shared" si="22"/>
        <v>1.5717915804369653E-4</v>
      </c>
      <c r="I840" s="66">
        <v>60.076409192758398</v>
      </c>
      <c r="J840" s="66">
        <v>60.440791767955531</v>
      </c>
      <c r="K840" s="66">
        <v>59.85217376186786</v>
      </c>
      <c r="L840" s="66">
        <v>59.936262048451816</v>
      </c>
      <c r="M840" s="66">
        <v>9730708.4403850473</v>
      </c>
      <c r="N840" s="66" t="s">
        <v>1015</v>
      </c>
      <c r="O840" s="25">
        <f t="shared" si="23"/>
        <v>2.3382696804363778E-3</v>
      </c>
    </row>
    <row r="841" spans="1:15">
      <c r="A841" s="65">
        <v>371.36322197853838</v>
      </c>
      <c r="B841" s="65">
        <v>371.43126392471947</v>
      </c>
      <c r="C841" s="65">
        <v>367.42650937805911</v>
      </c>
      <c r="D841" s="65">
        <v>367.46539049016263</v>
      </c>
      <c r="E841" s="65">
        <v>3484372.5570239169</v>
      </c>
      <c r="F841" s="65" t="s">
        <v>1016</v>
      </c>
      <c r="G841" s="25">
        <f t="shared" si="22"/>
        <v>1.0607343138292258E-2</v>
      </c>
      <c r="I841" s="66">
        <v>59.936262048451816</v>
      </c>
      <c r="J841" s="66">
        <v>59.945605191405583</v>
      </c>
      <c r="K841" s="66">
        <v>59.31027147054904</v>
      </c>
      <c r="L841" s="66">
        <v>59.431732328948087</v>
      </c>
      <c r="M841" s="66">
        <v>14649910.707480978</v>
      </c>
      <c r="N841" s="66" t="s">
        <v>1016</v>
      </c>
      <c r="O841" s="25">
        <f t="shared" si="23"/>
        <v>8.4892312529476488E-3</v>
      </c>
    </row>
    <row r="842" spans="1:15">
      <c r="A842" s="65">
        <v>368.21385189815499</v>
      </c>
      <c r="B842" s="65">
        <v>368.52490079498295</v>
      </c>
      <c r="C842" s="65">
        <v>363.21762899285545</v>
      </c>
      <c r="D842" s="65">
        <v>363.43147510942464</v>
      </c>
      <c r="E842" s="65">
        <v>4426187.1816294007</v>
      </c>
      <c r="F842" s="65" t="s">
        <v>1017</v>
      </c>
      <c r="G842" s="25">
        <f t="shared" si="22"/>
        <v>1.315895049346083E-2</v>
      </c>
      <c r="I842" s="66">
        <v>59.497134329624494</v>
      </c>
      <c r="J842" s="66">
        <v>59.571879473254675</v>
      </c>
      <c r="K842" s="66">
        <v>58.968405869870502</v>
      </c>
      <c r="L842" s="66">
        <v>59.356987185317905</v>
      </c>
      <c r="M842" s="66">
        <v>14765720.773253663</v>
      </c>
      <c r="N842" s="66" t="s">
        <v>1017</v>
      </c>
      <c r="O842" s="25">
        <f t="shared" si="23"/>
        <v>2.3610892491736646E-3</v>
      </c>
    </row>
    <row r="843" spans="1:15">
      <c r="A843" s="65">
        <v>361.05000699308539</v>
      </c>
      <c r="B843" s="65">
        <v>364.19937707346878</v>
      </c>
      <c r="C843" s="65">
        <v>360.60287420389517</v>
      </c>
      <c r="D843" s="65">
        <v>363.20790871482961</v>
      </c>
      <c r="E843" s="65">
        <v>3875296.5604202193</v>
      </c>
      <c r="F843" s="65" t="s">
        <v>1018</v>
      </c>
      <c r="G843" s="25">
        <f t="shared" si="22"/>
        <v>-5.9412299951829839E-3</v>
      </c>
      <c r="I843" s="66">
        <v>59.375673471225447</v>
      </c>
      <c r="J843" s="66">
        <v>59.58122261620845</v>
      </c>
      <c r="K843" s="66">
        <v>59.226183183965084</v>
      </c>
      <c r="L843" s="66">
        <v>59.385016614179222</v>
      </c>
      <c r="M843" s="66">
        <v>14106131.165078871</v>
      </c>
      <c r="N843" s="66" t="s">
        <v>1018</v>
      </c>
      <c r="O843" s="25">
        <f t="shared" si="23"/>
        <v>-1.5733165512898939E-4</v>
      </c>
    </row>
    <row r="844" spans="1:15">
      <c r="A844" s="65">
        <v>362.66357314538061</v>
      </c>
      <c r="B844" s="65">
        <v>367.13490103728287</v>
      </c>
      <c r="C844" s="65">
        <v>362.58581092117356</v>
      </c>
      <c r="D844" s="65">
        <v>366.62944657993745</v>
      </c>
      <c r="E844" s="65">
        <v>3904649.6302851452</v>
      </c>
      <c r="F844" s="65" t="s">
        <v>1019</v>
      </c>
      <c r="G844" s="25">
        <f t="shared" si="22"/>
        <v>-1.081711649610273E-2</v>
      </c>
      <c r="I844" s="66">
        <v>59.655967759838632</v>
      </c>
      <c r="J844" s="66">
        <v>59.954948334359358</v>
      </c>
      <c r="K844" s="66">
        <v>59.450418614855636</v>
      </c>
      <c r="L844" s="66">
        <v>59.954948334359358</v>
      </c>
      <c r="M844" s="66">
        <v>13720072.63875144</v>
      </c>
      <c r="N844" s="66" t="s">
        <v>1019</v>
      </c>
      <c r="O844" s="25">
        <f t="shared" si="23"/>
        <v>-4.9867539348604772E-3</v>
      </c>
    </row>
    <row r="845" spans="1:15">
      <c r="A845" s="65">
        <v>368.48601968287943</v>
      </c>
      <c r="B845" s="65">
        <v>368.85539024786272</v>
      </c>
      <c r="C845" s="65">
        <v>366.67804797006681</v>
      </c>
      <c r="D845" s="65">
        <v>367.89308272330112</v>
      </c>
      <c r="E845" s="65">
        <v>2376858.9682825711</v>
      </c>
      <c r="F845" s="65" t="s">
        <v>1020</v>
      </c>
      <c r="G845" s="25">
        <f t="shared" si="22"/>
        <v>1.6117099978860683E-3</v>
      </c>
      <c r="I845" s="66">
        <v>59.749399189376362</v>
      </c>
      <c r="J845" s="66">
        <v>60.721086056568708</v>
      </c>
      <c r="K845" s="66">
        <v>59.444532434794752</v>
      </c>
      <c r="L845" s="66">
        <v>60.496850625678171</v>
      </c>
      <c r="M845" s="66">
        <v>16624240.982771423</v>
      </c>
      <c r="N845" s="66" t="s">
        <v>1020</v>
      </c>
      <c r="O845" s="25">
        <f t="shared" si="23"/>
        <v>-1.2355212355212197E-2</v>
      </c>
    </row>
    <row r="846" spans="1:15">
      <c r="A846" s="65">
        <v>368.00000578158568</v>
      </c>
      <c r="B846" s="65">
        <v>368.49573996090538</v>
      </c>
      <c r="C846" s="65">
        <v>366.2795165710059</v>
      </c>
      <c r="D846" s="65">
        <v>368.08748828381863</v>
      </c>
      <c r="E846" s="65">
        <v>2841797.3155160467</v>
      </c>
      <c r="F846" s="65" t="s">
        <v>1021</v>
      </c>
      <c r="G846" s="25">
        <f t="shared" si="22"/>
        <v>-2.376676877576811E-4</v>
      </c>
      <c r="I846" s="66">
        <v>59.842830618914078</v>
      </c>
      <c r="J846" s="66">
        <v>60.048379763897081</v>
      </c>
      <c r="K846" s="66">
        <v>59.609252045069766</v>
      </c>
      <c r="L846" s="66">
        <v>59.79611490414522</v>
      </c>
      <c r="M846" s="66">
        <v>13840198.16883838</v>
      </c>
      <c r="N846" s="66" t="s">
        <v>1021</v>
      </c>
      <c r="O846" s="25">
        <f t="shared" si="23"/>
        <v>7.8124999999995559E-4</v>
      </c>
    </row>
    <row r="847" spans="1:15">
      <c r="A847" s="65">
        <v>367.7861596650165</v>
      </c>
      <c r="B847" s="65">
        <v>369.43860692941519</v>
      </c>
      <c r="C847" s="65">
        <v>366.39615990731642</v>
      </c>
      <c r="D847" s="65">
        <v>367.21266326148987</v>
      </c>
      <c r="E847" s="65">
        <v>3038156.9252843349</v>
      </c>
      <c r="F847" s="65" t="s">
        <v>1022</v>
      </c>
      <c r="G847" s="25">
        <f t="shared" si="22"/>
        <v>1.5617555190852173E-3</v>
      </c>
      <c r="I847" s="66">
        <v>59.758742332330129</v>
      </c>
      <c r="J847" s="66">
        <v>59.79611490414522</v>
      </c>
      <c r="K847" s="66">
        <v>59.272898898733949</v>
      </c>
      <c r="L847" s="66">
        <v>59.450418614855636</v>
      </c>
      <c r="M847" s="66">
        <v>11459082.937050473</v>
      </c>
      <c r="N847" s="66" t="s">
        <v>1022</v>
      </c>
      <c r="O847" s="25">
        <f t="shared" si="23"/>
        <v>5.1862329090051063E-3</v>
      </c>
    </row>
    <row r="848" spans="1:15">
      <c r="A848" s="65">
        <v>369.87601944057951</v>
      </c>
      <c r="B848" s="65">
        <v>370.66336196067533</v>
      </c>
      <c r="C848" s="65">
        <v>368.07776800579273</v>
      </c>
      <c r="D848" s="65">
        <v>368.13608967394799</v>
      </c>
      <c r="E848" s="65">
        <v>2748183.7380465763</v>
      </c>
      <c r="F848" s="65" t="s">
        <v>1023</v>
      </c>
      <c r="G848" s="25">
        <f t="shared" si="22"/>
        <v>4.7263221820292856E-3</v>
      </c>
      <c r="I848" s="66">
        <v>59.497134329624494</v>
      </c>
      <c r="J848" s="66">
        <v>59.637281473931083</v>
      </c>
      <c r="K848" s="66">
        <v>59.258884184303291</v>
      </c>
      <c r="L848" s="66">
        <v>59.543850044393352</v>
      </c>
      <c r="M848" s="66">
        <v>10456377.525568238</v>
      </c>
      <c r="N848" s="66" t="s">
        <v>1023</v>
      </c>
      <c r="O848" s="25">
        <f t="shared" si="23"/>
        <v>-7.845598619173888E-4</v>
      </c>
    </row>
    <row r="849" spans="1:15">
      <c r="A849" s="65">
        <v>369.8954599966313</v>
      </c>
      <c r="B849" s="65">
        <v>371.23199822518905</v>
      </c>
      <c r="C849" s="65">
        <v>368.63182385326758</v>
      </c>
      <c r="D849" s="65">
        <v>371.15909613999497</v>
      </c>
      <c r="E849" s="65">
        <v>3106153.9515258279</v>
      </c>
      <c r="F849" s="65" t="s">
        <v>1024</v>
      </c>
      <c r="G849" s="25">
        <f t="shared" si="22"/>
        <v>-3.4045673580556102E-3</v>
      </c>
      <c r="I849" s="66">
        <v>59.385016614179222</v>
      </c>
      <c r="J849" s="66">
        <v>59.422389185994312</v>
      </c>
      <c r="K849" s="66">
        <v>59.03932032488963</v>
      </c>
      <c r="L849" s="66">
        <v>59.338300899410356</v>
      </c>
      <c r="M849" s="66">
        <v>9670920.20822764</v>
      </c>
      <c r="N849" s="66" t="s">
        <v>1024</v>
      </c>
      <c r="O849" s="25">
        <f t="shared" si="23"/>
        <v>7.8727759407959397E-4</v>
      </c>
    </row>
    <row r="850" spans="1:15">
      <c r="A850" s="65">
        <v>369.64273276795853</v>
      </c>
      <c r="B850" s="65">
        <v>369.681613880062</v>
      </c>
      <c r="C850" s="65">
        <v>367.11546048123114</v>
      </c>
      <c r="D850" s="65">
        <v>368.24301273223256</v>
      </c>
      <c r="E850" s="65">
        <v>2799306.7613466522</v>
      </c>
      <c r="F850" s="65" t="s">
        <v>1025</v>
      </c>
      <c r="G850" s="25">
        <f t="shared" si="22"/>
        <v>3.8010769718088699E-3</v>
      </c>
      <c r="I850" s="66">
        <v>59.291585184641498</v>
      </c>
      <c r="J850" s="66">
        <v>59.356987185317905</v>
      </c>
      <c r="K850" s="66">
        <v>58.992698041550305</v>
      </c>
      <c r="L850" s="66">
        <v>59.160781183288677</v>
      </c>
      <c r="M850" s="66">
        <v>10116931.793474481</v>
      </c>
      <c r="N850" s="66" t="s">
        <v>1025</v>
      </c>
      <c r="O850" s="25">
        <f t="shared" si="23"/>
        <v>2.2109917877448648E-3</v>
      </c>
    </row>
    <row r="851" spans="1:15">
      <c r="A851" s="65">
        <v>368.3888169026207</v>
      </c>
      <c r="B851" s="65">
        <v>370.66336196067533</v>
      </c>
      <c r="C851" s="65">
        <v>366.18231379074723</v>
      </c>
      <c r="D851" s="65">
        <v>368.66098468734521</v>
      </c>
      <c r="E851" s="65">
        <v>3067456.4987370577</v>
      </c>
      <c r="F851" s="65" t="s">
        <v>1026</v>
      </c>
      <c r="G851" s="25">
        <f t="shared" si="22"/>
        <v>-7.3826034223645198E-4</v>
      </c>
      <c r="I851" s="66">
        <v>58.908516323536809</v>
      </c>
      <c r="J851" s="66">
        <v>59.001947753074539</v>
      </c>
      <c r="K851" s="66">
        <v>58.651579892308064</v>
      </c>
      <c r="L851" s="66">
        <v>58.908516323536809</v>
      </c>
      <c r="M851" s="66">
        <v>9574948.2205960136</v>
      </c>
      <c r="N851" s="66" t="s">
        <v>1026</v>
      </c>
      <c r="O851" s="25">
        <f t="shared" si="23"/>
        <v>0</v>
      </c>
    </row>
    <row r="852" spans="1:15">
      <c r="A852" s="65">
        <v>369.14699858863889</v>
      </c>
      <c r="B852" s="65">
        <v>369.53580970967391</v>
      </c>
      <c r="C852" s="65">
        <v>364.94278393688762</v>
      </c>
      <c r="D852" s="65">
        <v>365.39497127065135</v>
      </c>
      <c r="E852" s="65">
        <v>2758017.8188975095</v>
      </c>
      <c r="F852" s="65" t="s">
        <v>1027</v>
      </c>
      <c r="G852" s="25">
        <f t="shared" si="22"/>
        <v>1.0268415312175705E-2</v>
      </c>
      <c r="I852" s="66">
        <v>59.001947753074539</v>
      </c>
      <c r="J852" s="66">
        <v>59.011290896028314</v>
      </c>
      <c r="K852" s="66">
        <v>58.37595717517177</v>
      </c>
      <c r="L852" s="66">
        <v>58.637565177877406</v>
      </c>
      <c r="M852" s="66">
        <v>10565421.131669609</v>
      </c>
      <c r="N852" s="66" t="s">
        <v>1027</v>
      </c>
      <c r="O852" s="25">
        <f t="shared" si="23"/>
        <v>6.2141491395792947E-3</v>
      </c>
    </row>
    <row r="853" spans="1:15">
      <c r="A853" s="65">
        <v>364.42294346806392</v>
      </c>
      <c r="B853" s="65">
        <v>368.02916661566337</v>
      </c>
      <c r="C853" s="65">
        <v>363.84944706453729</v>
      </c>
      <c r="D853" s="65">
        <v>367.81532049909407</v>
      </c>
      <c r="E853" s="65">
        <v>3728466.3981346516</v>
      </c>
      <c r="F853" s="65" t="s">
        <v>1028</v>
      </c>
      <c r="G853" s="25">
        <f t="shared" si="22"/>
        <v>-9.2230443974627985E-3</v>
      </c>
      <c r="I853" s="66">
        <v>58.572163177200999</v>
      </c>
      <c r="J853" s="66">
        <v>58.889830037629274</v>
      </c>
      <c r="K853" s="66">
        <v>58.21712374495764</v>
      </c>
      <c r="L853" s="66">
        <v>58.37595717517177</v>
      </c>
      <c r="M853" s="66">
        <v>10268176.402166827</v>
      </c>
      <c r="N853" s="66" t="s">
        <v>1028</v>
      </c>
      <c r="O853" s="25">
        <f t="shared" si="23"/>
        <v>3.3610755441741968E-3</v>
      </c>
    </row>
    <row r="854" spans="1:15">
      <c r="A854" s="65">
        <v>365.8809851719451</v>
      </c>
      <c r="B854" s="65">
        <v>367.19322270543813</v>
      </c>
      <c r="C854" s="65">
        <v>365.18112515408211</v>
      </c>
      <c r="D854" s="65">
        <v>366.35727879521289</v>
      </c>
      <c r="E854" s="65">
        <v>3157318.1259122137</v>
      </c>
      <c r="F854" s="65" t="s">
        <v>1029</v>
      </c>
      <c r="G854" s="25">
        <f t="shared" si="22"/>
        <v>-1.3000795967098577E-3</v>
      </c>
      <c r="I854" s="66">
        <v>58.469388604709494</v>
      </c>
      <c r="J854" s="66">
        <v>58.590849463108547</v>
      </c>
      <c r="K854" s="66">
        <v>58.301212031541588</v>
      </c>
      <c r="L854" s="66">
        <v>58.534790605385908</v>
      </c>
      <c r="M854" s="66">
        <v>10609972.521074599</v>
      </c>
      <c r="N854" s="66" t="s">
        <v>1029</v>
      </c>
      <c r="O854" s="25">
        <f t="shared" si="23"/>
        <v>-1.1173184357542443E-3</v>
      </c>
    </row>
    <row r="855" spans="1:15">
      <c r="A855" s="65">
        <v>365.83238378181574</v>
      </c>
      <c r="B855" s="65">
        <v>365.86154461589331</v>
      </c>
      <c r="C855" s="65">
        <v>362.5274892530183</v>
      </c>
      <c r="D855" s="65">
        <v>363.10098565654494</v>
      </c>
      <c r="E855" s="65">
        <v>2747984.155277973</v>
      </c>
      <c r="F855" s="65" t="s">
        <v>1030</v>
      </c>
      <c r="G855" s="25">
        <f t="shared" si="22"/>
        <v>7.5224200240933126E-3</v>
      </c>
      <c r="I855" s="66">
        <v>58.572163177200999</v>
      </c>
      <c r="J855" s="66">
        <v>58.572163177200999</v>
      </c>
      <c r="K855" s="66">
        <v>57.946172599298229</v>
      </c>
      <c r="L855" s="66">
        <v>58.385300318125545</v>
      </c>
      <c r="M855" s="66">
        <v>8511670.0443813819</v>
      </c>
      <c r="N855" s="66" t="s">
        <v>1030</v>
      </c>
      <c r="O855" s="25">
        <f t="shared" si="23"/>
        <v>3.2005120819331712E-3</v>
      </c>
    </row>
    <row r="856" spans="1:15">
      <c r="A856" s="65">
        <v>365.43385238275482</v>
      </c>
      <c r="B856" s="65">
        <v>365.66227891636288</v>
      </c>
      <c r="C856" s="65">
        <v>362.29420258039738</v>
      </c>
      <c r="D856" s="65">
        <v>363.21762899285545</v>
      </c>
      <c r="E856" s="65">
        <v>3164747.9545454849</v>
      </c>
      <c r="F856" s="65" t="s">
        <v>1031</v>
      </c>
      <c r="G856" s="25">
        <f t="shared" si="22"/>
        <v>6.1016404849196793E-3</v>
      </c>
      <c r="I856" s="66">
        <v>58.712310321507594</v>
      </c>
      <c r="J856" s="66">
        <v>58.899079749153508</v>
      </c>
      <c r="K856" s="66">
        <v>58.282525745634047</v>
      </c>
      <c r="L856" s="66">
        <v>58.730996607415136</v>
      </c>
      <c r="M856" s="66">
        <v>10322226.736459965</v>
      </c>
      <c r="N856" s="66" t="s">
        <v>1031</v>
      </c>
      <c r="O856" s="25">
        <f t="shared" si="23"/>
        <v>-3.1816735602918644E-4</v>
      </c>
    </row>
    <row r="857" spans="1:15">
      <c r="A857" s="65">
        <v>364.04385262505474</v>
      </c>
      <c r="B857" s="65">
        <v>364.9186776473835</v>
      </c>
      <c r="C857" s="65">
        <v>362.45944730683721</v>
      </c>
      <c r="D857" s="65">
        <v>364.22853790754635</v>
      </c>
      <c r="E857" s="65">
        <v>3320620.0392705179</v>
      </c>
      <c r="F857" s="65" t="s">
        <v>1032</v>
      </c>
      <c r="G857" s="25">
        <f t="shared" si="22"/>
        <v>-5.0705879213253091E-4</v>
      </c>
      <c r="I857" s="66">
        <v>58.674937749692496</v>
      </c>
      <c r="J857" s="66">
        <v>58.880486894675499</v>
      </c>
      <c r="K857" s="66">
        <v>58.394643461079319</v>
      </c>
      <c r="L857" s="66">
        <v>58.422672889940635</v>
      </c>
      <c r="M857" s="66">
        <v>13688706.320003029</v>
      </c>
      <c r="N857" s="66" t="s">
        <v>1032</v>
      </c>
      <c r="O857" s="25">
        <f t="shared" si="23"/>
        <v>4.3179273948503738E-3</v>
      </c>
    </row>
    <row r="858" spans="1:15">
      <c r="A858" s="65">
        <v>364.9283979254094</v>
      </c>
      <c r="B858" s="65">
        <v>367.81532049909407</v>
      </c>
      <c r="C858" s="65">
        <v>363.66476178204567</v>
      </c>
      <c r="D858" s="65">
        <v>367.61119466055072</v>
      </c>
      <c r="E858" s="65">
        <v>2791358.4290258749</v>
      </c>
      <c r="F858" s="65" t="s">
        <v>1033</v>
      </c>
      <c r="G858" s="25">
        <f t="shared" si="22"/>
        <v>-7.2979190354053314E-3</v>
      </c>
      <c r="I858" s="66">
        <v>58.123692315419909</v>
      </c>
      <c r="J858" s="66">
        <v>58.618878891969864</v>
      </c>
      <c r="K858" s="66">
        <v>57.997559885543978</v>
      </c>
      <c r="L858" s="66">
        <v>58.291868888587821</v>
      </c>
      <c r="M858" s="66">
        <v>12237214.025911139</v>
      </c>
      <c r="N858" s="66" t="s">
        <v>1033</v>
      </c>
      <c r="O858" s="25">
        <f t="shared" si="23"/>
        <v>-2.8850777368168989E-3</v>
      </c>
    </row>
    <row r="859" spans="1:15">
      <c r="A859" s="65">
        <v>366.99881714492068</v>
      </c>
      <c r="B859" s="65">
        <v>367.33902687582628</v>
      </c>
      <c r="C859" s="65">
        <v>364.72427208686605</v>
      </c>
      <c r="D859" s="65">
        <v>365.09364265184928</v>
      </c>
      <c r="E859" s="65">
        <v>3626743.9991077953</v>
      </c>
      <c r="F859" s="65" t="s">
        <v>1034</v>
      </c>
      <c r="G859" s="25">
        <f t="shared" si="22"/>
        <v>5.2183173588924436E-3</v>
      </c>
      <c r="I859" s="66">
        <v>58.301212031541588</v>
      </c>
      <c r="J859" s="66">
        <v>58.413329746986868</v>
      </c>
      <c r="K859" s="66">
        <v>57.796682312037866</v>
      </c>
      <c r="L859" s="66">
        <v>58.207780602003858</v>
      </c>
      <c r="M859" s="66">
        <v>13165441.287648378</v>
      </c>
      <c r="N859" s="66" t="s">
        <v>1034</v>
      </c>
      <c r="O859" s="25">
        <f t="shared" si="23"/>
        <v>1.6051364365972098E-3</v>
      </c>
    </row>
    <row r="860" spans="1:15">
      <c r="A860" s="65">
        <v>365.55049571906534</v>
      </c>
      <c r="B860" s="65">
        <v>365.81294322576395</v>
      </c>
      <c r="C860" s="65">
        <v>361.25413283162874</v>
      </c>
      <c r="D860" s="65">
        <v>361.38049644596509</v>
      </c>
      <c r="E860" s="65">
        <v>4279552.4870038051</v>
      </c>
      <c r="F860" s="65" t="s">
        <v>1035</v>
      </c>
      <c r="G860" s="25">
        <f t="shared" si="22"/>
        <v>1.1539082252945532E-2</v>
      </c>
      <c r="I860" s="66">
        <v>57.955515742252004</v>
      </c>
      <c r="J860" s="66">
        <v>58.161064887235</v>
      </c>
      <c r="K860" s="66">
        <v>57.806025454991634</v>
      </c>
      <c r="L860" s="66">
        <v>57.98354517111332</v>
      </c>
      <c r="M860" s="66">
        <v>15456135.126530284</v>
      </c>
      <c r="N860" s="66" t="s">
        <v>1035</v>
      </c>
      <c r="O860" s="25">
        <f t="shared" si="23"/>
        <v>-4.8340315823391933E-4</v>
      </c>
    </row>
    <row r="861" spans="1:15">
      <c r="A861" s="65">
        <v>360.51539170166228</v>
      </c>
      <c r="B861" s="65">
        <v>361.08888810518891</v>
      </c>
      <c r="C861" s="65">
        <v>358.77740599063588</v>
      </c>
      <c r="D861" s="65">
        <v>360.84588115454204</v>
      </c>
      <c r="E861" s="65">
        <v>3412188.4077503812</v>
      </c>
      <c r="F861" s="65" t="s">
        <v>1036</v>
      </c>
      <c r="G861" s="25">
        <f t="shared" si="22"/>
        <v>-9.1587425585226701E-4</v>
      </c>
      <c r="I861" s="66">
        <v>57.787339169084092</v>
      </c>
      <c r="J861" s="66">
        <v>58.011574599974637</v>
      </c>
      <c r="K861" s="66">
        <v>57.609819452962405</v>
      </c>
      <c r="L861" s="66">
        <v>57.815368597945415</v>
      </c>
      <c r="M861" s="66">
        <v>10564602.349377843</v>
      </c>
      <c r="N861" s="66" t="s">
        <v>1036</v>
      </c>
      <c r="O861" s="25">
        <f t="shared" si="23"/>
        <v>-4.848093083388294E-4</v>
      </c>
    </row>
    <row r="862" spans="1:15">
      <c r="A862" s="65">
        <v>358.3769305359699</v>
      </c>
      <c r="B862" s="65">
        <v>358.61993748661678</v>
      </c>
      <c r="C862" s="65">
        <v>356.04406380976002</v>
      </c>
      <c r="D862" s="65">
        <v>357.12301467063207</v>
      </c>
      <c r="E862" s="65">
        <v>3740704.7312032469</v>
      </c>
      <c r="F862" s="65" t="s">
        <v>1037</v>
      </c>
      <c r="G862" s="25">
        <f t="shared" si="22"/>
        <v>3.5111594991834583E-3</v>
      </c>
      <c r="I862" s="66">
        <v>57.796682312037866</v>
      </c>
      <c r="J862" s="66">
        <v>57.880770598621822</v>
      </c>
      <c r="K862" s="66">
        <v>57.544417452286005</v>
      </c>
      <c r="L862" s="66">
        <v>57.665878310685045</v>
      </c>
      <c r="M862" s="66">
        <v>10104757.089462906</v>
      </c>
      <c r="N862" s="66" t="s">
        <v>1037</v>
      </c>
      <c r="O862" s="25">
        <f t="shared" si="23"/>
        <v>2.2683084899546291E-3</v>
      </c>
    </row>
    <row r="863" spans="1:15">
      <c r="A863" s="65">
        <v>353.35154679659274</v>
      </c>
      <c r="B863" s="65">
        <v>354.01252570235221</v>
      </c>
      <c r="C863" s="65">
        <v>351.56495969543698</v>
      </c>
      <c r="D863" s="65">
        <v>353.37098735264453</v>
      </c>
      <c r="E863" s="65">
        <v>2483111.0731350011</v>
      </c>
      <c r="F863" s="65" t="s">
        <v>1038</v>
      </c>
      <c r="G863" s="25">
        <f t="shared" si="22"/>
        <v>-5.5014578863477048E-5</v>
      </c>
      <c r="I863" s="66">
        <v>57.385584022071868</v>
      </c>
      <c r="J863" s="66">
        <v>57.684564596592594</v>
      </c>
      <c r="K863" s="66">
        <v>57.245436877765279</v>
      </c>
      <c r="L863" s="66">
        <v>57.357554593210551</v>
      </c>
      <c r="M863" s="66">
        <v>11693858.32375418</v>
      </c>
      <c r="N863" s="66" t="s">
        <v>1038</v>
      </c>
      <c r="O863" s="25">
        <f t="shared" si="23"/>
        <v>4.8867893793769213E-4</v>
      </c>
    </row>
    <row r="864" spans="1:15">
      <c r="A864" s="65">
        <v>353.97364459024874</v>
      </c>
      <c r="B864" s="65">
        <v>356.18014770212227</v>
      </c>
      <c r="C864" s="65">
        <v>353.23490346028223</v>
      </c>
      <c r="D864" s="65">
        <v>355.4948681012981</v>
      </c>
      <c r="E864" s="65">
        <v>4264070.4195568245</v>
      </c>
      <c r="F864" s="65" t="s">
        <v>1039</v>
      </c>
      <c r="G864" s="25">
        <f t="shared" si="22"/>
        <v>-4.279171508647206E-3</v>
      </c>
      <c r="I864" s="66">
        <v>57.32018202139546</v>
      </c>
      <c r="J864" s="66">
        <v>57.4416428797945</v>
      </c>
      <c r="K864" s="66">
        <v>56.946456303244553</v>
      </c>
      <c r="L864" s="66">
        <v>57.123976019366232</v>
      </c>
      <c r="M864" s="66">
        <v>13675699.990055896</v>
      </c>
      <c r="N864" s="66" t="s">
        <v>1039</v>
      </c>
      <c r="O864" s="25">
        <f t="shared" si="23"/>
        <v>3.4347399411187585E-3</v>
      </c>
    </row>
    <row r="865" spans="1:15">
      <c r="A865" s="65">
        <v>353.39042790869627</v>
      </c>
      <c r="B865" s="65">
        <v>353.45846985487736</v>
      </c>
      <c r="C865" s="65">
        <v>347.71378554158554</v>
      </c>
      <c r="D865" s="65">
        <v>349.91056837543317</v>
      </c>
      <c r="E865" s="65">
        <v>3848594.6492908155</v>
      </c>
      <c r="F865" s="65" t="s">
        <v>1040</v>
      </c>
      <c r="G865" s="25">
        <f t="shared" si="22"/>
        <v>9.9449969442746422E-3</v>
      </c>
      <c r="I865" s="66">
        <v>56.899740588475687</v>
      </c>
      <c r="J865" s="66">
        <v>57.007186732444076</v>
      </c>
      <c r="K865" s="66">
        <v>55.974769436052185</v>
      </c>
      <c r="L865" s="66">
        <v>56.29243629648046</v>
      </c>
      <c r="M865" s="66">
        <v>13889980.132177835</v>
      </c>
      <c r="N865" s="66" t="s">
        <v>1040</v>
      </c>
      <c r="O865" s="25">
        <f t="shared" si="23"/>
        <v>1.0788381742738551E-2</v>
      </c>
    </row>
    <row r="866" spans="1:15">
      <c r="A866" s="65">
        <v>351.0503681767471</v>
      </c>
      <c r="B866" s="65">
        <v>356.51592735037912</v>
      </c>
      <c r="C866" s="65">
        <v>348.61090499616745</v>
      </c>
      <c r="D866" s="65">
        <v>352.83156351494813</v>
      </c>
      <c r="E866" s="65">
        <v>4945238.139291577</v>
      </c>
      <c r="F866" s="65" t="s">
        <v>1041</v>
      </c>
      <c r="G866" s="25">
        <f t="shared" si="22"/>
        <v>-5.0482879719052631E-3</v>
      </c>
      <c r="I866" s="66">
        <v>55.984112579005966</v>
      </c>
      <c r="J866" s="66">
        <v>56.423240297833281</v>
      </c>
      <c r="K866" s="66">
        <v>55.797249719930505</v>
      </c>
      <c r="L866" s="66">
        <v>56.142946009220104</v>
      </c>
      <c r="M866" s="66">
        <v>16567224.837065881</v>
      </c>
      <c r="N866" s="66" t="s">
        <v>1041</v>
      </c>
      <c r="O866" s="25">
        <f t="shared" si="23"/>
        <v>-2.8290896987851477E-3</v>
      </c>
    </row>
    <row r="867" spans="1:15">
      <c r="A867" s="65">
        <v>350.21785296432705</v>
      </c>
      <c r="B867" s="65">
        <v>359.3551914411093</v>
      </c>
      <c r="C867" s="65">
        <v>350.10168805096617</v>
      </c>
      <c r="D867" s="65">
        <v>356.02609863237382</v>
      </c>
      <c r="E867" s="65">
        <v>4230027.6889393684</v>
      </c>
      <c r="F867" s="65" t="s">
        <v>1042</v>
      </c>
      <c r="G867" s="25">
        <f t="shared" si="22"/>
        <v>-1.631410082114304E-2</v>
      </c>
      <c r="I867" s="66">
        <v>56.105573437405006</v>
      </c>
      <c r="J867" s="66">
        <v>56.871711159614364</v>
      </c>
      <c r="K867" s="66">
        <v>56.086887151497464</v>
      </c>
      <c r="L867" s="66">
        <v>56.432583440787049</v>
      </c>
      <c r="M867" s="66">
        <v>11231994.471156536</v>
      </c>
      <c r="N867" s="66" t="s">
        <v>1042</v>
      </c>
      <c r="O867" s="25">
        <f t="shared" si="23"/>
        <v>-5.7947019867549132E-3</v>
      </c>
    </row>
    <row r="868" spans="1:15">
      <c r="A868" s="65">
        <v>356.12290272684129</v>
      </c>
      <c r="B868" s="65">
        <v>356.63596442751879</v>
      </c>
      <c r="C868" s="65">
        <v>353.21877989281791</v>
      </c>
      <c r="D868" s="65">
        <v>354.70956294761658</v>
      </c>
      <c r="E868" s="65">
        <v>4253569.048553722</v>
      </c>
      <c r="F868" s="65" t="s">
        <v>1043</v>
      </c>
      <c r="G868" s="25">
        <f t="shared" si="22"/>
        <v>3.9844986627366463E-3</v>
      </c>
      <c r="I868" s="66">
        <v>56.357838297156867</v>
      </c>
      <c r="J868" s="66">
        <v>56.759593444169099</v>
      </c>
      <c r="K868" s="66">
        <v>55.946740007190876</v>
      </c>
      <c r="L868" s="66">
        <v>56.591416871001186</v>
      </c>
      <c r="M868" s="66">
        <v>14680793.248979874</v>
      </c>
      <c r="N868" s="66" t="s">
        <v>1043</v>
      </c>
      <c r="O868" s="25">
        <f t="shared" si="23"/>
        <v>-4.1274558362225378E-3</v>
      </c>
    </row>
    <row r="869" spans="1:15">
      <c r="A869" s="65">
        <v>351.52470823963756</v>
      </c>
      <c r="B869" s="65">
        <v>351.9603266647411</v>
      </c>
      <c r="C869" s="65">
        <v>348.32049271276509</v>
      </c>
      <c r="D869" s="65">
        <v>348.94971932680352</v>
      </c>
      <c r="E869" s="65">
        <v>3202088.7309083808</v>
      </c>
      <c r="F869" s="65" t="s">
        <v>1044</v>
      </c>
      <c r="G869" s="25">
        <f t="shared" si="22"/>
        <v>7.3792548617082065E-3</v>
      </c>
      <c r="I869" s="66">
        <v>56.61944629986251</v>
      </c>
      <c r="J869" s="66">
        <v>56.61944629986251</v>
      </c>
      <c r="K869" s="66">
        <v>56.030828293774825</v>
      </c>
      <c r="L869" s="66">
        <v>56.208348009896504</v>
      </c>
      <c r="M869" s="66">
        <v>13811329.938807596</v>
      </c>
      <c r="N869" s="66" t="s">
        <v>1044</v>
      </c>
      <c r="O869" s="25">
        <f t="shared" si="23"/>
        <v>7.3138297872341607E-3</v>
      </c>
    </row>
    <row r="870" spans="1:15">
      <c r="A870" s="65">
        <v>348.37857516944558</v>
      </c>
      <c r="B870" s="65">
        <v>352.16361526312278</v>
      </c>
      <c r="C870" s="65">
        <v>346.96533219431535</v>
      </c>
      <c r="D870" s="65">
        <v>351.16653309010803</v>
      </c>
      <c r="E870" s="65">
        <v>5361247.4023454525</v>
      </c>
      <c r="F870" s="65" t="s">
        <v>1045</v>
      </c>
      <c r="G870" s="25">
        <f t="shared" si="22"/>
        <v>-7.9391333112801554E-3</v>
      </c>
      <c r="I870" s="66">
        <v>56.07754400854369</v>
      </c>
      <c r="J870" s="66">
        <v>56.385867726018191</v>
      </c>
      <c r="K870" s="66">
        <v>55.71783300482344</v>
      </c>
      <c r="L870" s="66">
        <v>56.3484951542031</v>
      </c>
      <c r="M870" s="66">
        <v>29274118.072822358</v>
      </c>
      <c r="N870" s="66" t="s">
        <v>1045</v>
      </c>
      <c r="O870" s="25">
        <f t="shared" si="23"/>
        <v>-4.8084894710661574E-3</v>
      </c>
    </row>
    <row r="871" spans="1:15">
      <c r="A871" s="65">
        <v>352.23137812924995</v>
      </c>
      <c r="B871" s="65">
        <v>352.61859450711972</v>
      </c>
      <c r="C871" s="65">
        <v>343.64485494998746</v>
      </c>
      <c r="D871" s="65">
        <v>344.17727746955842</v>
      </c>
      <c r="E871" s="65">
        <v>5216558.2745037554</v>
      </c>
      <c r="F871" s="65" t="s">
        <v>1046</v>
      </c>
      <c r="G871" s="25">
        <f t="shared" si="22"/>
        <v>2.3401023794791032E-2</v>
      </c>
      <c r="I871" s="66">
        <v>56.339152011249325</v>
      </c>
      <c r="J871" s="66">
        <v>56.371853011587532</v>
      </c>
      <c r="K871" s="66">
        <v>55.778563434022963</v>
      </c>
      <c r="L871" s="66">
        <v>56.142946009220104</v>
      </c>
      <c r="M871" s="66">
        <v>16759857.017575681</v>
      </c>
      <c r="N871" s="66" t="s">
        <v>1046</v>
      </c>
      <c r="O871" s="25">
        <f t="shared" si="23"/>
        <v>3.494757863205189E-3</v>
      </c>
    </row>
    <row r="872" spans="1:15">
      <c r="A872" s="65">
        <v>346.30696754784225</v>
      </c>
      <c r="B872" s="65">
        <v>346.44249328009664</v>
      </c>
      <c r="C872" s="65">
        <v>341.29735565915189</v>
      </c>
      <c r="D872" s="65">
        <v>343.13179324930996</v>
      </c>
      <c r="E872" s="65">
        <v>6828629.549572384</v>
      </c>
      <c r="F872" s="65" t="s">
        <v>1047</v>
      </c>
      <c r="G872" s="25">
        <f t="shared" si="22"/>
        <v>9.2535123850365775E-3</v>
      </c>
      <c r="I872" s="66">
        <v>56.030828293774789</v>
      </c>
      <c r="J872" s="66">
        <v>56.072552392289104</v>
      </c>
      <c r="K872" s="66">
        <v>54.927457688618546</v>
      </c>
      <c r="L872" s="66">
        <v>55.103626104567859</v>
      </c>
      <c r="M872" s="66">
        <v>22745746.55398405</v>
      </c>
      <c r="N872" s="66" t="s">
        <v>1047</v>
      </c>
      <c r="O872" s="25">
        <f t="shared" si="23"/>
        <v>1.6826518593302975E-2</v>
      </c>
    </row>
    <row r="873" spans="1:15">
      <c r="A873" s="65">
        <v>348.45601844501954</v>
      </c>
      <c r="B873" s="65">
        <v>349.95648190926494</v>
      </c>
      <c r="C873" s="65">
        <v>344.2644011545791</v>
      </c>
      <c r="D873" s="65">
        <v>347.41053422477114</v>
      </c>
      <c r="E873" s="65">
        <v>4957239.6977627501</v>
      </c>
      <c r="F873" s="65" t="s">
        <v>1048</v>
      </c>
      <c r="G873" s="25">
        <f t="shared" si="22"/>
        <v>3.0093624609897063E-3</v>
      </c>
      <c r="I873" s="66">
        <v>55.659947418092024</v>
      </c>
      <c r="J873" s="66">
        <v>56.054008348504965</v>
      </c>
      <c r="K873" s="66">
        <v>55.029449929431308</v>
      </c>
      <c r="L873" s="66">
        <v>55.632131352415811</v>
      </c>
      <c r="M873" s="66">
        <v>21027667.133396663</v>
      </c>
      <c r="N873" s="66" t="s">
        <v>1048</v>
      </c>
      <c r="O873" s="25">
        <f t="shared" si="23"/>
        <v>5.0000000000016698E-4</v>
      </c>
    </row>
    <row r="874" spans="1:15">
      <c r="A874" s="65">
        <v>342.76393769033371</v>
      </c>
      <c r="B874" s="65">
        <v>347.20724562638952</v>
      </c>
      <c r="C874" s="65">
        <v>338.58200080934</v>
      </c>
      <c r="D874" s="65">
        <v>339.5500417540145</v>
      </c>
      <c r="E874" s="65">
        <v>6692581.585150498</v>
      </c>
      <c r="F874" s="65" t="s">
        <v>1049</v>
      </c>
      <c r="G874" s="25">
        <f t="shared" si="22"/>
        <v>9.4651613638954135E-3</v>
      </c>
      <c r="I874" s="66">
        <v>55.455962936466499</v>
      </c>
      <c r="J874" s="66">
        <v>56.43879725702584</v>
      </c>
      <c r="K874" s="66">
        <v>54.936729710510612</v>
      </c>
      <c r="L874" s="66">
        <v>54.97381779807889</v>
      </c>
      <c r="M874" s="66">
        <v>23679855.651311368</v>
      </c>
      <c r="N874" s="66" t="s">
        <v>1049</v>
      </c>
      <c r="O874" s="25">
        <f t="shared" si="23"/>
        <v>8.7704503288918989E-3</v>
      </c>
    </row>
    <row r="875" spans="1:15">
      <c r="A875" s="65">
        <v>343.34476225713837</v>
      </c>
      <c r="B875" s="65">
        <v>349.69511085420288</v>
      </c>
      <c r="C875" s="65">
        <v>341.8539792023397</v>
      </c>
      <c r="D875" s="65">
        <v>347.84615264987463</v>
      </c>
      <c r="E875" s="65">
        <v>8636413.6207187772</v>
      </c>
      <c r="F875" s="65" t="s">
        <v>1050</v>
      </c>
      <c r="G875" s="25">
        <f t="shared" si="22"/>
        <v>-1.2940750841844539E-2</v>
      </c>
      <c r="I875" s="66">
        <v>54.89964162294234</v>
      </c>
      <c r="J875" s="66">
        <v>55.76193965890478</v>
      </c>
      <c r="K875" s="66">
        <v>54.695657141316815</v>
      </c>
      <c r="L875" s="66">
        <v>55.353970695653736</v>
      </c>
      <c r="M875" s="66">
        <v>14825073.9267099</v>
      </c>
      <c r="N875" s="66" t="s">
        <v>1050</v>
      </c>
      <c r="O875" s="25">
        <f t="shared" si="23"/>
        <v>-8.2077051926298106E-3</v>
      </c>
    </row>
    <row r="876" spans="1:15">
      <c r="A876" s="65">
        <v>348.3398535316586</v>
      </c>
      <c r="B876" s="65">
        <v>357.09094367151573</v>
      </c>
      <c r="C876" s="65">
        <v>347.38149299643089</v>
      </c>
      <c r="D876" s="65">
        <v>355.60984102616385</v>
      </c>
      <c r="E876" s="65">
        <v>4555209.1822757469</v>
      </c>
      <c r="F876" s="65" t="s">
        <v>1051</v>
      </c>
      <c r="G876" s="25">
        <f t="shared" si="22"/>
        <v>-2.0443718524567944E-2</v>
      </c>
      <c r="I876" s="66">
        <v>55.131442170244071</v>
      </c>
      <c r="J876" s="66">
        <v>56.132820534587552</v>
      </c>
      <c r="K876" s="66">
        <v>54.959909765240788</v>
      </c>
      <c r="L876" s="66">
        <v>56.132820534587552</v>
      </c>
      <c r="M876" s="66">
        <v>14992261.840850387</v>
      </c>
      <c r="N876" s="66" t="s">
        <v>1051</v>
      </c>
      <c r="O876" s="25">
        <f t="shared" si="23"/>
        <v>-1.7839444995044529E-2</v>
      </c>
    </row>
    <row r="877" spans="1:15">
      <c r="A877" s="65">
        <v>354.83540827042424</v>
      </c>
      <c r="B877" s="65">
        <v>355.56018052570204</v>
      </c>
      <c r="C877" s="65">
        <v>352.79284187716115</v>
      </c>
      <c r="D877" s="65">
        <v>354.40947025476748</v>
      </c>
      <c r="E877" s="65">
        <v>3002205.6566804931</v>
      </c>
      <c r="F877" s="65" t="s">
        <v>1052</v>
      </c>
      <c r="G877" s="25">
        <f t="shared" si="22"/>
        <v>1.201824588238587E-3</v>
      </c>
      <c r="I877" s="66">
        <v>55.66921943998409</v>
      </c>
      <c r="J877" s="66">
        <v>55.93347206390807</v>
      </c>
      <c r="K877" s="66">
        <v>55.377150750383905</v>
      </c>
      <c r="L877" s="66">
        <v>55.66921943998409</v>
      </c>
      <c r="M877" s="66">
        <v>11703572.453039343</v>
      </c>
      <c r="N877" s="66" t="s">
        <v>1052</v>
      </c>
      <c r="O877" s="25">
        <f t="shared" si="23"/>
        <v>0</v>
      </c>
    </row>
    <row r="878" spans="1:15">
      <c r="A878" s="65">
        <v>354.28362493195982</v>
      </c>
      <c r="B878" s="65">
        <v>360.00474691498584</v>
      </c>
      <c r="C878" s="65">
        <v>353.70764056987849</v>
      </c>
      <c r="D878" s="65">
        <v>359.75305626937052</v>
      </c>
      <c r="E878" s="65">
        <v>3663213.85423683</v>
      </c>
      <c r="F878" s="65" t="s">
        <v>1053</v>
      </c>
      <c r="G878" s="25">
        <f t="shared" si="22"/>
        <v>-1.5203293598471501E-2</v>
      </c>
      <c r="I878" s="66">
        <v>55.641403374307878</v>
      </c>
      <c r="J878" s="66">
        <v>56.160636600263764</v>
      </c>
      <c r="K878" s="66">
        <v>55.400330805114081</v>
      </c>
      <c r="L878" s="66">
        <v>56.086460425127207</v>
      </c>
      <c r="M878" s="66">
        <v>15057344.732912598</v>
      </c>
      <c r="N878" s="66" t="s">
        <v>1053</v>
      </c>
      <c r="O878" s="25">
        <f t="shared" si="23"/>
        <v>-7.9351959001487948E-3</v>
      </c>
    </row>
    <row r="879" spans="1:15">
      <c r="A879" s="65">
        <v>359.84986036383799</v>
      </c>
      <c r="B879" s="65">
        <v>362.47325132390574</v>
      </c>
      <c r="C879" s="65">
        <v>359.43360275762797</v>
      </c>
      <c r="D879" s="65">
        <v>360.36292206451543</v>
      </c>
      <c r="E879" s="65">
        <v>2725427.0746649345</v>
      </c>
      <c r="F879" s="65" t="s">
        <v>1054</v>
      </c>
      <c r="G879" s="25">
        <f t="shared" si="22"/>
        <v>-1.4237360984257208E-3</v>
      </c>
      <c r="I879" s="66">
        <v>55.965924140530305</v>
      </c>
      <c r="J879" s="66">
        <v>55.979832173368408</v>
      </c>
      <c r="K879" s="66">
        <v>54.904277633888377</v>
      </c>
      <c r="L879" s="66">
        <v>54.946001732402685</v>
      </c>
      <c r="M879" s="66">
        <v>17561086.664309073</v>
      </c>
      <c r="N879" s="66" t="s">
        <v>1054</v>
      </c>
      <c r="O879" s="25">
        <f t="shared" si="23"/>
        <v>1.8562267971650392E-2</v>
      </c>
    </row>
    <row r="880" spans="1:15">
      <c r="A880" s="65">
        <v>359.41424193873445</v>
      </c>
      <c r="B880" s="65">
        <v>359.7917779071575</v>
      </c>
      <c r="C880" s="65">
        <v>354.98061441212542</v>
      </c>
      <c r="D880" s="65">
        <v>355.55175856948335</v>
      </c>
      <c r="E880" s="65">
        <v>5075817.3267685166</v>
      </c>
      <c r="F880" s="65" t="s">
        <v>1055</v>
      </c>
      <c r="G880" s="25">
        <f t="shared" si="22"/>
        <v>1.0863350485992074E-2</v>
      </c>
      <c r="I880" s="66">
        <v>55.112898126459932</v>
      </c>
      <c r="J880" s="66">
        <v>55.335426651869597</v>
      </c>
      <c r="K880" s="66">
        <v>54.895005611996304</v>
      </c>
      <c r="L880" s="66">
        <v>55.214890367272695</v>
      </c>
      <c r="M880" s="66">
        <v>14130430.398580505</v>
      </c>
      <c r="N880" s="66" t="s">
        <v>1055</v>
      </c>
      <c r="O880" s="25">
        <f t="shared" si="23"/>
        <v>-1.8471872376154552E-3</v>
      </c>
    </row>
    <row r="881" spans="1:15">
      <c r="A881" s="65">
        <v>353.8092848690693</v>
      </c>
      <c r="B881" s="65">
        <v>354.65148049093614</v>
      </c>
      <c r="C881" s="65">
        <v>349.00780178348396</v>
      </c>
      <c r="D881" s="65">
        <v>349.27885324799286</v>
      </c>
      <c r="E881" s="65">
        <v>2820969.5209930725</v>
      </c>
      <c r="F881" s="65" t="s">
        <v>1056</v>
      </c>
      <c r="G881" s="25">
        <f t="shared" si="22"/>
        <v>1.297081566475411E-2</v>
      </c>
      <c r="I881" s="66">
        <v>55.372514739437868</v>
      </c>
      <c r="J881" s="66">
        <v>55.428146870790286</v>
      </c>
      <c r="K881" s="66">
        <v>54.519488725367495</v>
      </c>
      <c r="L881" s="66">
        <v>54.556576812935774</v>
      </c>
      <c r="M881" s="66">
        <v>12696378.564495318</v>
      </c>
      <c r="N881" s="66" t="s">
        <v>1056</v>
      </c>
      <c r="O881" s="25">
        <f t="shared" si="23"/>
        <v>1.4955812372535515E-2</v>
      </c>
    </row>
    <row r="882" spans="1:15">
      <c r="A882" s="65">
        <v>351.18589390900149</v>
      </c>
      <c r="B882" s="65">
        <v>352.86060474328832</v>
      </c>
      <c r="C882" s="65">
        <v>349.8983994525845</v>
      </c>
      <c r="D882" s="65">
        <v>351.72799683801918</v>
      </c>
      <c r="E882" s="65">
        <v>3889013.1876250538</v>
      </c>
      <c r="F882" s="65" t="s">
        <v>1057</v>
      </c>
      <c r="G882" s="25">
        <f t="shared" si="22"/>
        <v>-1.5412561237407862E-3</v>
      </c>
      <c r="I882" s="66">
        <v>54.575120856719913</v>
      </c>
      <c r="J882" s="66">
        <v>54.871825557266128</v>
      </c>
      <c r="K882" s="66">
        <v>54.12079178400851</v>
      </c>
      <c r="L882" s="66">
        <v>54.825465447805783</v>
      </c>
      <c r="M882" s="66">
        <v>14318139.18747893</v>
      </c>
      <c r="N882" s="66" t="s">
        <v>1057</v>
      </c>
      <c r="O882" s="25">
        <f t="shared" si="23"/>
        <v>-4.5662100456620447E-3</v>
      </c>
    </row>
    <row r="883" spans="1:15">
      <c r="A883" s="65">
        <v>352.4733883654186</v>
      </c>
      <c r="B883" s="65">
        <v>355.13550096327333</v>
      </c>
      <c r="C883" s="65">
        <v>352.41530590873811</v>
      </c>
      <c r="D883" s="65">
        <v>353.34462521562557</v>
      </c>
      <c r="E883" s="65">
        <v>3121975.3840229558</v>
      </c>
      <c r="F883" s="65" t="s">
        <v>1058</v>
      </c>
      <c r="G883" s="25">
        <f t="shared" si="22"/>
        <v>-2.4656858716197716E-3</v>
      </c>
      <c r="I883" s="66">
        <v>55.177802279704416</v>
      </c>
      <c r="J883" s="66">
        <v>55.353970695653736</v>
      </c>
      <c r="K883" s="66">
        <v>54.834737469697856</v>
      </c>
      <c r="L883" s="66">
        <v>55.353970695653736</v>
      </c>
      <c r="M883" s="66">
        <v>17344887.865025111</v>
      </c>
      <c r="N883" s="66" t="s">
        <v>1058</v>
      </c>
      <c r="O883" s="25">
        <f t="shared" si="23"/>
        <v>-3.1825795644891963E-3</v>
      </c>
    </row>
    <row r="884" spans="1:15">
      <c r="A884" s="65">
        <v>353.8092848690693</v>
      </c>
      <c r="B884" s="65">
        <v>356.98445916760153</v>
      </c>
      <c r="C884" s="65">
        <v>352.94153296626314</v>
      </c>
      <c r="D884" s="65">
        <v>355.74536675841824</v>
      </c>
      <c r="E884" s="65">
        <v>3409099.602816686</v>
      </c>
      <c r="F884" s="65" t="s">
        <v>1059</v>
      </c>
      <c r="G884" s="25">
        <f t="shared" si="22"/>
        <v>-5.4423249612234326E-3</v>
      </c>
      <c r="I884" s="66">
        <v>55.465234958358565</v>
      </c>
      <c r="J884" s="66">
        <v>55.910292009177887</v>
      </c>
      <c r="K884" s="66">
        <v>55.391058783222014</v>
      </c>
      <c r="L884" s="66">
        <v>55.799027746473058</v>
      </c>
      <c r="M884" s="66">
        <v>9544650.6738401614</v>
      </c>
      <c r="N884" s="66" t="s">
        <v>1059</v>
      </c>
      <c r="O884" s="25">
        <f t="shared" si="23"/>
        <v>-5.9820538384844912E-3</v>
      </c>
    </row>
    <row r="885" spans="1:15">
      <c r="A885" s="65">
        <v>352.58955327877953</v>
      </c>
      <c r="B885" s="65">
        <v>353.36398603451903</v>
      </c>
      <c r="C885" s="65">
        <v>350.16945091709334</v>
      </c>
      <c r="D885" s="65">
        <v>351.69895560967899</v>
      </c>
      <c r="E885" s="65">
        <v>4188879.6360402266</v>
      </c>
      <c r="F885" s="65" t="s">
        <v>1060</v>
      </c>
      <c r="G885" s="25">
        <f t="shared" si="22"/>
        <v>2.5322727147616408E-3</v>
      </c>
      <c r="I885" s="66">
        <v>55.483779002142704</v>
      </c>
      <c r="J885" s="66">
        <v>55.548683155387188</v>
      </c>
      <c r="K885" s="66">
        <v>55.06190200605355</v>
      </c>
      <c r="L885" s="66">
        <v>55.335426651869597</v>
      </c>
      <c r="M885" s="66">
        <v>10500675.163771743</v>
      </c>
      <c r="N885" s="66" t="s">
        <v>1060</v>
      </c>
      <c r="O885" s="25">
        <f t="shared" si="23"/>
        <v>2.6809651474530849E-3</v>
      </c>
    </row>
    <row r="886" spans="1:15">
      <c r="A886" s="65">
        <v>356.40363460079692</v>
      </c>
      <c r="B886" s="65">
        <v>357.75889192334114</v>
      </c>
      <c r="C886" s="65">
        <v>352.49274918431206</v>
      </c>
      <c r="D886" s="65">
        <v>357.27487145100389</v>
      </c>
      <c r="E886" s="65">
        <v>2961850.9586536069</v>
      </c>
      <c r="F886" s="65" t="s">
        <v>1061</v>
      </c>
      <c r="G886" s="25">
        <f t="shared" si="22"/>
        <v>-2.4385617904461032E-3</v>
      </c>
      <c r="I886" s="66">
        <v>55.715579549444442</v>
      </c>
      <c r="J886" s="66">
        <v>56.021556271882723</v>
      </c>
      <c r="K886" s="66">
        <v>55.455962936466499</v>
      </c>
      <c r="L886" s="66">
        <v>55.641403374307878</v>
      </c>
      <c r="M886" s="66">
        <v>13182482.895618085</v>
      </c>
      <c r="N886" s="66" t="s">
        <v>1061</v>
      </c>
      <c r="O886" s="25">
        <f t="shared" si="23"/>
        <v>1.3331111481420521E-3</v>
      </c>
    </row>
    <row r="887" spans="1:15">
      <c r="A887" s="65">
        <v>354.62243926259583</v>
      </c>
      <c r="B887" s="65">
        <v>356.81989220700694</v>
      </c>
      <c r="C887" s="65">
        <v>353.18005825503087</v>
      </c>
      <c r="D887" s="65">
        <v>355.44527406556915</v>
      </c>
      <c r="E887" s="65">
        <v>3999834.9463432003</v>
      </c>
      <c r="F887" s="65" t="s">
        <v>1062</v>
      </c>
      <c r="G887" s="25">
        <f t="shared" si="22"/>
        <v>-2.3149409009205479E-3</v>
      </c>
      <c r="I887" s="66">
        <v>55.613587308631672</v>
      </c>
      <c r="J887" s="66">
        <v>55.965924140530305</v>
      </c>
      <c r="K887" s="66">
        <v>55.403946893651991</v>
      </c>
      <c r="L887" s="66">
        <v>55.493051024034777</v>
      </c>
      <c r="M887" s="66">
        <v>13383879.09827343</v>
      </c>
      <c r="N887" s="66" t="s">
        <v>1062</v>
      </c>
      <c r="O887" s="25">
        <f t="shared" si="23"/>
        <v>2.1720969089389364E-3</v>
      </c>
    </row>
    <row r="888" spans="1:15">
      <c r="A888" s="65">
        <v>355.06773809714616</v>
      </c>
      <c r="B888" s="65">
        <v>359.46748419069155</v>
      </c>
      <c r="C888" s="65">
        <v>354.76764540429707</v>
      </c>
      <c r="D888" s="65">
        <v>358.56236590742088</v>
      </c>
      <c r="E888" s="65">
        <v>3211822.8233058555</v>
      </c>
      <c r="F888" s="65" t="s">
        <v>1063</v>
      </c>
      <c r="G888" s="25">
        <f t="shared" si="22"/>
        <v>-9.7462203023755967E-3</v>
      </c>
      <c r="I888" s="66">
        <v>55.446690914574425</v>
      </c>
      <c r="J888" s="66">
        <v>55.845387855933403</v>
      </c>
      <c r="K888" s="66">
        <v>55.372514739437868</v>
      </c>
      <c r="L888" s="66">
        <v>55.622859330523745</v>
      </c>
      <c r="M888" s="66">
        <v>15399345.65104161</v>
      </c>
      <c r="N888" s="66" t="s">
        <v>1063</v>
      </c>
      <c r="O888" s="25">
        <f t="shared" si="23"/>
        <v>-3.1671945324220907E-3</v>
      </c>
    </row>
    <row r="889" spans="1:15">
      <c r="A889" s="65">
        <v>362.26028231607739</v>
      </c>
      <c r="B889" s="65">
        <v>362.48293173335247</v>
      </c>
      <c r="C889" s="65">
        <v>359.45296357652143</v>
      </c>
      <c r="D889" s="65">
        <v>361.25255169267126</v>
      </c>
      <c r="E889" s="65">
        <v>3393789.3000019803</v>
      </c>
      <c r="F889" s="65" t="s">
        <v>1064</v>
      </c>
      <c r="G889" s="25">
        <f t="shared" si="22"/>
        <v>2.7895460355487067E-3</v>
      </c>
      <c r="I889" s="66">
        <v>55.74339561512064</v>
      </c>
      <c r="J889" s="66">
        <v>55.845387855933403</v>
      </c>
      <c r="K889" s="66">
        <v>55.057265995107521</v>
      </c>
      <c r="L889" s="66">
        <v>55.16853025781235</v>
      </c>
      <c r="M889" s="66">
        <v>18134827.760040324</v>
      </c>
      <c r="N889" s="66" t="s">
        <v>1064</v>
      </c>
      <c r="O889" s="25">
        <f t="shared" si="23"/>
        <v>1.0420168067226676E-2</v>
      </c>
    </row>
    <row r="890" spans="1:15">
      <c r="A890" s="65">
        <v>363.19928203241159</v>
      </c>
      <c r="B890" s="65">
        <v>367.30377563783134</v>
      </c>
      <c r="C890" s="65">
        <v>363.10247793794412</v>
      </c>
      <c r="D890" s="65">
        <v>363.65426127640865</v>
      </c>
      <c r="E890" s="65">
        <v>3179102.099896112</v>
      </c>
      <c r="F890" s="65" t="s">
        <v>1065</v>
      </c>
      <c r="G890" s="25">
        <f t="shared" si="22"/>
        <v>-1.2511313421712522E-3</v>
      </c>
      <c r="I890" s="66">
        <v>54.908913644834406</v>
      </c>
      <c r="J890" s="66">
        <v>55.465234958358565</v>
      </c>
      <c r="K890" s="66">
        <v>54.658569053748536</v>
      </c>
      <c r="L890" s="66">
        <v>54.918185666726473</v>
      </c>
      <c r="M890" s="66">
        <v>17836761.16440773</v>
      </c>
      <c r="N890" s="66" t="s">
        <v>1065</v>
      </c>
      <c r="O890" s="25">
        <f t="shared" si="23"/>
        <v>-1.6883336147222039E-4</v>
      </c>
    </row>
    <row r="891" spans="1:15">
      <c r="A891" s="65">
        <v>368.32021862973954</v>
      </c>
      <c r="B891" s="65">
        <v>368.36862067697319</v>
      </c>
      <c r="C891" s="65">
        <v>364.30284870934048</v>
      </c>
      <c r="D891" s="65">
        <v>365.09664228397355</v>
      </c>
      <c r="E891" s="65">
        <v>2925104.579075662</v>
      </c>
      <c r="F891" s="65" t="s">
        <v>1066</v>
      </c>
      <c r="G891" s="25">
        <f t="shared" si="22"/>
        <v>8.8293782314730063E-3</v>
      </c>
      <c r="I891" s="66">
        <v>55.251978454840973</v>
      </c>
      <c r="J891" s="66">
        <v>55.567227199171327</v>
      </c>
      <c r="K891" s="66">
        <v>54.913549655780443</v>
      </c>
      <c r="L891" s="66">
        <v>55.539411133495115</v>
      </c>
      <c r="M891" s="66">
        <v>14206930.433659878</v>
      </c>
      <c r="N891" s="66" t="s">
        <v>1066</v>
      </c>
      <c r="O891" s="25">
        <f t="shared" si="23"/>
        <v>-5.1752921535892504E-3</v>
      </c>
    </row>
    <row r="892" spans="1:15">
      <c r="A892" s="65">
        <v>367.09080663000293</v>
      </c>
      <c r="B892" s="65">
        <v>369.23017711773355</v>
      </c>
      <c r="C892" s="65">
        <v>363.45097267802697</v>
      </c>
      <c r="D892" s="65">
        <v>365.88075544915984</v>
      </c>
      <c r="E892" s="65">
        <v>4873799.0122789731</v>
      </c>
      <c r="F892" s="65" t="s">
        <v>1067</v>
      </c>
      <c r="G892" s="25">
        <f t="shared" ref="G892:G939" si="24">A892/D892-1</f>
        <v>3.3072282781247964E-3</v>
      </c>
      <c r="I892" s="66">
        <v>55.251978454840973</v>
      </c>
      <c r="J892" s="66">
        <v>56.466613322702045</v>
      </c>
      <c r="K892" s="66">
        <v>55.224162389164768</v>
      </c>
      <c r="L892" s="66">
        <v>55.826843812149271</v>
      </c>
      <c r="M892" s="66">
        <v>22115649.896749333</v>
      </c>
      <c r="N892" s="66" t="s">
        <v>1067</v>
      </c>
      <c r="O892" s="25">
        <f t="shared" ref="O892:O939" si="25">I892/L892-1</f>
        <v>-1.0297292808503555E-2</v>
      </c>
    </row>
    <row r="893" spans="1:15">
      <c r="A893" s="65">
        <v>367.22633236225738</v>
      </c>
      <c r="B893" s="65">
        <v>367.31345604727807</v>
      </c>
      <c r="C893" s="65">
        <v>363.20896244185832</v>
      </c>
      <c r="D893" s="65">
        <v>363.6436128260172</v>
      </c>
      <c r="E893" s="65">
        <v>3079001.995109133</v>
      </c>
      <c r="F893" s="65" t="s">
        <v>1068</v>
      </c>
      <c r="G893" s="25">
        <f t="shared" si="24"/>
        <v>9.852282316737071E-3</v>
      </c>
      <c r="I893" s="66">
        <v>56.18845266593997</v>
      </c>
      <c r="J893" s="66">
        <v>56.336805016213077</v>
      </c>
      <c r="K893" s="66">
        <v>55.381786761329941</v>
      </c>
      <c r="L893" s="66">
        <v>55.539411133495115</v>
      </c>
      <c r="M893" s="66">
        <v>17463058.422941629</v>
      </c>
      <c r="N893" s="66" t="s">
        <v>1068</v>
      </c>
      <c r="O893" s="25">
        <f t="shared" si="25"/>
        <v>1.168614357262121E-2</v>
      </c>
    </row>
    <row r="894" spans="1:15">
      <c r="A894" s="65">
        <v>363.03471507181695</v>
      </c>
      <c r="B894" s="65">
        <v>363.39289022134648</v>
      </c>
      <c r="C894" s="65">
        <v>360.30483960783494</v>
      </c>
      <c r="D894" s="65">
        <v>361.07927236357455</v>
      </c>
      <c r="E894" s="65">
        <v>3364222.3688122826</v>
      </c>
      <c r="F894" s="65" t="s">
        <v>1069</v>
      </c>
      <c r="G894" s="25">
        <f t="shared" si="24"/>
        <v>5.4155495978551738E-3</v>
      </c>
      <c r="I894" s="66">
        <v>55.279794520517179</v>
      </c>
      <c r="J894" s="66">
        <v>55.539411133495115</v>
      </c>
      <c r="K894" s="66">
        <v>54.593664900504052</v>
      </c>
      <c r="L894" s="66">
        <v>55.372514739437868</v>
      </c>
      <c r="M894" s="66">
        <v>15552869.878720315</v>
      </c>
      <c r="N894" s="66" t="s">
        <v>1069</v>
      </c>
      <c r="O894" s="25">
        <f t="shared" si="25"/>
        <v>-1.6744809109175973E-3</v>
      </c>
    </row>
    <row r="895" spans="1:15">
      <c r="A895" s="65">
        <v>362.15379781216319</v>
      </c>
      <c r="B895" s="65">
        <v>368.82359992097025</v>
      </c>
      <c r="C895" s="65">
        <v>361.02951505901825</v>
      </c>
      <c r="D895" s="65">
        <v>368.79455869263001</v>
      </c>
      <c r="E895" s="65">
        <v>3437576.7040711897</v>
      </c>
      <c r="F895" s="65" t="s">
        <v>1070</v>
      </c>
      <c r="G895" s="25">
        <f t="shared" si="24"/>
        <v>-1.8006667191642345E-2</v>
      </c>
      <c r="I895" s="66">
        <v>55.279794520517179</v>
      </c>
      <c r="J895" s="66">
        <v>55.928836052962033</v>
      </c>
      <c r="K895" s="66">
        <v>55.256614465787003</v>
      </c>
      <c r="L895" s="66">
        <v>55.771211680796853</v>
      </c>
      <c r="M895" s="66">
        <v>13497928.656429078</v>
      </c>
      <c r="N895" s="66" t="s">
        <v>1070</v>
      </c>
      <c r="O895" s="25">
        <f t="shared" si="25"/>
        <v>-8.8113050706567497E-3</v>
      </c>
    </row>
    <row r="896" spans="1:15">
      <c r="A896" s="65">
        <v>365.28057006346165</v>
      </c>
      <c r="B896" s="65">
        <v>368.75583705484303</v>
      </c>
      <c r="C896" s="65">
        <v>364.69006508721031</v>
      </c>
      <c r="D896" s="65">
        <v>367.55546628344666</v>
      </c>
      <c r="E896" s="65">
        <v>3017953.9574975902</v>
      </c>
      <c r="F896" s="65" t="s">
        <v>1071</v>
      </c>
      <c r="G896" s="25">
        <f t="shared" si="24"/>
        <v>-6.1892596591957005E-3</v>
      </c>
      <c r="I896" s="66">
        <v>55.372514739437868</v>
      </c>
      <c r="J896" s="66">
        <v>55.557955177279261</v>
      </c>
      <c r="K896" s="66">
        <v>55.251978454840973</v>
      </c>
      <c r="L896" s="66">
        <v>55.557955177279261</v>
      </c>
      <c r="M896" s="66">
        <v>11876610.223945849</v>
      </c>
      <c r="N896" s="66" t="s">
        <v>1071</v>
      </c>
      <c r="O896" s="25">
        <f t="shared" si="25"/>
        <v>-3.3377837116156384E-3</v>
      </c>
    </row>
    <row r="897" spans="1:15">
      <c r="A897" s="65">
        <v>369.32698121220096</v>
      </c>
      <c r="B897" s="65">
        <v>370.51457384312761</v>
      </c>
      <c r="C897" s="65">
        <v>362.64749869394717</v>
      </c>
      <c r="D897" s="65">
        <v>363.78010659921631</v>
      </c>
      <c r="E897" s="65">
        <v>4653349.6592076896</v>
      </c>
      <c r="F897" s="65" t="s">
        <v>1072</v>
      </c>
      <c r="G897" s="25">
        <f t="shared" si="24"/>
        <v>1.5247877804092758E-2</v>
      </c>
      <c r="I897" s="66">
        <v>55.697035505660295</v>
      </c>
      <c r="J897" s="66">
        <v>55.854659877825476</v>
      </c>
      <c r="K897" s="66">
        <v>55.200982334434585</v>
      </c>
      <c r="L897" s="66">
        <v>55.32615462997753</v>
      </c>
      <c r="M897" s="66">
        <v>16094376.36548719</v>
      </c>
      <c r="N897" s="66" t="s">
        <v>1072</v>
      </c>
      <c r="O897" s="25">
        <f t="shared" si="25"/>
        <v>6.7035361153007234E-3</v>
      </c>
    </row>
    <row r="898" spans="1:15">
      <c r="A898" s="65">
        <v>364.62230222108309</v>
      </c>
      <c r="B898" s="65">
        <v>365.85171422081964</v>
      </c>
      <c r="C898" s="65">
        <v>363.03471507181695</v>
      </c>
      <c r="D898" s="65">
        <v>364.54001874078574</v>
      </c>
      <c r="E898" s="65">
        <v>2975182.0063443012</v>
      </c>
      <c r="F898" s="65" t="s">
        <v>1073</v>
      </c>
      <c r="G898" s="25">
        <f t="shared" si="24"/>
        <v>2.2571864834364241E-4</v>
      </c>
      <c r="I898" s="66">
        <v>55.789755724580992</v>
      </c>
      <c r="J898" s="66">
        <v>55.947380096746173</v>
      </c>
      <c r="K898" s="66">
        <v>55.372514739437868</v>
      </c>
      <c r="L898" s="66">
        <v>55.437418892682359</v>
      </c>
      <c r="M898" s="66">
        <v>12220524.424874071</v>
      </c>
      <c r="N898" s="66" t="s">
        <v>1073</v>
      </c>
      <c r="O898" s="25">
        <f t="shared" si="25"/>
        <v>6.3555778558286313E-3</v>
      </c>
    </row>
    <row r="899" spans="1:15">
      <c r="A899" s="65">
        <v>366.74231188992019</v>
      </c>
      <c r="B899" s="65">
        <v>370.95328999925403</v>
      </c>
      <c r="C899" s="65">
        <v>365.71618848856525</v>
      </c>
      <c r="D899" s="65">
        <v>366.14212650422201</v>
      </c>
      <c r="E899" s="65">
        <v>6686193.425606193</v>
      </c>
      <c r="F899" s="65" t="s">
        <v>1074</v>
      </c>
      <c r="G899" s="25">
        <f t="shared" si="24"/>
        <v>1.6392142347250171E-3</v>
      </c>
      <c r="I899" s="66">
        <v>55.474506980250631</v>
      </c>
      <c r="J899" s="66">
        <v>56.021556271882723</v>
      </c>
      <c r="K899" s="66">
        <v>54.918185666726473</v>
      </c>
      <c r="L899" s="66">
        <v>55.956652118638239</v>
      </c>
      <c r="M899" s="66">
        <v>16613895.199250963</v>
      </c>
      <c r="N899" s="66" t="s">
        <v>1074</v>
      </c>
      <c r="O899" s="25">
        <f t="shared" si="25"/>
        <v>-8.6164043082022079E-3</v>
      </c>
    </row>
    <row r="900" spans="1:15">
      <c r="A900" s="65">
        <v>370.7015993536387</v>
      </c>
      <c r="B900" s="65">
        <v>372.1246195423102</v>
      </c>
      <c r="C900" s="65">
        <v>367.27473440949109</v>
      </c>
      <c r="D900" s="65">
        <v>369.06561015713885</v>
      </c>
      <c r="E900" s="65">
        <v>5379861.2844329085</v>
      </c>
      <c r="F900" s="65" t="s">
        <v>1075</v>
      </c>
      <c r="G900" s="25">
        <f t="shared" si="24"/>
        <v>4.432786885245843E-3</v>
      </c>
      <c r="I900" s="66">
        <v>55.891747965393755</v>
      </c>
      <c r="J900" s="66">
        <v>56.577877585406881</v>
      </c>
      <c r="K900" s="66">
        <v>55.548683155387188</v>
      </c>
      <c r="L900" s="66">
        <v>56.373893103781356</v>
      </c>
      <c r="M900" s="66">
        <v>18277807.362055063</v>
      </c>
      <c r="N900" s="66" t="s">
        <v>1075</v>
      </c>
      <c r="O900" s="25">
        <f t="shared" si="25"/>
        <v>-8.5526315789473673E-3</v>
      </c>
    </row>
    <row r="901" spans="1:15">
      <c r="A901" s="65">
        <v>365.46449784294981</v>
      </c>
      <c r="B901" s="65">
        <v>368.01044552744372</v>
      </c>
      <c r="C901" s="65">
        <v>357.94281970282924</v>
      </c>
      <c r="D901" s="65">
        <v>360.53716943455686</v>
      </c>
      <c r="E901" s="65">
        <v>5104837.7934693824</v>
      </c>
      <c r="F901" s="65" t="s">
        <v>1076</v>
      </c>
      <c r="G901" s="25">
        <f t="shared" si="24"/>
        <v>1.36666308667166E-2</v>
      </c>
      <c r="I901" s="66">
        <v>56.86531026406103</v>
      </c>
      <c r="J901" s="66">
        <v>57.097110811362761</v>
      </c>
      <c r="K901" s="66">
        <v>56.206996709724109</v>
      </c>
      <c r="L901" s="66">
        <v>56.68914184811171</v>
      </c>
      <c r="M901" s="66">
        <v>13519639.131484382</v>
      </c>
      <c r="N901" s="66" t="s">
        <v>1076</v>
      </c>
      <c r="O901" s="25">
        <f t="shared" si="25"/>
        <v>3.1076218514884957E-3</v>
      </c>
    </row>
    <row r="902" spans="1:15">
      <c r="A902" s="65">
        <v>361.5052103792313</v>
      </c>
      <c r="B902" s="65">
        <v>361.60201447369877</v>
      </c>
      <c r="C902" s="65">
        <v>356.55852115194477</v>
      </c>
      <c r="D902" s="65">
        <v>356.82957261645367</v>
      </c>
      <c r="E902" s="65">
        <v>4319740.8363819132</v>
      </c>
      <c r="F902" s="65" t="s">
        <v>1077</v>
      </c>
      <c r="G902" s="25">
        <f t="shared" si="24"/>
        <v>1.3103279889313812E-2</v>
      </c>
      <c r="I902" s="66">
        <v>56.856038242168964</v>
      </c>
      <c r="J902" s="66">
        <v>56.874582285953103</v>
      </c>
      <c r="K902" s="66">
        <v>56.105004468911346</v>
      </c>
      <c r="L902" s="66">
        <v>56.540789497838603</v>
      </c>
      <c r="M902" s="66">
        <v>15470605.189434756</v>
      </c>
      <c r="N902" s="66" t="s">
        <v>1077</v>
      </c>
      <c r="O902" s="25">
        <f t="shared" si="25"/>
        <v>5.5755985569039268E-3</v>
      </c>
    </row>
    <row r="903" spans="1:15">
      <c r="A903" s="65">
        <v>356.44235623858384</v>
      </c>
      <c r="B903" s="65">
        <v>360.39196329285568</v>
      </c>
      <c r="C903" s="65">
        <v>356.10354190794783</v>
      </c>
      <c r="D903" s="65">
        <v>358.32035567125229</v>
      </c>
      <c r="E903" s="65">
        <v>3388900.0439988766</v>
      </c>
      <c r="F903" s="65" t="s">
        <v>1078</v>
      </c>
      <c r="G903" s="25">
        <f t="shared" si="24"/>
        <v>-5.2411184654869158E-3</v>
      </c>
      <c r="I903" s="66">
        <v>56.225540753508248</v>
      </c>
      <c r="J903" s="66">
        <v>56.716957913787923</v>
      </c>
      <c r="K903" s="66">
        <v>56.058644359451002</v>
      </c>
      <c r="L903" s="66">
        <v>56.132820534587552</v>
      </c>
      <c r="M903" s="66">
        <v>16859328.183177203</v>
      </c>
      <c r="N903" s="66" t="s">
        <v>1078</v>
      </c>
      <c r="O903" s="25">
        <f t="shared" si="25"/>
        <v>1.6518004625041272E-3</v>
      </c>
    </row>
    <row r="904" spans="1:15">
      <c r="A904" s="65">
        <v>360.95342704076688</v>
      </c>
      <c r="B904" s="65">
        <v>363.09279752849739</v>
      </c>
      <c r="C904" s="65">
        <v>358.91086064750374</v>
      </c>
      <c r="D904" s="65">
        <v>359.0367059703114</v>
      </c>
      <c r="E904" s="65">
        <v>5732734.7882647878</v>
      </c>
      <c r="F904" s="65" t="s">
        <v>1079</v>
      </c>
      <c r="G904" s="25">
        <f t="shared" si="24"/>
        <v>5.3385100703713384E-3</v>
      </c>
      <c r="I904" s="66">
        <v>56.086460425127207</v>
      </c>
      <c r="J904" s="66">
        <v>56.522245454054463</v>
      </c>
      <c r="K904" s="66">
        <v>55.975196162422371</v>
      </c>
      <c r="L904" s="66">
        <v>56.410981191349634</v>
      </c>
      <c r="M904" s="66">
        <v>15193059.468560096</v>
      </c>
      <c r="N904" s="66" t="s">
        <v>1079</v>
      </c>
      <c r="O904" s="25">
        <f t="shared" si="25"/>
        <v>-5.7527942143327238E-3</v>
      </c>
    </row>
    <row r="905" spans="1:15">
      <c r="A905" s="65">
        <v>359.92730363941195</v>
      </c>
      <c r="B905" s="65">
        <v>360.16931387558054</v>
      </c>
      <c r="C905" s="65">
        <v>355.86153167177918</v>
      </c>
      <c r="D905" s="65">
        <v>358.62044836410138</v>
      </c>
      <c r="E905" s="65">
        <v>3575193.8169969241</v>
      </c>
      <c r="F905" s="65" t="s">
        <v>1080</v>
      </c>
      <c r="G905" s="25">
        <f t="shared" si="24"/>
        <v>3.6441181234143638E-3</v>
      </c>
      <c r="I905" s="66">
        <v>56.383165125673429</v>
      </c>
      <c r="J905" s="66">
        <v>56.647417749597402</v>
      </c>
      <c r="K905" s="66">
        <v>56.160636600263764</v>
      </c>
      <c r="L905" s="66">
        <v>56.383165125673429</v>
      </c>
      <c r="M905" s="66">
        <v>12817952.910751356</v>
      </c>
      <c r="N905" s="66" t="s">
        <v>1080</v>
      </c>
      <c r="O905" s="25">
        <f t="shared" si="25"/>
        <v>0</v>
      </c>
    </row>
    <row r="906" spans="1:15">
      <c r="A906" s="65">
        <v>356.12290272684129</v>
      </c>
      <c r="B906" s="65">
        <v>356.39395419135013</v>
      </c>
      <c r="C906" s="65">
        <v>350.10168805096617</v>
      </c>
      <c r="D906" s="65">
        <v>352.15393485367593</v>
      </c>
      <c r="E906" s="65">
        <v>3162761.8819672936</v>
      </c>
      <c r="F906" s="65" t="s">
        <v>1081</v>
      </c>
      <c r="G906" s="25">
        <f t="shared" si="24"/>
        <v>1.1270548133487379E-2</v>
      </c>
      <c r="I906" s="66">
        <v>56.494429388378258</v>
      </c>
      <c r="J906" s="66">
        <v>56.503701410270324</v>
      </c>
      <c r="K906" s="66">
        <v>55.525503100657012</v>
      </c>
      <c r="L906" s="66">
        <v>55.817571790257198</v>
      </c>
      <c r="M906" s="66">
        <v>12150363.891651385</v>
      </c>
      <c r="N906" s="66" t="s">
        <v>1081</v>
      </c>
      <c r="O906" s="25">
        <f t="shared" si="25"/>
        <v>1.2126245847176031E-2</v>
      </c>
    </row>
    <row r="907" spans="1:15">
      <c r="A907" s="65">
        <v>355.99705740403363</v>
      </c>
      <c r="B907" s="65">
        <v>356.82957261645367</v>
      </c>
      <c r="C907" s="65">
        <v>353.74152200294213</v>
      </c>
      <c r="D907" s="65">
        <v>354.85476908931776</v>
      </c>
      <c r="E907" s="65">
        <v>2791596.796464812</v>
      </c>
      <c r="F907" s="65" t="s">
        <v>1082</v>
      </c>
      <c r="G907" s="25">
        <f t="shared" si="24"/>
        <v>3.2190304716697149E-3</v>
      </c>
      <c r="I907" s="66">
        <v>56.142092556479618</v>
      </c>
      <c r="J907" s="66">
        <v>57.347455402448638</v>
      </c>
      <c r="K907" s="66">
        <v>55.446690914574425</v>
      </c>
      <c r="L907" s="66">
        <v>55.706307527552362</v>
      </c>
      <c r="M907" s="66">
        <v>10896559.690655747</v>
      </c>
      <c r="N907" s="66" t="s">
        <v>1082</v>
      </c>
      <c r="O907" s="25">
        <f t="shared" si="25"/>
        <v>7.8229027962715136E-3</v>
      </c>
    </row>
    <row r="908" spans="1:15">
      <c r="A908" s="65">
        <v>356.37459337245662</v>
      </c>
      <c r="B908" s="65">
        <v>358.17514952955116</v>
      </c>
      <c r="C908" s="65">
        <v>352.02808953086827</v>
      </c>
      <c r="D908" s="65">
        <v>352.86060474328832</v>
      </c>
      <c r="E908" s="65">
        <v>3350357.2528026351</v>
      </c>
      <c r="F908" s="65" t="s">
        <v>1083</v>
      </c>
      <c r="G908" s="25">
        <f t="shared" si="24"/>
        <v>9.9585745247043889E-3</v>
      </c>
      <c r="I908" s="66">
        <v>55.845387855933403</v>
      </c>
      <c r="J908" s="66">
        <v>56.156000589317728</v>
      </c>
      <c r="K908" s="66">
        <v>55.678491461876156</v>
      </c>
      <c r="L908" s="66">
        <v>55.891747965393755</v>
      </c>
      <c r="M908" s="66">
        <v>13603751.314250804</v>
      </c>
      <c r="N908" s="66" t="s">
        <v>1083</v>
      </c>
      <c r="O908" s="25">
        <f t="shared" si="25"/>
        <v>-8.2946250829474266E-4</v>
      </c>
    </row>
    <row r="909" spans="1:15">
      <c r="A909" s="65">
        <v>352.08617198754877</v>
      </c>
      <c r="B909" s="65">
        <v>352.27978017648371</v>
      </c>
      <c r="C909" s="65">
        <v>345.4744523354222</v>
      </c>
      <c r="D909" s="65">
        <v>346.99427661856112</v>
      </c>
      <c r="E909" s="65">
        <v>3372855.2681188406</v>
      </c>
      <c r="F909" s="65" t="s">
        <v>1084</v>
      </c>
      <c r="G909" s="25">
        <f t="shared" si="24"/>
        <v>1.4674292090947061E-2</v>
      </c>
      <c r="I909" s="66">
        <v>55.706307527552362</v>
      </c>
      <c r="J909" s="66">
        <v>55.715579549444442</v>
      </c>
      <c r="K909" s="66">
        <v>55.075810038891653</v>
      </c>
      <c r="L909" s="66">
        <v>55.372514739437868</v>
      </c>
      <c r="M909" s="66">
        <v>15355552.613802632</v>
      </c>
      <c r="N909" s="66" t="s">
        <v>1084</v>
      </c>
      <c r="O909" s="25">
        <f t="shared" si="25"/>
        <v>6.0281312793033504E-3</v>
      </c>
    </row>
    <row r="910" spans="1:15">
      <c r="A910" s="65">
        <v>345.72614298103753</v>
      </c>
      <c r="B910" s="65">
        <v>347.87035367349154</v>
      </c>
      <c r="C910" s="65">
        <v>344.47737016240751</v>
      </c>
      <c r="D910" s="65">
        <v>346.32632836673571</v>
      </c>
      <c r="E910" s="65">
        <v>3630917.699645442</v>
      </c>
      <c r="F910" s="65" t="s">
        <v>1085</v>
      </c>
      <c r="G910" s="25">
        <f t="shared" si="24"/>
        <v>-1.7330053667263812E-3</v>
      </c>
      <c r="I910" s="66">
        <v>55.372514739437868</v>
      </c>
      <c r="J910" s="66">
        <v>56.225540753508248</v>
      </c>
      <c r="K910" s="66">
        <v>55.358606706599765</v>
      </c>
      <c r="L910" s="66">
        <v>55.377150750383905</v>
      </c>
      <c r="M910" s="66">
        <v>16063869.535014547</v>
      </c>
      <c r="N910" s="66" t="s">
        <v>1085</v>
      </c>
      <c r="O910" s="25">
        <f t="shared" si="25"/>
        <v>-8.3717036416963708E-5</v>
      </c>
    </row>
    <row r="911" spans="1:15">
      <c r="A911" s="65">
        <v>348.23336902774446</v>
      </c>
      <c r="B911" s="65">
        <v>355.90993371901294</v>
      </c>
      <c r="C911" s="65">
        <v>348.08816288604322</v>
      </c>
      <c r="D911" s="65">
        <v>354.95157318378523</v>
      </c>
      <c r="E911" s="65">
        <v>4061608.1598926638</v>
      </c>
      <c r="F911" s="65" t="s">
        <v>1086</v>
      </c>
      <c r="G911" s="25">
        <f t="shared" si="24"/>
        <v>-1.8927100662721297E-2</v>
      </c>
      <c r="I911" s="66">
        <v>55.455962936466499</v>
      </c>
      <c r="J911" s="66">
        <v>57.106382833254834</v>
      </c>
      <c r="K911" s="66">
        <v>55.337002895591247</v>
      </c>
      <c r="L911" s="66">
        <v>57.032206658118277</v>
      </c>
      <c r="M911" s="66">
        <v>21224535.73673347</v>
      </c>
      <c r="N911" s="66" t="s">
        <v>1086</v>
      </c>
      <c r="O911" s="25">
        <f t="shared" si="25"/>
        <v>-2.7637782474394301E-2</v>
      </c>
    </row>
    <row r="912" spans="1:15">
      <c r="A912" s="65">
        <v>353.98353223911073</v>
      </c>
      <c r="B912" s="65">
        <v>355.96801617569338</v>
      </c>
      <c r="C912" s="65">
        <v>353.20909948337118</v>
      </c>
      <c r="D912" s="65">
        <v>354.48691353034144</v>
      </c>
      <c r="E912" s="65">
        <v>5105159.0608720798</v>
      </c>
      <c r="F912" s="65" t="s">
        <v>1087</v>
      </c>
      <c r="G912" s="25">
        <f t="shared" si="24"/>
        <v>-1.4200278543925471E-3</v>
      </c>
      <c r="I912" s="66">
        <v>57.189831030283457</v>
      </c>
      <c r="J912" s="66">
        <v>57.838872562728305</v>
      </c>
      <c r="K912" s="66">
        <v>57.078566767578629</v>
      </c>
      <c r="L912" s="66">
        <v>57.236191139743802</v>
      </c>
      <c r="M912" s="66">
        <v>19766755.528992459</v>
      </c>
      <c r="N912" s="66" t="s">
        <v>1087</v>
      </c>
      <c r="O912" s="25">
        <f t="shared" si="25"/>
        <v>-8.0997894054746222E-4</v>
      </c>
    </row>
    <row r="913" spans="1:15">
      <c r="A913" s="65">
        <v>354.52563516812842</v>
      </c>
      <c r="B913" s="65">
        <v>355.00936522818222</v>
      </c>
      <c r="C913" s="65">
        <v>349.91776027147802</v>
      </c>
      <c r="D913" s="65">
        <v>350.1217264985209</v>
      </c>
      <c r="E913" s="65">
        <v>3114702.9643606166</v>
      </c>
      <c r="F913" s="65" t="s">
        <v>1088</v>
      </c>
      <c r="G913" s="25">
        <f t="shared" si="24"/>
        <v>1.257822161923472E-2</v>
      </c>
      <c r="I913" s="66">
        <v>56.958030482981719</v>
      </c>
      <c r="J913" s="66">
        <v>56.985846548657932</v>
      </c>
      <c r="K913" s="66">
        <v>56.174544633101867</v>
      </c>
      <c r="L913" s="66">
        <v>56.281172884860666</v>
      </c>
      <c r="M913" s="66">
        <v>15084472.58085428</v>
      </c>
      <c r="N913" s="66" t="s">
        <v>1088</v>
      </c>
      <c r="O913" s="25">
        <f t="shared" si="25"/>
        <v>1.2026359143327836E-2</v>
      </c>
    </row>
    <row r="914" spans="1:15">
      <c r="A914" s="65">
        <v>353.15101702669068</v>
      </c>
      <c r="B914" s="65">
        <v>354.44819189255446</v>
      </c>
      <c r="C914" s="65">
        <v>349.07556464961124</v>
      </c>
      <c r="D914" s="65">
        <v>352.83156351494813</v>
      </c>
      <c r="E914" s="65">
        <v>4900061.3311817646</v>
      </c>
      <c r="F914" s="65" t="s">
        <v>1089</v>
      </c>
      <c r="G914" s="25">
        <f t="shared" si="24"/>
        <v>9.0539947322199055E-4</v>
      </c>
      <c r="I914" s="66">
        <v>56.754046001356201</v>
      </c>
      <c r="J914" s="66">
        <v>57.653432124886919</v>
      </c>
      <c r="K914" s="66">
        <v>56.531517475946536</v>
      </c>
      <c r="L914" s="66">
        <v>57.588527971642435</v>
      </c>
      <c r="M914" s="66">
        <v>14999238.74413567</v>
      </c>
      <c r="N914" s="66" t="s">
        <v>1089</v>
      </c>
      <c r="O914" s="25">
        <f t="shared" si="25"/>
        <v>-1.4490420222186384E-2</v>
      </c>
    </row>
    <row r="915" spans="1:15">
      <c r="A915" s="65">
        <v>351.83448134193338</v>
      </c>
      <c r="B915" s="65">
        <v>351.89256379861388</v>
      </c>
      <c r="C915" s="65">
        <v>348.16560616161723</v>
      </c>
      <c r="D915" s="65">
        <v>348.89163687012308</v>
      </c>
      <c r="E915" s="65">
        <v>5899060.3976160996</v>
      </c>
      <c r="F915" s="65" t="s">
        <v>1090</v>
      </c>
      <c r="G915" s="25">
        <f t="shared" si="24"/>
        <v>8.4348381010515006E-3</v>
      </c>
      <c r="I915" s="66">
        <v>57.495807752721738</v>
      </c>
      <c r="J915" s="66">
        <v>58.005768956785559</v>
      </c>
      <c r="K915" s="66">
        <v>56.94041364138679</v>
      </c>
      <c r="L915" s="66">
        <v>57.838872562728305</v>
      </c>
      <c r="M915" s="66">
        <v>11672747.461109107</v>
      </c>
      <c r="N915" s="66" t="s">
        <v>1090</v>
      </c>
      <c r="O915" s="25">
        <f t="shared" si="25"/>
        <v>-5.9313882654697947E-3</v>
      </c>
    </row>
    <row r="916" spans="1:15">
      <c r="A916" s="65">
        <v>347.40085381532435</v>
      </c>
      <c r="B916" s="65">
        <v>347.47829709089831</v>
      </c>
      <c r="C916" s="65">
        <v>343.61581372164721</v>
      </c>
      <c r="D916" s="65">
        <v>344.46768975296072</v>
      </c>
      <c r="E916" s="65">
        <v>3611127.2144336384</v>
      </c>
      <c r="F916" s="65" t="s">
        <v>1091</v>
      </c>
      <c r="G916" s="25">
        <f t="shared" si="24"/>
        <v>8.5150629496402175E-3</v>
      </c>
      <c r="I916" s="66">
        <v>57.607072015426574</v>
      </c>
      <c r="J916" s="66">
        <v>58.163393328950725</v>
      </c>
      <c r="K916" s="66">
        <v>57.412359555693122</v>
      </c>
      <c r="L916" s="66">
        <v>58.042857044353831</v>
      </c>
      <c r="M916" s="66">
        <v>10930307.453942161</v>
      </c>
      <c r="N916" s="66" t="s">
        <v>1091</v>
      </c>
      <c r="O916" s="25">
        <f t="shared" si="25"/>
        <v>-7.5079872204473208E-3</v>
      </c>
    </row>
    <row r="917" spans="1:15">
      <c r="A917" s="65">
        <v>344.94202981585124</v>
      </c>
      <c r="B917" s="65">
        <v>350.16945091709334</v>
      </c>
      <c r="C917" s="65">
        <v>344.83690056925963</v>
      </c>
      <c r="D917" s="65">
        <v>347.26532808306996</v>
      </c>
      <c r="E917" s="65">
        <v>3899961.0716565126</v>
      </c>
      <c r="F917" s="65" t="s">
        <v>1092</v>
      </c>
      <c r="G917" s="25">
        <f t="shared" si="24"/>
        <v>-6.6902684470214746E-3</v>
      </c>
      <c r="I917" s="66">
        <v>58.052129066245897</v>
      </c>
      <c r="J917" s="66">
        <v>59.08132349626559</v>
      </c>
      <c r="K917" s="66">
        <v>58.019676989623662</v>
      </c>
      <c r="L917" s="66">
        <v>58.691898576798678</v>
      </c>
      <c r="M917" s="66">
        <v>10183995.583613342</v>
      </c>
      <c r="N917" s="66" t="s">
        <v>1092</v>
      </c>
      <c r="O917" s="25">
        <f t="shared" si="25"/>
        <v>-1.0900473933649235E-2</v>
      </c>
    </row>
    <row r="918" spans="1:15">
      <c r="A918" s="65">
        <v>345.19372046146657</v>
      </c>
      <c r="B918" s="65">
        <v>346.23920468171502</v>
      </c>
      <c r="C918" s="65">
        <v>337.59450224167756</v>
      </c>
      <c r="D918" s="65">
        <v>340.35351573809425</v>
      </c>
      <c r="E918" s="65">
        <v>3579163.6904006698</v>
      </c>
      <c r="F918" s="65" t="s">
        <v>1093</v>
      </c>
      <c r="G918" s="25">
        <f t="shared" si="24"/>
        <v>1.4221109815410138E-2</v>
      </c>
      <c r="I918" s="66">
        <v>58.784618795719375</v>
      </c>
      <c r="J918" s="66">
        <v>59.034963386805245</v>
      </c>
      <c r="K918" s="66">
        <v>58.024313000569691</v>
      </c>
      <c r="L918" s="66">
        <v>58.330289723007979</v>
      </c>
      <c r="M918" s="66">
        <v>10774333.92229671</v>
      </c>
      <c r="N918" s="66" t="s">
        <v>1093</v>
      </c>
      <c r="O918" s="25">
        <f t="shared" si="25"/>
        <v>7.7889047846129156E-3</v>
      </c>
    </row>
    <row r="919" spans="1:15">
      <c r="A919" s="65">
        <v>337.51715577019814</v>
      </c>
      <c r="B919" s="65">
        <v>339.58876339180148</v>
      </c>
      <c r="C919" s="65">
        <v>336.93633120339342</v>
      </c>
      <c r="D919" s="65">
        <v>339.52100052567425</v>
      </c>
      <c r="E919" s="65">
        <v>3322729.2891848423</v>
      </c>
      <c r="F919" s="65" t="s">
        <v>1094</v>
      </c>
      <c r="G919" s="25">
        <f t="shared" si="24"/>
        <v>-5.9019758788810828E-3</v>
      </c>
      <c r="I919" s="66">
        <v>57.671976168671058</v>
      </c>
      <c r="J919" s="66">
        <v>58.228297482195217</v>
      </c>
      <c r="K919" s="66">
        <v>57.560711905966222</v>
      </c>
      <c r="L919" s="66">
        <v>58.042857044353831</v>
      </c>
      <c r="M919" s="66">
        <v>10585257.57838735</v>
      </c>
      <c r="N919" s="66" t="s">
        <v>1094</v>
      </c>
      <c r="O919" s="25">
        <f t="shared" si="25"/>
        <v>-6.389776357827448E-3</v>
      </c>
    </row>
    <row r="920" spans="1:15">
      <c r="A920" s="65">
        <v>341.24411340719479</v>
      </c>
      <c r="B920" s="65">
        <v>343.23198548708376</v>
      </c>
      <c r="C920" s="65">
        <v>338.03989788032231</v>
      </c>
      <c r="D920" s="65">
        <v>340.84721661987828</v>
      </c>
      <c r="E920" s="65">
        <v>3222061.0266117426</v>
      </c>
      <c r="F920" s="65" t="s">
        <v>1095</v>
      </c>
      <c r="G920" s="25">
        <f t="shared" si="24"/>
        <v>1.1644419199090539E-3</v>
      </c>
      <c r="I920" s="66">
        <v>58.339561744900053</v>
      </c>
      <c r="J920" s="66">
        <v>58.719158321161366</v>
      </c>
      <c r="K920" s="66">
        <v>57.960336049514417</v>
      </c>
      <c r="L920" s="66">
        <v>58.552818248417644</v>
      </c>
      <c r="M920" s="66">
        <v>14439054.562038058</v>
      </c>
      <c r="N920" s="66" t="s">
        <v>1095</v>
      </c>
      <c r="O920" s="25">
        <f t="shared" si="25"/>
        <v>-3.6421219319081599E-3</v>
      </c>
    </row>
    <row r="921" spans="1:15">
      <c r="A921" s="65">
        <v>338.80465022661514</v>
      </c>
      <c r="B921" s="65">
        <v>343.69548349139393</v>
      </c>
      <c r="C921" s="65">
        <v>336.09413558152664</v>
      </c>
      <c r="D921" s="65">
        <v>341.89366888107133</v>
      </c>
      <c r="E921" s="65">
        <v>5120996.2009066427</v>
      </c>
      <c r="F921" s="65" t="s">
        <v>1096</v>
      </c>
      <c r="G921" s="25">
        <f t="shared" si="24"/>
        <v>-9.0350273655717128E-3</v>
      </c>
      <c r="I921" s="66">
        <v>58.367377810576258</v>
      </c>
      <c r="J921" s="66">
        <v>58.932971145992489</v>
      </c>
      <c r="K921" s="66">
        <v>57.648796113940882</v>
      </c>
      <c r="L921" s="66">
        <v>58.932971145992489</v>
      </c>
      <c r="M921" s="66">
        <v>13136840.207871415</v>
      </c>
      <c r="N921" s="66" t="s">
        <v>1096</v>
      </c>
      <c r="O921" s="25">
        <f t="shared" si="25"/>
        <v>-9.597230962869796E-3</v>
      </c>
    </row>
    <row r="922" spans="1:15">
      <c r="A922" s="65">
        <v>340.11150550192565</v>
      </c>
      <c r="B922" s="65">
        <v>340.25671164362683</v>
      </c>
      <c r="C922" s="65">
        <v>336.6493070632975</v>
      </c>
      <c r="D922" s="65">
        <v>338.61104203768025</v>
      </c>
      <c r="E922" s="65">
        <v>5501262.1411286136</v>
      </c>
      <c r="F922" s="65" t="s">
        <v>1097</v>
      </c>
      <c r="G922" s="25">
        <f t="shared" si="24"/>
        <v>4.4312301666713516E-3</v>
      </c>
      <c r="I922" s="66">
        <v>58.979331255452827</v>
      </c>
      <c r="J922" s="66">
        <v>59.266763934106983</v>
      </c>
      <c r="K922" s="66">
        <v>58.571362292201783</v>
      </c>
      <c r="L922" s="66">
        <v>59.266763934106983</v>
      </c>
      <c r="M922" s="66">
        <v>8250873.5301234769</v>
      </c>
      <c r="N922" s="66" t="s">
        <v>1097</v>
      </c>
      <c r="O922" s="25">
        <f t="shared" si="25"/>
        <v>-4.8498122653317655E-3</v>
      </c>
    </row>
    <row r="923" spans="1:15">
      <c r="A923" s="65">
        <v>341.0505052182599</v>
      </c>
      <c r="B923" s="65">
        <v>341.83945858816958</v>
      </c>
      <c r="C923" s="65">
        <v>337.33322799070999</v>
      </c>
      <c r="D923" s="65">
        <v>337.75916600636674</v>
      </c>
      <c r="E923" s="65">
        <v>4221489.8269352159</v>
      </c>
      <c r="F923" s="65" t="s">
        <v>1098</v>
      </c>
      <c r="G923" s="25">
        <f t="shared" si="24"/>
        <v>9.7446332865207541E-3</v>
      </c>
      <c r="I923" s="66">
        <v>59.294579999783188</v>
      </c>
      <c r="J923" s="66">
        <v>59.480020437624574</v>
      </c>
      <c r="K923" s="66">
        <v>59.062779452481458</v>
      </c>
      <c r="L923" s="66">
        <v>59.155499671402147</v>
      </c>
      <c r="M923" s="66">
        <v>7732138.7756128209</v>
      </c>
      <c r="N923" s="66" t="s">
        <v>1098</v>
      </c>
      <c r="O923" s="25">
        <f t="shared" si="25"/>
        <v>2.3510971786833146E-3</v>
      </c>
    </row>
    <row r="924" spans="1:15">
      <c r="A924" s="65">
        <v>335.10673381795874</v>
      </c>
      <c r="B924" s="65">
        <v>340.9440207143457</v>
      </c>
      <c r="C924" s="65">
        <v>334.84536276289657</v>
      </c>
      <c r="D924" s="65">
        <v>339.22090783282516</v>
      </c>
      <c r="E924" s="65">
        <v>4612040.4561001211</v>
      </c>
      <c r="F924" s="65" t="s">
        <v>1099</v>
      </c>
      <c r="G924" s="25">
        <f t="shared" si="24"/>
        <v>-1.2128303179042121E-2</v>
      </c>
      <c r="I924" s="66">
        <v>58.942243167884556</v>
      </c>
      <c r="J924" s="66">
        <v>59.943621532228043</v>
      </c>
      <c r="K924" s="66">
        <v>58.863430981801962</v>
      </c>
      <c r="L924" s="66">
        <v>59.767453116278716</v>
      </c>
      <c r="M924" s="66">
        <v>7721527.2821170865</v>
      </c>
      <c r="N924" s="66" t="s">
        <v>1099</v>
      </c>
      <c r="O924" s="25">
        <f t="shared" si="25"/>
        <v>-1.3807012100527372E-2</v>
      </c>
    </row>
    <row r="925" spans="1:15">
      <c r="A925" s="65">
        <v>339.26930988005893</v>
      </c>
      <c r="B925" s="65">
        <v>340.78913416319784</v>
      </c>
      <c r="C925" s="65">
        <v>337.7010835496863</v>
      </c>
      <c r="D925" s="65">
        <v>340.51808269868894</v>
      </c>
      <c r="E925" s="65">
        <v>4445282.0138172004</v>
      </c>
      <c r="F925" s="65" t="s">
        <v>1100</v>
      </c>
      <c r="G925" s="25">
        <f t="shared" si="24"/>
        <v>-3.6672731407776382E-3</v>
      </c>
      <c r="I925" s="66">
        <v>59.535652568976985</v>
      </c>
      <c r="J925" s="66">
        <v>59.60982874411355</v>
      </c>
      <c r="K925" s="66">
        <v>59.072051474373524</v>
      </c>
      <c r="L925" s="66">
        <v>59.276035955999049</v>
      </c>
      <c r="M925" s="66">
        <v>7895491.496047562</v>
      </c>
      <c r="N925" s="66" t="s">
        <v>1100</v>
      </c>
      <c r="O925" s="25">
        <f t="shared" si="25"/>
        <v>4.3797903957452089E-3</v>
      </c>
    </row>
    <row r="926" spans="1:15">
      <c r="A926" s="65">
        <v>340.62456720260315</v>
      </c>
      <c r="B926" s="65">
        <v>340.69997759219331</v>
      </c>
      <c r="C926" s="65">
        <v>336.24902213267461</v>
      </c>
      <c r="D926" s="65">
        <v>337.7785268252602</v>
      </c>
      <c r="E926" s="65">
        <v>4722921.0966251921</v>
      </c>
      <c r="F926" s="65" t="s">
        <v>1101</v>
      </c>
      <c r="G926" s="25">
        <f t="shared" si="24"/>
        <v>8.4257587481730845E-3</v>
      </c>
      <c r="I926" s="66">
        <v>59.174043715186286</v>
      </c>
      <c r="J926" s="66">
        <v>59.220403824646631</v>
      </c>
      <c r="K926" s="66">
        <v>58.599178357877989</v>
      </c>
      <c r="L926" s="66">
        <v>58.877339014640071</v>
      </c>
      <c r="M926" s="66">
        <v>6970713.6967917029</v>
      </c>
      <c r="N926" s="66" t="s">
        <v>1101</v>
      </c>
      <c r="O926" s="25">
        <f t="shared" si="25"/>
        <v>5.039370078740113E-3</v>
      </c>
    </row>
    <row r="927" spans="1:15">
      <c r="A927" s="65">
        <v>338.72720695104124</v>
      </c>
      <c r="B927" s="65">
        <v>340.99242276157946</v>
      </c>
      <c r="C927" s="65">
        <v>333.33521888920438</v>
      </c>
      <c r="D927" s="65">
        <v>340.73105170651735</v>
      </c>
      <c r="E927" s="65">
        <v>6675578.1721331533</v>
      </c>
      <c r="F927" s="65" t="s">
        <v>1102</v>
      </c>
      <c r="G927" s="25">
        <f t="shared" si="24"/>
        <v>-5.8810159668162276E-3</v>
      </c>
      <c r="I927" s="66">
        <v>58.728986664366964</v>
      </c>
      <c r="J927" s="66">
        <v>58.960787211668695</v>
      </c>
      <c r="K927" s="66">
        <v>58.084581142868146</v>
      </c>
      <c r="L927" s="66">
        <v>58.803162839503514</v>
      </c>
      <c r="M927" s="66">
        <v>10427183.102608379</v>
      </c>
      <c r="N927" s="66" t="s">
        <v>1102</v>
      </c>
      <c r="O927" s="25">
        <f t="shared" si="25"/>
        <v>-1.2614317250078111E-3</v>
      </c>
    </row>
    <row r="928" spans="1:15">
      <c r="A928" s="65">
        <v>343.55773126496672</v>
      </c>
      <c r="B928" s="65">
        <v>344.57572312238642</v>
      </c>
      <c r="C928" s="65">
        <v>340.46000024200845</v>
      </c>
      <c r="D928" s="65">
        <v>340.9440207143457</v>
      </c>
      <c r="E928" s="65">
        <v>3958973.0383654321</v>
      </c>
      <c r="F928" s="65" t="s">
        <v>1103</v>
      </c>
      <c r="G928" s="25">
        <f t="shared" si="24"/>
        <v>7.6660988074956915E-3</v>
      </c>
      <c r="I928" s="66">
        <v>59.155499671402147</v>
      </c>
      <c r="J928" s="66">
        <v>59.387300218703878</v>
      </c>
      <c r="K928" s="66">
        <v>58.478642073281087</v>
      </c>
      <c r="L928" s="66">
        <v>58.478642073281087</v>
      </c>
      <c r="M928" s="66">
        <v>11228713.78130066</v>
      </c>
      <c r="N928" s="66" t="s">
        <v>1103</v>
      </c>
      <c r="O928" s="25">
        <f t="shared" si="25"/>
        <v>1.1574441097193633E-2</v>
      </c>
    </row>
    <row r="929" spans="1:15">
      <c r="A929" s="65">
        <v>338.49487712431932</v>
      </c>
      <c r="B929" s="65">
        <v>339.94209833660767</v>
      </c>
      <c r="C929" s="65">
        <v>336.11156031853085</v>
      </c>
      <c r="D929" s="65">
        <v>337.31386717181647</v>
      </c>
      <c r="E929" s="65">
        <v>5235532.6785318591</v>
      </c>
      <c r="F929" s="65" t="s">
        <v>1104</v>
      </c>
      <c r="G929" s="25">
        <f t="shared" si="24"/>
        <v>3.5012196871861967E-3</v>
      </c>
      <c r="I929" s="66">
        <v>58.219025460303143</v>
      </c>
      <c r="J929" s="66">
        <v>58.552818248417644</v>
      </c>
      <c r="K929" s="66">
        <v>58.181937372734872</v>
      </c>
      <c r="L929" s="66">
        <v>58.248603210138846</v>
      </c>
      <c r="M929" s="66">
        <v>11094105.600417532</v>
      </c>
      <c r="N929" s="66" t="s">
        <v>1104</v>
      </c>
      <c r="O929" s="25">
        <f t="shared" si="25"/>
        <v>-5.0778470565204792E-4</v>
      </c>
    </row>
    <row r="930" spans="1:15">
      <c r="A930" s="65">
        <v>337.98016975403596</v>
      </c>
      <c r="B930" s="65">
        <v>341.38107052434395</v>
      </c>
      <c r="C930" s="65">
        <v>336.47722210483471</v>
      </c>
      <c r="D930" s="65">
        <v>341.17875064848994</v>
      </c>
      <c r="E930" s="65">
        <v>5748731.7303378517</v>
      </c>
      <c r="F930" s="65" t="s">
        <v>1105</v>
      </c>
      <c r="G930" s="25">
        <f t="shared" si="24"/>
        <v>-9.3750882444300077E-3</v>
      </c>
      <c r="I930" s="66">
        <v>58.265385569763495</v>
      </c>
      <c r="J930" s="66">
        <v>58.789254806665411</v>
      </c>
      <c r="K930" s="66">
        <v>57.922320759756929</v>
      </c>
      <c r="L930" s="66">
        <v>58.256113547871422</v>
      </c>
      <c r="M930" s="66">
        <v>11777069.906769782</v>
      </c>
      <c r="N930" s="66" t="s">
        <v>1105</v>
      </c>
      <c r="O930" s="25">
        <f t="shared" si="25"/>
        <v>1.591596371159909E-4</v>
      </c>
    </row>
    <row r="931" spans="1:15">
      <c r="A931" s="65">
        <v>340.91862509382048</v>
      </c>
      <c r="B931" s="65">
        <v>343.7800061951844</v>
      </c>
      <c r="C931" s="65">
        <v>338.92432917468807</v>
      </c>
      <c r="D931" s="65">
        <v>342.64219775050066</v>
      </c>
      <c r="E931" s="65">
        <v>4705150.8705297643</v>
      </c>
      <c r="F931" s="65" t="s">
        <v>1106</v>
      </c>
      <c r="G931" s="25">
        <f t="shared" si="24"/>
        <v>-5.0302404899212894E-3</v>
      </c>
      <c r="I931" s="66">
        <v>58.181937372734872</v>
      </c>
      <c r="J931" s="66">
        <v>58.543546226525571</v>
      </c>
      <c r="K931" s="66">
        <v>57.787876442321931</v>
      </c>
      <c r="L931" s="66">
        <v>58.181937372734872</v>
      </c>
      <c r="M931" s="66">
        <v>36272056.290943697</v>
      </c>
      <c r="N931" s="66" t="s">
        <v>1106</v>
      </c>
      <c r="O931" s="25">
        <f t="shared" si="25"/>
        <v>0</v>
      </c>
    </row>
    <row r="932" spans="1:15">
      <c r="A932" s="65">
        <v>345.03246256951883</v>
      </c>
      <c r="B932" s="65">
        <v>349.95557954863324</v>
      </c>
      <c r="C932" s="65">
        <v>343.42353784248922</v>
      </c>
      <c r="D932" s="65">
        <v>349.2137400038352</v>
      </c>
      <c r="E932" s="65">
        <v>5321365.0683377795</v>
      </c>
      <c r="F932" s="65" t="s">
        <v>1107</v>
      </c>
      <c r="G932" s="25">
        <f t="shared" si="24"/>
        <v>-1.1973404695561074E-2</v>
      </c>
      <c r="I932" s="66">
        <v>58.515730160849365</v>
      </c>
      <c r="J932" s="66">
        <v>59.23894786843077</v>
      </c>
      <c r="K932" s="66">
        <v>57.940864803541068</v>
      </c>
      <c r="L932" s="66">
        <v>58.960787211668695</v>
      </c>
      <c r="M932" s="66">
        <v>13172199.270200681</v>
      </c>
      <c r="N932" s="66" t="s">
        <v>1107</v>
      </c>
      <c r="O932" s="25">
        <f t="shared" si="25"/>
        <v>-7.5483566598522067E-3</v>
      </c>
    </row>
    <row r="933" spans="1:15">
      <c r="A933" s="65">
        <v>353.73221723124158</v>
      </c>
      <c r="B933" s="65">
        <v>359.16595103989226</v>
      </c>
      <c r="C933" s="65">
        <v>350.92864180869304</v>
      </c>
      <c r="D933" s="65">
        <v>355.60126751294058</v>
      </c>
      <c r="E933" s="65">
        <v>4885798.5199301215</v>
      </c>
      <c r="F933" s="65" t="s">
        <v>1108</v>
      </c>
      <c r="G933" s="25">
        <f t="shared" si="24"/>
        <v>-5.2560281766458328E-3</v>
      </c>
      <c r="I933" s="66">
        <v>59.331668087351467</v>
      </c>
      <c r="J933" s="66">
        <v>59.943621532228043</v>
      </c>
      <c r="K933" s="66">
        <v>58.942243167884556</v>
      </c>
      <c r="L933" s="66">
        <v>59.517108525192846</v>
      </c>
      <c r="M933" s="66">
        <v>13833714.101744195</v>
      </c>
      <c r="N933" s="66" t="s">
        <v>1108</v>
      </c>
      <c r="O933" s="25">
        <f t="shared" si="25"/>
        <v>-3.11575011684051E-3</v>
      </c>
    </row>
    <row r="934" spans="1:15">
      <c r="A934" s="65">
        <v>355.88066162721515</v>
      </c>
      <c r="B934" s="65">
        <v>363.39539987322149</v>
      </c>
      <c r="C934" s="65">
        <v>353.38634658632918</v>
      </c>
      <c r="D934" s="65">
        <v>363.31832563480089</v>
      </c>
      <c r="E934" s="65">
        <v>6395729.7548643742</v>
      </c>
      <c r="F934" s="65" t="s">
        <v>1109</v>
      </c>
      <c r="G934" s="25">
        <f t="shared" si="24"/>
        <v>-2.0471480469889336E-2</v>
      </c>
      <c r="I934" s="66">
        <v>59.331668087351467</v>
      </c>
      <c r="J934" s="66">
        <v>59.989981641688388</v>
      </c>
      <c r="K934" s="66">
        <v>59.155499671402147</v>
      </c>
      <c r="L934" s="66">
        <v>59.887989400875625</v>
      </c>
      <c r="M934" s="66">
        <v>18897231.050529361</v>
      </c>
      <c r="N934" s="66" t="s">
        <v>1109</v>
      </c>
      <c r="O934" s="25">
        <f t="shared" si="25"/>
        <v>-9.289363678588014E-3</v>
      </c>
    </row>
    <row r="935" spans="1:15">
      <c r="A935" s="65">
        <v>353.2697718007181</v>
      </c>
      <c r="B935" s="65">
        <v>353.2697718007181</v>
      </c>
      <c r="C935" s="65">
        <v>348.35628910140622</v>
      </c>
      <c r="D935" s="65">
        <v>349.03068868758629</v>
      </c>
      <c r="E935" s="65">
        <v>3058055.2572423751</v>
      </c>
      <c r="F935" s="65" t="s">
        <v>1110</v>
      </c>
      <c r="G935" s="25">
        <f t="shared" si="24"/>
        <v>1.2145301976371981E-2</v>
      </c>
      <c r="I935" s="66">
        <v>59.313124043567328</v>
      </c>
      <c r="J935" s="66">
        <v>59.345576120189563</v>
      </c>
      <c r="K935" s="66">
        <v>58.423009941928669</v>
      </c>
      <c r="L935" s="66">
        <v>58.691898576798678</v>
      </c>
      <c r="M935" s="66">
        <v>12562416.413148111</v>
      </c>
      <c r="N935" s="66" t="s">
        <v>1110</v>
      </c>
      <c r="O935" s="25">
        <f t="shared" si="25"/>
        <v>1.0584518167456647E-2</v>
      </c>
    </row>
    <row r="936" spans="1:15">
      <c r="A936" s="65">
        <v>348.29848342259078</v>
      </c>
      <c r="B936" s="65">
        <v>352.07531379079518</v>
      </c>
      <c r="C936" s="65">
        <v>348.1253554145386</v>
      </c>
      <c r="D936" s="65">
        <v>349.72435683337147</v>
      </c>
      <c r="E936" s="65">
        <v>4433496.9375288524</v>
      </c>
      <c r="F936" s="65" t="s">
        <v>1111</v>
      </c>
      <c r="G936" s="25">
        <f t="shared" si="24"/>
        <v>-4.077134986225972E-3</v>
      </c>
      <c r="I936" s="66">
        <v>58.543546226525571</v>
      </c>
      <c r="J936" s="66">
        <v>59.192587758970426</v>
      </c>
      <c r="K936" s="66">
        <v>58.497186117065233</v>
      </c>
      <c r="L936" s="66">
        <v>58.979331255452827</v>
      </c>
      <c r="M936" s="66">
        <v>15007358.871641451</v>
      </c>
      <c r="N936" s="66" t="s">
        <v>1111</v>
      </c>
      <c r="O936" s="25">
        <f t="shared" si="25"/>
        <v>-7.3887753497877684E-3</v>
      </c>
    </row>
    <row r="937" spans="1:15">
      <c r="A937" s="65">
        <v>350.86120185007502</v>
      </c>
      <c r="B937" s="65">
        <v>351.79572699092449</v>
      </c>
      <c r="C937" s="65">
        <v>348.37555766101138</v>
      </c>
      <c r="D937" s="65">
        <v>349.84960247080494</v>
      </c>
      <c r="E937" s="65">
        <v>3741344.5258644498</v>
      </c>
      <c r="F937" s="65" t="s">
        <v>1112</v>
      </c>
      <c r="G937" s="25">
        <f t="shared" si="24"/>
        <v>2.8915264505824378E-3</v>
      </c>
      <c r="I937" s="66">
        <v>59.16477169329422</v>
      </c>
      <c r="J937" s="66">
        <v>59.201859780862492</v>
      </c>
      <c r="K937" s="66">
        <v>58.733622675312994</v>
      </c>
      <c r="L937" s="66">
        <v>58.970059233560761</v>
      </c>
      <c r="M937" s="66">
        <v>10727081.014020603</v>
      </c>
      <c r="N937" s="66" t="s">
        <v>1112</v>
      </c>
      <c r="O937" s="25">
        <f t="shared" si="25"/>
        <v>3.3018867924528017E-3</v>
      </c>
    </row>
    <row r="938" spans="1:15">
      <c r="A938" s="65">
        <v>348.11543210634193</v>
      </c>
      <c r="B938" s="65">
        <v>350.31204790132841</v>
      </c>
      <c r="C938" s="65">
        <v>347.1327355664796</v>
      </c>
      <c r="D938" s="65">
        <v>347.84567227186994</v>
      </c>
      <c r="E938" s="65">
        <v>3464687.6241946043</v>
      </c>
      <c r="F938" s="65" t="s">
        <v>1113</v>
      </c>
      <c r="G938" s="25">
        <f t="shared" si="24"/>
        <v>7.7551585652946287E-4</v>
      </c>
      <c r="I938" s="66">
        <v>58.914427102208343</v>
      </c>
      <c r="J938" s="66">
        <v>59.08132349626559</v>
      </c>
      <c r="K938" s="66">
        <v>58.645538467338334</v>
      </c>
      <c r="L938" s="66">
        <v>58.830978905179727</v>
      </c>
      <c r="M938" s="66">
        <v>13273917.10596277</v>
      </c>
      <c r="N938" s="66" t="s">
        <v>1113</v>
      </c>
      <c r="O938" s="25">
        <f t="shared" si="25"/>
        <v>1.4184397163119478E-3</v>
      </c>
    </row>
    <row r="939" spans="1:15">
      <c r="A939" s="65">
        <v>348.78983169252194</v>
      </c>
      <c r="B939" s="65">
        <v>354.1657598223573</v>
      </c>
      <c r="C939" s="65">
        <v>346.76759636196209</v>
      </c>
      <c r="D939" s="65">
        <v>353.6647772726235</v>
      </c>
      <c r="E939" s="65">
        <v>4059504.2703200369</v>
      </c>
      <c r="F939" s="65" t="s">
        <v>1114</v>
      </c>
      <c r="G939" s="25">
        <f t="shared" si="24"/>
        <v>-1.3784085646571742E-2</v>
      </c>
      <c r="I939" s="66">
        <v>58.821706883287654</v>
      </c>
      <c r="J939" s="66">
        <v>59.229675846538704</v>
      </c>
      <c r="K939" s="66">
        <v>58.622358412608165</v>
      </c>
      <c r="L939" s="66">
        <v>58.895883058424211</v>
      </c>
      <c r="M939" s="66">
        <v>10892477.517377838</v>
      </c>
      <c r="N939" s="66" t="s">
        <v>1114</v>
      </c>
      <c r="O939" s="25">
        <f t="shared" si="25"/>
        <v>-1.2594458438287548E-3</v>
      </c>
    </row>
    <row r="940" spans="1:15">
      <c r="G940" s="25"/>
      <c r="O940" s="25"/>
    </row>
    <row r="941" spans="1:15">
      <c r="G941" s="25"/>
      <c r="O941" s="25"/>
    </row>
    <row r="942" spans="1:15">
      <c r="G942" s="25"/>
      <c r="O942" s="25"/>
    </row>
    <row r="943" spans="1:15">
      <c r="G943" s="25"/>
      <c r="O943" s="25"/>
    </row>
    <row r="944" spans="1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activeCell="Q29" sqref="Q29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A2D3-6B9C-40A7-8937-B81D02E8798B}">
  <dimension ref="B2:F19"/>
  <sheetViews>
    <sheetView workbookViewId="0">
      <selection activeCell="B21" sqref="B21"/>
    </sheetView>
  </sheetViews>
  <sheetFormatPr defaultColWidth="9.140625" defaultRowHeight="14.25"/>
  <cols>
    <col min="1" max="1" width="3" style="1" customWidth="1"/>
    <col min="2" max="16384" width="9.140625" style="1"/>
  </cols>
  <sheetData>
    <row r="2" spans="2:6">
      <c r="B2" s="1" t="s">
        <v>305</v>
      </c>
      <c r="E2" s="1" t="s">
        <v>306</v>
      </c>
      <c r="F2" s="1" t="s">
        <v>307</v>
      </c>
    </row>
    <row r="3" spans="2:6">
      <c r="B3" s="1" t="s">
        <v>308</v>
      </c>
      <c r="E3" s="1" t="s">
        <v>309</v>
      </c>
      <c r="F3" s="1" t="s">
        <v>307</v>
      </c>
    </row>
    <row r="4" spans="2:6">
      <c r="B4" s="1" t="s">
        <v>310</v>
      </c>
      <c r="E4" s="1" t="s">
        <v>311</v>
      </c>
      <c r="F4" s="1" t="s">
        <v>307</v>
      </c>
    </row>
    <row r="5" spans="2:6">
      <c r="B5" s="1" t="s">
        <v>312</v>
      </c>
      <c r="E5" s="1" t="s">
        <v>313</v>
      </c>
      <c r="F5" s="1" t="s">
        <v>307</v>
      </c>
    </row>
    <row r="6" spans="2:6">
      <c r="B6" s="1" t="s">
        <v>312</v>
      </c>
      <c r="E6" s="1" t="s">
        <v>314</v>
      </c>
      <c r="F6" s="1" t="s">
        <v>307</v>
      </c>
    </row>
    <row r="7" spans="2:6">
      <c r="B7" s="1" t="s">
        <v>315</v>
      </c>
      <c r="E7" s="1" t="s">
        <v>316</v>
      </c>
      <c r="F7" s="1" t="s">
        <v>307</v>
      </c>
    </row>
    <row r="8" spans="2:6">
      <c r="B8" s="1" t="s">
        <v>317</v>
      </c>
      <c r="E8" s="1" t="s">
        <v>318</v>
      </c>
      <c r="F8" s="1" t="s">
        <v>307</v>
      </c>
    </row>
    <row r="9" spans="2:6">
      <c r="B9" s="1" t="s">
        <v>319</v>
      </c>
      <c r="E9" s="1" t="s">
        <v>320</v>
      </c>
      <c r="F9" s="1" t="s">
        <v>307</v>
      </c>
    </row>
    <row r="10" spans="2:6">
      <c r="B10" s="1" t="s">
        <v>321</v>
      </c>
      <c r="E10" s="1" t="s">
        <v>322</v>
      </c>
      <c r="F10" s="1" t="s">
        <v>307</v>
      </c>
    </row>
    <row r="11" spans="2:6">
      <c r="B11" s="1" t="s">
        <v>323</v>
      </c>
      <c r="E11" s="1" t="s">
        <v>324</v>
      </c>
      <c r="F11" s="1" t="s">
        <v>307</v>
      </c>
    </row>
    <row r="12" spans="2:6">
      <c r="B12" s="1" t="s">
        <v>325</v>
      </c>
      <c r="E12" s="1" t="s">
        <v>326</v>
      </c>
      <c r="F12" s="1" t="s">
        <v>307</v>
      </c>
    </row>
    <row r="13" spans="2:6">
      <c r="B13" s="1" t="s">
        <v>327</v>
      </c>
      <c r="E13" s="1" t="s">
        <v>328</v>
      </c>
      <c r="F13" s="1" t="s">
        <v>307</v>
      </c>
    </row>
    <row r="14" spans="2:6">
      <c r="B14" s="1" t="s">
        <v>329</v>
      </c>
      <c r="E14" s="1" t="s">
        <v>330</v>
      </c>
      <c r="F14" s="1" t="s">
        <v>307</v>
      </c>
    </row>
    <row r="15" spans="2:6">
      <c r="B15" s="1" t="s">
        <v>331</v>
      </c>
      <c r="E15" s="1" t="s">
        <v>332</v>
      </c>
      <c r="F15" s="1" t="s">
        <v>307</v>
      </c>
    </row>
    <row r="16" spans="2:6">
      <c r="B16" s="1" t="s">
        <v>333</v>
      </c>
      <c r="E16" s="1" t="s">
        <v>334</v>
      </c>
      <c r="F16" s="1" t="s">
        <v>307</v>
      </c>
    </row>
    <row r="17" spans="2:6">
      <c r="B17" s="1" t="s">
        <v>335</v>
      </c>
      <c r="E17" s="1" t="s">
        <v>336</v>
      </c>
      <c r="F17" s="1" t="s">
        <v>307</v>
      </c>
    </row>
    <row r="18" spans="2:6">
      <c r="B18" s="1" t="s">
        <v>337</v>
      </c>
      <c r="E18" s="1" t="s">
        <v>338</v>
      </c>
      <c r="F18" s="1" t="s">
        <v>307</v>
      </c>
    </row>
    <row r="19" spans="2:6">
      <c r="B19" s="1" t="s">
        <v>339</v>
      </c>
      <c r="E19" s="1" t="s">
        <v>340</v>
      </c>
      <c r="F19" s="1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Notes | Quant Analysis</vt:lpstr>
      <vt:lpstr>Management</vt:lpstr>
      <vt:lpstr>Debt</vt:lpstr>
      <vt:lpstr>Product Lines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2025-12-07T10:30:01Z</dcterms:modified>
</cp:coreProperties>
</file>