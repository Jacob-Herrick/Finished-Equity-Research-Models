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User\OneDrive\Desktop\Equity Research\Models\"/>
    </mc:Choice>
  </mc:AlternateContent>
  <xr:revisionPtr revIDLastSave="0" documentId="13_ncr:1_{06F8E2AC-1457-4ABA-AE79-1111B85E5F11}" xr6:coauthVersionLast="47" xr6:coauthVersionMax="47" xr10:uidLastSave="{00000000-0000-0000-0000-000000000000}"/>
  <bookViews>
    <workbookView xWindow="28695" yWindow="2400" windowWidth="21600" windowHeight="13185" activeTab="3" xr2:uid="{00000000-000D-0000-FFFF-FFFF00000000}"/>
  </bookViews>
  <sheets>
    <sheet name="Master" sheetId="2" r:id="rId1"/>
    <sheet name="Hedge Funds" sheetId="3" r:id="rId2"/>
    <sheet name="Analysts" sheetId="4" r:id="rId3"/>
    <sheet name="Price Target | Recs"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7" i="1" l="1"/>
  <c r="H109" i="1"/>
  <c r="H116" i="1"/>
  <c r="H68" i="1"/>
  <c r="H142" i="1"/>
  <c r="H52" i="1"/>
  <c r="H127" i="1"/>
  <c r="H136" i="1"/>
  <c r="H135" i="1"/>
  <c r="H66" i="1"/>
  <c r="H39" i="1"/>
  <c r="H65" i="1"/>
  <c r="H132" i="1"/>
  <c r="H73" i="1"/>
  <c r="H102" i="1" l="1"/>
  <c r="H43" i="1"/>
  <c r="H44" i="1"/>
  <c r="H96" i="1"/>
  <c r="H95" i="1" l="1"/>
  <c r="H94" i="1"/>
  <c r="H72" i="1"/>
  <c r="H37" i="1"/>
  <c r="H16" i="1"/>
  <c r="H14" i="1"/>
  <c r="H117" i="1"/>
  <c r="H91" i="1" l="1"/>
  <c r="H92" i="1"/>
  <c r="H93" i="1" l="1"/>
  <c r="H35" i="1" l="1"/>
  <c r="H79" i="1"/>
  <c r="H75" i="1"/>
  <c r="H89" i="1"/>
  <c r="H57" i="1"/>
  <c r="H51" i="1" l="1"/>
  <c r="H55" i="1"/>
  <c r="H63" i="1"/>
  <c r="H69" i="1" l="1"/>
  <c r="H80" i="1"/>
  <c r="H49" i="1"/>
  <c r="H50" i="1"/>
  <c r="H56" i="1"/>
  <c r="H67" i="1"/>
  <c r="H32" i="1"/>
  <c r="H54" i="1"/>
  <c r="H64" i="1"/>
  <c r="H40" i="1" l="1"/>
  <c r="H61" i="1"/>
  <c r="H53" i="1"/>
  <c r="H48" i="1"/>
  <c r="H17" i="1"/>
  <c r="H7" i="1"/>
  <c r="H6" i="1"/>
  <c r="H9" i="1"/>
  <c r="H23" i="1"/>
  <c r="H21" i="1"/>
  <c r="H25" i="1" l="1"/>
  <c r="H20" i="1"/>
  <c r="H29" i="1"/>
  <c r="H59" i="1"/>
  <c r="H24" i="1"/>
  <c r="H27" i="1"/>
  <c r="H45" i="1"/>
  <c r="H30" i="1" l="1"/>
  <c r="H46" i="1"/>
  <c r="H26" i="1"/>
  <c r="H11" i="1"/>
  <c r="H34" i="1"/>
  <c r="H28" i="1"/>
  <c r="H47" i="1"/>
  <c r="H41" i="1"/>
  <c r="H10" i="1"/>
  <c r="H31" i="1"/>
  <c r="H15" i="1"/>
  <c r="H33" i="1"/>
  <c r="H8" i="1"/>
  <c r="H22" i="1"/>
  <c r="H5" i="1" l="1"/>
  <c r="H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1DEB2C-9052-4191-AB33-B63F011239E7}" keepAlive="1" name="Query - Table 1" description="Connection to the 'Table 1' query in the workbook." type="5" refreshedVersion="0" background="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<sst xmlns="http://schemas.openxmlformats.org/spreadsheetml/2006/main" count="960" uniqueCount="474">
  <si>
    <t>Date</t>
  </si>
  <si>
    <t>Direction</t>
  </si>
  <si>
    <t>Current Price</t>
  </si>
  <si>
    <t>Notes</t>
  </si>
  <si>
    <t>Ticker</t>
  </si>
  <si>
    <t>Conviction / Size (1-10)</t>
  </si>
  <si>
    <t>Entry Price</t>
  </si>
  <si>
    <t>% Change</t>
  </si>
  <si>
    <t>CHGG</t>
  </si>
  <si>
    <t>Long</t>
  </si>
  <si>
    <t>Closed 80% of position at 2.41, exited remaining position at 2.58</t>
  </si>
  <si>
    <t>LULU</t>
  </si>
  <si>
    <t xml:space="preserve">Closed half of the position at 400 in Dec, excited remaining half for 376 in Jan </t>
  </si>
  <si>
    <t>NVDA</t>
  </si>
  <si>
    <t>DJT</t>
  </si>
  <si>
    <t>Short</t>
  </si>
  <si>
    <t>Entry during Yen carry trade vol of early August</t>
  </si>
  <si>
    <t>BA</t>
  </si>
  <si>
    <t>MSTR</t>
  </si>
  <si>
    <t>Closed (Y/N)</t>
  </si>
  <si>
    <t>N</t>
  </si>
  <si>
    <t>Y</t>
  </si>
  <si>
    <t>EUAD</t>
  </si>
  <si>
    <t>UNF</t>
  </si>
  <si>
    <t>OPRA</t>
  </si>
  <si>
    <t>Beverage Companies</t>
  </si>
  <si>
    <t>Energy:</t>
  </si>
  <si>
    <t>Financials:</t>
  </si>
  <si>
    <t>Health Care:</t>
  </si>
  <si>
    <t>Industrial:</t>
  </si>
  <si>
    <t>Materials:</t>
  </si>
  <si>
    <t>Real Estate:</t>
  </si>
  <si>
    <t>Technology:</t>
  </si>
  <si>
    <t>Utilities:</t>
  </si>
  <si>
    <t>Indexes:</t>
  </si>
  <si>
    <t>QQQ</t>
  </si>
  <si>
    <t>DJIA</t>
  </si>
  <si>
    <t>Med-Devices</t>
  </si>
  <si>
    <t>Fin-Tech</t>
  </si>
  <si>
    <t>E-Commerce</t>
  </si>
  <si>
    <t>Vehicles</t>
  </si>
  <si>
    <t>Chemicals</t>
  </si>
  <si>
    <t>Nuclear</t>
  </si>
  <si>
    <t>Telecom</t>
  </si>
  <si>
    <t>Interactive Media</t>
  </si>
  <si>
    <t>Tobacco</t>
  </si>
  <si>
    <t>Home REITs</t>
  </si>
  <si>
    <t>Office REITs</t>
  </si>
  <si>
    <t>Personal Products</t>
  </si>
  <si>
    <t>Areo &amp; Defense</t>
  </si>
  <si>
    <t>Clothing &amp; Footwear</t>
  </si>
  <si>
    <t>Home Builders</t>
  </si>
  <si>
    <t>Semis &amp; Hardware</t>
  </si>
  <si>
    <t>BB &amp; IB Fin.</t>
  </si>
  <si>
    <t>PE</t>
  </si>
  <si>
    <t>Insurance</t>
  </si>
  <si>
    <t>Goals:</t>
  </si>
  <si>
    <t>Focus on Med-device watchlist and work on models for all companies &gt; $10b</t>
  </si>
  <si>
    <t>Focus on Fin-Tech watchlist and work on models for all companies &gt; $10b</t>
  </si>
  <si>
    <t>SECTORS</t>
  </si>
  <si>
    <t>Staples:</t>
  </si>
  <si>
    <t xml:space="preserve"> Discretionary:</t>
  </si>
  <si>
    <t>Communications:</t>
  </si>
  <si>
    <t>Trad Media</t>
  </si>
  <si>
    <t>Updated:</t>
  </si>
  <si>
    <t>Financial Resources:</t>
  </si>
  <si>
    <t>U.S. margin/ROIC by sector (Jan. '25)</t>
  </si>
  <si>
    <t>Closed after tariff bounce… too spooked</t>
  </si>
  <si>
    <t>HIMS</t>
  </si>
  <si>
    <t>XYZ</t>
  </si>
  <si>
    <t>BK</t>
  </si>
  <si>
    <t>AMZN</t>
  </si>
  <si>
    <t>Cintas deal fell through and Trump tariffs went into effect, resulting in a gap-down in stock price. Shouldn’t chase losers, but I bought a share to keep an eye on price movements. Closed after tariff bounce… too spooked</t>
  </si>
  <si>
    <t>PEN</t>
  </si>
  <si>
    <t>CRM</t>
  </si>
  <si>
    <t>GOOGL</t>
  </si>
  <si>
    <t>GLD</t>
  </si>
  <si>
    <t>BSX</t>
  </si>
  <si>
    <t>Finish by YE 2025</t>
  </si>
  <si>
    <t>S&amp;P 500</t>
  </si>
  <si>
    <t>RNMBY</t>
  </si>
  <si>
    <t>META</t>
  </si>
  <si>
    <t>5/2/205</t>
  </si>
  <si>
    <t>MU</t>
  </si>
  <si>
    <t>UBER</t>
  </si>
  <si>
    <t>IOT</t>
  </si>
  <si>
    <t>HOOD</t>
  </si>
  <si>
    <t>Exited 50% of position to book some quick profits after NOVO deal; still could be a decent long … Closed remaining position after 5/5/2025 earnings call after price went parabolic on a decent beat</t>
  </si>
  <si>
    <t>COKE</t>
  </si>
  <si>
    <t>BL</t>
  </si>
  <si>
    <t>QTWO</t>
  </si>
  <si>
    <t>CEG</t>
  </si>
  <si>
    <t>Exiting … Going long Affirm</t>
  </si>
  <si>
    <t>SMCI</t>
  </si>
  <si>
    <t>Took Profits, eToro IPO on Wednesday … I want to see how the cards fall before taking on a new position</t>
  </si>
  <si>
    <t>SYK</t>
  </si>
  <si>
    <t>SRPT</t>
  </si>
  <si>
    <t>Closed 5/12/2025 … Keep an eye on the company but I made a mistake taking a position at ~$105</t>
  </si>
  <si>
    <t>TLN</t>
  </si>
  <si>
    <t>TLT</t>
  </si>
  <si>
    <t>Country Default Spreads and Risk Premiums (Jan. '25)</t>
  </si>
  <si>
    <t>AMD</t>
  </si>
  <si>
    <t>EL</t>
  </si>
  <si>
    <t>QBTS</t>
  </si>
  <si>
    <t>MDT</t>
  </si>
  <si>
    <t>UNH</t>
  </si>
  <si>
    <t>What a dog of a company … should stay short but it's still a crazy AI momentum stock, operated by shady managers</t>
  </si>
  <si>
    <t>Software</t>
  </si>
  <si>
    <t>DAX</t>
  </si>
  <si>
    <t>Reiterate</t>
  </si>
  <si>
    <t>MSFT</t>
  </si>
  <si>
    <t>https://www.longtermtrends.net/bond-yield-credit-spreads/</t>
  </si>
  <si>
    <t>&lt;- Credit spread charting between treasuries and graded corporate debt</t>
  </si>
  <si>
    <t>Sold 5/29/25 after quarterly earnings report … print was in line with estimates, but it was razor close and definitely not the strong 5+% top line beat we normally see … Definitely bullish for long-run, but print didn’t meet my personal expectations and I am more than comfortable selling any perceived weakness in the Semi space ... will continue to track and may re-enter on any weakness ... definitely a fun stock to trade but cannot forget that this is going to be a $10T company</t>
  </si>
  <si>
    <t>Saylor is absolutely nuts and loves to catch the top of bubbles… The company is a prime example of the greater fool theory, being essentially a levered BTC fund trading at 2x NAV … LT short MSTR
Is MSTR a pyramid scheme -- Marc Meldrum --&gt; https://www.youtube.com/watch?v=P5LKZ1-6BWM</t>
  </si>
  <si>
    <t>Feels a bit toppy… META just announced big partnership deal … will look into and reevaluate an entry into a new position</t>
  </si>
  <si>
    <t>PYPL</t>
  </si>
  <si>
    <t>STX</t>
  </si>
  <si>
    <t>Quick in and out</t>
  </si>
  <si>
    <t>Took the loss on this one after the rough earnings call … is LULU the next NIKE</t>
  </si>
  <si>
    <t>CRCL</t>
  </si>
  <si>
    <t>Quick momentum trade</t>
  </si>
  <si>
    <t>Quick in &amp; out … wait till after earnings</t>
  </si>
  <si>
    <t>WK</t>
  </si>
  <si>
    <t>Methods of Publicly offering a stock:</t>
  </si>
  <si>
    <t>The underwriter also advises on structuring the offering (primary vs. secondary shares, stock splits, etc.) and helps prepare the registration statement (Form S-1) for the SEC</t>
  </si>
  <si>
    <t>A company issues new shares to the public, usually with underwriters setting the price and allocating shares -- Most common route for large, established firms</t>
  </si>
  <si>
    <t>Investors bid for shares and set their own price; all winning bidders pay the lowest price that clears the offering -- Democratizes access and pricing</t>
  </si>
  <si>
    <t>Company lists existing shares directly on an exchange without issuing new shares or raising new capital -- No underwriters, no dilution; Spotify Slack and Palantir used this route</t>
  </si>
  <si>
    <t>A public shell company raises funds, then merges with a private company, which becomes public through the merger -- Popular alternative for crumby company who wouldn't normally pass regulatory approval have been using this method in recent years (SPAC-mania during COVID era)</t>
  </si>
  <si>
    <t>A private company merges with an already public (often dormant) shell company to become public -- Fast and less costly than an IPO</t>
  </si>
  <si>
    <t>In Canada, a CPC is a shell company that raises capital and then merges with a private operating company, similar to a SPAC but for smaller deals -- Only used on Canadian exchanges</t>
  </si>
  <si>
    <t>Smaller or high-growth companies list on alternative markets like AIM (UK), which have less stringent requirements than main exchanges -- Offers access to public markets with lower regulatory hurdles</t>
  </si>
  <si>
    <t>Companies list shares on OTC markets, which have lower requirements and less visibility than major exchanges -- Used by smaller or riskier companies; less liquidity and regulation</t>
  </si>
  <si>
    <t xml:space="preserve">An underwriter, typically an investment bank or a syndicate of banks, conducts thorough due diligence on the company ... This includes evaluating financial health, business model, management, industry prospects, and potential risks to ensure the company is ready for public scrutiny and to accurately price the shares (When an IPO is conducted, Price is said to be "Discovered," if underwriters did their job properly ... that is what makes post IPO investor sentiment / price volatility very interesting to watch </t>
  </si>
  <si>
    <t>Pricing and Marketing:</t>
  </si>
  <si>
    <t>Underwriters reach out to a network of institutional investors (Hedge, Pension, mutual, PE funds, insurance companies, etc) to gauge demand/interest and determine what price investors are willing to pay for The Company's equity</t>
  </si>
  <si>
    <t>The underwriter(s) organizes a "roadshow," where The Company's management meets with institutional investors to present the business and generate interest. Feedback from these meetings is crucial in refining the offering price and allocation strategy</t>
  </si>
  <si>
    <t>The final IPO price is set based on investor demand and market conditions, balancing the company’s fundraising goals with the likelihood of a successful market debut</t>
  </si>
  <si>
    <t>Risk Management and Commitment:</t>
  </si>
  <si>
    <t>In a "firm commitment" underwriting, the underwriter agrees to purchase the entire offering from the company and then resell it to the public, assuming the risk of any unsold shares</t>
  </si>
  <si>
    <t>If demand falls short, the underwriter buys the remaining shares at the agreed-upon price, ensuring the issuer raises the targeted capital</t>
  </si>
  <si>
    <t xml:space="preserve">Allocation and First Day Trading:
</t>
  </si>
  <si>
    <t>Shares are allocated to institutional investors, often based on their level of interest and relationship with the underwriter</t>
  </si>
  <si>
    <t>On the IPO day, the underwriter manages the sale and distribution of shares, aiming for a smooth trading debut and a positive aftermarket performance</t>
  </si>
  <si>
    <t>Regulatory and Legal Compliance:</t>
  </si>
  <si>
    <t>The underwriter ensures all regulatory requirements are met, including full and accurate disclosure in the prospectus and other filings, and manages communication with the SEC and the stock exchange (taking on liability for any errors in the transaction)</t>
  </si>
  <si>
    <t>Firm[1][2][3]</t>
  </si>
  <si>
    <t>Founder</t>
  </si>
  <si>
    <t>Status</t>
  </si>
  <si>
    <t>Years Active</t>
  </si>
  <si>
    <t>Archegos Capital Management</t>
  </si>
  <si>
    <t>Bill Hwang</t>
  </si>
  <si>
    <t>Inactive</t>
  </si>
  <si>
    <t>2013–2021</t>
  </si>
  <si>
    <t>Argonaut Capital</t>
  </si>
  <si>
    <t>David Gerstenhaber</t>
  </si>
  <si>
    <t>Active</t>
  </si>
  <si>
    <t>1993–1997,  2000–Present</t>
  </si>
  <si>
    <t>Bamboo Capital</t>
  </si>
  <si>
    <t>Quinn Riordan &amp; Paul Spieldenner</t>
  </si>
  <si>
    <t>1999–2004</t>
  </si>
  <si>
    <t>Banyan Fund Management</t>
  </si>
  <si>
    <t>RJ McCreary &amp; Sri Wijegoonaratna</t>
  </si>
  <si>
    <t>1997-2004</t>
  </si>
  <si>
    <t>Blue Ridge Capital</t>
  </si>
  <si>
    <t>John Griffin</t>
  </si>
  <si>
    <t>1996–2017</t>
  </si>
  <si>
    <t>Bluestem Asset Management</t>
  </si>
  <si>
    <t>Michael Bills</t>
  </si>
  <si>
    <t>2004–Present</t>
  </si>
  <si>
    <t>Bowman Capital</t>
  </si>
  <si>
    <t>Lawrence Bowman</t>
  </si>
  <si>
    <t>1999–2005</t>
  </si>
  <si>
    <t>Claiborne Capital</t>
  </si>
  <si>
    <t>Kevin Becker</t>
  </si>
  <si>
    <t>2001–2005</t>
  </si>
  <si>
    <t>Coatue Management</t>
  </si>
  <si>
    <t>Philippe Laffont</t>
  </si>
  <si>
    <t>1999–Present</t>
  </si>
  <si>
    <t>Deerfield Management</t>
  </si>
  <si>
    <t>Arnold Snider</t>
  </si>
  <si>
    <t>1994–Present</t>
  </si>
  <si>
    <t>Discovery Capital Management</t>
  </si>
  <si>
    <t>Robert Citrone</t>
  </si>
  <si>
    <t>Duff Capital[4]</t>
  </si>
  <si>
    <t>Phil Duff</t>
  </si>
  <si>
    <t>2008–2009</t>
  </si>
  <si>
    <t>Elmwood Advisors</t>
  </si>
  <si>
    <t>Quinn Riordan</t>
  </si>
  <si>
    <t>2005–Present</t>
  </si>
  <si>
    <t>Egerton Capital</t>
  </si>
  <si>
    <t>William Bollinger</t>
  </si>
  <si>
    <t>Energy Income Partners</t>
  </si>
  <si>
    <t>James Murchie</t>
  </si>
  <si>
    <t>2003–Present</t>
  </si>
  <si>
    <t>Philip Duff &amp; Gil Caffray</t>
  </si>
  <si>
    <t>2000–2010</t>
  </si>
  <si>
    <t>Healthcor</t>
  </si>
  <si>
    <t>Arthur Cohen</t>
  </si>
  <si>
    <t>Intrepid Capital Partners</t>
  </si>
  <si>
    <t>Steve Shapiro</t>
  </si>
  <si>
    <t>1998–2010</t>
  </si>
  <si>
    <t>Joho Capital</t>
  </si>
  <si>
    <t>Robert Karr</t>
  </si>
  <si>
    <t>1996–2004</t>
  </si>
  <si>
    <t>David Saunders</t>
  </si>
  <si>
    <t>Karst Peak Capital</t>
  </si>
  <si>
    <t>Adam Letizes</t>
  </si>
  <si>
    <t>2012–Present</t>
  </si>
  <si>
    <t>Kelusa Capital</t>
  </si>
  <si>
    <t>RJ McCreary</t>
  </si>
  <si>
    <t>2005-2013</t>
  </si>
  <si>
    <t>Light Street Capital</t>
  </si>
  <si>
    <t>Glen Kacher</t>
  </si>
  <si>
    <t>2010–Present</t>
  </si>
  <si>
    <t>Lone Pine Capital</t>
  </si>
  <si>
    <t>Stephen Mandel</t>
  </si>
  <si>
    <t>1997–Present</t>
  </si>
  <si>
    <t>Longhorn Capital Partners</t>
  </si>
  <si>
    <t>Kris Kristynik</t>
  </si>
  <si>
    <t>2006–Present</t>
  </si>
  <si>
    <t>Matrix Capital</t>
  </si>
  <si>
    <t>David Goel</t>
  </si>
  <si>
    <t>Maverick Capital</t>
  </si>
  <si>
    <t>Lee Ainslie</t>
  </si>
  <si>
    <t>1993–Present</t>
  </si>
  <si>
    <t>Merchants' Gate Capital</t>
  </si>
  <si>
    <t>Jason Capello</t>
  </si>
  <si>
    <t>2007–2014</t>
  </si>
  <si>
    <t>Millgate Capital</t>
  </si>
  <si>
    <t>James Lyle</t>
  </si>
  <si>
    <t>1997–2011</t>
  </si>
  <si>
    <t>David Snoddy</t>
  </si>
  <si>
    <t>2000–Present</t>
  </si>
  <si>
    <t>Tom McAuley</t>
  </si>
  <si>
    <t>1997–2007</t>
  </si>
  <si>
    <t>Dwight W. Anderson</t>
  </si>
  <si>
    <t>Pantera Capital</t>
  </si>
  <si>
    <t>Dan Morehead</t>
  </si>
  <si>
    <t>Ridgefield Capital Management</t>
  </si>
  <si>
    <t>Robert Ellis</t>
  </si>
  <si>
    <t>RoundRock Capital Management</t>
  </si>
  <si>
    <t>Peter Vig</t>
  </si>
  <si>
    <t>2001–Present</t>
  </si>
  <si>
    <t>Second Curve Capital</t>
  </si>
  <si>
    <t>Tom Brown</t>
  </si>
  <si>
    <t>Shumway Capital Partners</t>
  </si>
  <si>
    <t>Chris Shumway</t>
  </si>
  <si>
    <t>2002–2011</t>
  </si>
  <si>
    <t>Speedwell Advisors</t>
  </si>
  <si>
    <t>Fuyuki Fujiwara</t>
  </si>
  <si>
    <t>Steadfast Capital Management</t>
  </si>
  <si>
    <t>Robert Pitts Jr.</t>
  </si>
  <si>
    <t>1995–Present</t>
  </si>
  <si>
    <t>Thunderbird Partners</t>
  </si>
  <si>
    <t>David Fear</t>
  </si>
  <si>
    <t>2015–Present</t>
  </si>
  <si>
    <t>Tiger Asia</t>
  </si>
  <si>
    <t>2001–2012</t>
  </si>
  <si>
    <t>Tiger Global Management</t>
  </si>
  <si>
    <t>Chase Coleman III</t>
  </si>
  <si>
    <t>Torrey Pines Capital Management</t>
  </si>
  <si>
    <t>Robert Jafek</t>
  </si>
  <si>
    <t>2002–2010</t>
  </si>
  <si>
    <t>Toscafund Asset Management</t>
  </si>
  <si>
    <t>Martin Hughes</t>
  </si>
  <si>
    <t>Touradji Capital Management</t>
  </si>
  <si>
    <t>Paul Touradji</t>
  </si>
  <si>
    <t>Viking Global Investors</t>
  </si>
  <si>
    <t>Ole Andreas Halvorsen, David Ott &amp; Brian Olson</t>
  </si>
  <si>
    <t>Williamson McAree Investment Partners</t>
  </si>
  <si>
    <t>Ed McAree &amp; Robert Williamson</t>
  </si>
  <si>
    <t>2008–2010</t>
  </si>
  <si>
    <t>FrontPoint Partners</t>
  </si>
  <si>
    <t>Nezu Asia Capital Management</t>
  </si>
  <si>
    <t>North Sound Capital</t>
  </si>
  <si>
    <t>Ospraie Management, LLC</t>
  </si>
  <si>
    <t>K2 Advisors</t>
  </si>
  <si>
    <t>Point72 Asset Management</t>
  </si>
  <si>
    <t>D.E. Shaw &amp; Co.</t>
  </si>
  <si>
    <t>Millennium Management</t>
  </si>
  <si>
    <t>Elliott Investment Management</t>
  </si>
  <si>
    <t>Bridgewater Associates</t>
  </si>
  <si>
    <t>Anchorage Capital Group</t>
  </si>
  <si>
    <t>CQS</t>
  </si>
  <si>
    <t>Tyro Partners</t>
  </si>
  <si>
    <t>Crescat Capital</t>
  </si>
  <si>
    <t>Steven A. Cohen</t>
  </si>
  <si>
    <t>David E. Shaw</t>
  </si>
  <si>
    <t>Israel Englander</t>
  </si>
  <si>
    <t>Paul Singer</t>
  </si>
  <si>
    <t>Ray Dalio</t>
  </si>
  <si>
    <t>Kevin Ulrich</t>
  </si>
  <si>
    <t>Michael Hintze</t>
  </si>
  <si>
    <t>Dan McMurtrie</t>
  </si>
  <si>
    <t>Kevin Smith</t>
  </si>
  <si>
    <t>2014–Present</t>
  </si>
  <si>
    <t>1988–Present</t>
  </si>
  <si>
    <t>Susquehanna International Group (SIG)</t>
  </si>
  <si>
    <t>Jane Street</t>
  </si>
  <si>
    <t>Renaissance Technologies</t>
  </si>
  <si>
    <t>Two Sigma Investments</t>
  </si>
  <si>
    <t>Leading quant firm, active in both market making and systematic trading.</t>
  </si>
  <si>
    <t>Primarily known for proprietary trading, but also active in providing liquidity.</t>
  </si>
  <si>
    <t>Major global liquidity provider, known for ETF and derivatives market making.</t>
  </si>
  <si>
    <t>One of the largest global market makers, especially in options and ETFs</t>
  </si>
  <si>
    <t>Citadel Securities</t>
  </si>
  <si>
    <t>Virtu Financial</t>
  </si>
  <si>
    <t>Jump Trading</t>
  </si>
  <si>
    <t>Hudson River Trading (HRT)</t>
  </si>
  <si>
    <t>Optiver</t>
  </si>
  <si>
    <t>IMC Trading</t>
  </si>
  <si>
    <t>DRW</t>
  </si>
  <si>
    <t>Flow Traders</t>
  </si>
  <si>
    <t>XTX Markets</t>
  </si>
  <si>
    <t>Tower Research Capital</t>
  </si>
  <si>
    <t>GTS</t>
  </si>
  <si>
    <t>Major electronic market maker, active in global markets.</t>
  </si>
  <si>
    <t>Leading high-frequency trading and market making firm.</t>
  </si>
  <si>
    <t>Quantitative and high-frequency market maker.</t>
  </si>
  <si>
    <t>Global leader in options and derivatives market making.</t>
  </si>
  <si>
    <t>Major proprietary market maker, especially in options and ETFs.</t>
  </si>
  <si>
    <t>Quantitative trading and market making across asset classes.</t>
  </si>
  <si>
    <t>Leading ETF and digital asset market maker.</t>
  </si>
  <si>
    <t>Electronic market maker in global markets.</t>
  </si>
  <si>
    <t>High-frequency and algorithmic trading firm.</t>
  </si>
  <si>
    <t>Major designated market maker on NYSE.</t>
  </si>
  <si>
    <t>1990–Present</t>
  </si>
  <si>
    <t>1989–Present</t>
  </si>
  <si>
    <t>1977–Present</t>
  </si>
  <si>
    <t>1975–Present</t>
  </si>
  <si>
    <t>2016–Present</t>
  </si>
  <si>
    <t>1987–Present</t>
  </si>
  <si>
    <t>1982–Present</t>
  </si>
  <si>
    <t>2008–Present</t>
  </si>
  <si>
    <t>2002–Present</t>
  </si>
  <si>
    <t>1986–Present</t>
  </si>
  <si>
    <t>1992–Present</t>
  </si>
  <si>
    <t>1998–Present</t>
  </si>
  <si>
    <t>Jeff Yass, Arthur Dantchik, Steve Bloom, Glenn Grossman, Eric Brooks, Joel Greenberg</t>
  </si>
  <si>
    <t>Tim Reynolds, Rob Granieri, Michael Jenkins, Marc Gerstein</t>
  </si>
  <si>
    <t>John Overdeck, David Siegel</t>
  </si>
  <si>
    <t>Jim Simons</t>
  </si>
  <si>
    <t>Vincent Viola</t>
  </si>
  <si>
    <t>Bill DiSomma, Paul Gurinas</t>
  </si>
  <si>
    <t>Jason Carroll, Alex Morcos, Sujit Indap</t>
  </si>
  <si>
    <t>Johann Kaemingk</t>
  </si>
  <si>
    <t>Rob Defares, Rene Munnik</t>
  </si>
  <si>
    <t>Don Wilson</t>
  </si>
  <si>
    <t>Roger Hodenius, Jan van Kuijk</t>
  </si>
  <si>
    <t>Alexander Gerko</t>
  </si>
  <si>
    <t>Mark Gorton</t>
  </si>
  <si>
    <t>Ari Rubenstein, David Lieberman</t>
  </si>
  <si>
    <t>Kenneth (Ken) C. Griffin</t>
  </si>
  <si>
    <t>Noteable Tiger Cub</t>
  </si>
  <si>
    <t>Traditional IPO:</t>
  </si>
  <si>
    <t>Dutch Auction IPO:</t>
  </si>
  <si>
    <t>Direct Listing (DPO):</t>
  </si>
  <si>
    <t>SPAC (Special Purpose Acquisition Company):</t>
  </si>
  <si>
    <t>Reverse Merger/Reverse Takeover (RTO):</t>
  </si>
  <si>
    <t>Capital Pool Company (CPC):</t>
  </si>
  <si>
    <t>Alternative Investment Markets (AIM):</t>
  </si>
  <si>
    <t>Over-the-Counter (OTC) Listing:</t>
  </si>
  <si>
    <t>https://adviserinfo.sec.gov/</t>
  </si>
  <si>
    <t>AUM ($M)</t>
  </si>
  <si>
    <t>Updated</t>
  </si>
  <si>
    <t>BMRN</t>
  </si>
  <si>
    <t>Thought FED was going to get pressured into cutting rates … good I didn’t buy call options … It's now July and still no cuts, all while inflation is picking up and commodities begin to spike … long equities, short USD/USA</t>
  </si>
  <si>
    <t>Crazy stock … misunderstood by the market and feels like a bubble</t>
  </si>
  <si>
    <t>Bill Hwang (Kang)</t>
  </si>
  <si>
    <t>Immediately went long after earnings call reiterated continued demand, and international interest growing … If China opens back up, this stock moons</t>
  </si>
  <si>
    <t>CRWV</t>
  </si>
  <si>
    <t>ORCL</t>
  </si>
  <si>
    <t xml:space="preserve">Reiterate … I think they're going to blow the streets socks off this quarter, although the price has run up a ton … going to look into AMD as a catch up trade, but that stock has moved up a bunch too </t>
  </si>
  <si>
    <t>JOBY</t>
  </si>
  <si>
    <t>RDDT</t>
  </si>
  <si>
    <t>SNAP</t>
  </si>
  <si>
    <t>EQ</t>
  </si>
  <si>
    <t xml:space="preserve">Unique situation with EL as the company tries to turn around … Con. Disc. as a sector has really taken a beating this quarter though … Sold before earnings call </t>
  </si>
  <si>
    <t>ABVX</t>
  </si>
  <si>
    <t>Trimmed Aug-24-2025 … Approaching base case FV with a lot of exposure (&gt;5%)</t>
  </si>
  <si>
    <t>TFX</t>
  </si>
  <si>
    <t>Business is cheap and going through a big restructuring / turn-around … follow divestment of Anesthesia and Interventional Urology segments (NewCo spin-off) … could be some underappreciated value</t>
  </si>
  <si>
    <t xml:space="preserve">Quick in-and-out … Zuck can be the richest guy in the world … META will be big, but its approaching a calculated FV and I need to reduce exposure </t>
  </si>
  <si>
    <t>GS</t>
  </si>
  <si>
    <t>MS</t>
  </si>
  <si>
    <t>I FUCKING HATE THIS FRAUD COMPANY. Bought put options mid December, and did indeed get direction right… missed the timing of the stock price crashing down by a month… should have re-upped on the put options but hesitated... better yet having access to short common stock
The issue with options is getting both time AND direction right... very challenging to get down to a T</t>
  </si>
  <si>
    <t>CROX</t>
  </si>
  <si>
    <t>ISRG</t>
  </si>
  <si>
    <t>Trimmed 20% Aug-24-2025 &amp; Sept-12-2025 … Approaching base case FV with a lot of exposure (&gt;5%)</t>
  </si>
  <si>
    <t>Quick In n out trade with memory momentum going crazy … still maintaining initial position</t>
  </si>
  <si>
    <t>Really well managed business … took on a small position just to own some and keep track of price</t>
  </si>
  <si>
    <t>DXCM</t>
  </si>
  <si>
    <t>OPEN</t>
  </si>
  <si>
    <t>Reopened short … quantum as an industry is a bit of a joke ex Quantinium (private company) but D-Wave and their "quantum annealing" (optimization consulting services to make up for their lack of technology) is the most egregious case in the "industry"</t>
  </si>
  <si>
    <t>Short report and murmurs of some of their CGM offerings being ineffective or defective … down 10% today, but there is real value in this business … if it goes down more, think of it as a stock on sale</t>
  </si>
  <si>
    <t>Quick in and out tactical trade … need to commit to further research, but I like PayPal more from a value perspective</t>
  </si>
  <si>
    <t xml:space="preserve">Quick in and out tactical trade … need to commit to further research but the equity has taken a huge beating and theirs's still much uncertainty around guidance, management and legal action against the company/the potential for trump to uproot managed care in the marketplace... </t>
  </si>
  <si>
    <t>Colossal company … need to do more research before taking any serious position in the company</t>
  </si>
  <si>
    <t>Earnings were weak and ST valuation has some downside risk …. Asymmetric downside risk made this an easy in-n-out trade to initiate</t>
  </si>
  <si>
    <t>Closed in September pre-rate cute … glad I did, scam, high beta stocks gapped up off of a quarter point cut … wild times</t>
  </si>
  <si>
    <t>Have to investigate this Evtol craze … seems like a bubble … but got a nice trade in and don’t want to get burned like with quantum shamery … closing position 9/12/25 after FAA announcement for wider industry … stock didn't move much the next day which was surprising but has since recovered a bit due to high beta bounce after rate cut</t>
  </si>
  <si>
    <t>Company is going through a big restructuring ran while simultaneously integrating BIOTRONIK, a recent acquisition that bolsters their Vasc Intervention segment … looks really cheap on paper, but not in any rush to hold shares</t>
  </si>
  <si>
    <t>Short lived gap up on rate cuts … short the industry but still haven't worked out these valuations (JOBY, ACHR &amp; peers)</t>
  </si>
  <si>
    <t>Bad earnings report and guidance + just not feeling the stock after more research … tough break</t>
  </si>
  <si>
    <t>Sold half after the cloud investment announcement leading to a 36% one day return … want to investigate terms of the deal … Oracle has a lot of bright financial engineers … the trade could have legs though</t>
  </si>
  <si>
    <t>GEV</t>
  </si>
  <si>
    <t>Neutral</t>
  </si>
  <si>
    <t>Fairly valued … Sell calls</t>
  </si>
  <si>
    <t>GOOG</t>
  </si>
  <si>
    <t>Fairly valued … sell calls for premium … Looking back I'm pretty happy with this position … Lot's of sell side guys at the time iterating buy ratings with $480 PT average</t>
  </si>
  <si>
    <t>Sold some diversified euro indexes into trump / euro rearmament meetings … Maintaining EUAD and RNMBY positions</t>
  </si>
  <si>
    <t>WDC</t>
  </si>
  <si>
    <t>Need to examine the OpenAI deal in more detail … $100 billion is a big headline number … how is the detail actually structured though? OpenAI doesn't have that type of cash, even with the most recent funding round</t>
  </si>
  <si>
    <t>I think AMZN is the most discounted MAG7 ticker relative to fair value … Market discounts the business due to AWS negative second derivative growth while competing cloud companies continue to accelerate … I think AWS is going to begin reaccelerating … AMZN has the most monetizable compute still available</t>
  </si>
  <si>
    <t>EZ short</t>
  </si>
  <si>
    <t>Trimmed position going into Q3 … smart money was out of this last year … Claude and other AI vibecoding models are going to compress SAAS margins across the industry</t>
  </si>
  <si>
    <t>Nice memory trade … STX, SDSK, MU, WDC were all really hammered by initial tarrif vol … there could still be expanding secular demand for memory from the hyperscalers which could send these stocks even higher but I need to reevaluate the basket and reposition ... easy money made</t>
  </si>
  <si>
    <t>Bad call … started selling into the Q'2/3 rebound but I am a bit bearish on SAAS as an industry and started to reduce my position … still holding onto ~60% of original position</t>
  </si>
  <si>
    <t>BLSH</t>
  </si>
  <si>
    <t>AVGO</t>
  </si>
  <si>
    <t>Nice pop after earnings … solid IRR … building full model … 8/4/2025</t>
  </si>
  <si>
    <t>Has momentum … need to build out a model</t>
  </si>
  <si>
    <t xml:space="preserve">This was a smaller position added to an earlier core position … sold BK for GS, MS and JPM … </t>
  </si>
  <si>
    <t>The financial engineering / massive outstanding stock reduction scheme is finished … Fairly valued and I got ahead of myself</t>
  </si>
  <si>
    <t>Memory stocks all getting hammered … EZ trade</t>
  </si>
  <si>
    <t>Drove by this company's office down in SF … need to investigate further and might reinitiate a position</t>
  </si>
  <si>
    <t>bet that M&amp;A window is back open with new admin and booting of Lina Khan</t>
  </si>
  <si>
    <t>Will be interesting to follow as GOOGs ruling comes out</t>
  </si>
  <si>
    <t>SPRB</t>
  </si>
  <si>
    <t>Sold coming into the second week of Oct. … the memory trade has been on fire this year … feels hot</t>
  </si>
  <si>
    <t>CRDO</t>
  </si>
  <si>
    <t>C.E.s = 50% TLT, 50% GLD … DXY has been getting punished … anything but</t>
  </si>
  <si>
    <t>dug into the financials and market a bit more + some reporting from Karlina … going to hold a tiny position just because I think $160.00 is a decent price, but I only see headwinds ahead</t>
  </si>
  <si>
    <t>Closed coming into october … there seem to be a few of these neo cloud compute offerer's that have sprung up such as NBUS and CRWV … need to evaluate further … CRWV is crazy levered though</t>
  </si>
  <si>
    <t>VST</t>
  </si>
  <si>
    <t>BYND</t>
  </si>
  <si>
    <t>EZ mean reversion trade … sold after hours after positive earnings print</t>
  </si>
  <si>
    <t>WOW … what a quick trade … unfolded in less than 2 days … Exiting here, will probably reinitiate</t>
  </si>
  <si>
    <t>SNDK</t>
  </si>
  <si>
    <t>JEF</t>
  </si>
  <si>
    <t>AFRM</t>
  </si>
  <si>
    <t>Need to examine in more detail … outstanding equity preformance over the last couple of year when compared to industry peers … BSX's venture arm is something to behold in the medtech space</t>
  </si>
  <si>
    <t xml:space="preserve">What an incredible run up this company has had … its product offering (AECs) and the subsequent energy savings that are accessed from employeeing them within data centers is truly incredible … need to investigate further … was a much easier buy at $40 but could also be the emergence of a new server connectivity player ... will they get wiped if there's a pop or washout in AI buildout? </t>
  </si>
  <si>
    <t xml:space="preserve">Estimated to be fairly valued </t>
  </si>
  <si>
    <t>Maintaining core position … closed the trade when shares got &gt;$255 … fairly valued ~$270 in ST</t>
  </si>
  <si>
    <t>V</t>
  </si>
  <si>
    <t>Selling AMD into Q3'25 earnings … OpenAI deal was exciting news, and the financial engineering schemes of Altman grow ever more sophisticated … I just think it could have a ST pullback off due to sentiments being so high</t>
  </si>
  <si>
    <t>Just got killed on what I thought was a layup trade … didn’t exit, just washed into a lower cost basis</t>
  </si>
  <si>
    <t xml:space="preserve">Neutral </t>
  </si>
  <si>
    <t>Theil company … just wanted to follow price action after seeing Circle's USDC mania over the summer … I still don’t understand these stable coin issuers well enough, but GENIUS act has quasi legitamized the space</t>
  </si>
  <si>
    <t>Lay-up trade … sold going into Q3 print</t>
  </si>
  <si>
    <t>Earnings print was great … not good enough though … I imagine there will be some weakness, but may rebuild position around $125</t>
  </si>
  <si>
    <t>Earnings tomorrow … not incredibly optomistic, but I could see the market rewarding positive developments on the OldCo spin-off effort … Let's see
Follow Up 1pm 11/6/25: Bad earnings … pretty easy call</t>
  </si>
  <si>
    <t>Neutral 
Short</t>
  </si>
  <si>
    <t>Sold a bit of my position into Q3'25 … taking a little break on nuclear trade … but I do think Talen is a LT thesis</t>
  </si>
  <si>
    <t>Euro trade was really carrying the port into the new year … RNMBY was a huge recipient of german federal capex towards military hardware … maintaining core EUAD position</t>
  </si>
  <si>
    <t>Reiterate … earnings 12/15 …</t>
  </si>
  <si>
    <t>RGTI</t>
  </si>
  <si>
    <t>Reiterate … closed my shorts on all quantum stocks after a thanksgiving discussion</t>
  </si>
  <si>
    <t>ABT</t>
  </si>
  <si>
    <t>AAPL</t>
  </si>
  <si>
    <t>PLTR</t>
  </si>
  <si>
    <t>Blow out quarter … incredible top and bottom line print … is it good enough though … tons of noise around depreciation/useful life of the chips, and OEAIs CFO didn't help with her signalling that the startup would like the US government to act as a creditor of last resort on their debt fueled capex buildout</t>
  </si>
  <si>
    <t>KO</t>
  </si>
  <si>
    <t>Closing out IPP trade … for now … sell calls</t>
  </si>
  <si>
    <t>INTC</t>
  </si>
  <si>
    <t>Maintaining SNDK as core SSD memory position</t>
  </si>
  <si>
    <t>QCLS</t>
  </si>
  <si>
    <t>TSM</t>
  </si>
  <si>
    <t>ROK</t>
  </si>
  <si>
    <t>FROG</t>
  </si>
  <si>
    <t>NFLX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</si>
</sst>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_(&quot;$&quot;* #,##0_);_(&quot;$&quot;* \(#,##0\);_(&quot;$&quot;* &quot;-&quot;??_);_(@_)"/>
  </numFmts>
  <fonts count="8">
    <font>
      <sz val="11"/>
      <color theme="1"/>
      <name val="Calibri"/>
      <family val="2"/>
      <scheme val="minor"/>
    </font>
    <font>
      <b/>
      <u/>
      <sz val="11"/>
      <color theme="1"/>
      <name val="Calibri"/>
      <family val="2"/>
      <scheme val="minor"/>
    </font>
    <font>
      <u/>
      <sz val="11"/>
      <color theme="10"/>
      <name val="Calibri"/>
      <family val="2"/>
      <scheme val="minor"/>
    </font>
    <font>
      <b/>
      <u/>
      <sz val="11"/>
      <color theme="1"/>
      <name val="Calibre"/>
    </font>
    <font>
      <sz val="11"/>
      <color theme="1"/>
      <name val="Calibre"/>
    </font>
    <font>
      <u/>
      <sz val="11"/>
      <color rgb="FF00B0F0"/>
      <name val="Calibre"/>
    </font>
    <font>
      <b/>
      <sz val="11"/>
      <color theme="1"/>
      <name val="Calibre"/>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44" fontId="7" fillId="0" borderId="0" applyFont="0" applyFill="0" applyBorder="0" applyAlignment="0" applyProtection="0"/>
  </cellStyleXfs>
  <cellXfs count="22">
    <xf numFmtId="0" fontId="0" fillId="0" borderId="0" xfId="0"/>
    <xf numFmtId="0" fontId="3" fillId="0" borderId="0" xfId="0" applyFont="1"/>
    <xf numFmtId="0" fontId="4" fillId="0" borderId="0" xfId="0" applyFont="1"/>
    <xf numFmtId="0" fontId="5" fillId="0" borderId="0" xfId="1" applyFont="1"/>
    <xf numFmtId="0" fontId="4" fillId="0" borderId="0" xfId="0" applyFont="1" applyAlignment="1">
      <alignment vertical="top"/>
    </xf>
    <xf numFmtId="0" fontId="4" fillId="0" borderId="0" xfId="0" applyFont="1" applyAlignment="1">
      <alignment vertical="top" wrapText="1"/>
    </xf>
    <xf numFmtId="0" fontId="6" fillId="0" borderId="0" xfId="0" applyFont="1"/>
    <xf numFmtId="0" fontId="2" fillId="0" borderId="0" xfId="1"/>
    <xf numFmtId="0" fontId="4" fillId="0" borderId="0" xfId="0" applyFont="1" applyAlignment="1">
      <alignment wrapText="1"/>
    </xf>
    <xf numFmtId="165" fontId="4" fillId="0" borderId="0" xfId="2" applyNumberFormat="1" applyFont="1"/>
    <xf numFmtId="49" fontId="0" fillId="0" borderId="0" xfId="0" applyNumberFormat="1"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0" fillId="0" borderId="0" xfId="0" applyAlignment="1">
      <alignment vertical="top"/>
    </xf>
    <xf numFmtId="14" fontId="0" fillId="0" borderId="0" xfId="0" applyNumberFormat="1" applyAlignment="1">
      <alignment horizontal="center" vertical="top"/>
    </xf>
    <xf numFmtId="0" fontId="0" fillId="0" borderId="0" xfId="0" applyAlignment="1">
      <alignment horizontal="center" vertical="top"/>
    </xf>
    <xf numFmtId="2" fontId="0" fillId="0" borderId="0" xfId="0" applyNumberFormat="1" applyAlignment="1">
      <alignment vertical="top"/>
    </xf>
    <xf numFmtId="164" fontId="0" fillId="0" borderId="0" xfId="0" applyNumberFormat="1"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wrapText="1"/>
    </xf>
    <xf numFmtId="0" fontId="4" fillId="0" borderId="0" xfId="0" applyFont="1" applyAlignment="1">
      <alignment horizontal="left" vertical="top" wrapText="1"/>
    </xf>
  </cellXfs>
  <cellStyles count="3">
    <cellStyle name="Currency" xfId="2" builtinId="4"/>
    <cellStyle name="Hyperlink" xfId="1" builtinId="8"/>
    <cellStyle name="Normal" xfId="0" builtinId="0"/>
  </cellStyles>
  <dxfs count="9">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numFmt numFmtId="165" formatCode="_(&quot;$&quot;* #,##0_);_(&quot;$&quot;* \(#,##0\);_(&quot;$&quot;* &quot;-&quot;??_);_(@_)"/>
    </dxf>
    <dxf>
      <font>
        <b val="0"/>
        <i val="0"/>
        <strike val="0"/>
        <condense val="0"/>
        <extend val="0"/>
        <outline val="0"/>
        <shadow val="0"/>
        <u val="none"/>
        <vertAlign val="baseline"/>
        <sz val="11"/>
        <color theme="1"/>
        <name val="Calibre"/>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i val="0"/>
        <strike val="0"/>
        <condense val="0"/>
        <extend val="0"/>
        <outline val="0"/>
        <shadow val="0"/>
        <u/>
        <vertAlign val="baseline"/>
        <sz val="11"/>
        <color theme="1"/>
        <name val="Calibre"/>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60BEAC-B8BC-40A0-B15F-9536B2D2A5C4}" name="Table2" displayName="Table2" ref="B2:H91" totalsRowShown="0" headerRowDxfId="8" dataDxfId="7">
  <autoFilter ref="B2:H91" xr:uid="{7F60BEAC-B8BC-40A0-B15F-9536B2D2A5C4}"/>
  <tableColumns count="7">
    <tableColumn id="1" xr3:uid="{10FCCFDD-ECC9-49D9-A03F-831951BDD284}" name="Firm[1][2][3]" dataDxfId="6"/>
    <tableColumn id="6" xr3:uid="{4D3DE6F2-74C4-405B-B373-424D04573E6E}" name="Founder" dataDxfId="5"/>
    <tableColumn id="2" xr3:uid="{522B85E5-781D-40C5-BA8B-62014FE4AE04}" name="AUM ($M)" dataDxfId="4" dataCellStyle="Currency"/>
    <tableColumn id="32" xr3:uid="{1D773BFB-F18F-4578-8B92-6673D348ECE1}" name="Updated" dataDxfId="3"/>
    <tableColumn id="11" xr3:uid="{49B9DF56-1E00-4CFA-814A-DAA347ABAA61}" name="Status" dataDxfId="2"/>
    <tableColumn id="13" xr3:uid="{7FB0A4C0-9AE6-4C9C-BE35-DAE28FFAADFA}" name="Years Active" dataDxfId="1"/>
    <tableColumn id="18" xr3:uid="{47CA42F6-1B3D-40FE-B68C-E5DD72DFD04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00%20NASDAQ%20100%20Index%20Company%20List%2000.xlsx" TargetMode="External"/><Relationship Id="rId3" Type="http://schemas.openxmlformats.org/officeDocument/2006/relationships/hyperlink" Target="Health%20Care\MedTech\000%20Med-Devices%20Master%20List%20000.xlsx" TargetMode="External"/><Relationship Id="rId7" Type="http://schemas.openxmlformats.org/officeDocument/2006/relationships/hyperlink" Target="https://www.longtermtrends.net/bond-yield-credit-spreads/" TargetMode="External"/><Relationship Id="rId2" Type="http://schemas.openxmlformats.org/officeDocument/2006/relationships/hyperlink" Target="../../../AppData/Roaming/Microsoft/Excel/Financials/000%20Fin-Tech%20Master%20List%20000.xlsx" TargetMode="External"/><Relationship Id="rId1" Type="http://schemas.openxmlformats.org/officeDocument/2006/relationships/hyperlink" Target="../../../AppData/Roaming/Microsoft/Excel/Consumer%20Staples/000%20Beverage%20Company%20Master%20List%20000.xlsx" TargetMode="External"/><Relationship Id="rId6" Type="http://schemas.openxmlformats.org/officeDocument/2006/relationships/hyperlink" Target="../../../AppData/Roaming/Microsoft/General/Damadoran%20-%20Country%20Default%20Spreads%20and%20Risk%20Premiums%20(Jan.%20'25).xlsx" TargetMode="External"/><Relationship Id="rId5" Type="http://schemas.openxmlformats.org/officeDocument/2006/relationships/hyperlink" Target="../../../AppData/Roaming/Microsoft/Excel/S&amp;P%20500%20Company%20Composition%20List.csv" TargetMode="External"/><Relationship Id="rId4" Type="http://schemas.openxmlformats.org/officeDocument/2006/relationships/hyperlink" Target="../../../AppData/Roaming/Microsoft/General/U.S.%20Margin,%20ROIC%20by%20Sector%20(Jan.%20'25).xlsx"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dviserinfo.sec.gov/"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pData/Roaming/Microsoft/Models/Consumer%20Discretionary/CHGG_Model.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B6D1-5B4A-4E92-9D12-B635DE010EAD}">
  <dimension ref="B2:CA37"/>
  <sheetViews>
    <sheetView workbookViewId="0">
      <selection activeCell="G5" sqref="G5"/>
    </sheetView>
  </sheetViews>
  <sheetFormatPr defaultColWidth="9.140625" defaultRowHeight="14.25"/>
  <cols>
    <col min="1" max="1" width="3" style="2" customWidth="1"/>
    <col min="2" max="2" width="16.42578125" style="2" customWidth="1"/>
    <col min="3" max="3" width="19.7109375" style="2" customWidth="1"/>
    <col min="4" max="4" width="9.140625" style="2" customWidth="1"/>
    <col min="5" max="5" width="3" style="2" customWidth="1"/>
    <col min="6" max="16384" width="9.140625" style="2"/>
  </cols>
  <sheetData>
    <row r="2" spans="2:79" ht="15">
      <c r="B2" s="1" t="s">
        <v>59</v>
      </c>
      <c r="D2" s="2" t="s">
        <v>64</v>
      </c>
    </row>
    <row r="3" spans="2:79">
      <c r="B3" s="2" t="s">
        <v>62</v>
      </c>
      <c r="F3" s="2" t="s">
        <v>34</v>
      </c>
      <c r="L3" s="2" t="s">
        <v>56</v>
      </c>
      <c r="M3" s="2" t="s">
        <v>57</v>
      </c>
      <c r="U3" s="2" t="s">
        <v>78</v>
      </c>
    </row>
    <row r="4" spans="2:79">
      <c r="C4" s="2" t="s">
        <v>43</v>
      </c>
      <c r="G4" s="3" t="s">
        <v>79</v>
      </c>
      <c r="M4" s="2" t="s">
        <v>58</v>
      </c>
    </row>
    <row r="5" spans="2:79">
      <c r="C5" s="2" t="s">
        <v>63</v>
      </c>
      <c r="G5" s="3" t="s">
        <v>35</v>
      </c>
    </row>
    <row r="6" spans="2:79">
      <c r="C6" s="2" t="s">
        <v>44</v>
      </c>
      <c r="G6" s="2" t="s">
        <v>36</v>
      </c>
    </row>
    <row r="7" spans="2:79">
      <c r="B7" s="2" t="s">
        <v>61</v>
      </c>
      <c r="F7" s="2" t="s">
        <v>65</v>
      </c>
      <c r="CA7" s="2">
        <v>0</v>
      </c>
    </row>
    <row r="8" spans="2:79">
      <c r="C8" s="2" t="s">
        <v>39</v>
      </c>
      <c r="G8" s="3" t="s">
        <v>66</v>
      </c>
    </row>
    <row r="9" spans="2:79">
      <c r="C9" s="2" t="s">
        <v>40</v>
      </c>
      <c r="G9" s="3" t="s">
        <v>100</v>
      </c>
    </row>
    <row r="10" spans="2:79">
      <c r="C10" s="2" t="s">
        <v>50</v>
      </c>
      <c r="G10" s="3" t="s">
        <v>111</v>
      </c>
      <c r="M10" s="2" t="s">
        <v>112</v>
      </c>
    </row>
    <row r="11" spans="2:79">
      <c r="C11" s="2" t="s">
        <v>51</v>
      </c>
    </row>
    <row r="12" spans="2:79">
      <c r="B12" s="2" t="s">
        <v>60</v>
      </c>
      <c r="F12" s="2" t="s">
        <v>124</v>
      </c>
    </row>
    <row r="13" spans="2:79">
      <c r="C13" s="3" t="s">
        <v>25</v>
      </c>
      <c r="G13" s="2" t="s">
        <v>356</v>
      </c>
      <c r="L13" s="2" t="s">
        <v>126</v>
      </c>
    </row>
    <row r="14" spans="2:79" ht="15" customHeight="1">
      <c r="C14" s="2" t="s">
        <v>45</v>
      </c>
      <c r="M14" s="21" t="s">
        <v>134</v>
      </c>
      <c r="N14" s="21"/>
      <c r="O14" s="21"/>
      <c r="P14" s="21"/>
      <c r="Q14" s="21"/>
      <c r="R14" s="21"/>
      <c r="S14" s="21"/>
      <c r="T14" s="21"/>
      <c r="U14" s="21"/>
      <c r="V14" s="21"/>
      <c r="W14" s="21"/>
      <c r="X14" s="21"/>
      <c r="Y14" s="21"/>
    </row>
    <row r="15" spans="2:79">
      <c r="C15" s="2" t="s">
        <v>48</v>
      </c>
      <c r="M15" s="21"/>
      <c r="N15" s="21"/>
      <c r="O15" s="21"/>
      <c r="P15" s="21"/>
      <c r="Q15" s="21"/>
      <c r="R15" s="21"/>
      <c r="S15" s="21"/>
      <c r="T15" s="21"/>
      <c r="U15" s="21"/>
      <c r="V15" s="21"/>
      <c r="W15" s="21"/>
      <c r="X15" s="21"/>
      <c r="Y15" s="21"/>
    </row>
    <row r="16" spans="2:79">
      <c r="B16" s="2" t="s">
        <v>26</v>
      </c>
      <c r="M16" s="21"/>
      <c r="N16" s="21"/>
      <c r="O16" s="21"/>
      <c r="P16" s="21"/>
      <c r="Q16" s="21"/>
      <c r="R16" s="21"/>
      <c r="S16" s="21"/>
      <c r="T16" s="21"/>
      <c r="U16" s="21"/>
      <c r="V16" s="21"/>
      <c r="W16" s="21"/>
      <c r="X16" s="21"/>
      <c r="Y16" s="21"/>
    </row>
    <row r="17" spans="2:31">
      <c r="B17" s="2" t="s">
        <v>27</v>
      </c>
      <c r="M17" s="21"/>
      <c r="N17" s="21"/>
      <c r="O17" s="21"/>
      <c r="P17" s="21"/>
      <c r="Q17" s="21"/>
      <c r="R17" s="21"/>
      <c r="S17" s="21"/>
      <c r="T17" s="21"/>
      <c r="U17" s="21"/>
      <c r="V17" s="21"/>
      <c r="W17" s="21"/>
      <c r="X17" s="21"/>
      <c r="Y17" s="21"/>
    </row>
    <row r="18" spans="2:31">
      <c r="C18" s="3" t="s">
        <v>38</v>
      </c>
      <c r="N18" s="4" t="s">
        <v>125</v>
      </c>
      <c r="O18" s="5"/>
      <c r="P18" s="5"/>
      <c r="Q18" s="5"/>
      <c r="R18" s="5"/>
      <c r="S18" s="5"/>
      <c r="T18" s="5"/>
      <c r="U18" s="5"/>
      <c r="V18" s="5"/>
      <c r="W18" s="5"/>
      <c r="X18" s="5"/>
    </row>
    <row r="19" spans="2:31">
      <c r="C19" s="2" t="s">
        <v>53</v>
      </c>
      <c r="M19" s="2" t="s">
        <v>135</v>
      </c>
    </row>
    <row r="20" spans="2:31">
      <c r="C20" s="2" t="s">
        <v>54</v>
      </c>
      <c r="N20" s="2" t="s">
        <v>136</v>
      </c>
    </row>
    <row r="21" spans="2:31" ht="15" customHeight="1">
      <c r="C21" s="2" t="s">
        <v>55</v>
      </c>
      <c r="N21" s="4" t="s">
        <v>137</v>
      </c>
      <c r="O21" s="5"/>
      <c r="P21" s="5"/>
      <c r="Q21" s="5"/>
      <c r="R21" s="5"/>
      <c r="S21" s="5"/>
      <c r="T21" s="5"/>
      <c r="U21" s="5"/>
      <c r="V21" s="5"/>
      <c r="W21" s="5"/>
      <c r="X21" s="5"/>
      <c r="Y21" s="5"/>
      <c r="Z21" s="5"/>
      <c r="AA21" s="5"/>
      <c r="AB21" s="5"/>
      <c r="AC21" s="5"/>
      <c r="AD21" s="5"/>
      <c r="AE21" s="5"/>
    </row>
    <row r="22" spans="2:31">
      <c r="B22" s="2" t="s">
        <v>28</v>
      </c>
      <c r="N22" s="4" t="s">
        <v>138</v>
      </c>
      <c r="O22" s="5"/>
      <c r="P22" s="5"/>
      <c r="Q22" s="5"/>
      <c r="R22" s="5"/>
      <c r="S22" s="5"/>
      <c r="T22" s="5"/>
      <c r="U22" s="5"/>
      <c r="V22" s="5"/>
      <c r="W22" s="5"/>
      <c r="X22" s="5"/>
      <c r="Y22" s="5"/>
      <c r="Z22" s="5"/>
      <c r="AA22" s="5"/>
      <c r="AB22" s="5"/>
      <c r="AC22" s="5"/>
      <c r="AD22" s="5"/>
      <c r="AE22" s="5"/>
    </row>
    <row r="23" spans="2:31">
      <c r="C23" s="3" t="s">
        <v>37</v>
      </c>
      <c r="M23" s="2" t="s">
        <v>139</v>
      </c>
    </row>
    <row r="24" spans="2:31">
      <c r="B24" s="2" t="s">
        <v>29</v>
      </c>
      <c r="N24" s="2" t="s">
        <v>140</v>
      </c>
    </row>
    <row r="25" spans="2:31">
      <c r="C25" s="2" t="s">
        <v>49</v>
      </c>
      <c r="O25" s="2" t="s">
        <v>141</v>
      </c>
    </row>
    <row r="26" spans="2:31">
      <c r="B26" s="2" t="s">
        <v>30</v>
      </c>
      <c r="M26" s="2" t="s">
        <v>142</v>
      </c>
    </row>
    <row r="27" spans="2:31">
      <c r="C27" s="2" t="s">
        <v>41</v>
      </c>
      <c r="N27" s="2" t="s">
        <v>143</v>
      </c>
    </row>
    <row r="28" spans="2:31">
      <c r="B28" s="2" t="s">
        <v>31</v>
      </c>
      <c r="N28" s="2" t="s">
        <v>144</v>
      </c>
    </row>
    <row r="29" spans="2:31">
      <c r="C29" s="2" t="s">
        <v>46</v>
      </c>
      <c r="M29" s="2" t="s">
        <v>145</v>
      </c>
    </row>
    <row r="30" spans="2:31">
      <c r="C30" s="2" t="s">
        <v>47</v>
      </c>
      <c r="N30" s="2" t="s">
        <v>146</v>
      </c>
    </row>
    <row r="31" spans="2:31">
      <c r="B31" s="2" t="s">
        <v>32</v>
      </c>
      <c r="G31" s="2" t="s">
        <v>357</v>
      </c>
      <c r="L31" s="2" t="s">
        <v>127</v>
      </c>
    </row>
    <row r="32" spans="2:31">
      <c r="C32" s="2" t="s">
        <v>107</v>
      </c>
      <c r="G32" s="2" t="s">
        <v>358</v>
      </c>
      <c r="L32" s="2" t="s">
        <v>128</v>
      </c>
    </row>
    <row r="33" spans="2:12">
      <c r="C33" s="2" t="s">
        <v>52</v>
      </c>
      <c r="G33" s="2" t="s">
        <v>359</v>
      </c>
      <c r="L33" s="2" t="s">
        <v>129</v>
      </c>
    </row>
    <row r="34" spans="2:12">
      <c r="B34" s="2" t="s">
        <v>33</v>
      </c>
      <c r="G34" s="2" t="s">
        <v>360</v>
      </c>
      <c r="L34" s="2" t="s">
        <v>130</v>
      </c>
    </row>
    <row r="35" spans="2:12">
      <c r="C35" s="2" t="s">
        <v>42</v>
      </c>
      <c r="G35" s="2" t="s">
        <v>361</v>
      </c>
      <c r="L35" s="2" t="s">
        <v>131</v>
      </c>
    </row>
    <row r="36" spans="2:12">
      <c r="G36" s="2" t="s">
        <v>362</v>
      </c>
      <c r="L36" s="2" t="s">
        <v>132</v>
      </c>
    </row>
    <row r="37" spans="2:12">
      <c r="G37" s="2" t="s">
        <v>363</v>
      </c>
      <c r="L37" s="2" t="s">
        <v>133</v>
      </c>
    </row>
  </sheetData>
  <mergeCells count="1">
    <mergeCell ref="M14:Y17"/>
  </mergeCells>
  <hyperlinks>
    <hyperlink ref="C13" r:id="rId1" xr:uid="{D074D004-FF58-466B-B686-6E5D7FE21971}"/>
    <hyperlink ref="C18" r:id="rId2" xr:uid="{84504357-0F36-4D2C-850C-BC6DD9EA9A40}"/>
    <hyperlink ref="C23" r:id="rId3" xr:uid="{52D8FC5C-A500-46E9-BA41-680E2C121724}"/>
    <hyperlink ref="G8" r:id="rId4" xr:uid="{BFB8FC58-832A-48DD-A4D0-95585AE8E79A}"/>
    <hyperlink ref="G4" r:id="rId5" xr:uid="{00D10E4B-6F23-4B1C-8051-B68DA25ACD5A}"/>
    <hyperlink ref="G9" r:id="rId6" xr:uid="{BA174AC1-5E13-4855-9C45-8605F0CAF86F}"/>
    <hyperlink ref="G10" r:id="rId7" xr:uid="{85318CAD-2CE9-4DE1-B93D-08F39CE89026}"/>
    <hyperlink ref="G5" r:id="rId8" xr:uid="{42BF8D8A-86C9-4677-9904-6BD2782495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1210-1E9B-4B62-A7C7-5383BB8E1345}">
  <dimension ref="A1:AZ91"/>
  <sheetViews>
    <sheetView workbookViewId="0">
      <selection activeCell="A26" sqref="A26:XFD26"/>
    </sheetView>
  </sheetViews>
  <sheetFormatPr defaultColWidth="9.140625" defaultRowHeight="15"/>
  <cols>
    <col min="1" max="1" width="3.140625" style="2" customWidth="1"/>
    <col min="2" max="2" width="39.140625" style="2" bestFit="1" customWidth="1"/>
    <col min="3" max="3" width="39.28515625" style="2" customWidth="1"/>
    <col min="4" max="4" width="13" style="2" bestFit="1" customWidth="1"/>
    <col min="5" max="5" width="11.85546875" style="2" bestFit="1" customWidth="1"/>
    <col min="6" max="6" width="15.140625" style="2" customWidth="1"/>
    <col min="7" max="7" width="36.5703125" style="2" customWidth="1"/>
    <col min="8" max="8" width="74.5703125" style="2" customWidth="1"/>
    <col min="9" max="10" width="9" customWidth="1"/>
    <col min="11" max="16384" width="9.140625" style="2"/>
  </cols>
  <sheetData>
    <row r="1" spans="1:52">
      <c r="A1" s="6"/>
      <c r="B1" s="7" t="s">
        <v>364</v>
      </c>
      <c r="I1" s="2"/>
      <c r="J1" s="2"/>
      <c r="AZ1" s="2">
        <v>0</v>
      </c>
    </row>
    <row r="2" spans="1:52">
      <c r="B2" s="1" t="s">
        <v>147</v>
      </c>
      <c r="C2" s="1" t="s">
        <v>148</v>
      </c>
      <c r="D2" s="1" t="s">
        <v>365</v>
      </c>
      <c r="E2" s="1" t="s">
        <v>366</v>
      </c>
      <c r="F2" s="1" t="s">
        <v>149</v>
      </c>
      <c r="G2" s="1" t="s">
        <v>150</v>
      </c>
      <c r="H2" s="1" t="s">
        <v>3</v>
      </c>
      <c r="I2" s="2"/>
      <c r="J2" s="2"/>
    </row>
    <row r="3" spans="1:52" ht="15" customHeight="1">
      <c r="B3" s="2" t="s">
        <v>151</v>
      </c>
      <c r="C3" s="8" t="s">
        <v>370</v>
      </c>
      <c r="D3" s="9"/>
      <c r="F3" s="2" t="s">
        <v>153</v>
      </c>
      <c r="G3" s="2" t="s">
        <v>154</v>
      </c>
      <c r="H3" s="2" t="s">
        <v>355</v>
      </c>
      <c r="I3" s="2"/>
      <c r="J3" s="2"/>
    </row>
    <row r="4" spans="1:52" ht="15" customHeight="1">
      <c r="B4" s="2" t="s">
        <v>155</v>
      </c>
      <c r="C4" s="8" t="s">
        <v>156</v>
      </c>
      <c r="D4" s="9"/>
      <c r="F4" s="2" t="s">
        <v>157</v>
      </c>
      <c r="G4" s="2" t="s">
        <v>158</v>
      </c>
      <c r="H4" s="2" t="s">
        <v>355</v>
      </c>
      <c r="I4" s="2"/>
      <c r="J4" s="2"/>
    </row>
    <row r="5" spans="1:52" ht="15" customHeight="1">
      <c r="B5" s="2" t="s">
        <v>159</v>
      </c>
      <c r="C5" s="8" t="s">
        <v>160</v>
      </c>
      <c r="D5" s="9"/>
      <c r="F5" s="2" t="s">
        <v>153</v>
      </c>
      <c r="G5" s="2" t="s">
        <v>161</v>
      </c>
      <c r="H5" s="2" t="s">
        <v>355</v>
      </c>
      <c r="I5" s="2"/>
      <c r="J5" s="2"/>
    </row>
    <row r="6" spans="1:52" ht="15" customHeight="1">
      <c r="B6" s="2" t="s">
        <v>162</v>
      </c>
      <c r="C6" s="8" t="s">
        <v>163</v>
      </c>
      <c r="D6" s="9"/>
      <c r="F6" s="2" t="s">
        <v>153</v>
      </c>
      <c r="G6" s="2" t="s">
        <v>164</v>
      </c>
      <c r="H6" s="2" t="s">
        <v>355</v>
      </c>
      <c r="I6" s="2"/>
      <c r="J6" s="2"/>
    </row>
    <row r="7" spans="1:52" ht="15" customHeight="1">
      <c r="B7" s="2" t="s">
        <v>165</v>
      </c>
      <c r="C7" s="8" t="s">
        <v>166</v>
      </c>
      <c r="D7" s="9"/>
      <c r="F7" s="2" t="s">
        <v>153</v>
      </c>
      <c r="G7" s="2" t="s">
        <v>167</v>
      </c>
      <c r="H7" s="2" t="s">
        <v>355</v>
      </c>
      <c r="I7" s="2"/>
      <c r="J7" s="2"/>
    </row>
    <row r="8" spans="1:52" ht="15" customHeight="1">
      <c r="B8" s="2" t="s">
        <v>168</v>
      </c>
      <c r="C8" s="8" t="s">
        <v>169</v>
      </c>
      <c r="D8" s="9"/>
      <c r="F8" s="2" t="s">
        <v>157</v>
      </c>
      <c r="G8" s="2" t="s">
        <v>170</v>
      </c>
      <c r="H8" s="2" t="s">
        <v>355</v>
      </c>
      <c r="I8" s="2"/>
      <c r="J8" s="2"/>
    </row>
    <row r="9" spans="1:52" ht="15" customHeight="1">
      <c r="B9" s="2" t="s">
        <v>171</v>
      </c>
      <c r="C9" s="8" t="s">
        <v>172</v>
      </c>
      <c r="D9" s="9"/>
      <c r="F9" s="2" t="s">
        <v>153</v>
      </c>
      <c r="G9" s="2" t="s">
        <v>173</v>
      </c>
      <c r="H9" s="2" t="s">
        <v>355</v>
      </c>
      <c r="I9" s="2"/>
      <c r="J9" s="2"/>
    </row>
    <row r="10" spans="1:52" ht="15" customHeight="1">
      <c r="B10" s="2" t="s">
        <v>174</v>
      </c>
      <c r="C10" s="8" t="s">
        <v>175</v>
      </c>
      <c r="D10" s="9"/>
      <c r="F10" s="2" t="s">
        <v>153</v>
      </c>
      <c r="G10" s="2" t="s">
        <v>176</v>
      </c>
      <c r="H10" s="2" t="s">
        <v>355</v>
      </c>
      <c r="I10" s="2"/>
      <c r="J10" s="2"/>
    </row>
    <row r="11" spans="1:52" ht="15" customHeight="1">
      <c r="B11" s="2" t="s">
        <v>177</v>
      </c>
      <c r="C11" s="8" t="s">
        <v>178</v>
      </c>
      <c r="D11" s="9"/>
      <c r="F11" s="2" t="s">
        <v>157</v>
      </c>
      <c r="G11" s="2" t="s">
        <v>179</v>
      </c>
      <c r="H11" s="2" t="s">
        <v>355</v>
      </c>
      <c r="I11" s="2"/>
      <c r="J11" s="2"/>
    </row>
    <row r="12" spans="1:52" ht="15" customHeight="1">
      <c r="B12" s="2" t="s">
        <v>180</v>
      </c>
      <c r="C12" s="8" t="s">
        <v>181</v>
      </c>
      <c r="D12" s="9"/>
      <c r="F12" s="2" t="s">
        <v>157</v>
      </c>
      <c r="G12" s="2" t="s">
        <v>182</v>
      </c>
      <c r="H12" s="2" t="s">
        <v>355</v>
      </c>
      <c r="I12" s="2"/>
      <c r="J12" s="2"/>
    </row>
    <row r="13" spans="1:52" ht="15" customHeight="1">
      <c r="B13" s="2" t="s">
        <v>183</v>
      </c>
      <c r="C13" s="8" t="s">
        <v>184</v>
      </c>
      <c r="D13" s="9"/>
      <c r="F13" s="2" t="s">
        <v>157</v>
      </c>
      <c r="G13" s="2" t="s">
        <v>179</v>
      </c>
      <c r="H13" s="2" t="s">
        <v>355</v>
      </c>
      <c r="I13" s="2"/>
      <c r="J13" s="2"/>
    </row>
    <row r="14" spans="1:52" ht="15" customHeight="1">
      <c r="B14" s="2" t="s">
        <v>185</v>
      </c>
      <c r="C14" s="8" t="s">
        <v>186</v>
      </c>
      <c r="D14" s="9"/>
      <c r="F14" s="2" t="s">
        <v>153</v>
      </c>
      <c r="G14" s="2" t="s">
        <v>187</v>
      </c>
      <c r="H14" s="2" t="s">
        <v>355</v>
      </c>
      <c r="I14" s="2"/>
      <c r="J14" s="2"/>
    </row>
    <row r="15" spans="1:52" ht="15" customHeight="1">
      <c r="B15" s="2" t="s">
        <v>188</v>
      </c>
      <c r="C15" s="8" t="s">
        <v>189</v>
      </c>
      <c r="D15" s="9"/>
      <c r="F15" s="2" t="s">
        <v>157</v>
      </c>
      <c r="G15" s="2" t="s">
        <v>190</v>
      </c>
      <c r="H15" s="2" t="s">
        <v>355</v>
      </c>
      <c r="I15" s="2"/>
      <c r="J15" s="2"/>
    </row>
    <row r="16" spans="1:52" ht="15" customHeight="1">
      <c r="B16" s="2" t="s">
        <v>191</v>
      </c>
      <c r="C16" s="8" t="s">
        <v>192</v>
      </c>
      <c r="D16" s="9"/>
      <c r="F16" s="2" t="s">
        <v>157</v>
      </c>
      <c r="G16" s="2" t="s">
        <v>182</v>
      </c>
      <c r="H16" s="2" t="s">
        <v>355</v>
      </c>
      <c r="I16" s="2"/>
      <c r="J16" s="2"/>
    </row>
    <row r="17" spans="2:10" ht="15" customHeight="1">
      <c r="B17" s="2" t="s">
        <v>193</v>
      </c>
      <c r="C17" s="8" t="s">
        <v>194</v>
      </c>
      <c r="D17" s="9"/>
      <c r="F17" s="2" t="s">
        <v>157</v>
      </c>
      <c r="G17" s="2" t="s">
        <v>195</v>
      </c>
      <c r="H17" s="2" t="s">
        <v>355</v>
      </c>
      <c r="I17" s="2"/>
      <c r="J17" s="2"/>
    </row>
    <row r="18" spans="2:10" ht="15" customHeight="1">
      <c r="B18" s="2" t="s">
        <v>274</v>
      </c>
      <c r="C18" s="8" t="s">
        <v>196</v>
      </c>
      <c r="D18" s="9"/>
      <c r="F18" s="2" t="s">
        <v>153</v>
      </c>
      <c r="G18" s="2" t="s">
        <v>197</v>
      </c>
      <c r="H18" s="2" t="s">
        <v>355</v>
      </c>
      <c r="I18" s="2"/>
      <c r="J18" s="2"/>
    </row>
    <row r="19" spans="2:10" ht="15" customHeight="1">
      <c r="B19" s="2" t="s">
        <v>198</v>
      </c>
      <c r="C19" s="8" t="s">
        <v>199</v>
      </c>
      <c r="D19" s="9"/>
      <c r="F19" s="2" t="s">
        <v>157</v>
      </c>
      <c r="G19" s="2" t="s">
        <v>190</v>
      </c>
      <c r="H19" s="2" t="s">
        <v>355</v>
      </c>
      <c r="I19" s="2"/>
      <c r="J19" s="2"/>
    </row>
    <row r="20" spans="2:10" ht="15" customHeight="1">
      <c r="B20" s="2" t="s">
        <v>200</v>
      </c>
      <c r="C20" s="8" t="s">
        <v>201</v>
      </c>
      <c r="D20" s="9"/>
      <c r="F20" s="2" t="s">
        <v>153</v>
      </c>
      <c r="G20" s="2" t="s">
        <v>202</v>
      </c>
      <c r="H20" s="2" t="s">
        <v>355</v>
      </c>
      <c r="I20" s="2"/>
      <c r="J20" s="2"/>
    </row>
    <row r="21" spans="2:10" ht="15" customHeight="1">
      <c r="B21" s="2" t="s">
        <v>203</v>
      </c>
      <c r="C21" s="8" t="s">
        <v>204</v>
      </c>
      <c r="D21" s="9"/>
      <c r="F21" s="2" t="s">
        <v>153</v>
      </c>
      <c r="G21" s="2" t="s">
        <v>205</v>
      </c>
      <c r="H21" s="2" t="s">
        <v>355</v>
      </c>
      <c r="I21" s="2"/>
      <c r="J21" s="2"/>
    </row>
    <row r="22" spans="2:10" ht="15" customHeight="1">
      <c r="B22" s="2" t="s">
        <v>278</v>
      </c>
      <c r="C22" s="8" t="s">
        <v>206</v>
      </c>
      <c r="D22" s="9"/>
      <c r="F22" s="2" t="s">
        <v>157</v>
      </c>
      <c r="G22" s="2" t="s">
        <v>182</v>
      </c>
      <c r="H22" s="2" t="s">
        <v>355</v>
      </c>
      <c r="I22" s="2"/>
      <c r="J22" s="2"/>
    </row>
    <row r="23" spans="2:10" ht="15" customHeight="1">
      <c r="B23" s="2" t="s">
        <v>207</v>
      </c>
      <c r="C23" s="8" t="s">
        <v>208</v>
      </c>
      <c r="D23" s="9"/>
      <c r="F23" s="2" t="s">
        <v>157</v>
      </c>
      <c r="G23" s="2" t="s">
        <v>209</v>
      </c>
      <c r="H23" s="2" t="s">
        <v>355</v>
      </c>
      <c r="I23" s="2"/>
      <c r="J23" s="2"/>
    </row>
    <row r="24" spans="2:10" ht="15" customHeight="1">
      <c r="B24" s="2" t="s">
        <v>210</v>
      </c>
      <c r="C24" s="8" t="s">
        <v>211</v>
      </c>
      <c r="D24" s="9"/>
      <c r="F24" s="2" t="s">
        <v>153</v>
      </c>
      <c r="G24" s="2" t="s">
        <v>212</v>
      </c>
      <c r="H24" s="2" t="s">
        <v>355</v>
      </c>
      <c r="I24" s="2"/>
      <c r="J24" s="2"/>
    </row>
    <row r="25" spans="2:10" ht="15" customHeight="1">
      <c r="B25" s="2" t="s">
        <v>213</v>
      </c>
      <c r="C25" s="8" t="s">
        <v>214</v>
      </c>
      <c r="D25" s="9"/>
      <c r="F25" s="2" t="s">
        <v>157</v>
      </c>
      <c r="G25" s="2" t="s">
        <v>215</v>
      </c>
      <c r="H25" s="2" t="s">
        <v>355</v>
      </c>
      <c r="I25" s="2"/>
      <c r="J25" s="2"/>
    </row>
    <row r="26" spans="2:10" ht="15" customHeight="1">
      <c r="B26" s="2" t="s">
        <v>216</v>
      </c>
      <c r="C26" s="8" t="s">
        <v>217</v>
      </c>
      <c r="D26" s="9"/>
      <c r="F26" s="2" t="s">
        <v>157</v>
      </c>
      <c r="G26" s="2" t="s">
        <v>218</v>
      </c>
      <c r="H26" s="2" t="s">
        <v>355</v>
      </c>
      <c r="I26" s="2"/>
      <c r="J26" s="2"/>
    </row>
    <row r="27" spans="2:10" ht="15" customHeight="1">
      <c r="B27" s="2" t="s">
        <v>219</v>
      </c>
      <c r="C27" s="8" t="s">
        <v>220</v>
      </c>
      <c r="D27" s="9"/>
      <c r="F27" s="2" t="s">
        <v>157</v>
      </c>
      <c r="G27" s="2" t="s">
        <v>221</v>
      </c>
      <c r="H27" s="2" t="s">
        <v>355</v>
      </c>
      <c r="I27" s="2"/>
      <c r="J27" s="2"/>
    </row>
    <row r="28" spans="2:10" ht="15" customHeight="1">
      <c r="B28" s="2" t="s">
        <v>222</v>
      </c>
      <c r="C28" s="8" t="s">
        <v>223</v>
      </c>
      <c r="D28" s="9"/>
      <c r="F28" s="2" t="s">
        <v>157</v>
      </c>
      <c r="G28" s="2" t="s">
        <v>179</v>
      </c>
      <c r="H28" s="2" t="s">
        <v>355</v>
      </c>
      <c r="I28" s="2"/>
      <c r="J28" s="2"/>
    </row>
    <row r="29" spans="2:10" ht="15" customHeight="1">
      <c r="B29" s="2" t="s">
        <v>224</v>
      </c>
      <c r="C29" s="8" t="s">
        <v>225</v>
      </c>
      <c r="D29" s="9"/>
      <c r="F29" s="2" t="s">
        <v>157</v>
      </c>
      <c r="G29" s="2" t="s">
        <v>226</v>
      </c>
      <c r="H29" s="2" t="s">
        <v>355</v>
      </c>
      <c r="I29" s="2"/>
      <c r="J29" s="2"/>
    </row>
    <row r="30" spans="2:10" ht="15" customHeight="1">
      <c r="B30" s="2" t="s">
        <v>227</v>
      </c>
      <c r="C30" s="8" t="s">
        <v>228</v>
      </c>
      <c r="D30" s="9"/>
      <c r="F30" s="2" t="s">
        <v>153</v>
      </c>
      <c r="G30" s="2" t="s">
        <v>229</v>
      </c>
      <c r="H30" s="2" t="s">
        <v>355</v>
      </c>
      <c r="I30" s="2"/>
      <c r="J30" s="2"/>
    </row>
    <row r="31" spans="2:10" ht="15" customHeight="1">
      <c r="B31" s="2" t="s">
        <v>230</v>
      </c>
      <c r="C31" s="8" t="s">
        <v>231</v>
      </c>
      <c r="D31" s="9"/>
      <c r="F31" s="2" t="s">
        <v>153</v>
      </c>
      <c r="G31" s="2" t="s">
        <v>232</v>
      </c>
      <c r="H31" s="2" t="s">
        <v>355</v>
      </c>
      <c r="I31" s="2"/>
      <c r="J31" s="2"/>
    </row>
    <row r="32" spans="2:10" ht="15" customHeight="1">
      <c r="B32" s="2" t="s">
        <v>275</v>
      </c>
      <c r="C32" s="8" t="s">
        <v>233</v>
      </c>
      <c r="D32" s="9"/>
      <c r="F32" s="2" t="s">
        <v>157</v>
      </c>
      <c r="G32" s="2" t="s">
        <v>234</v>
      </c>
      <c r="H32" s="2" t="s">
        <v>355</v>
      </c>
      <c r="I32" s="2"/>
      <c r="J32" s="2"/>
    </row>
    <row r="33" spans="2:10" ht="15" customHeight="1">
      <c r="B33" s="2" t="s">
        <v>276</v>
      </c>
      <c r="C33" s="8" t="s">
        <v>235</v>
      </c>
      <c r="D33" s="9"/>
      <c r="F33" s="2" t="s">
        <v>153</v>
      </c>
      <c r="G33" s="2" t="s">
        <v>236</v>
      </c>
      <c r="H33" s="2" t="s">
        <v>355</v>
      </c>
      <c r="I33" s="2"/>
      <c r="J33" s="2"/>
    </row>
    <row r="34" spans="2:10" ht="15" customHeight="1">
      <c r="B34" s="2" t="s">
        <v>277</v>
      </c>
      <c r="C34" s="8" t="s">
        <v>237</v>
      </c>
      <c r="D34" s="9"/>
      <c r="F34" s="2" t="s">
        <v>157</v>
      </c>
      <c r="G34" s="2" t="s">
        <v>170</v>
      </c>
      <c r="H34" s="2" t="s">
        <v>355</v>
      </c>
      <c r="I34" s="2"/>
      <c r="J34" s="2"/>
    </row>
    <row r="35" spans="2:10" ht="15" customHeight="1">
      <c r="B35" s="2" t="s">
        <v>238</v>
      </c>
      <c r="C35" s="8" t="s">
        <v>239</v>
      </c>
      <c r="D35" s="9"/>
      <c r="F35" s="2" t="s">
        <v>157</v>
      </c>
      <c r="G35" s="2" t="s">
        <v>195</v>
      </c>
      <c r="H35" s="2" t="s">
        <v>355</v>
      </c>
      <c r="I35" s="2"/>
      <c r="J35" s="2"/>
    </row>
    <row r="36" spans="2:10" ht="15" customHeight="1">
      <c r="B36" s="2" t="s">
        <v>240</v>
      </c>
      <c r="C36" s="8" t="s">
        <v>241</v>
      </c>
      <c r="D36" s="9"/>
      <c r="F36" s="2" t="s">
        <v>157</v>
      </c>
      <c r="G36" s="2" t="s">
        <v>170</v>
      </c>
      <c r="H36" s="2" t="s">
        <v>355</v>
      </c>
      <c r="I36" s="2"/>
      <c r="J36" s="2"/>
    </row>
    <row r="37" spans="2:10" ht="15" customHeight="1">
      <c r="B37" s="2" t="s">
        <v>242</v>
      </c>
      <c r="C37" s="8" t="s">
        <v>243</v>
      </c>
      <c r="D37" s="9"/>
      <c r="F37" s="2" t="s">
        <v>157</v>
      </c>
      <c r="G37" s="2" t="s">
        <v>244</v>
      </c>
      <c r="H37" s="2" t="s">
        <v>355</v>
      </c>
      <c r="I37" s="2"/>
      <c r="J37" s="2"/>
    </row>
    <row r="38" spans="2:10" ht="15" customHeight="1">
      <c r="B38" s="2" t="s">
        <v>245</v>
      </c>
      <c r="C38" s="8" t="s">
        <v>246</v>
      </c>
      <c r="D38" s="9"/>
      <c r="F38" s="2" t="s">
        <v>157</v>
      </c>
      <c r="G38" s="2" t="s">
        <v>234</v>
      </c>
      <c r="H38" s="2" t="s">
        <v>355</v>
      </c>
      <c r="I38" s="2"/>
      <c r="J38" s="2"/>
    </row>
    <row r="39" spans="2:10" ht="15" customHeight="1">
      <c r="B39" s="2" t="s">
        <v>247</v>
      </c>
      <c r="C39" s="8" t="s">
        <v>248</v>
      </c>
      <c r="D39" s="9"/>
      <c r="F39" s="2" t="s">
        <v>153</v>
      </c>
      <c r="G39" s="2" t="s">
        <v>249</v>
      </c>
      <c r="H39" s="2" t="s">
        <v>355</v>
      </c>
      <c r="I39" s="2"/>
      <c r="J39" s="2"/>
    </row>
    <row r="40" spans="2:10" ht="15" customHeight="1">
      <c r="B40" s="2" t="s">
        <v>250</v>
      </c>
      <c r="C40" s="8" t="s">
        <v>251</v>
      </c>
      <c r="D40" s="9"/>
      <c r="F40" s="2" t="s">
        <v>153</v>
      </c>
      <c r="G40" s="2" t="s">
        <v>197</v>
      </c>
      <c r="H40" s="2" t="s">
        <v>355</v>
      </c>
      <c r="I40" s="2"/>
      <c r="J40" s="2"/>
    </row>
    <row r="41" spans="2:10" ht="15" customHeight="1">
      <c r="B41" s="2" t="s">
        <v>252</v>
      </c>
      <c r="C41" s="8" t="s">
        <v>253</v>
      </c>
      <c r="D41" s="9"/>
      <c r="F41" s="2" t="s">
        <v>157</v>
      </c>
      <c r="G41" s="2" t="s">
        <v>254</v>
      </c>
      <c r="H41" s="2" t="s">
        <v>355</v>
      </c>
      <c r="I41" s="2"/>
      <c r="J41" s="2"/>
    </row>
    <row r="42" spans="2:10" ht="15" customHeight="1">
      <c r="B42" s="2" t="s">
        <v>255</v>
      </c>
      <c r="C42" s="8" t="s">
        <v>256</v>
      </c>
      <c r="D42" s="9"/>
      <c r="F42" s="2" t="s">
        <v>157</v>
      </c>
      <c r="G42" s="2" t="s">
        <v>257</v>
      </c>
      <c r="H42" s="2" t="s">
        <v>355</v>
      </c>
      <c r="I42" s="2"/>
      <c r="J42" s="2"/>
    </row>
    <row r="43" spans="2:10" ht="15" customHeight="1">
      <c r="B43" s="2" t="s">
        <v>258</v>
      </c>
      <c r="C43" s="8" t="s">
        <v>152</v>
      </c>
      <c r="D43" s="9"/>
      <c r="F43" s="2" t="s">
        <v>153</v>
      </c>
      <c r="G43" s="2" t="s">
        <v>259</v>
      </c>
      <c r="H43" s="2" t="s">
        <v>355</v>
      </c>
      <c r="I43" s="2"/>
      <c r="J43" s="2"/>
    </row>
    <row r="44" spans="2:10" ht="15" customHeight="1">
      <c r="B44" s="2" t="s">
        <v>260</v>
      </c>
      <c r="C44" s="8" t="s">
        <v>261</v>
      </c>
      <c r="D44" s="9"/>
      <c r="F44" s="2" t="s">
        <v>157</v>
      </c>
      <c r="G44" s="2" t="s">
        <v>244</v>
      </c>
      <c r="H44" s="2" t="s">
        <v>355</v>
      </c>
      <c r="I44" s="2"/>
      <c r="J44" s="2"/>
    </row>
    <row r="45" spans="2:10" ht="15" customHeight="1">
      <c r="B45" s="2" t="s">
        <v>262</v>
      </c>
      <c r="C45" s="8" t="s">
        <v>263</v>
      </c>
      <c r="D45" s="9"/>
      <c r="F45" s="2" t="s">
        <v>153</v>
      </c>
      <c r="G45" s="2" t="s">
        <v>264</v>
      </c>
      <c r="H45" s="2" t="s">
        <v>355</v>
      </c>
      <c r="I45" s="2"/>
      <c r="J45" s="2"/>
    </row>
    <row r="46" spans="2:10" ht="15" customHeight="1">
      <c r="B46" s="2" t="s">
        <v>265</v>
      </c>
      <c r="C46" s="8" t="s">
        <v>266</v>
      </c>
      <c r="D46" s="9"/>
      <c r="F46" s="2" t="s">
        <v>157</v>
      </c>
      <c r="G46" s="2" t="s">
        <v>234</v>
      </c>
      <c r="H46" s="2" t="s">
        <v>355</v>
      </c>
      <c r="I46" s="2"/>
      <c r="J46" s="2"/>
    </row>
    <row r="47" spans="2:10" ht="15" customHeight="1">
      <c r="B47" s="2" t="s">
        <v>267</v>
      </c>
      <c r="C47" s="8" t="s">
        <v>268</v>
      </c>
      <c r="D47" s="9"/>
      <c r="F47" s="2" t="s">
        <v>157</v>
      </c>
      <c r="G47" s="2" t="s">
        <v>190</v>
      </c>
      <c r="H47" s="2" t="s">
        <v>355</v>
      </c>
      <c r="I47" s="2"/>
      <c r="J47" s="2"/>
    </row>
    <row r="48" spans="2:10" ht="15" customHeight="1">
      <c r="B48" s="2" t="s">
        <v>269</v>
      </c>
      <c r="C48" s="8" t="s">
        <v>270</v>
      </c>
      <c r="D48" s="9"/>
      <c r="F48" s="2" t="s">
        <v>157</v>
      </c>
      <c r="G48" s="2" t="s">
        <v>179</v>
      </c>
      <c r="H48" s="2" t="s">
        <v>355</v>
      </c>
      <c r="I48" s="2"/>
      <c r="J48" s="2"/>
    </row>
    <row r="49" spans="2:10" ht="15" customHeight="1">
      <c r="B49" s="2" t="s">
        <v>271</v>
      </c>
      <c r="C49" s="8" t="s">
        <v>272</v>
      </c>
      <c r="D49" s="9"/>
      <c r="F49" s="2" t="s">
        <v>153</v>
      </c>
      <c r="G49" s="2" t="s">
        <v>273</v>
      </c>
      <c r="H49" s="2" t="s">
        <v>355</v>
      </c>
      <c r="I49" s="2"/>
      <c r="J49" s="2"/>
    </row>
    <row r="50" spans="2:10" ht="15" customHeight="1">
      <c r="B50" s="2" t="s">
        <v>279</v>
      </c>
      <c r="C50" s="8" t="s">
        <v>288</v>
      </c>
      <c r="D50" s="9"/>
      <c r="F50" s="2" t="s">
        <v>157</v>
      </c>
      <c r="G50" s="2" t="s">
        <v>297</v>
      </c>
      <c r="I50" s="2"/>
      <c r="J50" s="2"/>
    </row>
    <row r="51" spans="2:10" ht="15" customHeight="1">
      <c r="B51" s="2" t="s">
        <v>280</v>
      </c>
      <c r="C51" s="8" t="s">
        <v>289</v>
      </c>
      <c r="D51" s="9">
        <v>154586</v>
      </c>
      <c r="F51" s="2" t="s">
        <v>157</v>
      </c>
      <c r="G51" s="2" t="s">
        <v>298</v>
      </c>
      <c r="I51" s="2"/>
      <c r="J51" s="2"/>
    </row>
    <row r="52" spans="2:10" ht="15" customHeight="1">
      <c r="B52" s="2" t="s">
        <v>307</v>
      </c>
      <c r="C52" s="8" t="s">
        <v>354</v>
      </c>
      <c r="D52" s="9"/>
      <c r="F52" s="2" t="s">
        <v>157</v>
      </c>
      <c r="G52" s="2" t="s">
        <v>328</v>
      </c>
      <c r="I52" s="2"/>
      <c r="J52" s="2"/>
    </row>
    <row r="53" spans="2:10" ht="15" customHeight="1">
      <c r="B53" s="2" t="s">
        <v>281</v>
      </c>
      <c r="C53" s="8" t="s">
        <v>290</v>
      </c>
      <c r="D53" s="9"/>
      <c r="F53" s="2" t="s">
        <v>157</v>
      </c>
      <c r="G53" s="2" t="s">
        <v>329</v>
      </c>
      <c r="I53" s="2"/>
      <c r="J53" s="2"/>
    </row>
    <row r="54" spans="2:10" ht="15" customHeight="1">
      <c r="B54" s="2" t="s">
        <v>282</v>
      </c>
      <c r="C54" s="8" t="s">
        <v>291</v>
      </c>
      <c r="D54" s="9"/>
      <c r="F54" s="2" t="s">
        <v>157</v>
      </c>
      <c r="G54" s="2" t="s">
        <v>330</v>
      </c>
      <c r="I54" s="2"/>
      <c r="J54" s="2"/>
    </row>
    <row r="55" spans="2:10" ht="15" customHeight="1">
      <c r="B55" s="2" t="s">
        <v>283</v>
      </c>
      <c r="C55" s="8" t="s">
        <v>292</v>
      </c>
      <c r="D55" s="9"/>
      <c r="F55" s="2" t="s">
        <v>157</v>
      </c>
      <c r="G55" s="2" t="s">
        <v>331</v>
      </c>
      <c r="I55" s="2"/>
      <c r="J55" s="2"/>
    </row>
    <row r="56" spans="2:10" ht="15" customHeight="1">
      <c r="B56" s="2" t="s">
        <v>284</v>
      </c>
      <c r="C56" s="8" t="s">
        <v>293</v>
      </c>
      <c r="D56" s="9"/>
      <c r="F56" s="2" t="s">
        <v>157</v>
      </c>
      <c r="G56" s="2" t="s">
        <v>195</v>
      </c>
      <c r="I56" s="2"/>
      <c r="J56" s="2"/>
    </row>
    <row r="57" spans="2:10" ht="15" customHeight="1">
      <c r="B57" s="2" t="s">
        <v>285</v>
      </c>
      <c r="C57" s="8" t="s">
        <v>294</v>
      </c>
      <c r="D57" s="9"/>
      <c r="F57" s="2" t="s">
        <v>157</v>
      </c>
      <c r="G57" s="2" t="s">
        <v>179</v>
      </c>
      <c r="I57" s="2"/>
      <c r="J57" s="2"/>
    </row>
    <row r="58" spans="2:10" ht="15" customHeight="1">
      <c r="B58" s="2" t="s">
        <v>286</v>
      </c>
      <c r="C58" s="8" t="s">
        <v>295</v>
      </c>
      <c r="D58" s="9"/>
      <c r="F58" s="2" t="s">
        <v>157</v>
      </c>
      <c r="G58" s="2" t="s">
        <v>332</v>
      </c>
      <c r="I58" s="2"/>
      <c r="J58" s="2"/>
    </row>
    <row r="59" spans="2:10" ht="15" customHeight="1">
      <c r="B59" s="2" t="s">
        <v>287</v>
      </c>
      <c r="C59" s="8" t="s">
        <v>296</v>
      </c>
      <c r="D59" s="9"/>
      <c r="F59" s="2" t="s">
        <v>157</v>
      </c>
      <c r="G59" s="2" t="s">
        <v>179</v>
      </c>
      <c r="I59" s="2"/>
      <c r="J59" s="2"/>
    </row>
    <row r="60" spans="2:10" ht="15" customHeight="1">
      <c r="B60" s="2" t="s">
        <v>299</v>
      </c>
      <c r="C60" s="8" t="s">
        <v>340</v>
      </c>
      <c r="D60" s="9"/>
      <c r="F60" s="2" t="s">
        <v>157</v>
      </c>
      <c r="G60" s="2" t="s">
        <v>333</v>
      </c>
      <c r="H60" s="2" t="s">
        <v>306</v>
      </c>
      <c r="I60" s="2"/>
      <c r="J60" s="2"/>
    </row>
    <row r="61" spans="2:10" ht="15" customHeight="1">
      <c r="B61" s="2" t="s">
        <v>300</v>
      </c>
      <c r="C61" s="8" t="s">
        <v>341</v>
      </c>
      <c r="D61" s="9"/>
      <c r="F61" s="2" t="s">
        <v>157</v>
      </c>
      <c r="G61" s="2" t="s">
        <v>234</v>
      </c>
      <c r="H61" s="2" t="s">
        <v>305</v>
      </c>
      <c r="I61" s="2"/>
      <c r="J61" s="2"/>
    </row>
    <row r="62" spans="2:10" ht="15" customHeight="1">
      <c r="B62" s="2" t="s">
        <v>302</v>
      </c>
      <c r="C62" s="8" t="s">
        <v>342</v>
      </c>
      <c r="D62" s="9"/>
      <c r="F62" s="2" t="s">
        <v>157</v>
      </c>
      <c r="G62" s="2" t="s">
        <v>244</v>
      </c>
      <c r="H62" s="2" t="s">
        <v>303</v>
      </c>
      <c r="I62" s="2"/>
      <c r="J62" s="2"/>
    </row>
    <row r="63" spans="2:10" ht="15" customHeight="1">
      <c r="B63" s="2" t="s">
        <v>301</v>
      </c>
      <c r="C63" s="8" t="s">
        <v>343</v>
      </c>
      <c r="D63" s="9">
        <v>91958</v>
      </c>
      <c r="F63" s="2" t="s">
        <v>157</v>
      </c>
      <c r="G63" s="2" t="s">
        <v>334</v>
      </c>
      <c r="H63" s="2" t="s">
        <v>304</v>
      </c>
      <c r="I63" s="2"/>
      <c r="J63" s="2"/>
    </row>
    <row r="64" spans="2:10" ht="15" customHeight="1">
      <c r="B64" s="2" t="s">
        <v>308</v>
      </c>
      <c r="C64" s="8" t="s">
        <v>344</v>
      </c>
      <c r="D64" s="9"/>
      <c r="F64" s="2" t="s">
        <v>157</v>
      </c>
      <c r="G64" s="2" t="s">
        <v>335</v>
      </c>
      <c r="H64" s="2" t="s">
        <v>318</v>
      </c>
      <c r="I64" s="2"/>
      <c r="J64" s="2"/>
    </row>
    <row r="65" spans="2:10" ht="15" customHeight="1">
      <c r="B65" s="2" t="s">
        <v>309</v>
      </c>
      <c r="C65" s="8" t="s">
        <v>345</v>
      </c>
      <c r="D65" s="9"/>
      <c r="F65" s="2" t="s">
        <v>157</v>
      </c>
      <c r="G65" s="2" t="s">
        <v>179</v>
      </c>
      <c r="H65" s="2" t="s">
        <v>319</v>
      </c>
      <c r="I65" s="2"/>
      <c r="J65" s="2"/>
    </row>
    <row r="66" spans="2:10" ht="15" customHeight="1">
      <c r="B66" s="2" t="s">
        <v>310</v>
      </c>
      <c r="C66" s="8" t="s">
        <v>346</v>
      </c>
      <c r="D66" s="9"/>
      <c r="F66" s="2" t="s">
        <v>157</v>
      </c>
      <c r="G66" s="2" t="s">
        <v>336</v>
      </c>
      <c r="H66" s="2" t="s">
        <v>320</v>
      </c>
      <c r="I66" s="2"/>
      <c r="J66" s="2"/>
    </row>
    <row r="67" spans="2:10" ht="15" customHeight="1">
      <c r="B67" s="2" t="s">
        <v>311</v>
      </c>
      <c r="C67" s="8" t="s">
        <v>347</v>
      </c>
      <c r="D67" s="9"/>
      <c r="F67" s="2" t="s">
        <v>157</v>
      </c>
      <c r="G67" s="2" t="s">
        <v>337</v>
      </c>
      <c r="H67" s="2" t="s">
        <v>321</v>
      </c>
      <c r="I67" s="2"/>
      <c r="J67" s="2"/>
    </row>
    <row r="68" spans="2:10" ht="15" customHeight="1">
      <c r="B68" s="2" t="s">
        <v>312</v>
      </c>
      <c r="C68" s="8" t="s">
        <v>348</v>
      </c>
      <c r="D68" s="9"/>
      <c r="F68" s="2" t="s">
        <v>157</v>
      </c>
      <c r="G68" s="2" t="s">
        <v>329</v>
      </c>
      <c r="H68" s="2" t="s">
        <v>322</v>
      </c>
      <c r="I68" s="2"/>
      <c r="J68" s="2"/>
    </row>
    <row r="69" spans="2:10" ht="15" customHeight="1">
      <c r="B69" s="2" t="s">
        <v>313</v>
      </c>
      <c r="C69" s="8" t="s">
        <v>349</v>
      </c>
      <c r="D69" s="9"/>
      <c r="F69" s="2" t="s">
        <v>157</v>
      </c>
      <c r="G69" s="2" t="s">
        <v>338</v>
      </c>
      <c r="H69" s="2" t="s">
        <v>323</v>
      </c>
      <c r="I69" s="2"/>
      <c r="J69" s="2"/>
    </row>
    <row r="70" spans="2:10" ht="15" customHeight="1">
      <c r="B70" s="2" t="s">
        <v>314</v>
      </c>
      <c r="C70" s="8" t="s">
        <v>350</v>
      </c>
      <c r="D70" s="9"/>
      <c r="F70" s="2" t="s">
        <v>157</v>
      </c>
      <c r="G70" s="2" t="s">
        <v>170</v>
      </c>
      <c r="H70" s="2" t="s">
        <v>324</v>
      </c>
      <c r="I70" s="2"/>
      <c r="J70" s="2"/>
    </row>
    <row r="71" spans="2:10" ht="15" customHeight="1">
      <c r="B71" s="2" t="s">
        <v>315</v>
      </c>
      <c r="C71" s="8" t="s">
        <v>351</v>
      </c>
      <c r="D71" s="9"/>
      <c r="F71" s="2" t="s">
        <v>157</v>
      </c>
      <c r="G71" s="2" t="s">
        <v>257</v>
      </c>
      <c r="H71" s="2" t="s">
        <v>325</v>
      </c>
      <c r="I71" s="2"/>
      <c r="J71" s="2"/>
    </row>
    <row r="72" spans="2:10" ht="15" customHeight="1">
      <c r="B72" s="2" t="s">
        <v>316</v>
      </c>
      <c r="C72" s="8" t="s">
        <v>352</v>
      </c>
      <c r="D72" s="9"/>
      <c r="F72" s="2" t="s">
        <v>157</v>
      </c>
      <c r="G72" s="2" t="s">
        <v>339</v>
      </c>
      <c r="H72" s="2" t="s">
        <v>326</v>
      </c>
      <c r="I72" s="2"/>
      <c r="J72" s="2"/>
    </row>
    <row r="73" spans="2:10" ht="15" customHeight="1">
      <c r="B73" s="2" t="s">
        <v>317</v>
      </c>
      <c r="C73" s="8" t="s">
        <v>353</v>
      </c>
      <c r="D73" s="9"/>
      <c r="F73" s="2" t="s">
        <v>157</v>
      </c>
      <c r="G73" s="2" t="s">
        <v>221</v>
      </c>
      <c r="H73" s="2" t="s">
        <v>327</v>
      </c>
      <c r="I73" s="2"/>
      <c r="J73" s="2"/>
    </row>
    <row r="74" spans="2:10" ht="14.25">
      <c r="C74" s="8"/>
      <c r="D74" s="9"/>
      <c r="I74" s="2"/>
      <c r="J74" s="2"/>
    </row>
    <row r="75" spans="2:10" ht="14.25">
      <c r="C75" s="8"/>
      <c r="D75" s="9"/>
      <c r="I75" s="2"/>
      <c r="J75" s="2"/>
    </row>
    <row r="76" spans="2:10" ht="14.25">
      <c r="C76" s="8"/>
      <c r="D76" s="9"/>
      <c r="I76" s="2"/>
      <c r="J76" s="2"/>
    </row>
    <row r="77" spans="2:10" ht="14.25">
      <c r="C77" s="8"/>
      <c r="D77" s="9"/>
      <c r="I77" s="2"/>
      <c r="J77" s="2"/>
    </row>
    <row r="78" spans="2:10" ht="14.25">
      <c r="C78" s="8"/>
      <c r="D78" s="9"/>
      <c r="I78" s="2"/>
      <c r="J78" s="2"/>
    </row>
    <row r="79" spans="2:10" ht="14.25">
      <c r="C79" s="8"/>
      <c r="D79" s="9"/>
      <c r="I79" s="2"/>
      <c r="J79" s="2"/>
    </row>
    <row r="80" spans="2:10" ht="14.25">
      <c r="C80" s="8"/>
      <c r="D80" s="9"/>
      <c r="I80" s="2"/>
      <c r="J80" s="2"/>
    </row>
    <row r="81" spans="3:10" ht="14.25">
      <c r="C81" s="8"/>
      <c r="D81" s="9"/>
      <c r="I81" s="2"/>
      <c r="J81" s="2"/>
    </row>
    <row r="82" spans="3:10" ht="14.25">
      <c r="C82" s="8"/>
      <c r="D82" s="9"/>
      <c r="I82" s="2"/>
      <c r="J82" s="2"/>
    </row>
    <row r="83" spans="3:10" ht="14.25">
      <c r="C83" s="8"/>
      <c r="D83" s="9"/>
      <c r="I83" s="2"/>
      <c r="J83" s="2"/>
    </row>
    <row r="84" spans="3:10" ht="14.25">
      <c r="C84" s="8"/>
      <c r="D84" s="9"/>
      <c r="I84" s="2"/>
      <c r="J84" s="2"/>
    </row>
    <row r="85" spans="3:10" ht="14.25">
      <c r="C85" s="8"/>
      <c r="D85" s="9"/>
      <c r="I85" s="2"/>
      <c r="J85" s="2"/>
    </row>
    <row r="86" spans="3:10" ht="14.25">
      <c r="C86" s="8"/>
      <c r="D86" s="9"/>
      <c r="I86" s="2"/>
      <c r="J86" s="2"/>
    </row>
    <row r="87" spans="3:10" ht="14.25">
      <c r="C87" s="8"/>
      <c r="D87" s="9"/>
      <c r="I87" s="2"/>
      <c r="J87" s="2"/>
    </row>
    <row r="88" spans="3:10" ht="14.25">
      <c r="C88" s="8"/>
      <c r="D88" s="9"/>
      <c r="I88" s="2"/>
      <c r="J88" s="2"/>
    </row>
    <row r="89" spans="3:10" ht="14.25">
      <c r="C89" s="8"/>
      <c r="D89" s="9"/>
      <c r="I89" s="2"/>
      <c r="J89" s="2"/>
    </row>
    <row r="90" spans="3:10" ht="14.25">
      <c r="C90" s="8"/>
      <c r="D90" s="9"/>
      <c r="I90" s="2"/>
      <c r="J90" s="2"/>
    </row>
    <row r="91" spans="3:10" ht="14.25">
      <c r="C91" s="8"/>
      <c r="D91" s="9"/>
      <c r="I91" s="2"/>
      <c r="J91" s="2"/>
    </row>
  </sheetData>
  <hyperlinks>
    <hyperlink ref="B1" r:id="rId1" xr:uid="{DFEDA233-E3FD-4CE8-B373-31E05555B23A}"/>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7DD-866D-4C79-B5E2-E60A14EA721C}">
  <dimension ref="A1"/>
  <sheetViews>
    <sheetView workbookViewId="0">
      <selection sqref="A1:XFD1048576"/>
    </sheetView>
  </sheetViews>
  <sheetFormatPr defaultColWidth="9.140625" defaultRowHeight="14.25"/>
  <cols>
    <col min="1" max="1" width="3.42578125" style="2" customWidth="1"/>
    <col min="2" max="16384" width="9.140625" style="2"/>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63"/>
  <sheetViews>
    <sheetView tabSelected="1" topLeftCell="A146" zoomScaleNormal="100" workbookViewId="0">
      <selection activeCell="E161" sqref="E161"/>
    </sheetView>
  </sheetViews>
  <sheetFormatPr defaultRowHeight="14.25" customHeight="1"/>
  <cols>
    <col min="1" max="1" width="3.140625" style="13" customWidth="1"/>
    <col min="2" max="2" width="9.140625" style="13"/>
    <col min="3" max="3" width="10.7109375" style="15" bestFit="1" customWidth="1"/>
    <col min="4" max="4" width="9.140625" style="15"/>
    <col min="5" max="5" width="9.7109375" style="13" customWidth="1"/>
    <col min="6" max="6" width="10.28515625" style="15" customWidth="1"/>
    <col min="7" max="7" width="9.7109375" style="13" customWidth="1"/>
    <col min="8" max="8" width="9.28515625" style="13" customWidth="1"/>
    <col min="9" max="9" width="6.7109375" style="13" customWidth="1"/>
    <col min="10" max="10" width="12.28515625" style="13" bestFit="1" customWidth="1"/>
    <col min="11" max="16384" width="9.140625" style="13"/>
  </cols>
  <sheetData>
    <row r="2" spans="2:10" ht="14.25" customHeight="1">
      <c r="B2" s="11" t="s">
        <v>4</v>
      </c>
      <c r="C2" s="11" t="s">
        <v>0</v>
      </c>
      <c r="D2" s="11" t="s">
        <v>1</v>
      </c>
      <c r="E2" s="11" t="s">
        <v>6</v>
      </c>
      <c r="F2" s="12" t="s">
        <v>5</v>
      </c>
      <c r="G2" s="11" t="s">
        <v>2</v>
      </c>
      <c r="H2" s="11" t="s">
        <v>7</v>
      </c>
      <c r="I2" s="11" t="s">
        <v>3</v>
      </c>
      <c r="J2" s="11" t="s">
        <v>19</v>
      </c>
    </row>
    <row r="3" spans="2:10" ht="14.25" customHeight="1">
      <c r="B3" s="13" t="s">
        <v>13</v>
      </c>
      <c r="C3" s="14">
        <v>45480</v>
      </c>
      <c r="D3" s="15" t="s">
        <v>9</v>
      </c>
      <c r="E3" s="16">
        <v>101.5</v>
      </c>
      <c r="F3" s="15">
        <v>7</v>
      </c>
      <c r="G3" s="16"/>
      <c r="H3" s="17"/>
      <c r="I3" s="18" t="s">
        <v>16</v>
      </c>
      <c r="J3" s="15" t="s">
        <v>20</v>
      </c>
    </row>
    <row r="4" spans="2:10" ht="14.25" customHeight="1">
      <c r="B4" s="13" t="s">
        <v>8</v>
      </c>
      <c r="C4" s="14">
        <v>45609</v>
      </c>
      <c r="D4" s="15" t="s">
        <v>9</v>
      </c>
      <c r="E4" s="16">
        <v>1.51</v>
      </c>
      <c r="F4" s="15">
        <v>3</v>
      </c>
      <c r="G4" s="16">
        <v>2.41</v>
      </c>
      <c r="H4" s="17">
        <f t="shared" ref="H4:H15" si="0">G4/E4-1</f>
        <v>0.59602649006622532</v>
      </c>
      <c r="I4" s="18" t="s">
        <v>10</v>
      </c>
      <c r="J4" s="15" t="s">
        <v>21</v>
      </c>
    </row>
    <row r="5" spans="2:10" ht="14.25" customHeight="1">
      <c r="B5" s="13" t="s">
        <v>11</v>
      </c>
      <c r="C5" s="14">
        <v>45610</v>
      </c>
      <c r="D5" s="15" t="s">
        <v>9</v>
      </c>
      <c r="E5" s="16">
        <v>330</v>
      </c>
      <c r="F5" s="15">
        <v>4</v>
      </c>
      <c r="G5" s="16">
        <v>400</v>
      </c>
      <c r="H5" s="17">
        <f t="shared" si="0"/>
        <v>0.21212121212121215</v>
      </c>
      <c r="I5" s="18" t="s">
        <v>12</v>
      </c>
      <c r="J5" s="15" t="s">
        <v>21</v>
      </c>
    </row>
    <row r="6" spans="2:10" ht="14.25" customHeight="1">
      <c r="B6" s="13" t="s">
        <v>18</v>
      </c>
      <c r="C6" s="14">
        <v>45628</v>
      </c>
      <c r="D6" s="15" t="s">
        <v>15</v>
      </c>
      <c r="E6" s="16">
        <v>391.16</v>
      </c>
      <c r="F6" s="15">
        <v>5</v>
      </c>
      <c r="G6" s="16">
        <v>302.27</v>
      </c>
      <c r="H6" s="17">
        <f t="shared" ref="H6:H7" si="1">-(G6/E6-1)</f>
        <v>0.22724716228653241</v>
      </c>
      <c r="I6" s="19" t="s">
        <v>114</v>
      </c>
      <c r="J6" s="15" t="s">
        <v>21</v>
      </c>
    </row>
    <row r="7" spans="2:10" ht="14.25" customHeight="1">
      <c r="B7" s="13" t="s">
        <v>69</v>
      </c>
      <c r="C7" s="14">
        <v>45629</v>
      </c>
      <c r="D7" s="15" t="s">
        <v>15</v>
      </c>
      <c r="E7" s="16">
        <v>91.8</v>
      </c>
      <c r="F7" s="15">
        <v>4</v>
      </c>
      <c r="G7" s="16">
        <v>60.11</v>
      </c>
      <c r="H7" s="17">
        <f t="shared" si="1"/>
        <v>0.34520697167755987</v>
      </c>
      <c r="I7" s="18" t="s">
        <v>92</v>
      </c>
      <c r="J7" s="15" t="s">
        <v>21</v>
      </c>
    </row>
    <row r="8" spans="2:10" ht="14.25" customHeight="1">
      <c r="B8" s="13" t="s">
        <v>17</v>
      </c>
      <c r="C8" s="14">
        <v>45632</v>
      </c>
      <c r="D8" s="15" t="s">
        <v>9</v>
      </c>
      <c r="E8" s="16">
        <v>154.71</v>
      </c>
      <c r="F8" s="15">
        <v>4</v>
      </c>
      <c r="G8" s="16">
        <v>173.45</v>
      </c>
      <c r="H8" s="17">
        <f t="shared" si="0"/>
        <v>0.12112985585934966</v>
      </c>
      <c r="I8" s="18" t="s">
        <v>67</v>
      </c>
      <c r="J8" s="15" t="s">
        <v>21</v>
      </c>
    </row>
    <row r="9" spans="2:10" ht="14.25" customHeight="1">
      <c r="B9" s="13" t="s">
        <v>14</v>
      </c>
      <c r="C9" s="14">
        <v>45635</v>
      </c>
      <c r="D9" s="15" t="s">
        <v>15</v>
      </c>
      <c r="E9" s="16">
        <v>35.75</v>
      </c>
      <c r="F9" s="15">
        <v>8</v>
      </c>
      <c r="G9" s="16">
        <v>20.260000000000002</v>
      </c>
      <c r="H9" s="17">
        <f>-(G9/E9-1)</f>
        <v>0.4332867132867132</v>
      </c>
      <c r="I9" s="18" t="s">
        <v>387</v>
      </c>
      <c r="J9" s="15" t="s">
        <v>21</v>
      </c>
    </row>
    <row r="10" spans="2:10" ht="14.25" customHeight="1">
      <c r="B10" s="13" t="s">
        <v>90</v>
      </c>
      <c r="C10" s="14">
        <v>45678</v>
      </c>
      <c r="D10" s="15" t="s">
        <v>9</v>
      </c>
      <c r="E10" s="16">
        <v>104.56</v>
      </c>
      <c r="F10" s="15">
        <v>3</v>
      </c>
      <c r="G10" s="16">
        <v>93.8</v>
      </c>
      <c r="H10" s="17">
        <f t="shared" si="0"/>
        <v>-0.10290742157612853</v>
      </c>
      <c r="I10" s="19" t="s">
        <v>97</v>
      </c>
      <c r="J10" s="15" t="s">
        <v>21</v>
      </c>
    </row>
    <row r="11" spans="2:10" ht="14.25" customHeight="1">
      <c r="B11" s="13" t="s">
        <v>98</v>
      </c>
      <c r="C11" s="14">
        <v>45684</v>
      </c>
      <c r="D11" s="15" t="s">
        <v>9</v>
      </c>
      <c r="E11" s="16">
        <v>191.5</v>
      </c>
      <c r="F11" s="15">
        <v>6</v>
      </c>
      <c r="G11" s="16">
        <v>400</v>
      </c>
      <c r="H11" s="17">
        <f t="shared" si="0"/>
        <v>1.0887728459530028</v>
      </c>
      <c r="I11" s="18" t="s">
        <v>456</v>
      </c>
      <c r="J11" s="15" t="s">
        <v>21</v>
      </c>
    </row>
    <row r="12" spans="2:10" ht="14.25" customHeight="1">
      <c r="B12" s="13" t="s">
        <v>385</v>
      </c>
      <c r="C12" s="14">
        <v>45695</v>
      </c>
      <c r="D12" s="15" t="s">
        <v>9</v>
      </c>
      <c r="E12" s="16">
        <v>657.76</v>
      </c>
      <c r="F12" s="15">
        <v>5</v>
      </c>
      <c r="G12" s="16"/>
      <c r="H12" s="17"/>
      <c r="I12" s="18" t="s">
        <v>428</v>
      </c>
      <c r="J12" s="15" t="s">
        <v>20</v>
      </c>
    </row>
    <row r="13" spans="2:10" ht="14.25" customHeight="1">
      <c r="B13" s="13" t="s">
        <v>386</v>
      </c>
      <c r="C13" s="14">
        <v>45695</v>
      </c>
      <c r="D13" s="15" t="s">
        <v>9</v>
      </c>
      <c r="E13" s="16">
        <v>140.46</v>
      </c>
      <c r="F13" s="15">
        <v>4</v>
      </c>
      <c r="G13" s="16"/>
      <c r="H13" s="17"/>
      <c r="I13" s="18" t="s">
        <v>428</v>
      </c>
      <c r="J13" s="15" t="s">
        <v>20</v>
      </c>
    </row>
    <row r="14" spans="2:10" ht="14.25" customHeight="1">
      <c r="B14" s="13" t="s">
        <v>441</v>
      </c>
      <c r="C14" s="14">
        <v>45695</v>
      </c>
      <c r="D14" s="15" t="s">
        <v>9</v>
      </c>
      <c r="E14" s="16">
        <v>76.5</v>
      </c>
      <c r="F14" s="15">
        <v>3</v>
      </c>
      <c r="G14" s="16">
        <v>57.5</v>
      </c>
      <c r="H14" s="17">
        <f t="shared" si="0"/>
        <v>-0.24836601307189543</v>
      </c>
      <c r="I14" s="18" t="s">
        <v>428</v>
      </c>
      <c r="J14" s="15" t="s">
        <v>21</v>
      </c>
    </row>
    <row r="15" spans="2:10" ht="14.25" customHeight="1">
      <c r="B15" s="13" t="s">
        <v>89</v>
      </c>
      <c r="C15" s="14">
        <v>45700</v>
      </c>
      <c r="D15" s="15" t="s">
        <v>9</v>
      </c>
      <c r="E15" s="16">
        <v>53.5</v>
      </c>
      <c r="F15" s="15">
        <v>3</v>
      </c>
      <c r="G15" s="16">
        <v>46.28</v>
      </c>
      <c r="H15" s="17">
        <f t="shared" si="0"/>
        <v>-0.13495327102803734</v>
      </c>
      <c r="I15" s="18" t="s">
        <v>405</v>
      </c>
      <c r="J15" s="15" t="s">
        <v>21</v>
      </c>
    </row>
    <row r="16" spans="2:10" ht="14.25" customHeight="1">
      <c r="B16" s="13" t="s">
        <v>442</v>
      </c>
      <c r="C16" s="14">
        <v>45706</v>
      </c>
      <c r="D16" s="15" t="s">
        <v>9</v>
      </c>
      <c r="E16" s="16">
        <v>80.739999999999995</v>
      </c>
      <c r="F16" s="15">
        <v>3</v>
      </c>
      <c r="G16" s="16">
        <v>66.900000000000006</v>
      </c>
      <c r="H16" s="17">
        <f t="shared" ref="H16" si="2">G16/E16-1</f>
        <v>-0.17141441664602419</v>
      </c>
      <c r="I16" s="18" t="s">
        <v>405</v>
      </c>
      <c r="J16" s="15" t="s">
        <v>21</v>
      </c>
    </row>
    <row r="17" spans="2:10" ht="14.25" customHeight="1">
      <c r="B17" s="13" t="s">
        <v>93</v>
      </c>
      <c r="C17" s="14">
        <v>45707</v>
      </c>
      <c r="D17" s="15" t="s">
        <v>15</v>
      </c>
      <c r="E17" s="16">
        <v>59.13</v>
      </c>
      <c r="F17" s="15">
        <v>5</v>
      </c>
      <c r="G17" s="16">
        <v>47.62</v>
      </c>
      <c r="H17" s="17">
        <f>-(G17/E17-1)</f>
        <v>0.19465584305766959</v>
      </c>
      <c r="I17" s="19" t="s">
        <v>106</v>
      </c>
      <c r="J17" s="15" t="s">
        <v>21</v>
      </c>
    </row>
    <row r="18" spans="2:10" ht="14.25" customHeight="1">
      <c r="B18" s="13" t="s">
        <v>22</v>
      </c>
      <c r="C18" s="14">
        <v>45709</v>
      </c>
      <c r="D18" s="15" t="s">
        <v>9</v>
      </c>
      <c r="E18" s="16">
        <v>28.6</v>
      </c>
      <c r="F18" s="15">
        <v>6</v>
      </c>
      <c r="G18" s="16"/>
      <c r="H18" s="17"/>
      <c r="I18" s="18"/>
    </row>
    <row r="19" spans="2:10" ht="14.25" customHeight="1">
      <c r="B19" s="13" t="s">
        <v>71</v>
      </c>
      <c r="C19" s="14">
        <v>45712</v>
      </c>
      <c r="D19" s="15" t="s">
        <v>408</v>
      </c>
      <c r="E19" s="16">
        <v>217.5</v>
      </c>
      <c r="F19" s="15">
        <v>6</v>
      </c>
      <c r="G19" s="16"/>
      <c r="H19" s="17"/>
      <c r="I19" s="18"/>
    </row>
    <row r="20" spans="2:10" ht="14.25" customHeight="1">
      <c r="B20" s="13" t="s">
        <v>84</v>
      </c>
      <c r="C20" s="14">
        <v>45737</v>
      </c>
      <c r="D20" s="15" t="s">
        <v>9</v>
      </c>
      <c r="E20" s="16">
        <v>73.72</v>
      </c>
      <c r="F20" s="15">
        <v>5</v>
      </c>
      <c r="G20" s="16">
        <v>92.05</v>
      </c>
      <c r="H20" s="17">
        <f t="shared" ref="H20:H25" si="3">G20/E20-1</f>
        <v>0.24864351600651102</v>
      </c>
      <c r="I20" s="18" t="s">
        <v>423</v>
      </c>
      <c r="J20" s="15" t="s">
        <v>21</v>
      </c>
    </row>
    <row r="21" spans="2:10" ht="14.25" customHeight="1">
      <c r="B21" s="13" t="s">
        <v>99</v>
      </c>
      <c r="C21" s="14">
        <v>45737</v>
      </c>
      <c r="D21" s="15" t="s">
        <v>9</v>
      </c>
      <c r="E21" s="16">
        <v>89.96</v>
      </c>
      <c r="F21" s="15">
        <v>6</v>
      </c>
      <c r="G21" s="16">
        <v>86.59</v>
      </c>
      <c r="H21" s="17">
        <f>G21/E21-1</f>
        <v>-3.7461093819475266E-2</v>
      </c>
      <c r="I21" s="18" t="s">
        <v>368</v>
      </c>
      <c r="J21" s="15" t="s">
        <v>21</v>
      </c>
    </row>
    <row r="22" spans="2:10" ht="14.25" customHeight="1">
      <c r="B22" s="13" t="s">
        <v>23</v>
      </c>
      <c r="C22" s="14">
        <v>45742</v>
      </c>
      <c r="D22" s="15" t="s">
        <v>9</v>
      </c>
      <c r="E22" s="16">
        <v>170</v>
      </c>
      <c r="F22" s="15">
        <v>3</v>
      </c>
      <c r="G22" s="16">
        <v>175</v>
      </c>
      <c r="H22" s="17">
        <f t="shared" si="3"/>
        <v>2.9411764705882248E-2</v>
      </c>
      <c r="I22" s="18" t="s">
        <v>72</v>
      </c>
      <c r="J22" s="15" t="s">
        <v>21</v>
      </c>
    </row>
    <row r="23" spans="2:10" ht="14.25" customHeight="1">
      <c r="B23" s="13" t="s">
        <v>24</v>
      </c>
      <c r="C23" s="14">
        <v>45747</v>
      </c>
      <c r="D23" s="15" t="s">
        <v>9</v>
      </c>
      <c r="E23" s="16">
        <v>15.74</v>
      </c>
      <c r="F23" s="15">
        <v>7</v>
      </c>
      <c r="G23" s="16">
        <v>18.57</v>
      </c>
      <c r="H23" s="17">
        <f t="shared" si="3"/>
        <v>0.17979669631512074</v>
      </c>
      <c r="I23" s="18" t="s">
        <v>429</v>
      </c>
      <c r="J23" s="15" t="s">
        <v>21</v>
      </c>
    </row>
    <row r="24" spans="2:10" ht="14.25" customHeight="1">
      <c r="B24" s="13" t="s">
        <v>70</v>
      </c>
      <c r="C24" s="14">
        <v>45747</v>
      </c>
      <c r="D24" s="15" t="s">
        <v>9</v>
      </c>
      <c r="E24" s="16">
        <v>83.02</v>
      </c>
      <c r="F24" s="15">
        <v>4</v>
      </c>
      <c r="G24" s="16">
        <v>90.05</v>
      </c>
      <c r="H24" s="17">
        <f t="shared" si="3"/>
        <v>8.4678390749217014E-2</v>
      </c>
      <c r="I24" s="18" t="s">
        <v>424</v>
      </c>
      <c r="J24" s="15" t="s">
        <v>21</v>
      </c>
    </row>
    <row r="25" spans="2:10" ht="14.25" customHeight="1">
      <c r="B25" s="13" t="s">
        <v>88</v>
      </c>
      <c r="C25" s="14">
        <v>45751</v>
      </c>
      <c r="D25" s="15" t="s">
        <v>9</v>
      </c>
      <c r="E25" s="16">
        <v>1360.52</v>
      </c>
      <c r="F25" s="15">
        <v>4</v>
      </c>
      <c r="G25" s="16">
        <v>1130</v>
      </c>
      <c r="H25" s="17">
        <f t="shared" si="3"/>
        <v>-0.16943521594684385</v>
      </c>
      <c r="I25" s="18" t="s">
        <v>425</v>
      </c>
      <c r="J25" s="15" t="s">
        <v>21</v>
      </c>
    </row>
    <row r="26" spans="2:10" ht="14.25" customHeight="1">
      <c r="B26" s="13" t="s">
        <v>73</v>
      </c>
      <c r="C26" s="14">
        <v>45754</v>
      </c>
      <c r="D26" s="15" t="s">
        <v>9</v>
      </c>
      <c r="E26" s="16">
        <v>264.44</v>
      </c>
      <c r="F26" s="15">
        <v>4</v>
      </c>
      <c r="G26" s="16">
        <v>278.10000000000002</v>
      </c>
      <c r="H26" s="17">
        <f t="shared" ref="H26:H32" si="4">G26/E26-1</f>
        <v>5.1656330358493596E-2</v>
      </c>
      <c r="I26" s="18" t="s">
        <v>122</v>
      </c>
      <c r="J26" s="15" t="s">
        <v>21</v>
      </c>
    </row>
    <row r="27" spans="2:10" ht="14.25" customHeight="1">
      <c r="B27" s="13" t="s">
        <v>116</v>
      </c>
      <c r="C27" s="14">
        <v>45754</v>
      </c>
      <c r="D27" s="15" t="s">
        <v>9</v>
      </c>
      <c r="E27" s="16">
        <v>58.97</v>
      </c>
      <c r="F27" s="15">
        <v>7</v>
      </c>
      <c r="G27" s="16">
        <v>75.02</v>
      </c>
      <c r="H27" s="17">
        <f t="shared" si="4"/>
        <v>0.2721722909954214</v>
      </c>
      <c r="I27" s="18" t="s">
        <v>109</v>
      </c>
      <c r="J27" s="15" t="s">
        <v>21</v>
      </c>
    </row>
    <row r="28" spans="2:10" ht="14.25" customHeight="1">
      <c r="B28" s="13" t="s">
        <v>13</v>
      </c>
      <c r="C28" s="14">
        <v>45754</v>
      </c>
      <c r="D28" s="15" t="s">
        <v>9</v>
      </c>
      <c r="E28" s="16">
        <v>96.69</v>
      </c>
      <c r="F28" s="15">
        <v>7</v>
      </c>
      <c r="G28" s="16">
        <v>141.01</v>
      </c>
      <c r="H28" s="17">
        <f t="shared" si="4"/>
        <v>0.45837211707518866</v>
      </c>
      <c r="I28" s="18" t="s">
        <v>113</v>
      </c>
      <c r="J28" s="15" t="s">
        <v>21</v>
      </c>
    </row>
    <row r="29" spans="2:10" ht="14.25" customHeight="1">
      <c r="B29" s="13" t="s">
        <v>83</v>
      </c>
      <c r="C29" s="14">
        <v>45754</v>
      </c>
      <c r="D29" s="15" t="s">
        <v>9</v>
      </c>
      <c r="E29" s="16">
        <v>63.89</v>
      </c>
      <c r="F29" s="15">
        <v>6</v>
      </c>
      <c r="G29" s="16">
        <v>121.05</v>
      </c>
      <c r="H29" s="17">
        <f t="shared" si="4"/>
        <v>0.89466270151823446</v>
      </c>
      <c r="I29" s="18" t="s">
        <v>426</v>
      </c>
      <c r="J29" s="15" t="s">
        <v>21</v>
      </c>
    </row>
    <row r="30" spans="2:10" ht="14.25" customHeight="1">
      <c r="B30" s="13" t="s">
        <v>85</v>
      </c>
      <c r="C30" s="14">
        <v>45755</v>
      </c>
      <c r="D30" s="15" t="s">
        <v>9</v>
      </c>
      <c r="E30" s="16">
        <v>35.5</v>
      </c>
      <c r="F30" s="15">
        <v>3</v>
      </c>
      <c r="G30" s="16">
        <v>42.4</v>
      </c>
      <c r="H30" s="17">
        <f t="shared" si="4"/>
        <v>0.19436619718309855</v>
      </c>
      <c r="I30" s="18" t="s">
        <v>427</v>
      </c>
      <c r="J30" s="15" t="s">
        <v>21</v>
      </c>
    </row>
    <row r="31" spans="2:10" ht="14.25" customHeight="1">
      <c r="B31" s="13" t="s">
        <v>86</v>
      </c>
      <c r="C31" s="14">
        <v>45761</v>
      </c>
      <c r="D31" s="15" t="s">
        <v>9</v>
      </c>
      <c r="E31" s="16">
        <v>44.11</v>
      </c>
      <c r="F31" s="15">
        <v>5</v>
      </c>
      <c r="G31" s="16">
        <v>95</v>
      </c>
      <c r="H31" s="17">
        <f t="shared" si="4"/>
        <v>1.1537066424846976</v>
      </c>
      <c r="I31" s="18" t="s">
        <v>94</v>
      </c>
      <c r="J31" s="15" t="s">
        <v>21</v>
      </c>
    </row>
    <row r="32" spans="2:10" ht="14.25" customHeight="1">
      <c r="B32" s="13" t="s">
        <v>75</v>
      </c>
      <c r="C32" s="14">
        <v>45768</v>
      </c>
      <c r="D32" s="15" t="s">
        <v>9</v>
      </c>
      <c r="E32" s="16">
        <v>148.93</v>
      </c>
      <c r="F32" s="15">
        <v>7</v>
      </c>
      <c r="G32" s="16">
        <v>210</v>
      </c>
      <c r="H32" s="17">
        <f t="shared" si="4"/>
        <v>0.41005841670583498</v>
      </c>
      <c r="I32" s="18" t="s">
        <v>381</v>
      </c>
      <c r="J32" s="15" t="s">
        <v>21</v>
      </c>
    </row>
    <row r="33" spans="2:10" ht="14.25" customHeight="1">
      <c r="B33" s="13" t="s">
        <v>68</v>
      </c>
      <c r="C33" s="14">
        <v>45769</v>
      </c>
      <c r="D33" s="15" t="s">
        <v>9</v>
      </c>
      <c r="E33" s="16">
        <v>26</v>
      </c>
      <c r="F33" s="15">
        <v>5</v>
      </c>
      <c r="G33" s="16">
        <v>49.54</v>
      </c>
      <c r="H33" s="17">
        <f>G33/E33-1</f>
        <v>0.90538461538461545</v>
      </c>
      <c r="I33" s="18" t="s">
        <v>87</v>
      </c>
      <c r="J33" s="15" t="s">
        <v>21</v>
      </c>
    </row>
    <row r="34" spans="2:10" ht="14.25" customHeight="1">
      <c r="B34" s="13" t="s">
        <v>91</v>
      </c>
      <c r="C34" s="14">
        <v>45770</v>
      </c>
      <c r="D34" s="15" t="s">
        <v>9</v>
      </c>
      <c r="E34" s="16">
        <v>217.19</v>
      </c>
      <c r="F34" s="15">
        <v>4</v>
      </c>
      <c r="G34" s="16">
        <v>299.60000000000002</v>
      </c>
      <c r="H34" s="17">
        <f>G34/E34-1</f>
        <v>0.37943735899442887</v>
      </c>
      <c r="I34" s="18" t="s">
        <v>115</v>
      </c>
      <c r="J34" s="15" t="s">
        <v>21</v>
      </c>
    </row>
    <row r="35" spans="2:10" ht="14.25" customHeight="1">
      <c r="B35" s="13" t="s">
        <v>74</v>
      </c>
      <c r="C35" s="14">
        <v>45770</v>
      </c>
      <c r="D35" s="15" t="s">
        <v>9</v>
      </c>
      <c r="E35" s="16">
        <v>250</v>
      </c>
      <c r="F35" s="15">
        <v>6</v>
      </c>
      <c r="G35" s="16">
        <v>236</v>
      </c>
      <c r="H35" s="17">
        <f>G35/E35-1</f>
        <v>-5.600000000000005E-2</v>
      </c>
      <c r="I35" s="18" t="s">
        <v>419</v>
      </c>
      <c r="J35" s="15" t="s">
        <v>20</v>
      </c>
    </row>
    <row r="36" spans="2:10" ht="14.25" customHeight="1">
      <c r="B36" s="13" t="s">
        <v>76</v>
      </c>
      <c r="C36" s="14">
        <v>45775</v>
      </c>
      <c r="D36" s="15" t="s">
        <v>9</v>
      </c>
      <c r="E36" s="16">
        <v>306.72000000000003</v>
      </c>
      <c r="F36" s="15">
        <v>6</v>
      </c>
      <c r="G36" s="16"/>
      <c r="H36" s="17"/>
      <c r="I36" s="18" t="s">
        <v>433</v>
      </c>
      <c r="J36" s="15" t="s">
        <v>20</v>
      </c>
    </row>
    <row r="37" spans="2:10" ht="14.25" customHeight="1">
      <c r="B37" s="13" t="s">
        <v>77</v>
      </c>
      <c r="C37" s="14">
        <v>45777</v>
      </c>
      <c r="D37" s="15" t="s">
        <v>9</v>
      </c>
      <c r="E37" s="16">
        <v>102.97</v>
      </c>
      <c r="F37" s="15">
        <v>3</v>
      </c>
      <c r="G37" s="16">
        <v>105.02</v>
      </c>
      <c r="H37" s="17">
        <f>G37/E37-1</f>
        <v>1.990871127512861E-2</v>
      </c>
      <c r="I37" s="18" t="s">
        <v>443</v>
      </c>
      <c r="J37" s="15" t="s">
        <v>21</v>
      </c>
    </row>
    <row r="38" spans="2:10" ht="14.25" customHeight="1">
      <c r="B38" s="13" t="s">
        <v>81</v>
      </c>
      <c r="C38" s="14" t="s">
        <v>82</v>
      </c>
      <c r="D38" s="15" t="s">
        <v>9</v>
      </c>
      <c r="E38" s="16">
        <v>598.91999999999996</v>
      </c>
      <c r="F38" s="15">
        <v>5</v>
      </c>
      <c r="G38" s="16"/>
      <c r="H38" s="17"/>
      <c r="I38" s="18"/>
      <c r="J38" s="15"/>
    </row>
    <row r="39" spans="2:10" ht="14.25" customHeight="1">
      <c r="B39" s="13" t="s">
        <v>80</v>
      </c>
      <c r="C39" s="14">
        <v>45779</v>
      </c>
      <c r="D39" s="15" t="s">
        <v>9</v>
      </c>
      <c r="E39" s="16">
        <v>354.25</v>
      </c>
      <c r="F39" s="15">
        <v>4</v>
      </c>
      <c r="G39" s="16">
        <v>400.05</v>
      </c>
      <c r="H39" s="17">
        <f>G39/E39-1</f>
        <v>0.12928722653493296</v>
      </c>
      <c r="I39" s="18" t="s">
        <v>457</v>
      </c>
      <c r="J39" s="15" t="s">
        <v>21</v>
      </c>
    </row>
    <row r="40" spans="2:10" ht="14.25" customHeight="1">
      <c r="B40" s="13" t="s">
        <v>108</v>
      </c>
      <c r="C40" s="14">
        <v>45779</v>
      </c>
      <c r="D40" s="15" t="s">
        <v>9</v>
      </c>
      <c r="E40" s="16">
        <v>42.28</v>
      </c>
      <c r="F40" s="15">
        <v>5</v>
      </c>
      <c r="G40" s="16">
        <v>44.75</v>
      </c>
      <c r="H40" s="17">
        <f>G40/E40-1</f>
        <v>5.8420056764427519E-2</v>
      </c>
      <c r="I40" s="18" t="s">
        <v>412</v>
      </c>
      <c r="J40" s="15" t="s">
        <v>21</v>
      </c>
    </row>
    <row r="41" spans="2:10" ht="14.25" customHeight="1">
      <c r="B41" s="13" t="s">
        <v>69</v>
      </c>
      <c r="C41" s="14">
        <v>45782</v>
      </c>
      <c r="D41" s="15" t="s">
        <v>9</v>
      </c>
      <c r="E41" s="16">
        <v>45.51</v>
      </c>
      <c r="F41" s="15">
        <v>5</v>
      </c>
      <c r="G41" s="16">
        <v>55.21</v>
      </c>
      <c r="H41" s="17">
        <f>G41/E41-1</f>
        <v>0.2131399692375302</v>
      </c>
      <c r="I41" s="18" t="s">
        <v>397</v>
      </c>
      <c r="J41" s="15" t="s">
        <v>21</v>
      </c>
    </row>
    <row r="42" spans="2:10" ht="14.25" customHeight="1">
      <c r="B42" s="13" t="s">
        <v>95</v>
      </c>
      <c r="C42" s="14">
        <v>45786</v>
      </c>
      <c r="D42" s="15" t="s">
        <v>408</v>
      </c>
      <c r="E42" s="16">
        <v>380.92</v>
      </c>
      <c r="F42" s="15">
        <v>6</v>
      </c>
      <c r="G42" s="16"/>
      <c r="H42" s="17"/>
      <c r="I42" s="18" t="s">
        <v>411</v>
      </c>
      <c r="J42" s="15" t="s">
        <v>21</v>
      </c>
    </row>
    <row r="43" spans="2:10" ht="14.25" customHeight="1">
      <c r="B43" s="13" t="s">
        <v>96</v>
      </c>
      <c r="C43" s="14">
        <v>45786</v>
      </c>
      <c r="D43" s="15" t="s">
        <v>9</v>
      </c>
      <c r="E43" s="16">
        <v>36.75</v>
      </c>
      <c r="F43" s="15">
        <v>6</v>
      </c>
      <c r="G43" s="16">
        <v>15.5</v>
      </c>
      <c r="H43" s="17">
        <f>G43/E43-1</f>
        <v>-0.57823129251700678</v>
      </c>
      <c r="I43" s="18" t="s">
        <v>449</v>
      </c>
      <c r="J43" s="15" t="s">
        <v>21</v>
      </c>
    </row>
    <row r="44" spans="2:10" ht="14.25" customHeight="1">
      <c r="B44" s="13" t="s">
        <v>101</v>
      </c>
      <c r="C44" s="14">
        <v>45790</v>
      </c>
      <c r="D44" s="15" t="s">
        <v>9</v>
      </c>
      <c r="E44" s="16">
        <v>116.27</v>
      </c>
      <c r="F44" s="15">
        <v>4</v>
      </c>
      <c r="G44" s="16">
        <v>256.12</v>
      </c>
      <c r="H44" s="17">
        <f>G44/E44-1</f>
        <v>1.2028038186978587</v>
      </c>
      <c r="I44" s="18" t="s">
        <v>448</v>
      </c>
      <c r="J44" s="15" t="s">
        <v>21</v>
      </c>
    </row>
    <row r="45" spans="2:10" ht="14.25" customHeight="1">
      <c r="B45" s="13" t="s">
        <v>102</v>
      </c>
      <c r="C45" s="14">
        <v>45791</v>
      </c>
      <c r="D45" s="15" t="s">
        <v>9</v>
      </c>
      <c r="E45" s="16">
        <v>62.11</v>
      </c>
      <c r="F45" s="15">
        <v>4</v>
      </c>
      <c r="G45" s="16">
        <v>68.12</v>
      </c>
      <c r="H45" s="17">
        <f>G45/E45-1</f>
        <v>9.6763806150378384E-2</v>
      </c>
      <c r="I45" s="18" t="s">
        <v>118</v>
      </c>
      <c r="J45" s="15" t="s">
        <v>21</v>
      </c>
    </row>
    <row r="46" spans="2:10" ht="14.25" customHeight="1">
      <c r="B46" s="13" t="s">
        <v>11</v>
      </c>
      <c r="C46" s="14">
        <v>45791</v>
      </c>
      <c r="D46" s="15" t="s">
        <v>9</v>
      </c>
      <c r="E46" s="16">
        <v>313.86</v>
      </c>
      <c r="F46" s="15">
        <v>5</v>
      </c>
      <c r="G46" s="16">
        <v>265.75</v>
      </c>
      <c r="H46" s="17">
        <f>G46/E46-1</f>
        <v>-0.15328490409736828</v>
      </c>
      <c r="I46" s="18" t="s">
        <v>119</v>
      </c>
      <c r="J46" s="15" t="s">
        <v>21</v>
      </c>
    </row>
    <row r="47" spans="2:10" ht="14.25" customHeight="1">
      <c r="B47" s="13" t="s">
        <v>105</v>
      </c>
      <c r="C47" s="14">
        <v>45792</v>
      </c>
      <c r="D47" s="15" t="s">
        <v>9</v>
      </c>
      <c r="E47" s="16">
        <v>271.97000000000003</v>
      </c>
      <c r="F47" s="15">
        <v>3</v>
      </c>
      <c r="G47" s="16">
        <v>293.22000000000003</v>
      </c>
      <c r="H47" s="17">
        <f>G47/E47-1</f>
        <v>7.8133617678420419E-2</v>
      </c>
      <c r="I47" s="18" t="s">
        <v>398</v>
      </c>
      <c r="J47" s="15" t="s">
        <v>21</v>
      </c>
    </row>
    <row r="48" spans="2:10" ht="14.25" customHeight="1">
      <c r="B48" s="13" t="s">
        <v>103</v>
      </c>
      <c r="C48" s="14">
        <v>45796</v>
      </c>
      <c r="D48" s="15" t="s">
        <v>15</v>
      </c>
      <c r="E48" s="16">
        <v>13.24</v>
      </c>
      <c r="F48" s="15">
        <v>5</v>
      </c>
      <c r="G48" s="16">
        <v>15.23</v>
      </c>
      <c r="H48" s="17">
        <f>-(G48/E48-1)</f>
        <v>-0.15030211480362543</v>
      </c>
      <c r="I48" s="18" t="s">
        <v>369</v>
      </c>
      <c r="J48" s="15" t="s">
        <v>21</v>
      </c>
    </row>
    <row r="49" spans="2:10" ht="14.25" customHeight="1">
      <c r="B49" s="13" t="s">
        <v>104</v>
      </c>
      <c r="C49" s="14">
        <v>45796</v>
      </c>
      <c r="D49" s="15" t="s">
        <v>15</v>
      </c>
      <c r="E49" s="16">
        <v>86.33</v>
      </c>
      <c r="F49" s="15">
        <v>5</v>
      </c>
      <c r="G49" s="16">
        <v>81.63</v>
      </c>
      <c r="H49" s="17">
        <f>-(G49/E49-1)</f>
        <v>5.4442256457778337E-2</v>
      </c>
      <c r="I49" s="18" t="s">
        <v>399</v>
      </c>
      <c r="J49" s="15" t="s">
        <v>21</v>
      </c>
    </row>
    <row r="50" spans="2:10" ht="14.25" customHeight="1">
      <c r="B50" s="13" t="s">
        <v>75</v>
      </c>
      <c r="C50" s="14">
        <v>45798</v>
      </c>
      <c r="D50" s="20" t="s">
        <v>9</v>
      </c>
      <c r="E50" s="16">
        <v>167.99</v>
      </c>
      <c r="F50" s="15">
        <v>7</v>
      </c>
      <c r="G50" s="16">
        <v>250.25</v>
      </c>
      <c r="H50" s="17">
        <f>G50/E50-1</f>
        <v>0.48967200428596924</v>
      </c>
      <c r="I50" s="18" t="s">
        <v>390</v>
      </c>
      <c r="J50" s="15" t="s">
        <v>21</v>
      </c>
    </row>
    <row r="51" spans="2:10" ht="14.25" customHeight="1">
      <c r="B51" s="13" t="s">
        <v>74</v>
      </c>
      <c r="C51" s="14">
        <v>45802</v>
      </c>
      <c r="D51" s="15" t="s">
        <v>9</v>
      </c>
      <c r="E51" s="16">
        <v>272.99</v>
      </c>
      <c r="F51" s="15">
        <v>5</v>
      </c>
      <c r="G51" s="16">
        <v>236</v>
      </c>
      <c r="H51" s="17">
        <f t="shared" ref="H51:H52" si="5">G51/E51-1</f>
        <v>-0.13549946884501263</v>
      </c>
      <c r="I51" s="18" t="s">
        <v>417</v>
      </c>
      <c r="J51" s="15" t="s">
        <v>21</v>
      </c>
    </row>
    <row r="52" spans="2:10" ht="14.25" customHeight="1">
      <c r="B52" s="13" t="s">
        <v>110</v>
      </c>
      <c r="C52" s="14">
        <v>45805</v>
      </c>
      <c r="D52" s="15" t="s">
        <v>9</v>
      </c>
      <c r="E52" s="16">
        <v>459.35</v>
      </c>
      <c r="F52" s="15">
        <v>6</v>
      </c>
      <c r="G52" s="16">
        <v>505.52</v>
      </c>
      <c r="H52" s="17">
        <f t="shared" si="5"/>
        <v>0.10051159246761721</v>
      </c>
    </row>
    <row r="53" spans="2:10" ht="14.25" customHeight="1">
      <c r="B53" s="13" t="s">
        <v>13</v>
      </c>
      <c r="C53" s="14">
        <v>45806</v>
      </c>
      <c r="D53" s="15" t="s">
        <v>15</v>
      </c>
      <c r="E53" s="16">
        <v>140.85</v>
      </c>
      <c r="F53" s="15">
        <v>4</v>
      </c>
      <c r="G53" s="16">
        <v>133.75</v>
      </c>
      <c r="H53" s="17">
        <f>-(G53/E53-1)</f>
        <v>5.0408235711750016E-2</v>
      </c>
      <c r="I53" s="18" t="s">
        <v>400</v>
      </c>
      <c r="J53" s="15" t="s">
        <v>21</v>
      </c>
    </row>
    <row r="54" spans="2:10" ht="14.25" customHeight="1">
      <c r="B54" s="13" t="s">
        <v>13</v>
      </c>
      <c r="C54" s="14">
        <v>45806</v>
      </c>
      <c r="D54" s="15" t="s">
        <v>9</v>
      </c>
      <c r="E54" s="16">
        <v>134.6</v>
      </c>
      <c r="F54" s="15">
        <v>6</v>
      </c>
      <c r="G54" s="16">
        <v>182</v>
      </c>
      <c r="H54" s="17">
        <f t="shared" ref="H54:H57" si="6">G54/E54-1</f>
        <v>0.35215453194650825</v>
      </c>
      <c r="I54" s="10" t="s">
        <v>371</v>
      </c>
      <c r="J54" s="15" t="s">
        <v>20</v>
      </c>
    </row>
    <row r="55" spans="2:10" ht="14.25" customHeight="1">
      <c r="B55" s="13" t="s">
        <v>103</v>
      </c>
      <c r="C55" s="14">
        <v>45806</v>
      </c>
      <c r="D55" s="15" t="s">
        <v>15</v>
      </c>
      <c r="E55" s="16">
        <v>17.809999999999999</v>
      </c>
      <c r="F55" s="15">
        <v>7</v>
      </c>
      <c r="G55" s="16">
        <v>15.09</v>
      </c>
      <c r="H55" s="17">
        <f>-(G55/E55-1)</f>
        <v>0.15272318921953953</v>
      </c>
      <c r="I55" s="18" t="s">
        <v>401</v>
      </c>
      <c r="J55" s="15" t="s">
        <v>21</v>
      </c>
    </row>
    <row r="56" spans="2:10" ht="14.25" customHeight="1">
      <c r="B56" s="13" t="s">
        <v>81</v>
      </c>
      <c r="C56" s="14">
        <v>45807</v>
      </c>
      <c r="D56" s="15" t="s">
        <v>9</v>
      </c>
      <c r="E56" s="16">
        <v>732.23</v>
      </c>
      <c r="F56" s="15">
        <v>3</v>
      </c>
      <c r="G56" s="13">
        <v>775.86</v>
      </c>
      <c r="H56" s="17">
        <f t="shared" si="6"/>
        <v>5.9585103041394083E-2</v>
      </c>
      <c r="I56" s="18" t="s">
        <v>384</v>
      </c>
      <c r="J56" s="15" t="s">
        <v>21</v>
      </c>
    </row>
    <row r="57" spans="2:10" ht="14.25" customHeight="1">
      <c r="B57" s="13" t="s">
        <v>117</v>
      </c>
      <c r="C57" s="14">
        <v>45812</v>
      </c>
      <c r="D57" s="15" t="s">
        <v>9</v>
      </c>
      <c r="E57" s="16">
        <v>126.75</v>
      </c>
      <c r="F57" s="15">
        <v>6</v>
      </c>
      <c r="G57" s="16">
        <v>255</v>
      </c>
      <c r="H57" s="17">
        <f t="shared" si="6"/>
        <v>1.0118343195266273</v>
      </c>
      <c r="I57" s="18" t="s">
        <v>418</v>
      </c>
      <c r="J57" s="15" t="s">
        <v>21</v>
      </c>
    </row>
    <row r="58" spans="2:10" ht="14.25" customHeight="1">
      <c r="B58" s="13" t="s">
        <v>80</v>
      </c>
      <c r="C58" s="14">
        <v>45817</v>
      </c>
      <c r="D58" s="15" t="s">
        <v>9</v>
      </c>
      <c r="E58" s="16">
        <v>405</v>
      </c>
      <c r="F58" s="15">
        <v>3</v>
      </c>
      <c r="H58" s="17"/>
    </row>
    <row r="59" spans="2:10" ht="14.25" customHeight="1">
      <c r="B59" s="13" t="s">
        <v>120</v>
      </c>
      <c r="C59" s="14">
        <v>45821</v>
      </c>
      <c r="D59" s="15" t="s">
        <v>9</v>
      </c>
      <c r="E59" s="16">
        <v>126.27</v>
      </c>
      <c r="F59" s="15">
        <v>3</v>
      </c>
      <c r="G59" s="13">
        <v>211.21</v>
      </c>
      <c r="H59" s="17">
        <f>G59/E59-1</f>
        <v>0.67268551516591435</v>
      </c>
      <c r="I59" s="18" t="s">
        <v>121</v>
      </c>
      <c r="J59" s="15" t="s">
        <v>21</v>
      </c>
    </row>
    <row r="60" spans="2:10" ht="14.25" customHeight="1">
      <c r="B60" s="13" t="s">
        <v>96</v>
      </c>
      <c r="C60" s="14">
        <v>45824</v>
      </c>
      <c r="D60" s="15" t="s">
        <v>9</v>
      </c>
      <c r="E60" s="16">
        <v>19.149999999999999</v>
      </c>
      <c r="F60" s="15">
        <v>7</v>
      </c>
      <c r="H60" s="17"/>
      <c r="I60" s="18" t="s">
        <v>109</v>
      </c>
    </row>
    <row r="61" spans="2:10" ht="14.25" customHeight="1">
      <c r="B61" s="13" t="s">
        <v>123</v>
      </c>
      <c r="C61" s="14">
        <v>45825</v>
      </c>
      <c r="D61" s="15" t="s">
        <v>9</v>
      </c>
      <c r="E61" s="16">
        <v>67.13</v>
      </c>
      <c r="F61" s="15">
        <v>5</v>
      </c>
      <c r="G61" s="13">
        <v>85.05</v>
      </c>
      <c r="H61" s="17">
        <f>G61/E61-1</f>
        <v>0.26694473409801889</v>
      </c>
      <c r="I61" s="18" t="s">
        <v>422</v>
      </c>
      <c r="J61" s="15" t="s">
        <v>21</v>
      </c>
    </row>
    <row r="62" spans="2:10" ht="14.25" customHeight="1">
      <c r="B62" s="13" t="s">
        <v>88</v>
      </c>
      <c r="C62" s="14">
        <v>45828</v>
      </c>
      <c r="D62" s="15" t="s">
        <v>9</v>
      </c>
      <c r="E62" s="16">
        <v>106.89</v>
      </c>
      <c r="F62" s="15">
        <v>4</v>
      </c>
      <c r="H62" s="17"/>
      <c r="I62" s="18"/>
      <c r="J62" s="15"/>
    </row>
    <row r="63" spans="2:10" ht="14.25" customHeight="1">
      <c r="B63" s="13" t="s">
        <v>373</v>
      </c>
      <c r="C63" s="14">
        <v>45833</v>
      </c>
      <c r="D63" s="15" t="s">
        <v>9</v>
      </c>
      <c r="E63" s="16">
        <v>214.62</v>
      </c>
      <c r="F63" s="15">
        <v>5</v>
      </c>
      <c r="G63" s="16">
        <v>305</v>
      </c>
      <c r="H63" s="17">
        <f t="shared" ref="H63:H69" si="7">G63/E63-1</f>
        <v>0.42111639176218429</v>
      </c>
      <c r="I63" s="18" t="s">
        <v>406</v>
      </c>
      <c r="J63" s="15" t="s">
        <v>21</v>
      </c>
    </row>
    <row r="64" spans="2:10" ht="14.25" customHeight="1">
      <c r="B64" s="13" t="s">
        <v>102</v>
      </c>
      <c r="C64" s="14">
        <v>45840</v>
      </c>
      <c r="D64" s="15" t="s">
        <v>9</v>
      </c>
      <c r="E64" s="16">
        <v>85.06</v>
      </c>
      <c r="F64" s="15">
        <v>3</v>
      </c>
      <c r="G64" s="16">
        <v>92</v>
      </c>
      <c r="H64" s="17">
        <f t="shared" si="7"/>
        <v>8.1589466259111232E-2</v>
      </c>
      <c r="I64" s="18" t="s">
        <v>379</v>
      </c>
      <c r="J64" s="15" t="s">
        <v>20</v>
      </c>
    </row>
    <row r="65" spans="2:10" ht="14.25" customHeight="1">
      <c r="B65" s="13" t="s">
        <v>98</v>
      </c>
      <c r="C65" s="14">
        <v>45840</v>
      </c>
      <c r="D65" s="15" t="s">
        <v>9</v>
      </c>
      <c r="E65" s="16">
        <v>278.10000000000002</v>
      </c>
      <c r="F65" s="15">
        <v>6</v>
      </c>
      <c r="G65" s="16">
        <v>415</v>
      </c>
      <c r="H65" s="17">
        <f t="shared" si="7"/>
        <v>0.49226896799712327</v>
      </c>
      <c r="I65" s="18" t="s">
        <v>109</v>
      </c>
      <c r="J65" s="15" t="s">
        <v>21</v>
      </c>
    </row>
    <row r="66" spans="2:10" ht="14.25" customHeight="1">
      <c r="B66" s="13" t="s">
        <v>367</v>
      </c>
      <c r="C66" s="14">
        <v>45841</v>
      </c>
      <c r="D66" s="15" t="s">
        <v>9</v>
      </c>
      <c r="E66" s="16">
        <v>57.25</v>
      </c>
      <c r="F66" s="15">
        <v>3</v>
      </c>
      <c r="G66" s="16">
        <v>52</v>
      </c>
      <c r="H66" s="17">
        <f t="shared" si="7"/>
        <v>-9.1703056768558944E-2</v>
      </c>
      <c r="I66" s="18"/>
    </row>
    <row r="67" spans="2:10" ht="14.25" customHeight="1">
      <c r="B67" s="13" t="s">
        <v>382</v>
      </c>
      <c r="C67" s="14">
        <v>45845</v>
      </c>
      <c r="D67" s="15" t="s">
        <v>9</v>
      </c>
      <c r="E67" s="16">
        <v>112.5</v>
      </c>
      <c r="F67" s="15">
        <v>4</v>
      </c>
      <c r="G67" s="16">
        <v>127.55</v>
      </c>
      <c r="H67" s="17">
        <f t="shared" si="7"/>
        <v>0.13377777777777777</v>
      </c>
      <c r="I67" s="18" t="s">
        <v>383</v>
      </c>
      <c r="J67" s="15" t="s">
        <v>21</v>
      </c>
    </row>
    <row r="68" spans="2:10" ht="14.25" customHeight="1">
      <c r="B68" s="13" t="s">
        <v>91</v>
      </c>
      <c r="C68" s="14">
        <v>45846</v>
      </c>
      <c r="D68" s="15" t="s">
        <v>9</v>
      </c>
      <c r="E68" s="16">
        <v>315</v>
      </c>
      <c r="F68" s="15">
        <v>4</v>
      </c>
      <c r="G68" s="16">
        <v>360</v>
      </c>
      <c r="H68" s="17">
        <f t="shared" si="7"/>
        <v>0.14285714285714279</v>
      </c>
      <c r="I68" s="18"/>
    </row>
    <row r="69" spans="2:10" ht="14.25" customHeight="1">
      <c r="B69" s="13" t="s">
        <v>117</v>
      </c>
      <c r="C69" s="14">
        <v>45852</v>
      </c>
      <c r="D69" s="15" t="s">
        <v>9</v>
      </c>
      <c r="E69" s="16">
        <v>145.04</v>
      </c>
      <c r="F69" s="15">
        <v>5</v>
      </c>
      <c r="G69" s="16">
        <v>170</v>
      </c>
      <c r="H69" s="17">
        <f t="shared" si="7"/>
        <v>0.17209045780474352</v>
      </c>
      <c r="I69" s="18" t="s">
        <v>391</v>
      </c>
      <c r="J69" s="15" t="s">
        <v>21</v>
      </c>
    </row>
    <row r="70" spans="2:10" ht="14.25" customHeight="1">
      <c r="B70" s="13" t="s">
        <v>389</v>
      </c>
      <c r="C70" s="14">
        <v>45861</v>
      </c>
      <c r="D70" s="15" t="s">
        <v>408</v>
      </c>
      <c r="E70" s="16">
        <v>503.89</v>
      </c>
      <c r="F70" s="15">
        <v>4</v>
      </c>
      <c r="G70" s="16"/>
      <c r="H70" s="17"/>
      <c r="I70" s="18"/>
      <c r="J70" s="15" t="s">
        <v>21</v>
      </c>
    </row>
    <row r="71" spans="2:10" ht="14.25" customHeight="1">
      <c r="B71" s="13" t="s">
        <v>96</v>
      </c>
      <c r="C71" s="14">
        <v>45861</v>
      </c>
      <c r="D71" s="15" t="s">
        <v>9</v>
      </c>
      <c r="E71" s="16">
        <v>12.38</v>
      </c>
      <c r="F71" s="15">
        <v>8</v>
      </c>
      <c r="I71" s="18" t="s">
        <v>109</v>
      </c>
    </row>
    <row r="72" spans="2:10" ht="14.25" customHeight="1">
      <c r="B72" s="13" t="s">
        <v>77</v>
      </c>
      <c r="C72" s="14">
        <v>45862</v>
      </c>
      <c r="D72" s="15" t="s">
        <v>9</v>
      </c>
      <c r="E72" s="16">
        <v>105.58</v>
      </c>
      <c r="F72" s="15">
        <v>2</v>
      </c>
      <c r="G72" s="13">
        <v>97.84</v>
      </c>
      <c r="H72" s="17">
        <f>G72/E72-1</f>
        <v>-7.3309338889941178E-2</v>
      </c>
      <c r="I72" s="18" t="s">
        <v>392</v>
      </c>
      <c r="J72" s="15" t="s">
        <v>20</v>
      </c>
    </row>
    <row r="73" spans="2:10" ht="14.25" customHeight="1">
      <c r="B73" s="13" t="s">
        <v>86</v>
      </c>
      <c r="C73" s="14">
        <v>45863</v>
      </c>
      <c r="D73" s="15" t="s">
        <v>9</v>
      </c>
      <c r="E73" s="16">
        <v>102.5</v>
      </c>
      <c r="F73" s="15">
        <v>3</v>
      </c>
      <c r="G73" s="16">
        <v>140</v>
      </c>
      <c r="H73" s="17">
        <f>G73/E73-1</f>
        <v>0.36585365853658547</v>
      </c>
      <c r="I73" s="18" t="s">
        <v>452</v>
      </c>
      <c r="J73" s="15" t="s">
        <v>21</v>
      </c>
    </row>
    <row r="74" spans="2:10" ht="14.25" customHeight="1">
      <c r="B74" s="13" t="s">
        <v>13</v>
      </c>
      <c r="C74" s="14">
        <v>45866</v>
      </c>
      <c r="D74" s="15" t="s">
        <v>9</v>
      </c>
      <c r="E74" s="16">
        <v>174</v>
      </c>
      <c r="F74" s="15">
        <v>4</v>
      </c>
      <c r="I74" s="18" t="s">
        <v>374</v>
      </c>
      <c r="J74" s="15" t="s">
        <v>20</v>
      </c>
    </row>
    <row r="75" spans="2:10" ht="14.25" customHeight="1">
      <c r="B75" s="13" t="s">
        <v>372</v>
      </c>
      <c r="C75" s="14">
        <v>45868</v>
      </c>
      <c r="D75" s="15" t="s">
        <v>9</v>
      </c>
      <c r="E75" s="16">
        <v>107.5</v>
      </c>
      <c r="F75" s="15">
        <v>3</v>
      </c>
      <c r="G75" s="16">
        <v>135</v>
      </c>
      <c r="H75" s="17">
        <f>G75/E75-1</f>
        <v>0.2558139534883721</v>
      </c>
      <c r="I75" s="18" t="s">
        <v>435</v>
      </c>
      <c r="J75" s="15" t="s">
        <v>21</v>
      </c>
    </row>
    <row r="76" spans="2:10" ht="14.25" customHeight="1">
      <c r="B76" s="13" t="s">
        <v>73</v>
      </c>
      <c r="C76" s="14">
        <v>45872</v>
      </c>
      <c r="D76" s="15" t="s">
        <v>9</v>
      </c>
      <c r="E76" s="16">
        <v>243.09</v>
      </c>
      <c r="F76" s="15">
        <v>6</v>
      </c>
      <c r="I76" s="18"/>
    </row>
    <row r="77" spans="2:10" ht="14.25" customHeight="1">
      <c r="B77" s="13" t="s">
        <v>71</v>
      </c>
      <c r="C77" s="14">
        <v>45875</v>
      </c>
      <c r="D77" s="15" t="s">
        <v>9</v>
      </c>
      <c r="E77" s="16">
        <v>213.12</v>
      </c>
      <c r="F77" s="15">
        <v>6</v>
      </c>
      <c r="I77" s="18"/>
    </row>
    <row r="78" spans="2:10" ht="14.25" customHeight="1">
      <c r="B78" s="13" t="s">
        <v>380</v>
      </c>
      <c r="C78" s="14">
        <v>45884</v>
      </c>
      <c r="D78" s="15" t="s">
        <v>9</v>
      </c>
      <c r="E78" s="16">
        <v>69.8</v>
      </c>
      <c r="F78" s="15">
        <v>5</v>
      </c>
      <c r="I78" s="18"/>
    </row>
    <row r="79" spans="2:10" ht="14.25" customHeight="1">
      <c r="B79" s="13" t="s">
        <v>372</v>
      </c>
      <c r="C79" s="14">
        <v>45884</v>
      </c>
      <c r="D79" s="15" t="s">
        <v>9</v>
      </c>
      <c r="E79" s="16">
        <v>95.87</v>
      </c>
      <c r="F79" s="15">
        <v>4</v>
      </c>
      <c r="G79" s="16">
        <v>135</v>
      </c>
      <c r="H79" s="17">
        <f>G79/E79-1</f>
        <v>0.40815687910712417</v>
      </c>
      <c r="I79" s="18" t="s">
        <v>109</v>
      </c>
      <c r="J79" s="15" t="s">
        <v>21</v>
      </c>
    </row>
    <row r="80" spans="2:10" ht="14.25" customHeight="1">
      <c r="B80" s="13" t="s">
        <v>375</v>
      </c>
      <c r="C80" s="14">
        <v>45887</v>
      </c>
      <c r="D80" s="15" t="s">
        <v>15</v>
      </c>
      <c r="E80" s="16">
        <v>16.690000000000001</v>
      </c>
      <c r="F80" s="15">
        <v>5</v>
      </c>
      <c r="G80" s="16">
        <v>13.87</v>
      </c>
      <c r="H80" s="17">
        <f>-(G80/E80-1)</f>
        <v>0.16896345116836442</v>
      </c>
      <c r="I80" s="18" t="s">
        <v>402</v>
      </c>
      <c r="J80" s="15" t="s">
        <v>21</v>
      </c>
    </row>
    <row r="81" spans="2:10" ht="14.25" customHeight="1">
      <c r="B81" s="13" t="s">
        <v>376</v>
      </c>
      <c r="C81" s="14">
        <v>45887</v>
      </c>
      <c r="D81" s="15" t="s">
        <v>9</v>
      </c>
      <c r="E81" s="16">
        <v>239.23</v>
      </c>
      <c r="F81" s="15">
        <v>3</v>
      </c>
      <c r="I81" s="18"/>
    </row>
    <row r="82" spans="2:10" ht="14.25" customHeight="1">
      <c r="B82" s="13" t="s">
        <v>377</v>
      </c>
      <c r="C82" s="14">
        <v>45887</v>
      </c>
      <c r="D82" s="15" t="s">
        <v>9</v>
      </c>
      <c r="E82" s="16">
        <v>7.3</v>
      </c>
      <c r="F82" s="15">
        <v>3</v>
      </c>
      <c r="I82" s="18"/>
    </row>
    <row r="83" spans="2:10" ht="14.25" customHeight="1">
      <c r="B83" s="13" t="s">
        <v>123</v>
      </c>
      <c r="C83" s="14">
        <v>45887</v>
      </c>
      <c r="D83" s="15" t="s">
        <v>9</v>
      </c>
      <c r="E83" s="16">
        <v>75</v>
      </c>
      <c r="F83" s="15">
        <v>4</v>
      </c>
      <c r="I83" s="18"/>
    </row>
    <row r="84" spans="2:10" ht="14.25" customHeight="1">
      <c r="B84" s="13" t="s">
        <v>378</v>
      </c>
      <c r="C84" s="14">
        <v>45891</v>
      </c>
      <c r="D84" s="15" t="s">
        <v>9</v>
      </c>
      <c r="E84" s="16">
        <v>1.8</v>
      </c>
      <c r="F84" s="15">
        <v>3</v>
      </c>
      <c r="I84" s="18"/>
    </row>
    <row r="85" spans="2:10" ht="14.25" customHeight="1">
      <c r="B85" s="13" t="s">
        <v>13</v>
      </c>
      <c r="C85" s="14">
        <v>45896</v>
      </c>
      <c r="D85" s="15" t="s">
        <v>9</v>
      </c>
      <c r="E85" s="16">
        <v>177.21</v>
      </c>
      <c r="F85" s="15">
        <v>5</v>
      </c>
      <c r="I85" s="18" t="s">
        <v>109</v>
      </c>
      <c r="J85" s="15" t="s">
        <v>20</v>
      </c>
    </row>
    <row r="86" spans="2:10" ht="14.25" customHeight="1">
      <c r="B86" s="13" t="s">
        <v>382</v>
      </c>
      <c r="C86" s="14">
        <v>45899</v>
      </c>
      <c r="D86" s="15" t="s">
        <v>408</v>
      </c>
      <c r="E86" s="16">
        <v>125.79</v>
      </c>
      <c r="F86" s="15">
        <v>4</v>
      </c>
      <c r="I86" s="18" t="s">
        <v>403</v>
      </c>
      <c r="J86" s="15" t="s">
        <v>21</v>
      </c>
    </row>
    <row r="87" spans="2:10" ht="14.25" customHeight="1">
      <c r="B87" s="13" t="s">
        <v>388</v>
      </c>
      <c r="C87" s="14">
        <v>45902</v>
      </c>
      <c r="D87" s="15" t="s">
        <v>9</v>
      </c>
      <c r="E87" s="16">
        <v>85.91</v>
      </c>
      <c r="F87" s="15">
        <v>3</v>
      </c>
      <c r="I87" s="18"/>
      <c r="J87" s="15"/>
    </row>
    <row r="88" spans="2:10" ht="14.25" customHeight="1">
      <c r="B88" s="13" t="s">
        <v>378</v>
      </c>
      <c r="C88" s="14">
        <v>45903</v>
      </c>
      <c r="D88" s="15" t="s">
        <v>9</v>
      </c>
      <c r="E88" s="16">
        <v>1.7</v>
      </c>
      <c r="F88" s="15">
        <v>4</v>
      </c>
      <c r="I88" s="18" t="s">
        <v>109</v>
      </c>
      <c r="J88" s="15"/>
    </row>
    <row r="89" spans="2:10" ht="14.25" customHeight="1">
      <c r="B89" s="13" t="s">
        <v>372</v>
      </c>
      <c r="C89" s="14">
        <v>45905</v>
      </c>
      <c r="D89" s="15" t="s">
        <v>9</v>
      </c>
      <c r="E89" s="16">
        <v>89.09</v>
      </c>
      <c r="F89" s="15">
        <v>5</v>
      </c>
      <c r="G89" s="16">
        <v>135</v>
      </c>
      <c r="H89" s="17">
        <f>G89/E89-1</f>
        <v>0.51532158491413171</v>
      </c>
      <c r="I89" s="18" t="s">
        <v>109</v>
      </c>
      <c r="J89" s="15" t="s">
        <v>21</v>
      </c>
    </row>
    <row r="90" spans="2:10" ht="14.25" customHeight="1">
      <c r="B90" s="13" t="s">
        <v>373</v>
      </c>
      <c r="C90" s="14">
        <v>45911</v>
      </c>
      <c r="D90" s="15" t="s">
        <v>408</v>
      </c>
      <c r="E90" s="16">
        <v>307.75</v>
      </c>
      <c r="F90" s="15">
        <v>4</v>
      </c>
      <c r="I90" s="18" t="s">
        <v>414</v>
      </c>
      <c r="J90" s="15" t="s">
        <v>20</v>
      </c>
    </row>
    <row r="91" spans="2:10" ht="14.25" customHeight="1">
      <c r="B91" s="13" t="s">
        <v>389</v>
      </c>
      <c r="C91" s="14">
        <v>45915</v>
      </c>
      <c r="D91" s="15" t="s">
        <v>9</v>
      </c>
      <c r="E91" s="16">
        <v>450</v>
      </c>
      <c r="F91" s="15">
        <v>5</v>
      </c>
      <c r="G91" s="16">
        <v>545</v>
      </c>
      <c r="H91" s="17">
        <f>G91/E91-1</f>
        <v>0.21111111111111103</v>
      </c>
      <c r="I91" s="18" t="s">
        <v>438</v>
      </c>
      <c r="J91" s="15" t="s">
        <v>21</v>
      </c>
    </row>
    <row r="92" spans="2:10" ht="14.25" customHeight="1">
      <c r="B92" s="13" t="s">
        <v>11</v>
      </c>
      <c r="C92" s="14">
        <v>45915</v>
      </c>
      <c r="D92" s="15" t="s">
        <v>9</v>
      </c>
      <c r="E92" s="16">
        <v>160</v>
      </c>
      <c r="F92" s="15">
        <v>3</v>
      </c>
      <c r="G92" s="16">
        <v>174</v>
      </c>
      <c r="H92" s="17">
        <f>G92/E92-1</f>
        <v>8.7499999999999911E-2</v>
      </c>
      <c r="I92" s="18" t="s">
        <v>434</v>
      </c>
      <c r="J92" s="15" t="s">
        <v>21</v>
      </c>
    </row>
    <row r="93" spans="2:10" ht="14.25" customHeight="1">
      <c r="B93" s="13" t="s">
        <v>413</v>
      </c>
      <c r="C93" s="14">
        <v>45915</v>
      </c>
      <c r="D93" s="15" t="s">
        <v>9</v>
      </c>
      <c r="E93" s="16">
        <v>103.03</v>
      </c>
      <c r="F93" s="15">
        <v>3</v>
      </c>
      <c r="G93" s="16">
        <v>131.5</v>
      </c>
      <c r="H93" s="17">
        <f>G93/E93-1</f>
        <v>0.27632728331553924</v>
      </c>
      <c r="I93" s="18" t="s">
        <v>431</v>
      </c>
      <c r="J93" s="15" t="s">
        <v>21</v>
      </c>
    </row>
    <row r="94" spans="2:10" ht="14.25" customHeight="1">
      <c r="B94" s="13" t="s">
        <v>375</v>
      </c>
      <c r="C94" s="14">
        <v>45919</v>
      </c>
      <c r="D94" s="15" t="s">
        <v>15</v>
      </c>
      <c r="E94" s="16">
        <v>16.34</v>
      </c>
      <c r="F94" s="15">
        <v>4</v>
      </c>
      <c r="G94" s="13">
        <v>13.71</v>
      </c>
      <c r="H94" s="17">
        <f t="shared" ref="H94:H96" si="8">-(G94/E94-1)</f>
        <v>0.16095471236230108</v>
      </c>
      <c r="I94" s="18" t="s">
        <v>404</v>
      </c>
      <c r="J94" s="15" t="s">
        <v>20</v>
      </c>
    </row>
    <row r="95" spans="2:10" ht="14.25" customHeight="1">
      <c r="B95" s="13" t="s">
        <v>394</v>
      </c>
      <c r="C95" s="14">
        <v>45919</v>
      </c>
      <c r="D95" s="15" t="s">
        <v>15</v>
      </c>
      <c r="E95" s="16">
        <v>10.02</v>
      </c>
      <c r="F95" s="15">
        <v>5</v>
      </c>
      <c r="G95" s="13">
        <v>6.78</v>
      </c>
      <c r="H95" s="17">
        <f t="shared" si="8"/>
        <v>0.32335329341317365</v>
      </c>
      <c r="I95" s="18" t="s">
        <v>416</v>
      </c>
      <c r="J95" s="15" t="s">
        <v>20</v>
      </c>
    </row>
    <row r="96" spans="2:10" ht="14.25" customHeight="1">
      <c r="B96" s="13" t="s">
        <v>103</v>
      </c>
      <c r="C96" s="14">
        <v>45919</v>
      </c>
      <c r="D96" s="15" t="s">
        <v>15</v>
      </c>
      <c r="E96" s="16">
        <v>25.25</v>
      </c>
      <c r="F96" s="15">
        <v>5</v>
      </c>
      <c r="G96" s="13">
        <v>37.090000000000003</v>
      </c>
      <c r="H96" s="17">
        <f t="shared" si="8"/>
        <v>-0.46891089108910911</v>
      </c>
      <c r="I96" s="13" t="s">
        <v>395</v>
      </c>
      <c r="J96" s="15" t="s">
        <v>20</v>
      </c>
    </row>
    <row r="97" spans="2:10" ht="14.25" customHeight="1">
      <c r="B97" s="13" t="s">
        <v>393</v>
      </c>
      <c r="C97" s="14">
        <v>45919</v>
      </c>
      <c r="D97" s="15" t="s">
        <v>408</v>
      </c>
      <c r="E97" s="16">
        <v>67.650000000000006</v>
      </c>
      <c r="F97" s="15">
        <v>3</v>
      </c>
      <c r="I97" s="18" t="s">
        <v>396</v>
      </c>
      <c r="J97" s="15" t="s">
        <v>21</v>
      </c>
    </row>
    <row r="98" spans="2:10" ht="14.25" customHeight="1">
      <c r="B98" s="13" t="s">
        <v>377</v>
      </c>
      <c r="C98" s="14">
        <v>45926</v>
      </c>
      <c r="D98" s="15" t="s">
        <v>9</v>
      </c>
      <c r="E98" s="16">
        <v>8.25</v>
      </c>
      <c r="F98" s="15">
        <v>5</v>
      </c>
      <c r="I98" s="18" t="s">
        <v>109</v>
      </c>
      <c r="J98" s="15" t="s">
        <v>20</v>
      </c>
    </row>
    <row r="99" spans="2:10" ht="14.25" customHeight="1">
      <c r="B99" s="13" t="s">
        <v>407</v>
      </c>
      <c r="C99" s="14">
        <v>45926</v>
      </c>
      <c r="D99" s="15" t="s">
        <v>408</v>
      </c>
      <c r="E99" s="16">
        <v>605.32000000000005</v>
      </c>
      <c r="F99" s="15">
        <v>6</v>
      </c>
      <c r="I99" s="18" t="s">
        <v>409</v>
      </c>
      <c r="J99" s="15" t="s">
        <v>21</v>
      </c>
    </row>
    <row r="100" spans="2:10" ht="14.25" customHeight="1">
      <c r="B100" s="13" t="s">
        <v>410</v>
      </c>
      <c r="C100" s="14">
        <v>45926</v>
      </c>
      <c r="D100" s="15" t="s">
        <v>408</v>
      </c>
      <c r="E100" s="16">
        <v>246.54</v>
      </c>
      <c r="F100" s="15">
        <v>3</v>
      </c>
      <c r="I100" s="18" t="s">
        <v>446</v>
      </c>
      <c r="J100" s="15" t="s">
        <v>20</v>
      </c>
    </row>
    <row r="101" spans="2:10" ht="14.25" customHeight="1">
      <c r="B101" s="13" t="s">
        <v>71</v>
      </c>
      <c r="C101" s="14">
        <v>45929</v>
      </c>
      <c r="D101" s="15" t="s">
        <v>9</v>
      </c>
      <c r="E101" s="16">
        <v>219.94</v>
      </c>
      <c r="F101" s="15">
        <v>5</v>
      </c>
      <c r="I101" s="18" t="s">
        <v>415</v>
      </c>
      <c r="J101" s="15" t="s">
        <v>20</v>
      </c>
    </row>
    <row r="102" spans="2:10" ht="14.25" customHeight="1">
      <c r="B102" s="13" t="s">
        <v>420</v>
      </c>
      <c r="C102" s="14">
        <v>45932</v>
      </c>
      <c r="D102" s="15" t="s">
        <v>9</v>
      </c>
      <c r="E102" s="16">
        <v>67.5</v>
      </c>
      <c r="F102" s="15">
        <v>2</v>
      </c>
      <c r="G102" s="16">
        <v>55.8</v>
      </c>
      <c r="H102" s="17">
        <f>G102/E102-1</f>
        <v>-0.17333333333333334</v>
      </c>
      <c r="I102" s="18" t="s">
        <v>451</v>
      </c>
      <c r="J102" s="15" t="s">
        <v>21</v>
      </c>
    </row>
    <row r="103" spans="2:10" ht="14.25" customHeight="1">
      <c r="B103" s="13" t="s">
        <v>372</v>
      </c>
      <c r="C103" s="14">
        <v>45933</v>
      </c>
      <c r="D103" s="15" t="s">
        <v>408</v>
      </c>
      <c r="E103" s="16">
        <v>135</v>
      </c>
      <c r="F103" s="15">
        <v>4</v>
      </c>
      <c r="I103" s="18"/>
    </row>
    <row r="104" spans="2:10" ht="14.25" customHeight="1">
      <c r="B104" s="13" t="s">
        <v>421</v>
      </c>
      <c r="C104" s="14">
        <v>45933</v>
      </c>
      <c r="D104" s="15" t="s">
        <v>9</v>
      </c>
      <c r="E104" s="16">
        <v>338.18</v>
      </c>
      <c r="F104" s="15">
        <v>3</v>
      </c>
      <c r="I104" s="18"/>
    </row>
    <row r="105" spans="2:10" ht="14.25" customHeight="1">
      <c r="B105" s="13" t="s">
        <v>367</v>
      </c>
      <c r="C105" s="14">
        <v>45936</v>
      </c>
      <c r="D105" s="15" t="s">
        <v>9</v>
      </c>
      <c r="E105" s="16">
        <v>56</v>
      </c>
      <c r="F105" s="15">
        <v>4</v>
      </c>
      <c r="I105" s="18" t="s">
        <v>109</v>
      </c>
      <c r="J105" s="15" t="s">
        <v>20</v>
      </c>
    </row>
    <row r="106" spans="2:10" ht="14.25" customHeight="1">
      <c r="B106" s="13" t="s">
        <v>117</v>
      </c>
      <c r="C106" s="14">
        <v>45936</v>
      </c>
      <c r="D106" s="15" t="s">
        <v>408</v>
      </c>
      <c r="E106" s="16">
        <v>260.11</v>
      </c>
      <c r="F106" s="15">
        <v>5</v>
      </c>
      <c r="I106" s="18"/>
    </row>
    <row r="107" spans="2:10" ht="14.25" customHeight="1">
      <c r="B107" s="13" t="s">
        <v>22</v>
      </c>
      <c r="C107" s="14">
        <v>45936</v>
      </c>
      <c r="D107" s="15" t="s">
        <v>9</v>
      </c>
      <c r="E107" s="16">
        <v>47.25</v>
      </c>
      <c r="F107" s="15">
        <v>5</v>
      </c>
      <c r="I107" s="18"/>
    </row>
    <row r="108" spans="2:10" ht="14.25" customHeight="1">
      <c r="B108" s="13" t="s">
        <v>11</v>
      </c>
      <c r="C108" s="14">
        <v>45936</v>
      </c>
      <c r="D108" s="15" t="s">
        <v>408</v>
      </c>
      <c r="E108" s="16">
        <v>174</v>
      </c>
      <c r="F108" s="15">
        <v>4</v>
      </c>
      <c r="I108" s="18"/>
    </row>
    <row r="109" spans="2:10" ht="14.25" customHeight="1">
      <c r="B109" s="13" t="s">
        <v>375</v>
      </c>
      <c r="C109" s="14">
        <v>45937</v>
      </c>
      <c r="D109" s="15" t="s">
        <v>15</v>
      </c>
      <c r="E109" s="16">
        <v>19.559999999999999</v>
      </c>
      <c r="F109" s="15">
        <v>5</v>
      </c>
      <c r="G109" s="13">
        <v>15.36</v>
      </c>
      <c r="H109" s="17">
        <f>-(G109/E109-1)</f>
        <v>0.21472392638036808</v>
      </c>
      <c r="I109" s="18"/>
    </row>
    <row r="110" spans="2:10" ht="14.25" customHeight="1">
      <c r="B110" s="13" t="s">
        <v>413</v>
      </c>
      <c r="C110" s="14">
        <v>45937</v>
      </c>
      <c r="D110" s="15" t="s">
        <v>408</v>
      </c>
      <c r="E110" s="16">
        <v>120</v>
      </c>
      <c r="F110" s="15">
        <v>3</v>
      </c>
    </row>
    <row r="111" spans="2:10" ht="14.25" customHeight="1">
      <c r="B111" s="13" t="s">
        <v>430</v>
      </c>
      <c r="C111" s="14">
        <v>45937</v>
      </c>
      <c r="D111" s="15" t="s">
        <v>9</v>
      </c>
      <c r="E111" s="16">
        <v>175</v>
      </c>
      <c r="F111" s="15">
        <v>5</v>
      </c>
      <c r="I111" s="18"/>
    </row>
    <row r="112" spans="2:10" ht="14.25" customHeight="1">
      <c r="B112" s="13" t="s">
        <v>432</v>
      </c>
      <c r="C112" s="14">
        <v>45941</v>
      </c>
      <c r="D112" s="15" t="s">
        <v>408</v>
      </c>
      <c r="E112" s="16">
        <v>139.5</v>
      </c>
      <c r="F112" s="15">
        <v>3</v>
      </c>
      <c r="I112" s="18" t="s">
        <v>444</v>
      </c>
      <c r="J112" s="15" t="s">
        <v>20</v>
      </c>
    </row>
    <row r="113" spans="2:10" ht="14.25" customHeight="1">
      <c r="B113" s="13" t="s">
        <v>380</v>
      </c>
      <c r="C113" s="14">
        <v>45942</v>
      </c>
      <c r="D113" s="15" t="s">
        <v>9</v>
      </c>
      <c r="E113" s="13">
        <v>93.36</v>
      </c>
      <c r="F113" s="15">
        <v>6</v>
      </c>
      <c r="I113" s="18" t="s">
        <v>109</v>
      </c>
      <c r="J113" s="15" t="s">
        <v>20</v>
      </c>
    </row>
    <row r="114" spans="2:10" ht="14.25" customHeight="1">
      <c r="B114" s="13" t="s">
        <v>77</v>
      </c>
      <c r="C114" s="14">
        <v>45947</v>
      </c>
      <c r="D114" s="15" t="s">
        <v>9</v>
      </c>
      <c r="E114" s="13">
        <v>97.84</v>
      </c>
      <c r="F114" s="15">
        <v>4</v>
      </c>
    </row>
    <row r="115" spans="2:10" ht="14.25" customHeight="1">
      <c r="B115" s="13" t="s">
        <v>436</v>
      </c>
      <c r="C115" s="14">
        <v>45947</v>
      </c>
      <c r="D115" s="15" t="s">
        <v>408</v>
      </c>
      <c r="E115" s="16">
        <v>210</v>
      </c>
      <c r="F115" s="15">
        <v>4</v>
      </c>
      <c r="I115" s="18"/>
    </row>
    <row r="116" spans="2:10" ht="14.25" customHeight="1">
      <c r="B116" s="13" t="s">
        <v>103</v>
      </c>
      <c r="C116" s="14">
        <v>45947</v>
      </c>
      <c r="D116" s="15" t="s">
        <v>15</v>
      </c>
      <c r="E116" s="13">
        <v>39.549999999999997</v>
      </c>
      <c r="F116" s="15">
        <v>6</v>
      </c>
      <c r="G116" s="13">
        <v>22.21</v>
      </c>
      <c r="H116" s="17">
        <f>-(G116/E116-1)</f>
        <v>0.43843236409608088</v>
      </c>
      <c r="I116" s="18" t="s">
        <v>109</v>
      </c>
      <c r="J116" s="15" t="s">
        <v>20</v>
      </c>
    </row>
    <row r="117" spans="2:10" ht="14.25" customHeight="1">
      <c r="B117" s="13" t="s">
        <v>437</v>
      </c>
      <c r="C117" s="14">
        <v>45952</v>
      </c>
      <c r="D117" s="15" t="s">
        <v>15</v>
      </c>
      <c r="E117" s="13">
        <v>7.15</v>
      </c>
      <c r="F117" s="15">
        <v>5</v>
      </c>
      <c r="G117" s="13">
        <v>2.21</v>
      </c>
      <c r="H117" s="17">
        <f>-(G117/E117-1)</f>
        <v>0.69090909090909092</v>
      </c>
      <c r="I117" s="18" t="s">
        <v>439</v>
      </c>
      <c r="J117" s="15" t="s">
        <v>21</v>
      </c>
    </row>
    <row r="118" spans="2:10" ht="14.25" customHeight="1">
      <c r="B118" s="13" t="s">
        <v>389</v>
      </c>
      <c r="C118" s="14">
        <v>45952</v>
      </c>
      <c r="D118" s="15" t="s">
        <v>408</v>
      </c>
      <c r="E118" s="13">
        <v>558.26</v>
      </c>
      <c r="F118" s="15">
        <v>3</v>
      </c>
      <c r="I118" s="18"/>
    </row>
    <row r="119" spans="2:10" ht="14.25" customHeight="1">
      <c r="B119" s="13" t="s">
        <v>440</v>
      </c>
      <c r="C119" s="14">
        <v>45954</v>
      </c>
      <c r="D119" s="15" t="s">
        <v>9</v>
      </c>
      <c r="E119" s="13">
        <v>177.71</v>
      </c>
      <c r="F119" s="15">
        <v>3</v>
      </c>
      <c r="G119" s="16">
        <v>241</v>
      </c>
      <c r="I119" s="18"/>
    </row>
    <row r="120" spans="2:10" ht="14.25" customHeight="1">
      <c r="B120" s="13" t="s">
        <v>110</v>
      </c>
      <c r="C120" s="14">
        <v>45958</v>
      </c>
      <c r="D120" s="15" t="s">
        <v>9</v>
      </c>
      <c r="E120" s="13">
        <v>544.13</v>
      </c>
      <c r="F120" s="15">
        <v>3</v>
      </c>
    </row>
    <row r="121" spans="2:10" ht="14.25" customHeight="1">
      <c r="B121" s="13" t="s">
        <v>447</v>
      </c>
      <c r="C121" s="14">
        <v>45958</v>
      </c>
      <c r="D121" s="15" t="s">
        <v>408</v>
      </c>
      <c r="E121" s="16">
        <v>346.7</v>
      </c>
      <c r="F121" s="15">
        <v>5</v>
      </c>
    </row>
    <row r="122" spans="2:10" ht="14.25" customHeight="1">
      <c r="B122" s="13" t="s">
        <v>96</v>
      </c>
      <c r="C122" s="14">
        <v>45959</v>
      </c>
      <c r="D122" s="15" t="s">
        <v>408</v>
      </c>
      <c r="E122" s="13">
        <v>23.34</v>
      </c>
      <c r="F122" s="15">
        <v>7</v>
      </c>
    </row>
    <row r="123" spans="2:10" ht="14.25" customHeight="1">
      <c r="B123" s="13" t="s">
        <v>95</v>
      </c>
      <c r="C123" s="14">
        <v>45959</v>
      </c>
      <c r="D123" s="15" t="s">
        <v>408</v>
      </c>
      <c r="E123" s="13">
        <v>371.98</v>
      </c>
      <c r="F123" s="15">
        <v>5</v>
      </c>
      <c r="I123" s="18" t="s">
        <v>445</v>
      </c>
      <c r="J123" s="15" t="s">
        <v>20</v>
      </c>
    </row>
    <row r="124" spans="2:10" ht="14.25" customHeight="1">
      <c r="B124" s="13" t="s">
        <v>75</v>
      </c>
      <c r="C124" s="14">
        <v>45959</v>
      </c>
      <c r="D124" s="15" t="s">
        <v>408</v>
      </c>
      <c r="E124" s="16">
        <v>288.5</v>
      </c>
      <c r="F124" s="15">
        <v>5</v>
      </c>
      <c r="I124" s="18"/>
    </row>
    <row r="125" spans="2:10" ht="14.25" customHeight="1">
      <c r="B125" s="13" t="s">
        <v>81</v>
      </c>
      <c r="C125" s="14">
        <v>45960</v>
      </c>
      <c r="D125" s="15" t="s">
        <v>9</v>
      </c>
      <c r="E125" s="16">
        <v>669</v>
      </c>
      <c r="F125" s="15">
        <v>4</v>
      </c>
      <c r="I125" s="18"/>
    </row>
    <row r="126" spans="2:10" ht="14.25" customHeight="1">
      <c r="B126" s="13" t="s">
        <v>393</v>
      </c>
      <c r="C126" s="14">
        <v>45960</v>
      </c>
      <c r="D126" s="15" t="s">
        <v>9</v>
      </c>
      <c r="E126" s="16">
        <v>66</v>
      </c>
      <c r="F126" s="15">
        <v>2</v>
      </c>
      <c r="I126" s="18"/>
    </row>
    <row r="127" spans="2:10" ht="14.25" customHeight="1">
      <c r="B127" s="13" t="s">
        <v>103</v>
      </c>
      <c r="C127" s="14">
        <v>45961</v>
      </c>
      <c r="D127" s="15" t="s">
        <v>15</v>
      </c>
      <c r="E127" s="13">
        <v>36.81</v>
      </c>
      <c r="F127" s="15">
        <v>7</v>
      </c>
      <c r="G127" s="13">
        <v>22.21</v>
      </c>
      <c r="H127" s="17">
        <f>-(G127/E127-1)</f>
        <v>0.39663135017658246</v>
      </c>
      <c r="I127" s="18" t="s">
        <v>109</v>
      </c>
      <c r="J127" s="15" t="s">
        <v>21</v>
      </c>
    </row>
    <row r="128" spans="2:10" ht="14.25" customHeight="1">
      <c r="B128" s="13" t="s">
        <v>96</v>
      </c>
      <c r="C128" s="14">
        <v>45964</v>
      </c>
      <c r="D128" s="15" t="s">
        <v>9</v>
      </c>
      <c r="E128" s="13">
        <v>15.25</v>
      </c>
      <c r="F128" s="15">
        <v>5</v>
      </c>
      <c r="I128" s="18"/>
    </row>
    <row r="129" spans="2:10" ht="14.25" customHeight="1">
      <c r="B129" s="13" t="s">
        <v>388</v>
      </c>
      <c r="C129" s="14">
        <v>45965</v>
      </c>
      <c r="D129" s="15" t="s">
        <v>9</v>
      </c>
      <c r="E129" s="16">
        <v>80.400000000000006</v>
      </c>
      <c r="F129" s="15">
        <v>4</v>
      </c>
      <c r="I129" s="18"/>
    </row>
    <row r="130" spans="2:10" ht="14.25" customHeight="1">
      <c r="B130" s="13" t="s">
        <v>73</v>
      </c>
      <c r="C130" s="14">
        <v>45966</v>
      </c>
      <c r="D130" s="15" t="s">
        <v>9</v>
      </c>
      <c r="E130" s="13">
        <v>227.75</v>
      </c>
      <c r="F130" s="15">
        <v>6</v>
      </c>
      <c r="I130" s="18"/>
    </row>
    <row r="131" spans="2:10" ht="14.25" customHeight="1">
      <c r="B131" s="13" t="s">
        <v>123</v>
      </c>
      <c r="C131" s="14">
        <v>45966</v>
      </c>
      <c r="D131" s="15" t="s">
        <v>9</v>
      </c>
      <c r="E131" s="16">
        <v>87.5</v>
      </c>
      <c r="F131" s="15">
        <v>5</v>
      </c>
      <c r="I131" s="18"/>
    </row>
    <row r="132" spans="2:10" ht="14.25" customHeight="1">
      <c r="B132" s="13" t="s">
        <v>382</v>
      </c>
      <c r="C132" s="14">
        <v>45966</v>
      </c>
      <c r="D132" s="20" t="s">
        <v>455</v>
      </c>
      <c r="E132" s="13">
        <v>127.25</v>
      </c>
      <c r="F132" s="15">
        <v>3</v>
      </c>
      <c r="G132" s="16">
        <v>108.6</v>
      </c>
      <c r="H132" s="17">
        <f>G132/E132-1</f>
        <v>-0.14656188605108056</v>
      </c>
      <c r="I132" s="19" t="s">
        <v>454</v>
      </c>
      <c r="J132" s="15" t="s">
        <v>21</v>
      </c>
    </row>
    <row r="133" spans="2:10" ht="14.25" customHeight="1">
      <c r="B133" s="13" t="s">
        <v>86</v>
      </c>
      <c r="C133" s="14">
        <v>45966</v>
      </c>
      <c r="D133" s="15" t="s">
        <v>450</v>
      </c>
      <c r="E133" s="16">
        <v>140</v>
      </c>
      <c r="F133" s="15">
        <v>5</v>
      </c>
      <c r="I133" s="18" t="s">
        <v>453</v>
      </c>
      <c r="J133" s="15" t="s">
        <v>21</v>
      </c>
    </row>
    <row r="134" spans="2:10" ht="14.25" customHeight="1">
      <c r="B134" s="13" t="s">
        <v>380</v>
      </c>
      <c r="C134" s="14">
        <v>45973</v>
      </c>
      <c r="D134" s="15" t="s">
        <v>9</v>
      </c>
      <c r="E134" s="16">
        <v>104.5</v>
      </c>
      <c r="F134" s="15">
        <v>7</v>
      </c>
      <c r="I134" s="18" t="s">
        <v>458</v>
      </c>
      <c r="J134" s="15" t="s">
        <v>20</v>
      </c>
    </row>
    <row r="135" spans="2:10" ht="14.25" customHeight="1">
      <c r="B135" s="13" t="s">
        <v>103</v>
      </c>
      <c r="C135" s="14">
        <v>45973</v>
      </c>
      <c r="D135" s="15" t="s">
        <v>15</v>
      </c>
      <c r="E135" s="13">
        <v>28.72</v>
      </c>
      <c r="F135" s="15">
        <v>6</v>
      </c>
      <c r="G135" s="13">
        <v>22.21</v>
      </c>
      <c r="H135" s="17">
        <f>-(G135/E135-1)</f>
        <v>0.22667130919220047</v>
      </c>
      <c r="I135" s="18" t="s">
        <v>460</v>
      </c>
      <c r="J135" s="15" t="s">
        <v>21</v>
      </c>
    </row>
    <row r="136" spans="2:10" ht="14.25" customHeight="1">
      <c r="B136" s="13" t="s">
        <v>459</v>
      </c>
      <c r="C136" s="14">
        <v>45973</v>
      </c>
      <c r="D136" s="15" t="s">
        <v>15</v>
      </c>
      <c r="E136" s="13">
        <v>31.65</v>
      </c>
      <c r="F136" s="15">
        <v>7</v>
      </c>
      <c r="G136" s="13">
        <v>25.49</v>
      </c>
      <c r="H136" s="17">
        <f>-(G136/E136-1)</f>
        <v>0.19462875197472351</v>
      </c>
      <c r="I136" s="18" t="s">
        <v>460</v>
      </c>
      <c r="J136" s="15" t="s">
        <v>21</v>
      </c>
    </row>
    <row r="137" spans="2:10" ht="14.25" customHeight="1">
      <c r="B137" s="13" t="s">
        <v>117</v>
      </c>
      <c r="C137" s="14">
        <v>45974</v>
      </c>
      <c r="D137" s="15" t="s">
        <v>9</v>
      </c>
      <c r="E137" s="16">
        <v>273</v>
      </c>
      <c r="F137" s="15">
        <v>5</v>
      </c>
      <c r="G137" s="13">
        <v>304.55</v>
      </c>
      <c r="H137" s="17">
        <f>G137/E137-1</f>
        <v>0.1155677655677656</v>
      </c>
      <c r="I137" s="18" t="s">
        <v>468</v>
      </c>
      <c r="J137" s="15" t="s">
        <v>21</v>
      </c>
    </row>
    <row r="138" spans="2:10" ht="14.25" customHeight="1">
      <c r="B138" s="13" t="s">
        <v>440</v>
      </c>
      <c r="C138" s="14">
        <v>45974</v>
      </c>
      <c r="D138" s="15" t="s">
        <v>9</v>
      </c>
      <c r="E138" s="16">
        <v>267</v>
      </c>
      <c r="F138" s="15">
        <v>4</v>
      </c>
      <c r="I138" s="18"/>
    </row>
    <row r="139" spans="2:10" ht="14.25" customHeight="1">
      <c r="B139" s="13" t="s">
        <v>83</v>
      </c>
      <c r="C139" s="14">
        <v>45974</v>
      </c>
      <c r="D139" s="15" t="s">
        <v>9</v>
      </c>
      <c r="E139" s="16">
        <v>238</v>
      </c>
      <c r="F139" s="15">
        <v>6</v>
      </c>
      <c r="I139" s="18"/>
    </row>
    <row r="140" spans="2:10" ht="14.25" customHeight="1">
      <c r="B140" s="13" t="s">
        <v>413</v>
      </c>
      <c r="C140" s="14">
        <v>45974</v>
      </c>
      <c r="D140" s="15" t="s">
        <v>9</v>
      </c>
      <c r="E140" s="16">
        <v>80</v>
      </c>
      <c r="F140" s="15">
        <v>5</v>
      </c>
      <c r="I140" s="18"/>
    </row>
    <row r="141" spans="2:10" ht="14.25" customHeight="1">
      <c r="B141" s="13" t="s">
        <v>73</v>
      </c>
      <c r="C141" s="14">
        <v>45975</v>
      </c>
      <c r="D141" s="15" t="s">
        <v>9</v>
      </c>
      <c r="E141" s="13">
        <v>277.05</v>
      </c>
      <c r="F141" s="15">
        <v>6</v>
      </c>
      <c r="I141" s="18"/>
    </row>
    <row r="142" spans="2:10" ht="14.25" customHeight="1">
      <c r="B142" s="13" t="s">
        <v>13</v>
      </c>
      <c r="C142" s="14">
        <v>45980</v>
      </c>
      <c r="D142" s="15" t="s">
        <v>450</v>
      </c>
      <c r="E142" s="13">
        <v>194.55</v>
      </c>
      <c r="F142" s="15">
        <v>3</v>
      </c>
      <c r="G142" s="16">
        <v>177.8</v>
      </c>
      <c r="H142" s="17">
        <f>G142/E142-1</f>
        <v>-8.6096119249550185E-2</v>
      </c>
      <c r="I142" s="18" t="s">
        <v>464</v>
      </c>
      <c r="J142" s="15" t="s">
        <v>21</v>
      </c>
    </row>
    <row r="143" spans="2:10" ht="14.25" customHeight="1">
      <c r="B143" s="13" t="s">
        <v>410</v>
      </c>
      <c r="C143" s="14">
        <v>45981</v>
      </c>
      <c r="D143" s="15" t="s">
        <v>9</v>
      </c>
      <c r="E143" s="16">
        <v>285.5</v>
      </c>
      <c r="F143" s="15">
        <v>3</v>
      </c>
      <c r="I143" s="18"/>
    </row>
    <row r="144" spans="2:10" ht="14.25" customHeight="1">
      <c r="B144" s="13" t="s">
        <v>421</v>
      </c>
      <c r="C144" s="14">
        <v>45981</v>
      </c>
      <c r="D144" s="15" t="s">
        <v>9</v>
      </c>
      <c r="E144" s="16">
        <v>353.5</v>
      </c>
      <c r="F144" s="15">
        <v>4</v>
      </c>
    </row>
    <row r="145" spans="2:10" ht="14.25" customHeight="1">
      <c r="B145" s="13" t="s">
        <v>71</v>
      </c>
      <c r="C145" s="14">
        <v>45982</v>
      </c>
      <c r="D145" s="15" t="s">
        <v>9</v>
      </c>
      <c r="E145" s="16">
        <v>221</v>
      </c>
      <c r="F145" s="15">
        <v>6</v>
      </c>
    </row>
    <row r="146" spans="2:10" ht="14.25" customHeight="1">
      <c r="B146" s="13" t="s">
        <v>98</v>
      </c>
      <c r="C146" s="14">
        <v>45989</v>
      </c>
      <c r="D146" s="15" t="s">
        <v>408</v>
      </c>
      <c r="E146" s="13">
        <v>385.02</v>
      </c>
      <c r="F146" s="15">
        <v>5</v>
      </c>
      <c r="I146" s="13" t="s">
        <v>466</v>
      </c>
      <c r="J146" s="15" t="s">
        <v>21</v>
      </c>
    </row>
    <row r="147" spans="2:10" ht="14.25" customHeight="1">
      <c r="B147" s="13" t="s">
        <v>91</v>
      </c>
      <c r="C147" s="14">
        <v>45989</v>
      </c>
      <c r="D147" s="15" t="s">
        <v>408</v>
      </c>
      <c r="E147" s="16">
        <v>362</v>
      </c>
      <c r="F147" s="15">
        <v>3</v>
      </c>
      <c r="I147" s="13" t="s">
        <v>466</v>
      </c>
      <c r="J147" s="15" t="s">
        <v>21</v>
      </c>
    </row>
    <row r="148" spans="2:10" ht="14.25" customHeight="1">
      <c r="B148" s="13" t="s">
        <v>461</v>
      </c>
      <c r="C148" s="14">
        <v>45992</v>
      </c>
      <c r="D148" s="15" t="s">
        <v>9</v>
      </c>
      <c r="E148" s="13">
        <v>129.15</v>
      </c>
      <c r="F148" s="15">
        <v>4</v>
      </c>
    </row>
    <row r="149" spans="2:10" ht="14.25" customHeight="1">
      <c r="B149" s="13" t="s">
        <v>462</v>
      </c>
      <c r="C149" s="14">
        <v>45994</v>
      </c>
      <c r="D149" s="15" t="s">
        <v>9</v>
      </c>
      <c r="E149" s="13">
        <v>284.22000000000003</v>
      </c>
      <c r="F149" s="15">
        <v>5</v>
      </c>
    </row>
    <row r="150" spans="2:10" ht="14.25" customHeight="1">
      <c r="B150" s="13" t="s">
        <v>465</v>
      </c>
      <c r="C150" s="14">
        <v>45996</v>
      </c>
      <c r="D150" s="15" t="s">
        <v>450</v>
      </c>
      <c r="E150" s="13">
        <v>70.58</v>
      </c>
      <c r="F150" s="15">
        <v>4</v>
      </c>
    </row>
    <row r="151" spans="2:10" ht="14.25" customHeight="1">
      <c r="B151" s="13" t="s">
        <v>463</v>
      </c>
      <c r="C151" s="14">
        <v>45997</v>
      </c>
      <c r="D151" s="15" t="s">
        <v>9</v>
      </c>
      <c r="E151" s="13">
        <v>181.44</v>
      </c>
      <c r="F151" s="15">
        <v>3</v>
      </c>
    </row>
    <row r="152" spans="2:10" ht="14.25" customHeight="1">
      <c r="B152" s="13" t="s">
        <v>123</v>
      </c>
      <c r="C152" s="14">
        <v>46002</v>
      </c>
      <c r="D152" s="15" t="s">
        <v>9</v>
      </c>
      <c r="E152" s="16">
        <v>87</v>
      </c>
      <c r="F152" s="15">
        <v>5</v>
      </c>
    </row>
    <row r="153" spans="2:10" ht="14.25" customHeight="1">
      <c r="B153" s="13" t="s">
        <v>11</v>
      </c>
      <c r="C153" s="14">
        <v>46002</v>
      </c>
      <c r="D153" s="15" t="s">
        <v>9</v>
      </c>
      <c r="E153" s="13">
        <v>183.57</v>
      </c>
      <c r="F153" s="15">
        <v>4</v>
      </c>
    </row>
    <row r="154" spans="2:10" ht="14.25" customHeight="1">
      <c r="B154" s="13" t="s">
        <v>471</v>
      </c>
      <c r="C154" s="14">
        <v>46013</v>
      </c>
      <c r="D154" s="15" t="s">
        <v>9</v>
      </c>
      <c r="E154" s="13">
        <v>396.92</v>
      </c>
      <c r="F154" s="15">
        <v>4</v>
      </c>
    </row>
    <row r="155" spans="2:10" ht="14.25" customHeight="1">
      <c r="B155" s="13" t="s">
        <v>432</v>
      </c>
      <c r="C155" s="14">
        <v>46015</v>
      </c>
      <c r="D155" s="15" t="s">
        <v>9</v>
      </c>
      <c r="E155" s="13">
        <v>150.71</v>
      </c>
      <c r="F155" s="15">
        <v>3</v>
      </c>
    </row>
    <row r="156" spans="2:10" ht="14.25" customHeight="1">
      <c r="B156" s="13" t="s">
        <v>470</v>
      </c>
      <c r="C156" s="14">
        <v>46016</v>
      </c>
      <c r="D156" s="15" t="s">
        <v>9</v>
      </c>
      <c r="E156" s="13">
        <v>298.81</v>
      </c>
      <c r="F156" s="15">
        <v>7</v>
      </c>
    </row>
    <row r="157" spans="2:10" ht="14.25" customHeight="1">
      <c r="B157" s="13" t="s">
        <v>467</v>
      </c>
      <c r="C157" s="14">
        <v>46020</v>
      </c>
      <c r="D157" s="15" t="s">
        <v>9</v>
      </c>
      <c r="E157" s="16">
        <v>36</v>
      </c>
      <c r="F157" s="15">
        <v>5</v>
      </c>
    </row>
    <row r="158" spans="2:10" ht="14.25" customHeight="1">
      <c r="B158" s="13" t="s">
        <v>378</v>
      </c>
      <c r="C158" s="14">
        <v>46021</v>
      </c>
      <c r="D158" s="15" t="s">
        <v>9</v>
      </c>
      <c r="E158" s="16">
        <v>1.55</v>
      </c>
      <c r="F158" s="15">
        <v>3</v>
      </c>
    </row>
    <row r="159" spans="2:10" ht="14.25" customHeight="1">
      <c r="B159" s="13" t="s">
        <v>71</v>
      </c>
      <c r="C159" s="14">
        <v>46027</v>
      </c>
      <c r="D159" s="15" t="s">
        <v>9</v>
      </c>
      <c r="E159" s="16">
        <v>227.5</v>
      </c>
      <c r="F159" s="15">
        <v>6</v>
      </c>
    </row>
    <row r="160" spans="2:10" ht="14.25" customHeight="1">
      <c r="B160" s="13" t="s">
        <v>22</v>
      </c>
      <c r="C160" s="14">
        <v>46028</v>
      </c>
      <c r="D160" s="15" t="s">
        <v>9</v>
      </c>
      <c r="E160" s="16">
        <v>45.7</v>
      </c>
      <c r="F160" s="15">
        <v>6</v>
      </c>
    </row>
    <row r="161" spans="2:6" ht="14.25" customHeight="1">
      <c r="B161" s="13" t="s">
        <v>469</v>
      </c>
      <c r="C161" s="14">
        <v>46030</v>
      </c>
      <c r="D161" s="15" t="s">
        <v>9</v>
      </c>
      <c r="E161" s="13">
        <v>4.57</v>
      </c>
      <c r="F161" s="15">
        <v>2</v>
      </c>
    </row>
    <row r="162" spans="2:6" ht="14.25" customHeight="1">
      <c r="B162" s="13" t="s">
        <v>472</v>
      </c>
      <c r="C162" s="14">
        <v>46031</v>
      </c>
      <c r="D162" s="15" t="s">
        <v>9</v>
      </c>
      <c r="E162" s="16">
        <v>60.15</v>
      </c>
      <c r="F162" s="15">
        <v>2</v>
      </c>
    </row>
    <row r="163" spans="2:6" ht="14.25" customHeight="1">
      <c r="B163" s="13" t="s">
        <v>473</v>
      </c>
      <c r="C163" s="14">
        <v>46031</v>
      </c>
      <c r="D163" s="15" t="s">
        <v>9</v>
      </c>
      <c r="E163" s="13">
        <v>90.73</v>
      </c>
      <c r="F163" s="15">
        <v>4</v>
      </c>
    </row>
  </sheetData>
  <hyperlinks>
    <hyperlink ref="B4" r:id="rId1" xr:uid="{F4E2581C-7403-4A2A-B836-D34FEAEDAC7A}"/>
  </hyperlinks>
  <pageMargins left="0.7" right="0.7" top="0.75" bottom="0.75" header="0.3" footer="0.3"/>
  <ignoredErrors>
    <ignoredError sqref="H8:H9 H53:H55 H50"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47F9EC-22C9-4418-97BF-85CBD62B82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Hedge Funds</vt:lpstr>
      <vt:lpstr>Analysts</vt:lpstr>
      <vt:lpstr>Price Target | 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2026-01-10T05:57:59Z</dcterms:modified>
</cp:coreProperties>
</file>