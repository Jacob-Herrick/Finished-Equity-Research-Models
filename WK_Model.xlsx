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er\OneDrive\Desktop\Equity Research\Models\Technology\"/>
    </mc:Choice>
  </mc:AlternateContent>
  <xr:revisionPtr revIDLastSave="0" documentId="13_ncr:1_{F99A00CF-00F7-402E-BB58-623C59987365}" xr6:coauthVersionLast="47" xr6:coauthVersionMax="47" xr10:uidLastSave="{00000000-0000-0000-0000-000000000000}"/>
  <bookViews>
    <workbookView xWindow="28695" yWindow="0" windowWidth="12435" windowHeight="15585" activeTab="1" xr2:uid="{00000000-000D-0000-FFFF-FFFF00000000}"/>
  </bookViews>
  <sheets>
    <sheet name="Main" sheetId="1" r:id="rId1"/>
    <sheet name="Model" sheetId="2" r:id="rId2"/>
    <sheet name="Notes | Quant Analysis" sheetId="3" r:id="rId3"/>
    <sheet name="Management" sheetId="6" r:id="rId4"/>
    <sheet name="Acquisitions" sheetId="7" r:id="rId5"/>
    <sheet name="Product Lines" sheetId="5" r:id="rId6"/>
    <sheet name="Table Formatting" sheetId="4"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V95" i="2" l="1"/>
  <c r="AW31" i="2"/>
  <c r="AW30" i="2"/>
  <c r="AV25" i="2"/>
  <c r="AU25" i="2"/>
  <c r="AV24" i="2"/>
  <c r="AU24" i="2"/>
  <c r="AV23" i="2"/>
  <c r="AU23" i="2"/>
  <c r="AW25" i="2"/>
  <c r="AW23" i="2"/>
  <c r="AW24" i="2"/>
  <c r="AS20" i="2" l="1"/>
  <c r="AS19" i="2"/>
  <c r="AW20" i="2"/>
  <c r="AW19" i="2"/>
  <c r="AW98" i="2"/>
  <c r="AW97" i="2"/>
  <c r="AW88" i="2"/>
  <c r="AW87" i="2"/>
  <c r="AW83" i="2"/>
  <c r="AW85" i="2" s="1"/>
  <c r="AW71" i="2"/>
  <c r="AW51" i="2"/>
  <c r="AW50" i="2"/>
  <c r="AW35" i="2"/>
  <c r="AW17" i="2"/>
  <c r="AW16" i="2"/>
  <c r="AW15" i="2"/>
  <c r="AW13" i="2"/>
  <c r="AW12" i="2"/>
  <c r="AW11" i="2"/>
  <c r="AW10" i="2"/>
  <c r="AW8" i="2"/>
  <c r="AW32" i="2" s="1"/>
  <c r="AW7" i="2"/>
  <c r="C9" i="1"/>
  <c r="C8" i="1"/>
  <c r="BX101" i="2"/>
  <c r="BX103" i="2" s="1"/>
  <c r="AV99" i="2"/>
  <c r="AV98" i="2"/>
  <c r="AV97" i="2"/>
  <c r="AV94" i="2"/>
  <c r="AV92" i="2"/>
  <c r="AV91" i="2"/>
  <c r="AV90" i="2"/>
  <c r="AV89" i="2"/>
  <c r="AV88" i="2"/>
  <c r="AV87" i="2"/>
  <c r="AV85" i="2"/>
  <c r="AV83" i="2"/>
  <c r="AV71" i="2"/>
  <c r="AV57" i="2"/>
  <c r="AV56" i="2"/>
  <c r="AV55" i="2"/>
  <c r="AV54" i="2"/>
  <c r="AV53" i="2"/>
  <c r="AV52" i="2"/>
  <c r="AV51" i="2"/>
  <c r="AV50" i="2"/>
  <c r="AV48" i="2"/>
  <c r="AV46" i="2"/>
  <c r="AV44" i="2"/>
  <c r="AV40" i="2"/>
  <c r="AV32" i="2"/>
  <c r="AV36" i="2"/>
  <c r="AV35" i="2"/>
  <c r="AV28" i="2"/>
  <c r="AV27" i="2"/>
  <c r="AR20" i="2"/>
  <c r="AR19" i="2"/>
  <c r="AV21" i="2"/>
  <c r="AV20" i="2"/>
  <c r="AV19" i="2"/>
  <c r="AV17" i="2"/>
  <c r="AV16" i="2"/>
  <c r="AV15" i="2"/>
  <c r="AV13" i="2"/>
  <c r="AV12" i="2"/>
  <c r="AV11" i="2"/>
  <c r="AV10" i="2"/>
  <c r="AV8" i="2"/>
  <c r="AV7" i="2"/>
  <c r="BX108" i="2"/>
  <c r="BW95" i="2"/>
  <c r="BX95" i="2" s="1"/>
  <c r="BX106" i="2"/>
  <c r="CA96" i="2"/>
  <c r="CB96" i="2" s="1"/>
  <c r="CC96" i="2" s="1"/>
  <c r="CD96" i="2" s="1"/>
  <c r="CE96" i="2" s="1"/>
  <c r="BZ96" i="2"/>
  <c r="BY96" i="2"/>
  <c r="BX96" i="2"/>
  <c r="BW96" i="2"/>
  <c r="BV96" i="2"/>
  <c r="BY95" i="2" l="1"/>
  <c r="BZ95" i="2" s="1"/>
  <c r="CA95" i="2" s="1"/>
  <c r="CB95" i="2" s="1"/>
  <c r="CC95" i="2" s="1"/>
  <c r="CD95" i="2" s="1"/>
  <c r="CE95" i="2" s="1"/>
  <c r="AW99" i="2"/>
  <c r="AW21" i="2"/>
  <c r="AW27" i="2" s="1"/>
  <c r="AW54" i="2"/>
  <c r="AW90" i="2"/>
  <c r="AW89" i="2"/>
  <c r="AW28" i="2"/>
  <c r="AW36" i="2"/>
  <c r="AW53" i="2"/>
  <c r="BV97" i="2"/>
  <c r="BW97" i="2"/>
  <c r="AW40" i="2" l="1"/>
  <c r="AW52" i="2"/>
  <c r="BX97" i="2"/>
  <c r="AW44" i="2" l="1"/>
  <c r="AW55" i="2"/>
  <c r="BY97" i="2"/>
  <c r="AW56" i="2" l="1"/>
  <c r="AW46" i="2"/>
  <c r="BZ97" i="2"/>
  <c r="AW57" i="2" l="1"/>
  <c r="AW91" i="2"/>
  <c r="AW94" i="2"/>
  <c r="AW92" i="2"/>
  <c r="AW48" i="2"/>
  <c r="CA97" i="2"/>
  <c r="CB97" i="2" l="1"/>
  <c r="CC97" i="2" l="1"/>
  <c r="CD97" i="2" l="1"/>
  <c r="CE97" i="2"/>
  <c r="CF97" i="2" s="1"/>
  <c r="CG97" i="2" s="1"/>
  <c r="CH97" i="2" s="1"/>
  <c r="CI97" i="2" s="1"/>
  <c r="CJ97" i="2" s="1"/>
  <c r="CK97" i="2" s="1"/>
  <c r="CL97" i="2" s="1"/>
  <c r="CM97" i="2" s="1"/>
  <c r="CN97" i="2" s="1"/>
  <c r="CO97" i="2" s="1"/>
  <c r="CP97" i="2" s="1"/>
  <c r="CQ97" i="2" s="1"/>
  <c r="CR97" i="2" s="1"/>
  <c r="CS97" i="2" s="1"/>
  <c r="CT97" i="2" s="1"/>
  <c r="CU97" i="2" s="1"/>
  <c r="CV97" i="2" s="1"/>
  <c r="CW97" i="2" s="1"/>
  <c r="CX97" i="2" s="1"/>
  <c r="CY97" i="2" s="1"/>
  <c r="CZ97" i="2" s="1"/>
  <c r="DA97" i="2" s="1"/>
  <c r="DB97" i="2" s="1"/>
  <c r="DC97" i="2" s="1"/>
  <c r="DD97" i="2" s="1"/>
  <c r="DE97" i="2" s="1"/>
  <c r="DF97" i="2" s="1"/>
  <c r="DG97" i="2" s="1"/>
  <c r="DH97" i="2" s="1"/>
  <c r="DI97" i="2" s="1"/>
  <c r="DJ97" i="2" s="1"/>
  <c r="DK97" i="2" s="1"/>
  <c r="DL97" i="2" s="1"/>
  <c r="DM97" i="2" s="1"/>
  <c r="DN97" i="2" s="1"/>
  <c r="DO97" i="2" s="1"/>
  <c r="DP97" i="2" s="1"/>
  <c r="DQ97" i="2" s="1"/>
  <c r="DR97" i="2" s="1"/>
  <c r="DS97" i="2" s="1"/>
  <c r="DT97" i="2" s="1"/>
  <c r="DU97" i="2" s="1"/>
  <c r="DV97" i="2" s="1"/>
  <c r="DW97" i="2" s="1"/>
  <c r="DX97" i="2" s="1"/>
  <c r="DY97" i="2" s="1"/>
  <c r="DZ97" i="2" s="1"/>
  <c r="EA97" i="2" s="1"/>
  <c r="EB97" i="2" s="1"/>
  <c r="EC97" i="2" s="1"/>
  <c r="BX105" i="2" s="1"/>
  <c r="BX107" i="2" s="1"/>
  <c r="BX109" i="2" s="1"/>
  <c r="BY109" i="2" l="1"/>
  <c r="BW110" i="2" a="1"/>
  <c r="BW110" i="2" s="1"/>
  <c r="BT17" i="2"/>
  <c r="BS17" i="2"/>
  <c r="BR17" i="2"/>
  <c r="BQ17" i="2"/>
  <c r="BP17" i="2"/>
  <c r="BT16" i="2"/>
  <c r="BS16" i="2"/>
  <c r="BR16" i="2"/>
  <c r="BQ16" i="2"/>
  <c r="BP16" i="2"/>
  <c r="BT15" i="2"/>
  <c r="BS15" i="2"/>
  <c r="BR15" i="2"/>
  <c r="BQ15" i="2"/>
  <c r="BP15" i="2"/>
  <c r="BU17" i="2"/>
  <c r="BU16" i="2"/>
  <c r="BU15" i="2"/>
  <c r="BT13" i="2"/>
  <c r="BS13" i="2"/>
  <c r="BR13" i="2"/>
  <c r="BQ13" i="2"/>
  <c r="BT12" i="2"/>
  <c r="BS12" i="2"/>
  <c r="BR12" i="2"/>
  <c r="BQ12" i="2"/>
  <c r="BT11" i="2"/>
  <c r="BS11" i="2"/>
  <c r="BR11" i="2"/>
  <c r="BQ11" i="2"/>
  <c r="BT10" i="2"/>
  <c r="BS10" i="2"/>
  <c r="BR10" i="2"/>
  <c r="BQ10" i="2"/>
  <c r="BT92" i="2"/>
  <c r="BS92" i="2"/>
  <c r="BR92" i="2"/>
  <c r="BQ92" i="2"/>
  <c r="BP92" i="2"/>
  <c r="BT91" i="2"/>
  <c r="BS91" i="2"/>
  <c r="BR91" i="2"/>
  <c r="BQ91" i="2"/>
  <c r="BP91" i="2"/>
  <c r="BT90" i="2"/>
  <c r="BS90" i="2"/>
  <c r="BR90" i="2"/>
  <c r="BQ90" i="2"/>
  <c r="BP90" i="2"/>
  <c r="BT89" i="2"/>
  <c r="BS89" i="2"/>
  <c r="BR89" i="2"/>
  <c r="BQ89" i="2"/>
  <c r="BP89" i="2"/>
  <c r="BT88" i="2"/>
  <c r="BS88" i="2"/>
  <c r="BR88" i="2"/>
  <c r="BQ88" i="2"/>
  <c r="BP88" i="2"/>
  <c r="BT87" i="2"/>
  <c r="BS87" i="2"/>
  <c r="BR87" i="2"/>
  <c r="BQ87" i="2"/>
  <c r="BP87" i="2"/>
  <c r="BU92" i="2"/>
  <c r="BU91" i="2"/>
  <c r="BU90" i="2"/>
  <c r="BU89" i="2"/>
  <c r="BU88" i="2"/>
  <c r="BU87" i="2"/>
  <c r="BU85" i="2"/>
  <c r="BT85" i="2"/>
  <c r="BS85" i="2"/>
  <c r="BR85" i="2"/>
  <c r="BQ85" i="2"/>
  <c r="BP85" i="2"/>
  <c r="BU84" i="2"/>
  <c r="BT84" i="2"/>
  <c r="BS84" i="2"/>
  <c r="BR84" i="2"/>
  <c r="BQ84" i="2"/>
  <c r="BP84" i="2"/>
  <c r="BU83" i="2"/>
  <c r="BT83" i="2"/>
  <c r="BS83" i="2"/>
  <c r="BR83" i="2"/>
  <c r="BQ83" i="2"/>
  <c r="BP83" i="2"/>
  <c r="BU82" i="2"/>
  <c r="BT82" i="2"/>
  <c r="BS82" i="2"/>
  <c r="BR82" i="2"/>
  <c r="BQ82" i="2"/>
  <c r="BP82" i="2"/>
  <c r="BU81" i="2"/>
  <c r="BT81" i="2"/>
  <c r="BS81" i="2"/>
  <c r="BR81" i="2"/>
  <c r="BQ81" i="2"/>
  <c r="BP81" i="2"/>
  <c r="BU80" i="2"/>
  <c r="BT80" i="2"/>
  <c r="BS80" i="2"/>
  <c r="BR80" i="2"/>
  <c r="BQ80" i="2"/>
  <c r="BP80" i="2"/>
  <c r="BU79" i="2"/>
  <c r="BT79" i="2"/>
  <c r="BS79" i="2"/>
  <c r="BR79" i="2"/>
  <c r="BQ79" i="2"/>
  <c r="BP79" i="2"/>
  <c r="BU78" i="2"/>
  <c r="BT78" i="2"/>
  <c r="BS78" i="2"/>
  <c r="BR78" i="2"/>
  <c r="BQ78" i="2"/>
  <c r="BP78" i="2"/>
  <c r="BU77" i="2"/>
  <c r="BT77" i="2"/>
  <c r="BS77" i="2"/>
  <c r="BR77" i="2"/>
  <c r="BQ77" i="2"/>
  <c r="BP77" i="2"/>
  <c r="BU76" i="2"/>
  <c r="BT76" i="2"/>
  <c r="BS76" i="2"/>
  <c r="BR76" i="2"/>
  <c r="BQ76" i="2"/>
  <c r="BP76" i="2"/>
  <c r="BU75" i="2"/>
  <c r="BT75" i="2"/>
  <c r="BS75" i="2"/>
  <c r="BR75" i="2"/>
  <c r="BQ75" i="2"/>
  <c r="BP75" i="2"/>
  <c r="BU74" i="2"/>
  <c r="BT74" i="2"/>
  <c r="BS74" i="2"/>
  <c r="BR74" i="2"/>
  <c r="BQ74" i="2"/>
  <c r="BP74" i="2"/>
  <c r="BU73" i="2"/>
  <c r="BT73" i="2"/>
  <c r="BS73" i="2"/>
  <c r="BR73" i="2"/>
  <c r="BQ73" i="2"/>
  <c r="BP73" i="2"/>
  <c r="BU71" i="2"/>
  <c r="BT71" i="2"/>
  <c r="BS71" i="2"/>
  <c r="BR71" i="2"/>
  <c r="BQ71" i="2"/>
  <c r="BP71" i="2"/>
  <c r="BU70" i="2"/>
  <c r="BT70" i="2"/>
  <c r="BS70" i="2"/>
  <c r="BR70" i="2"/>
  <c r="BQ70" i="2"/>
  <c r="BP70" i="2"/>
  <c r="BU69" i="2"/>
  <c r="BT69" i="2"/>
  <c r="BS69" i="2"/>
  <c r="BR69" i="2"/>
  <c r="BQ69" i="2"/>
  <c r="BP69" i="2"/>
  <c r="BU68" i="2"/>
  <c r="BT68" i="2"/>
  <c r="BS68" i="2"/>
  <c r="BR68" i="2"/>
  <c r="BQ68" i="2"/>
  <c r="BP68" i="2"/>
  <c r="BU67" i="2"/>
  <c r="BT67" i="2"/>
  <c r="BS67" i="2"/>
  <c r="BR67" i="2"/>
  <c r="BQ67" i="2"/>
  <c r="BP67" i="2"/>
  <c r="BU66" i="2"/>
  <c r="BT66" i="2"/>
  <c r="BS66" i="2"/>
  <c r="BR66" i="2"/>
  <c r="BQ66" i="2"/>
  <c r="BP66" i="2"/>
  <c r="BU65" i="2"/>
  <c r="BT65" i="2"/>
  <c r="BS65" i="2"/>
  <c r="BR65" i="2"/>
  <c r="BQ65" i="2"/>
  <c r="BP65" i="2"/>
  <c r="BU64" i="2"/>
  <c r="BT64" i="2"/>
  <c r="BS64" i="2"/>
  <c r="BR64" i="2"/>
  <c r="BQ64" i="2"/>
  <c r="BP64" i="2"/>
  <c r="BU63" i="2"/>
  <c r="BT63" i="2"/>
  <c r="BS63" i="2"/>
  <c r="BR63" i="2"/>
  <c r="BQ63" i="2"/>
  <c r="BP63" i="2"/>
  <c r="BU62" i="2"/>
  <c r="BT62" i="2"/>
  <c r="BS62" i="2"/>
  <c r="BR62" i="2"/>
  <c r="BQ62" i="2"/>
  <c r="BP62" i="2"/>
  <c r="BU61" i="2"/>
  <c r="BT61" i="2"/>
  <c r="BS61" i="2"/>
  <c r="BR61" i="2"/>
  <c r="BQ61" i="2"/>
  <c r="BP61" i="2"/>
  <c r="BU60" i="2"/>
  <c r="BT60" i="2"/>
  <c r="BS60" i="2"/>
  <c r="BR60" i="2"/>
  <c r="BQ60" i="2"/>
  <c r="BP60" i="2"/>
  <c r="BP59" i="2"/>
  <c r="BQ59" i="2"/>
  <c r="BR59" i="2"/>
  <c r="BS59" i="2"/>
  <c r="BT59" i="2"/>
  <c r="BU59" i="2"/>
  <c r="BO57" i="2"/>
  <c r="BN57" i="2"/>
  <c r="BM57" i="2"/>
  <c r="BL57" i="2"/>
  <c r="BK57" i="2"/>
  <c r="BO56" i="2"/>
  <c r="BN56" i="2"/>
  <c r="BM56" i="2"/>
  <c r="BL56" i="2"/>
  <c r="BK56" i="2"/>
  <c r="BO55" i="2"/>
  <c r="BN55" i="2"/>
  <c r="BM55" i="2"/>
  <c r="BL55" i="2"/>
  <c r="BK55" i="2"/>
  <c r="BO54" i="2"/>
  <c r="BN54" i="2"/>
  <c r="BM54" i="2"/>
  <c r="BL54" i="2"/>
  <c r="BK54" i="2"/>
  <c r="BO53" i="2"/>
  <c r="BN53" i="2"/>
  <c r="BM53" i="2"/>
  <c r="BL53" i="2"/>
  <c r="BK53" i="2"/>
  <c r="BO52" i="2"/>
  <c r="BN52" i="2"/>
  <c r="BM52" i="2"/>
  <c r="BL52" i="2"/>
  <c r="BK52" i="2"/>
  <c r="BT57" i="2"/>
  <c r="BS57" i="2"/>
  <c r="BR57" i="2"/>
  <c r="BQ57" i="2"/>
  <c r="BP57" i="2"/>
  <c r="BT56" i="2"/>
  <c r="BS56" i="2"/>
  <c r="BR56" i="2"/>
  <c r="BQ56" i="2"/>
  <c r="BP56" i="2"/>
  <c r="BT55" i="2"/>
  <c r="BS55" i="2"/>
  <c r="BR55" i="2"/>
  <c r="BQ55" i="2"/>
  <c r="BP55" i="2"/>
  <c r="BT54" i="2"/>
  <c r="BS54" i="2"/>
  <c r="BR54" i="2"/>
  <c r="BQ54" i="2"/>
  <c r="BP54" i="2"/>
  <c r="BT53" i="2"/>
  <c r="BS53" i="2"/>
  <c r="BR53" i="2"/>
  <c r="BQ53" i="2"/>
  <c r="BP53" i="2"/>
  <c r="BT52" i="2"/>
  <c r="BS52" i="2"/>
  <c r="BR52" i="2"/>
  <c r="BQ52" i="2"/>
  <c r="BP52" i="2"/>
  <c r="BT51" i="2"/>
  <c r="BS51" i="2"/>
  <c r="BR51" i="2"/>
  <c r="BQ51" i="2"/>
  <c r="BP51" i="2"/>
  <c r="BT50" i="2"/>
  <c r="BS50" i="2"/>
  <c r="BR50" i="2"/>
  <c r="BQ50" i="2"/>
  <c r="BP50" i="2"/>
  <c r="BU57" i="2"/>
  <c r="BU56" i="2"/>
  <c r="BU55" i="2"/>
  <c r="BU54" i="2"/>
  <c r="BU53" i="2"/>
  <c r="BU52" i="2"/>
  <c r="BU51" i="2"/>
  <c r="BU50" i="2"/>
  <c r="BU13" i="2" l="1"/>
  <c r="BU12" i="2"/>
  <c r="BU11" i="2"/>
  <c r="BU10" i="2"/>
  <c r="BT8" i="2"/>
  <c r="BS8" i="2"/>
  <c r="BR8" i="2"/>
  <c r="BQ8" i="2"/>
  <c r="BP8" i="2"/>
  <c r="BU8" i="2"/>
  <c r="BK47" i="2" l="1"/>
  <c r="BL47" i="2"/>
  <c r="BM47" i="2"/>
  <c r="BN47" i="2"/>
  <c r="BO47" i="2"/>
  <c r="BO98" i="2" s="1"/>
  <c r="BN98" i="2"/>
  <c r="BM98" i="2"/>
  <c r="BL98" i="2"/>
  <c r="BK98" i="2"/>
  <c r="BO99" i="2"/>
  <c r="BN99" i="2"/>
  <c r="BM99" i="2"/>
  <c r="BL99" i="2"/>
  <c r="BK99" i="2"/>
  <c r="BO97" i="2"/>
  <c r="BN97" i="2"/>
  <c r="BM97" i="2"/>
  <c r="BL97" i="2"/>
  <c r="BK97" i="2"/>
  <c r="BO96" i="2"/>
  <c r="BN96" i="2"/>
  <c r="BM96" i="2"/>
  <c r="BL96" i="2"/>
  <c r="BK96" i="2"/>
  <c r="BO95" i="2"/>
  <c r="BN95" i="2"/>
  <c r="BM95" i="2"/>
  <c r="BL95" i="2"/>
  <c r="BK95" i="2"/>
  <c r="BO94" i="2"/>
  <c r="BN94" i="2"/>
  <c r="BM94" i="2"/>
  <c r="BL94" i="2"/>
  <c r="BK94" i="2"/>
  <c r="BO48" i="2"/>
  <c r="BN48" i="2"/>
  <c r="BM48" i="2"/>
  <c r="BL48" i="2"/>
  <c r="BK48" i="2"/>
  <c r="BO46" i="2"/>
  <c r="BN46" i="2"/>
  <c r="BM46" i="2"/>
  <c r="BL46" i="2"/>
  <c r="BK46" i="2"/>
  <c r="BO45" i="2"/>
  <c r="BN45" i="2"/>
  <c r="BM45" i="2"/>
  <c r="BL45" i="2"/>
  <c r="BK45" i="2"/>
  <c r="BO44" i="2"/>
  <c r="BN44" i="2"/>
  <c r="BM44" i="2"/>
  <c r="BL44" i="2"/>
  <c r="BK44" i="2"/>
  <c r="BO43" i="2"/>
  <c r="BN43" i="2"/>
  <c r="BM43" i="2"/>
  <c r="BL43" i="2"/>
  <c r="BK43" i="2"/>
  <c r="BO42" i="2"/>
  <c r="BN42" i="2"/>
  <c r="BM42" i="2"/>
  <c r="BL42" i="2"/>
  <c r="BK42" i="2"/>
  <c r="BO41" i="2"/>
  <c r="BN41" i="2"/>
  <c r="BM41" i="2"/>
  <c r="BL41" i="2"/>
  <c r="BK41" i="2"/>
  <c r="BO40" i="2"/>
  <c r="BN40" i="2"/>
  <c r="BM40" i="2"/>
  <c r="BL40" i="2"/>
  <c r="BK40" i="2"/>
  <c r="BO39" i="2"/>
  <c r="BN39" i="2"/>
  <c r="BM39" i="2"/>
  <c r="BL39" i="2"/>
  <c r="BK39" i="2"/>
  <c r="BO38" i="2"/>
  <c r="BN38" i="2"/>
  <c r="BM38" i="2"/>
  <c r="BL38" i="2"/>
  <c r="BK38" i="2"/>
  <c r="BO37" i="2"/>
  <c r="BN37" i="2"/>
  <c r="BM37" i="2"/>
  <c r="BL37" i="2"/>
  <c r="BK37" i="2"/>
  <c r="BO36" i="2"/>
  <c r="BN36" i="2"/>
  <c r="BM36" i="2"/>
  <c r="BL36" i="2"/>
  <c r="BK36" i="2"/>
  <c r="BO35" i="2"/>
  <c r="BN35" i="2"/>
  <c r="BM35" i="2"/>
  <c r="BL35" i="2"/>
  <c r="BK35" i="2"/>
  <c r="BO32" i="2"/>
  <c r="BN32" i="2"/>
  <c r="BM32" i="2"/>
  <c r="BL32" i="2"/>
  <c r="BK32" i="2"/>
  <c r="AL43" i="2"/>
  <c r="BU99" i="2"/>
  <c r="BT99" i="2"/>
  <c r="BS99" i="2"/>
  <c r="BR99" i="2"/>
  <c r="BQ99" i="2"/>
  <c r="BP99" i="2"/>
  <c r="BU98" i="2"/>
  <c r="BT98" i="2"/>
  <c r="BS98" i="2"/>
  <c r="BR98" i="2"/>
  <c r="BQ98" i="2"/>
  <c r="BP98" i="2"/>
  <c r="BU97" i="2"/>
  <c r="BT97" i="2"/>
  <c r="BS97" i="2"/>
  <c r="BR97" i="2"/>
  <c r="BQ97" i="2"/>
  <c r="BP97" i="2"/>
  <c r="BU96" i="2"/>
  <c r="BT96" i="2"/>
  <c r="BS96" i="2"/>
  <c r="BR96" i="2"/>
  <c r="BQ96" i="2"/>
  <c r="BP96" i="2"/>
  <c r="BU95" i="2"/>
  <c r="BT95" i="2"/>
  <c r="BS95" i="2"/>
  <c r="BR95" i="2"/>
  <c r="BQ95" i="2"/>
  <c r="BP95" i="2"/>
  <c r="BU94" i="2"/>
  <c r="BT94" i="2"/>
  <c r="BR94" i="2"/>
  <c r="BQ94" i="2"/>
  <c r="BP94" i="2"/>
  <c r="BT48" i="2"/>
  <c r="BR48" i="2"/>
  <c r="BQ48" i="2"/>
  <c r="BP48" i="2"/>
  <c r="BU48" i="2"/>
  <c r="BP47" i="2"/>
  <c r="BQ47" i="2"/>
  <c r="BR47" i="2"/>
  <c r="BS47" i="2"/>
  <c r="BT47" i="2"/>
  <c r="BU47" i="2"/>
  <c r="BU46" i="2"/>
  <c r="BT46" i="2"/>
  <c r="BR46" i="2"/>
  <c r="BQ46" i="2"/>
  <c r="BP46" i="2"/>
  <c r="BU45" i="2"/>
  <c r="BT45" i="2"/>
  <c r="BS45" i="2"/>
  <c r="BR45" i="2"/>
  <c r="BQ45" i="2"/>
  <c r="BP45" i="2"/>
  <c r="BU44" i="2"/>
  <c r="BT44" i="2"/>
  <c r="BR44" i="2"/>
  <c r="BQ44" i="2"/>
  <c r="BP44" i="2"/>
  <c r="BU43" i="2"/>
  <c r="BT43" i="2"/>
  <c r="BS43" i="2"/>
  <c r="BR43" i="2"/>
  <c r="BQ43" i="2"/>
  <c r="BP43" i="2"/>
  <c r="BU42" i="2"/>
  <c r="BT42" i="2"/>
  <c r="BS42" i="2"/>
  <c r="BR42" i="2"/>
  <c r="BQ42" i="2"/>
  <c r="BP42" i="2"/>
  <c r="BU41" i="2"/>
  <c r="BT41" i="2"/>
  <c r="BS41" i="2"/>
  <c r="BR41" i="2"/>
  <c r="BQ41" i="2"/>
  <c r="BP41" i="2"/>
  <c r="BU40" i="2"/>
  <c r="BT40" i="2"/>
  <c r="BS40" i="2"/>
  <c r="BR40" i="2"/>
  <c r="BQ40" i="2"/>
  <c r="BP40" i="2"/>
  <c r="BU39" i="2"/>
  <c r="BT39" i="2"/>
  <c r="BS39" i="2"/>
  <c r="BR39" i="2"/>
  <c r="BQ39" i="2"/>
  <c r="BP39" i="2"/>
  <c r="BU38" i="2"/>
  <c r="BT38" i="2"/>
  <c r="BS38" i="2"/>
  <c r="BR38" i="2"/>
  <c r="BQ38" i="2"/>
  <c r="BP38" i="2"/>
  <c r="BU37" i="2"/>
  <c r="BT37" i="2"/>
  <c r="BS37" i="2"/>
  <c r="BR37" i="2"/>
  <c r="BQ37" i="2"/>
  <c r="BP37" i="2"/>
  <c r="BU36" i="2"/>
  <c r="BT36" i="2"/>
  <c r="BS36" i="2"/>
  <c r="BR36" i="2"/>
  <c r="BQ36" i="2"/>
  <c r="BP36" i="2"/>
  <c r="BU35" i="2"/>
  <c r="BT35" i="2"/>
  <c r="BS35" i="2"/>
  <c r="BR35" i="2"/>
  <c r="BQ35" i="2"/>
  <c r="BP35" i="2"/>
  <c r="BU34" i="2"/>
  <c r="BT34" i="2"/>
  <c r="BS34" i="2"/>
  <c r="BR34" i="2"/>
  <c r="BQ34" i="2"/>
  <c r="BP34" i="2"/>
  <c r="BU33" i="2"/>
  <c r="BT33" i="2"/>
  <c r="BS33" i="2"/>
  <c r="BR33" i="2"/>
  <c r="BQ33" i="2"/>
  <c r="BP33" i="2"/>
  <c r="BU32" i="2"/>
  <c r="BT32" i="2"/>
  <c r="BS32" i="2"/>
  <c r="BR32" i="2"/>
  <c r="BQ32" i="2"/>
  <c r="BP32" i="2"/>
  <c r="BU31" i="2"/>
  <c r="BT31" i="2"/>
  <c r="BS31" i="2"/>
  <c r="BR31" i="2"/>
  <c r="BQ31" i="2"/>
  <c r="BP31" i="2"/>
  <c r="BU30" i="2"/>
  <c r="BT30" i="2"/>
  <c r="BS30" i="2"/>
  <c r="BR30" i="2"/>
  <c r="BQ30" i="2"/>
  <c r="BP30" i="2"/>
  <c r="BP6" i="2"/>
  <c r="BQ6" i="2"/>
  <c r="BR6" i="2"/>
  <c r="BS6" i="2"/>
  <c r="BT6" i="2"/>
  <c r="BU6" i="2"/>
  <c r="BU7" i="2"/>
  <c r="BT7" i="2"/>
  <c r="BS7" i="2"/>
  <c r="BR7" i="2"/>
  <c r="BQ7" i="2"/>
  <c r="BP7" i="2"/>
  <c r="BU5" i="2"/>
  <c r="BT5" i="2"/>
  <c r="BS5" i="2"/>
  <c r="BR5" i="2"/>
  <c r="BQ5" i="2"/>
  <c r="BP5" i="2"/>
  <c r="BP4" i="2"/>
  <c r="BQ4" i="2"/>
  <c r="BR4" i="2"/>
  <c r="BS4" i="2"/>
  <c r="BT4" i="2"/>
  <c r="BU4" i="2"/>
  <c r="AT88" i="2"/>
  <c r="AS88" i="2"/>
  <c r="AR88" i="2"/>
  <c r="AQ88" i="2"/>
  <c r="AP88" i="2"/>
  <c r="AO88" i="2"/>
  <c r="AN88" i="2"/>
  <c r="AM88" i="2"/>
  <c r="AL88" i="2"/>
  <c r="AK88" i="2"/>
  <c r="AJ88" i="2"/>
  <c r="AI88" i="2"/>
  <c r="AH88" i="2"/>
  <c r="AG88" i="2"/>
  <c r="AF88" i="2"/>
  <c r="AE88" i="2"/>
  <c r="AD88" i="2"/>
  <c r="AC88" i="2"/>
  <c r="AB88" i="2"/>
  <c r="AA88" i="2"/>
  <c r="Z88" i="2"/>
  <c r="AT87" i="2"/>
  <c r="AS87" i="2"/>
  <c r="AR87" i="2"/>
  <c r="AQ87" i="2"/>
  <c r="AP87" i="2"/>
  <c r="AO87" i="2"/>
  <c r="AN87" i="2"/>
  <c r="AM87" i="2"/>
  <c r="AL87" i="2"/>
  <c r="AK87" i="2"/>
  <c r="AJ87" i="2"/>
  <c r="AI87" i="2"/>
  <c r="AH87" i="2"/>
  <c r="AG87" i="2"/>
  <c r="AF87" i="2"/>
  <c r="AE87" i="2"/>
  <c r="AD87" i="2"/>
  <c r="AC87" i="2"/>
  <c r="AB87" i="2"/>
  <c r="AA87" i="2"/>
  <c r="Z87" i="2"/>
  <c r="AU88" i="2"/>
  <c r="AU87" i="2"/>
  <c r="AT98" i="2"/>
  <c r="AS98" i="2"/>
  <c r="AR98" i="2"/>
  <c r="AQ98" i="2"/>
  <c r="AP98" i="2"/>
  <c r="AO98" i="2"/>
  <c r="AN98" i="2"/>
  <c r="AM98" i="2"/>
  <c r="AL98" i="2"/>
  <c r="AK98" i="2"/>
  <c r="AJ98" i="2"/>
  <c r="AI98" i="2"/>
  <c r="AH98" i="2"/>
  <c r="AG98" i="2"/>
  <c r="AF98" i="2"/>
  <c r="AE98" i="2"/>
  <c r="AD98" i="2"/>
  <c r="AC98" i="2"/>
  <c r="AB98" i="2"/>
  <c r="AA98" i="2"/>
  <c r="Z98" i="2"/>
  <c r="Y98" i="2"/>
  <c r="X98" i="2"/>
  <c r="W98" i="2"/>
  <c r="V98" i="2"/>
  <c r="U98" i="2"/>
  <c r="T98" i="2"/>
  <c r="S98" i="2"/>
  <c r="R98" i="2"/>
  <c r="Q98" i="2"/>
  <c r="P98" i="2"/>
  <c r="O98" i="2"/>
  <c r="N98" i="2"/>
  <c r="M98" i="2"/>
  <c r="L98" i="2"/>
  <c r="K98" i="2"/>
  <c r="J98" i="2"/>
  <c r="I98" i="2"/>
  <c r="H98" i="2"/>
  <c r="G98" i="2"/>
  <c r="F98" i="2"/>
  <c r="E98" i="2"/>
  <c r="D98" i="2"/>
  <c r="C98" i="2"/>
  <c r="AU98" i="2"/>
  <c r="AT97" i="2"/>
  <c r="AS97" i="2"/>
  <c r="AR97" i="2"/>
  <c r="AQ97" i="2"/>
  <c r="AQ99" i="2" s="1"/>
  <c r="AP97" i="2"/>
  <c r="AP99" i="2" s="1"/>
  <c r="AO97" i="2"/>
  <c r="AN97" i="2"/>
  <c r="AM97" i="2"/>
  <c r="AL97" i="2"/>
  <c r="AK97" i="2"/>
  <c r="AJ97" i="2"/>
  <c r="AJ99" i="2" s="1"/>
  <c r="AI97" i="2"/>
  <c r="AI99" i="2" s="1"/>
  <c r="AH97" i="2"/>
  <c r="AH99" i="2" s="1"/>
  <c r="AG97" i="2"/>
  <c r="AF97" i="2"/>
  <c r="AE97" i="2"/>
  <c r="AD97" i="2"/>
  <c r="AC97" i="2"/>
  <c r="AB97" i="2"/>
  <c r="AB99" i="2" s="1"/>
  <c r="AA97" i="2"/>
  <c r="AA99" i="2" s="1"/>
  <c r="Z97" i="2"/>
  <c r="Z99" i="2" s="1"/>
  <c r="Y97" i="2"/>
  <c r="X97" i="2"/>
  <c r="W97" i="2"/>
  <c r="V97" i="2"/>
  <c r="U97" i="2"/>
  <c r="T97" i="2"/>
  <c r="S97" i="2"/>
  <c r="S99" i="2" s="1"/>
  <c r="R97" i="2"/>
  <c r="Q97" i="2"/>
  <c r="P97" i="2"/>
  <c r="O97" i="2"/>
  <c r="N97" i="2"/>
  <c r="M97" i="2"/>
  <c r="L97" i="2"/>
  <c r="K97" i="2"/>
  <c r="K99" i="2" s="1"/>
  <c r="J97" i="2"/>
  <c r="J99" i="2" s="1"/>
  <c r="I97" i="2"/>
  <c r="H97" i="2"/>
  <c r="G97" i="2"/>
  <c r="F97" i="2"/>
  <c r="E97" i="2"/>
  <c r="D97" i="2"/>
  <c r="C97" i="2"/>
  <c r="C99" i="2" s="1"/>
  <c r="AU97" i="2"/>
  <c r="AU99" i="2" s="1"/>
  <c r="R99" i="2" l="1"/>
  <c r="L99" i="2"/>
  <c r="AR99" i="2"/>
  <c r="D99" i="2"/>
  <c r="T99" i="2"/>
  <c r="E99" i="2"/>
  <c r="M99" i="2"/>
  <c r="U99" i="2"/>
  <c r="AC99" i="2"/>
  <c r="AK99" i="2"/>
  <c r="AS99" i="2"/>
  <c r="F99" i="2"/>
  <c r="N99" i="2"/>
  <c r="V99" i="2"/>
  <c r="AD99" i="2"/>
  <c r="AL99" i="2"/>
  <c r="AT99" i="2"/>
  <c r="G99" i="2"/>
  <c r="O99" i="2"/>
  <c r="W99" i="2"/>
  <c r="AE99" i="2"/>
  <c r="AM99" i="2"/>
  <c r="H99" i="2"/>
  <c r="P99" i="2"/>
  <c r="X99" i="2"/>
  <c r="AF99" i="2"/>
  <c r="AN99" i="2"/>
  <c r="I99" i="2"/>
  <c r="Q99" i="2"/>
  <c r="Y99" i="2"/>
  <c r="AG99" i="2"/>
  <c r="AO99" i="2"/>
  <c r="Z83" i="2" l="1"/>
  <c r="Z85" i="2" s="1"/>
  <c r="AT83" i="2"/>
  <c r="AT85" i="2" s="1"/>
  <c r="AS83" i="2"/>
  <c r="AS85" i="2" s="1"/>
  <c r="AR83" i="2"/>
  <c r="AR85" i="2" s="1"/>
  <c r="AQ83" i="2"/>
  <c r="AQ85" i="2" s="1"/>
  <c r="AP83" i="2"/>
  <c r="AP85" i="2" s="1"/>
  <c r="AO83" i="2"/>
  <c r="AO85" i="2" s="1"/>
  <c r="AN83" i="2"/>
  <c r="AN85" i="2" s="1"/>
  <c r="AM83" i="2"/>
  <c r="AM85" i="2" s="1"/>
  <c r="AL83" i="2"/>
  <c r="AL85" i="2" s="1"/>
  <c r="AK83" i="2"/>
  <c r="AK85" i="2" s="1"/>
  <c r="AJ83" i="2"/>
  <c r="AJ85" i="2" s="1"/>
  <c r="AI83" i="2"/>
  <c r="AI85" i="2" s="1"/>
  <c r="AH83" i="2"/>
  <c r="AH85" i="2" s="1"/>
  <c r="AG83" i="2"/>
  <c r="AG85" i="2" s="1"/>
  <c r="AE83" i="2"/>
  <c r="AE85" i="2" s="1"/>
  <c r="AD83" i="2"/>
  <c r="AD85" i="2" s="1"/>
  <c r="AC83" i="2"/>
  <c r="AC85" i="2" s="1"/>
  <c r="AB83" i="2"/>
  <c r="AB85" i="2" s="1"/>
  <c r="AA83" i="2"/>
  <c r="AA85" i="2" s="1"/>
  <c r="AU83" i="2"/>
  <c r="AU85" i="2" s="1"/>
  <c r="AT71" i="2"/>
  <c r="AS71" i="2"/>
  <c r="AR71" i="2"/>
  <c r="AQ71" i="2"/>
  <c r="AP71" i="2"/>
  <c r="AO71" i="2"/>
  <c r="AN71" i="2"/>
  <c r="AM71" i="2"/>
  <c r="AL71" i="2"/>
  <c r="AK71" i="2"/>
  <c r="AJ71" i="2"/>
  <c r="AI71" i="2"/>
  <c r="AH71" i="2"/>
  <c r="AG71" i="2"/>
  <c r="AF71" i="2"/>
  <c r="AE71" i="2"/>
  <c r="AD71" i="2"/>
  <c r="AC71" i="2"/>
  <c r="AB71" i="2"/>
  <c r="AA71" i="2"/>
  <c r="Z71" i="2"/>
  <c r="AU71" i="2"/>
  <c r="V53" i="2"/>
  <c r="U53" i="2"/>
  <c r="T53" i="2"/>
  <c r="S53" i="2"/>
  <c r="R53" i="2"/>
  <c r="Q53" i="2"/>
  <c r="P53" i="2"/>
  <c r="O53" i="2"/>
  <c r="N53" i="2"/>
  <c r="M53" i="2"/>
  <c r="L53" i="2"/>
  <c r="K53" i="2"/>
  <c r="J53" i="2"/>
  <c r="I53" i="2"/>
  <c r="H53" i="2"/>
  <c r="G53" i="2"/>
  <c r="F53" i="2"/>
  <c r="E53" i="2"/>
  <c r="D53" i="2"/>
  <c r="C53" i="2"/>
  <c r="Z45" i="2" l="1"/>
  <c r="Z43" i="2"/>
  <c r="Z42" i="2"/>
  <c r="Z41" i="2"/>
  <c r="Z39" i="2"/>
  <c r="Z38" i="2"/>
  <c r="Z37" i="2"/>
  <c r="Z34" i="2"/>
  <c r="Z33" i="2"/>
  <c r="AD45" i="2"/>
  <c r="AD43" i="2"/>
  <c r="AD42" i="2"/>
  <c r="AD41" i="2"/>
  <c r="AD39" i="2"/>
  <c r="AD38" i="2"/>
  <c r="AD37" i="2"/>
  <c r="AD34" i="2"/>
  <c r="AD33" i="2"/>
  <c r="AH45" i="2" l="1"/>
  <c r="AH43" i="2"/>
  <c r="AH42" i="2"/>
  <c r="AH41" i="2"/>
  <c r="AH39" i="2"/>
  <c r="AH38" i="2"/>
  <c r="AH37" i="2"/>
  <c r="AH34" i="2"/>
  <c r="AH33" i="2"/>
  <c r="AL45" i="2"/>
  <c r="AL42" i="2"/>
  <c r="AL41" i="2"/>
  <c r="AL39" i="2"/>
  <c r="AL38" i="2"/>
  <c r="AL37" i="2"/>
  <c r="AL34" i="2"/>
  <c r="AL33" i="2"/>
  <c r="AP45" i="2"/>
  <c r="AP42" i="2"/>
  <c r="AP43" i="2"/>
  <c r="AP41" i="2"/>
  <c r="AP39" i="2"/>
  <c r="AP38" i="2"/>
  <c r="AP37" i="2"/>
  <c r="AP34" i="2"/>
  <c r="AP33" i="2"/>
  <c r="AT45" i="2"/>
  <c r="AT43" i="2"/>
  <c r="AT42" i="2"/>
  <c r="AT41" i="2"/>
  <c r="AT39" i="2"/>
  <c r="AT38" i="2"/>
  <c r="AT37" i="2"/>
  <c r="AT34" i="2"/>
  <c r="AT33" i="2"/>
  <c r="AS35" i="2"/>
  <c r="AR35" i="2"/>
  <c r="AQ35" i="2"/>
  <c r="AO35" i="2"/>
  <c r="AN35" i="2"/>
  <c r="AM35" i="2"/>
  <c r="AK35" i="2"/>
  <c r="AJ35" i="2"/>
  <c r="AI35" i="2"/>
  <c r="AG35" i="2"/>
  <c r="AF35" i="2"/>
  <c r="AE35" i="2"/>
  <c r="AD35" i="2"/>
  <c r="AC35" i="2"/>
  <c r="AB35" i="2"/>
  <c r="AA35" i="2"/>
  <c r="Z35" i="2"/>
  <c r="Y35" i="2"/>
  <c r="X35" i="2"/>
  <c r="W35" i="2"/>
  <c r="AU35" i="2"/>
  <c r="AS30" i="2"/>
  <c r="AS50" i="2" s="1"/>
  <c r="AR30" i="2"/>
  <c r="AR50" i="2" s="1"/>
  <c r="AQ30" i="2"/>
  <c r="AQ50" i="2" s="1"/>
  <c r="AO30" i="2"/>
  <c r="AO50" i="2" s="1"/>
  <c r="AN30" i="2"/>
  <c r="AN50" i="2" s="1"/>
  <c r="AM30" i="2"/>
  <c r="AM50" i="2" s="1"/>
  <c r="AK30" i="2"/>
  <c r="AK50" i="2" s="1"/>
  <c r="AJ30" i="2"/>
  <c r="AJ50" i="2" s="1"/>
  <c r="AI30" i="2"/>
  <c r="AI50" i="2" s="1"/>
  <c r="AG30" i="2"/>
  <c r="AG50" i="2" s="1"/>
  <c r="AF30" i="2"/>
  <c r="AF50" i="2" s="1"/>
  <c r="AE30" i="2"/>
  <c r="AE50" i="2" s="1"/>
  <c r="AC30" i="2"/>
  <c r="AC50" i="2" s="1"/>
  <c r="AB30" i="2"/>
  <c r="AB50" i="2" s="1"/>
  <c r="AA30" i="2"/>
  <c r="AA50" i="2" s="1"/>
  <c r="Y30" i="2"/>
  <c r="Y50" i="2" s="1"/>
  <c r="X30" i="2"/>
  <c r="X50" i="2" s="1"/>
  <c r="W30" i="2"/>
  <c r="W50" i="2" s="1"/>
  <c r="AU30" i="2"/>
  <c r="AU50" i="2" s="1"/>
  <c r="V39" i="2"/>
  <c r="V54" i="2" s="1"/>
  <c r="U39" i="2"/>
  <c r="U54" i="2" s="1"/>
  <c r="T39" i="2"/>
  <c r="T54" i="2" s="1"/>
  <c r="S39" i="2"/>
  <c r="S54" i="2" s="1"/>
  <c r="R39" i="2"/>
  <c r="R54" i="2" s="1"/>
  <c r="Q39" i="2"/>
  <c r="Q54" i="2" s="1"/>
  <c r="P39" i="2"/>
  <c r="P54" i="2" s="1"/>
  <c r="O39" i="2"/>
  <c r="O54" i="2" s="1"/>
  <c r="N39" i="2"/>
  <c r="N54" i="2" s="1"/>
  <c r="M39" i="2"/>
  <c r="M54" i="2" s="1"/>
  <c r="L39" i="2"/>
  <c r="L54" i="2" s="1"/>
  <c r="K39" i="2"/>
  <c r="K54" i="2" s="1"/>
  <c r="J39" i="2"/>
  <c r="J54" i="2" s="1"/>
  <c r="I39" i="2"/>
  <c r="I54" i="2" s="1"/>
  <c r="H39" i="2"/>
  <c r="H54" i="2" s="1"/>
  <c r="G39" i="2"/>
  <c r="G54" i="2" s="1"/>
  <c r="F39" i="2"/>
  <c r="F54" i="2" s="1"/>
  <c r="E39" i="2"/>
  <c r="E54" i="2" s="1"/>
  <c r="D39" i="2"/>
  <c r="D54" i="2" s="1"/>
  <c r="C39" i="2"/>
  <c r="V36" i="2"/>
  <c r="U36" i="2"/>
  <c r="T36" i="2"/>
  <c r="T52" i="2" s="1"/>
  <c r="S36" i="2"/>
  <c r="S52" i="2" s="1"/>
  <c r="R36" i="2"/>
  <c r="R52" i="2" s="1"/>
  <c r="Q36" i="2"/>
  <c r="Q52" i="2" s="1"/>
  <c r="P36" i="2"/>
  <c r="O36" i="2"/>
  <c r="N36" i="2"/>
  <c r="M36" i="2"/>
  <c r="L36" i="2"/>
  <c r="L52" i="2" s="1"/>
  <c r="K36" i="2"/>
  <c r="K52" i="2" s="1"/>
  <c r="J36" i="2"/>
  <c r="J52" i="2" s="1"/>
  <c r="I36" i="2"/>
  <c r="I52" i="2" s="1"/>
  <c r="H36" i="2"/>
  <c r="G36" i="2"/>
  <c r="F36" i="2"/>
  <c r="E36" i="2"/>
  <c r="D36" i="2"/>
  <c r="D52" i="2" s="1"/>
  <c r="C36" i="2"/>
  <c r="C52" i="2" s="1"/>
  <c r="AS7" i="2"/>
  <c r="AS31" i="2" s="1"/>
  <c r="AS51" i="2" s="1"/>
  <c r="AR7" i="2"/>
  <c r="AR31" i="2" s="1"/>
  <c r="AR51" i="2" s="1"/>
  <c r="AQ7" i="2"/>
  <c r="AQ31" i="2" s="1"/>
  <c r="AQ51" i="2" s="1"/>
  <c r="AO7" i="2"/>
  <c r="AO31" i="2" s="1"/>
  <c r="AO51" i="2" s="1"/>
  <c r="AN7" i="2"/>
  <c r="AN31" i="2" s="1"/>
  <c r="AN51" i="2" s="1"/>
  <c r="AM7" i="2"/>
  <c r="AM31" i="2" s="1"/>
  <c r="AM51" i="2" s="1"/>
  <c r="AK7" i="2"/>
  <c r="AK31" i="2" s="1"/>
  <c r="AK51" i="2" s="1"/>
  <c r="AJ7" i="2"/>
  <c r="AJ31" i="2" s="1"/>
  <c r="AJ51" i="2" s="1"/>
  <c r="AI7" i="2"/>
  <c r="AI31" i="2" s="1"/>
  <c r="AI51" i="2" s="1"/>
  <c r="AG7" i="2"/>
  <c r="AG31" i="2" s="1"/>
  <c r="AG51" i="2" s="1"/>
  <c r="AF7" i="2"/>
  <c r="AF31" i="2" s="1"/>
  <c r="AF51" i="2" s="1"/>
  <c r="AE7" i="2"/>
  <c r="AE31" i="2" s="1"/>
  <c r="AE51" i="2" s="1"/>
  <c r="AC7" i="2"/>
  <c r="AC31" i="2" s="1"/>
  <c r="AC51" i="2" s="1"/>
  <c r="AB7" i="2"/>
  <c r="AB31" i="2" s="1"/>
  <c r="AB51" i="2" s="1"/>
  <c r="AA7" i="2"/>
  <c r="AA31" i="2" s="1"/>
  <c r="AA51" i="2" s="1"/>
  <c r="Y7" i="2"/>
  <c r="Y31" i="2" s="1"/>
  <c r="Y51" i="2" s="1"/>
  <c r="X7" i="2"/>
  <c r="X31" i="2" s="1"/>
  <c r="X51" i="2" s="1"/>
  <c r="W7" i="2"/>
  <c r="W31" i="2" s="1"/>
  <c r="W51" i="2" s="1"/>
  <c r="AU7" i="2"/>
  <c r="AU31" i="2" s="1"/>
  <c r="AU51" i="2" s="1"/>
  <c r="AS12" i="2"/>
  <c r="AR12" i="2"/>
  <c r="AQ12" i="2"/>
  <c r="AO12" i="2"/>
  <c r="AN12" i="2"/>
  <c r="AM12" i="2"/>
  <c r="AK12" i="2"/>
  <c r="AJ12" i="2"/>
  <c r="AI12" i="2"/>
  <c r="AG12" i="2"/>
  <c r="AF12" i="2"/>
  <c r="AE12" i="2"/>
  <c r="AC12" i="2"/>
  <c r="AB12" i="2"/>
  <c r="AA12" i="2"/>
  <c r="AS11" i="2"/>
  <c r="AR11" i="2"/>
  <c r="AQ11" i="2"/>
  <c r="AO11" i="2"/>
  <c r="AN11" i="2"/>
  <c r="AM11" i="2"/>
  <c r="AK11" i="2"/>
  <c r="AJ11" i="2"/>
  <c r="AI11" i="2"/>
  <c r="AG11" i="2"/>
  <c r="AF11" i="2"/>
  <c r="AE11" i="2"/>
  <c r="AC11" i="2"/>
  <c r="AB11" i="2"/>
  <c r="AA11" i="2"/>
  <c r="AS10" i="2"/>
  <c r="AR10" i="2"/>
  <c r="AQ10" i="2"/>
  <c r="AO10" i="2"/>
  <c r="AN10" i="2"/>
  <c r="AM10" i="2"/>
  <c r="AK10" i="2"/>
  <c r="AJ10" i="2"/>
  <c r="AI10" i="2"/>
  <c r="AG10" i="2"/>
  <c r="AF10" i="2"/>
  <c r="AE10" i="2"/>
  <c r="AC10" i="2"/>
  <c r="AB10" i="2"/>
  <c r="AA10" i="2"/>
  <c r="AU12" i="2"/>
  <c r="AU11" i="2"/>
  <c r="AU10" i="2"/>
  <c r="Z6" i="2"/>
  <c r="Z5" i="2"/>
  <c r="Z4" i="2"/>
  <c r="Z30" i="2" s="1"/>
  <c r="Z50" i="2" s="1"/>
  <c r="Y8" i="2"/>
  <c r="Y32" i="2" s="1"/>
  <c r="X8" i="2"/>
  <c r="X32" i="2" s="1"/>
  <c r="W8" i="2"/>
  <c r="W32" i="2" s="1"/>
  <c r="AD6" i="2"/>
  <c r="AD5" i="2"/>
  <c r="AD4" i="2"/>
  <c r="AD30" i="2" s="1"/>
  <c r="AD50" i="2" s="1"/>
  <c r="AH6" i="2"/>
  <c r="AH5" i="2"/>
  <c r="AH4" i="2"/>
  <c r="AH30" i="2" s="1"/>
  <c r="AH50" i="2" s="1"/>
  <c r="AL6" i="2"/>
  <c r="AL5" i="2"/>
  <c r="AL4" i="2"/>
  <c r="AL30" i="2" s="1"/>
  <c r="AL50" i="2" s="1"/>
  <c r="AP6" i="2"/>
  <c r="AP5" i="2"/>
  <c r="AP4" i="2"/>
  <c r="AP30" i="2" s="1"/>
  <c r="AT6" i="2"/>
  <c r="AT5" i="2"/>
  <c r="AT4" i="2"/>
  <c r="AT30" i="2" s="1"/>
  <c r="AQ20" i="2"/>
  <c r="AT20" i="2" s="1"/>
  <c r="BU20" i="2" s="1"/>
  <c r="AQ19" i="2"/>
  <c r="AT19" i="2" s="1"/>
  <c r="BU19" i="2" s="1"/>
  <c r="BU21" i="2" s="1"/>
  <c r="AU20" i="2"/>
  <c r="AU19" i="2"/>
  <c r="AP50" i="2" l="1"/>
  <c r="AT50" i="2"/>
  <c r="AP35" i="2"/>
  <c r="X54" i="2"/>
  <c r="X53" i="2"/>
  <c r="F40" i="2"/>
  <c r="F52" i="2"/>
  <c r="N40" i="2"/>
  <c r="N52" i="2"/>
  <c r="V40" i="2"/>
  <c r="V52" i="2"/>
  <c r="W54" i="2"/>
  <c r="W53" i="2"/>
  <c r="G40" i="2"/>
  <c r="G52" i="2"/>
  <c r="O40" i="2"/>
  <c r="O52" i="2"/>
  <c r="C40" i="2"/>
  <c r="C54" i="2"/>
  <c r="P40" i="2"/>
  <c r="P52" i="2"/>
  <c r="H40" i="2"/>
  <c r="H52" i="2"/>
  <c r="Y54" i="2"/>
  <c r="Y53" i="2"/>
  <c r="E40" i="2"/>
  <c r="E52" i="2"/>
  <c r="M40" i="2"/>
  <c r="M52" i="2"/>
  <c r="U40" i="2"/>
  <c r="U52" i="2"/>
  <c r="AH35" i="2"/>
  <c r="AL35" i="2"/>
  <c r="AT35" i="2"/>
  <c r="W36" i="2"/>
  <c r="X36" i="2"/>
  <c r="Y36" i="2"/>
  <c r="D40" i="2"/>
  <c r="L40" i="2"/>
  <c r="T40" i="2"/>
  <c r="I40" i="2"/>
  <c r="Q40" i="2"/>
  <c r="K40" i="2"/>
  <c r="S40" i="2"/>
  <c r="J40" i="2"/>
  <c r="R40" i="2"/>
  <c r="Z7" i="2"/>
  <c r="Z31" i="2" s="1"/>
  <c r="Z51" i="2" s="1"/>
  <c r="AH7" i="2"/>
  <c r="AH31" i="2" s="1"/>
  <c r="AH51" i="2" s="1"/>
  <c r="AP12" i="2"/>
  <c r="AD12" i="2"/>
  <c r="AD7" i="2"/>
  <c r="AD31" i="2" s="1"/>
  <c r="AD51" i="2" s="1"/>
  <c r="AL12" i="2"/>
  <c r="AP7" i="2"/>
  <c r="AP31" i="2" s="1"/>
  <c r="AP51" i="2" s="1"/>
  <c r="AL7" i="2"/>
  <c r="AL31" i="2" s="1"/>
  <c r="AL51" i="2" s="1"/>
  <c r="AT7" i="2"/>
  <c r="AT31" i="2" s="1"/>
  <c r="AT51" i="2" s="1"/>
  <c r="AD10" i="2"/>
  <c r="AP11" i="2"/>
  <c r="AT10" i="2"/>
  <c r="AH10" i="2"/>
  <c r="AL10" i="2"/>
  <c r="AP10" i="2"/>
  <c r="AH12" i="2"/>
  <c r="AT12" i="2"/>
  <c r="AD11" i="2"/>
  <c r="AL11" i="2"/>
  <c r="AT11" i="2"/>
  <c r="AH11" i="2"/>
  <c r="Z8" i="2"/>
  <c r="L55" i="2" l="1"/>
  <c r="L44" i="2"/>
  <c r="O55" i="2"/>
  <c r="O44" i="2"/>
  <c r="R55" i="2"/>
  <c r="R44" i="2"/>
  <c r="D55" i="2"/>
  <c r="D44" i="2"/>
  <c r="V55" i="2"/>
  <c r="V44" i="2"/>
  <c r="J55" i="2"/>
  <c r="J44" i="2"/>
  <c r="Z32" i="2"/>
  <c r="X40" i="2"/>
  <c r="X55" i="2" s="1"/>
  <c r="X52" i="2"/>
  <c r="N55" i="2"/>
  <c r="N44" i="2"/>
  <c r="K55" i="2"/>
  <c r="K44" i="2"/>
  <c r="W40" i="2"/>
  <c r="W55" i="2" s="1"/>
  <c r="W52" i="2"/>
  <c r="H55" i="2"/>
  <c r="H44" i="2"/>
  <c r="G55" i="2"/>
  <c r="G44" i="2"/>
  <c r="F55" i="2"/>
  <c r="F44" i="2"/>
  <c r="P55" i="2"/>
  <c r="P44" i="2"/>
  <c r="S55" i="2"/>
  <c r="S44" i="2"/>
  <c r="M55" i="2"/>
  <c r="M44" i="2"/>
  <c r="I55" i="2"/>
  <c r="I44" i="2"/>
  <c r="C44" i="2"/>
  <c r="C55" i="2"/>
  <c r="Y40" i="2"/>
  <c r="Y55" i="2" s="1"/>
  <c r="Y52" i="2"/>
  <c r="U55" i="2"/>
  <c r="U44" i="2"/>
  <c r="Q55" i="2"/>
  <c r="Q44" i="2"/>
  <c r="T55" i="2"/>
  <c r="T44" i="2"/>
  <c r="E55" i="2"/>
  <c r="E44" i="2"/>
  <c r="Z90" i="2" l="1"/>
  <c r="Z89" i="2"/>
  <c r="Z53" i="2"/>
  <c r="Z54" i="2"/>
  <c r="C46" i="2"/>
  <c r="C94" i="2" s="1"/>
  <c r="C56" i="2"/>
  <c r="K56" i="2"/>
  <c r="K46" i="2"/>
  <c r="K94" i="2" s="1"/>
  <c r="O56" i="2"/>
  <c r="O46" i="2"/>
  <c r="O94" i="2" s="1"/>
  <c r="D56" i="2"/>
  <c r="D46" i="2"/>
  <c r="D94" i="2" s="1"/>
  <c r="T56" i="2"/>
  <c r="T46" i="2"/>
  <c r="T94" i="2" s="1"/>
  <c r="R56" i="2"/>
  <c r="R46" i="2"/>
  <c r="R94" i="2" s="1"/>
  <c r="Z36" i="2"/>
  <c r="I56" i="2"/>
  <c r="I46" i="2"/>
  <c r="I94" i="2" s="1"/>
  <c r="J56" i="2"/>
  <c r="J46" i="2"/>
  <c r="J94" i="2" s="1"/>
  <c r="X44" i="2"/>
  <c r="H56" i="2"/>
  <c r="H46" i="2"/>
  <c r="H94" i="2" s="1"/>
  <c r="P56" i="2"/>
  <c r="P46" i="2"/>
  <c r="P94" i="2" s="1"/>
  <c r="Y44" i="2"/>
  <c r="W44" i="2"/>
  <c r="M56" i="2"/>
  <c r="M46" i="2"/>
  <c r="M94" i="2" s="1"/>
  <c r="N56" i="2"/>
  <c r="N46" i="2"/>
  <c r="N94" i="2" s="1"/>
  <c r="V56" i="2"/>
  <c r="V46" i="2"/>
  <c r="V94" i="2" s="1"/>
  <c r="L56" i="2"/>
  <c r="L46" i="2"/>
  <c r="L94" i="2" s="1"/>
  <c r="S56" i="2"/>
  <c r="S46" i="2"/>
  <c r="S94" i="2" s="1"/>
  <c r="Q56" i="2"/>
  <c r="Q46" i="2"/>
  <c r="Q94" i="2" s="1"/>
  <c r="F56" i="2"/>
  <c r="F46" i="2"/>
  <c r="F94" i="2" s="1"/>
  <c r="U56" i="2"/>
  <c r="U46" i="2"/>
  <c r="U94" i="2" s="1"/>
  <c r="G56" i="2"/>
  <c r="G46" i="2"/>
  <c r="G94" i="2" s="1"/>
  <c r="E56" i="2"/>
  <c r="E46" i="2"/>
  <c r="E94" i="2" s="1"/>
  <c r="AT21" i="2"/>
  <c r="AS21" i="2"/>
  <c r="AR21" i="2"/>
  <c r="AQ21" i="2"/>
  <c r="AU21" i="2"/>
  <c r="AT8" i="2"/>
  <c r="AT32" i="2" s="1"/>
  <c r="AS8" i="2"/>
  <c r="AS32" i="2" s="1"/>
  <c r="AR8" i="2"/>
  <c r="AR32" i="2" s="1"/>
  <c r="AQ8" i="2"/>
  <c r="AQ32" i="2" s="1"/>
  <c r="AP8" i="2"/>
  <c r="AP32" i="2" s="1"/>
  <c r="AO8" i="2"/>
  <c r="AO32" i="2" s="1"/>
  <c r="AN8" i="2"/>
  <c r="AN32" i="2" s="1"/>
  <c r="AM8" i="2"/>
  <c r="AM32" i="2" s="1"/>
  <c r="AL8" i="2"/>
  <c r="AL32" i="2" s="1"/>
  <c r="AK8" i="2"/>
  <c r="AK32" i="2" s="1"/>
  <c r="AJ8" i="2"/>
  <c r="AJ32" i="2" s="1"/>
  <c r="AI8" i="2"/>
  <c r="AI32" i="2" s="1"/>
  <c r="AH8" i="2"/>
  <c r="AH32" i="2" s="1"/>
  <c r="AG8" i="2"/>
  <c r="AG32" i="2" s="1"/>
  <c r="AF8" i="2"/>
  <c r="AF32" i="2" s="1"/>
  <c r="AE8" i="2"/>
  <c r="AE32" i="2" s="1"/>
  <c r="AD8" i="2"/>
  <c r="AD32" i="2" s="1"/>
  <c r="AC8" i="2"/>
  <c r="AC32" i="2" s="1"/>
  <c r="AB8" i="2"/>
  <c r="AB32" i="2" s="1"/>
  <c r="AA8" i="2"/>
  <c r="AA32" i="2" s="1"/>
  <c r="AU8" i="2"/>
  <c r="G1437" i="3"/>
  <c r="G1436" i="3"/>
  <c r="G1435" i="3"/>
  <c r="G1434" i="3"/>
  <c r="G1433" i="3"/>
  <c r="G1432" i="3"/>
  <c r="G1431" i="3"/>
  <c r="G1430" i="3"/>
  <c r="G1429" i="3"/>
  <c r="G1428" i="3"/>
  <c r="G1427" i="3"/>
  <c r="G1426" i="3"/>
  <c r="G1425" i="3"/>
  <c r="G1424" i="3"/>
  <c r="G1423" i="3"/>
  <c r="G1422" i="3"/>
  <c r="G1421" i="3"/>
  <c r="G1420" i="3"/>
  <c r="G1419" i="3"/>
  <c r="G1418" i="3"/>
  <c r="G1417" i="3"/>
  <c r="G1416" i="3"/>
  <c r="G1415" i="3"/>
  <c r="G1414" i="3"/>
  <c r="G1413" i="3"/>
  <c r="G1412" i="3"/>
  <c r="G1411" i="3"/>
  <c r="G1410" i="3"/>
  <c r="G1409" i="3"/>
  <c r="G1408" i="3"/>
  <c r="G1407" i="3"/>
  <c r="G1406" i="3"/>
  <c r="G1405" i="3"/>
  <c r="G1404" i="3"/>
  <c r="G1403" i="3"/>
  <c r="G1402" i="3"/>
  <c r="G1401" i="3"/>
  <c r="G1400" i="3"/>
  <c r="G1399" i="3"/>
  <c r="G1398" i="3"/>
  <c r="G1397" i="3"/>
  <c r="G1396" i="3"/>
  <c r="G1395" i="3"/>
  <c r="G1394" i="3"/>
  <c r="G1393" i="3"/>
  <c r="G1392" i="3"/>
  <c r="G1391" i="3"/>
  <c r="G1390" i="3"/>
  <c r="G1389" i="3"/>
  <c r="G1388" i="3"/>
  <c r="G1387" i="3"/>
  <c r="G1386" i="3"/>
  <c r="G1385" i="3"/>
  <c r="G1384" i="3"/>
  <c r="G1383" i="3"/>
  <c r="G1382" i="3"/>
  <c r="G1381" i="3"/>
  <c r="G1380" i="3"/>
  <c r="G1379" i="3"/>
  <c r="G1378" i="3"/>
  <c r="G1377" i="3"/>
  <c r="G1376" i="3"/>
  <c r="G1375" i="3"/>
  <c r="G1374" i="3"/>
  <c r="G1373" i="3"/>
  <c r="G1372" i="3"/>
  <c r="G1371" i="3"/>
  <c r="G1370" i="3"/>
  <c r="G1369" i="3"/>
  <c r="G1368" i="3"/>
  <c r="G1367" i="3"/>
  <c r="G1366" i="3"/>
  <c r="G1365" i="3"/>
  <c r="G1364" i="3"/>
  <c r="G1363" i="3"/>
  <c r="G1362" i="3"/>
  <c r="G1361" i="3"/>
  <c r="G1360" i="3"/>
  <c r="G1359" i="3"/>
  <c r="G1358" i="3"/>
  <c r="G1357" i="3"/>
  <c r="G1356" i="3"/>
  <c r="G1355" i="3"/>
  <c r="G1354" i="3"/>
  <c r="G1353" i="3"/>
  <c r="G1352" i="3"/>
  <c r="G1351" i="3"/>
  <c r="G1350" i="3"/>
  <c r="G1349" i="3"/>
  <c r="G1348" i="3"/>
  <c r="G1347" i="3"/>
  <c r="G1346" i="3"/>
  <c r="G1345" i="3"/>
  <c r="G1344" i="3"/>
  <c r="G1343" i="3"/>
  <c r="G1342" i="3"/>
  <c r="G1341" i="3"/>
  <c r="G1340" i="3"/>
  <c r="G1339" i="3"/>
  <c r="G1338" i="3"/>
  <c r="G1337" i="3"/>
  <c r="G1336" i="3"/>
  <c r="G1335" i="3"/>
  <c r="G1334" i="3"/>
  <c r="G1333" i="3"/>
  <c r="G1332" i="3"/>
  <c r="G1331" i="3"/>
  <c r="G1330" i="3"/>
  <c r="G1329" i="3"/>
  <c r="G1328" i="3"/>
  <c r="G1327" i="3"/>
  <c r="G1326" i="3"/>
  <c r="G1325" i="3"/>
  <c r="G1324" i="3"/>
  <c r="G1323" i="3"/>
  <c r="G1322" i="3"/>
  <c r="G1321" i="3"/>
  <c r="G1320" i="3"/>
  <c r="G1319" i="3"/>
  <c r="G1318" i="3"/>
  <c r="G1317" i="3"/>
  <c r="G1316" i="3"/>
  <c r="G1315" i="3"/>
  <c r="G1314" i="3"/>
  <c r="G1313" i="3"/>
  <c r="G1312" i="3"/>
  <c r="G1311" i="3"/>
  <c r="G1310" i="3"/>
  <c r="G1309" i="3"/>
  <c r="G1308" i="3"/>
  <c r="G1307" i="3"/>
  <c r="G1306" i="3"/>
  <c r="G1305" i="3"/>
  <c r="G1304" i="3"/>
  <c r="G1303" i="3"/>
  <c r="G1302" i="3"/>
  <c r="G1301" i="3"/>
  <c r="G1300" i="3"/>
  <c r="G1299" i="3"/>
  <c r="G1298" i="3"/>
  <c r="G1297" i="3"/>
  <c r="G1296" i="3"/>
  <c r="G1295" i="3"/>
  <c r="G1294" i="3"/>
  <c r="G1293" i="3"/>
  <c r="G1292" i="3"/>
  <c r="G1291" i="3"/>
  <c r="G1290" i="3"/>
  <c r="G1289" i="3"/>
  <c r="G1288" i="3"/>
  <c r="G1287" i="3"/>
  <c r="G1286" i="3"/>
  <c r="G1285" i="3"/>
  <c r="G1284" i="3"/>
  <c r="G1283" i="3"/>
  <c r="G1282" i="3"/>
  <c r="G1281" i="3"/>
  <c r="G1280" i="3"/>
  <c r="G1279" i="3"/>
  <c r="G1278" i="3"/>
  <c r="G1277" i="3"/>
  <c r="G1276" i="3"/>
  <c r="G1275" i="3"/>
  <c r="G1274" i="3"/>
  <c r="G1273" i="3"/>
  <c r="G1272" i="3"/>
  <c r="G1271" i="3"/>
  <c r="G1270" i="3"/>
  <c r="G1269" i="3"/>
  <c r="G1268" i="3"/>
  <c r="G1267" i="3"/>
  <c r="G1266" i="3"/>
  <c r="G1265" i="3"/>
  <c r="G1264" i="3"/>
  <c r="G1263" i="3"/>
  <c r="G1262" i="3"/>
  <c r="G1261" i="3"/>
  <c r="G1260" i="3"/>
  <c r="G1259" i="3"/>
  <c r="G1258" i="3"/>
  <c r="G1257" i="3"/>
  <c r="G1256" i="3"/>
  <c r="G1255" i="3"/>
  <c r="G1254" i="3"/>
  <c r="G1253" i="3"/>
  <c r="G1252" i="3"/>
  <c r="G1251" i="3"/>
  <c r="G1250" i="3"/>
  <c r="G1249" i="3"/>
  <c r="G1248" i="3"/>
  <c r="G1247" i="3"/>
  <c r="G1246" i="3"/>
  <c r="G1245" i="3"/>
  <c r="G1244" i="3"/>
  <c r="G1243" i="3"/>
  <c r="G1242" i="3"/>
  <c r="G1241" i="3"/>
  <c r="G1240" i="3"/>
  <c r="G1239" i="3"/>
  <c r="G1238" i="3"/>
  <c r="G1237" i="3"/>
  <c r="G1236" i="3"/>
  <c r="G1235" i="3"/>
  <c r="G1234" i="3"/>
  <c r="G1233" i="3"/>
  <c r="G1232" i="3"/>
  <c r="G1231" i="3"/>
  <c r="G1230" i="3"/>
  <c r="G1229" i="3"/>
  <c r="G1228" i="3"/>
  <c r="G1227" i="3"/>
  <c r="G1226" i="3"/>
  <c r="G1225" i="3"/>
  <c r="G1224" i="3"/>
  <c r="G1223" i="3"/>
  <c r="G1222" i="3"/>
  <c r="G1221" i="3"/>
  <c r="G1220" i="3"/>
  <c r="G1219" i="3"/>
  <c r="G1218" i="3"/>
  <c r="G1217" i="3"/>
  <c r="G1216" i="3"/>
  <c r="G1215" i="3"/>
  <c r="G1214" i="3"/>
  <c r="G1213" i="3"/>
  <c r="G1212" i="3"/>
  <c r="G1211" i="3"/>
  <c r="G1210" i="3"/>
  <c r="G1209" i="3"/>
  <c r="G1208" i="3"/>
  <c r="G1207" i="3"/>
  <c r="G1206" i="3"/>
  <c r="G1205" i="3"/>
  <c r="G1204" i="3"/>
  <c r="G1203" i="3"/>
  <c r="G1202" i="3"/>
  <c r="G1201" i="3"/>
  <c r="G1200" i="3"/>
  <c r="G1199" i="3"/>
  <c r="G1198" i="3"/>
  <c r="G1197" i="3"/>
  <c r="G1196" i="3"/>
  <c r="G1195" i="3"/>
  <c r="G1194" i="3"/>
  <c r="G1193" i="3"/>
  <c r="G1192" i="3"/>
  <c r="G1191" i="3"/>
  <c r="G1190" i="3"/>
  <c r="G1189" i="3"/>
  <c r="G1188" i="3"/>
  <c r="G1187" i="3"/>
  <c r="G1186" i="3"/>
  <c r="G1185" i="3"/>
  <c r="G1184" i="3"/>
  <c r="G1183" i="3"/>
  <c r="G1182" i="3"/>
  <c r="G1181" i="3"/>
  <c r="G1180" i="3"/>
  <c r="G1179" i="3"/>
  <c r="G1178" i="3"/>
  <c r="G1177" i="3"/>
  <c r="G1176" i="3"/>
  <c r="G1175" i="3"/>
  <c r="G1174" i="3"/>
  <c r="G1173" i="3"/>
  <c r="G1172" i="3"/>
  <c r="G1171" i="3"/>
  <c r="G1170" i="3"/>
  <c r="G1169" i="3"/>
  <c r="G1168" i="3"/>
  <c r="G1167" i="3"/>
  <c r="G1166" i="3"/>
  <c r="G1165" i="3"/>
  <c r="G1164" i="3"/>
  <c r="G1163" i="3"/>
  <c r="G1162" i="3"/>
  <c r="G1161" i="3"/>
  <c r="G1160" i="3"/>
  <c r="G1159" i="3"/>
  <c r="G1158" i="3"/>
  <c r="G1157" i="3"/>
  <c r="G1156" i="3"/>
  <c r="G1155" i="3"/>
  <c r="G1154" i="3"/>
  <c r="G1153" i="3"/>
  <c r="G1152" i="3"/>
  <c r="G1151" i="3"/>
  <c r="G1150" i="3"/>
  <c r="G1149" i="3"/>
  <c r="G1148" i="3"/>
  <c r="G1147" i="3"/>
  <c r="G1146" i="3"/>
  <c r="G1145" i="3"/>
  <c r="G1144" i="3"/>
  <c r="G1143" i="3"/>
  <c r="G1142" i="3"/>
  <c r="G1141" i="3"/>
  <c r="G1140" i="3"/>
  <c r="G1139" i="3"/>
  <c r="G1138" i="3"/>
  <c r="G1137" i="3"/>
  <c r="G1136" i="3"/>
  <c r="G1135" i="3"/>
  <c r="G1134" i="3"/>
  <c r="G1133" i="3"/>
  <c r="G1132" i="3"/>
  <c r="G1131" i="3"/>
  <c r="G1130" i="3"/>
  <c r="G1129" i="3"/>
  <c r="G1128" i="3"/>
  <c r="G1127" i="3"/>
  <c r="G1126" i="3"/>
  <c r="G1125" i="3"/>
  <c r="G1124" i="3"/>
  <c r="G1123" i="3"/>
  <c r="G1122" i="3"/>
  <c r="G1121" i="3"/>
  <c r="G1120" i="3"/>
  <c r="G1119" i="3"/>
  <c r="G1118" i="3"/>
  <c r="G1117" i="3"/>
  <c r="G1116" i="3"/>
  <c r="G1115" i="3"/>
  <c r="G1114" i="3"/>
  <c r="G1113" i="3"/>
  <c r="G1112" i="3"/>
  <c r="G1111" i="3"/>
  <c r="G1110" i="3"/>
  <c r="G1109" i="3"/>
  <c r="G1108" i="3"/>
  <c r="G1107" i="3"/>
  <c r="G1106" i="3"/>
  <c r="G1105" i="3"/>
  <c r="G1104" i="3"/>
  <c r="G1103" i="3"/>
  <c r="G1102" i="3"/>
  <c r="G1101" i="3"/>
  <c r="G1100" i="3"/>
  <c r="G1099" i="3"/>
  <c r="G1098" i="3"/>
  <c r="G1097" i="3"/>
  <c r="G1096" i="3"/>
  <c r="G1095" i="3"/>
  <c r="G1094" i="3"/>
  <c r="G1093" i="3"/>
  <c r="G1092" i="3"/>
  <c r="G1091" i="3"/>
  <c r="G1090" i="3"/>
  <c r="G1089" i="3"/>
  <c r="G1088" i="3"/>
  <c r="G1087" i="3"/>
  <c r="G1086" i="3"/>
  <c r="G1085" i="3"/>
  <c r="G1084" i="3"/>
  <c r="G1083" i="3"/>
  <c r="G1082" i="3"/>
  <c r="G1081" i="3"/>
  <c r="G1080" i="3"/>
  <c r="G1079" i="3"/>
  <c r="G1078" i="3"/>
  <c r="G1077" i="3"/>
  <c r="G1076" i="3"/>
  <c r="G1075" i="3"/>
  <c r="G1074" i="3"/>
  <c r="G1073" i="3"/>
  <c r="G1072" i="3"/>
  <c r="G1071" i="3"/>
  <c r="G1070" i="3"/>
  <c r="G1069" i="3"/>
  <c r="G1068" i="3"/>
  <c r="G1067" i="3"/>
  <c r="G1066" i="3"/>
  <c r="G1065" i="3"/>
  <c r="G1064" i="3"/>
  <c r="G1063" i="3"/>
  <c r="G1062" i="3"/>
  <c r="G1061" i="3"/>
  <c r="G1060" i="3"/>
  <c r="G1059" i="3"/>
  <c r="G1058" i="3"/>
  <c r="G1057" i="3"/>
  <c r="G1056" i="3"/>
  <c r="G1055" i="3"/>
  <c r="G1054" i="3"/>
  <c r="G1053" i="3"/>
  <c r="G1052" i="3"/>
  <c r="G1051" i="3"/>
  <c r="G1050" i="3"/>
  <c r="G1049" i="3"/>
  <c r="G1048" i="3"/>
  <c r="G1047" i="3"/>
  <c r="G1046" i="3"/>
  <c r="G1045" i="3"/>
  <c r="G1044" i="3"/>
  <c r="G1043" i="3"/>
  <c r="G1042" i="3"/>
  <c r="G1041" i="3"/>
  <c r="G1040" i="3"/>
  <c r="G1039" i="3"/>
  <c r="G1038" i="3"/>
  <c r="G1037" i="3"/>
  <c r="G1036" i="3"/>
  <c r="G1035" i="3"/>
  <c r="G1034" i="3"/>
  <c r="G1033" i="3"/>
  <c r="G1032" i="3"/>
  <c r="G1031" i="3"/>
  <c r="G1030" i="3"/>
  <c r="G1029" i="3"/>
  <c r="G1028" i="3"/>
  <c r="G1027" i="3"/>
  <c r="G1026" i="3"/>
  <c r="G1025" i="3"/>
  <c r="G1024" i="3"/>
  <c r="G1023" i="3"/>
  <c r="G1022" i="3"/>
  <c r="G1021" i="3"/>
  <c r="G1020" i="3"/>
  <c r="G1019" i="3"/>
  <c r="G1018" i="3"/>
  <c r="G1017" i="3"/>
  <c r="G1016" i="3"/>
  <c r="G1015" i="3"/>
  <c r="G1014" i="3"/>
  <c r="G1013" i="3"/>
  <c r="G1012" i="3"/>
  <c r="G1011" i="3"/>
  <c r="G1010" i="3"/>
  <c r="G1009" i="3"/>
  <c r="G1008" i="3"/>
  <c r="G1007" i="3"/>
  <c r="G1006" i="3"/>
  <c r="G1005" i="3"/>
  <c r="G1004" i="3"/>
  <c r="G1003" i="3"/>
  <c r="G1002" i="3"/>
  <c r="G1001" i="3"/>
  <c r="G1000" i="3"/>
  <c r="G999" i="3"/>
  <c r="G998" i="3"/>
  <c r="G997" i="3"/>
  <c r="G996" i="3"/>
  <c r="G995" i="3"/>
  <c r="G994" i="3"/>
  <c r="G993" i="3"/>
  <c r="G992" i="3"/>
  <c r="G991" i="3"/>
  <c r="G990" i="3"/>
  <c r="G989" i="3"/>
  <c r="G988" i="3"/>
  <c r="G987" i="3"/>
  <c r="G986" i="3"/>
  <c r="G985" i="3"/>
  <c r="G984" i="3"/>
  <c r="G983" i="3"/>
  <c r="G982" i="3"/>
  <c r="G981" i="3"/>
  <c r="G980" i="3"/>
  <c r="G979" i="3"/>
  <c r="G978" i="3"/>
  <c r="G977" i="3"/>
  <c r="G976" i="3"/>
  <c r="G975" i="3"/>
  <c r="G974" i="3"/>
  <c r="G973" i="3"/>
  <c r="G972" i="3"/>
  <c r="G971" i="3"/>
  <c r="G970" i="3"/>
  <c r="G969" i="3"/>
  <c r="G968" i="3"/>
  <c r="G967" i="3"/>
  <c r="G966" i="3"/>
  <c r="G965" i="3"/>
  <c r="G964" i="3"/>
  <c r="G963" i="3"/>
  <c r="G962" i="3"/>
  <c r="G961" i="3"/>
  <c r="G960" i="3"/>
  <c r="G959" i="3"/>
  <c r="G958" i="3"/>
  <c r="G957" i="3"/>
  <c r="G956" i="3"/>
  <c r="G955" i="3"/>
  <c r="G954" i="3"/>
  <c r="G953" i="3"/>
  <c r="G952" i="3"/>
  <c r="G951" i="3"/>
  <c r="G950" i="3"/>
  <c r="G949" i="3"/>
  <c r="G948" i="3"/>
  <c r="G947" i="3"/>
  <c r="G946" i="3"/>
  <c r="G945" i="3"/>
  <c r="G944" i="3"/>
  <c r="G943" i="3"/>
  <c r="G942" i="3"/>
  <c r="G941" i="3"/>
  <c r="G940" i="3"/>
  <c r="G939" i="3"/>
  <c r="G938" i="3"/>
  <c r="G937" i="3"/>
  <c r="G936" i="3"/>
  <c r="G935" i="3"/>
  <c r="G934" i="3"/>
  <c r="G933" i="3"/>
  <c r="G932" i="3"/>
  <c r="G931" i="3"/>
  <c r="G930" i="3"/>
  <c r="G929" i="3"/>
  <c r="G928" i="3"/>
  <c r="G927" i="3"/>
  <c r="G926" i="3"/>
  <c r="G925" i="3"/>
  <c r="G924" i="3"/>
  <c r="G923" i="3"/>
  <c r="G922" i="3"/>
  <c r="G921" i="3"/>
  <c r="G920" i="3"/>
  <c r="G919" i="3"/>
  <c r="G918" i="3"/>
  <c r="G917" i="3"/>
  <c r="G916" i="3"/>
  <c r="G915" i="3"/>
  <c r="G914" i="3"/>
  <c r="G913" i="3"/>
  <c r="G912" i="3"/>
  <c r="G911" i="3"/>
  <c r="G910" i="3"/>
  <c r="G909" i="3"/>
  <c r="G908" i="3"/>
  <c r="G907" i="3"/>
  <c r="G906" i="3"/>
  <c r="G905" i="3"/>
  <c r="G904" i="3"/>
  <c r="G903" i="3"/>
  <c r="G902" i="3"/>
  <c r="G901" i="3"/>
  <c r="G900" i="3"/>
  <c r="G899" i="3"/>
  <c r="G898" i="3"/>
  <c r="G897" i="3"/>
  <c r="G896" i="3"/>
  <c r="G895" i="3"/>
  <c r="G894" i="3"/>
  <c r="G893" i="3"/>
  <c r="G892" i="3"/>
  <c r="G891" i="3"/>
  <c r="G890" i="3"/>
  <c r="G889" i="3"/>
  <c r="G888" i="3"/>
  <c r="G887" i="3"/>
  <c r="G886" i="3"/>
  <c r="G885" i="3"/>
  <c r="G884" i="3"/>
  <c r="G883" i="3"/>
  <c r="G882" i="3"/>
  <c r="G881" i="3"/>
  <c r="G880" i="3"/>
  <c r="G879" i="3"/>
  <c r="G878" i="3"/>
  <c r="G877" i="3"/>
  <c r="G876" i="3"/>
  <c r="G875" i="3"/>
  <c r="G874" i="3"/>
  <c r="G873" i="3"/>
  <c r="G872" i="3"/>
  <c r="G871" i="3"/>
  <c r="G870" i="3"/>
  <c r="G869" i="3"/>
  <c r="G868" i="3"/>
  <c r="G867" i="3"/>
  <c r="G866" i="3"/>
  <c r="G865" i="3"/>
  <c r="G864" i="3"/>
  <c r="G863" i="3"/>
  <c r="G862" i="3"/>
  <c r="G861" i="3"/>
  <c r="G860" i="3"/>
  <c r="G859" i="3"/>
  <c r="G858" i="3"/>
  <c r="G857" i="3"/>
  <c r="G856" i="3"/>
  <c r="G855" i="3"/>
  <c r="G854" i="3"/>
  <c r="G853" i="3"/>
  <c r="G852" i="3"/>
  <c r="G851" i="3"/>
  <c r="G850" i="3"/>
  <c r="G849" i="3"/>
  <c r="G848" i="3"/>
  <c r="G847" i="3"/>
  <c r="G846" i="3"/>
  <c r="G845" i="3"/>
  <c r="G844" i="3"/>
  <c r="G843" i="3"/>
  <c r="G842" i="3"/>
  <c r="G841" i="3"/>
  <c r="G840" i="3"/>
  <c r="G839" i="3"/>
  <c r="G838" i="3"/>
  <c r="G837" i="3"/>
  <c r="G836" i="3"/>
  <c r="G835" i="3"/>
  <c r="G834" i="3"/>
  <c r="G833" i="3"/>
  <c r="G832" i="3"/>
  <c r="G831" i="3"/>
  <c r="G830" i="3"/>
  <c r="G829" i="3"/>
  <c r="G828" i="3"/>
  <c r="G827" i="3"/>
  <c r="G826" i="3"/>
  <c r="G825" i="3"/>
  <c r="G824" i="3"/>
  <c r="G823" i="3"/>
  <c r="G822" i="3"/>
  <c r="G821" i="3"/>
  <c r="G820" i="3"/>
  <c r="G819" i="3"/>
  <c r="G818" i="3"/>
  <c r="G817" i="3"/>
  <c r="G816" i="3"/>
  <c r="G815" i="3"/>
  <c r="G814" i="3"/>
  <c r="G813" i="3"/>
  <c r="G812" i="3"/>
  <c r="G811" i="3"/>
  <c r="G810" i="3"/>
  <c r="G809" i="3"/>
  <c r="G808" i="3"/>
  <c r="G807" i="3"/>
  <c r="G806" i="3"/>
  <c r="G805" i="3"/>
  <c r="G804" i="3"/>
  <c r="G803" i="3"/>
  <c r="G802" i="3"/>
  <c r="G801" i="3"/>
  <c r="G800" i="3"/>
  <c r="G799" i="3"/>
  <c r="G798" i="3"/>
  <c r="G797" i="3"/>
  <c r="G796" i="3"/>
  <c r="G795" i="3"/>
  <c r="G794" i="3"/>
  <c r="G793" i="3"/>
  <c r="G792" i="3"/>
  <c r="G791" i="3"/>
  <c r="G790" i="3"/>
  <c r="G789" i="3"/>
  <c r="G788" i="3"/>
  <c r="G787" i="3"/>
  <c r="G786" i="3"/>
  <c r="G785" i="3"/>
  <c r="G784" i="3"/>
  <c r="G783" i="3"/>
  <c r="G782" i="3"/>
  <c r="G781" i="3"/>
  <c r="G780" i="3"/>
  <c r="G779" i="3"/>
  <c r="G778" i="3"/>
  <c r="G777" i="3"/>
  <c r="G776" i="3"/>
  <c r="G775" i="3"/>
  <c r="G774" i="3"/>
  <c r="G773" i="3"/>
  <c r="G772" i="3"/>
  <c r="G771" i="3"/>
  <c r="G770" i="3"/>
  <c r="G769" i="3"/>
  <c r="G768" i="3"/>
  <c r="G767" i="3"/>
  <c r="G766" i="3"/>
  <c r="G765" i="3"/>
  <c r="G764" i="3"/>
  <c r="G763" i="3"/>
  <c r="G762" i="3"/>
  <c r="G761" i="3"/>
  <c r="G760" i="3"/>
  <c r="G759" i="3"/>
  <c r="G758" i="3"/>
  <c r="G757" i="3"/>
  <c r="G756" i="3"/>
  <c r="G755" i="3"/>
  <c r="G754" i="3"/>
  <c r="G753" i="3"/>
  <c r="G752" i="3"/>
  <c r="G751" i="3"/>
  <c r="G750" i="3"/>
  <c r="G749" i="3"/>
  <c r="G748" i="3"/>
  <c r="G747" i="3"/>
  <c r="G746" i="3"/>
  <c r="G745" i="3"/>
  <c r="G744" i="3"/>
  <c r="G743" i="3"/>
  <c r="G742" i="3"/>
  <c r="G741" i="3"/>
  <c r="G740" i="3"/>
  <c r="G739" i="3"/>
  <c r="G738" i="3"/>
  <c r="G737" i="3"/>
  <c r="G736" i="3"/>
  <c r="G735" i="3"/>
  <c r="G734" i="3"/>
  <c r="G733" i="3"/>
  <c r="G732" i="3"/>
  <c r="G731" i="3"/>
  <c r="G730" i="3"/>
  <c r="G729" i="3"/>
  <c r="G728" i="3"/>
  <c r="G727" i="3"/>
  <c r="G726" i="3"/>
  <c r="G725" i="3"/>
  <c r="G724" i="3"/>
  <c r="G723" i="3"/>
  <c r="G722" i="3"/>
  <c r="G721" i="3"/>
  <c r="G720" i="3"/>
  <c r="G719" i="3"/>
  <c r="G718" i="3"/>
  <c r="G717" i="3"/>
  <c r="G716" i="3"/>
  <c r="G715" i="3"/>
  <c r="G714" i="3"/>
  <c r="G713" i="3"/>
  <c r="G712" i="3"/>
  <c r="G711" i="3"/>
  <c r="G710" i="3"/>
  <c r="G709" i="3"/>
  <c r="G708" i="3"/>
  <c r="G707" i="3"/>
  <c r="G706" i="3"/>
  <c r="G705" i="3"/>
  <c r="G704" i="3"/>
  <c r="G703" i="3"/>
  <c r="G702" i="3"/>
  <c r="G701" i="3"/>
  <c r="G700" i="3"/>
  <c r="G699" i="3"/>
  <c r="G698" i="3"/>
  <c r="G697" i="3"/>
  <c r="G696" i="3"/>
  <c r="G695" i="3"/>
  <c r="G694" i="3"/>
  <c r="G693" i="3"/>
  <c r="G692" i="3"/>
  <c r="G691" i="3"/>
  <c r="G690" i="3"/>
  <c r="G689" i="3"/>
  <c r="G688" i="3"/>
  <c r="G687" i="3"/>
  <c r="G686" i="3"/>
  <c r="G685" i="3"/>
  <c r="G684" i="3"/>
  <c r="G683" i="3"/>
  <c r="G682" i="3"/>
  <c r="G681" i="3"/>
  <c r="G680" i="3"/>
  <c r="G679" i="3"/>
  <c r="G678" i="3"/>
  <c r="G677" i="3"/>
  <c r="G676" i="3"/>
  <c r="G675" i="3"/>
  <c r="G674" i="3"/>
  <c r="G673" i="3"/>
  <c r="G672" i="3"/>
  <c r="G671" i="3"/>
  <c r="G670" i="3"/>
  <c r="G669" i="3"/>
  <c r="G668" i="3"/>
  <c r="G667" i="3"/>
  <c r="G666" i="3"/>
  <c r="G665" i="3"/>
  <c r="G664" i="3"/>
  <c r="G663" i="3"/>
  <c r="G662" i="3"/>
  <c r="G661" i="3"/>
  <c r="G660" i="3"/>
  <c r="G659" i="3"/>
  <c r="G658" i="3"/>
  <c r="G657" i="3"/>
  <c r="G656" i="3"/>
  <c r="G655" i="3"/>
  <c r="G654" i="3"/>
  <c r="G653" i="3"/>
  <c r="G652" i="3"/>
  <c r="G651" i="3"/>
  <c r="G650" i="3"/>
  <c r="G649" i="3"/>
  <c r="G648" i="3"/>
  <c r="G647" i="3"/>
  <c r="G646" i="3"/>
  <c r="G645" i="3"/>
  <c r="G644" i="3"/>
  <c r="G643" i="3"/>
  <c r="G642" i="3"/>
  <c r="G641" i="3"/>
  <c r="G640" i="3"/>
  <c r="G639" i="3"/>
  <c r="G638" i="3"/>
  <c r="G637" i="3"/>
  <c r="G636" i="3"/>
  <c r="G635" i="3"/>
  <c r="G634" i="3"/>
  <c r="G633" i="3"/>
  <c r="G632" i="3"/>
  <c r="G631" i="3"/>
  <c r="G630" i="3"/>
  <c r="G629" i="3"/>
  <c r="G628" i="3"/>
  <c r="G627" i="3"/>
  <c r="G626" i="3"/>
  <c r="G625" i="3"/>
  <c r="G624" i="3"/>
  <c r="G623" i="3"/>
  <c r="G622" i="3"/>
  <c r="G621" i="3"/>
  <c r="G620" i="3"/>
  <c r="G619" i="3"/>
  <c r="G618" i="3"/>
  <c r="G617" i="3"/>
  <c r="G616" i="3"/>
  <c r="G615" i="3"/>
  <c r="G614" i="3"/>
  <c r="G613" i="3"/>
  <c r="G612" i="3"/>
  <c r="G611" i="3"/>
  <c r="G610" i="3"/>
  <c r="G609" i="3"/>
  <c r="G608" i="3"/>
  <c r="G607" i="3"/>
  <c r="G606" i="3"/>
  <c r="G605" i="3"/>
  <c r="G604" i="3"/>
  <c r="G603" i="3"/>
  <c r="G602" i="3"/>
  <c r="G601" i="3"/>
  <c r="G600" i="3"/>
  <c r="G599" i="3"/>
  <c r="G598" i="3"/>
  <c r="G597" i="3"/>
  <c r="G596" i="3"/>
  <c r="G595" i="3"/>
  <c r="G594" i="3"/>
  <c r="G593" i="3"/>
  <c r="G592" i="3"/>
  <c r="G591" i="3"/>
  <c r="G590" i="3"/>
  <c r="G589" i="3"/>
  <c r="G588" i="3"/>
  <c r="G587" i="3"/>
  <c r="G586" i="3"/>
  <c r="G585" i="3"/>
  <c r="G584" i="3"/>
  <c r="G583" i="3"/>
  <c r="G582" i="3"/>
  <c r="G581" i="3"/>
  <c r="G580" i="3"/>
  <c r="G579" i="3"/>
  <c r="G578" i="3"/>
  <c r="G577" i="3"/>
  <c r="G576" i="3"/>
  <c r="G575" i="3"/>
  <c r="G574" i="3"/>
  <c r="G573" i="3"/>
  <c r="G572" i="3"/>
  <c r="G571" i="3"/>
  <c r="G570" i="3"/>
  <c r="G569" i="3"/>
  <c r="G568" i="3"/>
  <c r="G567" i="3"/>
  <c r="G566" i="3"/>
  <c r="G565" i="3"/>
  <c r="G564" i="3"/>
  <c r="G563" i="3"/>
  <c r="G562" i="3"/>
  <c r="G561" i="3"/>
  <c r="G560" i="3"/>
  <c r="G559" i="3"/>
  <c r="G558" i="3"/>
  <c r="G557" i="3"/>
  <c r="G556" i="3"/>
  <c r="G555" i="3"/>
  <c r="G554" i="3"/>
  <c r="G553" i="3"/>
  <c r="G552" i="3"/>
  <c r="G551" i="3"/>
  <c r="G550" i="3"/>
  <c r="G549" i="3"/>
  <c r="G548" i="3"/>
  <c r="G547" i="3"/>
  <c r="G546" i="3"/>
  <c r="G545" i="3"/>
  <c r="G544" i="3"/>
  <c r="G543" i="3"/>
  <c r="G542" i="3"/>
  <c r="G541" i="3"/>
  <c r="G540" i="3"/>
  <c r="G539" i="3"/>
  <c r="G538" i="3"/>
  <c r="G537" i="3"/>
  <c r="G536" i="3"/>
  <c r="G535" i="3"/>
  <c r="G534" i="3"/>
  <c r="G533" i="3"/>
  <c r="G532" i="3"/>
  <c r="G531" i="3"/>
  <c r="G530" i="3"/>
  <c r="G529" i="3"/>
  <c r="G528" i="3"/>
  <c r="G527" i="3"/>
  <c r="G526" i="3"/>
  <c r="G525" i="3"/>
  <c r="G524" i="3"/>
  <c r="G523" i="3"/>
  <c r="G522" i="3"/>
  <c r="G521" i="3"/>
  <c r="G520" i="3"/>
  <c r="G519" i="3"/>
  <c r="G518" i="3"/>
  <c r="G517" i="3"/>
  <c r="G516" i="3"/>
  <c r="G515" i="3"/>
  <c r="G514" i="3"/>
  <c r="G513" i="3"/>
  <c r="G512" i="3"/>
  <c r="G511" i="3"/>
  <c r="G510" i="3"/>
  <c r="G509" i="3"/>
  <c r="G508" i="3"/>
  <c r="G507" i="3"/>
  <c r="G506" i="3"/>
  <c r="G505" i="3"/>
  <c r="G504" i="3"/>
  <c r="G503" i="3"/>
  <c r="G502" i="3"/>
  <c r="G501" i="3"/>
  <c r="G500" i="3"/>
  <c r="G499" i="3"/>
  <c r="G498" i="3"/>
  <c r="G497" i="3"/>
  <c r="G496" i="3"/>
  <c r="G495" i="3"/>
  <c r="G494" i="3"/>
  <c r="G493" i="3"/>
  <c r="G492" i="3"/>
  <c r="G491" i="3"/>
  <c r="G490" i="3"/>
  <c r="G489" i="3"/>
  <c r="G488" i="3"/>
  <c r="G487" i="3"/>
  <c r="G486" i="3"/>
  <c r="G485" i="3"/>
  <c r="G484" i="3"/>
  <c r="G483" i="3"/>
  <c r="G482" i="3"/>
  <c r="G481" i="3"/>
  <c r="G480" i="3"/>
  <c r="G479" i="3"/>
  <c r="G478" i="3"/>
  <c r="G477" i="3"/>
  <c r="G476" i="3"/>
  <c r="G475" i="3"/>
  <c r="G474" i="3"/>
  <c r="G473" i="3"/>
  <c r="G472" i="3"/>
  <c r="G471" i="3"/>
  <c r="G470" i="3"/>
  <c r="G469" i="3"/>
  <c r="G468" i="3"/>
  <c r="G467" i="3"/>
  <c r="G466" i="3"/>
  <c r="G465" i="3"/>
  <c r="G464" i="3"/>
  <c r="G463" i="3"/>
  <c r="G462" i="3"/>
  <c r="G461" i="3"/>
  <c r="G460" i="3"/>
  <c r="G459" i="3"/>
  <c r="G458" i="3"/>
  <c r="G457" i="3"/>
  <c r="G456" i="3"/>
  <c r="G455" i="3"/>
  <c r="G454" i="3"/>
  <c r="G453" i="3"/>
  <c r="G452" i="3"/>
  <c r="G451" i="3"/>
  <c r="G450" i="3"/>
  <c r="G449" i="3"/>
  <c r="G448" i="3"/>
  <c r="G447" i="3"/>
  <c r="G446" i="3"/>
  <c r="G445" i="3"/>
  <c r="G444" i="3"/>
  <c r="G443" i="3"/>
  <c r="G442" i="3"/>
  <c r="G441" i="3"/>
  <c r="G440" i="3"/>
  <c r="G439" i="3"/>
  <c r="G438" i="3"/>
  <c r="G437" i="3"/>
  <c r="G436" i="3"/>
  <c r="G435" i="3"/>
  <c r="G434" i="3"/>
  <c r="G433" i="3"/>
  <c r="G432" i="3"/>
  <c r="G431" i="3"/>
  <c r="G430" i="3"/>
  <c r="G429" i="3"/>
  <c r="G428" i="3"/>
  <c r="G427" i="3"/>
  <c r="G426" i="3"/>
  <c r="G425" i="3"/>
  <c r="G424" i="3"/>
  <c r="G423" i="3"/>
  <c r="G422" i="3"/>
  <c r="G421" i="3"/>
  <c r="G420" i="3"/>
  <c r="G419" i="3"/>
  <c r="G418" i="3"/>
  <c r="G417" i="3"/>
  <c r="G416" i="3"/>
  <c r="G415" i="3"/>
  <c r="G414" i="3"/>
  <c r="G413" i="3"/>
  <c r="G412" i="3"/>
  <c r="G411" i="3"/>
  <c r="G410" i="3"/>
  <c r="G409" i="3"/>
  <c r="G408" i="3"/>
  <c r="G407" i="3"/>
  <c r="G406" i="3"/>
  <c r="G405" i="3"/>
  <c r="G404" i="3"/>
  <c r="G403" i="3"/>
  <c r="G402" i="3"/>
  <c r="G401" i="3"/>
  <c r="G400" i="3"/>
  <c r="G399" i="3"/>
  <c r="G398" i="3"/>
  <c r="G397" i="3"/>
  <c r="G396" i="3"/>
  <c r="G395" i="3"/>
  <c r="G394" i="3"/>
  <c r="G393" i="3"/>
  <c r="G392" i="3"/>
  <c r="G391" i="3"/>
  <c r="G390" i="3"/>
  <c r="G389" i="3"/>
  <c r="G388" i="3"/>
  <c r="G387" i="3"/>
  <c r="G386" i="3"/>
  <c r="G385" i="3"/>
  <c r="G384" i="3"/>
  <c r="G383" i="3"/>
  <c r="G382" i="3"/>
  <c r="G381" i="3"/>
  <c r="G380" i="3"/>
  <c r="G379" i="3"/>
  <c r="G378" i="3"/>
  <c r="G377" i="3"/>
  <c r="G376" i="3"/>
  <c r="G375" i="3"/>
  <c r="G374" i="3"/>
  <c r="G373" i="3"/>
  <c r="G372" i="3"/>
  <c r="G371" i="3"/>
  <c r="G370" i="3"/>
  <c r="G369" i="3"/>
  <c r="G368" i="3"/>
  <c r="G367" i="3"/>
  <c r="G366" i="3"/>
  <c r="G365" i="3"/>
  <c r="G364" i="3"/>
  <c r="G363" i="3"/>
  <c r="G362" i="3"/>
  <c r="G361" i="3"/>
  <c r="G360" i="3"/>
  <c r="G359" i="3"/>
  <c r="G358" i="3"/>
  <c r="G357" i="3"/>
  <c r="G356" i="3"/>
  <c r="G355" i="3"/>
  <c r="G354" i="3"/>
  <c r="G353" i="3"/>
  <c r="G352" i="3"/>
  <c r="G351" i="3"/>
  <c r="G350" i="3"/>
  <c r="G349" i="3"/>
  <c r="G348" i="3"/>
  <c r="G347" i="3"/>
  <c r="G346" i="3"/>
  <c r="G345" i="3"/>
  <c r="G344" i="3"/>
  <c r="G343" i="3"/>
  <c r="G342" i="3"/>
  <c r="G341" i="3"/>
  <c r="G340" i="3"/>
  <c r="G339" i="3"/>
  <c r="G338" i="3"/>
  <c r="G337" i="3"/>
  <c r="G336" i="3"/>
  <c r="G335" i="3"/>
  <c r="G334" i="3"/>
  <c r="G333" i="3"/>
  <c r="G332" i="3"/>
  <c r="G331" i="3"/>
  <c r="G330" i="3"/>
  <c r="G329" i="3"/>
  <c r="G328" i="3"/>
  <c r="G327" i="3"/>
  <c r="G326" i="3"/>
  <c r="G325" i="3"/>
  <c r="G324" i="3"/>
  <c r="G323" i="3"/>
  <c r="G322" i="3"/>
  <c r="G321" i="3"/>
  <c r="G320" i="3"/>
  <c r="G319" i="3"/>
  <c r="G318" i="3"/>
  <c r="G317" i="3"/>
  <c r="G316" i="3"/>
  <c r="G315" i="3"/>
  <c r="G314" i="3"/>
  <c r="G313" i="3"/>
  <c r="G312" i="3"/>
  <c r="G311" i="3"/>
  <c r="G310" i="3"/>
  <c r="G309" i="3"/>
  <c r="G308" i="3"/>
  <c r="G307" i="3"/>
  <c r="G306" i="3"/>
  <c r="G305" i="3"/>
  <c r="G304" i="3"/>
  <c r="G303" i="3"/>
  <c r="G302" i="3"/>
  <c r="G301" i="3"/>
  <c r="G300" i="3"/>
  <c r="G299" i="3"/>
  <c r="G298" i="3"/>
  <c r="G297" i="3"/>
  <c r="G296" i="3"/>
  <c r="G295" i="3"/>
  <c r="G294" i="3"/>
  <c r="G293" i="3"/>
  <c r="G292" i="3"/>
  <c r="G291" i="3"/>
  <c r="G290" i="3"/>
  <c r="G289" i="3"/>
  <c r="G288" i="3"/>
  <c r="G287" i="3"/>
  <c r="G286" i="3"/>
  <c r="G285" i="3"/>
  <c r="G284" i="3"/>
  <c r="G283" i="3"/>
  <c r="G282" i="3"/>
  <c r="G281" i="3"/>
  <c r="G280" i="3"/>
  <c r="G279" i="3"/>
  <c r="G278" i="3"/>
  <c r="G277" i="3"/>
  <c r="G276" i="3"/>
  <c r="G275" i="3"/>
  <c r="G274" i="3"/>
  <c r="G273" i="3"/>
  <c r="G272" i="3"/>
  <c r="G271" i="3"/>
  <c r="G270" i="3"/>
  <c r="G269" i="3"/>
  <c r="G268" i="3"/>
  <c r="G267" i="3"/>
  <c r="G266" i="3"/>
  <c r="G265" i="3"/>
  <c r="G264" i="3"/>
  <c r="G263" i="3"/>
  <c r="G262" i="3"/>
  <c r="G261" i="3"/>
  <c r="G260" i="3"/>
  <c r="G259" i="3"/>
  <c r="G258" i="3"/>
  <c r="G257" i="3"/>
  <c r="G256" i="3"/>
  <c r="G255" i="3"/>
  <c r="G254" i="3"/>
  <c r="G253" i="3"/>
  <c r="G252" i="3"/>
  <c r="G251" i="3"/>
  <c r="G250" i="3"/>
  <c r="G249" i="3"/>
  <c r="G248" i="3"/>
  <c r="G247" i="3"/>
  <c r="G246" i="3"/>
  <c r="G245" i="3"/>
  <c r="G244" i="3"/>
  <c r="G243" i="3"/>
  <c r="G242" i="3"/>
  <c r="G241" i="3"/>
  <c r="G240" i="3"/>
  <c r="G239" i="3"/>
  <c r="G238" i="3"/>
  <c r="G237" i="3"/>
  <c r="G236" i="3"/>
  <c r="G235" i="3"/>
  <c r="G234" i="3"/>
  <c r="G233" i="3"/>
  <c r="G232" i="3"/>
  <c r="G231" i="3"/>
  <c r="G230" i="3"/>
  <c r="G229" i="3"/>
  <c r="G228" i="3"/>
  <c r="G227" i="3"/>
  <c r="G226" i="3"/>
  <c r="G225" i="3"/>
  <c r="G224" i="3"/>
  <c r="G223" i="3"/>
  <c r="G222" i="3"/>
  <c r="G221" i="3"/>
  <c r="G220" i="3"/>
  <c r="G219" i="3"/>
  <c r="G218" i="3"/>
  <c r="G217" i="3"/>
  <c r="G216" i="3"/>
  <c r="G215" i="3"/>
  <c r="G214" i="3"/>
  <c r="G213" i="3"/>
  <c r="G212" i="3"/>
  <c r="G211" i="3"/>
  <c r="G210" i="3"/>
  <c r="G209" i="3"/>
  <c r="G208" i="3"/>
  <c r="G207" i="3"/>
  <c r="G206" i="3"/>
  <c r="G205" i="3"/>
  <c r="G204" i="3"/>
  <c r="G203" i="3"/>
  <c r="G202" i="3"/>
  <c r="G201" i="3"/>
  <c r="G200" i="3"/>
  <c r="G199" i="3"/>
  <c r="G198" i="3"/>
  <c r="G197" i="3"/>
  <c r="G196" i="3"/>
  <c r="G195" i="3"/>
  <c r="G194" i="3"/>
  <c r="G193" i="3"/>
  <c r="G192" i="3"/>
  <c r="G191" i="3"/>
  <c r="G190" i="3"/>
  <c r="G189" i="3"/>
  <c r="G188" i="3"/>
  <c r="G187" i="3"/>
  <c r="G186" i="3"/>
  <c r="G185" i="3"/>
  <c r="G184" i="3"/>
  <c r="G183" i="3"/>
  <c r="G182" i="3"/>
  <c r="K201" i="3" l="1"/>
  <c r="K202" i="3" s="1"/>
  <c r="K197" i="3"/>
  <c r="K198" i="3"/>
  <c r="K199" i="3"/>
  <c r="K200" i="3"/>
  <c r="AB90" i="2"/>
  <c r="AB89" i="2"/>
  <c r="AK90" i="2"/>
  <c r="AK89" i="2"/>
  <c r="AD89" i="2"/>
  <c r="AD90" i="2"/>
  <c r="AO90" i="2"/>
  <c r="AO89" i="2"/>
  <c r="AJ89" i="2"/>
  <c r="AJ90" i="2"/>
  <c r="AS89" i="2"/>
  <c r="AS90" i="2"/>
  <c r="AT89" i="2"/>
  <c r="AT90" i="2"/>
  <c r="AM89" i="2"/>
  <c r="AM90" i="2"/>
  <c r="AF89" i="2"/>
  <c r="AF90" i="2"/>
  <c r="AG89" i="2"/>
  <c r="AG90" i="2"/>
  <c r="AH90" i="2"/>
  <c r="AH89" i="2"/>
  <c r="AP90" i="2"/>
  <c r="AP89" i="2"/>
  <c r="AR90" i="2"/>
  <c r="AR89" i="2"/>
  <c r="AC89" i="2"/>
  <c r="AC90" i="2"/>
  <c r="AL90" i="2"/>
  <c r="AL89" i="2"/>
  <c r="AE89" i="2"/>
  <c r="AE90" i="2"/>
  <c r="AN90" i="2"/>
  <c r="AN89" i="2"/>
  <c r="AA89" i="2"/>
  <c r="AA90" i="2"/>
  <c r="AI89" i="2"/>
  <c r="AI90" i="2"/>
  <c r="AQ89" i="2"/>
  <c r="AQ90" i="2"/>
  <c r="AP53" i="2"/>
  <c r="AP54" i="2"/>
  <c r="F57" i="2"/>
  <c r="F48" i="2"/>
  <c r="AA53" i="2"/>
  <c r="AA54" i="2"/>
  <c r="AQ54" i="2"/>
  <c r="AQ53" i="2"/>
  <c r="AJ54" i="2"/>
  <c r="AJ53" i="2"/>
  <c r="E48" i="2"/>
  <c r="E57" i="2"/>
  <c r="N57" i="2"/>
  <c r="N48" i="2"/>
  <c r="AH53" i="2"/>
  <c r="AH54" i="2"/>
  <c r="AH36" i="2"/>
  <c r="AH52" i="2" s="1"/>
  <c r="O48" i="2"/>
  <c r="O57" i="2"/>
  <c r="AI54" i="2"/>
  <c r="AI53" i="2"/>
  <c r="Z40" i="2"/>
  <c r="Z52" i="2"/>
  <c r="AB54" i="2"/>
  <c r="AB53" i="2"/>
  <c r="AR54" i="2"/>
  <c r="AR53" i="2"/>
  <c r="Q48" i="2"/>
  <c r="Q57" i="2"/>
  <c r="H48" i="2"/>
  <c r="H57" i="2"/>
  <c r="AC53" i="2"/>
  <c r="AC54" i="2"/>
  <c r="AS53" i="2"/>
  <c r="AS54" i="2"/>
  <c r="AD54" i="2"/>
  <c r="AD53" i="2"/>
  <c r="AT54" i="2"/>
  <c r="AT53" i="2"/>
  <c r="G48" i="2"/>
  <c r="G57" i="2"/>
  <c r="S48" i="2"/>
  <c r="S57" i="2"/>
  <c r="M48" i="2"/>
  <c r="M57" i="2"/>
  <c r="AE54" i="2"/>
  <c r="AE53" i="2"/>
  <c r="AM54" i="2"/>
  <c r="AM53" i="2"/>
  <c r="J48" i="2"/>
  <c r="J57" i="2"/>
  <c r="C48" i="2"/>
  <c r="C57" i="2"/>
  <c r="V57" i="2"/>
  <c r="V48" i="2"/>
  <c r="R48" i="2"/>
  <c r="R57" i="2"/>
  <c r="T48" i="2"/>
  <c r="T57" i="2"/>
  <c r="AF54" i="2"/>
  <c r="AF53" i="2"/>
  <c r="AN54" i="2"/>
  <c r="AN53" i="2"/>
  <c r="U48" i="2"/>
  <c r="U57" i="2"/>
  <c r="L48" i="2"/>
  <c r="L57" i="2"/>
  <c r="W46" i="2"/>
  <c r="W94" i="2" s="1"/>
  <c r="W56" i="2"/>
  <c r="D48" i="2"/>
  <c r="D57" i="2"/>
  <c r="P48" i="2"/>
  <c r="P57" i="2"/>
  <c r="K48" i="2"/>
  <c r="K57" i="2"/>
  <c r="AK54" i="2"/>
  <c r="AK53" i="2"/>
  <c r="AL54" i="2"/>
  <c r="AL53" i="2"/>
  <c r="X46" i="2"/>
  <c r="X94" i="2" s="1"/>
  <c r="X56" i="2"/>
  <c r="AG54" i="2"/>
  <c r="AG53" i="2"/>
  <c r="AO54" i="2"/>
  <c r="AO53" i="2"/>
  <c r="Y46" i="2"/>
  <c r="Y94" i="2" s="1"/>
  <c r="Y56" i="2"/>
  <c r="I48" i="2"/>
  <c r="I57" i="2"/>
  <c r="AU27" i="2"/>
  <c r="AU28" i="2"/>
  <c r="AQ28" i="2"/>
  <c r="AQ27" i="2"/>
  <c r="AR28" i="2"/>
  <c r="AR27" i="2"/>
  <c r="AS28" i="2"/>
  <c r="AS27" i="2"/>
  <c r="AT27" i="2"/>
  <c r="AT28" i="2"/>
  <c r="AD13" i="2"/>
  <c r="AD36" i="2"/>
  <c r="AL36" i="2"/>
  <c r="AL13" i="2"/>
  <c r="AT13" i="2"/>
  <c r="AT36" i="2"/>
  <c r="AE13" i="2"/>
  <c r="AE36" i="2"/>
  <c r="AM36" i="2"/>
  <c r="AM13" i="2"/>
  <c r="AF13" i="2"/>
  <c r="AF36" i="2"/>
  <c r="AN13" i="2"/>
  <c r="AN36" i="2"/>
  <c r="AC36" i="2"/>
  <c r="AC13" i="2"/>
  <c r="AG13" i="2"/>
  <c r="AG36" i="2"/>
  <c r="AO13" i="2"/>
  <c r="AO36" i="2"/>
  <c r="AS36" i="2"/>
  <c r="AS13" i="2"/>
  <c r="AU17" i="2"/>
  <c r="AB17" i="2"/>
  <c r="AR16" i="2"/>
  <c r="AJ16" i="2"/>
  <c r="AR15" i="2"/>
  <c r="AJ15" i="2"/>
  <c r="AU15" i="2"/>
  <c r="Y17" i="2"/>
  <c r="AG15" i="2"/>
  <c r="AF17" i="2"/>
  <c r="AF16" i="2"/>
  <c r="X15" i="2"/>
  <c r="AM16" i="2"/>
  <c r="W16" i="2"/>
  <c r="AS17" i="2"/>
  <c r="AK17" i="2"/>
  <c r="AC17" i="2"/>
  <c r="AS16" i="2"/>
  <c r="AK16" i="2"/>
  <c r="AC16" i="2"/>
  <c r="AS15" i="2"/>
  <c r="AK15" i="2"/>
  <c r="AC15" i="2"/>
  <c r="AU16" i="2"/>
  <c r="AJ17" i="2"/>
  <c r="AB16" i="2"/>
  <c r="AB15" i="2"/>
  <c r="AO16" i="2"/>
  <c r="AO15" i="2"/>
  <c r="AN16" i="2"/>
  <c r="AN15" i="2"/>
  <c r="W17" i="2"/>
  <c r="AM15" i="2"/>
  <c r="AR17" i="2"/>
  <c r="AQ17" i="2"/>
  <c r="AI17" i="2"/>
  <c r="AA17" i="2"/>
  <c r="AQ16" i="2"/>
  <c r="AI16" i="2"/>
  <c r="AA16" i="2"/>
  <c r="AQ15" i="2"/>
  <c r="AI15" i="2"/>
  <c r="AA15" i="2"/>
  <c r="AU13" i="2"/>
  <c r="AH17" i="2"/>
  <c r="Z17" i="2"/>
  <c r="AP16" i="2"/>
  <c r="Z16" i="2"/>
  <c r="AP15" i="2"/>
  <c r="AH15" i="2"/>
  <c r="AG17" i="2"/>
  <c r="AG16" i="2"/>
  <c r="Y16" i="2"/>
  <c r="Y15" i="2"/>
  <c r="X17" i="2"/>
  <c r="X16" i="2"/>
  <c r="AF15" i="2"/>
  <c r="AE17" i="2"/>
  <c r="W15" i="2"/>
  <c r="AO17" i="2"/>
  <c r="AN17" i="2"/>
  <c r="AM17" i="2"/>
  <c r="AE16" i="2"/>
  <c r="AE15" i="2"/>
  <c r="AU32" i="2"/>
  <c r="AL16" i="2"/>
  <c r="AT17" i="2"/>
  <c r="AL17" i="2"/>
  <c r="AT16" i="2"/>
  <c r="AL15" i="2"/>
  <c r="Z15" i="2"/>
  <c r="AH16" i="2"/>
  <c r="AD17" i="2"/>
  <c r="AD16" i="2"/>
  <c r="AT15" i="2"/>
  <c r="AP17" i="2"/>
  <c r="AD15" i="2"/>
  <c r="AH13" i="2"/>
  <c r="AH40" i="2"/>
  <c r="AH55" i="2" s="1"/>
  <c r="AP13" i="2"/>
  <c r="AP36" i="2"/>
  <c r="AA13" i="2"/>
  <c r="AA36" i="2"/>
  <c r="AI36" i="2"/>
  <c r="AI13" i="2"/>
  <c r="AQ36" i="2"/>
  <c r="AQ13" i="2"/>
  <c r="AK36" i="2"/>
  <c r="AK13" i="2"/>
  <c r="AB13" i="2"/>
  <c r="AB36" i="2"/>
  <c r="AJ36" i="2"/>
  <c r="AJ13" i="2"/>
  <c r="AR36" i="2"/>
  <c r="AR13" i="2"/>
  <c r="BL3" i="2"/>
  <c r="BM3" i="2" s="1"/>
  <c r="BN3" i="2" s="1"/>
  <c r="BO3" i="2" s="1"/>
  <c r="BP3" i="2" s="1"/>
  <c r="BQ3" i="2" s="1"/>
  <c r="BR3" i="2" s="1"/>
  <c r="BS3" i="2" s="1"/>
  <c r="BT3" i="2" s="1"/>
  <c r="BU3" i="2" s="1"/>
  <c r="BV3" i="2" s="1"/>
  <c r="BW3" i="2" s="1"/>
  <c r="BX3" i="2" s="1"/>
  <c r="BY3" i="2" s="1"/>
  <c r="BZ3" i="2" s="1"/>
  <c r="CA3" i="2" s="1"/>
  <c r="CB3" i="2" s="1"/>
  <c r="CC3" i="2" s="1"/>
  <c r="CD3" i="2" s="1"/>
  <c r="CE3" i="2" s="1"/>
  <c r="CF3" i="2" s="1"/>
  <c r="CG3" i="2" s="1"/>
  <c r="CH3" i="2" s="1"/>
  <c r="CI3" i="2" s="1"/>
  <c r="CJ3" i="2" s="1"/>
  <c r="CK3" i="2" s="1"/>
  <c r="CL3" i="2" s="1"/>
  <c r="CM3" i="2" s="1"/>
  <c r="CN3" i="2" s="1"/>
  <c r="CO3" i="2" s="1"/>
  <c r="CP3" i="2" s="1"/>
  <c r="CQ3" i="2" s="1"/>
  <c r="CR3" i="2" s="1"/>
  <c r="CS3" i="2" s="1"/>
  <c r="CT3" i="2" s="1"/>
  <c r="CU3" i="2" s="1"/>
  <c r="CV3" i="2" s="1"/>
  <c r="CW3" i="2" s="1"/>
  <c r="CX3" i="2" s="1"/>
  <c r="CY3" i="2" s="1"/>
  <c r="CZ3" i="2" s="1"/>
  <c r="DA3" i="2" s="1"/>
  <c r="DB3" i="2" s="1"/>
  <c r="DC3" i="2" s="1"/>
  <c r="DD3" i="2" s="1"/>
  <c r="DE3" i="2" s="1"/>
  <c r="DF3" i="2" s="1"/>
  <c r="DG3" i="2" s="1"/>
  <c r="DH3" i="2" s="1"/>
  <c r="DI3" i="2" s="1"/>
  <c r="DJ3" i="2" s="1"/>
  <c r="DK3" i="2" s="1"/>
  <c r="DL3" i="2" s="1"/>
  <c r="DM3" i="2" s="1"/>
  <c r="DN3" i="2" s="1"/>
  <c r="DO3" i="2" s="1"/>
  <c r="DP3" i="2" s="1"/>
  <c r="DQ3" i="2" s="1"/>
  <c r="DR3" i="2" s="1"/>
  <c r="DS3" i="2" s="1"/>
  <c r="DT3" i="2" s="1"/>
  <c r="DU3" i="2" s="1"/>
  <c r="DV3" i="2" s="1"/>
  <c r="DW3" i="2" s="1"/>
  <c r="DX3" i="2" s="1"/>
  <c r="DY3" i="2" s="1"/>
  <c r="DZ3" i="2" s="1"/>
  <c r="EA3" i="2" s="1"/>
  <c r="EB3" i="2" s="1"/>
  <c r="EC3" i="2" s="1"/>
  <c r="C7" i="1"/>
  <c r="C10" i="1" s="1"/>
  <c r="M209" i="3" l="1"/>
  <c r="M217" i="3"/>
  <c r="M225" i="3"/>
  <c r="M257" i="3"/>
  <c r="M210" i="3"/>
  <c r="M218" i="3"/>
  <c r="M226" i="3"/>
  <c r="M234" i="3"/>
  <c r="M242" i="3"/>
  <c r="M250" i="3"/>
  <c r="M258" i="3"/>
  <c r="M266" i="3"/>
  <c r="M219" i="3"/>
  <c r="M227" i="3"/>
  <c r="M235" i="3"/>
  <c r="M243" i="3"/>
  <c r="M251" i="3"/>
  <c r="M259" i="3"/>
  <c r="M267" i="3"/>
  <c r="M220" i="3"/>
  <c r="M228" i="3"/>
  <c r="M244" i="3"/>
  <c r="M252" i="3"/>
  <c r="M260" i="3"/>
  <c r="M249" i="3"/>
  <c r="M211" i="3"/>
  <c r="M212" i="3"/>
  <c r="M236" i="3"/>
  <c r="M268" i="3"/>
  <c r="M265" i="3"/>
  <c r="M213" i="3"/>
  <c r="M221" i="3"/>
  <c r="M229" i="3"/>
  <c r="M237" i="3"/>
  <c r="M245" i="3"/>
  <c r="M253" i="3"/>
  <c r="M261" i="3"/>
  <c r="M269" i="3"/>
  <c r="M232" i="3"/>
  <c r="M256" i="3"/>
  <c r="M233" i="3"/>
  <c r="M214" i="3"/>
  <c r="M222" i="3"/>
  <c r="M230" i="3"/>
  <c r="M238" i="3"/>
  <c r="M246" i="3"/>
  <c r="M254" i="3"/>
  <c r="M262" i="3"/>
  <c r="M270" i="3"/>
  <c r="M223" i="3"/>
  <c r="M231" i="3"/>
  <c r="M239" i="3"/>
  <c r="M247" i="3"/>
  <c r="M255" i="3"/>
  <c r="M263" i="3"/>
  <c r="M208" i="3"/>
  <c r="M224" i="3"/>
  <c r="M240" i="3"/>
  <c r="M248" i="3"/>
  <c r="M264" i="3"/>
  <c r="M241" i="3"/>
  <c r="M215" i="3"/>
  <c r="M216" i="3"/>
  <c r="AU90" i="2"/>
  <c r="AU89" i="2"/>
  <c r="AO40" i="2"/>
  <c r="AO55" i="2" s="1"/>
  <c r="AO52" i="2"/>
  <c r="Y48" i="2"/>
  <c r="Y57" i="2"/>
  <c r="AJ40" i="2"/>
  <c r="AJ55" i="2" s="1"/>
  <c r="AJ52" i="2"/>
  <c r="AG40" i="2"/>
  <c r="AG55" i="2" s="1"/>
  <c r="AG52" i="2"/>
  <c r="AD40" i="2"/>
  <c r="AD55" i="2" s="1"/>
  <c r="AD52" i="2"/>
  <c r="AQ40" i="2"/>
  <c r="AQ55" i="2" s="1"/>
  <c r="AQ52" i="2"/>
  <c r="Z55" i="2"/>
  <c r="Z44" i="2"/>
  <c r="AI40" i="2"/>
  <c r="AI55" i="2" s="1"/>
  <c r="AI52" i="2"/>
  <c r="AM40" i="2"/>
  <c r="AM55" i="2" s="1"/>
  <c r="AM52" i="2"/>
  <c r="W48" i="2"/>
  <c r="W57" i="2"/>
  <c r="X48" i="2"/>
  <c r="X57" i="2"/>
  <c r="AB40" i="2"/>
  <c r="AB55" i="2" s="1"/>
  <c r="AB52" i="2"/>
  <c r="AE40" i="2"/>
  <c r="AE55" i="2" s="1"/>
  <c r="AE52" i="2"/>
  <c r="AS40" i="2"/>
  <c r="AS55" i="2" s="1"/>
  <c r="AS52" i="2"/>
  <c r="AR40" i="2"/>
  <c r="AR55" i="2" s="1"/>
  <c r="AR52" i="2"/>
  <c r="AF40" i="2"/>
  <c r="AF55" i="2" s="1"/>
  <c r="AF52" i="2"/>
  <c r="AL40" i="2"/>
  <c r="AL55" i="2" s="1"/>
  <c r="AL52" i="2"/>
  <c r="AA40" i="2"/>
  <c r="AA55" i="2" s="1"/>
  <c r="AA52" i="2"/>
  <c r="AP40" i="2"/>
  <c r="AP55" i="2" s="1"/>
  <c r="AP52" i="2"/>
  <c r="AU36" i="2"/>
  <c r="AU54" i="2"/>
  <c r="AU53" i="2"/>
  <c r="AC40" i="2"/>
  <c r="AC55" i="2" s="1"/>
  <c r="AC52" i="2"/>
  <c r="AK40" i="2"/>
  <c r="AK55" i="2" s="1"/>
  <c r="AK52" i="2"/>
  <c r="AN40" i="2"/>
  <c r="AN55" i="2" s="1"/>
  <c r="AN52" i="2"/>
  <c r="AT40" i="2"/>
  <c r="AT55" i="2" s="1"/>
  <c r="AT52" i="2"/>
  <c r="AE44" i="2"/>
  <c r="AM44" i="2"/>
  <c r="AO44" i="2"/>
  <c r="AS44" i="2"/>
  <c r="AH44" i="2"/>
  <c r="P219" i="3"/>
  <c r="AC44" i="2" l="1"/>
  <c r="AL44" i="2"/>
  <c r="BS44" i="2" s="1"/>
  <c r="AQ44" i="2"/>
  <c r="AD44" i="2"/>
  <c r="AD46" i="2" s="1"/>
  <c r="AK44" i="2"/>
  <c r="AK56" i="2" s="1"/>
  <c r="AI44" i="2"/>
  <c r="AG44" i="2"/>
  <c r="AG56" i="2" s="1"/>
  <c r="AB44" i="2"/>
  <c r="AB46" i="2" s="1"/>
  <c r="AF44" i="2"/>
  <c r="AF46" i="2" s="1"/>
  <c r="AR44" i="2"/>
  <c r="AR56" i="2" s="1"/>
  <c r="AS46" i="2"/>
  <c r="AS56" i="2"/>
  <c r="AU40" i="2"/>
  <c r="AU52" i="2"/>
  <c r="AI46" i="2"/>
  <c r="AI56" i="2"/>
  <c r="AO46" i="2"/>
  <c r="AO56" i="2"/>
  <c r="AT44" i="2"/>
  <c r="AQ46" i="2"/>
  <c r="AQ56" i="2"/>
  <c r="AN44" i="2"/>
  <c r="AC46" i="2"/>
  <c r="AC56" i="2"/>
  <c r="AE46" i="2"/>
  <c r="AE56" i="2"/>
  <c r="AM46" i="2"/>
  <c r="AM56" i="2"/>
  <c r="Z46" i="2"/>
  <c r="Z56" i="2"/>
  <c r="AL46" i="2"/>
  <c r="BS46" i="2" s="1"/>
  <c r="BS48" i="2" s="1"/>
  <c r="AL56" i="2"/>
  <c r="AA44" i="2"/>
  <c r="AD56" i="2"/>
  <c r="AP44" i="2"/>
  <c r="AH46" i="2"/>
  <c r="AH56" i="2"/>
  <c r="AJ44" i="2"/>
  <c r="P209" i="3"/>
  <c r="P208" i="3"/>
  <c r="P211" i="3"/>
  <c r="P218" i="3"/>
  <c r="P210" i="3"/>
  <c r="P221" i="3"/>
  <c r="P217" i="3"/>
  <c r="P213" i="3"/>
  <c r="P216" i="3"/>
  <c r="P220" i="3"/>
  <c r="P215" i="3"/>
  <c r="P212" i="3"/>
  <c r="P214" i="3"/>
  <c r="AD94" i="2" l="1"/>
  <c r="AD92" i="2"/>
  <c r="AD91" i="2"/>
  <c r="AB94" i="2"/>
  <c r="AB91" i="2"/>
  <c r="AB92" i="2"/>
  <c r="AL94" i="2"/>
  <c r="BS94" i="2" s="1"/>
  <c r="AL91" i="2"/>
  <c r="AL92" i="2"/>
  <c r="AI94" i="2"/>
  <c r="AI91" i="2"/>
  <c r="AI92" i="2"/>
  <c r="AH94" i="2"/>
  <c r="AH92" i="2"/>
  <c r="AH91" i="2"/>
  <c r="AC94" i="2"/>
  <c r="AC91" i="2"/>
  <c r="AC92" i="2"/>
  <c r="Z94" i="2"/>
  <c r="Z91" i="2"/>
  <c r="Z92" i="2"/>
  <c r="AQ94" i="2"/>
  <c r="AQ91" i="2"/>
  <c r="AQ92" i="2"/>
  <c r="AM94" i="2"/>
  <c r="AM92" i="2"/>
  <c r="AM91" i="2"/>
  <c r="AS94" i="2"/>
  <c r="AS91" i="2"/>
  <c r="AS92" i="2"/>
  <c r="AK46" i="2"/>
  <c r="AE94" i="2"/>
  <c r="AE92" i="2"/>
  <c r="AE91" i="2"/>
  <c r="AO94" i="2"/>
  <c r="AO91" i="2"/>
  <c r="AO92" i="2"/>
  <c r="AF94" i="2"/>
  <c r="AF91" i="2"/>
  <c r="AF92" i="2"/>
  <c r="AR46" i="2"/>
  <c r="AR48" i="2" s="1"/>
  <c r="AB56" i="2"/>
  <c r="AG46" i="2"/>
  <c r="AF56" i="2"/>
  <c r="AN46" i="2"/>
  <c r="AN56" i="2"/>
  <c r="AF48" i="2"/>
  <c r="AF57" i="2"/>
  <c r="AJ46" i="2"/>
  <c r="AJ56" i="2"/>
  <c r="Z48" i="2"/>
  <c r="Z57" i="2"/>
  <c r="AC48" i="2"/>
  <c r="AC57" i="2"/>
  <c r="AI48" i="2"/>
  <c r="AI57" i="2"/>
  <c r="AH48" i="2"/>
  <c r="AH57" i="2"/>
  <c r="AU55" i="2"/>
  <c r="AU44" i="2"/>
  <c r="AU56" i="2" s="1"/>
  <c r="AP46" i="2"/>
  <c r="AP56" i="2"/>
  <c r="AQ48" i="2"/>
  <c r="AQ57" i="2"/>
  <c r="AD48" i="2"/>
  <c r="AD57" i="2"/>
  <c r="AM48" i="2"/>
  <c r="AM57" i="2"/>
  <c r="AT46" i="2"/>
  <c r="AT56" i="2"/>
  <c r="AA46" i="2"/>
  <c r="AA56" i="2"/>
  <c r="AR57" i="2"/>
  <c r="AB48" i="2"/>
  <c r="AB57" i="2"/>
  <c r="AL48" i="2"/>
  <c r="AL57" i="2"/>
  <c r="AE48" i="2"/>
  <c r="AE57" i="2"/>
  <c r="AO48" i="2"/>
  <c r="AO57" i="2"/>
  <c r="AS48" i="2"/>
  <c r="AS57" i="2"/>
  <c r="AK94" i="2" l="1"/>
  <c r="AK91" i="2"/>
  <c r="AK92" i="2"/>
  <c r="AP94" i="2"/>
  <c r="AP91" i="2"/>
  <c r="AP92" i="2"/>
  <c r="AN94" i="2"/>
  <c r="AN92" i="2"/>
  <c r="AN91" i="2"/>
  <c r="AK48" i="2"/>
  <c r="AG91" i="2"/>
  <c r="AG92" i="2"/>
  <c r="AT94" i="2"/>
  <c r="AT91" i="2"/>
  <c r="AT92" i="2"/>
  <c r="AK57" i="2"/>
  <c r="AA94" i="2"/>
  <c r="AA92" i="2"/>
  <c r="AA91" i="2"/>
  <c r="AJ94" i="2"/>
  <c r="AJ91" i="2"/>
  <c r="AJ92" i="2"/>
  <c r="AR94" i="2"/>
  <c r="AR92" i="2"/>
  <c r="AR91" i="2"/>
  <c r="AG48" i="2"/>
  <c r="AG94" i="2"/>
  <c r="AG57" i="2"/>
  <c r="AU46" i="2"/>
  <c r="AU57" i="2"/>
  <c r="AT48" i="2"/>
  <c r="AT57" i="2"/>
  <c r="AA48" i="2"/>
  <c r="AA57" i="2"/>
  <c r="AP48" i="2"/>
  <c r="AP57" i="2"/>
  <c r="AJ48" i="2"/>
  <c r="AJ57" i="2"/>
  <c r="AN48" i="2"/>
  <c r="AN57" i="2"/>
  <c r="AF83" i="2"/>
  <c r="AF85" i="2" s="1"/>
  <c r="AU92" i="2" l="1"/>
  <c r="AU91" i="2"/>
  <c r="AU48" i="2"/>
  <c r="AU94"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<sst xmlns="http://schemas.openxmlformats.org/spreadsheetml/2006/main" count="1812" uniqueCount="1761">
  <si>
    <t xml:space="preserve">Price </t>
  </si>
  <si>
    <t>SO</t>
  </si>
  <si>
    <t>MC</t>
  </si>
  <si>
    <t>Cash</t>
  </si>
  <si>
    <t>Debt</t>
  </si>
  <si>
    <t>EV</t>
  </si>
  <si>
    <t>Investor Relations Contact:</t>
  </si>
  <si>
    <t>SEC filings</t>
  </si>
  <si>
    <t>Godel Terminal</t>
  </si>
  <si>
    <t>[Bold Title]</t>
  </si>
  <si>
    <t>Line Titles</t>
  </si>
  <si>
    <t>&lt;-- General</t>
  </si>
  <si>
    <t>&lt;-- Info</t>
  </si>
  <si>
    <t>Institutional Ownership Snapshot (4/14/2025)</t>
  </si>
  <si>
    <t>Notes:</t>
  </si>
  <si>
    <t>[X]</t>
  </si>
  <si>
    <t>[Y]</t>
  </si>
  <si>
    <t>[Z]</t>
  </si>
  <si>
    <t>Close</t>
  </si>
  <si>
    <t>High</t>
  </si>
  <si>
    <t>Low</t>
  </si>
  <si>
    <t>Open</t>
  </si>
  <si>
    <t>Volume</t>
  </si>
  <si>
    <t>UTC Date</t>
  </si>
  <si>
    <t>Change</t>
  </si>
  <si>
    <t>Min</t>
  </si>
  <si>
    <t>Max</t>
  </si>
  <si>
    <t>Mean μ</t>
  </si>
  <si>
    <t>Median</t>
  </si>
  <si>
    <t>SD σ</t>
  </si>
  <si>
    <t xml:space="preserve">  3σ 1-Day Δ: ±</t>
  </si>
  <si>
    <t>β (1-year avg.)</t>
  </si>
  <si>
    <t>&lt;- Sortino Ratio (Downside Risk Adjusted Return)</t>
  </si>
  <si>
    <r>
      <rPr>
        <i/>
        <sz val="11"/>
        <color theme="1"/>
        <rFont val="Calibre"/>
      </rPr>
      <t>n</t>
    </r>
    <r>
      <rPr>
        <sz val="11"/>
        <color theme="1"/>
        <rFont val="Calibre"/>
      </rPr>
      <t xml:space="preserve"> =</t>
    </r>
  </si>
  <si>
    <t>Histogram Data</t>
  </si>
  <si>
    <t>Distribution Overlay</t>
  </si>
  <si>
    <t>SD Lines</t>
  </si>
  <si>
    <t>Bin</t>
  </si>
  <si>
    <t>Frequency</t>
  </si>
  <si>
    <r>
      <t xml:space="preserve"> (X) 1-Day</t>
    </r>
    <r>
      <rPr>
        <b/>
        <i/>
        <sz val="11"/>
        <color theme="1"/>
        <rFont val="Calibri"/>
        <family val="2"/>
        <scheme val="minor"/>
      </rPr>
      <t xml:space="preserve"> Δ </t>
    </r>
    <r>
      <rPr>
        <i/>
        <sz val="11"/>
        <color theme="1"/>
        <rFont val="Calibri"/>
        <family val="2"/>
        <scheme val="minor"/>
      </rPr>
      <t xml:space="preserve"> </t>
    </r>
  </si>
  <si>
    <t xml:space="preserve">(Y) Pop. Density </t>
  </si>
  <si>
    <t>X</t>
  </si>
  <si>
    <t>Y</t>
  </si>
  <si>
    <t>Q1 2014</t>
  </si>
  <si>
    <t>Q2 2014</t>
  </si>
  <si>
    <t>Q3 2014</t>
  </si>
  <si>
    <t>Q4 2014</t>
  </si>
  <si>
    <t>Q1 2015</t>
  </si>
  <si>
    <t>Q2 2015</t>
  </si>
  <si>
    <t>Q3 2015</t>
  </si>
  <si>
    <t>Q4 2015</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</si>
  <si>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</si>
  <si>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</si>
  <si>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</si>
  <si>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</si>
  <si>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</si>
  <si>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</si>
  <si>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</si>
  <si>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</si>
  <si>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</si>
  <si>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</si>
  <si>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</si>
  <si>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</si>
  <si>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</si>
  <si>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</si>
  <si>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</si>
  <si>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</si>
  <si>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</si>
  <si>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</si>
  <si>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</si>
  <si>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</si>
  <si>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</si>
  <si>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</si>
  <si>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</si>
  <si>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</si>
  <si>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</si>
  <si>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</si>
  <si>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</si>
  <si>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</si>
  <si>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</si>
  <si>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</si>
  <si>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</si>
  <si>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</si>
  <si>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</si>
  <si>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</si>
  <si>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</si>
  <si>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</si>
  <si>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</si>
  <si>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</si>
  <si>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</si>
  <si>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Q4 2025</t>
  </si>
  <si>
    <t>Q1 2026</t>
  </si>
  <si>
    <t>Q2 2026</t>
  </si>
  <si>
    <t>Q3 2026</t>
  </si>
  <si>
    <t>Q4 2026</t>
  </si>
  <si>
    <t>Quarterly</t>
  </si>
  <si>
    <t>Revenues</t>
  </si>
  <si>
    <t>Ttl Revenues</t>
  </si>
  <si>
    <t>GP</t>
  </si>
  <si>
    <t>R&amp;D as % of Revenue</t>
  </si>
  <si>
    <t>SG&amp;A as % of Revenue</t>
  </si>
  <si>
    <t>Operating Profit Margin</t>
  </si>
  <si>
    <t>Effective Tax Rate</t>
  </si>
  <si>
    <t>Net Profit Margin</t>
  </si>
  <si>
    <t>ST Investments</t>
  </si>
  <si>
    <t>Cash Ratio</t>
  </si>
  <si>
    <t>Ttl Asset Turnover</t>
  </si>
  <si>
    <t>Return on Assets</t>
  </si>
  <si>
    <t>Return on Equity</t>
  </si>
  <si>
    <t>Net Income</t>
  </si>
  <si>
    <t>CFFO</t>
  </si>
  <si>
    <t>CapEx, net</t>
  </si>
  <si>
    <t>FCF</t>
  </si>
  <si>
    <t>SC</t>
  </si>
  <si>
    <t>FCF per Share</t>
  </si>
  <si>
    <t>General Notes/Observations (Updated Q1'25)</t>
  </si>
  <si>
    <t>Revenues:</t>
  </si>
  <si>
    <t>Earnings Scope:</t>
  </si>
  <si>
    <t>Balance Sheet Scope:</t>
  </si>
  <si>
    <t>[Equity Preformance Compared to Peers]</t>
  </si>
  <si>
    <t>Mean</t>
  </si>
  <si>
    <t>-3σ</t>
  </si>
  <si>
    <t>-2σ</t>
  </si>
  <si>
    <t>-1σ</t>
  </si>
  <si>
    <t>1σ</t>
  </si>
  <si>
    <t>2σ</t>
  </si>
  <si>
    <t>3σ</t>
  </si>
  <si>
    <t>Phone:</t>
  </si>
  <si>
    <t xml:space="preserve">Email: </t>
  </si>
  <si>
    <t>&lt;- Sharpe Ratio (Risk Adjusted Return)</t>
  </si>
  <si>
    <t>Earnings Calls</t>
  </si>
  <si>
    <t>Equity Analysis</t>
  </si>
  <si>
    <t>https://app.godelterminal.com/</t>
  </si>
  <si>
    <t>Address:</t>
  </si>
  <si>
    <t>Investors Relation Department</t>
  </si>
  <si>
    <t>Employee Scope:</t>
  </si>
  <si>
    <t>Resources:</t>
  </si>
  <si>
    <t>Capital Structure Snapshot:</t>
  </si>
  <si>
    <t>WK</t>
  </si>
  <si>
    <t>Workiva Inc. (WK)</t>
  </si>
  <si>
    <t>Workiva Inc. was founded in 2008 and is headquartered in Ames, Iowa</t>
  </si>
  <si>
    <t xml:space="preserve">Revenue Breakdown by Segment </t>
  </si>
  <si>
    <t>Q/q Total Revenues, Net Income, FCF</t>
  </si>
  <si>
    <t>Historical Return Histogram</t>
  </si>
  <si>
    <t>Fri, 12 Jun 2020 00:00:00 GMT</t>
  </si>
  <si>
    <t>Mon, 15 Jun 2020 00:00:00 GMT</t>
  </si>
  <si>
    <t>Tue, 16 Jun 2020 00:00:00 GMT</t>
  </si>
  <si>
    <t>Wed, 17 Jun 2020 00:00:00 GMT</t>
  </si>
  <si>
    <t>Thu, 18 Jun 2020 00:00:00 GMT</t>
  </si>
  <si>
    <t>Fri, 19 Jun 2020 00:00:00 GMT</t>
  </si>
  <si>
    <t>Mon, 22 Jun 2020 00:00:00 GMT</t>
  </si>
  <si>
    <t>Tue, 23 Jun 2020 00:00:00 GMT</t>
  </si>
  <si>
    <t>Wed, 24 Jun 2020 00:00:00 GMT</t>
  </si>
  <si>
    <t>Thu, 25 Jun 2020 00:00:00 GMT</t>
  </si>
  <si>
    <t>Fri, 26 Jun 2020 00:00:00 GMT</t>
  </si>
  <si>
    <t>Mon, 29 Jun 2020 00:00:00 GMT</t>
  </si>
  <si>
    <t>Tue, 30 Jun 2020 00:00:00 GMT</t>
  </si>
  <si>
    <t>Wed, 01 Jul 2020 00:00:00 GMT</t>
  </si>
  <si>
    <t>Thu, 02 Jul 2020 00:00:00 GMT</t>
  </si>
  <si>
    <t>Mon, 06 Jul 2020 00:00:00 GMT</t>
  </si>
  <si>
    <t>Tue, 07 Jul 2020 00:00:00 GMT</t>
  </si>
  <si>
    <t>Wed, 08 Jul 2020 00:00:00 GMT</t>
  </si>
  <si>
    <t>Thu, 09 Jul 2020 00:00:00 GMT</t>
  </si>
  <si>
    <t>Fri, 10 Jul 2020 00:00:00 GMT</t>
  </si>
  <si>
    <t>Mon, 13 Jul 2020 00:00:00 GMT</t>
  </si>
  <si>
    <t>Tue, 14 Jul 2020 00:00:00 GMT</t>
  </si>
  <si>
    <t>Wed, 15 Jul 2020 00:00:00 GMT</t>
  </si>
  <si>
    <t>Thu, 16 Jul 2020 00:00:00 GMT</t>
  </si>
  <si>
    <t>Fri, 17 Jul 2020 00:00:00 GMT</t>
  </si>
  <si>
    <t>Mon, 20 Jul 2020 00:00:00 GMT</t>
  </si>
  <si>
    <t>Tue, 21 Jul 2020 00:00:00 GMT</t>
  </si>
  <si>
    <t>Wed, 22 Jul 2020 00:00:00 GMT</t>
  </si>
  <si>
    <t>Thu, 23 Jul 2020 00:00:00 GMT</t>
  </si>
  <si>
    <t>Fri, 24 Jul 2020 00:00:00 GMT</t>
  </si>
  <si>
    <t>Mon, 27 Jul 2020 00:00:00 GMT</t>
  </si>
  <si>
    <t>Tue, 28 Jul 2020 00:00:00 GMT</t>
  </si>
  <si>
    <t>Wed, 29 Jul 2020 00:00:00 GMT</t>
  </si>
  <si>
    <t>Thu, 30 Jul 2020 00:00:00 GMT</t>
  </si>
  <si>
    <t>Fri, 31 Jul 2020 00:00:00 GMT</t>
  </si>
  <si>
    <t>Mon, 03 Aug 2020 00:00:00 GMT</t>
  </si>
  <si>
    <t>Tue, 04 Aug 2020 00:00:00 GMT</t>
  </si>
  <si>
    <t>Wed, 05 Aug 2020 00:00:00 GMT</t>
  </si>
  <si>
    <t>Thu, 06 Aug 2020 00:00:00 GMT</t>
  </si>
  <si>
    <t>Fri, 07 Aug 2020 00:00:00 GMT</t>
  </si>
  <si>
    <t>Mon, 10 Aug 2020 00:00:00 GMT</t>
  </si>
  <si>
    <t>Tue, 11 Aug 2020 00:00:00 GMT</t>
  </si>
  <si>
    <t>Wed, 12 Aug 2020 00:00:00 GMT</t>
  </si>
  <si>
    <t>Thu, 13 Aug 2020 00:00:00 GMT</t>
  </si>
  <si>
    <t>Fri, 14 Aug 2020 00:00:00 GMT</t>
  </si>
  <si>
    <t>Mon, 17 Aug 2020 00:00:00 GMT</t>
  </si>
  <si>
    <t>Tue, 18 Aug 2020 00:00:00 GMT</t>
  </si>
  <si>
    <t>Wed, 19 Aug 2020 00:00:00 GMT</t>
  </si>
  <si>
    <t>Thu, 20 Aug 2020 00:00:00 GMT</t>
  </si>
  <si>
    <t>Fri, 21 Aug 2020 00:00:00 GMT</t>
  </si>
  <si>
    <t>Mon, 24 Aug 2020 00:00:00 GMT</t>
  </si>
  <si>
    <t>Tue, 25 Aug 2020 00:00:00 GMT</t>
  </si>
  <si>
    <t>Wed, 26 Aug 2020 00:00:00 GMT</t>
  </si>
  <si>
    <t>Thu, 27 Aug 2020 00:00:00 GMT</t>
  </si>
  <si>
    <t>Fri, 28 Aug 2020 00:00:00 GMT</t>
  </si>
  <si>
    <t>Mon, 31 Aug 2020 00:00:00 GMT</t>
  </si>
  <si>
    <t>Tue, 01 Sep 2020 00:00:00 GMT</t>
  </si>
  <si>
    <t>Wed, 02 Sep 2020 00:00:00 GMT</t>
  </si>
  <si>
    <t>Thu, 03 Sep 2020 00:00:00 GMT</t>
  </si>
  <si>
    <t>Fri, 04 Sep 2020 00:00:00 GMT</t>
  </si>
  <si>
    <t>Tue, 08 Sep 2020 00:00:00 GMT</t>
  </si>
  <si>
    <t>Wed, 09 Sep 2020 00:00:00 GMT</t>
  </si>
  <si>
    <t>Thu, 10 Sep 2020 00:00:00 GMT</t>
  </si>
  <si>
    <t>Fri, 11 Sep 2020 00:00:00 GMT</t>
  </si>
  <si>
    <t>Mon, 14 Sep 2020 00:00:00 GMT</t>
  </si>
  <si>
    <t>Tue, 15 Sep 2020 00:00:00 GMT</t>
  </si>
  <si>
    <t>Wed, 16 Sep 2020 00:00:00 GMT</t>
  </si>
  <si>
    <t>Thu, 17 Sep 2020 00:00:00 GMT</t>
  </si>
  <si>
    <t>Fri, 18 Sep 2020 00:00:00 GMT</t>
  </si>
  <si>
    <t>Mon, 21 Sep 2020 00:00:00 GMT</t>
  </si>
  <si>
    <t>Tue, 22 Sep 2020 00:00:00 GMT</t>
  </si>
  <si>
    <t>Wed, 23 Sep 2020 00:00:00 GMT</t>
  </si>
  <si>
    <t>Thu, 24 Sep 2020 00:00:00 GMT</t>
  </si>
  <si>
    <t>Fri, 25 Sep 2020 00:00:00 GMT</t>
  </si>
  <si>
    <t>Mon, 28 Sep 2020 00:00:00 GMT</t>
  </si>
  <si>
    <t>Tue, 29 Sep 2020 00:00:00 GMT</t>
  </si>
  <si>
    <t>Wed, 30 Sep 2020 00:00:00 GMT</t>
  </si>
  <si>
    <t>Thu, 01 Oct 2020 00:00:00 GMT</t>
  </si>
  <si>
    <t>Fri, 02 Oct 2020 00:00:00 GMT</t>
  </si>
  <si>
    <t>Mon, 05 Oct 2020 00:00:00 GMT</t>
  </si>
  <si>
    <t>Tue, 06 Oct 2020 00:00:00 GMT</t>
  </si>
  <si>
    <t>Wed, 07 Oct 2020 00:00:00 GMT</t>
  </si>
  <si>
    <t>Thu, 08 Oct 2020 00:00:00 GMT</t>
  </si>
  <si>
    <t>Fri, 09 Oct 2020 00:00:00 GMT</t>
  </si>
  <si>
    <t>Mon, 12 Oct 2020 00:00:00 GMT</t>
  </si>
  <si>
    <t>Tue, 13 Oct 2020 00:00:00 GMT</t>
  </si>
  <si>
    <t>Wed, 14 Oct 2020 00:00:00 GMT</t>
  </si>
  <si>
    <t>Thu, 15 Oct 2020 00:00:00 GMT</t>
  </si>
  <si>
    <t>Fri, 16 Oct 2020 00:00:00 GMT</t>
  </si>
  <si>
    <t>Mon, 19 Oct 2020 00:00:00 GMT</t>
  </si>
  <si>
    <t>Tue, 20 Oct 2020 00:00:00 GMT</t>
  </si>
  <si>
    <t>Wed, 21 Oct 2020 00:00:00 GMT</t>
  </si>
  <si>
    <t>Thu, 22 Oct 2020 00:00:00 GMT</t>
  </si>
  <si>
    <t>Fri, 23 Oct 2020 00:00:00 GMT</t>
  </si>
  <si>
    <t>Mon, 26 Oct 2020 00:00:00 GMT</t>
  </si>
  <si>
    <t>Tue, 27 Oct 2020 00:00:00 GMT</t>
  </si>
  <si>
    <t>Wed, 28 Oct 2020 00:00:00 GMT</t>
  </si>
  <si>
    <t>Thu, 29 Oct 2020 00:00:00 GMT</t>
  </si>
  <si>
    <t>Fri, 30 Oct 2020 00:00:00 GMT</t>
  </si>
  <si>
    <t>Mon, 02 Nov 2020 00:00:00 GMT</t>
  </si>
  <si>
    <t>Tue, 03 Nov 2020 00:00:00 GMT</t>
  </si>
  <si>
    <t>Wed, 04 Nov 2020 00:00:00 GMT</t>
  </si>
  <si>
    <t>Thu, 05 Nov 2020 00:00:00 GMT</t>
  </si>
  <si>
    <t>Fri, 06 Nov 2020 00:00:00 GMT</t>
  </si>
  <si>
    <t>Mon, 09 Nov 2020 00:00:00 GMT</t>
  </si>
  <si>
    <t>Tue, 10 Nov 2020 00:00:00 GMT</t>
  </si>
  <si>
    <t>Wed, 11 Nov 2020 00:00:00 GMT</t>
  </si>
  <si>
    <t>Thu, 12 Nov 2020 00:00:00 GMT</t>
  </si>
  <si>
    <t>Fri, 13 Nov 2020 00:00:00 GMT</t>
  </si>
  <si>
    <t>Mon, 16 Nov 2020 00:00:00 GMT</t>
  </si>
  <si>
    <t>Tue, 17 Nov 2020 00:00:00 GMT</t>
  </si>
  <si>
    <t>Wed, 18 Nov 2020 00:00:00 GMT</t>
  </si>
  <si>
    <t>Thu, 19 Nov 2020 00:00:00 GMT</t>
  </si>
  <si>
    <t>Fri, 20 Nov 2020 00:00:00 GMT</t>
  </si>
  <si>
    <t>Mon, 23 Nov 2020 00:00:00 GMT</t>
  </si>
  <si>
    <t>Tue, 24 Nov 2020 00:00:00 GMT</t>
  </si>
  <si>
    <t>Wed, 25 Nov 2020 00:00:00 GMT</t>
  </si>
  <si>
    <t>Fri, 27 Nov 2020 00:00:00 GMT</t>
  </si>
  <si>
    <t>Mon, 30 Nov 2020 00:00:00 GMT</t>
  </si>
  <si>
    <t>Tue, 01 Dec 2020 00:00:00 GMT</t>
  </si>
  <si>
    <t>Wed, 02 Dec 2020 00:00:00 GMT</t>
  </si>
  <si>
    <t>Thu, 03 Dec 2020 00:00:00 GMT</t>
  </si>
  <si>
    <t>Fri, 04 Dec 2020 00:00:00 GMT</t>
  </si>
  <si>
    <t>Mon, 07 Dec 2020 00:00:00 GMT</t>
  </si>
  <si>
    <t>Tue, 08 Dec 2020 00:00:00 GMT</t>
  </si>
  <si>
    <t>Wed, 09 Dec 2020 00:00:00 GMT</t>
  </si>
  <si>
    <t>Thu, 10 Dec 2020 00:00:00 GMT</t>
  </si>
  <si>
    <t>Fri, 11 Dec 2020 00:00:00 GMT</t>
  </si>
  <si>
    <t>Mon, 14 Dec 2020 00:00:00 GMT</t>
  </si>
  <si>
    <t>Tue, 15 Dec 2020 00:00:00 GMT</t>
  </si>
  <si>
    <t>Wed, 16 Dec 2020 00:00:00 GMT</t>
  </si>
  <si>
    <t>Thu, 17 Dec 2020 00:00:00 GMT</t>
  </si>
  <si>
    <t>Fri, 18 Dec 2020 00:00:00 GMT</t>
  </si>
  <si>
    <t>Mon, 21 Dec 2020 00:00:00 GMT</t>
  </si>
  <si>
    <t>Tue, 22 Dec 2020 00:00:00 GMT</t>
  </si>
  <si>
    <t>Wed, 23 Dec 2020 00:00:00 GMT</t>
  </si>
  <si>
    <t>Thu, 24 Dec 2020 00:00:00 GMT</t>
  </si>
  <si>
    <t>Mon, 28 Dec 2020 00:00:00 GMT</t>
  </si>
  <si>
    <t>Tue, 29 Dec 2020 00:00:00 GMT</t>
  </si>
  <si>
    <t>Wed, 30 Dec 2020 00:00:00 GMT</t>
  </si>
  <si>
    <t>Thu, 31 Dec 2020 00:00:00 GMT</t>
  </si>
  <si>
    <t>Mon, 04 Jan 2021 00:00:00 GMT</t>
  </si>
  <si>
    <t>Tue, 05 Jan 2021 00:00:00 GMT</t>
  </si>
  <si>
    <t>Wed, 06 Jan 2021 00:00:00 GMT</t>
  </si>
  <si>
    <t>Thu, 07 Jan 2021 00:00:00 GMT</t>
  </si>
  <si>
    <t>Fri, 08 Jan 2021 00:00:00 GMT</t>
  </si>
  <si>
    <t>Mon, 11 Jan 2021 00:00:00 GMT</t>
  </si>
  <si>
    <t>Tue, 12 Jan 2021 00:00:00 GMT</t>
  </si>
  <si>
    <t>Wed, 13 Jan 2021 00:00:00 GMT</t>
  </si>
  <si>
    <t>Thu, 14 Jan 2021 00:00:00 GMT</t>
  </si>
  <si>
    <t>Fri, 15 Jan 2021 00:00:00 GMT</t>
  </si>
  <si>
    <t>Tue, 19 Jan 2021 00:00:00 GMT</t>
  </si>
  <si>
    <t>Wed, 20 Jan 2021 00:00:00 GMT</t>
  </si>
  <si>
    <t>Thu, 21 Jan 2021 00:00:00 GMT</t>
  </si>
  <si>
    <t>Fri, 22 Jan 2021 00:00:00 GMT</t>
  </si>
  <si>
    <t>Mon, 25 Jan 2021 00:00:00 GMT</t>
  </si>
  <si>
    <t>Tue, 26 Jan 2021 00:00:00 GMT</t>
  </si>
  <si>
    <t>Wed, 27 Jan 2021 00:00:00 GMT</t>
  </si>
  <si>
    <t>Thu, 28 Jan 2021 00:00:00 GMT</t>
  </si>
  <si>
    <t>Fri, 29 Jan 2021 00:00:00 GMT</t>
  </si>
  <si>
    <t>Mon, 01 Feb 2021 00:00:00 GMT</t>
  </si>
  <si>
    <t>Tue, 02 Feb 2021 00:00:00 GMT</t>
  </si>
  <si>
    <t>Wed, 03 Feb 2021 00:00:00 GMT</t>
  </si>
  <si>
    <t>Thu, 04 Feb 2021 00:00:00 GMT</t>
  </si>
  <si>
    <t>Fri, 05 Feb 2021 00:00:00 GMT</t>
  </si>
  <si>
    <t>Mon, 08 Feb 2021 00:00:00 GMT</t>
  </si>
  <si>
    <t>Tue, 09 Feb 2021 00:00:00 GMT</t>
  </si>
  <si>
    <t>Wed, 10 Feb 2021 00:00:00 GMT</t>
  </si>
  <si>
    <t>Thu, 11 Feb 2021 00:00:00 GMT</t>
  </si>
  <si>
    <t>Fri, 12 Feb 2021 00:00:00 GMT</t>
  </si>
  <si>
    <t>Tue, 16 Feb 2021 00:00:00 GMT</t>
  </si>
  <si>
    <t>Wed, 17 Feb 2021 00:00:00 GMT</t>
  </si>
  <si>
    <t>Thu, 18 Feb 2021 00:00:00 GMT</t>
  </si>
  <si>
    <t>Fri, 19 Feb 2021 00:00:00 GMT</t>
  </si>
  <si>
    <t>Mon, 22 Feb 2021 00:00:00 GMT</t>
  </si>
  <si>
    <t>Tue, 23 Feb 2021 00:00:00 GMT</t>
  </si>
  <si>
    <t>Wed, 24 Feb 2021 00:00:00 GMT</t>
  </si>
  <si>
    <t>Thu, 25 Feb 2021 00:00:00 GMT</t>
  </si>
  <si>
    <t>Fri, 26 Feb 2021 00:00:00 GMT</t>
  </si>
  <si>
    <t>Mon, 01 Mar 2021 00:00:00 GMT</t>
  </si>
  <si>
    <t>Tue, 02 Mar 2021 00:00:00 GMT</t>
  </si>
  <si>
    <t>Wed, 03 Mar 2021 00:00:00 GMT</t>
  </si>
  <si>
    <t>Thu, 04 Mar 2021 00:00:00 GMT</t>
  </si>
  <si>
    <t>Fri, 05 Mar 2021 00:00:00 GMT</t>
  </si>
  <si>
    <t>Mon, 08 Mar 2021 00:00:00 GMT</t>
  </si>
  <si>
    <t>Tue, 09 Mar 2021 00:00:00 GMT</t>
  </si>
  <si>
    <t>Wed, 10 Mar 2021 00:00:00 GMT</t>
  </si>
  <si>
    <t>Thu, 11 Mar 2021 00:00:00 GMT</t>
  </si>
  <si>
    <t>Fri, 12 Mar 2021 00:00:00 GMT</t>
  </si>
  <si>
    <t>Mon, 15 Mar 2021 00:00:00 GMT</t>
  </si>
  <si>
    <t>Tue, 16 Mar 2021 00:00:00 GMT</t>
  </si>
  <si>
    <t>Wed, 17 Mar 2021 00:00:00 GMT</t>
  </si>
  <si>
    <t>Thu, 18 Mar 2021 00:00:00 GMT</t>
  </si>
  <si>
    <t>Fri, 19 Mar 2021 00:00:00 GMT</t>
  </si>
  <si>
    <t>Mon, 22 Mar 2021 00:00:00 GMT</t>
  </si>
  <si>
    <t>Tue, 23 Mar 2021 00:00:00 GMT</t>
  </si>
  <si>
    <t>Wed, 24 Mar 2021 00:00:00 GMT</t>
  </si>
  <si>
    <t>Thu, 25 Mar 2021 00:00:00 GMT</t>
  </si>
  <si>
    <t>Fri, 26 Mar 2021 00:00:00 GMT</t>
  </si>
  <si>
    <t>Mon, 29 Mar 2021 00:00:00 GMT</t>
  </si>
  <si>
    <t>Tue, 30 Mar 2021 00:00:00 GMT</t>
  </si>
  <si>
    <t>Wed, 31 Mar 2021 00:00:00 GMT</t>
  </si>
  <si>
    <t>Thu, 01 Apr 2021 00:00:00 GMT</t>
  </si>
  <si>
    <t>Mon, 05 Apr 2021 00:00:00 GMT</t>
  </si>
  <si>
    <t>Tue, 06 Apr 2021 00:00:00 GMT</t>
  </si>
  <si>
    <t>Wed, 07 Apr 2021 00:00:00 GMT</t>
  </si>
  <si>
    <t>Thu, 08 Apr 2021 00:00:00 GMT</t>
  </si>
  <si>
    <t>Fri, 09 Apr 2021 00:00:00 GMT</t>
  </si>
  <si>
    <t>Mon, 12 Apr 2021 00:00:00 GMT</t>
  </si>
  <si>
    <t>Tue, 13 Apr 2021 00:00:00 GMT</t>
  </si>
  <si>
    <t>Wed, 14 Apr 2021 00:00:00 GMT</t>
  </si>
  <si>
    <t>Thu, 15 Apr 2021 00:00:00 GMT</t>
  </si>
  <si>
    <t>Fri, 16 Apr 2021 00:00:00 GMT</t>
  </si>
  <si>
    <t>Mon, 19 Apr 2021 00:00:00 GMT</t>
  </si>
  <si>
    <t>Tue, 20 Apr 2021 00:00:00 GMT</t>
  </si>
  <si>
    <t>Wed, 21 Apr 2021 00:00:00 GMT</t>
  </si>
  <si>
    <t>Thu, 22 Apr 2021 00:00:00 GMT</t>
  </si>
  <si>
    <t>Fri, 23 Apr 2021 00:00:00 GMT</t>
  </si>
  <si>
    <t>Mon, 26 Apr 2021 00:00:00 GMT</t>
  </si>
  <si>
    <t>Tue, 27 Apr 2021 00:00:00 GMT</t>
  </si>
  <si>
    <t>Wed, 28 Apr 2021 00:00:00 GMT</t>
  </si>
  <si>
    <t>Thu, 29 Apr 2021 00:00:00 GMT</t>
  </si>
  <si>
    <t>Fri, 30 Apr 2021 00:00:00 GMT</t>
  </si>
  <si>
    <t>Mon, 03 May 2021 00:00:00 GMT</t>
  </si>
  <si>
    <t>Tue, 04 May 2021 00:00:00 GMT</t>
  </si>
  <si>
    <t>Wed, 05 May 2021 00:00:00 GMT</t>
  </si>
  <si>
    <t>Thu, 06 May 2021 00:00:00 GMT</t>
  </si>
  <si>
    <t>Fri, 07 May 2021 00:00:00 GMT</t>
  </si>
  <si>
    <t>Mon, 10 May 2021 00:00:00 GMT</t>
  </si>
  <si>
    <t>Tue, 11 May 2021 00:00:00 GMT</t>
  </si>
  <si>
    <t>Wed, 12 May 2021 00:00:00 GMT</t>
  </si>
  <si>
    <t>Thu, 13 May 2021 00:00:00 GMT</t>
  </si>
  <si>
    <t>Fri, 14 May 2021 00:00:00 GMT</t>
  </si>
  <si>
    <t>Mon, 17 May 2021 00:00:00 GMT</t>
  </si>
  <si>
    <t>Tue, 18 May 2021 00:00:00 GMT</t>
  </si>
  <si>
    <t>Wed, 19 May 2021 00:00:00 GMT</t>
  </si>
  <si>
    <t>Thu, 20 May 2021 00:00:00 GMT</t>
  </si>
  <si>
    <t>Fri, 21 May 2021 00:00:00 GMT</t>
  </si>
  <si>
    <t>Mon, 24 May 2021 00:00:00 GMT</t>
  </si>
  <si>
    <t>Tue, 25 May 2021 00:00:00 GMT</t>
  </si>
  <si>
    <t>Wed, 26 May 2021 00:00:00 GMT</t>
  </si>
  <si>
    <t>Thu, 27 May 2021 00:00:00 GMT</t>
  </si>
  <si>
    <t>Fri, 28 May 2021 00:00:00 GMT</t>
  </si>
  <si>
    <t>Tue, 01 Jun 2021 00:00:00 GMT</t>
  </si>
  <si>
    <t>Wed, 02 Jun 2021 00:00:00 GMT</t>
  </si>
  <si>
    <t>Thu, 03 Jun 2021 00:00:00 GMT</t>
  </si>
  <si>
    <t>Fri, 04 Jun 2021 00:00:00 GMT</t>
  </si>
  <si>
    <t>Mon, 07 Jun 2021 00:00:00 GMT</t>
  </si>
  <si>
    <t>Tue, 08 Jun 2021 00:00:00 GMT</t>
  </si>
  <si>
    <t>Wed, 09 Jun 2021 00:00:00 GMT</t>
  </si>
  <si>
    <t>Thu, 10 Jun 2021 00:00:00 GMT</t>
  </si>
  <si>
    <t>Fri, 11 Jun 2021 00:00:00 GMT</t>
  </si>
  <si>
    <t>Mon, 14 Jun 2021 00:00:00 GMT</t>
  </si>
  <si>
    <t>Tue, 15 Jun 2021 00:00:00 GMT</t>
  </si>
  <si>
    <t>Wed, 16 Jun 2021 00:00:00 GMT</t>
  </si>
  <si>
    <t>Thu, 17 Jun 2021 00:00:00 GMT</t>
  </si>
  <si>
    <t>Fri, 18 Jun 2021 00:00:00 GMT</t>
  </si>
  <si>
    <t>Mon, 21 Jun 2021 00:00:00 GMT</t>
  </si>
  <si>
    <t>Tue, 22 Jun 2021 00:00:00 GMT</t>
  </si>
  <si>
    <t>Wed, 23 Jun 2021 00:00:00 GMT</t>
  </si>
  <si>
    <t>Thu, 24 Jun 2021 00:00:00 GMT</t>
  </si>
  <si>
    <t>Fri, 25 Jun 2021 00:00:00 GMT</t>
  </si>
  <si>
    <t>Mon, 28 Jun 2021 00:00:00 GMT</t>
  </si>
  <si>
    <t>Tue, 29 Jun 2021 00:00:00 GMT</t>
  </si>
  <si>
    <t>Wed, 30 Jun 2021 00:00:00 GMT</t>
  </si>
  <si>
    <t>Thu, 01 Jul 2021 00:00:00 GMT</t>
  </si>
  <si>
    <t>Fri, 02 Jul 2021 00:00:00 GMT</t>
  </si>
  <si>
    <t>Tue, 06 Jul 2021 00:00:00 GMT</t>
  </si>
  <si>
    <t>Wed, 07 Jul 2021 00:00:00 GMT</t>
  </si>
  <si>
    <t>Thu, 08 Jul 2021 00:00:00 GMT</t>
  </si>
  <si>
    <t>Fri, 09 Jul 2021 00:00:00 GMT</t>
  </si>
  <si>
    <t>Mon, 12 Jul 2021 00:00:00 GMT</t>
  </si>
  <si>
    <t>Tue, 13 Jul 2021 00:00:00 GMT</t>
  </si>
  <si>
    <t>Wed, 14 Jul 2021 00:00:00 GMT</t>
  </si>
  <si>
    <t>Thu, 15 Jul 2021 00:00:00 GMT</t>
  </si>
  <si>
    <t>Fri, 16 Jul 2021 00:00:00 GMT</t>
  </si>
  <si>
    <t>Mon, 19 Jul 2021 00:00:00 GMT</t>
  </si>
  <si>
    <t>Tue, 20 Jul 2021 00:00:00 GMT</t>
  </si>
  <si>
    <t>Wed, 21 Jul 2021 00:00:00 GMT</t>
  </si>
  <si>
    <t>Thu, 22 Jul 2021 00:00:00 GMT</t>
  </si>
  <si>
    <t>Fri, 23 Jul 2021 00:00:00 GMT</t>
  </si>
  <si>
    <t>Mon, 26 Jul 2021 00:00:00 GMT</t>
  </si>
  <si>
    <t>Tue, 27 Jul 2021 00:00:00 GMT</t>
  </si>
  <si>
    <t>Wed, 28 Jul 2021 00:00:00 GMT</t>
  </si>
  <si>
    <t>Thu, 29 Jul 2021 00:00:00 GMT</t>
  </si>
  <si>
    <t>Fri, 30 Jul 2021 00:00:00 GMT</t>
  </si>
  <si>
    <t>Mon, 02 Aug 2021 00:00:00 GMT</t>
  </si>
  <si>
    <t>Tue, 03 Aug 2021 00:00:00 GMT</t>
  </si>
  <si>
    <t>Wed, 04 Aug 2021 00:00:00 GMT</t>
  </si>
  <si>
    <t>Thu, 05 Aug 2021 00:00:00 GMT</t>
  </si>
  <si>
    <t>Fri, 06 Aug 2021 00:00:00 GMT</t>
  </si>
  <si>
    <t>Mon, 09 Aug 2021 00:00:00 GMT</t>
  </si>
  <si>
    <t>Tue, 10 Aug 2021 00:00:00 GMT</t>
  </si>
  <si>
    <t>Wed, 11 Aug 2021 00:00:00 GMT</t>
  </si>
  <si>
    <t>Thu, 12 Aug 2021 00:00:00 GMT</t>
  </si>
  <si>
    <t>Fri, 13 Aug 2021 00:00:00 GMT</t>
  </si>
  <si>
    <t>Mon, 16 Aug 2021 00:00:00 GMT</t>
  </si>
  <si>
    <t>Tue, 17 Aug 2021 00:00:00 GMT</t>
  </si>
  <si>
    <t>Wed, 18 Aug 2021 00:00:00 GMT</t>
  </si>
  <si>
    <t>Thu, 19 Aug 2021 00:00:00 GMT</t>
  </si>
  <si>
    <t>Fri, 20 Aug 2021 00:00:00 GMT</t>
  </si>
  <si>
    <t>Mon, 23 Aug 2021 00:00:00 GMT</t>
  </si>
  <si>
    <t>Tue, 24 Aug 2021 00:00:00 GMT</t>
  </si>
  <si>
    <t>Wed, 25 Aug 2021 00:00:00 GMT</t>
  </si>
  <si>
    <t>Thu, 26 Aug 2021 00:00:00 GMT</t>
  </si>
  <si>
    <t>Fri, 27 Aug 2021 00:00:00 GMT</t>
  </si>
  <si>
    <t>Mon, 30 Aug 2021 00:00:00 GMT</t>
  </si>
  <si>
    <t>Tue, 31 Aug 2021 00:00:00 GMT</t>
  </si>
  <si>
    <t>Wed, 01 Sep 2021 00:00:00 GMT</t>
  </si>
  <si>
    <t>Thu, 02 Sep 2021 00:00:00 GMT</t>
  </si>
  <si>
    <t>Fri, 03 Sep 2021 00:00:00 GMT</t>
  </si>
  <si>
    <t>Tue, 07 Sep 2021 00:00:00 GMT</t>
  </si>
  <si>
    <t>Wed, 08 Sep 2021 00:00:00 GMT</t>
  </si>
  <si>
    <t>Thu, 09 Sep 2021 00:00:00 GMT</t>
  </si>
  <si>
    <t>Fri, 10 Sep 2021 00:00:00 GMT</t>
  </si>
  <si>
    <t>Mon, 13 Sep 2021 00:00:00 GMT</t>
  </si>
  <si>
    <t>Tue, 14 Sep 2021 00:00:00 GMT</t>
  </si>
  <si>
    <t>Wed, 15 Sep 2021 00:00:00 GMT</t>
  </si>
  <si>
    <t>Thu, 16 Sep 2021 00:00:00 GMT</t>
  </si>
  <si>
    <t>Fri, 17 Sep 2021 00:00:00 GMT</t>
  </si>
  <si>
    <t>Mon, 20 Sep 2021 00:00:00 GMT</t>
  </si>
  <si>
    <t>Tue, 21 Sep 2021 00:00:00 GMT</t>
  </si>
  <si>
    <t>Wed, 22 Sep 2021 00:00:00 GMT</t>
  </si>
  <si>
    <t>Thu, 23 Sep 2021 00:00:00 GMT</t>
  </si>
  <si>
    <t>Fri, 24 Sep 2021 00:00:00 GMT</t>
  </si>
  <si>
    <t>Mon, 27 Sep 2021 00:00:00 GMT</t>
  </si>
  <si>
    <t>Tue, 28 Sep 2021 00:00:00 GMT</t>
  </si>
  <si>
    <t>Wed, 29 Sep 2021 00:00:00 GMT</t>
  </si>
  <si>
    <t>Thu, 30 Sep 2021 00:00:00 GMT</t>
  </si>
  <si>
    <t>Fri, 01 Oct 2021 00:00:00 GMT</t>
  </si>
  <si>
    <t>Mon, 04 Oct 2021 00:00:00 GMT</t>
  </si>
  <si>
    <t>Tue, 05 Oct 2021 00:00:00 GMT</t>
  </si>
  <si>
    <t>Wed, 06 Oct 2021 00:00:00 GMT</t>
  </si>
  <si>
    <t>Thu, 07 Oct 2021 00:00:00 GMT</t>
  </si>
  <si>
    <t>Fri, 08 Oct 2021 00:00:00 GMT</t>
  </si>
  <si>
    <t>Mon, 11 Oct 2021 00:00:00 GMT</t>
  </si>
  <si>
    <t>Tue, 12 Oct 2021 00:00:00 GMT</t>
  </si>
  <si>
    <t>Wed, 13 Oct 2021 00:00:00 GMT</t>
  </si>
  <si>
    <t>Thu, 14 Oct 2021 00:00:00 GMT</t>
  </si>
  <si>
    <t>Fri, 15 Oct 2021 00:00:00 GMT</t>
  </si>
  <si>
    <t>Mon, 18 Oct 2021 00:00:00 GMT</t>
  </si>
  <si>
    <t>Tue, 19 Oct 2021 00:00:00 GMT</t>
  </si>
  <si>
    <t>Wed, 20 Oct 2021 00:00:00 GMT</t>
  </si>
  <si>
    <t>Thu, 21 Oct 2021 00:00:00 GMT</t>
  </si>
  <si>
    <t>Fri, 22 Oct 2021 00:00:00 GMT</t>
  </si>
  <si>
    <t>Mon, 25 Oct 2021 00:00:00 GMT</t>
  </si>
  <si>
    <t>Tue, 26 Oct 2021 00:00:00 GMT</t>
  </si>
  <si>
    <t>Wed, 27 Oct 2021 00:00:00 GMT</t>
  </si>
  <si>
    <t>Thu, 28 Oct 2021 00:00:00 GMT</t>
  </si>
  <si>
    <t>Fri, 29 Oct 2021 00:00:00 GMT</t>
  </si>
  <si>
    <t>Mon, 01 Nov 2021 00:00:00 GMT</t>
  </si>
  <si>
    <t>Tue, 02 Nov 2021 00:00:00 GMT</t>
  </si>
  <si>
    <t>Wed, 03 Nov 2021 00:00:00 GMT</t>
  </si>
  <si>
    <t>Thu, 04 Nov 2021 00:00:00 GMT</t>
  </si>
  <si>
    <t>Fri, 05 Nov 2021 00:00:00 GMT</t>
  </si>
  <si>
    <t>Mon, 08 Nov 2021 00:00:00 GMT</t>
  </si>
  <si>
    <t>Tue, 09 Nov 2021 00:00:00 GMT</t>
  </si>
  <si>
    <t>Wed, 10 Nov 2021 00:00:00 GMT</t>
  </si>
  <si>
    <t>Thu, 11 Nov 2021 00:00:00 GMT</t>
  </si>
  <si>
    <t>Fri, 12 Nov 2021 00:00:00 GMT</t>
  </si>
  <si>
    <t>Mon, 15 Nov 2021 00:00:00 GMT</t>
  </si>
  <si>
    <t>Tue, 16 Nov 2021 00:00:00 GMT</t>
  </si>
  <si>
    <t>Wed, 17 Nov 2021 00:00:00 GMT</t>
  </si>
  <si>
    <t>Thu, 18 Nov 2021 00:00:00 GMT</t>
  </si>
  <si>
    <t>Fri, 19 Nov 2021 00:00:00 GMT</t>
  </si>
  <si>
    <t>Mon, 22 Nov 2021 00:00:00 GMT</t>
  </si>
  <si>
    <t>Tue, 23 Nov 2021 00:00:00 GMT</t>
  </si>
  <si>
    <t>Wed, 24 Nov 2021 00:00:00 GMT</t>
  </si>
  <si>
    <t>Fri, 26 Nov 2021 00:00:00 GMT</t>
  </si>
  <si>
    <t>Mon, 29 Nov 2021 00:00:00 GMT</t>
  </si>
  <si>
    <t>Tue, 30 Nov 2021 00:00:00 GMT</t>
  </si>
  <si>
    <t>Wed, 01 Dec 2021 00:00:00 GMT</t>
  </si>
  <si>
    <t>Thu, 02 Dec 2021 00:00:00 GMT</t>
  </si>
  <si>
    <t>Fri, 03 Dec 2021 00:00:00 GMT</t>
  </si>
  <si>
    <t>Mon, 06 Dec 2021 00:00:00 GMT</t>
  </si>
  <si>
    <t>Tue, 07 Dec 2021 00:00:00 GMT</t>
  </si>
  <si>
    <t>Wed, 08 Dec 2021 00:00:00 GMT</t>
  </si>
  <si>
    <t>Thu, 09 Dec 2021 00:00:00 GMT</t>
  </si>
  <si>
    <t>Fri, 10 Dec 2021 00:00:00 GMT</t>
  </si>
  <si>
    <t>Mon, 13 Dec 2021 00:00:00 GMT</t>
  </si>
  <si>
    <t>Tue, 14 Dec 2021 00:00:00 GMT</t>
  </si>
  <si>
    <t>Wed, 15 Dec 2021 00:00:00 GMT</t>
  </si>
  <si>
    <t>Thu, 16 Dec 2021 00:00:00 GMT</t>
  </si>
  <si>
    <t>Fri, 17 Dec 2021 00:00:00 GMT</t>
  </si>
  <si>
    <t>Mon, 20 Dec 2021 00:00:00 GMT</t>
  </si>
  <si>
    <t>Tue, 21 Dec 2021 00:00:00 GMT</t>
  </si>
  <si>
    <t>Wed, 22 Dec 2021 00:00:00 GMT</t>
  </si>
  <si>
    <t>Thu, 23 Dec 2021 00:00:00 GMT</t>
  </si>
  <si>
    <t>Mon, 27 Dec 2021 00:00:00 GMT</t>
  </si>
  <si>
    <t>Tue, 28 Dec 2021 00:00:00 GMT</t>
  </si>
  <si>
    <t>Wed, 29 Dec 2021 00:00:00 GMT</t>
  </si>
  <si>
    <t>Thu, 30 Dec 2021 00:00:00 GMT</t>
  </si>
  <si>
    <t>Fri, 31 Dec 2021 00:00:00 GMT</t>
  </si>
  <si>
    <t>Mon, 03 Jan 2022 00:00:00 GMT</t>
  </si>
  <si>
    <t>Tue, 04 Jan 2022 00:00:00 GMT</t>
  </si>
  <si>
    <t>Wed, 05 Jan 2022 00:00:00 GMT</t>
  </si>
  <si>
    <t>Thu, 06 Jan 2022 00:00:00 GMT</t>
  </si>
  <si>
    <t>Fri, 07 Jan 2022 00:00:00 GMT</t>
  </si>
  <si>
    <t>Mon, 10 Jan 2022 00:00:00 GMT</t>
  </si>
  <si>
    <t>Tue, 11 Jan 2022 00:00:00 GMT</t>
  </si>
  <si>
    <t>Wed, 12 Jan 2022 00:00:00 GMT</t>
  </si>
  <si>
    <t>Thu, 13 Jan 2022 00:00:00 GMT</t>
  </si>
  <si>
    <t>Fri, 14 Jan 2022 00:00:00 GMT</t>
  </si>
  <si>
    <t>Tue, 18 Jan 2022 00:00:00 GMT</t>
  </si>
  <si>
    <t>Wed, 19 Jan 2022 00:00:00 GMT</t>
  </si>
  <si>
    <t>Thu, 20 Jan 2022 00:00:00 GMT</t>
  </si>
  <si>
    <t>Fri, 21 Jan 2022 00:00:00 GMT</t>
  </si>
  <si>
    <t>Mon, 24 Jan 2022 00:00:00 GMT</t>
  </si>
  <si>
    <t>Tue, 25 Jan 2022 00:00:00 GMT</t>
  </si>
  <si>
    <t>Wed, 26 Jan 2022 00:00:00 GMT</t>
  </si>
  <si>
    <t>Thu, 27 Jan 2022 00:00:00 GMT</t>
  </si>
  <si>
    <t>Fri, 28 Jan 2022 00:00:00 GMT</t>
  </si>
  <si>
    <t>Mon, 31 Jan 2022 00:00:00 GMT</t>
  </si>
  <si>
    <t>Tue, 01 Feb 2022 00:00:00 GMT</t>
  </si>
  <si>
    <t>Wed, 02 Feb 2022 00:00:00 GMT</t>
  </si>
  <si>
    <t>Thu, 03 Feb 2022 00:00:00 GMT</t>
  </si>
  <si>
    <t>Fri, 04 Feb 2022 00:00:00 GMT</t>
  </si>
  <si>
    <t>Mon, 07 Feb 2022 00:00:00 GMT</t>
  </si>
  <si>
    <t>Tue, 08 Feb 2022 00:00:00 GMT</t>
  </si>
  <si>
    <t>Wed, 09 Feb 2022 00:00:00 GMT</t>
  </si>
  <si>
    <t>Thu, 10 Feb 2022 00:00:00 GMT</t>
  </si>
  <si>
    <t>Fri, 11 Feb 2022 00:00:00 GMT</t>
  </si>
  <si>
    <t>Mon, 14 Feb 2022 00:00:00 GMT</t>
  </si>
  <si>
    <t>Tue, 15 Feb 2022 00:00:00 GMT</t>
  </si>
  <si>
    <t>Wed, 16 Feb 2022 00:00:00 GMT</t>
  </si>
  <si>
    <t>Thu, 17 Feb 2022 00:00:00 GMT</t>
  </si>
  <si>
    <t>Fri, 18 Feb 2022 00:00:00 GMT</t>
  </si>
  <si>
    <t>Tue, 22 Feb 2022 00:00:00 GMT</t>
  </si>
  <si>
    <t>Wed, 23 Feb 2022 00:00:00 GMT</t>
  </si>
  <si>
    <t>Thu, 24 Feb 2022 00:00:00 GMT</t>
  </si>
  <si>
    <t>Fri, 25 Feb 2022 00:00:00 GMT</t>
  </si>
  <si>
    <t>Mon, 28 Feb 2022 00:00:00 GMT</t>
  </si>
  <si>
    <t>Tue, 01 Mar 2022 00:00:00 GMT</t>
  </si>
  <si>
    <t>Wed, 02 Mar 2022 00:00:00 GMT</t>
  </si>
  <si>
    <t>Thu, 03 Mar 2022 00:00:00 GMT</t>
  </si>
  <si>
    <t>Fri, 04 Mar 2022 00:00:00 GMT</t>
  </si>
  <si>
    <t>Mon, 07 Mar 2022 00:00:00 GMT</t>
  </si>
  <si>
    <t>Tue, 08 Mar 2022 00:00:00 GMT</t>
  </si>
  <si>
    <t>Wed, 09 Mar 2022 00:00:00 GMT</t>
  </si>
  <si>
    <t>Thu, 10 Mar 2022 00:00:00 GMT</t>
  </si>
  <si>
    <t>Fri, 11 Mar 2022 00:00:00 GMT</t>
  </si>
  <si>
    <t>Mon, 14 Mar 2022 00:00:00 GMT</t>
  </si>
  <si>
    <t>Tue, 15 Mar 2022 00:00:00 GMT</t>
  </si>
  <si>
    <t>Wed, 16 Mar 2022 00:00:00 GMT</t>
  </si>
  <si>
    <t>Thu, 17 Mar 2022 00:00:00 GMT</t>
  </si>
  <si>
    <t>Fri, 18 Mar 2022 00:00:00 GMT</t>
  </si>
  <si>
    <t>Mon, 21 Mar 2022 00:00:00 GMT</t>
  </si>
  <si>
    <t>Tue, 22 Mar 2022 00:00:00 GMT</t>
  </si>
  <si>
    <t>Wed, 23 Mar 2022 00:00:00 GMT</t>
  </si>
  <si>
    <t>Thu, 24 Mar 2022 00:00:00 GMT</t>
  </si>
  <si>
    <t>Fri, 25 Mar 2022 00:00:00 GMT</t>
  </si>
  <si>
    <t>Mon, 28 Mar 2022 00:00:00 GMT</t>
  </si>
  <si>
    <t>Tue, 29 Mar 2022 00:00:00 GMT</t>
  </si>
  <si>
    <t>Wed, 30 Mar 2022 00:00:00 GMT</t>
  </si>
  <si>
    <t>Thu, 31 Mar 2022 00:00:00 GMT</t>
  </si>
  <si>
    <t>Fri, 01 Apr 2022 00:00:00 GMT</t>
  </si>
  <si>
    <t>Mon, 04 Apr 2022 00:00:00 GMT</t>
  </si>
  <si>
    <t>Tue, 05 Apr 2022 00:00:00 GMT</t>
  </si>
  <si>
    <t>Wed, 06 Apr 2022 00:00:00 GMT</t>
  </si>
  <si>
    <t>Thu, 07 Apr 2022 00:00:00 GMT</t>
  </si>
  <si>
    <t>Fri, 08 Apr 2022 00:00:00 GMT</t>
  </si>
  <si>
    <t>Mon, 11 Apr 2022 00:00:00 GMT</t>
  </si>
  <si>
    <t>Tue, 12 Apr 2022 00:00:00 GMT</t>
  </si>
  <si>
    <t>Wed, 13 Apr 2022 00:00:00 GMT</t>
  </si>
  <si>
    <t>Thu, 14 Apr 2022 00:00:00 GMT</t>
  </si>
  <si>
    <t>Mon, 18 Apr 2022 00:00:00 GMT</t>
  </si>
  <si>
    <t>Tue, 19 Apr 2022 00:00:00 GMT</t>
  </si>
  <si>
    <t>Wed, 20 Apr 2022 00:00:00 GMT</t>
  </si>
  <si>
    <t>Thu, 21 Apr 2022 00:00:00 GMT</t>
  </si>
  <si>
    <t>Fri, 22 Apr 2022 00:00:00 GMT</t>
  </si>
  <si>
    <t>Mon, 25 Apr 2022 00:00:00 GMT</t>
  </si>
  <si>
    <t>Tue, 26 Apr 2022 00:00:00 GMT</t>
  </si>
  <si>
    <t>Wed, 27 Apr 2022 00:00:00 GMT</t>
  </si>
  <si>
    <t>Thu, 28 Apr 2022 00:00:00 GMT</t>
  </si>
  <si>
    <t>Fri, 29 Apr 2022 00:00:00 GMT</t>
  </si>
  <si>
    <t>Mon, 02 May 2022 00:00:00 GMT</t>
  </si>
  <si>
    <t>Tue, 03 May 2022 00:00:00 GMT</t>
  </si>
  <si>
    <t>Wed, 04 May 2022 00:00:00 GMT</t>
  </si>
  <si>
    <t>Thu, 05 May 2022 00:00:00 GMT</t>
  </si>
  <si>
    <t>Fri, 06 May 2022 00:00:00 GMT</t>
  </si>
  <si>
    <t>Mon, 09 May 2022 00:00:00 GMT</t>
  </si>
  <si>
    <t>Tue, 10 May 2022 00:00:00 GMT</t>
  </si>
  <si>
    <t>Wed, 11 May 2022 00:00:00 GMT</t>
  </si>
  <si>
    <t>Thu, 12 May 2022 00:00:00 GMT</t>
  </si>
  <si>
    <t>Fri, 13 May 2022 00:00:00 GMT</t>
  </si>
  <si>
    <t>Mon, 16 May 2022 00:00:00 GMT</t>
  </si>
  <si>
    <t>Tue, 17 May 2022 00:00:00 GMT</t>
  </si>
  <si>
    <t>Wed, 18 May 2022 00:00:00 GMT</t>
  </si>
  <si>
    <t>Thu, 19 May 2022 00:00:00 GMT</t>
  </si>
  <si>
    <t>Fri, 20 May 2022 00:00:00 GMT</t>
  </si>
  <si>
    <t>Mon, 23 May 2022 00:00:00 GMT</t>
  </si>
  <si>
    <t>Tue, 24 May 2022 00:00:00 GMT</t>
  </si>
  <si>
    <t>Wed, 25 May 2022 00:00:00 GMT</t>
  </si>
  <si>
    <t>Thu, 26 May 2022 00:00:00 GMT</t>
  </si>
  <si>
    <t>Fri, 27 May 2022 00:00:00 GMT</t>
  </si>
  <si>
    <t>Tue, 31 May 2022 00:00:00 GMT</t>
  </si>
  <si>
    <t>Wed, 01 Jun 2022 00:00:00 GMT</t>
  </si>
  <si>
    <t>Thu, 02 Jun 2022 00:00:00 GMT</t>
  </si>
  <si>
    <t>Fri, 03 Jun 2022 00:00:00 GMT</t>
  </si>
  <si>
    <t>Mon, 06 Jun 2022 00:00:00 GMT</t>
  </si>
  <si>
    <t>Tue, 07 Jun 2022 00:00:00 GMT</t>
  </si>
  <si>
    <t>Wed, 08 Jun 2022 00:00:00 GMT</t>
  </si>
  <si>
    <t>Thu, 09 Jun 2022 00:00:00 GMT</t>
  </si>
  <si>
    <t>Fri, 10 Jun 2022 00:00:00 GMT</t>
  </si>
  <si>
    <t>Mon, 13 Jun 2022 00:00:00 GMT</t>
  </si>
  <si>
    <t>Tue, 14 Jun 2022 00:00:00 GMT</t>
  </si>
  <si>
    <t>Wed, 15 Jun 2022 00:00:00 GMT</t>
  </si>
  <si>
    <t>Thu, 16 Jun 2022 00:00:00 GMT</t>
  </si>
  <si>
    <t>Fri, 17 Jun 2022 00:00:00 GMT</t>
  </si>
  <si>
    <t>Tue, 21 Jun 2022 00:00:00 GMT</t>
  </si>
  <si>
    <t>Wed, 22 Jun 2022 00:00:00 GMT</t>
  </si>
  <si>
    <t>Thu, 23 Jun 2022 00:00:00 GMT</t>
  </si>
  <si>
    <t>Fri, 24 Jun 2022 00:00:00 GMT</t>
  </si>
  <si>
    <t>Mon, 27 Jun 2022 00:00:00 GMT</t>
  </si>
  <si>
    <t>Tue, 28 Jun 2022 00:00:00 GMT</t>
  </si>
  <si>
    <t>Wed, 29 Jun 2022 00:00:00 GMT</t>
  </si>
  <si>
    <t>Thu, 30 Jun 2022 00:00:00 GMT</t>
  </si>
  <si>
    <t>Fri, 01 Jul 2022 00:00:00 GMT</t>
  </si>
  <si>
    <t>Tue, 05 Jul 2022 00:00:00 GMT</t>
  </si>
  <si>
    <t>Wed, 06 Jul 2022 00:00:00 GMT</t>
  </si>
  <si>
    <t>Thu, 07 Jul 2022 00:00:00 GMT</t>
  </si>
  <si>
    <t>Fri, 08 Jul 2022 00:00:00 GMT</t>
  </si>
  <si>
    <t>Mon, 11 Jul 2022 00:00:00 GMT</t>
  </si>
  <si>
    <t>Tue, 12 Jul 2022 00:00:00 GMT</t>
  </si>
  <si>
    <t>Wed, 13 Jul 2022 00:00:00 GMT</t>
  </si>
  <si>
    <t>Thu, 14 Jul 2022 00:00:00 GMT</t>
  </si>
  <si>
    <t>Fri, 15 Jul 2022 00:00:00 GMT</t>
  </si>
  <si>
    <t>Mon, 18 Jul 2022 00:00:00 GMT</t>
  </si>
  <si>
    <t>Tue, 19 Jul 2022 00:00:00 GMT</t>
  </si>
  <si>
    <t>Wed, 20 Jul 2022 00:00:00 GMT</t>
  </si>
  <si>
    <t>Thu, 21 Jul 2022 00:00:00 GMT</t>
  </si>
  <si>
    <t>Fri, 22 Jul 2022 00:00:00 GMT</t>
  </si>
  <si>
    <t>Mon, 25 Jul 2022 00:00:00 GMT</t>
  </si>
  <si>
    <t>Tue, 26 Jul 2022 00:00:00 GMT</t>
  </si>
  <si>
    <t>Wed, 27 Jul 2022 00:00:00 GMT</t>
  </si>
  <si>
    <t>Thu, 28 Jul 2022 00:00:00 GMT</t>
  </si>
  <si>
    <t>Fri, 29 Jul 2022 00:00:00 GMT</t>
  </si>
  <si>
    <t>Mon, 01 Aug 2022 00:00:00 GMT</t>
  </si>
  <si>
    <t>Tue, 02 Aug 2022 00:00:00 GMT</t>
  </si>
  <si>
    <t>Wed, 03 Aug 2022 00:00:00 GMT</t>
  </si>
  <si>
    <t>Thu, 04 Aug 2022 00:00:00 GMT</t>
  </si>
  <si>
    <t>Fri, 05 Aug 2022 00:00:00 GMT</t>
  </si>
  <si>
    <t>Mon, 08 Aug 2022 00:00:00 GMT</t>
  </si>
  <si>
    <t>Tue, 09 Aug 2022 00:00:00 GMT</t>
  </si>
  <si>
    <t>Wed, 10 Aug 2022 00:00:00 GMT</t>
  </si>
  <si>
    <t>Thu, 11 Aug 2022 00:00:00 GMT</t>
  </si>
  <si>
    <t>Fri, 12 Aug 2022 00:00:00 GMT</t>
  </si>
  <si>
    <t>Mon, 15 Aug 2022 00:00:00 GMT</t>
  </si>
  <si>
    <t>Tue, 16 Aug 2022 00:00:00 GMT</t>
  </si>
  <si>
    <t>Wed, 17 Aug 2022 00:00:00 GMT</t>
  </si>
  <si>
    <t>Thu, 18 Aug 2022 00:00:00 GMT</t>
  </si>
  <si>
    <t>Fri, 19 Aug 2022 00:00:00 GMT</t>
  </si>
  <si>
    <t>Mon, 22 Aug 2022 00:00:00 GMT</t>
  </si>
  <si>
    <t>Tue, 23 Aug 2022 00:00:00 GMT</t>
  </si>
  <si>
    <t>Wed, 24 Aug 2022 00:00:00 GMT</t>
  </si>
  <si>
    <t>Thu, 25 Aug 2022 00:00:00 GMT</t>
  </si>
  <si>
    <t>Fri, 26 Aug 2022 00:00:00 GMT</t>
  </si>
  <si>
    <t>Mon, 29 Aug 2022 00:00:00 GMT</t>
  </si>
  <si>
    <t>Tue, 30 Aug 2022 00:00:00 GMT</t>
  </si>
  <si>
    <t>Wed, 31 Aug 2022 00:00:00 GMT</t>
  </si>
  <si>
    <t>Thu, 01 Sep 2022 00:00:00 GMT</t>
  </si>
  <si>
    <t>Fri, 02 Sep 2022 00:00:00 GMT</t>
  </si>
  <si>
    <t>Tue, 06 Sep 2022 00:00:00 GMT</t>
  </si>
  <si>
    <t>Wed, 07 Sep 2022 00:00:00 GMT</t>
  </si>
  <si>
    <t>Thu, 08 Sep 2022 00:00:00 GMT</t>
  </si>
  <si>
    <t>Fri, 09 Sep 2022 00:00:00 GMT</t>
  </si>
  <si>
    <t>Mon, 12 Sep 2022 00:00:00 GMT</t>
  </si>
  <si>
    <t>Tue, 13 Sep 2022 00:00:00 GMT</t>
  </si>
  <si>
    <t>Wed, 14 Sep 2022 00:00:00 GMT</t>
  </si>
  <si>
    <t>Thu, 15 Sep 2022 00:00:00 GMT</t>
  </si>
  <si>
    <t>Fri, 16 Sep 2022 00:00:00 GMT</t>
  </si>
  <si>
    <t>Mon, 19 Sep 2022 00:00:00 GMT</t>
  </si>
  <si>
    <t>Tue, 20 Sep 2022 00:00:00 GMT</t>
  </si>
  <si>
    <t>Wed, 21 Sep 2022 00:00:00 GMT</t>
  </si>
  <si>
    <t>Thu, 22 Sep 2022 00:00:00 GMT</t>
  </si>
  <si>
    <t>Fri, 23 Sep 2022 00:00:00 GMT</t>
  </si>
  <si>
    <t>Mon, 26 Sep 2022 00:00:00 GMT</t>
  </si>
  <si>
    <t>Tue, 27 Sep 2022 00:00:00 GMT</t>
  </si>
  <si>
    <t>Wed, 28 Sep 2022 00:00:00 GMT</t>
  </si>
  <si>
    <t>Thu, 29 Sep 2022 00:00:00 GMT</t>
  </si>
  <si>
    <t>Fri, 30 Sep 2022 00:00:00 GMT</t>
  </si>
  <si>
    <t>Mon, 03 Oct 2022 00:00:00 GMT</t>
  </si>
  <si>
    <t>Tue, 04 Oct 2022 00:00:00 GMT</t>
  </si>
  <si>
    <t>Wed, 05 Oct 2022 00:00:00 GMT</t>
  </si>
  <si>
    <t>Thu, 06 Oct 2022 00:00:00 GMT</t>
  </si>
  <si>
    <t>Fri, 07 Oct 2022 00:00:00 GMT</t>
  </si>
  <si>
    <t>Mon, 10 Oct 2022 00:00:00 GMT</t>
  </si>
  <si>
    <t>Tue, 11 Oct 2022 00:00:00 GMT</t>
  </si>
  <si>
    <t>Wed, 12 Oct 2022 00:00:00 GMT</t>
  </si>
  <si>
    <t>Thu, 13 Oct 2022 00:00:00 GMT</t>
  </si>
  <si>
    <t>Fri, 14 Oct 2022 00:00:00 GMT</t>
  </si>
  <si>
    <t>Mon, 17 Oct 2022 00:00:00 GMT</t>
  </si>
  <si>
    <t>Tue, 18 Oct 2022 00:00:00 GMT</t>
  </si>
  <si>
    <t>Wed, 19 Oct 2022 00:00:00 GMT</t>
  </si>
  <si>
    <t>Thu, 20 Oct 2022 00:00:00 GMT</t>
  </si>
  <si>
    <t>Fri, 21 Oct 2022 00:00:00 GMT</t>
  </si>
  <si>
    <t>Mon, 24 Oct 2022 00:00:00 GMT</t>
  </si>
  <si>
    <t>Tue, 25 Oct 2022 00:00:00 GMT</t>
  </si>
  <si>
    <t>Wed, 26 Oct 2022 00:00:00 GMT</t>
  </si>
  <si>
    <t>Thu, 27 Oct 2022 00:00:00 GMT</t>
  </si>
  <si>
    <t>Fri, 28 Oct 2022 00:00:00 GMT</t>
  </si>
  <si>
    <t>Mon, 31 Oct 2022 00:00:00 GMT</t>
  </si>
  <si>
    <t>Tue, 01 Nov 2022 00:00:00 GMT</t>
  </si>
  <si>
    <t>Wed, 02 Nov 2022 00:00:00 GMT</t>
  </si>
  <si>
    <t>Thu, 03 Nov 2022 00:00:00 GMT</t>
  </si>
  <si>
    <t>Fri, 04 Nov 2022 00:00:00 GMT</t>
  </si>
  <si>
    <t>Mon, 07 Nov 2022 00:00:00 GMT</t>
  </si>
  <si>
    <t>Tue, 08 Nov 2022 00:00:00 GMT</t>
  </si>
  <si>
    <t>Wed, 09 Nov 2022 00:00:00 GMT</t>
  </si>
  <si>
    <t>Thu, 10 Nov 2022 00:00:00 GMT</t>
  </si>
  <si>
    <t>Fri, 11 Nov 2022 00:00:00 GMT</t>
  </si>
  <si>
    <t>Mon, 14 Nov 2022 00:00:00 GMT</t>
  </si>
  <si>
    <t>Tue, 15 Nov 2022 00:00:00 GMT</t>
  </si>
  <si>
    <t>Wed, 16 Nov 2022 00:00:00 GMT</t>
  </si>
  <si>
    <t>Thu, 17 Nov 2022 00:00:00 GMT</t>
  </si>
  <si>
    <t>Fri, 18 Nov 2022 00:00:00 GMT</t>
  </si>
  <si>
    <t>Mon, 21 Nov 2022 00:00:00 GMT</t>
  </si>
  <si>
    <t>Tue, 22 Nov 2022 00:00:00 GMT</t>
  </si>
  <si>
    <t>Wed, 23 Nov 2022 00:00:00 GMT</t>
  </si>
  <si>
    <t>Fri, 25 Nov 2022 00:00:00 GMT</t>
  </si>
  <si>
    <t>Mon, 28 Nov 2022 00:00:00 GMT</t>
  </si>
  <si>
    <t>Tue, 29 Nov 2022 00:00:00 GMT</t>
  </si>
  <si>
    <t>Wed, 30 Nov 2022 00:00:00 GMT</t>
  </si>
  <si>
    <t>Thu, 01 Dec 2022 00:00:00 GMT</t>
  </si>
  <si>
    <t>Fri, 02 Dec 2022 00:00:00 GMT</t>
  </si>
  <si>
    <t>Mon, 05 Dec 2022 00:00:00 GMT</t>
  </si>
  <si>
    <t>Tue, 06 Dec 2022 00:00:00 GMT</t>
  </si>
  <si>
    <t>Wed, 07 Dec 2022 00:00:00 GMT</t>
  </si>
  <si>
    <t>Thu, 08 Dec 2022 00:00:00 GMT</t>
  </si>
  <si>
    <t>Fri, 09 Dec 2022 00:00:00 GMT</t>
  </si>
  <si>
    <t>Mon, 12 Dec 2022 00:00:00 GMT</t>
  </si>
  <si>
    <t>Tue, 13 Dec 2022 00:00:00 GMT</t>
  </si>
  <si>
    <t>Wed, 14 Dec 2022 00:00:00 GMT</t>
  </si>
  <si>
    <t>Thu, 15 Dec 2022 00:00:00 GMT</t>
  </si>
  <si>
    <t>Fri, 16 Dec 2022 00:00:00 GMT</t>
  </si>
  <si>
    <t>Mon, 19 Dec 2022 00:00:00 GMT</t>
  </si>
  <si>
    <t>Tue, 20 Dec 2022 00:00:00 GMT</t>
  </si>
  <si>
    <t>Wed, 21 Dec 2022 00:00:00 GMT</t>
  </si>
  <si>
    <t>Thu, 22 Dec 2022 00:00:00 GMT</t>
  </si>
  <si>
    <t>Fri, 23 Dec 2022 00:00:00 GMT</t>
  </si>
  <si>
    <t>Tue, 27 Dec 2022 00:00:00 GMT</t>
  </si>
  <si>
    <t>Wed, 28 Dec 2022 00:00:00 GMT</t>
  </si>
  <si>
    <t>Thu, 29 Dec 2022 00:00:00 GMT</t>
  </si>
  <si>
    <t>Fri, 30 Dec 2022 00:00:00 GMT</t>
  </si>
  <si>
    <t>Tue, 03 Jan 2023 00:00:00 GMT</t>
  </si>
  <si>
    <t>Wed, 04 Jan 2023 00:00:00 GMT</t>
  </si>
  <si>
    <t>Thu, 05 Jan 2023 00:00:00 GMT</t>
  </si>
  <si>
    <t>Fri, 06 Jan 2023 00:00:00 GMT</t>
  </si>
  <si>
    <t>Mon, 09 Jan 2023 00:00:00 GMT</t>
  </si>
  <si>
    <t>Tue, 10 Jan 2023 00:00:00 GMT</t>
  </si>
  <si>
    <t>Wed, 11 Jan 2023 00:00:00 GMT</t>
  </si>
  <si>
    <t>Thu, 12 Jan 2023 00:00:00 GMT</t>
  </si>
  <si>
    <t>Fri, 13 Jan 2023 00:00:00 GMT</t>
  </si>
  <si>
    <t>Tue, 17 Jan 2023 00:00:00 GMT</t>
  </si>
  <si>
    <t>Wed, 18 Jan 2023 00:00:00 GMT</t>
  </si>
  <si>
    <t>Thu, 19 Jan 2023 00:00:00 GMT</t>
  </si>
  <si>
    <t>Fri, 20 Jan 2023 00:00:00 GMT</t>
  </si>
  <si>
    <t>Mon, 23 Jan 2023 00:00:00 GMT</t>
  </si>
  <si>
    <t>Tue, 24 Jan 2023 00:00:00 GMT</t>
  </si>
  <si>
    <t>Wed, 25 Jan 2023 00:00:00 GMT</t>
  </si>
  <si>
    <t>Thu, 26 Jan 2023 00:00:00 GMT</t>
  </si>
  <si>
    <t>Fri, 27 Jan 2023 00:00:00 GMT</t>
  </si>
  <si>
    <t>Mon, 30 Jan 2023 00:00:00 GMT</t>
  </si>
  <si>
    <t>Tue, 31 Jan 2023 00:00:00 GMT</t>
  </si>
  <si>
    <t>Wed, 01 Feb 2023 00:00:00 GMT</t>
  </si>
  <si>
    <t>Thu, 02 Feb 2023 00:00:00 GMT</t>
  </si>
  <si>
    <t>Fri, 03 Feb 2023 00:00:00 GMT</t>
  </si>
  <si>
    <t>Mon, 06 Feb 2023 00:00:00 GMT</t>
  </si>
  <si>
    <t>Tue, 07 Feb 2023 00:00:00 GMT</t>
  </si>
  <si>
    <t>Wed, 08 Feb 2023 00:00:00 GMT</t>
  </si>
  <si>
    <t>Thu, 09 Feb 2023 00:00:00 GMT</t>
  </si>
  <si>
    <t>Fri, 10 Feb 2023 00:00:00 GMT</t>
  </si>
  <si>
    <t>Mon, 13 Feb 2023 00:00:00 GMT</t>
  </si>
  <si>
    <t>Tue, 14 Feb 2023 00:00:00 GMT</t>
  </si>
  <si>
    <t>Wed, 15 Feb 2023 00:00:00 GMT</t>
  </si>
  <si>
    <t>Thu, 16 Feb 2023 00:00:00 GMT</t>
  </si>
  <si>
    <t>Fri, 17 Feb 2023 00:00:00 GMT</t>
  </si>
  <si>
    <t>Tue, 21 Feb 2023 00:00:00 GMT</t>
  </si>
  <si>
    <t>Wed, 22 Feb 2023 00:00:00 GMT</t>
  </si>
  <si>
    <t>Thu, 23 Feb 2023 00:00:00 GMT</t>
  </si>
  <si>
    <t>Fri, 24 Feb 2023 00:00:00 GMT</t>
  </si>
  <si>
    <t>Mon, 27 Feb 2023 00:00:00 GMT</t>
  </si>
  <si>
    <t>Tue, 28 Feb 2023 00:00:00 GMT</t>
  </si>
  <si>
    <t>Wed, 01 Mar 2023 00:00:00 GMT</t>
  </si>
  <si>
    <t>Thu, 02 Mar 2023 00:00:00 GMT</t>
  </si>
  <si>
    <t>Fri, 03 Mar 2023 00:00:00 GMT</t>
  </si>
  <si>
    <t>Mon, 06 Mar 2023 00:00:00 GMT</t>
  </si>
  <si>
    <t>Tue, 07 Mar 2023 00:00:00 GMT</t>
  </si>
  <si>
    <t>Wed, 08 Mar 2023 00:00:00 GMT</t>
  </si>
  <si>
    <t>Thu, 09 Mar 2023 00:00:00 GMT</t>
  </si>
  <si>
    <t>Fri, 10 Mar 2023 00:00:00 GMT</t>
  </si>
  <si>
    <t>Mon, 13 Mar 2023 00:00:00 GMT</t>
  </si>
  <si>
    <t>Tue, 14 Mar 2023 00:00:00 GMT</t>
  </si>
  <si>
    <t>Wed, 15 Mar 2023 00:00:00 GMT</t>
  </si>
  <si>
    <t>Thu, 16 Mar 2023 00:00:00 GMT</t>
  </si>
  <si>
    <t>Fri, 17 Mar 2023 00:00:00 GMT</t>
  </si>
  <si>
    <t>Mon, 20 Mar 2023 00:00:00 GMT</t>
  </si>
  <si>
    <t>Tue, 21 Mar 2023 00:00:00 GMT</t>
  </si>
  <si>
    <t>Wed, 22 Mar 2023 00:00:00 GMT</t>
  </si>
  <si>
    <t>Thu, 23 Mar 2023 00:00:00 GMT</t>
  </si>
  <si>
    <t>Fri, 24 Mar 2023 00:00:00 GMT</t>
  </si>
  <si>
    <t>Mon, 27 Mar 2023 00:00:00 GMT</t>
  </si>
  <si>
    <t>Tue, 28 Mar 2023 00:00:00 GMT</t>
  </si>
  <si>
    <t>Wed, 29 Mar 2023 00:00:00 GMT</t>
  </si>
  <si>
    <t>Thu, 30 Mar 2023 00:00:00 GMT</t>
  </si>
  <si>
    <t>Fri, 31 Mar 2023 00:00:00 GMT</t>
  </si>
  <si>
    <t>Mon, 03 Apr 2023 00:00:00 GMT</t>
  </si>
  <si>
    <t>Tue, 04 Apr 2023 00:00:00 GMT</t>
  </si>
  <si>
    <t>Wed, 05 Apr 2023 00:00:00 GMT</t>
  </si>
  <si>
    <t>Thu, 06 Apr 2023 00:00:00 GMT</t>
  </si>
  <si>
    <t>Mon, 10 Apr 2023 00:00:00 GMT</t>
  </si>
  <si>
    <t>Tue, 11 Apr 2023 00:00:00 GMT</t>
  </si>
  <si>
    <t>Wed, 12 Apr 2023 00:00:00 GMT</t>
  </si>
  <si>
    <t>Thu, 13 Apr 2023 00:00:00 GMT</t>
  </si>
  <si>
    <t>Fri, 14 Apr 2023 00:00:00 GMT</t>
  </si>
  <si>
    <t>Mon, 17 Apr 2023 00:00:00 GMT</t>
  </si>
  <si>
    <t>Tue, 18 Apr 2023 00:00:00 GMT</t>
  </si>
  <si>
    <t>Wed, 19 Apr 2023 00:00:00 GMT</t>
  </si>
  <si>
    <t>Thu, 20 Apr 2023 00:00:00 GMT</t>
  </si>
  <si>
    <t>Fri, 21 Apr 2023 00:00:00 GMT</t>
  </si>
  <si>
    <t>Mon, 24 Apr 2023 00:00:00 GMT</t>
  </si>
  <si>
    <t>Tue, 25 Apr 2023 00:00:00 GMT</t>
  </si>
  <si>
    <t>Wed, 26 Apr 2023 00:00:00 GMT</t>
  </si>
  <si>
    <t>Thu, 27 Apr 2023 00:00:00 GMT</t>
  </si>
  <si>
    <t>Fri, 28 Apr 2023 00:00:00 GMT</t>
  </si>
  <si>
    <t>Mon, 01 May 2023 00:00:00 GMT</t>
  </si>
  <si>
    <t>Tue, 02 May 2023 00:00:00 GMT</t>
  </si>
  <si>
    <t>Wed, 03 May 2023 00:00:00 GMT</t>
  </si>
  <si>
    <t>Thu, 04 May 2023 00:00:00 GMT</t>
  </si>
  <si>
    <t>Fri, 05 May 2023 00:00:00 GMT</t>
  </si>
  <si>
    <t>Mon, 08 May 2023 00:00:00 GMT</t>
  </si>
  <si>
    <t>Tue, 09 May 2023 00:00:00 GMT</t>
  </si>
  <si>
    <t>Wed, 10 May 2023 00:00:00 GMT</t>
  </si>
  <si>
    <t>Thu, 11 May 2023 00:00:00 GMT</t>
  </si>
  <si>
    <t>Fri, 12 May 2023 00:00:00 GMT</t>
  </si>
  <si>
    <t>Mon, 15 May 2023 00:00:00 GMT</t>
  </si>
  <si>
    <t>Tue, 16 May 2023 00:00:00 GMT</t>
  </si>
  <si>
    <t>Wed, 17 May 2023 00:00:00 GMT</t>
  </si>
  <si>
    <t>Thu, 18 May 2023 00:00:00 GMT</t>
  </si>
  <si>
    <t>Fri, 19 May 2023 00:00:00 GMT</t>
  </si>
  <si>
    <t>Mon, 22 May 2023 00:00:00 GMT</t>
  </si>
  <si>
    <t>Tue, 23 May 2023 00:00:00 GMT</t>
  </si>
  <si>
    <t>Wed, 24 May 2023 00:00:00 GMT</t>
  </si>
  <si>
    <t>Thu, 25 May 2023 00:00:00 GMT</t>
  </si>
  <si>
    <t>Fri, 26 May 2023 00:00:00 GMT</t>
  </si>
  <si>
    <t>Tue, 30 May 2023 00:00:00 GMT</t>
  </si>
  <si>
    <t>Wed, 31 May 2023 00:00:00 GMT</t>
  </si>
  <si>
    <t>Thu, 01 Jun 2023 00:00:00 GMT</t>
  </si>
  <si>
    <t>Fri, 02 Jun 2023 00:00:00 GMT</t>
  </si>
  <si>
    <t>Mon, 05 Jun 2023 00:00:00 GMT</t>
  </si>
  <si>
    <t>Tue, 06 Jun 2023 00:00:00 GMT</t>
  </si>
  <si>
    <t>Wed, 07 Jun 2023 00:00:00 GMT</t>
  </si>
  <si>
    <t>Thu, 08 Jun 2023 00:00:00 GMT</t>
  </si>
  <si>
    <t>Fri, 09 Jun 2023 00:00:00 GMT</t>
  </si>
  <si>
    <t>Mon, 12 Jun 2023 00:00:00 GMT</t>
  </si>
  <si>
    <t>Tue, 13 Jun 2023 00:00:00 GMT</t>
  </si>
  <si>
    <t>Wed, 14 Jun 2023 00:00:00 GMT</t>
  </si>
  <si>
    <t>Thu, 15 Jun 2023 00:00:00 GMT</t>
  </si>
  <si>
    <t>Fri, 16 Jun 2023 00:00:00 GMT</t>
  </si>
  <si>
    <t>Tue, 20 Jun 2023 00:00:00 GMT</t>
  </si>
  <si>
    <t>Wed, 21 Jun 2023 00:00:00 GMT</t>
  </si>
  <si>
    <t>Thu, 22 Jun 2023 00:00:00 GMT</t>
  </si>
  <si>
    <t>Fri, 23 Jun 2023 00:00:00 GMT</t>
  </si>
  <si>
    <t>Mon, 26 Jun 2023 00:00:00 GMT</t>
  </si>
  <si>
    <t>Tue, 27 Jun 2023 00:00:00 GMT</t>
  </si>
  <si>
    <t>Wed, 28 Jun 2023 00:00:00 GMT</t>
  </si>
  <si>
    <t>Thu, 29 Jun 2023 00:00:00 GMT</t>
  </si>
  <si>
    <t>Fri, 30 Jun 2023 00:00:00 GMT</t>
  </si>
  <si>
    <t>Mon, 03 Jul 2023 00:00:00 GMT</t>
  </si>
  <si>
    <t>Wed, 05 Jul 2023 00:00:00 GMT</t>
  </si>
  <si>
    <t>Thu, 06 Jul 2023 00:00:00 GMT</t>
  </si>
  <si>
    <t>Fri, 07 Jul 2023 00:00:00 GMT</t>
  </si>
  <si>
    <t>Mon, 10 Jul 2023 00:00:00 GMT</t>
  </si>
  <si>
    <t>Tue, 11 Jul 2023 00:00:00 GMT</t>
  </si>
  <si>
    <t>Wed, 12 Jul 2023 00:00:00 GMT</t>
  </si>
  <si>
    <t>Thu, 13 Jul 2023 00:00:00 GMT</t>
  </si>
  <si>
    <t>Fri, 14 Jul 2023 00:00:00 GMT</t>
  </si>
  <si>
    <t>Mon, 17 Jul 2023 00:00:00 GMT</t>
  </si>
  <si>
    <t>Tue, 18 Jul 2023 00:00:00 GMT</t>
  </si>
  <si>
    <t>Wed, 19 Jul 2023 00:00:00 GMT</t>
  </si>
  <si>
    <t>Thu, 20 Jul 2023 00:00:00 GMT</t>
  </si>
  <si>
    <t>Fri, 21 Jul 2023 00:00:00 GMT</t>
  </si>
  <si>
    <t>Mon, 24 Jul 2023 00:00:00 GMT</t>
  </si>
  <si>
    <t>Tue, 25 Jul 2023 00:00:00 GMT</t>
  </si>
  <si>
    <t>Wed, 26 Jul 2023 00:00:00 GMT</t>
  </si>
  <si>
    <t>Thu, 27 Jul 2023 00:00:00 GMT</t>
  </si>
  <si>
    <t>Fri, 28 Jul 2023 00:00:00 GMT</t>
  </si>
  <si>
    <t>Mon, 31 Jul 2023 00:00:00 GMT</t>
  </si>
  <si>
    <t>Tue, 01 Aug 2023 00:00:00 GMT</t>
  </si>
  <si>
    <t>Wed, 02 Aug 2023 00:00:00 GMT</t>
  </si>
  <si>
    <t>Thu, 03 Aug 2023 00:00:00 GMT</t>
  </si>
  <si>
    <t>Fri, 04 Aug 2023 00:00:00 GMT</t>
  </si>
  <si>
    <t>Mon, 07 Aug 2023 00:00:00 GMT</t>
  </si>
  <si>
    <t>Tue, 08 Aug 2023 00:00:00 GMT</t>
  </si>
  <si>
    <t>Wed, 09 Aug 2023 00:00:00 GMT</t>
  </si>
  <si>
    <t>Thu, 10 Aug 2023 00:00:00 GMT</t>
  </si>
  <si>
    <t>Fri, 11 Aug 2023 00:00:00 GMT</t>
  </si>
  <si>
    <t>Mon, 14 Aug 2023 00:00:00 GMT</t>
  </si>
  <si>
    <t>Tue, 15 Aug 2023 00:00:00 GMT</t>
  </si>
  <si>
    <t>Wed, 16 Aug 2023 00:00:00 GMT</t>
  </si>
  <si>
    <t>Thu, 17 Aug 2023 00:00:00 GMT</t>
  </si>
  <si>
    <t>Fri, 18 Aug 2023 00:00:00 GMT</t>
  </si>
  <si>
    <t>Mon, 21 Aug 2023 00:00:00 GMT</t>
  </si>
  <si>
    <t>Tue, 22 Aug 2023 00:00:00 GMT</t>
  </si>
  <si>
    <t>Wed, 23 Aug 2023 00:00:00 GMT</t>
  </si>
  <si>
    <t>Thu, 24 Aug 2023 00:00:00 GMT</t>
  </si>
  <si>
    <t>Fri, 25 Aug 2023 00:00:00 GMT</t>
  </si>
  <si>
    <t>Mon, 28 Aug 2023 00:00:00 GMT</t>
  </si>
  <si>
    <t>Tue, 29 Aug 2023 00:00:00 GMT</t>
  </si>
  <si>
    <t>Wed, 30 Aug 2023 00:00:00 GMT</t>
  </si>
  <si>
    <t>Thu, 31 Aug 2023 00:00:00 GMT</t>
  </si>
  <si>
    <t>Fri, 01 Sep 2023 00:00:00 GMT</t>
  </si>
  <si>
    <t>Tue, 05 Sep 2023 00:00:00 GMT</t>
  </si>
  <si>
    <t>Wed, 06 Sep 2023 00:00:00 GMT</t>
  </si>
  <si>
    <t>Thu, 07 Sep 2023 00:00:00 GMT</t>
  </si>
  <si>
    <t>Fri, 08 Sep 2023 00:00:00 GMT</t>
  </si>
  <si>
    <t>Mon, 11 Sep 2023 00:00:00 GMT</t>
  </si>
  <si>
    <t>Tue, 12 Sep 2023 00:00:00 GMT</t>
  </si>
  <si>
    <t>Wed, 13 Sep 2023 00:00:00 GMT</t>
  </si>
  <si>
    <t>Thu, 14 Sep 2023 00:00:00 GMT</t>
  </si>
  <si>
    <t>Fri, 15 Sep 2023 00:00:00 GMT</t>
  </si>
  <si>
    <t>Mon, 18 Sep 2023 00:00:00 GMT</t>
  </si>
  <si>
    <t>Tue, 19 Sep 2023 00:00:00 GMT</t>
  </si>
  <si>
    <t>Wed, 20 Sep 2023 00:00:00 GMT</t>
  </si>
  <si>
    <t>Thu, 21 Sep 2023 00:00:00 GMT</t>
  </si>
  <si>
    <t>Fri, 22 Sep 2023 00:00:00 GMT</t>
  </si>
  <si>
    <t>Mon, 25 Sep 2023 00:00:00 GMT</t>
  </si>
  <si>
    <t>Tue, 26 Sep 2023 00:00:00 GMT</t>
  </si>
  <si>
    <t>Wed, 27 Sep 2023 00:00:00 GMT</t>
  </si>
  <si>
    <t>Thu, 28 Sep 2023 00:00:00 GMT</t>
  </si>
  <si>
    <t>Fri, 29 Sep 2023 00:00:00 GMT</t>
  </si>
  <si>
    <t>Mon, 02 Oct 2023 00:00:00 GMT</t>
  </si>
  <si>
    <t>Tue, 03 Oct 2023 00:00:00 GMT</t>
  </si>
  <si>
    <t>Wed, 04 Oct 2023 00:00:00 GMT</t>
  </si>
  <si>
    <t>Thu, 05 Oct 2023 00:00:00 GMT</t>
  </si>
  <si>
    <t>Fri, 06 Oct 2023 00:00:00 GMT</t>
  </si>
  <si>
    <t>Mon, 09 Oct 2023 00:00:00 GMT</t>
  </si>
  <si>
    <t>Tue, 10 Oct 2023 00:00:00 GMT</t>
  </si>
  <si>
    <t>Wed, 11 Oct 2023 00:00:00 GMT</t>
  </si>
  <si>
    <t>Thu, 12 Oct 2023 00:00:00 GMT</t>
  </si>
  <si>
    <t>Fri, 13 Oct 2023 00:00:00 GMT</t>
  </si>
  <si>
    <t>Mon, 16 Oct 2023 00:00:00 GMT</t>
  </si>
  <si>
    <t>Tue, 17 Oct 2023 00:00:00 GMT</t>
  </si>
  <si>
    <t>Wed, 18 Oct 2023 00:00:00 GMT</t>
  </si>
  <si>
    <t>Thu, 19 Oct 2023 00:00:00 GMT</t>
  </si>
  <si>
    <t>Fri, 20 Oct 2023 00:00:00 GMT</t>
  </si>
  <si>
    <t>Mon, 23 Oct 2023 00:00:00 GMT</t>
  </si>
  <si>
    <t>Tue, 24 Oct 2023 00:00:00 GMT</t>
  </si>
  <si>
    <t>Wed, 25 Oct 2023 00:00:00 GMT</t>
  </si>
  <si>
    <t>Thu, 26 Oct 2023 00:00:00 GMT</t>
  </si>
  <si>
    <t>Fri, 27 Oct 2023 00:00:00 GMT</t>
  </si>
  <si>
    <t>Mon, 30 Oct 2023 00:00:00 GMT</t>
  </si>
  <si>
    <t>Tue, 31 Oct 2023 00:00:00 GMT</t>
  </si>
  <si>
    <t>Wed, 01 Nov 2023 00:00:00 GMT</t>
  </si>
  <si>
    <t>Thu, 02 Nov 2023 00:00:00 GMT</t>
  </si>
  <si>
    <t>Fri, 03 Nov 2023 00:00:00 GMT</t>
  </si>
  <si>
    <t>Mon, 06 Nov 2023 00:00:00 GMT</t>
  </si>
  <si>
    <t>Tue, 07 Nov 2023 00:00:00 GMT</t>
  </si>
  <si>
    <t>Wed, 08 Nov 2023 00:00:00 GMT</t>
  </si>
  <si>
    <t>Thu, 09 Nov 2023 00:00:00 GMT</t>
  </si>
  <si>
    <t>Fri, 10 Nov 2023 00:00:00 GMT</t>
  </si>
  <si>
    <t>Mon, 13 Nov 2023 00:00:00 GMT</t>
  </si>
  <si>
    <t>Tue, 14 Nov 2023 00:00:00 GMT</t>
  </si>
  <si>
    <t>Wed, 15 Nov 2023 00:00:00 GMT</t>
  </si>
  <si>
    <t>Thu, 16 Nov 2023 00:00:00 GMT</t>
  </si>
  <si>
    <t>Fri, 17 Nov 2023 00:00:00 GMT</t>
  </si>
  <si>
    <t>Mon, 20 Nov 2023 00:00:00 GMT</t>
  </si>
  <si>
    <t>Tue, 21 Nov 2023 00:00:00 GMT</t>
  </si>
  <si>
    <t>Wed, 22 Nov 2023 00:00:00 GMT</t>
  </si>
  <si>
    <t>Fri, 24 Nov 2023 00:00:00 GMT</t>
  </si>
  <si>
    <t>Mon, 27 Nov 2023 00:00:00 GMT</t>
  </si>
  <si>
    <t>Tue, 28 Nov 2023 00:00:00 GMT</t>
  </si>
  <si>
    <t>Wed, 29 Nov 2023 00:00:00 GMT</t>
  </si>
  <si>
    <t>Thu, 30 Nov 2023 00:00:00 GMT</t>
  </si>
  <si>
    <t>Fri, 01 Dec 2023 00:00:00 GMT</t>
  </si>
  <si>
    <t>Mon, 04 Dec 2023 00:00:00 GMT</t>
  </si>
  <si>
    <t>Tue, 05 Dec 2023 00:00:00 GMT</t>
  </si>
  <si>
    <t>Wed, 06 Dec 2023 00:00:00 GMT</t>
  </si>
  <si>
    <t>Thu, 07 Dec 2023 00:00:00 GMT</t>
  </si>
  <si>
    <t>Fri, 08 Dec 2023 00:00:00 GMT</t>
  </si>
  <si>
    <t>Mon, 11 Dec 2023 00:00:00 GMT</t>
  </si>
  <si>
    <t>Tue, 12 Dec 2023 00:00:00 GMT</t>
  </si>
  <si>
    <t>Wed, 13 Dec 2023 00:00:00 GMT</t>
  </si>
  <si>
    <t>Thu, 14 Dec 2023 00:00:00 GMT</t>
  </si>
  <si>
    <t>Fri, 15 Dec 2023 00:00:00 GMT</t>
  </si>
  <si>
    <t>Mon, 18 Dec 2023 00:00:00 GMT</t>
  </si>
  <si>
    <t>Tue, 19 Dec 2023 00:00:00 GMT</t>
  </si>
  <si>
    <t>Wed, 20 Dec 2023 00:00:00 GMT</t>
  </si>
  <si>
    <t>Thu, 21 Dec 2023 00:00:00 GMT</t>
  </si>
  <si>
    <t>Fri, 22 Dec 2023 00:00:00 GMT</t>
  </si>
  <si>
    <t>Tue, 26 Dec 2023 00:00:00 GMT</t>
  </si>
  <si>
    <t>Wed, 27 Dec 2023 00:00:00 GMT</t>
  </si>
  <si>
    <t>Thu, 28 Dec 2023 00:00:00 GMT</t>
  </si>
  <si>
    <t>Fri, 29 Dec 2023 00:00:00 GMT</t>
  </si>
  <si>
    <t>Tue, 02 Jan 2024 00:00:00 GMT</t>
  </si>
  <si>
    <t>Wed, 03 Jan 2024 00:00:00 GMT</t>
  </si>
  <si>
    <t>Thu, 04 Jan 2024 00:00:00 GMT</t>
  </si>
  <si>
    <t>Fri, 05 Jan 2024 00:00:00 GMT</t>
  </si>
  <si>
    <t>Mon, 08 Jan 2024 00:00:00 GMT</t>
  </si>
  <si>
    <t>Tue, 09 Jan 2024 00:00:00 GMT</t>
  </si>
  <si>
    <t>Wed, 10 Jan 2024 00:00:00 GMT</t>
  </si>
  <si>
    <t>Thu, 11 Jan 2024 00:00:00 GMT</t>
  </si>
  <si>
    <t>Fri, 12 Jan 2024 00:00:00 GMT</t>
  </si>
  <si>
    <t>Tue, 16 Jan 2024 00:00:00 GMT</t>
  </si>
  <si>
    <t>Wed, 17 Jan 2024 00:00:00 GMT</t>
  </si>
  <si>
    <t>Thu, 18 Jan 2024 00:00:00 GMT</t>
  </si>
  <si>
    <t>Fri, 19 Jan 2024 00:00:00 GMT</t>
  </si>
  <si>
    <t>Mon, 22 Jan 2024 00:00:00 GMT</t>
  </si>
  <si>
    <t>Tue, 23 Jan 2024 00:00:00 GMT</t>
  </si>
  <si>
    <t>Wed, 24 Jan 2024 00:00:00 GMT</t>
  </si>
  <si>
    <t>Thu, 25 Jan 2024 00:00:00 GMT</t>
  </si>
  <si>
    <t>Fri, 26 Jan 2024 00:00:00 GMT</t>
  </si>
  <si>
    <t>Mon, 29 Jan 2024 00:00:00 GMT</t>
  </si>
  <si>
    <t>Tue, 30 Jan 2024 00:00:00 GMT</t>
  </si>
  <si>
    <t>Wed, 31 Jan 2024 00:00:00 GMT</t>
  </si>
  <si>
    <t>Thu, 01 Feb 2024 00:00:00 GMT</t>
  </si>
  <si>
    <t>Fri, 02 Feb 2024 00:00:00 GMT</t>
  </si>
  <si>
    <t>Mon, 05 Feb 2024 00:00:00 GMT</t>
  </si>
  <si>
    <t>Tue, 06 Feb 2024 00:00:00 GMT</t>
  </si>
  <si>
    <t>Wed, 07 Feb 2024 00:00:00 GMT</t>
  </si>
  <si>
    <t>Thu, 08 Feb 2024 00:00:00 GMT</t>
  </si>
  <si>
    <t>Fri, 09 Feb 2024 00:00:00 GMT</t>
  </si>
  <si>
    <t>Mon, 12 Feb 2024 00:00:00 GMT</t>
  </si>
  <si>
    <t>Tue, 13 Feb 2024 00:00:00 GMT</t>
  </si>
  <si>
    <t>Wed, 14 Feb 2024 00:00:00 GMT</t>
  </si>
  <si>
    <t>Thu, 15 Feb 2024 00:00:00 GMT</t>
  </si>
  <si>
    <t>Fri, 16 Feb 2024 00:00:00 GMT</t>
  </si>
  <si>
    <t>Tue, 20 Feb 2024 00:00:00 GMT</t>
  </si>
  <si>
    <t>Wed, 21 Feb 2024 00:00:00 GMT</t>
  </si>
  <si>
    <t>Thu, 22 Feb 2024 00:00:00 GMT</t>
  </si>
  <si>
    <t>Fri, 23 Feb 2024 00:00:00 GMT</t>
  </si>
  <si>
    <t>Mon, 26 Feb 2024 00:00:00 GMT</t>
  </si>
  <si>
    <t>Tue, 27 Feb 2024 00:00:00 GMT</t>
  </si>
  <si>
    <t>Wed, 28 Feb 2024 00:00:00 GMT</t>
  </si>
  <si>
    <t>Thu, 29 Feb 2024 00:00:00 GMT</t>
  </si>
  <si>
    <t>Fri, 01 Mar 2024 00:00:00 GMT</t>
  </si>
  <si>
    <t>Mon, 04 Mar 2024 00:00:00 GMT</t>
  </si>
  <si>
    <t>Tue, 05 Mar 2024 00:00:00 GMT</t>
  </si>
  <si>
    <t>Wed, 06 Mar 2024 00:00:00 GMT</t>
  </si>
  <si>
    <t>Thu, 07 Mar 2024 00:00:00 GMT</t>
  </si>
  <si>
    <t>Fri, 08 Mar 2024 00:00:00 GMT</t>
  </si>
  <si>
    <t>Mon, 11 Mar 2024 00:00:00 GMT</t>
  </si>
  <si>
    <t>Tue, 12 Mar 2024 00:00:00 GMT</t>
  </si>
  <si>
    <t>Wed, 13 Mar 2024 00:00:00 GMT</t>
  </si>
  <si>
    <t>Thu, 14 Mar 2024 00:00:00 GMT</t>
  </si>
  <si>
    <t>Fri, 15 Mar 2024 00:00:00 GMT</t>
  </si>
  <si>
    <t>Mon, 18 Mar 2024 00:00:00 GMT</t>
  </si>
  <si>
    <t>Tue, 19 Mar 2024 00:00:00 GMT</t>
  </si>
  <si>
    <t>Wed, 20 Mar 2024 00:00:00 GMT</t>
  </si>
  <si>
    <t>Thu, 21 Mar 2024 00:00:00 GMT</t>
  </si>
  <si>
    <t>Fri, 22 Mar 2024 00:00:00 GMT</t>
  </si>
  <si>
    <t>Mon, 25 Mar 2024 00:00:00 GMT</t>
  </si>
  <si>
    <t>Tue, 26 Mar 2024 00:00:00 GMT</t>
  </si>
  <si>
    <t>Wed, 27 Mar 2024 00:00:00 GMT</t>
  </si>
  <si>
    <t>Thu, 28 Mar 2024 00:00:00 GMT</t>
  </si>
  <si>
    <t>Mon, 01 Apr 2024 00:00:00 GMT</t>
  </si>
  <si>
    <t>Tue, 02 Apr 2024 00:00:00 GMT</t>
  </si>
  <si>
    <t>Wed, 03 Apr 2024 00:00:00 GMT</t>
  </si>
  <si>
    <t>Thu, 04 Apr 2024 00:00:00 GMT</t>
  </si>
  <si>
    <t>Fri, 05 Apr 2024 00:00:00 GMT</t>
  </si>
  <si>
    <t>Mon, 08 Apr 2024 00:00:00 GMT</t>
  </si>
  <si>
    <t>Tue, 09 Apr 2024 00:00:00 GMT</t>
  </si>
  <si>
    <t>Wed, 10 Apr 2024 00:00:00 GMT</t>
  </si>
  <si>
    <t>Thu, 11 Apr 2024 00:00:00 GMT</t>
  </si>
  <si>
    <t>Fri, 12 Apr 2024 00:00:00 GMT</t>
  </si>
  <si>
    <t>Mon, 15 Apr 2024 00:00:00 GMT</t>
  </si>
  <si>
    <t>Tue, 16 Apr 2024 00:00:00 GMT</t>
  </si>
  <si>
    <t>Wed, 17 Apr 2024 00:00:00 GMT</t>
  </si>
  <si>
    <t>Thu, 18 Apr 2024 00:00:00 GMT</t>
  </si>
  <si>
    <t>Fri, 19 Apr 2024 00:00:00 GMT</t>
  </si>
  <si>
    <t>Mon, 22 Apr 2024 00:00:00 GMT</t>
  </si>
  <si>
    <t>Tue, 23 Apr 2024 00:00:00 GMT</t>
  </si>
  <si>
    <t>Wed, 24 Apr 2024 00:00:00 GMT</t>
  </si>
  <si>
    <t>Thu, 25 Apr 2024 00:00:00 GMT</t>
  </si>
  <si>
    <t>Fri, 26 Apr 2024 00:00:00 GMT</t>
  </si>
  <si>
    <t>Mon, 29 Apr 2024 00:00:00 GMT</t>
  </si>
  <si>
    <t>Tue, 30 Apr 2024 00:00:00 GMT</t>
  </si>
  <si>
    <t>Wed, 01 May 2024 00:00:00 GMT</t>
  </si>
  <si>
    <t>Thu, 02 May 2024 00:00:00 GMT</t>
  </si>
  <si>
    <t>Fri, 03 May 2024 00:00:00 GMT</t>
  </si>
  <si>
    <t>Mon, 06 May 2024 00:00:00 GMT</t>
  </si>
  <si>
    <t>Tue, 07 May 2024 00:00:00 GMT</t>
  </si>
  <si>
    <t>Wed, 08 May 2024 00:00:00 GMT</t>
  </si>
  <si>
    <t>Thu, 09 May 2024 00:00:00 GMT</t>
  </si>
  <si>
    <t>Fri, 10 May 2024 00:00:00 GMT</t>
  </si>
  <si>
    <t>Mon, 13 May 2024 00:00:00 GMT</t>
  </si>
  <si>
    <t>Tue, 14 May 2024 00:00:00 GMT</t>
  </si>
  <si>
    <t>Wed, 15 May 2024 00:00:00 GMT</t>
  </si>
  <si>
    <t>Thu, 16 May 2024 00:00:00 GMT</t>
  </si>
  <si>
    <t>Fri, 17 May 2024 00:00:00 GMT</t>
  </si>
  <si>
    <t>Mon, 20 May 2024 00:00:00 GMT</t>
  </si>
  <si>
    <t>Tue, 21 May 2024 00:00:00 GMT</t>
  </si>
  <si>
    <t>Wed, 22 May 2024 00:00:00 GMT</t>
  </si>
  <si>
    <t>Thu, 23 May 2024 00:00:00 GMT</t>
  </si>
  <si>
    <t>Fri, 24 May 2024 00:00:00 GMT</t>
  </si>
  <si>
    <t>Tue, 28 May 2024 00:00:00 GMT</t>
  </si>
  <si>
    <t>Wed, 29 May 2024 00:00:00 GMT</t>
  </si>
  <si>
    <t>Thu, 30 May 2024 00:00:00 GMT</t>
  </si>
  <si>
    <t>Fri, 31 May 2024 00:00:00 GMT</t>
  </si>
  <si>
    <t>Mon, 03 Jun 2024 00:00:00 GMT</t>
  </si>
  <si>
    <t>Tue, 04 Jun 2024 00:00:00 GMT</t>
  </si>
  <si>
    <t>Wed, 05 Jun 2024 00:00:00 GMT</t>
  </si>
  <si>
    <t>Thu, 06 Jun 2024 00:00:00 GMT</t>
  </si>
  <si>
    <t>Fri, 07 Jun 2024 00:00:00 GMT</t>
  </si>
  <si>
    <t>Mon, 10 Jun 2024 00:00:00 GMT</t>
  </si>
  <si>
    <t>Tue, 11 Jun 2024 00:00:00 GMT</t>
  </si>
  <si>
    <t>Wed, 12 Jun 2024 00:00:00 GMT</t>
  </si>
  <si>
    <t>Thu, 13 Jun 2024 00:00:00 GMT</t>
  </si>
  <si>
    <t>Fri, 14 Jun 2024 00:00:00 GMT</t>
  </si>
  <si>
    <t>Mon, 17 Jun 2024 00:00:00 GMT</t>
  </si>
  <si>
    <t>Tue, 18 Jun 2024 00:00:00 GMT</t>
  </si>
  <si>
    <t>Thu, 20 Jun 2024 00:00:00 GMT</t>
  </si>
  <si>
    <t>Fri, 21 Jun 2024 00:00:00 GMT</t>
  </si>
  <si>
    <t>Mon, 24 Jun 2024 00:00:00 GMT</t>
  </si>
  <si>
    <t>Tue, 25 Jun 2024 00:00:00 GMT</t>
  </si>
  <si>
    <t>Wed, 26 Jun 2024 00:00:00 GMT</t>
  </si>
  <si>
    <t>Thu, 27 Jun 2024 00:00:00 GMT</t>
  </si>
  <si>
    <t>Fri, 28 Jun 2024 00:00:00 GMT</t>
  </si>
  <si>
    <t>Mon, 01 Jul 2024 00:00:00 GMT</t>
  </si>
  <si>
    <t>Tue, 02 Jul 2024 00:00:00 GMT</t>
  </si>
  <si>
    <t>Wed, 03 Jul 2024 00:00:00 GMT</t>
  </si>
  <si>
    <t>Fri, 05 Jul 2024 00:00:00 GMT</t>
  </si>
  <si>
    <t>Mon, 08 Jul 2024 00:00:00 GMT</t>
  </si>
  <si>
    <t>Tue, 09 Jul 2024 00:00:00 GMT</t>
  </si>
  <si>
    <t>Wed, 10 Jul 2024 00:00:00 GMT</t>
  </si>
  <si>
    <t>Thu, 11 Jul 2024 00:00:00 GMT</t>
  </si>
  <si>
    <t>Fri, 12 Jul 2024 00:00:00 GMT</t>
  </si>
  <si>
    <t>Mon, 15 Jul 2024 00:00:00 GMT</t>
  </si>
  <si>
    <t>Tue, 16 Jul 2024 00:00:00 GMT</t>
  </si>
  <si>
    <t>Wed, 17 Jul 2024 00:00:00 GMT</t>
  </si>
  <si>
    <t>Thu, 18 Jul 2024 00:00:00 GMT</t>
  </si>
  <si>
    <t>Fri, 19 Jul 2024 00:00:00 GMT</t>
  </si>
  <si>
    <t>Mon, 22 Jul 2024 00:00:00 GMT</t>
  </si>
  <si>
    <t>Tue, 23 Jul 2024 00:00:00 GMT</t>
  </si>
  <si>
    <t>Wed, 24 Jul 2024 00:00:00 GMT</t>
  </si>
  <si>
    <t>Thu, 25 Jul 2024 00:00:00 GMT</t>
  </si>
  <si>
    <t>Fri, 26 Jul 2024 00:00:00 GMT</t>
  </si>
  <si>
    <t>Mon, 29 Jul 2024 00:00:00 GMT</t>
  </si>
  <si>
    <t>Tue, 30 Jul 2024 00:00:00 GMT</t>
  </si>
  <si>
    <t>Wed, 31 Jul 2024 00:00:00 GMT</t>
  </si>
  <si>
    <t>Thu, 01 Aug 2024 00:00:00 GMT</t>
  </si>
  <si>
    <t>Fri, 02 Aug 2024 00:00:00 GMT</t>
  </si>
  <si>
    <t>Mon, 05 Aug 2024 00:00:00 GMT</t>
  </si>
  <si>
    <t>Tue, 06 Aug 2024 00:00:00 GMT</t>
  </si>
  <si>
    <t>Wed, 07 Aug 2024 00:00:00 GMT</t>
  </si>
  <si>
    <t>Thu, 08 Aug 2024 00:00:00 GMT</t>
  </si>
  <si>
    <t>Fri, 09 Aug 2024 00:00:00 GMT</t>
  </si>
  <si>
    <t>Mon, 12 Aug 2024 00:00:00 GMT</t>
  </si>
  <si>
    <t>Tue, 13 Aug 2024 00:00:00 GMT</t>
  </si>
  <si>
    <t>Wed, 14 Aug 2024 00:00:00 GMT</t>
  </si>
  <si>
    <t>Thu, 15 Aug 2024 00:00:00 GMT</t>
  </si>
  <si>
    <t>Fri, 16 Aug 2024 00:00:00 GMT</t>
  </si>
  <si>
    <t>Mon, 19 Aug 2024 00:00:00 GMT</t>
  </si>
  <si>
    <t>Tue, 20 Aug 2024 00:00:00 GMT</t>
  </si>
  <si>
    <t>Wed, 21 Aug 2024 00:00:00 GMT</t>
  </si>
  <si>
    <t>Thu, 22 Aug 2024 00:00:00 GMT</t>
  </si>
  <si>
    <t>Fri, 23 Aug 2024 00:00:00 GMT</t>
  </si>
  <si>
    <t>Mon, 26 Aug 2024 00:00:00 GMT</t>
  </si>
  <si>
    <t>Tue, 27 Aug 2024 00:00:00 GMT</t>
  </si>
  <si>
    <t>Wed, 28 Aug 2024 00:00:00 GMT</t>
  </si>
  <si>
    <t>Thu, 29 Aug 2024 00:00:00 GMT</t>
  </si>
  <si>
    <t>Fri, 30 Aug 2024 00:00:00 GMT</t>
  </si>
  <si>
    <t>Tue, 03 Sep 2024 00:00:00 GMT</t>
  </si>
  <si>
    <t>Wed, 04 Sep 2024 00:00:00 GMT</t>
  </si>
  <si>
    <t>Thu, 05 Sep 2024 00:00:00 GMT</t>
  </si>
  <si>
    <t>Fri, 06 Sep 2024 00:00:00 GMT</t>
  </si>
  <si>
    <t>Mon, 09 Sep 2024 00:00:00 GMT</t>
  </si>
  <si>
    <t>Tue, 10 Sep 2024 00:00:00 GMT</t>
  </si>
  <si>
    <t>Wed, 11 Sep 2024 00:00:00 GMT</t>
  </si>
  <si>
    <t>Thu, 12 Sep 2024 00:00:00 GMT</t>
  </si>
  <si>
    <t>Fri, 13 Sep 2024 00:00:00 GMT</t>
  </si>
  <si>
    <t>Mon, 16 Sep 2024 00:00:00 GMT</t>
  </si>
  <si>
    <t>Tue, 17 Sep 2024 00:00:00 GMT</t>
  </si>
  <si>
    <t>Wed, 18 Sep 2024 00:00:00 GMT</t>
  </si>
  <si>
    <t>Thu, 19 Sep 2024 00:00:00 GMT</t>
  </si>
  <si>
    <t>Fri, 20 Sep 2024 00:00:00 GMT</t>
  </si>
  <si>
    <t>Mon, 23 Sep 2024 00:00:00 GMT</t>
  </si>
  <si>
    <t>Tue, 24 Sep 2024 00:00:00 GMT</t>
  </si>
  <si>
    <t>Wed, 25 Sep 2024 00:00:00 GMT</t>
  </si>
  <si>
    <t>Thu, 26 Sep 2024 00:00:00 GMT</t>
  </si>
  <si>
    <t>Fri, 27 Sep 2024 00:00:00 GMT</t>
  </si>
  <si>
    <t>Mon, 30 Sep 2024 00:00:00 GMT</t>
  </si>
  <si>
    <t>Tue, 01 Oct 2024 00:00:00 GMT</t>
  </si>
  <si>
    <t>Wed, 02 Oct 2024 00:00:00 GMT</t>
  </si>
  <si>
    <t>Thu, 03 Oct 2024 00:00:00 GMT</t>
  </si>
  <si>
    <t>Fri, 04 Oct 2024 00:00:00 GMT</t>
  </si>
  <si>
    <t>Mon, 07 Oct 2024 00:00:00 GMT</t>
  </si>
  <si>
    <t>Tue, 08 Oct 2024 00:00:00 GMT</t>
  </si>
  <si>
    <t>Wed, 09 Oct 2024 00:00:00 GMT</t>
  </si>
  <si>
    <t>Thu, 10 Oct 2024 00:00:00 GMT</t>
  </si>
  <si>
    <t>Fri, 11 Oct 2024 00:00:00 GMT</t>
  </si>
  <si>
    <t>Mon, 14 Oct 2024 00:00:00 GMT</t>
  </si>
  <si>
    <t>Tue, 15 Oct 2024 00:00:00 GMT</t>
  </si>
  <si>
    <t>Wed, 16 Oct 2024 00:00:00 GMT</t>
  </si>
  <si>
    <t>Thu, 17 Oct 2024 00:00:00 GMT</t>
  </si>
  <si>
    <t>Fri, 18 Oct 2024 00:00:00 GMT</t>
  </si>
  <si>
    <t>Mon, 21 Oct 2024 00:00:00 GMT</t>
  </si>
  <si>
    <t>Tue, 22 Oct 2024 00:00:00 GMT</t>
  </si>
  <si>
    <t>Wed, 23 Oct 2024 00:00:00 GMT</t>
  </si>
  <si>
    <t>Thu, 24 Oct 2024 00:00:00 GMT</t>
  </si>
  <si>
    <t>Fri, 25 Oct 2024 00:00:00 GMT</t>
  </si>
  <si>
    <t>Mon, 28 Oct 2024 00:00:00 GMT</t>
  </si>
  <si>
    <t>Tue, 29 Oct 2024 00:00:00 GMT</t>
  </si>
  <si>
    <t>Wed, 30 Oct 2024 00:00:00 GMT</t>
  </si>
  <si>
    <t>Thu, 31 Oct 2024 00:00:00 GMT</t>
  </si>
  <si>
    <t>Fri, 01 Nov 2024 00:00:00 GMT</t>
  </si>
  <si>
    <t>Mon, 04 Nov 2024 00:00:00 GMT</t>
  </si>
  <si>
    <t>Tue, 05 Nov 2024 00:00:00 GMT</t>
  </si>
  <si>
    <t>Wed, 06 Nov 2024 00:00:00 GMT</t>
  </si>
  <si>
    <t>Thu, 07 Nov 2024 00:00:00 GMT</t>
  </si>
  <si>
    <t>Fri, 08 Nov 2024 00:00:00 GMT</t>
  </si>
  <si>
    <t>Mon, 11 Nov 2024 00:00:00 GMT</t>
  </si>
  <si>
    <t>Tue, 12 Nov 2024 00:00:00 GMT</t>
  </si>
  <si>
    <t>Wed, 13 Nov 2024 00:00:00 GMT</t>
  </si>
  <si>
    <t>Thu, 14 Nov 2024 00:00:00 GMT</t>
  </si>
  <si>
    <t>Fri, 15 Nov 2024 00:00:00 GMT</t>
  </si>
  <si>
    <t>Mon, 18 Nov 2024 00:00:00 GMT</t>
  </si>
  <si>
    <t>Tue, 19 Nov 2024 00:00:00 GMT</t>
  </si>
  <si>
    <t>Wed, 20 Nov 2024 00:00:00 GMT</t>
  </si>
  <si>
    <t>Thu, 21 Nov 2024 00:00:00 GMT</t>
  </si>
  <si>
    <t>Fri, 22 Nov 2024 00:00:00 GMT</t>
  </si>
  <si>
    <t>Mon, 25 Nov 2024 00:00:00 GMT</t>
  </si>
  <si>
    <t>Tue, 26 Nov 2024 00:00:00 GMT</t>
  </si>
  <si>
    <t>Wed, 27 Nov 2024 00:00:00 GMT</t>
  </si>
  <si>
    <t>Fri, 29 Nov 2024 00:00:00 GMT</t>
  </si>
  <si>
    <t>Mon, 02 Dec 2024 00:00:00 GMT</t>
  </si>
  <si>
    <t>Tue, 03 Dec 2024 00:00:00 GMT</t>
  </si>
  <si>
    <t>Wed, 04 Dec 2024 00:00:00 GMT</t>
  </si>
  <si>
    <t>Thu, 05 Dec 2024 00:00:00 GMT</t>
  </si>
  <si>
    <t>Fri, 06 Dec 2024 00:00:00 GMT</t>
  </si>
  <si>
    <t>Mon, 09 Dec 2024 00:00:00 GMT</t>
  </si>
  <si>
    <t>Tue, 10 Dec 2024 00:00:00 GMT</t>
  </si>
  <si>
    <t>Wed, 11 Dec 2024 00:00:00 GMT</t>
  </si>
  <si>
    <t>Thu, 12 Dec 2024 00:00:00 GMT</t>
  </si>
  <si>
    <t>Fri, 13 Dec 2024 00:00:00 GMT</t>
  </si>
  <si>
    <t>Mon, 16 Dec 2024 00:00:00 GMT</t>
  </si>
  <si>
    <t>Tue, 17 Dec 2024 00:00:00 GMT</t>
  </si>
  <si>
    <t>Wed, 18 Dec 2024 00:00:00 GMT</t>
  </si>
  <si>
    <t>Thu, 19 Dec 2024 00:00:00 GMT</t>
  </si>
  <si>
    <t>Fri, 20 Dec 2024 00:00:00 GMT</t>
  </si>
  <si>
    <t>Mon, 23 Dec 2024 00:00:00 GMT</t>
  </si>
  <si>
    <t>Tue, 24 Dec 2024 00:00:00 GMT</t>
  </si>
  <si>
    <t>Thu, 26 Dec 2024 00:00:00 GMT</t>
  </si>
  <si>
    <t>Fri, 27 Dec 2024 00:00:00 GMT</t>
  </si>
  <si>
    <t>Mon, 30 Dec 2024 00:00:00 GMT</t>
  </si>
  <si>
    <t>Tue, 31 Dec 2024 00:00:00 GMT</t>
  </si>
  <si>
    <t>Thu, 02 Jan 2025 00:00:00 GMT</t>
  </si>
  <si>
    <t>Fri, 03 Jan 2025 00:00:00 GMT</t>
  </si>
  <si>
    <t>Mon, 06 Jan 2025 00:00:00 GMT</t>
  </si>
  <si>
    <t>Tue, 07 Jan 2025 00:00:00 GMT</t>
  </si>
  <si>
    <t>Wed, 08 Jan 2025 00:00:00 GMT</t>
  </si>
  <si>
    <t>Fri, 10 Jan 2025 00:00:00 GMT</t>
  </si>
  <si>
    <t>Mon, 13 Jan 2025 00:00:00 GMT</t>
  </si>
  <si>
    <t>Tue, 14 Jan 2025 00:00:00 GMT</t>
  </si>
  <si>
    <t>Wed, 15 Jan 2025 00:00:00 GMT</t>
  </si>
  <si>
    <t>Thu, 16 Jan 2025 00:00:00 GMT</t>
  </si>
  <si>
    <t>Fri, 17 Jan 2025 00:00:00 GMT</t>
  </si>
  <si>
    <t>Tue, 21 Jan 2025 00:00:00 GMT</t>
  </si>
  <si>
    <t>Wed, 22 Jan 2025 00:00:00 GMT</t>
  </si>
  <si>
    <t>Thu, 23 Jan 2025 00:00:00 GMT</t>
  </si>
  <si>
    <t>Fri, 24 Jan 2025 00:00:00 GMT</t>
  </si>
  <si>
    <t>Mon, 27 Jan 2025 00:00:00 GMT</t>
  </si>
  <si>
    <t>Tue, 28 Jan 2025 00:00:00 GMT</t>
  </si>
  <si>
    <t>Wed, 29 Jan 2025 00:00:00 GMT</t>
  </si>
  <si>
    <t>Thu, 30 Jan 2025 00:00:00 GMT</t>
  </si>
  <si>
    <t>Fri, 31 Jan 2025 00:00:00 GMT</t>
  </si>
  <si>
    <t>Mon, 03 Feb 2025 00:00:00 GMT</t>
  </si>
  <si>
    <t>Tue, 04 Feb 2025 00:00:00 GMT</t>
  </si>
  <si>
    <t>Wed, 05 Feb 2025 00:00:00 GMT</t>
  </si>
  <si>
    <t>Thu, 06 Feb 2025 00:00:00 GMT</t>
  </si>
  <si>
    <t>Fri, 07 Feb 2025 00:00:00 GMT</t>
  </si>
  <si>
    <t>Mon, 10 Feb 2025 00:00:00 GMT</t>
  </si>
  <si>
    <t>Tue, 11 Feb 2025 00:00:00 GMT</t>
  </si>
  <si>
    <t>Wed, 12 Feb 2025 00:00:00 GMT</t>
  </si>
  <si>
    <t>Thu, 13 Feb 2025 00:00:00 GMT</t>
  </si>
  <si>
    <t>Fri, 14 Feb 2025 00:00:00 GMT</t>
  </si>
  <si>
    <t>Tue, 18 Feb 2025 00:00:00 GMT</t>
  </si>
  <si>
    <t>Wed, 19 Feb 2025 00:00:00 GMT</t>
  </si>
  <si>
    <t>Thu, 20 Feb 2025 00:00:00 GMT</t>
  </si>
  <si>
    <t>Fri, 21 Feb 2025 00:00:00 GMT</t>
  </si>
  <si>
    <t>Mon, 24 Feb 2025 00:00:00 GMT</t>
  </si>
  <si>
    <t>Tue, 25 Feb 2025 00:00:00 GMT</t>
  </si>
  <si>
    <t>Wed, 26 Feb 2025 00:00:00 GMT</t>
  </si>
  <si>
    <t>Thu, 27 Feb 2025 00:00:00 GMT</t>
  </si>
  <si>
    <t>Fri, 28 Feb 2025 00:00:00 GMT</t>
  </si>
  <si>
    <t>Mon, 03 Mar 2025 00:00:00 GMT</t>
  </si>
  <si>
    <t>Tue, 04 Mar 2025 00:00:00 GMT</t>
  </si>
  <si>
    <t>Wed, 05 Mar 2025 00:00:00 GMT</t>
  </si>
  <si>
    <t>Thu, 06 Mar 2025 00:00:00 GMT</t>
  </si>
  <si>
    <t>Fri, 07 Mar 2025 00:00:00 GMT</t>
  </si>
  <si>
    <t>Mon, 10 Mar 2025 00:00:00 GMT</t>
  </si>
  <si>
    <t>Tue, 11 Mar 2025 00:00:00 GMT</t>
  </si>
  <si>
    <t>Wed, 12 Mar 2025 00:00:00 GMT</t>
  </si>
  <si>
    <t>Thu, 13 Mar 2025 00:00:00 GMT</t>
  </si>
  <si>
    <t>Fri, 14 Mar 2025 00:00:00 GMT</t>
  </si>
  <si>
    <t>Mon, 17 Mar 2025 00:00:00 GMT</t>
  </si>
  <si>
    <t>Tue, 18 Mar 2025 00:00:00 GMT</t>
  </si>
  <si>
    <t>Wed, 19 Mar 2025 00:00:00 GMT</t>
  </si>
  <si>
    <t>Thu, 20 Mar 2025 00:00:00 GMT</t>
  </si>
  <si>
    <t>Fri, 21 Mar 2025 00:00:00 GMT</t>
  </si>
  <si>
    <t>Mon, 24 Mar 2025 00:00:00 GMT</t>
  </si>
  <si>
    <t>Tue, 25 Mar 2025 00:00:00 GMT</t>
  </si>
  <si>
    <t>Wed, 26 Mar 2025 00:00:00 GMT</t>
  </si>
  <si>
    <t>Thu, 27 Mar 2025 00:00:00 GMT</t>
  </si>
  <si>
    <t>Fri, 28 Mar 2025 00:00:00 GMT</t>
  </si>
  <si>
    <t>Mon, 31 Mar 2025 00:00:00 GMT</t>
  </si>
  <si>
    <t>Tue, 01 Apr 2025 00:00:00 GMT</t>
  </si>
  <si>
    <t>Wed, 02 Apr 2025 00:00:00 GMT</t>
  </si>
  <si>
    <t>Thu, 03 Apr 2025 00:00:00 GMT</t>
  </si>
  <si>
    <t>Fri, 04 Apr 2025 00:00:00 GMT</t>
  </si>
  <si>
    <t>Mon, 07 Apr 2025 00:00:00 GMT</t>
  </si>
  <si>
    <t>Tue, 08 Apr 2025 00:00:00 GMT</t>
  </si>
  <si>
    <t>Wed, 09 Apr 2025 00:00:00 GMT</t>
  </si>
  <si>
    <t>Thu, 10 Apr 2025 00:00:00 GMT</t>
  </si>
  <si>
    <t>Fri, 11 Apr 2025 00:00:00 GMT</t>
  </si>
  <si>
    <t>Mon, 14 Apr 2025 00:00:00 GMT</t>
  </si>
  <si>
    <t>Tue, 15 Apr 2025 00:00:00 GMT</t>
  </si>
  <si>
    <t>Wed, 16 Apr 2025 00:00:00 GMT</t>
  </si>
  <si>
    <t>Thu, 17 Apr 2025 00:00:00 GMT</t>
  </si>
  <si>
    <t>Mon, 21 Apr 2025 00:00:00 GMT</t>
  </si>
  <si>
    <t>Tue, 22 Apr 2025 00:00:00 GMT</t>
  </si>
  <si>
    <t>Wed, 23 Apr 2025 00:00:00 GMT</t>
  </si>
  <si>
    <t>Thu, 24 Apr 2025 00:00:00 GMT</t>
  </si>
  <si>
    <t>Fri, 25 Apr 2025 00:00:00 GMT</t>
  </si>
  <si>
    <t>Mon, 28 Apr 2025 00:00:00 GMT</t>
  </si>
  <si>
    <t>Tue, 29 Apr 2025 00:00:00 GMT</t>
  </si>
  <si>
    <t>Wed, 30 Apr 2025 00:00:00 GMT</t>
  </si>
  <si>
    <t>Thu, 01 May 2025 00:00:00 GMT</t>
  </si>
  <si>
    <t>Fri, 02 May 2025 00:00:00 GMT</t>
  </si>
  <si>
    <t>Mon, 05 May 2025 00:00:00 GMT</t>
  </si>
  <si>
    <t>Tue, 06 May 2025 00:00:00 GMT</t>
  </si>
  <si>
    <t>Wed, 07 May 2025 00:00:00 GMT</t>
  </si>
  <si>
    <t>Thu, 08 May 2025 00:00:00 GMT</t>
  </si>
  <si>
    <t>Fri, 09 May 2025 00:00:00 GMT</t>
  </si>
  <si>
    <t>Mon, 12 May 2025 00:00:00 GMT</t>
  </si>
  <si>
    <t>Tue, 13 May 2025 00:00:00 GMT</t>
  </si>
  <si>
    <t>Wed, 14 May 2025 00:00:00 GMT</t>
  </si>
  <si>
    <t>Thu, 15 May 2025 00:00:00 GMT</t>
  </si>
  <si>
    <t>Fri, 16 May 2025 00:00:00 GMT</t>
  </si>
  <si>
    <t>Mon, 19 May 2025 00:00:00 GMT</t>
  </si>
  <si>
    <t>Tue, 20 May 2025 00:00:00 GMT</t>
  </si>
  <si>
    <t>Wed, 21 May 2025 00:00:00 GMT</t>
  </si>
  <si>
    <t>Thu, 22 May 2025 00:00:00 GMT</t>
  </si>
  <si>
    <t>Fri, 23 May 2025 00:00:00 GMT</t>
  </si>
  <si>
    <t>Tue, 27 May 2025 00:00:00 GMT</t>
  </si>
  <si>
    <t>Wed, 28 May 2025 00:00:00 GMT</t>
  </si>
  <si>
    <t>Thu, 29 May 2025 00:00:00 GMT</t>
  </si>
  <si>
    <t>Fri, 30 May 2025 00:00:00 GMT</t>
  </si>
  <si>
    <t>Mon, 02 Jun 2025 00:00:00 GMT</t>
  </si>
  <si>
    <t>Tue, 03 Jun 2025 00:00:00 GMT</t>
  </si>
  <si>
    <t>Wed, 04 Jun 2025 00:00:00 GMT</t>
  </si>
  <si>
    <t>Thu, 05 Jun 2025 00:00:00 GMT</t>
  </si>
  <si>
    <t>Fri, 06 Jun 2025 00:00:00 GMT</t>
  </si>
  <si>
    <t>Mon, 09 Jun 2025 00:00:00 GMT</t>
  </si>
  <si>
    <t>Tue, 10 Jun 2025 00:00:00 GMT</t>
  </si>
  <si>
    <t>Wed, 11 Jun 2025 00:00:00 GMT</t>
  </si>
  <si>
    <t>Q1'25</t>
  </si>
  <si>
    <t>XBRL Professional Services</t>
  </si>
  <si>
    <t>Other Services</t>
  </si>
  <si>
    <t>Subscrption and Support Growth Y/y</t>
  </si>
  <si>
    <t>XBRL Professional Services Growth Y/y</t>
  </si>
  <si>
    <t>Other Growth Y/y</t>
  </si>
  <si>
    <t>Ttl Revenue Growth Y/y</t>
  </si>
  <si>
    <t>XBRL Professional Services % of Ttl Revenues</t>
  </si>
  <si>
    <t>Other % of Ttl Revenues</t>
  </si>
  <si>
    <t>Americas Revenues</t>
  </si>
  <si>
    <t>Ex Americas Revenues</t>
  </si>
  <si>
    <t>Americas Revenue Growth Y/y</t>
  </si>
  <si>
    <t>Ex Americas Revenue Growth Y/y</t>
  </si>
  <si>
    <t>Americas % of Revenues</t>
  </si>
  <si>
    <t>Ex Americas Revenues % of Revenues</t>
  </si>
  <si>
    <t>Subscription and Support % of Ttl Revenues</t>
  </si>
  <si>
    <t>Ttl Service Revenues</t>
  </si>
  <si>
    <t>Subscription and Support Revenues</t>
  </si>
  <si>
    <t>Subscription and Support</t>
  </si>
  <si>
    <t>Professional Services Revenues</t>
  </si>
  <si>
    <t>Subscription and Support COGS</t>
  </si>
  <si>
    <t>Professional Services COGS</t>
  </si>
  <si>
    <t>Subscription and Support Margin</t>
  </si>
  <si>
    <t>Professional Services Margin</t>
  </si>
  <si>
    <t>R&amp;D</t>
  </si>
  <si>
    <t>Sales and Marketing</t>
  </si>
  <si>
    <t>General and Administrative</t>
  </si>
  <si>
    <t>Interest Income</t>
  </si>
  <si>
    <t>Interest Expenses</t>
  </si>
  <si>
    <t>Other Income</t>
  </si>
  <si>
    <t>Pretax Income</t>
  </si>
  <si>
    <t>C &amp; C.E.'s</t>
  </si>
  <si>
    <t>A/R</t>
  </si>
  <si>
    <t>Prepaid Expenses</t>
  </si>
  <si>
    <t>Other Recievables</t>
  </si>
  <si>
    <t>Deffered Costs</t>
  </si>
  <si>
    <t>PP&amp;E</t>
  </si>
  <si>
    <t>Operating Leases</t>
  </si>
  <si>
    <t>Goodwill</t>
  </si>
  <si>
    <t>Intangible Assets</t>
  </si>
  <si>
    <t>Other Assets</t>
  </si>
  <si>
    <t>Ttl Assets</t>
  </si>
  <si>
    <t>A/P</t>
  </si>
  <si>
    <t>Accrued Expenses</t>
  </si>
  <si>
    <t>Deferred Revenue</t>
  </si>
  <si>
    <t>Finance Lease Obligations</t>
  </si>
  <si>
    <t>LT Deferred Revenues</t>
  </si>
  <si>
    <t>Other LT Liabilities</t>
  </si>
  <si>
    <t>LT Convertible Notes</t>
  </si>
  <si>
    <t>LT Operating Lease Liabilities</t>
  </si>
  <si>
    <t>LT Finance Lease Liabilities</t>
  </si>
  <si>
    <t>Operating Income</t>
  </si>
  <si>
    <t>Ttl COGS</t>
  </si>
  <si>
    <t>EPS</t>
  </si>
  <si>
    <t>Taxes</t>
  </si>
  <si>
    <t>Registered Exchange: NYSE</t>
  </si>
  <si>
    <t>Workiva Inc. is a leading global software-as-a-service (SaaS) company that provides a cloud-based platform designed to streamline and simplify complex business reporting, compliance, and data management processes for enterprises and large organizations</t>
  </si>
  <si>
    <t>The Company serves customers worldwide, including corporations, government agencies, and other institutions with significant regulatory and reporting requirements</t>
  </si>
  <si>
    <t>The Company’s core offering is a secure, audit-ready, and AI-powered cloud platform that enables organizations to collect, manage, link, and analyze critical business data in real time</t>
  </si>
  <si>
    <t>The Platform allows users to automate and connect data from disparate sources—such as spreadsheets, enterprise resource planning (ERP) systems, and other business applications—into a unified reporting environment, reducing manual effort and risk of errors</t>
  </si>
  <si>
    <t>The Company's solutions are designed to enhance transparency, accountability, and trust by enabling seamless collaboration across teams and ensuring consistency and accuracy in mission-critical reports</t>
  </si>
  <si>
    <t>The platform supports a wide range of use cases, including SEC and ESEF filings, Sarbanes–Oxley (SOX) compliance, ESG and sustainability reporting, internal management reporting, and state and local government disclosures</t>
  </si>
  <si>
    <t>Workiva’s business model emphasizes long-term customer relationships, continuous innovation, and integration with key business and regulatory partners to stay at the forefront of compliance standards and evolving customer needs</t>
  </si>
  <si>
    <t>The Company operates primarily on a subscription-based revenue model, with additional income from professional services such as training, implementation, and optimization</t>
  </si>
  <si>
    <t>The Company's platform (Wdesk) is widely used for financial reporting, regulatory compliance, and environmental, social, and governance (ESG) disclosures</t>
  </si>
  <si>
    <t>Wdesk Platform (Subscription and Support Revenue):</t>
  </si>
  <si>
    <t>Workiva’s primary revenue stream comes from its cloud-based platform, offered through a subscription-based SaaS model</t>
  </si>
  <si>
    <t>This segment includes revenue from core platform access, support, and add-on modules or features</t>
  </si>
  <si>
    <t>Customers can upgrade, renew, or expand their subscriptions, which contributes to high retention rates and predictable, recurring revenue</t>
  </si>
  <si>
    <t>The Wdesk platform segment is the dominant contributor to total revenue, and accounts for the vast majority of Workiva’s income</t>
  </si>
  <si>
    <t>Services (Professional Services Revenue):</t>
  </si>
  <si>
    <t>Workiva also generates revenue from professional services, which include implementation, training, consulting, customization, and integration support for its platform</t>
  </si>
  <si>
    <t>These services are designed to help customers maximize the value of their Workiva subscriptions, ensure successful onboarding, and tailor the platform to specific business needs</t>
  </si>
  <si>
    <t>While professional services represent a smaller portion of total revenue compared to subscriptions, they play a key role in customer satisfaction, retention, and long-term relationship building</t>
  </si>
  <si>
    <t>This dual-segment structure is common among SaaS vendors because professional services are critical for customer success, retention, and expanding platform usage, even though they contribute less to total revenue and typically have lower margins than the core subscription business</t>
  </si>
  <si>
    <t>Service segment is strategically important for onramping clients onto incredibly profitable software partnerships</t>
  </si>
  <si>
    <t>Gross Margin</t>
  </si>
  <si>
    <t>Ttl Liabilities</t>
  </si>
  <si>
    <t>SE</t>
  </si>
  <si>
    <t>Ttl L + SE</t>
  </si>
  <si>
    <t>Convertibles, current</t>
  </si>
  <si>
    <t>Current Ratio</t>
  </si>
  <si>
    <t>Fixed Asset Turnover Ratio</t>
  </si>
  <si>
    <t>Y/y Total Revenues, Net Income, FCF</t>
  </si>
  <si>
    <t>This company has been a cash incinerator for shareholders, and is currently in an equity deficit … FCF is improving, keeping the company solvent … but is it being discounted enough?</t>
  </si>
  <si>
    <t>Huge convertible interest makes me neverous … the companies assets barely cover bond holders … how capital intensive is the business beyond SG&amp;A cashburn?</t>
  </si>
  <si>
    <t>Founder(s): Marty Vanderploeg, Jeff Trom, and Jerome Behar</t>
  </si>
  <si>
    <t>https://www.sec.gov/edgar/browse/?CIK=1445305&amp;owner=exclude</t>
  </si>
  <si>
    <t>https://www.workiva.com/</t>
  </si>
  <si>
    <t>Workiva Homepage</t>
  </si>
  <si>
    <t>Workiva IR page</t>
  </si>
  <si>
    <t>https://seekingalpha.com/symbol/WK/earnings/transcripts</t>
  </si>
  <si>
    <t>MacroTrends</t>
  </si>
  <si>
    <t>https://investor.workiva.com/</t>
  </si>
  <si>
    <t>https://stockanalysis.com/stocks/wk/company/</t>
  </si>
  <si>
    <t>ROIC/WACC</t>
  </si>
  <si>
    <t>https://www.gurufocus.com/term/wacc/WK</t>
  </si>
  <si>
    <t>Founded: 2008</t>
  </si>
  <si>
    <t>Headquarters: Ames, Iowa</t>
  </si>
  <si>
    <t>Current CEO: Julie Iskow</t>
  </si>
  <si>
    <t>Employees: 2,828 (Q4'24)</t>
  </si>
  <si>
    <t>Industry: Institutional Software Application</t>
  </si>
  <si>
    <t>Sector: Technology</t>
  </si>
  <si>
    <t>IPO: Dec 12, 2014 -- $100.8M valuation</t>
  </si>
  <si>
    <t>Can you think of Software revenues as a second derivative of the Consulting revenues … investigate sales cycles in depth and investigate reoccurring revenue/retention percentages</t>
  </si>
  <si>
    <t>Specialized reproting software … but if any of the big tech firms got really serious around internal innovation … I imagine they could commoditize the service, similar to MSFT adding video calls to teams -&gt; Zoom becomes an afterthought</t>
  </si>
  <si>
    <t>I don’t think there are any direct competitors, but there are firms with competitive overlaps, such as BlackLine reporting software, and potentially the legacy CRM/ERP SAAS operators</t>
  </si>
  <si>
    <t>Terminal</t>
  </si>
  <si>
    <t>RFR (10-year yield)</t>
  </si>
  <si>
    <t>ERP 
(Avg. market return - (less) RFR)</t>
  </si>
  <si>
    <t>Equity β (1-year avg.)</t>
  </si>
  <si>
    <t>Discount (Cost of Equity)</t>
  </si>
  <si>
    <t>NPV</t>
  </si>
  <si>
    <t>FV</t>
  </si>
  <si>
    <t>CP</t>
  </si>
  <si>
    <t>Change Δ</t>
  </si>
  <si>
    <t>6/15/25</t>
  </si>
  <si>
    <t>[January - December]</t>
  </si>
  <si>
    <t xml:space="preserve">Significant underpreformance in comparison to peers with competitive overlap </t>
  </si>
  <si>
    <t>Workiva provides more than 6,300 organizations across the globe with SaaS platform solutions to help solve some of the most complex reporting and disclosure challenges</t>
  </si>
  <si>
    <t>While The Company's customers use its platform for more than 100 different use cases, across dozens of vertical industries, The Company organizes sales and marketing resources into three purpose-built solution groups (financial reporting, sustainability management, and GRC) focusing primarily on the offices of the Chief Financial Officer (“CFO”), Chief Sustainability Officer (“CSO”), and Chief Audit Executive (“CAE”)</t>
  </si>
  <si>
    <t>Approximately 90% of our revenue in 2024 was derived from subscription and support fees, with the remainder from professional services</t>
  </si>
  <si>
    <t>In June 2024, The Company launched Workiva Carbon, a new offering that enables organizations to support the requirements of global climate regulations, including the Corporate Sustainability Reporting Directive (“CSRD”) while simplifying the management of net zero targets that thousands of organizations have established voluntarily to meet international guidelines</t>
  </si>
  <si>
    <t xml:space="preserve"> The coveted AAA rating represents MSCI’s highest rating and signifies industry-leader status in managing the most significant Environmental, Social, and Governance (“ESG”) risks and opportunities</t>
  </si>
  <si>
    <t>In July 2024, The Company received a rating of AAA in the MSCI ESG Ratings assessment for the third year in a row</t>
  </si>
  <si>
    <t>In April 2024, The Company was named among the 100 Best Companies to Work For by Fortune magazine for the 6th time and in August 2024</t>
  </si>
  <si>
    <t>The app also streamlines mobile executive reviews, allowing for faster feedback and improved alignment with reporting cycles</t>
  </si>
  <si>
    <t>2024 Company Stated Highlights and Milestones</t>
  </si>
  <si>
    <t>In November 2024, Workiva hosted its third annual Amplify conference in Europe</t>
  </si>
  <si>
    <t>In December 2024, Workiva received a Silver Medal from EcoVadis, placing the company in the top 15% of all companies assessed and was awarded Prime status from the ISS ESG Corporate Rating</t>
  </si>
  <si>
    <t>ISS ESG awards a prime status to companies which, according to their rating process, have been identified as sustainability leaders in their industry</t>
  </si>
  <si>
    <t>In July 2024, The Company released a new version of the Workiva mobile app for iOS and Android devices offering users new capabilities for quick access to files, starring, permissions, comments, and more</t>
  </si>
  <si>
    <t>In the second half of 2024, The Company engaged during Climate Week and COP 29 with regulators, customers, partners, media, and executives</t>
  </si>
  <si>
    <t>In July 2024, The Company's directors authorized a share repurchase program for up to $100 million of The Company's outstanding Class A common stock</t>
  </si>
  <si>
    <t>In the second half of 2024, Workiva launched enhancements to the core platform powering The Company's solutions including linking entire tables to keep data and layout changes in sync, sharable content libraries to streamline data reuse across organizations, and generative artificial intelligence (“GenAI”) prompt libraries with the ability to reference data in Workiva files in the artificial intelligence (“AI”) assistant</t>
  </si>
  <si>
    <t>The Company unveiled Workiva Carbon and reinforced The Company's commitment to sustainability leadership</t>
  </si>
  <si>
    <t xml:space="preserve"> The hybrid event attracted over 600 customers and prospects and was The Company's largest ever in-person event in Europe</t>
  </si>
  <si>
    <t>During 2024, The Company added 10 new innovation patents, bringing The Company's total to 86</t>
  </si>
  <si>
    <t>https://www.macrotrends.net/stocks/charts/WK/workiva/income-statement?freq=A</t>
  </si>
  <si>
    <t>Institutional Partnerships: 6,300+ (Q4'24)</t>
  </si>
  <si>
    <t>Macro Trends</t>
  </si>
  <si>
    <t>Six macro trends have been driving demand for Workiva's platform: the shift to the cloud; finance transformation; remote and hybrid work; influx of disparate data sources; increased complexity of the regulatory environment; and increased stakeholder demands for sustainability data</t>
  </si>
  <si>
    <t>Shift to the Cloud:</t>
  </si>
  <si>
    <t>Having always delivered a cloud native platform, we have assisted many of our clients in adopting our cloud solutions and believe that the market has shifted to a cloud first or in many cases a cloud only set of purchasing requirements</t>
  </si>
  <si>
    <t>Enterprises around the world have been shifting deployment of data management systems from on-premises to the cloud</t>
  </si>
  <si>
    <t>While the importance of finance transformation has been increasing in recent years, we believe that regulatory requirements such as the CSRD and other climate related regulations that require integrated reporting and the ERP upgrade cycle underscore the critical importance of collaborative cloud platforms for reporting and disclosure</t>
  </si>
  <si>
    <t>Each of our fit-for-purpose solutions helps in critical aspects of our customers’ finance transformation journeys and simplifies the complex work around reporting and disclosure</t>
  </si>
  <si>
    <t>Finance Transformation:</t>
  </si>
  <si>
    <t>Remote and Hybrid Work Environments:</t>
  </si>
  <si>
    <t>To attract and retain talent in the marketplace of knowledge workers, enterprises are adopting more flexible work environments</t>
  </si>
  <si>
    <t>Companies that manage a growing number of digital workplace employees are implementing collaborative technologies to streamline work processes and automate decision-making, actions and responses</t>
  </si>
  <si>
    <t>Influx of Disparate Data Sources:</t>
  </si>
  <si>
    <t>As organizations capture and collect more data in more systems, the assembly, aggregation, and consolidation of that data becomes more complex</t>
  </si>
  <si>
    <t>Integrating with and connecting to source systems and applications is a key requirement necessary to address the technical complexity of reporting and disclosure, and is a high priority for the organizations we serve</t>
  </si>
  <si>
    <t>Increased Complexity of the Regulatory Environment:</t>
  </si>
  <si>
    <t>The global regulatory environment continues to expand in both scope and complexity leading to increasing demands for more data and disclosure</t>
  </si>
  <si>
    <t>Regulators are also demanding greater use of structured, machine-readable data in companies’ disclosures</t>
  </si>
  <si>
    <t>Many regulators have already or will be implementing structured data mandates, requiring companies to tag data in their financial statements using eXtensible Business Reporting Language (“XBRL”)</t>
  </si>
  <si>
    <t>The Workiva platform has supported XBRL disclosures for more than 15 years</t>
  </si>
  <si>
    <t>Increased Stakeholder Demands for Sustainability Data:</t>
  </si>
  <si>
    <t>We believe that stakeholder capitalism is increasing in importance and therefore it is increasingly important for companies to be transparent and accountable not just to investors but to other stakeholders, including employees, customers, suppliers, partners and communities. Sustainability management is complex</t>
  </si>
  <si>
    <t>It requires the ingestion, capture, management, and reporting of financial and non-financial data from many disparate sources, and it requires the collaboration of multiple internal stakeholders across finance, risk management, and sustainability teams</t>
  </si>
  <si>
    <t>Growth Vectors</t>
  </si>
  <si>
    <t>We are focusing our investment on four major growth opportunities: The Workiva Platform, Fit-for-Purpose Solutions, Global Expansion, and our Partner Ecosystem</t>
  </si>
  <si>
    <t>The Workiva Platform:</t>
  </si>
  <si>
    <t>People all over the world use our connected, cloud platform to seamlessly enable collaboration and deep integration into existing work streams to simplify their most complex reporting challenges</t>
  </si>
  <si>
    <t>We offer the only unified SaaS platform that brings customers’ financial reporting, sustainability management, and GRC together in a controlled, secure, audit-ready platform. Our platform creates a competitive advantage and positions us to win in the expanding business reporting market</t>
  </si>
  <si>
    <t>Workiva is the leading provider of cloud-based reporting solutions that are designed to solve financial and non-financial business challenges at the intersection of data, process and people</t>
  </si>
  <si>
    <t>We are entering into new markets and geographies with an expanded solutions portfolio</t>
  </si>
  <si>
    <t>Workiva is focused on growing our business through selling multi-solution deals and account expansions</t>
  </si>
  <si>
    <t>Three solution groups that are part of this growth strategy are financial reporting, sustainability management, and GRC:</t>
  </si>
  <si>
    <t>Financial Reporting:</t>
  </si>
  <si>
    <t>Is our longest-tenured group of solutions and continues to represent a significant global opportunity for Workiva among private and public companies. Our customers' external and internal financial reporting processes have adapted significantly to accommodate factors such as increasing regulatory pressure, integration of non-financial data and disclosures, as well as other considerations that influence financial reporting such as economic volatility and geopolitical instability. Additionally, XBRL tagging is expanding beyond traditional financial statements and footnotes within regulatory filings. We believe this evolution in financial reporting processes will continue, which we expect will drive the need for expanded financial reporting solution capabilities including an increase in source data integrations, enhanced automations, an increase in cross-functional team collaboration, and integrated GenAI. We believe that by expanding our robust financial reporting capabilities and deepening our alignment to our other offerings such as sustainability management and GRC, there may be additional growth opportunities for Workiva</t>
  </si>
  <si>
    <t>Sustainability Management:</t>
  </si>
  <si>
    <t>We believe sustainability represents a generational opportunity for growth and we plan to continue to accelerate our investments to meet stakeholders’ growing need for sustainability information. In an increasingly transparent world, organizations across the globe are disclosing non-financial key performance indicators around sustainability issues. Sustainability-related information is beginning to appear in mainstream financial reports and we believe this trend will accelerate in the coming years. Workiva’s fit-for-purpose sustainability management solution provides an effective platform to help organizations manage, collaborate, and disclose their sustainability information to stakeholders. We will continue to leverage what we believe is the superior sustainability management solution to grow our business</t>
  </si>
  <si>
    <t>Governance, Risk, and Compliance:</t>
  </si>
  <si>
    <t xml:space="preserve"> GRC is a broad market segment that can be defined by a number of solution areas including internal audit, internal controls, risk management, policy management, vendor risk, and IT risk. Risk Management is a high priority for CEOs and across boardrooms all over the globe. Workiva’s GRC solution suite enables our customers to identify, track, and manage risk so that customers can operate legally, ethically, and in compliance with regulations. In the second quarter of 2024, Workiva was named a “Best of Breed” provider among GRC platforms by independent research firm, Chartis Research. We will continue to leverage our GRC leadership to grow our business</t>
  </si>
  <si>
    <t>Global Expansion:</t>
  </si>
  <si>
    <t>We believe growth outside of North America presents an attractive opportunity because the factors that drive demand for our solutions in North America are similar to those in other developed countries, including the need to manage complex datasets, reduce errors and risk, improve efficiency and respond to regulatory requirements</t>
  </si>
  <si>
    <t>In 2024, we generated approximately 18% of our consolidated revenue from EMEA and APAC, and we expect these global markets to contribute an increasing percentage of total revenue</t>
  </si>
  <si>
    <t>Partner Ecosystem:</t>
  </si>
  <si>
    <t>We believe that our ecosystem of partners extends our geographic reach, accelerates the usage and adoption of our platform, and enables more efficient delivery of professional services</t>
  </si>
  <si>
    <t>We intend to expand and deepen our relationships with global and regional partners, including global consulting firms, systems integrators, large and mid-sized independent software vendors and implementation partners</t>
  </si>
  <si>
    <t>Our over 200 advisory, technology, and service partners offer a wider range of domain and functional expertise that broadens our platform’s capabilities and promotes Workiva as part of the digital transformation projects they drive for their customers</t>
  </si>
  <si>
    <t>Workiva Platform [expanded]</t>
  </si>
  <si>
    <t>The Workiva platform is multi-tenant cloud software deployed in multiple regions worldwide. Our platform, built primarily on Amazon Web Services (“AWS”), is composed of both proprietary and open-source technologies</t>
  </si>
  <si>
    <t>We believe the following characteristics highlight our platform’s key competitive advantages:</t>
  </si>
  <si>
    <t>Features and Functionality:</t>
  </si>
  <si>
    <t>Fit-for-Purpose Solutions:</t>
  </si>
  <si>
    <t>Our platform allows customers to connect data from multiple ERP, HCM and CRM systems, as well as other third-party cloud and on-premise applications with complete control, context, and clarity</t>
  </si>
  <si>
    <t>Workiva's drag-and-drop data transformation and preparation capabilities deliver previews and provide insights instantaneously</t>
  </si>
  <si>
    <t>Organizations can simply extract data from sources into the Workiva platform where they can perform queries, filter, and clean the datasets, and do it across millions of records that typical spreadsheets can’t handle</t>
  </si>
  <si>
    <t>Once the data is connected in the Workiva platform, users can automate data and workflow updates, track every change and seamlessly collaborate with colleagues to create trusted reports and regulatory filings</t>
  </si>
  <si>
    <t>Easy to Deploy and Configure:</t>
  </si>
  <si>
    <t>Because our solutions are browser-based, customers avoid costly, time-intensive deployments typically associated with on-premise enterprise software</t>
  </si>
  <si>
    <t>The Workiva platform can be deployed within days or weeks for new customers and can be easily configured by the customer for individual employees or entire teams</t>
  </si>
  <si>
    <t>High Performance:</t>
  </si>
  <si>
    <t>The architecture, design, deployment and management of our solutions provide enterprise-grade scalability, availability and security</t>
  </si>
  <si>
    <t>The performance of the Workiva platform has been tested and proven by some of the largest, most demanding enterprises in the world</t>
  </si>
  <si>
    <t>Continuous Improvement:</t>
  </si>
  <si>
    <t>Frequent collaboration with customers and development iteration allow us to make continuous improvements by releasing a new version of our platform several times each week</t>
  </si>
  <si>
    <t>Scales Rapidly:</t>
  </si>
  <si>
    <t>The Workiva platform is designed to support millions of end users as a result of its scalability and our relationship with AWS</t>
  </si>
  <si>
    <t>Our customers have created billions of links to seamlessly achieve a single source of data, among multiple documents, spreadsheets and presentations</t>
  </si>
  <si>
    <t>Secure:</t>
  </si>
  <si>
    <t>Many of the largest enterprises in the world trust us with their most sensitive data</t>
  </si>
  <si>
    <t>We employ stringent data security, reliability, integrity and privacy practices. In addition to our regular customer security assessments, we engage in continuous and ongoing penetration and vulnerability testing (manual and automatic, internal and third-party) and adhere to standards established by third parties such as Federal Risk and Authorization Management Program (“FedRAMP”) and ISO 27001</t>
  </si>
  <si>
    <t>We also engage third-party auditors to evaluate our controls against the service organization controls (“SOC”) compliance frameworks</t>
  </si>
  <si>
    <t>Generative AI:</t>
  </si>
  <si>
    <t xml:space="preserve"> We believe the use of AI/ML must be guided by principles of fairness, transparency, accountability, and respect for privacy and security. Customers are using the GenAI capabilities to author new content quickly, refine, edit, and rewrite content, generate ideas and perspectives, and research with a thought partner on demand</t>
  </si>
  <si>
    <t>Our GenAI capabilities seek to enhance the way finance, risk, and sustainability teams work, improving content creation, editing, and collaboration</t>
  </si>
  <si>
    <t>This policy applies to all employees, contractors, partners, and other third parties who interact with or utilize AI/ML systems on behalf of their organizations</t>
  </si>
  <si>
    <t xml:space="preserve"> In 2024, we refined and expanded our policy outlining the guidelines and principles for the responsible and ethical usage of AI and Machine Learning (“ML”) technologies within Workiva</t>
  </si>
  <si>
    <t>With the complex and sensitive work associated with financial reporting, sustainability management, audit, and risk, responsible AI usage is paramount—particularly when it comes to data security, subject-matter expertise, and human oversight</t>
  </si>
  <si>
    <t>Marketplace:</t>
  </si>
  <si>
    <t>The Workiva Marketplace enables organizations to streamline existing processes and solve new business problems by activating more than 200 ready-made templates and no-code data connectors, and services from industry experts and trusted partners — all within the Workiva platform’s connected and secure ecosystem</t>
  </si>
  <si>
    <t>Its offerings include process checklists, carefully organized and linked reports, style guides, perfectly formatted presentations, and more. Accounting, sustainability, audit, financial planning and analysis, financial services, and legal teams can easily add templates or connectors directly into an existing Workiva workspace and optimize workflow with process automation, practical examples, and industry best practices</t>
  </si>
  <si>
    <t>With our platform’s data-linking capabilities, every change is automatically updated in all linked instances—including narrative and numbers—throughout spreadsheets, word-processing documents, charts and graphs, presentation decks and dashboards in our platform. Linking enables data consistency and traceability and ensures that collaborators are working with the most current data</t>
  </si>
  <si>
    <t>Our platform's detailed audit trail provides accountability and transparency by tracking every change made by every user over time. A complete record of data provenance and all changes helps our customers mitigate risk, gain insights and make better, data-driven decisions</t>
  </si>
  <si>
    <t>With permission controls in our platform, administrators can manage access at all levels so each user can create, review and edit data and documents</t>
  </si>
  <si>
    <t>This control feature also enables users to grant access to their external auditors, outside counsel and other consultants, which further streamlines the review process and reduces expenses</t>
  </si>
  <si>
    <t>Fit-for-Purpose Solutions [expanded]</t>
  </si>
  <si>
    <t>We market and sell over 30 fit-for-purpose solutions that are categorized into four reporting groups: financial reporting; sustainability management; GRC; and industry verticals</t>
  </si>
  <si>
    <t>Global Statutory Reporting:</t>
  </si>
  <si>
    <t>We see growing demand for our platform in the United States (“U.S.”) and in Europe for statutory reporting, which is a complex process for our multinational customers that are required to report statutory financial information throughout different countries and local jurisdictions where they do business</t>
  </si>
  <si>
    <t>Currently, most of these enterprises rely on hundreds of legacy word-processing documents and spreadsheets with no digital audit trail</t>
  </si>
  <si>
    <t xml:space="preserve">This disconnected, manual process is prone to errors and creates the risk of accounting inconsistencies in reports between legal entities across jurisdictions </t>
  </si>
  <si>
    <t>Without a standardized process and central oversight, companies face enormous risk and high expenses related to outsourcing to a bevy of consultants and accounting firms, which weakens control and extends review time</t>
  </si>
  <si>
    <t>Securities and Exchange Commission (“SEC”) and System for Electronic Document Analysis and Retrieval (“SEDAR”) Reporting</t>
  </si>
  <si>
    <t>Our platform gives customers control over the entire SEC reporting process, from data collection to drafting to embedding supporting documentation to the actual filing with Inline XBRL</t>
  </si>
  <si>
    <t>Our SEC reporting solution allows our customers to prepare and file all major SEC reports, such as Form 10-K, Form 10-Q and Form 8-K, as well as Form S-1 and other registration statements, proxy statements and Section 16 reports</t>
  </si>
  <si>
    <t>Features tailored to the SEC reporting process include the capability to concurrently create reports in the HTML format required for filing on the SEC’s Electronic Data Gathering, Analysis and Retrieval (“EDGAR”) system and the ability to perform XBRL tagging as well as to submit SEC reports with Inline XBRL (“iXBRL”)</t>
  </si>
  <si>
    <t>Foreign Private Issuers can use our platform to include XBRL tagging in their 20-F and 40-F filings with the SEC. Workiva also enables customers to create earnings press releases, earnings call scripts, presentations and other investor relations materials with data linked to the corresponding filing</t>
  </si>
  <si>
    <t>Canadian issuers can use our platform to draft and submit reports through SEDAR</t>
  </si>
  <si>
    <t>Capital Markets:</t>
  </si>
  <si>
    <t>Workiva offers an end-to-end technology platform supporting our customers throughout their journey as they move from being a privately held company to being publicly traded</t>
  </si>
  <si>
    <t>We believe that our platform approach and fit-for-purpose solutions provide a competitive differentiation in the market</t>
  </si>
  <si>
    <t>Private companies can purchase the Workiva platform for financial reporting, management reporting and controls management</t>
  </si>
  <si>
    <t>As these companies go through the IPO process, they then have the opportunity to use the capital markets solution on our platform to manage the creation of their Form S-1 to register their securities with the U.S. Securities and Exchange Commission</t>
  </si>
  <si>
    <t>Around the time they go public, many of these customers may then purchase our SEC solution, which enables companies to prepare and file all major SEC reports, and expand the use of our platform to support their audit requirements under the Sarbanes-Oxley Act (“SOX”)</t>
  </si>
  <si>
    <t>They may do this up to a year or two in advance of their target initial public offering (“IPO”) date</t>
  </si>
  <si>
    <t>Annual &amp; Interim Reporting:</t>
  </si>
  <si>
    <t>Workiva provides customers control over their entire financial reporting process, from data collection to drafting to embedding supporting documentation to submitting their financial statements to their board, ownership structure and/or debt holders</t>
  </si>
  <si>
    <t>Workiva enables customers to manage their entire process of creating financial statements with more confidence through connecting directly to their financial source systems like ERPs and general ledgers</t>
  </si>
  <si>
    <t>This reduces human error and increases data reliability during financial statement consolidation. Workiva also enables speed through automation which reduces the time-consuming, stressful process of gathering financial data, freeing your time for telling your financial story</t>
  </si>
  <si>
    <t>We believe ESEF is an accelerator for modernization of corporate reporting in Europe. ESEF is an annual financial reporting regulation specified by the European Securities and Markets Authority (“ESMA”). The ESMA mandate requires all specified issuers on European Union (“E.U.”) &amp; United Kingdom regulated markets to file annual account statements in a digital format using iXBRL</t>
  </si>
  <si>
    <t>The key driver for ESEF is greater transparency and requires standardized reporting, consistently structured and accessible for stakeholders, thus we believe making it an ideal fit for Workiva</t>
  </si>
  <si>
    <t>More than 4,000 European issuers are subject to the required taxonomy for their annual financial reports</t>
  </si>
  <si>
    <t>Management Reporting:</t>
  </si>
  <si>
    <t>European Single Electronic Format (“ESEF”):</t>
  </si>
  <si>
    <t>Public and private companies, government agencies and higher-education institutions must create a vast array of complex financial and managerial reports</t>
  </si>
  <si>
    <t>Organizations of all sizes typically have to collect, track, manage and report on a wide range of operating metrics to drive better business outcomes</t>
  </si>
  <si>
    <t>Our customers continuously find new use cases across their organizations, including Financial Planning and Analysis (“FP&amp;A”), board/committee and quarterly reporting, C-Suite reporting, strategic business plans, financial statements, variance reports, monthly management reports, managing and tracking key performance indicators, data collection for domestic sales, performance reporting, and employee benefit financial statements</t>
  </si>
  <si>
    <t>Workiva’s sustainability management solution enables organizations to deliver high-quality disclosures to their most important stakeholders, including investors, regulatory agencies, executive management, and their boards by connecting information directly across sustainability reports, statutory disclosures, annual reports, earnings call scripts, and regulatory filings, with support for XBRL tagging</t>
  </si>
  <si>
    <t>Our platform also helps organizations proactively confront a complex and rapidly changing regulatory landscape to create integrated and assured reports that will address the disclosure requirements of the CSRD in the E.U., and California’s Climate Corporate Data Accountability Act (SB-253) and Climate-Related Financial Risk Act (SB-261)</t>
  </si>
  <si>
    <t xml:space="preserve">Our platform streamlines the sustainability management process end-to-end, from data collection and management to final report </t>
  </si>
  <si>
    <t>Customers use our solution to collect quantitative and qualitative values to report for sustainability topics, reference sustainability frameworks and standards to align with stakeholder interests, request and track the data collection of sustainability values, and connect information across reports, from sustainability reports to financial reports and internal presentations, to create a single source of truth for sustainability metrics and disclosures</t>
  </si>
  <si>
    <t>Customers can use the ESG Explorer to review and compare guidelines from multiple frameworks and standards, including Global Reporting Initiative (“GRI”) Standards, Sustainability Accounting Standards Board (“SASB”), Task Force on Climate-related Financial Disclosures (“TCFD”), and the United Nations Sustainable Development Goals (“SDGs”)</t>
  </si>
  <si>
    <t>ESG Program, the digital hub on workiva.com, creates a connected and collaborative hub for sustainability teams and stakeholders to operationalize their sustainability initiatives</t>
  </si>
  <si>
    <t>Customers can identify and organize the topics that are material to their organization, create automated processes to collect, review, and maintain metrics from systems of records and other data providers, and connect metrics to reports, presentations, and surveys, including submitting responses to CDP (formerly Carbon Disclosure Project)</t>
  </si>
  <si>
    <t>Workiva Carbon is a new offering in 2024 that advances our sustainability management solution to support organizations’ requirements for carbon accounting, including the tracking and disclosure of carbon emissions for scopes one, two, and three, and decarbonization</t>
  </si>
  <si>
    <t>Workiva Carbon enables organizations to measure, manage, collaborate and report on emissions data to support their net-zero, supply chain, and regulatory reporting requirements</t>
  </si>
  <si>
    <t>Controls Management:</t>
  </si>
  <si>
    <t>Our customers use our platform to increase efficiency in documenting, implementing and assessing internal controls over financial reporting (“ICFR”) as required by SOX</t>
  </si>
  <si>
    <t>SOX also requires public company Chief Executive Officers and Chief Financial Officers to individually certify that their annual and quarterly financial reports are accurate and complete and to assess the effectiveness of their ICFR. Increased scrutiny from the Public Company Accounting Oversight Board on audits of management’s assessment of internal controls – and the transition in the framework used for assessing internal controls – is driving public companies to find more efficient and accurate solutions for SOX compliance</t>
  </si>
  <si>
    <t>Our customers can collect data from multiple departments, centralize that information in a linked platform, create and track process narratives and flows with co-workers, embed evidence and directly test controls</t>
  </si>
  <si>
    <t>Internal Audit Management:</t>
  </si>
  <si>
    <t>We sell to the broad-based audit market because users in that market often collaborate with colleagues working in SOX, risk and controls across an organization</t>
  </si>
  <si>
    <t>Internal audit management extends throughout an organization, attracting Workiva customers from a wide range of departments</t>
  </si>
  <si>
    <t>Internal audit management includes audit risk assessments, the audit planning process, workpaper management, testing, issues management and audit reports that encompass the audit committee report and the internal audit group</t>
  </si>
  <si>
    <t>Workiva enables simultaneous collaboration with control and accountability and enables robust documentation, accurate audit conclusions and complete audit trails, which are essential to auditors, executives and boards</t>
  </si>
  <si>
    <t>With permission controls, administrators can restrict access at all levels for each user to create, review and edit data and documents that relate directly to them</t>
  </si>
  <si>
    <t>This control feature also enables users to grant access to their external auditors, which further streamlines the review process and reduces expenses</t>
  </si>
  <si>
    <t>Enterprise Risk Management (“ERM”):</t>
  </si>
  <si>
    <t>With our platform, our customers can integrate their risk management practices throughout the organization while maintaining information privacy, audit trails and security resulting in highly efficient and transparent compliance</t>
  </si>
  <si>
    <t>We also sell a solution for ERM to help enterprises identify systemic risks, determine risk probabilities, assess risk magnitude, plan strategic responses, report to boards and other stakeholders and ultimately make real-time ERM decisions</t>
  </si>
  <si>
    <t>Policy and Procedure Management:</t>
  </si>
  <si>
    <t>Our customers can use our platform to establish a connected, enterprise-wide policy and procedure management process</t>
  </si>
  <si>
    <t>Teams can access and manage all content for policies, standards, procedures and guidelines for the entire enterprise in our platform, and they can efficiently manage ongoing policy review cycles throughout the year</t>
  </si>
  <si>
    <t>Customers can map policies directly to risks, controls, processes and regulations and create a consistent template-driven format or taxonomy for all policies. Customers can also distribute and track employee attestation of policies and procedures with automated certification reminders and progress dashboards</t>
  </si>
  <si>
    <t>Industry Verticals:</t>
  </si>
  <si>
    <t>Financial Services:</t>
  </si>
  <si>
    <t>We market our platform globally to banks, insurance and investment firms with fit-for-purpose solutions to simplify the complexity of regulatory, financial, risk and sustainability management. Examples of banking regulations our customers face include global regulatory standards (Basel 1, 2 and 3); regional regulatory requirements (e.g., Federal Reserve for the U.S. and European Banking Authority and European Central Bank requirements across E.U. member States); and at the in-country level (e.g. Central Bank Stress Tests)</t>
  </si>
  <si>
    <t>These regulations cover a wide array of capital and liquidity standards that banks are required by law to disclose publicly, privately to regulators and internally to support board and executive level decision-making</t>
  </si>
  <si>
    <t>Our platform aids insurance customers to meet insurance regulatory requirements in the U.S. and globally</t>
  </si>
  <si>
    <t>For example, in the U.S., insurers are regulated both in their state of domicile and in other states in which they are licensed to sell insurance, and Workiva supports insurance statutory reporting by state and other use cases such as actuarial memorandum</t>
  </si>
  <si>
    <t>In Europe, we assist our clients with their in-country regulatory reporting requirements, such as with the European Insurance and Occupational Pensions Authority and the Basel norms for insurance companies</t>
  </si>
  <si>
    <t>They use the platform to meet insurance reporting regulations for regulatory capital requirements and specific disclosure requirements publicly, privately to regulators and internally to support board and executive level decision-making</t>
  </si>
  <si>
    <t>We also market our platform to assists asset management firms and fund administrators with end to end internal and external fund reporting including financial, regulatory, and investor reporting</t>
  </si>
  <si>
    <t>Public Sector:</t>
  </si>
  <si>
    <t>State and local governments use our platform to streamline and modernize Comprehensive Annual Financial Reports and budgeting</t>
  </si>
  <si>
    <t>We are also expanding adoption of our platform across U.S. government agencies</t>
  </si>
  <si>
    <t>With our FedRAMP authorization, we can help federal agencies connect, control and report up to 80 percent of their information types</t>
  </si>
  <si>
    <t>Energy &amp; Utility Sector:</t>
  </si>
  <si>
    <t>Workiva provides connected reporting solutions that improve data accuracy for energy and utilities companies across state commission filings, utility rate making documents, SEC filings, financial and performance reports, and SOX documentation</t>
  </si>
  <si>
    <t>We market our platform to help companies comply with the Federal Energy Regulatory Commission (“FERC”) XBRL mandate. More than 200 utility, natural gas, oil pipeline and centralized service companies are required to file quarterly and annual reports using XBRL</t>
  </si>
  <si>
    <t>Research and Development</t>
  </si>
  <si>
    <t>Business Segments</t>
  </si>
  <si>
    <t>Company Overview</t>
  </si>
  <si>
    <t>Our research and development organization is responsible for the design, development, testing, and validation of our platform and fit-for-purpose solutions</t>
  </si>
  <si>
    <t>We focus on innovating and developing new solutions and furthering the openness and extensibility of our platform</t>
  </si>
  <si>
    <t>We believe that delivering new functionality for our customers is an integral part of our product strategy and provides our customers with access to a broad array of options and information critical to enhancing their reporting, disclosure and digital transformation efforts</t>
  </si>
  <si>
    <t>We have invested more than $1.1 billion over the last decade to create a differentiated technology platform for our customers</t>
  </si>
  <si>
    <t>We expect that we will continue to make strategic investments in research and development to broaden our platform capabilities, strengthen our existing solutions, enhance our user experience and ecosystem with integrations, and develop new solutions</t>
  </si>
  <si>
    <t>We focus on customer engagement to envision the future of our platform to bring about new capabilities and versions of existing solutions to market quickly in order to remain competitive in the marketplace</t>
  </si>
  <si>
    <t>Customers</t>
  </si>
  <si>
    <t>Thousands of organizations, including global enterprises with hundreds of thousands of employees, trust Workiva. Customers include over 90% of the top 100 public and private companies that report annual revenue figures to a government agency, as well as over 85% of the top 500 companies, and over 80% of the top 1,000 companies</t>
  </si>
  <si>
    <t>As of December 31, 2024, we had more than 6,300 customers. Our customers are passionate, loyal supporters of our solutions, as demonstrated by our gross retention rate of 97.4% as of December 31, 2024. Our net retention rate was 111.9% as of December 31, 2024</t>
  </si>
  <si>
    <t>Competition</t>
  </si>
  <si>
    <t>The intensity and nature of our competition vary significantly across our different solutions, as changes in regulation and market trends result in evolving customer requirements and demand for enterprise software. Our primary competitors include:</t>
  </si>
  <si>
    <t>Status quo, manual business processes that rely on legacy software productivity tools</t>
  </si>
  <si>
    <t>Diversified enterprise software providers</t>
  </si>
  <si>
    <t>Niche software providers that provide point solutions</t>
  </si>
  <si>
    <t>Providers of professional services, including consultants and financial printers</t>
  </si>
  <si>
    <t>Sustainability and data management software providers</t>
  </si>
  <si>
    <t>Governance, risk, and compliance software providers</t>
  </si>
  <si>
    <t>Business intelligence / performance management software providers</t>
  </si>
  <si>
    <t>As our markets expand, we expect to compete with more highly specialized software vendors, as well as larger vendors that may continue to acquire or bundle their products more effectively</t>
  </si>
  <si>
    <t>The principal competitive factors in our market include: product features, reliability, performance and effectiveness; product line breadth, diversity and applicability; product extensibility and ability to integrate with other technology infrastructures; price and total cost of ownership; adherence to industry standards and certifications; strength of sales and marketing efforts; and brand awareness and reputation</t>
  </si>
  <si>
    <t>We believe that our cloud-based platform has the combination of features and value to our customers that will continue to allow us to compete effectively</t>
  </si>
  <si>
    <t>Ticker:</t>
  </si>
  <si>
    <t>Additional Notes:</t>
  </si>
  <si>
    <t>AuditBoard</t>
  </si>
  <si>
    <t>Private</t>
  </si>
  <si>
    <t>BlackLine</t>
  </si>
  <si>
    <t>BL</t>
  </si>
  <si>
    <t>Vena Solutions</t>
  </si>
  <si>
    <t>Anaplan</t>
  </si>
  <si>
    <t>PLAN</t>
  </si>
  <si>
    <t>Oracle</t>
  </si>
  <si>
    <t>ORCL</t>
  </si>
  <si>
    <t>SAP</t>
  </si>
  <si>
    <t>IBM</t>
  </si>
  <si>
    <t>OneStream Software</t>
  </si>
  <si>
    <t>Novisto</t>
  </si>
  <si>
    <t>FloQast</t>
  </si>
  <si>
    <t>MetricStream</t>
  </si>
  <si>
    <t>Competitors:</t>
  </si>
  <si>
    <t>&lt;- Provides cloud software for finance automation, especially account reconciliation and financial close; overlaps in financial reporting and compliance</t>
  </si>
  <si>
    <t>&lt;- Offers a leading cloud-based platform for audit, risk, and compliance management; strong overlap in SOX, risk, and ESG reporting</t>
  </si>
  <si>
    <t>&lt;- Delivers FP&amp;A, budgeting, and reporting solutions with Excel integration; competes in financial reporting and planning workflows</t>
  </si>
  <si>
    <t>&lt;- Enterprise planning and performance management platform; overlaps in budgeting, forecasting, and reporting for large organizations</t>
  </si>
  <si>
    <t>&lt;- Offers governance, risk, compliance, and ESG software; competes in audit, risk, and sustainability reporting</t>
  </si>
  <si>
    <t>Diligent Corp.</t>
  </si>
  <si>
    <t>&lt;- Comprehensive suite of enterprise applications for financial management, reporting, and compliance; overlaps in large enterprise accounts</t>
  </si>
  <si>
    <t>&lt;- Delivers unified corporate performance management (CPM) solutions; overlaps in financial consolidation, reporting, and compliance</t>
  </si>
  <si>
    <t>&lt;- Offers data, analytics, and compliance solutions for enterprises; overlaps in regulatory reporting and data management</t>
  </si>
  <si>
    <t>&lt;- Provides enterprise resource planning and financial reporting solutions; overlaps in integrated reporting and compliance for global organizations</t>
  </si>
  <si>
    <t>&lt;- Specializes in financial close automation and reconciliation; overlaps in financial reporting and compliance processes</t>
  </si>
  <si>
    <t>Trinitech</t>
  </si>
  <si>
    <t>&lt;- Focuses on ESG data management and reporting; direct competition in sustainability and ESG disclosure solutions</t>
  </si>
  <si>
    <t>&lt;- Offers integrated risk management, audit, and compliance solutions; overlaps in GRC (governance, risk, and compliance) workflows</t>
  </si>
  <si>
    <t>In all sincerity, I'm wondering if the IPO was more of a liquidity event for private holders … I feel like this business teaters on being better off if private, or within another big tech companies tech stack … Is this a buy-out/acquisition story?</t>
  </si>
  <si>
    <t>&lt;- Provides close management software for accounting teams; overlaps in financial close and reporting automation</t>
  </si>
  <si>
    <t>More</t>
  </si>
  <si>
    <t>1257 Trading Days (From: 6/11/25 - 6/11/2020)</t>
  </si>
  <si>
    <t>2900 University Boulevard, Ames, Iowa 50010</t>
  </si>
  <si>
    <t>(888) 275-3125</t>
  </si>
  <si>
    <t>Q3'25</t>
  </si>
  <si>
    <t xml:space="preserve">Financial Stmts. Notes/Observations </t>
  </si>
  <si>
    <t>1/10/2026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</si>
</sst>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
    <numFmt numFmtId="165" formatCode="0.0%"/>
    <numFmt numFmtId="166" formatCode="_(* #,##0_);_(* \(#,##0\);_(* &quot;-&quot;??_);_(@_)"/>
  </numFmts>
  <fonts count="19">
    <font>
      <sz val="11"/>
      <color theme="1"/>
      <name val="Calibri"/>
      <family val="2"/>
      <scheme val="minor"/>
    </font>
    <font>
      <sz val="11"/>
      <color theme="1"/>
      <name val="Calibri"/>
      <family val="2"/>
      <scheme val="minor"/>
    </font>
    <font>
      <sz val="11"/>
      <color theme="1"/>
      <name val="Calibre"/>
    </font>
    <font>
      <b/>
      <sz val="11"/>
      <color theme="1"/>
      <name val="Calibre"/>
    </font>
    <font>
      <b/>
      <sz val="11"/>
      <color theme="0"/>
      <name val="Calibre"/>
    </font>
    <font>
      <sz val="11"/>
      <color theme="0"/>
      <name val="Calibre"/>
    </font>
    <font>
      <b/>
      <sz val="10"/>
      <name val="Arial"/>
      <family val="2"/>
    </font>
    <font>
      <i/>
      <sz val="11"/>
      <color theme="1"/>
      <name val="Calibre"/>
    </font>
    <font>
      <b/>
      <sz val="10"/>
      <name val="Calibre"/>
    </font>
    <font>
      <i/>
      <sz val="11"/>
      <color theme="1"/>
      <name val="Calibri"/>
      <family val="2"/>
      <scheme val="minor"/>
    </font>
    <font>
      <b/>
      <i/>
      <sz val="11"/>
      <color theme="1"/>
      <name val="Calibri"/>
      <family val="2"/>
      <scheme val="minor"/>
    </font>
    <font>
      <b/>
      <sz val="11"/>
      <name val="Calibre"/>
    </font>
    <font>
      <b/>
      <sz val="11"/>
      <color rgb="FF0070C0"/>
      <name val="Calibre"/>
    </font>
    <font>
      <sz val="11"/>
      <color rgb="FF0070C0"/>
      <name val="Calibre"/>
    </font>
    <font>
      <sz val="11"/>
      <name val="Calibre"/>
    </font>
    <font>
      <u/>
      <sz val="11"/>
      <color theme="10"/>
      <name val="Calibri"/>
      <family val="2"/>
      <scheme val="minor"/>
    </font>
    <font>
      <u/>
      <sz val="11"/>
      <color rgb="FF00B0F0"/>
      <name val="Calibre"/>
    </font>
    <font>
      <sz val="10"/>
      <name val="Arial"/>
      <family val="2"/>
    </font>
    <font>
      <sz val="11"/>
      <color theme="4" tint="-0.249977111117893"/>
      <name val="Calibre"/>
    </font>
  </fonts>
  <fills count="6">
    <fill>
      <patternFill patternType="none"/>
    </fill>
    <fill>
      <patternFill patternType="gray125"/>
    </fill>
    <fill>
      <patternFill patternType="solid">
        <fgColor rgb="FF002060"/>
        <bgColor indexed="64"/>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rgb="FFF5F5F5"/>
      </patternFill>
    </fill>
  </fills>
  <borders count="24">
    <border>
      <left/>
      <right/>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bottom/>
      <diagonal/>
    </border>
    <border>
      <left/>
      <right style="thin">
        <color indexed="64"/>
      </right>
      <top/>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
      <left style="thin">
        <color indexed="64"/>
      </left>
      <right/>
      <top style="thin">
        <color theme="4" tint="0.39997558519241921"/>
      </top>
      <bottom style="thin">
        <color theme="4" tint="0.39997558519241921"/>
      </bottom>
      <diagonal/>
    </border>
    <border>
      <left style="thin">
        <color indexed="64"/>
      </left>
      <right style="thin">
        <color indexed="64"/>
      </right>
      <top style="thin">
        <color theme="4" tint="0.39997558519241921"/>
      </top>
      <bottom style="thin">
        <color indexed="64"/>
      </bottom>
      <diagonal/>
    </border>
    <border>
      <left style="thin">
        <color indexed="64"/>
      </left>
      <right/>
      <top style="thin">
        <color theme="4" tint="0.39997558519241921"/>
      </top>
      <bottom style="thin">
        <color indexed="64"/>
      </bottom>
      <diagonal/>
    </border>
    <border>
      <left/>
      <right/>
      <top/>
      <bottom style="medium">
        <color indexed="64"/>
      </bottom>
      <diagonal/>
    </border>
  </borders>
  <cellStyleXfs count="5">
    <xf numFmtId="0" fontId="0" fillId="0" borderId="0"/>
    <xf numFmtId="9" fontId="1" fillId="0" borderId="0" applyFont="0" applyFill="0" applyBorder="0" applyAlignment="0" applyProtection="0"/>
    <xf numFmtId="44" fontId="1" fillId="0" borderId="0" applyFont="0" applyFill="0" applyBorder="0" applyAlignment="0" applyProtection="0"/>
    <xf numFmtId="0" fontId="15" fillId="0" borderId="0" applyNumberFormat="0" applyFill="0" applyBorder="0" applyAlignment="0" applyProtection="0"/>
    <xf numFmtId="43" fontId="1" fillId="0" borderId="0" applyFont="0" applyFill="0" applyBorder="0" applyAlignment="0" applyProtection="0"/>
  </cellStyleXfs>
  <cellXfs count="107">
    <xf numFmtId="0" fontId="0" fillId="0" borderId="0" xfId="0"/>
    <xf numFmtId="0" fontId="2" fillId="0" borderId="0" xfId="0" applyFont="1"/>
    <xf numFmtId="0" fontId="3" fillId="0" borderId="0" xfId="0" applyFont="1"/>
    <xf numFmtId="0" fontId="4"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4" fillId="3" borderId="1" xfId="0" applyFont="1" applyFill="1" applyBorder="1" applyAlignment="1">
      <alignment horizontal="left"/>
    </xf>
    <xf numFmtId="0" fontId="5" fillId="3" borderId="2" xfId="0" applyFont="1" applyFill="1" applyBorder="1" applyAlignment="1">
      <alignment horizontal="center"/>
    </xf>
    <xf numFmtId="0" fontId="5" fillId="3" borderId="5" xfId="0" applyFont="1" applyFill="1" applyBorder="1" applyAlignment="1">
      <alignment horizontal="center"/>
    </xf>
    <xf numFmtId="10" fontId="2" fillId="4" borderId="6" xfId="0" applyNumberFormat="1" applyFont="1" applyFill="1" applyBorder="1"/>
    <xf numFmtId="10" fontId="2" fillId="4" borderId="7" xfId="0" applyNumberFormat="1" applyFont="1" applyFill="1" applyBorder="1"/>
    <xf numFmtId="0" fontId="4" fillId="3" borderId="8" xfId="0" applyFont="1" applyFill="1" applyBorder="1" applyAlignment="1">
      <alignment horizontal="left"/>
    </xf>
    <xf numFmtId="0" fontId="5" fillId="3" borderId="0" xfId="0" applyFont="1" applyFill="1" applyAlignment="1">
      <alignment horizontal="center"/>
    </xf>
    <xf numFmtId="0" fontId="5" fillId="3" borderId="9" xfId="0" applyFont="1" applyFill="1" applyBorder="1" applyAlignment="1">
      <alignment horizontal="center"/>
    </xf>
    <xf numFmtId="10" fontId="2" fillId="0" borderId="10" xfId="0" applyNumberFormat="1" applyFont="1" applyBorder="1"/>
    <xf numFmtId="10" fontId="2" fillId="0" borderId="11" xfId="0" applyNumberFormat="1" applyFont="1" applyBorder="1"/>
    <xf numFmtId="10" fontId="2" fillId="4" borderId="10" xfId="0" applyNumberFormat="1" applyFont="1" applyFill="1" applyBorder="1"/>
    <xf numFmtId="10" fontId="2" fillId="4" borderId="11" xfId="0" applyNumberFormat="1" applyFont="1" applyFill="1" applyBorder="1"/>
    <xf numFmtId="0" fontId="4" fillId="3" borderId="12" xfId="0" applyFont="1" applyFill="1" applyBorder="1" applyAlignment="1">
      <alignment horizontal="left"/>
    </xf>
    <xf numFmtId="0" fontId="5" fillId="3" borderId="13" xfId="0" applyFont="1" applyFill="1" applyBorder="1" applyAlignment="1">
      <alignment horizontal="center"/>
    </xf>
    <xf numFmtId="0" fontId="5" fillId="3" borderId="14" xfId="0" applyFont="1" applyFill="1" applyBorder="1" applyAlignment="1">
      <alignment horizontal="center"/>
    </xf>
    <xf numFmtId="10" fontId="2" fillId="0" borderId="15" xfId="0" applyNumberFormat="1" applyFont="1" applyBorder="1"/>
    <xf numFmtId="10" fontId="2" fillId="0" borderId="16" xfId="0" applyNumberFormat="1" applyFont="1" applyBorder="1"/>
    <xf numFmtId="0" fontId="6" fillId="5" borderId="0" xfId="0" applyFont="1" applyFill="1" applyAlignment="1">
      <alignment horizontal="center" vertical="center"/>
    </xf>
    <xf numFmtId="10" fontId="2" fillId="0" borderId="0" xfId="0" applyNumberFormat="1" applyFont="1"/>
    <xf numFmtId="0" fontId="8" fillId="5" borderId="0" xfId="0" applyFont="1" applyFill="1" applyAlignment="1">
      <alignment horizontal="center" vertical="center"/>
    </xf>
    <xf numFmtId="10" fontId="8" fillId="5" borderId="0" xfId="0" applyNumberFormat="1" applyFont="1" applyFill="1" applyAlignment="1">
      <alignment horizontal="center" vertical="center"/>
    </xf>
    <xf numFmtId="0" fontId="8" fillId="5" borderId="0" xfId="0" applyFont="1" applyFill="1" applyAlignment="1">
      <alignment horizontal="right" vertical="center"/>
    </xf>
    <xf numFmtId="0" fontId="2" fillId="0" borderId="0" xfId="0" applyFont="1" applyAlignment="1">
      <alignment horizontal="right"/>
    </xf>
    <xf numFmtId="3" fontId="2" fillId="0" borderId="0" xfId="0" applyNumberFormat="1" applyFont="1" applyAlignment="1">
      <alignment horizontal="left"/>
    </xf>
    <xf numFmtId="0" fontId="9" fillId="0" borderId="17" xfId="0" applyFont="1" applyBorder="1" applyAlignment="1">
      <alignment horizontal="left"/>
    </xf>
    <xf numFmtId="0" fontId="9" fillId="0" borderId="17" xfId="0" applyFont="1" applyBorder="1" applyAlignment="1">
      <alignment horizontal="center" wrapText="1"/>
    </xf>
    <xf numFmtId="0" fontId="11" fillId="0" borderId="0" xfId="0" applyFont="1"/>
    <xf numFmtId="0" fontId="12" fillId="0" borderId="0" xfId="0" applyFont="1"/>
    <xf numFmtId="0" fontId="13" fillId="0" borderId="0" xfId="0" applyFont="1"/>
    <xf numFmtId="0" fontId="14" fillId="0" borderId="0" xfId="0" applyFont="1" applyAlignment="1">
      <alignment horizontal="left" indent="1"/>
    </xf>
    <xf numFmtId="0" fontId="14" fillId="0" borderId="0" xfId="0" applyFont="1"/>
    <xf numFmtId="2" fontId="2" fillId="0" borderId="0" xfId="1" quotePrefix="1" applyNumberFormat="1" applyFont="1"/>
    <xf numFmtId="2" fontId="2" fillId="0" borderId="0" xfId="0" applyNumberFormat="1" applyFont="1"/>
    <xf numFmtId="2" fontId="2" fillId="0" borderId="0" xfId="0" quotePrefix="1" applyNumberFormat="1" applyFont="1"/>
    <xf numFmtId="0" fontId="2" fillId="0" borderId="0" xfId="1" applyNumberFormat="1" applyFont="1"/>
    <xf numFmtId="49" fontId="2" fillId="0" borderId="0" xfId="0" applyNumberFormat="1" applyFont="1"/>
    <xf numFmtId="0" fontId="16" fillId="0" borderId="0" xfId="3" applyFont="1"/>
    <xf numFmtId="164" fontId="2" fillId="0" borderId="0" xfId="0" applyNumberFormat="1" applyFont="1" applyAlignment="1">
      <alignment horizontal="left" indent="4"/>
    </xf>
    <xf numFmtId="0" fontId="2" fillId="0" borderId="0" xfId="0" applyFont="1" applyAlignment="1">
      <alignment vertical="top" wrapText="1"/>
    </xf>
    <xf numFmtId="0" fontId="2" fillId="0" borderId="0" xfId="0" applyFont="1" applyAlignment="1">
      <alignment vertical="top"/>
    </xf>
    <xf numFmtId="0" fontId="17" fillId="0" borderId="0" xfId="0" applyFont="1"/>
    <xf numFmtId="10" fontId="2" fillId="0" borderId="0" xfId="1" applyNumberFormat="1" applyFont="1"/>
    <xf numFmtId="164" fontId="2" fillId="0" borderId="0" xfId="2" applyNumberFormat="1" applyFont="1"/>
    <xf numFmtId="164" fontId="3" fillId="0" borderId="0" xfId="2" applyNumberFormat="1" applyFont="1"/>
    <xf numFmtId="164" fontId="2" fillId="0" borderId="0" xfId="1" applyNumberFormat="1" applyFont="1"/>
    <xf numFmtId="164" fontId="3" fillId="0" borderId="0" xfId="1" applyNumberFormat="1" applyFont="1"/>
    <xf numFmtId="164" fontId="2" fillId="0" borderId="0" xfId="0" applyNumberFormat="1" applyFont="1"/>
    <xf numFmtId="164" fontId="3" fillId="0" borderId="0" xfId="0" applyNumberFormat="1" applyFont="1"/>
    <xf numFmtId="165" fontId="2" fillId="0" borderId="0" xfId="1" applyNumberFormat="1" applyFont="1"/>
    <xf numFmtId="165" fontId="3" fillId="0" borderId="0" xfId="1" applyNumberFormat="1" applyFont="1"/>
    <xf numFmtId="164" fontId="11" fillId="0" borderId="0" xfId="0" applyNumberFormat="1" applyFont="1"/>
    <xf numFmtId="164" fontId="14" fillId="0" borderId="0" xfId="0" applyNumberFormat="1" applyFont="1"/>
    <xf numFmtId="9" fontId="2" fillId="0" borderId="0" xfId="1" applyFont="1"/>
    <xf numFmtId="0" fontId="2" fillId="0" borderId="0" xfId="0" applyFont="1" applyAlignment="1">
      <alignment wrapText="1"/>
    </xf>
    <xf numFmtId="2" fontId="13" fillId="0" borderId="0" xfId="0" applyNumberFormat="1" applyFont="1"/>
    <xf numFmtId="164" fontId="12" fillId="0" borderId="0" xfId="0" applyNumberFormat="1" applyFont="1"/>
    <xf numFmtId="164" fontId="13" fillId="0" borderId="0" xfId="0" applyNumberFormat="1" applyFont="1"/>
    <xf numFmtId="0" fontId="13" fillId="0" borderId="0" xfId="0" applyFont="1" applyAlignment="1">
      <alignment horizontal="right"/>
    </xf>
    <xf numFmtId="0" fontId="13" fillId="0" borderId="0" xfId="0" applyFont="1" applyAlignment="1">
      <alignment horizontal="center"/>
    </xf>
    <xf numFmtId="0" fontId="13" fillId="0" borderId="0" xfId="0" applyFont="1" applyAlignment="1">
      <alignment vertical="top" wrapText="1"/>
    </xf>
    <xf numFmtId="10" fontId="13" fillId="0" borderId="0" xfId="0" applyNumberFormat="1" applyFont="1"/>
    <xf numFmtId="1" fontId="13" fillId="0" borderId="0" xfId="0" applyNumberFormat="1" applyFont="1"/>
    <xf numFmtId="165" fontId="13" fillId="0" borderId="0" xfId="1" applyNumberFormat="1" applyFont="1"/>
    <xf numFmtId="14" fontId="13" fillId="0" borderId="0" xfId="0" applyNumberFormat="1" applyFont="1" applyAlignment="1">
      <alignment horizontal="right"/>
    </xf>
    <xf numFmtId="49" fontId="13" fillId="0" borderId="0" xfId="0" applyNumberFormat="1" applyFont="1" applyAlignment="1">
      <alignment horizontal="right"/>
    </xf>
    <xf numFmtId="0" fontId="4" fillId="2" borderId="2" xfId="0" applyFont="1" applyFill="1" applyBorder="1"/>
    <xf numFmtId="10" fontId="16" fillId="0" borderId="19" xfId="0" applyNumberFormat="1" applyFont="1" applyBorder="1"/>
    <xf numFmtId="0" fontId="4" fillId="3" borderId="2" xfId="0" applyFont="1" applyFill="1" applyBorder="1" applyAlignment="1">
      <alignment horizontal="left"/>
    </xf>
    <xf numFmtId="0" fontId="4" fillId="3" borderId="5" xfId="0" applyFont="1" applyFill="1" applyBorder="1" applyAlignment="1">
      <alignment horizontal="left"/>
    </xf>
    <xf numFmtId="0" fontId="4" fillId="3" borderId="9" xfId="0" applyFont="1" applyFill="1" applyBorder="1" applyAlignment="1">
      <alignment horizontal="left"/>
    </xf>
    <xf numFmtId="0" fontId="4" fillId="3" borderId="13" xfId="0" applyFont="1" applyFill="1" applyBorder="1" applyAlignment="1">
      <alignment horizontal="left"/>
    </xf>
    <xf numFmtId="0" fontId="4" fillId="3" borderId="14" xfId="0" applyFont="1" applyFill="1" applyBorder="1" applyAlignment="1">
      <alignment horizontal="left"/>
    </xf>
    <xf numFmtId="10" fontId="14" fillId="4" borderId="18" xfId="0" applyNumberFormat="1" applyFont="1" applyFill="1" applyBorder="1"/>
    <xf numFmtId="10" fontId="14" fillId="0" borderId="19" xfId="0" applyNumberFormat="1" applyFont="1" applyBorder="1"/>
    <xf numFmtId="10" fontId="14" fillId="4" borderId="19" xfId="0" applyNumberFormat="1" applyFont="1" applyFill="1" applyBorder="1"/>
    <xf numFmtId="10" fontId="14" fillId="4" borderId="19" xfId="0" applyNumberFormat="1" applyFont="1" applyFill="1" applyBorder="1" applyAlignment="1">
      <alignment wrapText="1"/>
    </xf>
    <xf numFmtId="10" fontId="14" fillId="4" borderId="21" xfId="0" applyNumberFormat="1" applyFont="1" applyFill="1" applyBorder="1"/>
    <xf numFmtId="0" fontId="4" fillId="3" borderId="0" xfId="0" applyFont="1" applyFill="1" applyAlignment="1">
      <alignment horizontal="left"/>
    </xf>
    <xf numFmtId="0" fontId="0" fillId="0" borderId="23" xfId="0" applyBorder="1"/>
    <xf numFmtId="0" fontId="9" fillId="0" borderId="17" xfId="0" applyFont="1" applyBorder="1" applyAlignment="1">
      <alignment horizontal="center"/>
    </xf>
    <xf numFmtId="2" fontId="12" fillId="0" borderId="0" xfId="0" applyNumberFormat="1" applyFont="1"/>
    <xf numFmtId="0" fontId="2" fillId="0" borderId="0" xfId="0" applyFont="1" applyAlignment="1">
      <alignment horizontal="left" indent="1"/>
    </xf>
    <xf numFmtId="2" fontId="2" fillId="0" borderId="0" xfId="0" applyNumberFormat="1" applyFont="1" applyAlignment="1">
      <alignment horizontal="left" indent="3"/>
    </xf>
    <xf numFmtId="166" fontId="2" fillId="0" borderId="0" xfId="4" applyNumberFormat="1" applyFont="1" applyAlignment="1">
      <alignment horizontal="right" indent="1"/>
    </xf>
    <xf numFmtId="10" fontId="2" fillId="0" borderId="20" xfId="0" applyNumberFormat="1" applyFont="1" applyBorder="1" applyAlignment="1">
      <alignment horizontal="left" vertical="top" wrapText="1"/>
    </xf>
    <xf numFmtId="10" fontId="2" fillId="0" borderId="10" xfId="0" applyNumberFormat="1" applyFont="1" applyBorder="1" applyAlignment="1">
      <alignment horizontal="left" vertical="top" wrapText="1"/>
    </xf>
    <xf numFmtId="10" fontId="2" fillId="0" borderId="11" xfId="0" applyNumberFormat="1" applyFont="1" applyBorder="1" applyAlignment="1">
      <alignment horizontal="left" vertical="top" wrapText="1"/>
    </xf>
    <xf numFmtId="10" fontId="2" fillId="4" borderId="20" xfId="0" applyNumberFormat="1" applyFont="1" applyFill="1" applyBorder="1" applyAlignment="1">
      <alignment horizontal="left" vertical="top" wrapText="1"/>
    </xf>
    <xf numFmtId="10" fontId="2" fillId="4" borderId="10" xfId="0" applyNumberFormat="1" applyFont="1" applyFill="1" applyBorder="1" applyAlignment="1">
      <alignment horizontal="left" vertical="top" wrapText="1"/>
    </xf>
    <xf numFmtId="10" fontId="2" fillId="4" borderId="11" xfId="0" applyNumberFormat="1" applyFont="1" applyFill="1" applyBorder="1" applyAlignment="1">
      <alignment horizontal="left" vertical="top" wrapText="1"/>
    </xf>
    <xf numFmtId="10" fontId="2" fillId="4" borderId="22" xfId="0" applyNumberFormat="1" applyFont="1" applyFill="1" applyBorder="1" applyAlignment="1">
      <alignment horizontal="left" vertical="top" wrapText="1"/>
    </xf>
    <xf numFmtId="10" fontId="2" fillId="4" borderId="15" xfId="0" applyNumberFormat="1" applyFont="1" applyFill="1" applyBorder="1" applyAlignment="1">
      <alignment horizontal="left" vertical="top" wrapText="1"/>
    </xf>
    <xf numFmtId="10" fontId="2" fillId="4" borderId="16" xfId="0" applyNumberFormat="1" applyFont="1" applyFill="1" applyBorder="1" applyAlignment="1">
      <alignment horizontal="left" vertical="top" wrapText="1"/>
    </xf>
    <xf numFmtId="10" fontId="2" fillId="4" borderId="20" xfId="0" applyNumberFormat="1" applyFont="1" applyFill="1" applyBorder="1" applyAlignment="1">
      <alignment horizontal="left" wrapText="1"/>
    </xf>
    <xf numFmtId="10" fontId="2" fillId="4" borderId="10" xfId="0" applyNumberFormat="1" applyFont="1" applyFill="1" applyBorder="1" applyAlignment="1">
      <alignment horizontal="left" wrapText="1"/>
    </xf>
    <xf numFmtId="10" fontId="2" fillId="4" borderId="11" xfId="0" applyNumberFormat="1" applyFont="1" applyFill="1" applyBorder="1" applyAlignment="1">
      <alignment horizontal="left" wrapText="1"/>
    </xf>
    <xf numFmtId="0" fontId="2" fillId="0" borderId="0" xfId="0" applyFont="1" applyAlignment="1">
      <alignment horizontal="left" vertical="top" wrapText="1"/>
    </xf>
    <xf numFmtId="10" fontId="2" fillId="4" borderId="6" xfId="0" applyNumberFormat="1" applyFont="1" applyFill="1" applyBorder="1" applyAlignment="1">
      <alignment horizontal="left" vertical="top" wrapText="1"/>
    </xf>
    <xf numFmtId="10" fontId="2" fillId="4" borderId="7" xfId="0" applyNumberFormat="1" applyFont="1" applyFill="1" applyBorder="1" applyAlignment="1">
      <alignment horizontal="left" vertical="top" wrapText="1"/>
    </xf>
    <xf numFmtId="0" fontId="18" fillId="0" borderId="0" xfId="0" applyFont="1" applyAlignment="1">
      <alignment horizontal="center"/>
    </xf>
  </cellXfs>
  <cellStyles count="5">
    <cellStyle name="Comma" xfId="4" builtinId="3"/>
    <cellStyle name="Currency" xfId="2" builtinId="4"/>
    <cellStyle name="Hyperlink" xfId="3" builtinId="8"/>
    <cellStyle name="Normal" xfId="0" builtinId="0"/>
    <cellStyle name="Percent" xfId="1" builtinId="5"/>
  </cellStyles>
  <dxfs count="5">
    <dxf>
      <font>
        <b/>
        <i val="0"/>
        <color theme="0"/>
      </font>
      <fill>
        <patternFill>
          <bgColor rgb="FF5A8C38"/>
        </patternFill>
      </fill>
    </dxf>
    <dxf>
      <font>
        <b/>
        <i val="0"/>
        <color theme="0"/>
      </font>
      <fill>
        <patternFill>
          <bgColor theme="9" tint="0.39994506668294322"/>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s>
  <tableStyles count="0" defaultTableStyle="TableStyleMedium2" defaultPivotStyle="PivotStyleLight16"/>
  <colors>
    <mruColors>
      <color rgb="FF8BCDFF"/>
      <color rgb="FF47B0FF"/>
      <color rgb="FF83A2D9"/>
      <color rgb="FFCD71A8"/>
      <color rgb="FFB03E82"/>
      <color rgb="FF5881CC"/>
      <color rgb="FFFE385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(WK) Historical Return Histogram + Normal Distribution Overlay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scatterChart>
        <c:scatterStyle val="smoothMarker"/>
        <c:varyColors val="0"/>
        <c:ser>
          <c:idx val="0"/>
          <c:order val="0"/>
          <c:tx>
            <c:strRef>
              <c:f>'Notes | Quant Analysis'!$I$206</c:f>
              <c:strCache>
                <c:ptCount val="1"/>
                <c:pt idx="0">
                  <c:v>Histogram Data</c:v>
                </c:pt>
              </c:strCache>
            </c:strRef>
          </c:tx>
          <c:spPr>
            <a:ln w="38100" cap="rnd">
              <a:noFill/>
              <a:round/>
            </a:ln>
            <a:effectLst/>
          </c:spPr>
          <c:marker>
            <c:symbol val="none"/>
          </c:marker>
          <c:errBars>
            <c:errDir val="y"/>
            <c:errBarType val="minus"/>
            <c:errValType val="percentage"/>
            <c:noEndCap val="1"/>
            <c:val val="100"/>
            <c:spPr>
              <a:noFill/>
              <a:ln w="177800" cap="flat" cmpd="sng" algn="ctr">
                <a:solidFill>
                  <a:srgbClr val="00B0F0"/>
                </a:solidFill>
                <a:round/>
              </a:ln>
              <a:effectLst/>
            </c:spPr>
          </c:errBars>
          <c:xVal>
            <c:numRef>
              <c:f>'Notes | Quant Analysis'!$I$208:$I$268</c:f>
              <c:numCache>
                <c:formatCode>0.00%</c:formatCode>
                <c:ptCount val="61"/>
                <c:pt idx="0">
                  <c:v>-7.4999999999999997E-2</c:v>
                </c:pt>
                <c:pt idx="1">
                  <c:v>-7.2499999999999995E-2</c:v>
                </c:pt>
                <c:pt idx="2">
                  <c:v>-6.9999999999999993E-2</c:v>
                </c:pt>
                <c:pt idx="3">
                  <c:v>-6.7499999999999991E-2</c:v>
                </c:pt>
                <c:pt idx="4">
                  <c:v>-6.4999999999999988E-2</c:v>
                </c:pt>
                <c:pt idx="5">
                  <c:v>-6.2499999999999986E-2</c:v>
                </c:pt>
                <c:pt idx="6">
                  <c:v>-5.9999999999999984E-2</c:v>
                </c:pt>
                <c:pt idx="7">
                  <c:v>-5.7499999999999982E-2</c:v>
                </c:pt>
                <c:pt idx="8">
                  <c:v>-5.4999999999999979E-2</c:v>
                </c:pt>
                <c:pt idx="9">
                  <c:v>-5.2499999999999977E-2</c:v>
                </c:pt>
                <c:pt idx="10">
                  <c:v>-4.9999999999999975E-2</c:v>
                </c:pt>
                <c:pt idx="11">
                  <c:v>-4.7499999999999973E-2</c:v>
                </c:pt>
                <c:pt idx="12">
                  <c:v>-4.4999999999999971E-2</c:v>
                </c:pt>
                <c:pt idx="13">
                  <c:v>-4.2499999999999968E-2</c:v>
                </c:pt>
                <c:pt idx="14">
                  <c:v>-3.9999999999999966E-2</c:v>
                </c:pt>
                <c:pt idx="15">
                  <c:v>-3.7499999999999964E-2</c:v>
                </c:pt>
                <c:pt idx="16">
                  <c:v>-3.4999999999999962E-2</c:v>
                </c:pt>
                <c:pt idx="17">
                  <c:v>-3.2499999999999959E-2</c:v>
                </c:pt>
                <c:pt idx="18">
                  <c:v>-2.9999999999999961E-2</c:v>
                </c:pt>
                <c:pt idx="19">
                  <c:v>-2.7499999999999962E-2</c:v>
                </c:pt>
                <c:pt idx="20">
                  <c:v>-2.4999999999999963E-2</c:v>
                </c:pt>
                <c:pt idx="21">
                  <c:v>-2.2499999999999964E-2</c:v>
                </c:pt>
                <c:pt idx="22">
                  <c:v>-1.9999999999999966E-2</c:v>
                </c:pt>
                <c:pt idx="23">
                  <c:v>-1.7499999999999967E-2</c:v>
                </c:pt>
                <c:pt idx="24">
                  <c:v>-1.4999999999999966E-2</c:v>
                </c:pt>
                <c:pt idx="25">
                  <c:v>-1.2499999999999966E-2</c:v>
                </c:pt>
                <c:pt idx="26">
                  <c:v>-9.9999999999999655E-3</c:v>
                </c:pt>
                <c:pt idx="27">
                  <c:v>-7.499999999999965E-3</c:v>
                </c:pt>
                <c:pt idx="28">
                  <c:v>-4.9999999999999645E-3</c:v>
                </c:pt>
                <c:pt idx="29">
                  <c:v>-2.4999999999999645E-3</c:v>
                </c:pt>
                <c:pt idx="30">
                  <c:v>3.5561831257524545E-17</c:v>
                </c:pt>
                <c:pt idx="31">
                  <c:v>2.5000000000000356E-3</c:v>
                </c:pt>
                <c:pt idx="32">
                  <c:v>5.0000000000000357E-3</c:v>
                </c:pt>
                <c:pt idx="33">
                  <c:v>7.5000000000000362E-3</c:v>
                </c:pt>
                <c:pt idx="34">
                  <c:v>1.0000000000000037E-2</c:v>
                </c:pt>
                <c:pt idx="35">
                  <c:v>1.2500000000000037E-2</c:v>
                </c:pt>
                <c:pt idx="36">
                  <c:v>1.5000000000000038E-2</c:v>
                </c:pt>
                <c:pt idx="37">
                  <c:v>1.7500000000000036E-2</c:v>
                </c:pt>
                <c:pt idx="38">
                  <c:v>2.0000000000000035E-2</c:v>
                </c:pt>
                <c:pt idx="39">
                  <c:v>2.2500000000000034E-2</c:v>
                </c:pt>
                <c:pt idx="40">
                  <c:v>2.5000000000000033E-2</c:v>
                </c:pt>
                <c:pt idx="41">
                  <c:v>2.7500000000000031E-2</c:v>
                </c:pt>
                <c:pt idx="42">
                  <c:v>3.000000000000003E-2</c:v>
                </c:pt>
                <c:pt idx="43">
                  <c:v>3.2500000000000029E-2</c:v>
                </c:pt>
                <c:pt idx="44">
                  <c:v>3.5000000000000031E-2</c:v>
                </c:pt>
                <c:pt idx="45">
                  <c:v>3.7500000000000033E-2</c:v>
                </c:pt>
                <c:pt idx="46">
                  <c:v>4.0000000000000036E-2</c:v>
                </c:pt>
                <c:pt idx="47">
                  <c:v>4.2500000000000038E-2</c:v>
                </c:pt>
                <c:pt idx="48">
                  <c:v>4.500000000000004E-2</c:v>
                </c:pt>
                <c:pt idx="49">
                  <c:v>4.7500000000000042E-2</c:v>
                </c:pt>
                <c:pt idx="50">
                  <c:v>5.0000000000000044E-2</c:v>
                </c:pt>
                <c:pt idx="51">
                  <c:v>5.2500000000000047E-2</c:v>
                </c:pt>
                <c:pt idx="52">
                  <c:v>5.5000000000000049E-2</c:v>
                </c:pt>
                <c:pt idx="53">
                  <c:v>5.7500000000000051E-2</c:v>
                </c:pt>
                <c:pt idx="54">
                  <c:v>6.0000000000000053E-2</c:v>
                </c:pt>
                <c:pt idx="55">
                  <c:v>6.2500000000000056E-2</c:v>
                </c:pt>
                <c:pt idx="56">
                  <c:v>6.5000000000000058E-2</c:v>
                </c:pt>
                <c:pt idx="57">
                  <c:v>6.750000000000006E-2</c:v>
                </c:pt>
                <c:pt idx="58">
                  <c:v>7.0000000000000062E-2</c:v>
                </c:pt>
                <c:pt idx="59">
                  <c:v>7.2500000000000064E-2</c:v>
                </c:pt>
                <c:pt idx="60">
                  <c:v>7.5000000000000067E-2</c:v>
                </c:pt>
              </c:numCache>
            </c:numRef>
          </c:xVal>
          <c:yVal>
            <c:numRef>
              <c:f>'Notes | Quant Analysis'!$J$208:$J$268</c:f>
              <c:numCache>
                <c:formatCode>General</c:formatCode>
                <c:ptCount val="61"/>
                <c:pt idx="0">
                  <c:v>1</c:v>
                </c:pt>
                <c:pt idx="1">
                  <c:v>1</c:v>
                </c:pt>
                <c:pt idx="2">
                  <c:v>1</c:v>
                </c:pt>
                <c:pt idx="3">
                  <c:v>1</c:v>
                </c:pt>
                <c:pt idx="4">
                  <c:v>4</c:v>
                </c:pt>
                <c:pt idx="5">
                  <c:v>2</c:v>
                </c:pt>
                <c:pt idx="6">
                  <c:v>3</c:v>
                </c:pt>
                <c:pt idx="7">
                  <c:v>4</c:v>
                </c:pt>
                <c:pt idx="8">
                  <c:v>2</c:v>
                </c:pt>
                <c:pt idx="9">
                  <c:v>3</c:v>
                </c:pt>
                <c:pt idx="10">
                  <c:v>2</c:v>
                </c:pt>
                <c:pt idx="11">
                  <c:v>5</c:v>
                </c:pt>
                <c:pt idx="12">
                  <c:v>4</c:v>
                </c:pt>
                <c:pt idx="13">
                  <c:v>10</c:v>
                </c:pt>
                <c:pt idx="14">
                  <c:v>7</c:v>
                </c:pt>
                <c:pt idx="15">
                  <c:v>8</c:v>
                </c:pt>
                <c:pt idx="16">
                  <c:v>19</c:v>
                </c:pt>
                <c:pt idx="17">
                  <c:v>13</c:v>
                </c:pt>
                <c:pt idx="18">
                  <c:v>15</c:v>
                </c:pt>
                <c:pt idx="19">
                  <c:v>21</c:v>
                </c:pt>
                <c:pt idx="20">
                  <c:v>19</c:v>
                </c:pt>
                <c:pt idx="21">
                  <c:v>25</c:v>
                </c:pt>
                <c:pt idx="22">
                  <c:v>37</c:v>
                </c:pt>
                <c:pt idx="23">
                  <c:v>37</c:v>
                </c:pt>
                <c:pt idx="24">
                  <c:v>37</c:v>
                </c:pt>
                <c:pt idx="25">
                  <c:v>41</c:v>
                </c:pt>
                <c:pt idx="26">
                  <c:v>48</c:v>
                </c:pt>
                <c:pt idx="27">
                  <c:v>51</c:v>
                </c:pt>
                <c:pt idx="28">
                  <c:v>57</c:v>
                </c:pt>
                <c:pt idx="29">
                  <c:v>84</c:v>
                </c:pt>
                <c:pt idx="30">
                  <c:v>62</c:v>
                </c:pt>
                <c:pt idx="31">
                  <c:v>57</c:v>
                </c:pt>
                <c:pt idx="32">
                  <c:v>59</c:v>
                </c:pt>
                <c:pt idx="33">
                  <c:v>51</c:v>
                </c:pt>
                <c:pt idx="34">
                  <c:v>56</c:v>
                </c:pt>
                <c:pt idx="35">
                  <c:v>60</c:v>
                </c:pt>
                <c:pt idx="36">
                  <c:v>46</c:v>
                </c:pt>
                <c:pt idx="37">
                  <c:v>37</c:v>
                </c:pt>
                <c:pt idx="38">
                  <c:v>41</c:v>
                </c:pt>
                <c:pt idx="39">
                  <c:v>33</c:v>
                </c:pt>
                <c:pt idx="40">
                  <c:v>29</c:v>
                </c:pt>
                <c:pt idx="41">
                  <c:v>21</c:v>
                </c:pt>
                <c:pt idx="42">
                  <c:v>20</c:v>
                </c:pt>
                <c:pt idx="43">
                  <c:v>30</c:v>
                </c:pt>
                <c:pt idx="44">
                  <c:v>12</c:v>
                </c:pt>
                <c:pt idx="45">
                  <c:v>9</c:v>
                </c:pt>
                <c:pt idx="46">
                  <c:v>16</c:v>
                </c:pt>
                <c:pt idx="47">
                  <c:v>6</c:v>
                </c:pt>
                <c:pt idx="48">
                  <c:v>3</c:v>
                </c:pt>
                <c:pt idx="49">
                  <c:v>10</c:v>
                </c:pt>
                <c:pt idx="50">
                  <c:v>4</c:v>
                </c:pt>
                <c:pt idx="51">
                  <c:v>2</c:v>
                </c:pt>
                <c:pt idx="52">
                  <c:v>3</c:v>
                </c:pt>
                <c:pt idx="53">
                  <c:v>3</c:v>
                </c:pt>
                <c:pt idx="54">
                  <c:v>3</c:v>
                </c:pt>
                <c:pt idx="55">
                  <c:v>2</c:v>
                </c:pt>
                <c:pt idx="56">
                  <c:v>2</c:v>
                </c:pt>
                <c:pt idx="57">
                  <c:v>2</c:v>
                </c:pt>
                <c:pt idx="58">
                  <c:v>1</c:v>
                </c:pt>
                <c:pt idx="59">
                  <c:v>1</c:v>
                </c:pt>
                <c:pt idx="60">
                  <c:v>1</c:v>
                </c:pt>
              </c:numCache>
            </c:numRef>
          </c:yVal>
          <c:smooth val="1"/>
          <c:extLst>
            <c:ext xmlns:c16="http://schemas.microsoft.com/office/drawing/2014/chart" uri="{C3380CC4-5D6E-409C-BE32-E72D297353CC}">
              <c16:uniqueId val="{00000000-A3E0-4241-B9E2-C6C1132A9B06}"/>
            </c:ext>
          </c:extLst>
        </c:ser>
        <c:ser>
          <c:idx val="1"/>
          <c:order val="1"/>
          <c:tx>
            <c:strRef>
              <c:f>'Notes | Quant Analysis'!$L$206</c:f>
              <c:strCache>
                <c:ptCount val="1"/>
                <c:pt idx="0">
                  <c:v>Distribution Overlay</c:v>
                </c:pt>
              </c:strCache>
            </c:strRef>
          </c:tx>
          <c:spPr>
            <a:ln w="19050" cap="rnd">
              <a:solidFill>
                <a:srgbClr val="FFC000"/>
              </a:solidFill>
              <a:round/>
            </a:ln>
            <a:effectLst/>
          </c:spPr>
          <c:marker>
            <c:symbol val="none"/>
          </c:marker>
          <c:errBars>
            <c:errDir val="y"/>
            <c:errBarType val="minus"/>
            <c:errValType val="percentage"/>
            <c:noEndCap val="1"/>
            <c:val val="100"/>
            <c:spPr>
              <a:noFill/>
              <a:ln w="114300" cap="flat" cmpd="sng" algn="ctr">
                <a:solidFill>
                  <a:srgbClr val="00B0F0"/>
                </a:solidFill>
                <a:round/>
              </a:ln>
              <a:effectLst/>
            </c:spPr>
          </c:errBars>
          <c:xVal>
            <c:numRef>
              <c:f>'Notes | Quant Analysis'!$L$208:$L$270</c:f>
              <c:numCache>
                <c:formatCode>0.00%</c:formatCode>
                <c:ptCount val="63"/>
                <c:pt idx="0">
                  <c:v>-7.7499999999999999E-2</c:v>
                </c:pt>
                <c:pt idx="1">
                  <c:v>-7.4999999999999997E-2</c:v>
                </c:pt>
                <c:pt idx="2">
                  <c:v>-7.2499999999999995E-2</c:v>
                </c:pt>
                <c:pt idx="3">
                  <c:v>-6.9999999999999993E-2</c:v>
                </c:pt>
                <c:pt idx="4">
                  <c:v>-6.7499999999999991E-2</c:v>
                </c:pt>
                <c:pt idx="5">
                  <c:v>-6.4999999999999988E-2</c:v>
                </c:pt>
                <c:pt idx="6">
                  <c:v>-6.2499999999999986E-2</c:v>
                </c:pt>
                <c:pt idx="7">
                  <c:v>-5.9999999999999984E-2</c:v>
                </c:pt>
                <c:pt idx="8">
                  <c:v>-5.7499999999999982E-2</c:v>
                </c:pt>
                <c:pt idx="9">
                  <c:v>-5.4999999999999979E-2</c:v>
                </c:pt>
                <c:pt idx="10">
                  <c:v>-5.2499999999999977E-2</c:v>
                </c:pt>
                <c:pt idx="11">
                  <c:v>-4.9999999999999975E-2</c:v>
                </c:pt>
                <c:pt idx="12">
                  <c:v>-4.7499999999999973E-2</c:v>
                </c:pt>
                <c:pt idx="13">
                  <c:v>-4.4999999999999971E-2</c:v>
                </c:pt>
                <c:pt idx="14">
                  <c:v>-4.2499999999999968E-2</c:v>
                </c:pt>
                <c:pt idx="15">
                  <c:v>-3.9999999999999966E-2</c:v>
                </c:pt>
                <c:pt idx="16">
                  <c:v>-3.7499999999999964E-2</c:v>
                </c:pt>
                <c:pt idx="17">
                  <c:v>-3.4999999999999962E-2</c:v>
                </c:pt>
                <c:pt idx="18">
                  <c:v>-3.2499999999999959E-2</c:v>
                </c:pt>
                <c:pt idx="19">
                  <c:v>-2.9999999999999961E-2</c:v>
                </c:pt>
                <c:pt idx="20">
                  <c:v>-2.7499999999999962E-2</c:v>
                </c:pt>
                <c:pt idx="21">
                  <c:v>-2.4999999999999963E-2</c:v>
                </c:pt>
                <c:pt idx="22">
                  <c:v>-2.2499999999999964E-2</c:v>
                </c:pt>
                <c:pt idx="23">
                  <c:v>-1.9999999999999966E-2</c:v>
                </c:pt>
                <c:pt idx="24">
                  <c:v>-1.7499999999999967E-2</c:v>
                </c:pt>
                <c:pt idx="25">
                  <c:v>-1.4999999999999966E-2</c:v>
                </c:pt>
                <c:pt idx="26">
                  <c:v>-1.2499999999999966E-2</c:v>
                </c:pt>
                <c:pt idx="27">
                  <c:v>-9.9999999999999655E-3</c:v>
                </c:pt>
                <c:pt idx="28">
                  <c:v>-7.499999999999965E-3</c:v>
                </c:pt>
                <c:pt idx="29">
                  <c:v>-4.9999999999999645E-3</c:v>
                </c:pt>
                <c:pt idx="30">
                  <c:v>-2.4999999999999645E-3</c:v>
                </c:pt>
                <c:pt idx="31">
                  <c:v>3.5561831257524545E-17</c:v>
                </c:pt>
                <c:pt idx="32">
                  <c:v>2.5000000000000356E-3</c:v>
                </c:pt>
                <c:pt idx="33">
                  <c:v>5.0000000000000357E-3</c:v>
                </c:pt>
                <c:pt idx="34">
                  <c:v>7.5000000000000362E-3</c:v>
                </c:pt>
                <c:pt idx="35">
                  <c:v>1.0000000000000037E-2</c:v>
                </c:pt>
                <c:pt idx="36">
                  <c:v>1.2500000000000037E-2</c:v>
                </c:pt>
                <c:pt idx="37">
                  <c:v>1.5000000000000038E-2</c:v>
                </c:pt>
                <c:pt idx="38">
                  <c:v>1.7500000000000036E-2</c:v>
                </c:pt>
                <c:pt idx="39">
                  <c:v>2.0000000000000035E-2</c:v>
                </c:pt>
                <c:pt idx="40">
                  <c:v>2.2500000000000034E-2</c:v>
                </c:pt>
                <c:pt idx="41">
                  <c:v>2.5000000000000033E-2</c:v>
                </c:pt>
                <c:pt idx="42">
                  <c:v>2.7500000000000031E-2</c:v>
                </c:pt>
                <c:pt idx="43">
                  <c:v>3.000000000000003E-2</c:v>
                </c:pt>
                <c:pt idx="44">
                  <c:v>3.2500000000000029E-2</c:v>
                </c:pt>
                <c:pt idx="45">
                  <c:v>3.5000000000000031E-2</c:v>
                </c:pt>
                <c:pt idx="46">
                  <c:v>3.7500000000000033E-2</c:v>
                </c:pt>
                <c:pt idx="47">
                  <c:v>4.0000000000000036E-2</c:v>
                </c:pt>
                <c:pt idx="48">
                  <c:v>4.2500000000000038E-2</c:v>
                </c:pt>
                <c:pt idx="49">
                  <c:v>4.500000000000004E-2</c:v>
                </c:pt>
                <c:pt idx="50">
                  <c:v>4.7500000000000042E-2</c:v>
                </c:pt>
                <c:pt idx="51">
                  <c:v>5.0000000000000044E-2</c:v>
                </c:pt>
                <c:pt idx="52">
                  <c:v>5.2500000000000047E-2</c:v>
                </c:pt>
                <c:pt idx="53">
                  <c:v>5.5000000000000049E-2</c:v>
                </c:pt>
                <c:pt idx="54">
                  <c:v>5.7500000000000051E-2</c:v>
                </c:pt>
                <c:pt idx="55">
                  <c:v>6.0000000000000053E-2</c:v>
                </c:pt>
                <c:pt idx="56">
                  <c:v>6.2500000000000056E-2</c:v>
                </c:pt>
                <c:pt idx="57">
                  <c:v>6.5000000000000058E-2</c:v>
                </c:pt>
                <c:pt idx="58">
                  <c:v>6.750000000000006E-2</c:v>
                </c:pt>
                <c:pt idx="59">
                  <c:v>7.0000000000000062E-2</c:v>
                </c:pt>
                <c:pt idx="60">
                  <c:v>7.2500000000000064E-2</c:v>
                </c:pt>
                <c:pt idx="61">
                  <c:v>7.5000000000000067E-2</c:v>
                </c:pt>
                <c:pt idx="62">
                  <c:v>7.7499999999999999E-2</c:v>
                </c:pt>
              </c:numCache>
            </c:numRef>
          </c:xVal>
          <c:yVal>
            <c:numRef>
              <c:f>'Notes | Quant Analysis'!$M$208:$M$270</c:f>
              <c:numCache>
                <c:formatCode>General</c:formatCode>
                <c:ptCount val="63"/>
                <c:pt idx="0">
                  <c:v>0.10347385716023379</c:v>
                </c:pt>
                <c:pt idx="1">
                  <c:v>0.1423545019001656</c:v>
                </c:pt>
                <c:pt idx="2">
                  <c:v>0.19382023599326073</c:v>
                </c:pt>
                <c:pt idx="3">
                  <c:v>0.26116463901485254</c:v>
                </c:pt>
                <c:pt idx="4">
                  <c:v>0.3482707289004055</c:v>
                </c:pt>
                <c:pt idx="5">
                  <c:v>0.4596284679987877</c:v>
                </c:pt>
                <c:pt idx="6">
                  <c:v>0.60032193045931392</c:v>
                </c:pt>
                <c:pt idx="7">
                  <c:v>0.77597698837479512</c:v>
                </c:pt>
                <c:pt idx="8">
                  <c:v>0.9926606816875666</c:v>
                </c:pt>
                <c:pt idx="9">
                  <c:v>1.2567246752955747</c:v>
                </c:pt>
                <c:pt idx="10">
                  <c:v>1.5745875339524968</c:v>
                </c:pt>
                <c:pt idx="11">
                  <c:v>1.9524540399789434</c:v>
                </c:pt>
                <c:pt idx="12">
                  <c:v>2.3959744061454482</c:v>
                </c:pt>
                <c:pt idx="13">
                  <c:v>2.9098518215635978</c:v>
                </c:pt>
                <c:pt idx="14">
                  <c:v>3.497412981041538</c:v>
                </c:pt>
                <c:pt idx="15">
                  <c:v>4.1601626025098009</c:v>
                </c:pt>
                <c:pt idx="16">
                  <c:v>4.8973488156682441</c:v>
                </c:pt>
                <c:pt idx="17">
                  <c:v>5.705571005765254</c:v>
                </c:pt>
                <c:pt idx="18">
                  <c:v>6.5784645005877325</c:v>
                </c:pt>
                <c:pt idx="19">
                  <c:v>7.5064967460384704</c:v>
                </c:pt>
                <c:pt idx="20">
                  <c:v>8.476906837352006</c:v>
                </c:pt>
                <c:pt idx="21">
                  <c:v>9.4738142207259113</c:v>
                </c:pt>
                <c:pt idx="22">
                  <c:v>10.478513137344525</c:v>
                </c:pt>
                <c:pt idx="23">
                  <c:v>11.469957394187489</c:v>
                </c:pt>
                <c:pt idx="24">
                  <c:v>12.425426120929682</c:v>
                </c:pt>
                <c:pt idx="25">
                  <c:v>13.321346430465404</c:v>
                </c:pt>
                <c:pt idx="26">
                  <c:v>14.13423468165653</c:v>
                </c:pt>
                <c:pt idx="27">
                  <c:v>14.841705771001761</c:v>
                </c:pt>
                <c:pt idx="28">
                  <c:v>15.423490904918919</c:v>
                </c:pt>
                <c:pt idx="29">
                  <c:v>15.862399737395126</c:v>
                </c:pt>
                <c:pt idx="30">
                  <c:v>16.145163323758091</c:v>
                </c:pt>
                <c:pt idx="31">
                  <c:v>16.263100269489151</c:v>
                </c:pt>
                <c:pt idx="32">
                  <c:v>16.212559423296703</c:v>
                </c:pt>
                <c:pt idx="33">
                  <c:v>15.995107619168248</c:v>
                </c:pt>
                <c:pt idx="34">
                  <c:v>15.61744899864579</c:v>
                </c:pt>
                <c:pt idx="35">
                  <c:v>15.091081709171096</c:v>
                </c:pt>
                <c:pt idx="36">
                  <c:v>14.431716505451883</c:v>
                </c:pt>
                <c:pt idx="37">
                  <c:v>13.658498266649302</c:v>
                </c:pt>
                <c:pt idx="38">
                  <c:v>12.793084221375533</c:v>
                </c:pt>
                <c:pt idx="39">
                  <c:v>11.858640691623318</c:v>
                </c:pt>
                <c:pt idx="40">
                  <c:v>10.878822885211198</c:v>
                </c:pt>
                <c:pt idx="41">
                  <c:v>9.876799696027124</c:v>
                </c:pt>
                <c:pt idx="42">
                  <c:v>8.8743781487879279</c:v>
                </c:pt>
                <c:pt idx="43">
                  <c:v>7.8912710225364808</c:v>
                </c:pt>
                <c:pt idx="44">
                  <c:v>6.9445375781509879</c:v>
                </c:pt>
                <c:pt idx="45">
                  <c:v>6.048212614009441</c:v>
                </c:pt>
                <c:pt idx="46">
                  <c:v>5.2131246719908191</c:v>
                </c:pt>
                <c:pt idx="47">
                  <c:v>4.4468913355325057</c:v>
                </c:pt>
                <c:pt idx="48">
                  <c:v>3.7540691439554337</c:v>
                </c:pt>
                <c:pt idx="49">
                  <c:v>3.1364282860710526</c:v>
                </c:pt>
                <c:pt idx="50">
                  <c:v>2.5933181571252848</c:v>
                </c:pt>
                <c:pt idx="51">
                  <c:v>2.1220889499605464</c:v>
                </c:pt>
                <c:pt idx="52">
                  <c:v>1.7185363055315608</c:v>
                </c:pt>
                <c:pt idx="53">
                  <c:v>1.3773400728422334</c:v>
                </c:pt>
                <c:pt idx="54">
                  <c:v>1.0924737217424136</c:v>
                </c:pt>
                <c:pt idx="55">
                  <c:v>0.85756719567534845</c:v>
                </c:pt>
                <c:pt idx="56">
                  <c:v>0.66621232728676205</c:v>
                </c:pt>
                <c:pt idx="57">
                  <c:v>0.51220582537751869</c:v>
                </c:pt>
                <c:pt idx="58">
                  <c:v>0.38972988270285486</c:v>
                </c:pt>
                <c:pt idx="59">
                  <c:v>0.29347441421783177</c:v>
                </c:pt>
                <c:pt idx="60">
                  <c:v>0.21870772667086108</c:v>
                </c:pt>
                <c:pt idx="61">
                  <c:v>0.16130408005808194</c:v>
                </c:pt>
                <c:pt idx="62">
                  <c:v>0.1177372596250125</c:v>
                </c:pt>
              </c:numCache>
            </c:numRef>
          </c:yVal>
          <c:smooth val="1"/>
          <c:extLst>
            <c:ext xmlns:c16="http://schemas.microsoft.com/office/drawing/2014/chart" uri="{C3380CC4-5D6E-409C-BE32-E72D297353CC}">
              <c16:uniqueId val="{00000001-A3E0-4241-B9E2-C6C1132A9B06}"/>
            </c:ext>
          </c:extLst>
        </c:ser>
        <c:ser>
          <c:idx val="2"/>
          <c:order val="2"/>
          <c:tx>
            <c:strRef>
              <c:f>'Notes | Quant Analysis'!$O$208</c:f>
              <c:strCache>
                <c:ptCount val="1"/>
                <c:pt idx="0">
                  <c:v>Mean</c:v>
                </c:pt>
              </c:strCache>
            </c:strRef>
          </c:tx>
          <c:spPr>
            <a:ln w="19050" cap="rnd">
              <a:solidFill>
                <a:srgbClr val="FFC000"/>
              </a:solidFill>
              <a:round/>
            </a:ln>
            <a:effectLst/>
          </c:spPr>
          <c:marker>
            <c:symbol val="none"/>
          </c:marker>
          <c:dLbls>
            <c:dLbl>
              <c:idx val="1"/>
              <c:layout>
                <c:manualLayout>
                  <c:x val="-7.8187509370308828E-2"/>
                  <c:y val="-3.4411442005212109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0.14998443369640629"/>
                      <c:h val="9.2366755781799731E-2"/>
                    </c:manualLayout>
                  </c15:layout>
                </c:ext>
                <c:ext xmlns:c16="http://schemas.microsoft.com/office/drawing/2014/chart" uri="{C3380CC4-5D6E-409C-BE32-E72D297353CC}">
                  <c16:uniqueId val="{00000003-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'Notes | Quant Analysis'!$P$208:$P$209</c:f>
              <c:numCache>
                <c:formatCode>0.00%</c:formatCode>
                <c:ptCount val="2"/>
                <c:pt idx="0">
                  <c:v>5.011290313105555E-4</c:v>
                </c:pt>
                <c:pt idx="1">
                  <c:v>5.011290313105555E-4</c:v>
                </c:pt>
              </c:numCache>
            </c:numRef>
          </c:xVal>
          <c:yVal>
            <c:numRef>
              <c:f>'Notes | Quant Analysis'!$Q$208:$Q$209</c:f>
              <c:numCache>
                <c:formatCode>General</c:formatCode>
                <c:ptCount val="2"/>
                <c:pt idx="0">
                  <c:v>0</c:v>
                </c:pt>
                <c:pt idx="1">
                  <c:v>20</c:v>
                </c:pt>
              </c:numCache>
            </c:numRef>
          </c:yVal>
          <c:smooth val="1"/>
          <c:extLst>
            <c:ext xmlns:c16="http://schemas.microsoft.com/office/drawing/2014/chart" uri="{C3380CC4-5D6E-409C-BE32-E72D297353CC}">
              <c16:uniqueId val="{00000002-A3E0-4241-B9E2-C6C1132A9B06}"/>
            </c:ext>
          </c:extLst>
        </c:ser>
        <c:ser>
          <c:idx val="3"/>
          <c:order val="3"/>
          <c:tx>
            <c:strRef>
              <c:f>'Notes | Quant Analysis'!$O$210</c:f>
              <c:strCache>
                <c:ptCount val="1"/>
                <c:pt idx="0">
                  <c:v>-3σ</c:v>
                </c:pt>
              </c:strCache>
            </c:strRef>
          </c:tx>
          <c:spPr>
            <a:ln w="19050" cap="rnd">
              <a:solidFill>
                <a:schemeClr val="accent4"/>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2-A3E0-4241-B9E2-C6C1132A9B06}"/>
                </c:ext>
              </c:extLst>
            </c:dLbl>
            <c:dLbl>
              <c:idx val="1"/>
              <c:layout>
                <c:manualLayout>
                  <c:x val="-3.7624458128754958E-2"/>
                  <c:y val="-3.6285204638665511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8.6355413555374724E-2"/>
                      <c:h val="6.726547968844146E-2"/>
                    </c:manualLayout>
                  </c15:layout>
                </c:ext>
                <c:ext xmlns:c16="http://schemas.microsoft.com/office/drawing/2014/chart" uri="{C3380CC4-5D6E-409C-BE32-E72D297353CC}">
                  <c16:uniqueId val="{00000013-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'Notes | Quant Analysis'!$P$210:$P$211</c:f>
              <c:numCache>
                <c:formatCode>0.00%</c:formatCode>
                <c:ptCount val="2"/>
                <c:pt idx="0">
                  <c:v>-7.3075065162896816E-2</c:v>
                </c:pt>
                <c:pt idx="1">
                  <c:v>-7.3075065162896816E-2</c:v>
                </c:pt>
              </c:numCache>
            </c:numRef>
          </c:xVal>
          <c:yVal>
            <c:numRef>
              <c:f>'Notes | Quant Analysis'!$Q$210:$Q$211</c:f>
              <c:numCache>
                <c:formatCode>General</c:formatCode>
                <c:ptCount val="2"/>
                <c:pt idx="0">
                  <c:v>0</c:v>
                </c:pt>
                <c:pt idx="1">
                  <c:v>2</c:v>
                </c:pt>
              </c:numCache>
            </c:numRef>
          </c:yVal>
          <c:smooth val="1"/>
          <c:extLst>
            <c:ext xmlns:c16="http://schemas.microsoft.com/office/drawing/2014/chart" uri="{C3380CC4-5D6E-409C-BE32-E72D297353CC}">
              <c16:uniqueId val="{00000004-A3E0-4241-B9E2-C6C1132A9B06}"/>
            </c:ext>
          </c:extLst>
        </c:ser>
        <c:ser>
          <c:idx val="4"/>
          <c:order val="4"/>
          <c:tx>
            <c:strRef>
              <c:f>'Notes | Quant Analysis'!$O$212</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A3E0-4241-B9E2-C6C1132A9B06}"/>
                </c:ext>
              </c:extLst>
            </c:dLbl>
            <c:dLbl>
              <c:idx val="1"/>
              <c:layout>
                <c:manualLayout>
                  <c:x val="-4.1648928302918546E-2"/>
                  <c:y val="-6.4654299861401449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F-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Analysis'!$P$212:$P$213</c:f>
              <c:numCache>
                <c:formatCode>0.00%</c:formatCode>
                <c:ptCount val="2"/>
                <c:pt idx="0">
                  <c:v>-4.8549667098161026E-2</c:v>
                </c:pt>
                <c:pt idx="1">
                  <c:v>-4.8549667098161026E-2</c:v>
                </c:pt>
              </c:numCache>
            </c:numRef>
          </c:xVal>
          <c:yVal>
            <c:numRef>
              <c:f>'Notes | Quant Analysis'!$Q$212:$Q$213</c:f>
              <c:numCache>
                <c:formatCode>General</c:formatCode>
                <c:ptCount val="2"/>
                <c:pt idx="0">
                  <c:v>0</c:v>
                </c:pt>
                <c:pt idx="1">
                  <c:v>5</c:v>
                </c:pt>
              </c:numCache>
            </c:numRef>
          </c:yVal>
          <c:smooth val="1"/>
          <c:extLst>
            <c:ext xmlns:c16="http://schemas.microsoft.com/office/drawing/2014/chart" uri="{C3380CC4-5D6E-409C-BE32-E72D297353CC}">
              <c16:uniqueId val="{00000005-A3E0-4241-B9E2-C6C1132A9B06}"/>
            </c:ext>
          </c:extLst>
        </c:ser>
        <c:ser>
          <c:idx val="5"/>
          <c:order val="5"/>
          <c:tx>
            <c:strRef>
              <c:f>'Notes | Quant Analysis'!$O$214</c:f>
              <c:strCache>
                <c:ptCount val="1"/>
                <c:pt idx="0">
                  <c:v>-1σ</c:v>
                </c:pt>
              </c:strCache>
            </c:strRef>
          </c:tx>
          <c:spPr>
            <a:ln w="19050" cap="rnd">
              <a:solidFill>
                <a:schemeClr val="accent6"/>
              </a:solidFill>
              <a:round/>
            </a:ln>
            <a:effectLst/>
          </c:spPr>
          <c:marker>
            <c:symbol val="none"/>
          </c:marker>
          <c:dPt>
            <c:idx val="1"/>
            <c:marker>
              <c:symbol val="none"/>
            </c:marker>
            <c:bubble3D val="0"/>
            <c:spPr>
              <a:ln w="19050" cap="rnd">
                <a:solidFill>
                  <a:srgbClr val="FFC000"/>
                </a:solidFill>
                <a:round/>
              </a:ln>
              <a:effectLst/>
            </c:spPr>
            <c:extLst>
              <c:ext xmlns:c16="http://schemas.microsoft.com/office/drawing/2014/chart" uri="{C3380CC4-5D6E-409C-BE32-E72D297353CC}">
                <c16:uniqueId val="{0000000A-A3E0-4241-B9E2-C6C1132A9B06}"/>
              </c:ext>
            </c:extLst>
          </c:dPt>
          <c:dLbls>
            <c:dLbl>
              <c:idx val="0"/>
              <c:delete val="1"/>
              <c:extLst>
                <c:ext xmlns:c15="http://schemas.microsoft.com/office/drawing/2012/chart" uri="{CE6537A1-D6FC-4f65-9D91-7224C49458BB}"/>
                <c:ext xmlns:c16="http://schemas.microsoft.com/office/drawing/2014/chart" uri="{C3380CC4-5D6E-409C-BE32-E72D297353CC}">
                  <c16:uniqueId val="{0000000D-A3E0-4241-B9E2-C6C1132A9B06}"/>
                </c:ext>
              </c:extLst>
            </c:dLbl>
            <c:dLbl>
              <c:idx val="1"/>
              <c:layout>
                <c:manualLayout>
                  <c:x val="-3.5563013140604345E-2"/>
                  <c:y val="-3.4444505923839623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8.0525717588647447E-2"/>
                      <c:h val="7.8289133774529493E-2"/>
                    </c:manualLayout>
                  </c15:layout>
                </c:ext>
                <c:ext xmlns:c16="http://schemas.microsoft.com/office/drawing/2014/chart" uri="{C3380CC4-5D6E-409C-BE32-E72D297353CC}">
                  <c16:uniqueId val="{0000000A-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Analysis'!$P$214:$P$215</c:f>
              <c:numCache>
                <c:formatCode>0.00%</c:formatCode>
                <c:ptCount val="2"/>
                <c:pt idx="0">
                  <c:v>-2.4024269033425236E-2</c:v>
                </c:pt>
                <c:pt idx="1">
                  <c:v>-2.4024269033425236E-2</c:v>
                </c:pt>
              </c:numCache>
            </c:numRef>
          </c:xVal>
          <c:yVal>
            <c:numRef>
              <c:f>'Notes | Quant Analysis'!$Q$214:$Q$215</c:f>
              <c:numCache>
                <c:formatCode>General</c:formatCode>
                <c:ptCount val="2"/>
                <c:pt idx="0">
                  <c:v>0</c:v>
                </c:pt>
                <c:pt idx="1">
                  <c:v>12</c:v>
                </c:pt>
              </c:numCache>
            </c:numRef>
          </c:yVal>
          <c:smooth val="1"/>
          <c:extLst>
            <c:ext xmlns:c16="http://schemas.microsoft.com/office/drawing/2014/chart" uri="{C3380CC4-5D6E-409C-BE32-E72D297353CC}">
              <c16:uniqueId val="{00000006-A3E0-4241-B9E2-C6C1132A9B06}"/>
            </c:ext>
          </c:extLst>
        </c:ser>
        <c:ser>
          <c:idx val="6"/>
          <c:order val="6"/>
          <c:tx>
            <c:strRef>
              <c:f>'Notes | Quant Analysis'!$O$216</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A3E0-4241-B9E2-C6C1132A9B06}"/>
                </c:ext>
              </c:extLst>
            </c:dLbl>
            <c:dLbl>
              <c:idx val="1"/>
              <c:layout>
                <c:manualLayout>
                  <c:x val="-4.7875633359428661E-2"/>
                  <c:y val="-3.0225988509951045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8.9604834875401149E-2"/>
                      <c:h val="0.11406682764981506"/>
                    </c:manualLayout>
                  </c15:layout>
                </c:ext>
                <c:ext xmlns:c16="http://schemas.microsoft.com/office/drawing/2014/chart" uri="{C3380CC4-5D6E-409C-BE32-E72D297353CC}">
                  <c16:uniqueId val="{0000000C-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Analysis'!$P$216:$P$217</c:f>
              <c:numCache>
                <c:formatCode>0.00%</c:formatCode>
                <c:ptCount val="2"/>
                <c:pt idx="0">
                  <c:v>2.5026527096046344E-2</c:v>
                </c:pt>
                <c:pt idx="1">
                  <c:v>2.5026527096046344E-2</c:v>
                </c:pt>
              </c:numCache>
            </c:numRef>
          </c:xVal>
          <c:yVal>
            <c:numRef>
              <c:f>'Notes | Quant Analysis'!$Q$216:$Q$217</c:f>
              <c:numCache>
                <c:formatCode>General</c:formatCode>
                <c:ptCount val="2"/>
                <c:pt idx="0">
                  <c:v>0</c:v>
                </c:pt>
                <c:pt idx="1">
                  <c:v>12</c:v>
                </c:pt>
              </c:numCache>
            </c:numRef>
          </c:yVal>
          <c:smooth val="1"/>
          <c:extLst>
            <c:ext xmlns:c16="http://schemas.microsoft.com/office/drawing/2014/chart" uri="{C3380CC4-5D6E-409C-BE32-E72D297353CC}">
              <c16:uniqueId val="{00000007-A3E0-4241-B9E2-C6C1132A9B06}"/>
            </c:ext>
          </c:extLst>
        </c:ser>
        <c:ser>
          <c:idx val="7"/>
          <c:order val="7"/>
          <c:tx>
            <c:strRef>
              <c:f>'Notes | Quant Analysis'!$O$218</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1-A3E0-4241-B9E2-C6C1132A9B06}"/>
                </c:ext>
              </c:extLst>
            </c:dLbl>
            <c:dLbl>
              <c:idx val="1"/>
              <c:layout>
                <c:manualLayout>
                  <c:x val="-3.5113100602940726E-2"/>
                  <c:y val="-6.4604197903072785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5-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Analysis'!$P$218:$P$219</c:f>
              <c:numCache>
                <c:formatCode>0.00%</c:formatCode>
                <c:ptCount val="2"/>
                <c:pt idx="0">
                  <c:v>4.9551925160782134E-2</c:v>
                </c:pt>
                <c:pt idx="1">
                  <c:v>4.9551925160782134E-2</c:v>
                </c:pt>
              </c:numCache>
            </c:numRef>
          </c:xVal>
          <c:yVal>
            <c:numRef>
              <c:f>'Notes | Quant Analysis'!$Q$218:$Q$219</c:f>
              <c:numCache>
                <c:formatCode>General</c:formatCode>
                <c:ptCount val="2"/>
                <c:pt idx="0">
                  <c:v>0</c:v>
                </c:pt>
                <c:pt idx="1">
                  <c:v>5</c:v>
                </c:pt>
              </c:numCache>
            </c:numRef>
          </c:yVal>
          <c:smooth val="1"/>
          <c:extLst>
            <c:ext xmlns:c16="http://schemas.microsoft.com/office/drawing/2014/chart" uri="{C3380CC4-5D6E-409C-BE32-E72D297353CC}">
              <c16:uniqueId val="{00000008-A3E0-4241-B9E2-C6C1132A9B06}"/>
            </c:ext>
          </c:extLst>
        </c:ser>
        <c:ser>
          <c:idx val="8"/>
          <c:order val="8"/>
          <c:tx>
            <c:strRef>
              <c:f>'Notes | Quant Analysis'!$O$220</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0-A3E0-4241-B9E2-C6C1132A9B06}"/>
                </c:ext>
              </c:extLst>
            </c:dLbl>
            <c:dLbl>
              <c:idx val="1"/>
              <c:layout>
                <c:manualLayout>
                  <c:x val="-4.228011873173966E-2"/>
                  <c:y val="-3.7449948649710046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4-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Analysis'!$P$220:$P$221</c:f>
              <c:numCache>
                <c:formatCode>0.00%</c:formatCode>
                <c:ptCount val="2"/>
                <c:pt idx="0">
                  <c:v>7.4077323225517924E-2</c:v>
                </c:pt>
                <c:pt idx="1">
                  <c:v>7.4077323225517924E-2</c:v>
                </c:pt>
              </c:numCache>
            </c:numRef>
          </c:xVal>
          <c:yVal>
            <c:numRef>
              <c:f>'Notes | Quant Analysis'!$Q$220:$Q$221</c:f>
              <c:numCache>
                <c:formatCode>General</c:formatCode>
                <c:ptCount val="2"/>
                <c:pt idx="0">
                  <c:v>0</c:v>
                </c:pt>
                <c:pt idx="1">
                  <c:v>2</c:v>
                </c:pt>
              </c:numCache>
            </c:numRef>
          </c:yVal>
          <c:smooth val="1"/>
          <c:extLst>
            <c:ext xmlns:c16="http://schemas.microsoft.com/office/drawing/2014/chart" uri="{C3380CC4-5D6E-409C-BE32-E72D297353CC}">
              <c16:uniqueId val="{00000009-A3E0-4241-B9E2-C6C1132A9B06}"/>
            </c:ext>
          </c:extLst>
        </c:ser>
        <c:dLbls>
          <c:showLegendKey val="0"/>
          <c:showVal val="0"/>
          <c:showCatName val="0"/>
          <c:showSerName val="0"/>
          <c:showPercent val="0"/>
          <c:showBubbleSize val="0"/>
        </c:dLbls>
        <c:axId val="1953242783"/>
        <c:axId val="1953240383"/>
      </c:scatterChart>
      <c:valAx>
        <c:axId val="1953242783"/>
        <c:scaling>
          <c:orientation val="minMax"/>
          <c:max val="8.0000000000000016E-2"/>
          <c:min val="-8.0000000000000016E-2"/>
        </c:scaling>
        <c:delete val="0"/>
        <c:axPos val="b"/>
        <c:majorGridlines>
          <c:spPr>
            <a:ln w="9525" cap="flat" cmpd="sng" algn="ctr">
              <a:solidFill>
                <a:schemeClr val="tx1">
                  <a:lumMod val="15000"/>
                  <a:lumOff val="85000"/>
                </a:schemeClr>
              </a:solidFill>
              <a:round/>
            </a:ln>
            <a:effectLst/>
          </c:spPr>
        </c:majorGridlines>
        <c:numFmt formatCode="0.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53240383"/>
        <c:crosses val="autoZero"/>
        <c:crossBetween val="midCat"/>
        <c:majorUnit val="1.0000000000000002E-2"/>
      </c:valAx>
      <c:valAx>
        <c:axId val="1953240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242783"/>
        <c:crosses val="autoZero"/>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(WK) Quarterly Ttl Revenues, Net Income, Free Cash Flows (in $ millions)</a:t>
            </a:r>
            <a:endParaRPr lang="en-US"/>
          </a:p>
        </c:rich>
      </c:tx>
      <c:overlay val="0"/>
      <c:spPr>
        <a:noFill/>
        <a:ln>
          <a:noFill/>
        </a:ln>
        <a:effectLst/>
      </c:spPr>
    </c:title>
    <c:autoTitleDeleted val="0"/>
    <c:plotArea>
      <c:layout>
        <c:manualLayout>
          <c:layoutTarget val="inner"/>
          <c:xMode val="edge"/>
          <c:yMode val="edge"/>
          <c:x val="6.6242782152230978E-2"/>
          <c:y val="0.1147818364809662"/>
          <c:w val="0.90742618110236228"/>
          <c:h val="0.7781933179405206"/>
        </c:manualLayout>
      </c:layout>
      <c:barChart>
        <c:barDir val="col"/>
        <c:grouping val="clustered"/>
        <c:varyColors val="0"/>
        <c:ser>
          <c:idx val="1"/>
          <c:order val="1"/>
          <c:tx>
            <c:v>Income</c:v>
          </c:tx>
          <c:spPr>
            <a:solidFill>
              <a:srgbClr val="00B050"/>
            </a:solidFill>
          </c:spPr>
          <c:invertIfNegative val="0"/>
          <c:cat>
            <c:strRef>
              <c:f>Model!$W$1:$AU$1</c:f>
              <c:strCache>
                <c:ptCount val="25"/>
                <c:pt idx="0">
                  <c:v>Q1 2019</c:v>
                </c:pt>
                <c:pt idx="4">
                  <c:v>Q1 2020</c:v>
                </c:pt>
                <c:pt idx="8">
                  <c:v>Q1 2021</c:v>
                </c:pt>
                <c:pt idx="12">
                  <c:v>Q1 2022</c:v>
                </c:pt>
                <c:pt idx="16">
                  <c:v>Q1 2023</c:v>
                </c:pt>
                <c:pt idx="20">
                  <c:v>Q1 2024</c:v>
                </c:pt>
                <c:pt idx="24">
                  <c:v>Q1 2025</c:v>
                </c:pt>
              </c:strCache>
            </c:strRef>
          </c:cat>
          <c:val>
            <c:numRef>
              <c:f>Model!$W$46:$AW$46</c:f>
              <c:numCache>
                <c:formatCode>0.0</c:formatCode>
                <c:ptCount val="27"/>
                <c:pt idx="0">
                  <c:v>-7.4629999999999939</c:v>
                </c:pt>
                <c:pt idx="1">
                  <c:v>-8.3220000000000081</c:v>
                </c:pt>
                <c:pt idx="2">
                  <c:v>-16.051000000000002</c:v>
                </c:pt>
                <c:pt idx="3">
                  <c:v>-15.643000000000011</c:v>
                </c:pt>
                <c:pt idx="4">
                  <c:v>-10.572999999999995</c:v>
                </c:pt>
                <c:pt idx="5">
                  <c:v>-19.765000000000011</c:v>
                </c:pt>
                <c:pt idx="6">
                  <c:v>-10.506999999999998</c:v>
                </c:pt>
                <c:pt idx="7">
                  <c:v>-7.1430000000000007</c:v>
                </c:pt>
                <c:pt idx="8">
                  <c:v>-7.3239999999999919</c:v>
                </c:pt>
                <c:pt idx="9">
                  <c:v>-9.5139999999999816</c:v>
                </c:pt>
                <c:pt idx="10">
                  <c:v>-6.5679999999999943</c:v>
                </c:pt>
                <c:pt idx="11">
                  <c:v>-14.324000000000009</c:v>
                </c:pt>
                <c:pt idx="12">
                  <c:v>-18.493000000000006</c:v>
                </c:pt>
                <c:pt idx="13">
                  <c:v>-28.861000000000008</c:v>
                </c:pt>
                <c:pt idx="14">
                  <c:v>-29.69100000000001</c:v>
                </c:pt>
                <c:pt idx="15">
                  <c:v>-13.902000000000029</c:v>
                </c:pt>
                <c:pt idx="16">
                  <c:v>-46.150000000000006</c:v>
                </c:pt>
                <c:pt idx="17">
                  <c:v>-20.910000000000014</c:v>
                </c:pt>
                <c:pt idx="18">
                  <c:v>-56.178999999999995</c:v>
                </c:pt>
                <c:pt idx="19">
                  <c:v>-4.2860000000000129</c:v>
                </c:pt>
                <c:pt idx="20">
                  <c:v>-11.686999999999985</c:v>
                </c:pt>
                <c:pt idx="21">
                  <c:v>-17.547999999999998</c:v>
                </c:pt>
                <c:pt idx="22">
                  <c:v>-16.990999999999946</c:v>
                </c:pt>
                <c:pt idx="23">
                  <c:v>-8.8160000000000522</c:v>
                </c:pt>
                <c:pt idx="24">
                  <c:v>-21.377999999999979</c:v>
                </c:pt>
                <c:pt idx="25">
                  <c:v>-19.349999999999987</c:v>
                </c:pt>
                <c:pt idx="26">
                  <c:v>2.7910000000000079</c:v>
                </c:pt>
              </c:numCache>
            </c:numRef>
          </c:val>
          <c:extLst>
            <c:ext xmlns:c16="http://schemas.microsoft.com/office/drawing/2014/chart" uri="{C3380CC4-5D6E-409C-BE32-E72D297353CC}">
              <c16:uniqueId val="{00000000-E708-4A14-B9E6-EAA7AC6E7CBE}"/>
            </c:ext>
          </c:extLst>
        </c:ser>
        <c:ser>
          <c:idx val="2"/>
          <c:order val="2"/>
          <c:tx>
            <c:v>FCF</c:v>
          </c:tx>
          <c:spPr>
            <a:solidFill>
              <a:srgbClr val="FFC000"/>
            </a:solidFill>
          </c:spPr>
          <c:invertIfNegative val="0"/>
          <c:cat>
            <c:strRef>
              <c:f>Model!$W$1:$AU$1</c:f>
              <c:strCache>
                <c:ptCount val="25"/>
                <c:pt idx="0">
                  <c:v>Q1 2019</c:v>
                </c:pt>
                <c:pt idx="4">
                  <c:v>Q1 2020</c:v>
                </c:pt>
                <c:pt idx="8">
                  <c:v>Q1 2021</c:v>
                </c:pt>
                <c:pt idx="12">
                  <c:v>Q1 2022</c:v>
                </c:pt>
                <c:pt idx="16">
                  <c:v>Q1 2023</c:v>
                </c:pt>
                <c:pt idx="20">
                  <c:v>Q1 2024</c:v>
                </c:pt>
                <c:pt idx="24">
                  <c:v>Q1 2025</c:v>
                </c:pt>
              </c:strCache>
            </c:strRef>
          </c:cat>
          <c:val>
            <c:numRef>
              <c:f>Model!$W$97:$AW$97</c:f>
              <c:numCache>
                <c:formatCode>0.0</c:formatCode>
                <c:ptCount val="27"/>
                <c:pt idx="0">
                  <c:v>3.3999999999999995</c:v>
                </c:pt>
                <c:pt idx="1">
                  <c:v>18.3</c:v>
                </c:pt>
                <c:pt idx="2">
                  <c:v>4</c:v>
                </c:pt>
                <c:pt idx="3">
                  <c:v>2.0999999999999996</c:v>
                </c:pt>
                <c:pt idx="4">
                  <c:v>4.0999999999999996</c:v>
                </c:pt>
                <c:pt idx="5">
                  <c:v>6.5</c:v>
                </c:pt>
                <c:pt idx="6">
                  <c:v>7.5</c:v>
                </c:pt>
                <c:pt idx="7">
                  <c:v>13.3</c:v>
                </c:pt>
                <c:pt idx="8">
                  <c:v>10.7</c:v>
                </c:pt>
                <c:pt idx="9">
                  <c:v>12</c:v>
                </c:pt>
                <c:pt idx="10">
                  <c:v>15.5</c:v>
                </c:pt>
                <c:pt idx="11">
                  <c:v>8.2000000000000011</c:v>
                </c:pt>
                <c:pt idx="12">
                  <c:v>-1.4</c:v>
                </c:pt>
                <c:pt idx="13">
                  <c:v>7.9999999999999991</c:v>
                </c:pt>
                <c:pt idx="14">
                  <c:v>3.9000000000000004</c:v>
                </c:pt>
                <c:pt idx="15">
                  <c:v>-2.5</c:v>
                </c:pt>
                <c:pt idx="16">
                  <c:v>5.3999999999999995</c:v>
                </c:pt>
                <c:pt idx="17">
                  <c:v>25.4</c:v>
                </c:pt>
                <c:pt idx="18">
                  <c:v>14.1</c:v>
                </c:pt>
                <c:pt idx="19">
                  <c:v>23.900000000000002</c:v>
                </c:pt>
                <c:pt idx="20">
                  <c:v>24.6</c:v>
                </c:pt>
                <c:pt idx="21">
                  <c:v>-0.1</c:v>
                </c:pt>
                <c:pt idx="22">
                  <c:v>18.7</c:v>
                </c:pt>
                <c:pt idx="23">
                  <c:v>43.2</c:v>
                </c:pt>
                <c:pt idx="24">
                  <c:v>-8.2000000000000011</c:v>
                </c:pt>
                <c:pt idx="25">
                  <c:v>49.356000000000002</c:v>
                </c:pt>
                <c:pt idx="26">
                  <c:v>46.064</c:v>
                </c:pt>
              </c:numCache>
            </c:numRef>
          </c:val>
          <c:extLst>
            <c:ext xmlns:c16="http://schemas.microsoft.com/office/drawing/2014/chart" uri="{C3380CC4-5D6E-409C-BE32-E72D297353CC}">
              <c16:uniqueId val="{00000001-E708-4A14-B9E6-EAA7AC6E7CBE}"/>
            </c:ext>
          </c:extLst>
        </c:ser>
        <c:dLbls>
          <c:showLegendKey val="0"/>
          <c:showVal val="0"/>
          <c:showCatName val="0"/>
          <c:showSerName val="0"/>
          <c:showPercent val="0"/>
          <c:showBubbleSize val="0"/>
        </c:dLbls>
        <c:gapWidth val="57"/>
        <c:overlap val="-2"/>
        <c:axId val="1243124976"/>
        <c:axId val="1243123056"/>
      </c:barChart>
      <c:lineChart>
        <c:grouping val="standard"/>
        <c:varyColors val="0"/>
        <c:ser>
          <c:idx val="0"/>
          <c:order val="0"/>
          <c:tx>
            <c:strRef>
              <c:f>Model!$B$32</c:f>
              <c:strCache>
                <c:ptCount val="1"/>
                <c:pt idx="0">
                  <c:v>Ttl Revenues</c:v>
                </c:pt>
              </c:strCache>
            </c:strRef>
          </c:tx>
          <c:spPr>
            <a:ln>
              <a:solidFill>
                <a:srgbClr val="00B0F0"/>
              </a:solidFill>
            </a:ln>
          </c:spPr>
          <c:marker>
            <c:symbol val="none"/>
          </c:marker>
          <c:cat>
            <c:strRef>
              <c:f>Model!$W$1:$AU$1</c:f>
              <c:strCache>
                <c:ptCount val="25"/>
                <c:pt idx="0">
                  <c:v>Q1 2019</c:v>
                </c:pt>
                <c:pt idx="4">
                  <c:v>Q1 2020</c:v>
                </c:pt>
                <c:pt idx="8">
                  <c:v>Q1 2021</c:v>
                </c:pt>
                <c:pt idx="12">
                  <c:v>Q1 2022</c:v>
                </c:pt>
                <c:pt idx="16">
                  <c:v>Q1 2023</c:v>
                </c:pt>
                <c:pt idx="20">
                  <c:v>Q1 2024</c:v>
                </c:pt>
                <c:pt idx="24">
                  <c:v>Q1 2025</c:v>
                </c:pt>
              </c:strCache>
            </c:strRef>
          </c:cat>
          <c:val>
            <c:numRef>
              <c:f>Model!$W$32:$AW$32</c:f>
              <c:numCache>
                <c:formatCode>0.0</c:formatCode>
                <c:ptCount val="27"/>
                <c:pt idx="0">
                  <c:v>69.963000000000008</c:v>
                </c:pt>
                <c:pt idx="1">
                  <c:v>73.483999999999995</c:v>
                </c:pt>
                <c:pt idx="2">
                  <c:v>74.179000000000002</c:v>
                </c:pt>
                <c:pt idx="3">
                  <c:v>80.264999999999986</c:v>
                </c:pt>
                <c:pt idx="4">
                  <c:v>85.801000000000002</c:v>
                </c:pt>
                <c:pt idx="5">
                  <c:v>83.86</c:v>
                </c:pt>
                <c:pt idx="6">
                  <c:v>88.09899999999999</c:v>
                </c:pt>
                <c:pt idx="7">
                  <c:v>93.834000000000003</c:v>
                </c:pt>
                <c:pt idx="8">
                  <c:v>104.22200000000001</c:v>
                </c:pt>
                <c:pt idx="9">
                  <c:v>105.587</c:v>
                </c:pt>
                <c:pt idx="10">
                  <c:v>112.69300000000001</c:v>
                </c:pt>
                <c:pt idx="11">
                  <c:v>120.78299999999997</c:v>
                </c:pt>
                <c:pt idx="12">
                  <c:v>129.67400000000001</c:v>
                </c:pt>
                <c:pt idx="13">
                  <c:v>131.54899999999998</c:v>
                </c:pt>
                <c:pt idx="14">
                  <c:v>132.84899999999999</c:v>
                </c:pt>
                <c:pt idx="15">
                  <c:v>143.80299999999997</c:v>
                </c:pt>
                <c:pt idx="16">
                  <c:v>150.18899999999999</c:v>
                </c:pt>
                <c:pt idx="17">
                  <c:v>155.02199999999999</c:v>
                </c:pt>
                <c:pt idx="18">
                  <c:v>158.17500000000001</c:v>
                </c:pt>
                <c:pt idx="19">
                  <c:v>166.65300000000002</c:v>
                </c:pt>
                <c:pt idx="20">
                  <c:v>175.667</c:v>
                </c:pt>
                <c:pt idx="21">
                  <c:v>177.50300000000001</c:v>
                </c:pt>
                <c:pt idx="22">
                  <c:v>185.62200000000001</c:v>
                </c:pt>
                <c:pt idx="23">
                  <c:v>199.88799999999995</c:v>
                </c:pt>
                <c:pt idx="24">
                  <c:v>206.27199999999999</c:v>
                </c:pt>
                <c:pt idx="25">
                  <c:v>215.18500000000003</c:v>
                </c:pt>
                <c:pt idx="26">
                  <c:v>224.16400000000002</c:v>
                </c:pt>
              </c:numCache>
            </c:numRef>
          </c:val>
          <c:smooth val="0"/>
          <c:extLst>
            <c:ext xmlns:c16="http://schemas.microsoft.com/office/drawing/2014/chart" uri="{C3380CC4-5D6E-409C-BE32-E72D297353CC}">
              <c16:uniqueId val="{00000002-E708-4A14-B9E6-EAA7AC6E7CBE}"/>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(WK) Annualized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strRef>
              <c:f>Model!$B$46</c:f>
              <c:strCache>
                <c:ptCount val="1"/>
                <c:pt idx="0">
                  <c:v>Net Income</c:v>
                </c:pt>
              </c:strCache>
            </c:strRef>
          </c:tx>
          <c:spPr>
            <a:solidFill>
              <a:srgbClr val="00B050"/>
            </a:solidFill>
          </c:spPr>
          <c:invertIfNegative val="0"/>
          <c:cat>
            <c:numRef>
              <c:f>Model!$BK$3:$BU$3</c:f>
              <c:numCache>
                <c:formatCode>General</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Model!$BK$46:$BU$46</c:f>
              <c:numCache>
                <c:formatCode>General</c:formatCode>
                <c:ptCount val="11"/>
                <c:pt idx="0">
                  <c:v>-38.799999999999997</c:v>
                </c:pt>
                <c:pt idx="1">
                  <c:v>-42.099999999999994</c:v>
                </c:pt>
                <c:pt idx="2">
                  <c:v>-43.6</c:v>
                </c:pt>
                <c:pt idx="3">
                  <c:v>-44.400000000000006</c:v>
                </c:pt>
                <c:pt idx="4">
                  <c:v>-49.999999999999986</c:v>
                </c:pt>
                <c:pt idx="5" formatCode="0.0">
                  <c:v>-47.479000000000013</c:v>
                </c:pt>
                <c:pt idx="6" formatCode="0.0">
                  <c:v>-47.988000000000007</c:v>
                </c:pt>
                <c:pt idx="7" formatCode="0.0">
                  <c:v>-37.729999999999976</c:v>
                </c:pt>
                <c:pt idx="8" formatCode="0.0">
                  <c:v>-90.947000000000045</c:v>
                </c:pt>
                <c:pt idx="9" formatCode="0.0">
                  <c:v>-127.52500000000002</c:v>
                </c:pt>
                <c:pt idx="10" formatCode="0.0">
                  <c:v>-55.04199999999998</c:v>
                </c:pt>
              </c:numCache>
            </c:numRef>
          </c:val>
          <c:extLst>
            <c:ext xmlns:c16="http://schemas.microsoft.com/office/drawing/2014/chart" uri="{C3380CC4-5D6E-409C-BE32-E72D297353CC}">
              <c16:uniqueId val="{00000000-E990-43FC-812C-359BBB636AA1}"/>
            </c:ext>
          </c:extLst>
        </c:ser>
        <c:ser>
          <c:idx val="2"/>
          <c:order val="2"/>
          <c:tx>
            <c:v>FCF</c:v>
          </c:tx>
          <c:spPr>
            <a:solidFill>
              <a:srgbClr val="FFC000"/>
            </a:solidFill>
          </c:spPr>
          <c:invertIfNegative val="0"/>
          <c:cat>
            <c:numRef>
              <c:f>Model!$BK$3:$BU$3</c:f>
              <c:numCache>
                <c:formatCode>General</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Model!$BK$97:$BU$97</c:f>
              <c:numCache>
                <c:formatCode>General</c:formatCode>
                <c:ptCount val="11"/>
                <c:pt idx="0">
                  <c:v>-12.099999999999998</c:v>
                </c:pt>
                <c:pt idx="1">
                  <c:v>-23.4</c:v>
                </c:pt>
                <c:pt idx="2">
                  <c:v>-12.200000000000003</c:v>
                </c:pt>
                <c:pt idx="3">
                  <c:v>4.3999999999999995</c:v>
                </c:pt>
                <c:pt idx="4">
                  <c:v>5.3999999999999995</c:v>
                </c:pt>
                <c:pt idx="5" formatCode="0.0">
                  <c:v>27.799999999999997</c:v>
                </c:pt>
                <c:pt idx="6" formatCode="0.0">
                  <c:v>31.4</c:v>
                </c:pt>
                <c:pt idx="7" formatCode="0.0">
                  <c:v>46.400000000000006</c:v>
                </c:pt>
                <c:pt idx="8" formatCode="0.0">
                  <c:v>7.9999999999999982</c:v>
                </c:pt>
                <c:pt idx="9" formatCode="0.0">
                  <c:v>68.800000000000011</c:v>
                </c:pt>
                <c:pt idx="10" formatCode="0.0">
                  <c:v>86.4</c:v>
                </c:pt>
              </c:numCache>
            </c:numRef>
          </c:val>
          <c:extLst>
            <c:ext xmlns:c16="http://schemas.microsoft.com/office/drawing/2014/chart" uri="{C3380CC4-5D6E-409C-BE32-E72D297353CC}">
              <c16:uniqueId val="{00000001-E990-43FC-812C-359BBB636AA1}"/>
            </c:ext>
          </c:extLst>
        </c:ser>
        <c:dLbls>
          <c:showLegendKey val="0"/>
          <c:showVal val="0"/>
          <c:showCatName val="0"/>
          <c:showSerName val="0"/>
          <c:showPercent val="0"/>
          <c:showBubbleSize val="0"/>
        </c:dLbls>
        <c:gapWidth val="57"/>
        <c:overlap val="-2"/>
        <c:axId val="1243124976"/>
        <c:axId val="1243123056"/>
      </c:barChart>
      <c:lineChart>
        <c:grouping val="standard"/>
        <c:varyColors val="0"/>
        <c:ser>
          <c:idx val="0"/>
          <c:order val="0"/>
          <c:tx>
            <c:v>Revenues</c:v>
          </c:tx>
          <c:spPr>
            <a:ln>
              <a:solidFill>
                <a:srgbClr val="00B0F0"/>
              </a:solidFill>
            </a:ln>
          </c:spPr>
          <c:marker>
            <c:symbol val="none"/>
          </c:marker>
          <c:cat>
            <c:numRef>
              <c:f>Model!$BK$3:$BU$3</c:f>
              <c:numCache>
                <c:formatCode>General</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Model!$BK$32:$BU$32</c:f>
              <c:numCache>
                <c:formatCode>General</c:formatCode>
                <c:ptCount val="11"/>
                <c:pt idx="0">
                  <c:v>112.6</c:v>
                </c:pt>
                <c:pt idx="1">
                  <c:v>145.4</c:v>
                </c:pt>
                <c:pt idx="2">
                  <c:v>178.70000000000002</c:v>
                </c:pt>
                <c:pt idx="3">
                  <c:v>207.9</c:v>
                </c:pt>
                <c:pt idx="4">
                  <c:v>244.3</c:v>
                </c:pt>
                <c:pt idx="5" formatCode="0.0">
                  <c:v>297.89099999999996</c:v>
                </c:pt>
                <c:pt idx="6" formatCode="0.0">
                  <c:v>351.59399999999999</c:v>
                </c:pt>
                <c:pt idx="7" formatCode="0.0">
                  <c:v>443.28500000000003</c:v>
                </c:pt>
                <c:pt idx="8" formatCode="0.0">
                  <c:v>537.87499999999989</c:v>
                </c:pt>
                <c:pt idx="9" formatCode="0.0">
                  <c:v>630.03899999999999</c:v>
                </c:pt>
                <c:pt idx="10" formatCode="0.0">
                  <c:v>738.68</c:v>
                </c:pt>
              </c:numCache>
            </c:numRef>
          </c:val>
          <c:smooth val="0"/>
          <c:extLst>
            <c:ext xmlns:c16="http://schemas.microsoft.com/office/drawing/2014/chart" uri="{C3380CC4-5D6E-409C-BE32-E72D297353CC}">
              <c16:uniqueId val="{00000002-E990-43FC-812C-359BBB636AA1}"/>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(WK) Qarterly Revenue by Segment (in $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587501048507E-2"/>
          <c:y val="0.16630261573867286"/>
          <c:w val="0.91646860416323306"/>
          <c:h val="0.74917903495450422"/>
        </c:manualLayout>
      </c:layout>
      <c:barChart>
        <c:barDir val="col"/>
        <c:grouping val="stacked"/>
        <c:varyColors val="0"/>
        <c:ser>
          <c:idx val="3"/>
          <c:order val="0"/>
          <c:tx>
            <c:strRef>
              <c:f>Model!$B$4</c:f>
              <c:strCache>
                <c:ptCount val="1"/>
                <c:pt idx="0">
                  <c:v>Subscription and Support</c:v>
                </c:pt>
              </c:strCache>
            </c:strRef>
          </c:tx>
          <c:spPr>
            <a:solidFill>
              <a:srgbClr val="FFC000"/>
            </a:solidFill>
            <a:ln>
              <a:noFill/>
            </a:ln>
            <a:effectLst/>
          </c:spPr>
          <c:invertIfNegative val="0"/>
          <c:cat>
            <c:strRef>
              <c:f>Model!$W$1:$AU$1</c:f>
              <c:strCache>
                <c:ptCount val="25"/>
                <c:pt idx="0">
                  <c:v>Q1 2019</c:v>
                </c:pt>
                <c:pt idx="4">
                  <c:v>Q1 2020</c:v>
                </c:pt>
                <c:pt idx="8">
                  <c:v>Q1 2021</c:v>
                </c:pt>
                <c:pt idx="12">
                  <c:v>Q1 2022</c:v>
                </c:pt>
                <c:pt idx="16">
                  <c:v>Q1 2023</c:v>
                </c:pt>
                <c:pt idx="20">
                  <c:v>Q1 2024</c:v>
                </c:pt>
                <c:pt idx="24">
                  <c:v>Q1 2025</c:v>
                </c:pt>
              </c:strCache>
            </c:strRef>
          </c:cat>
          <c:val>
            <c:numRef>
              <c:f>Model!$W$4:$AW$4</c:f>
              <c:numCache>
                <c:formatCode>0.0</c:formatCode>
                <c:ptCount val="27"/>
                <c:pt idx="0">
                  <c:v>56.122999999999998</c:v>
                </c:pt>
                <c:pt idx="1">
                  <c:v>60.472000000000001</c:v>
                </c:pt>
                <c:pt idx="2">
                  <c:v>63.021999999999998</c:v>
                </c:pt>
                <c:pt idx="3">
                  <c:v>66.147999999999996</c:v>
                </c:pt>
                <c:pt idx="4">
                  <c:v>68.361000000000004</c:v>
                </c:pt>
                <c:pt idx="5">
                  <c:v>70.695999999999998</c:v>
                </c:pt>
                <c:pt idx="6">
                  <c:v>75.849999999999994</c:v>
                </c:pt>
                <c:pt idx="7">
                  <c:v>80.97</c:v>
                </c:pt>
                <c:pt idx="8">
                  <c:v>84.936000000000007</c:v>
                </c:pt>
                <c:pt idx="9">
                  <c:v>91.204999999999998</c:v>
                </c:pt>
                <c:pt idx="10">
                  <c:v>98.912000000000006</c:v>
                </c:pt>
                <c:pt idx="11">
                  <c:v>104.28699999999998</c:v>
                </c:pt>
                <c:pt idx="12">
                  <c:v>107.12</c:v>
                </c:pt>
                <c:pt idx="13">
                  <c:v>113.35299999999999</c:v>
                </c:pt>
                <c:pt idx="14">
                  <c:v>118.59099999999999</c:v>
                </c:pt>
                <c:pt idx="15">
                  <c:v>125.87099999999998</c:v>
                </c:pt>
                <c:pt idx="16">
                  <c:v>129.66399999999999</c:v>
                </c:pt>
                <c:pt idx="17">
                  <c:v>136.77199999999999</c:v>
                </c:pt>
                <c:pt idx="18">
                  <c:v>143.42099999999999</c:v>
                </c:pt>
                <c:pt idx="19">
                  <c:v>148.78800000000001</c:v>
                </c:pt>
                <c:pt idx="20">
                  <c:v>154.97900000000001</c:v>
                </c:pt>
                <c:pt idx="21">
                  <c:v>160.73500000000001</c:v>
                </c:pt>
                <c:pt idx="22">
                  <c:v>171.035</c:v>
                </c:pt>
                <c:pt idx="23">
                  <c:v>180.89699999999993</c:v>
                </c:pt>
                <c:pt idx="24">
                  <c:v>185.512</c:v>
                </c:pt>
                <c:pt idx="25">
                  <c:v>198.22300000000001</c:v>
                </c:pt>
                <c:pt idx="26">
                  <c:v>209.56</c:v>
                </c:pt>
              </c:numCache>
            </c:numRef>
          </c:val>
          <c:extLst>
            <c:ext xmlns:c16="http://schemas.microsoft.com/office/drawing/2014/chart" uri="{C3380CC4-5D6E-409C-BE32-E72D297353CC}">
              <c16:uniqueId val="{00000000-214A-47A6-8A31-2E76462F714A}"/>
            </c:ext>
          </c:extLst>
        </c:ser>
        <c:ser>
          <c:idx val="4"/>
          <c:order val="1"/>
          <c:tx>
            <c:strRef>
              <c:f>Model!$B$5</c:f>
              <c:strCache>
                <c:ptCount val="1"/>
                <c:pt idx="0">
                  <c:v>XBRL Professional Services</c:v>
                </c:pt>
              </c:strCache>
            </c:strRef>
          </c:tx>
          <c:spPr>
            <a:solidFill>
              <a:srgbClr val="00B0F0"/>
            </a:solidFill>
            <a:ln>
              <a:noFill/>
            </a:ln>
            <a:effectLst/>
          </c:spPr>
          <c:invertIfNegative val="0"/>
          <c:cat>
            <c:strRef>
              <c:f>Model!$W$1:$AU$1</c:f>
              <c:strCache>
                <c:ptCount val="25"/>
                <c:pt idx="0">
                  <c:v>Q1 2019</c:v>
                </c:pt>
                <c:pt idx="4">
                  <c:v>Q1 2020</c:v>
                </c:pt>
                <c:pt idx="8">
                  <c:v>Q1 2021</c:v>
                </c:pt>
                <c:pt idx="12">
                  <c:v>Q1 2022</c:v>
                </c:pt>
                <c:pt idx="16">
                  <c:v>Q1 2023</c:v>
                </c:pt>
                <c:pt idx="20">
                  <c:v>Q1 2024</c:v>
                </c:pt>
                <c:pt idx="24">
                  <c:v>Q1 2025</c:v>
                </c:pt>
              </c:strCache>
            </c:strRef>
          </c:cat>
          <c:val>
            <c:numRef>
              <c:f>Model!$W$5:$AW$5</c:f>
              <c:numCache>
                <c:formatCode>0.0</c:formatCode>
                <c:ptCount val="27"/>
                <c:pt idx="0">
                  <c:v>11.41</c:v>
                </c:pt>
                <c:pt idx="1">
                  <c:v>9.5220000000000002</c:v>
                </c:pt>
                <c:pt idx="2">
                  <c:v>7.7670000000000003</c:v>
                </c:pt>
                <c:pt idx="3">
                  <c:v>10.035</c:v>
                </c:pt>
                <c:pt idx="4">
                  <c:v>13.432</c:v>
                </c:pt>
                <c:pt idx="5">
                  <c:v>8.3130000000000006</c:v>
                </c:pt>
                <c:pt idx="6">
                  <c:v>7.798</c:v>
                </c:pt>
                <c:pt idx="7">
                  <c:v>8.4889999999999972</c:v>
                </c:pt>
                <c:pt idx="8">
                  <c:v>14.486000000000001</c:v>
                </c:pt>
                <c:pt idx="9">
                  <c:v>10.069000000000001</c:v>
                </c:pt>
                <c:pt idx="10">
                  <c:v>9.0030000000000001</c:v>
                </c:pt>
                <c:pt idx="11">
                  <c:v>11.204999999999998</c:v>
                </c:pt>
                <c:pt idx="12">
                  <c:v>17.693000000000001</c:v>
                </c:pt>
                <c:pt idx="13">
                  <c:v>13.516999999999999</c:v>
                </c:pt>
                <c:pt idx="14">
                  <c:v>10.634</c:v>
                </c:pt>
                <c:pt idx="15">
                  <c:v>13.052</c:v>
                </c:pt>
                <c:pt idx="16">
                  <c:v>16.733000000000001</c:v>
                </c:pt>
                <c:pt idx="17">
                  <c:v>14.430999999999999</c:v>
                </c:pt>
                <c:pt idx="18">
                  <c:v>11.555</c:v>
                </c:pt>
                <c:pt idx="19">
                  <c:v>14.100999999999999</c:v>
                </c:pt>
                <c:pt idx="20">
                  <c:v>17.593</c:v>
                </c:pt>
                <c:pt idx="21">
                  <c:v>14.026999999999999</c:v>
                </c:pt>
                <c:pt idx="22">
                  <c:v>11.705</c:v>
                </c:pt>
                <c:pt idx="23">
                  <c:v>15.466000000000001</c:v>
                </c:pt>
                <c:pt idx="24">
                  <c:v>17.940000000000001</c:v>
                </c:pt>
                <c:pt idx="25">
                  <c:v>14.502000000000001</c:v>
                </c:pt>
                <c:pt idx="26">
                  <c:v>11.77</c:v>
                </c:pt>
              </c:numCache>
            </c:numRef>
          </c:val>
          <c:extLst>
            <c:ext xmlns:c16="http://schemas.microsoft.com/office/drawing/2014/chart" uri="{C3380CC4-5D6E-409C-BE32-E72D297353CC}">
              <c16:uniqueId val="{00000001-214A-47A6-8A31-2E76462F714A}"/>
            </c:ext>
          </c:extLst>
        </c:ser>
        <c:ser>
          <c:idx val="8"/>
          <c:order val="2"/>
          <c:tx>
            <c:strRef>
              <c:f>Model!$B$6</c:f>
              <c:strCache>
                <c:ptCount val="1"/>
                <c:pt idx="0">
                  <c:v>Other Services</c:v>
                </c:pt>
              </c:strCache>
            </c:strRef>
          </c:tx>
          <c:spPr>
            <a:solidFill>
              <a:srgbClr val="8BCDFF"/>
            </a:solidFill>
            <a:ln>
              <a:noFill/>
            </a:ln>
            <a:effectLst/>
          </c:spPr>
          <c:invertIfNegative val="0"/>
          <c:cat>
            <c:strRef>
              <c:f>Model!$W$1:$AU$1</c:f>
              <c:strCache>
                <c:ptCount val="25"/>
                <c:pt idx="0">
                  <c:v>Q1 2019</c:v>
                </c:pt>
                <c:pt idx="4">
                  <c:v>Q1 2020</c:v>
                </c:pt>
                <c:pt idx="8">
                  <c:v>Q1 2021</c:v>
                </c:pt>
                <c:pt idx="12">
                  <c:v>Q1 2022</c:v>
                </c:pt>
                <c:pt idx="16">
                  <c:v>Q1 2023</c:v>
                </c:pt>
                <c:pt idx="20">
                  <c:v>Q1 2024</c:v>
                </c:pt>
                <c:pt idx="24">
                  <c:v>Q1 2025</c:v>
                </c:pt>
              </c:strCache>
            </c:strRef>
          </c:cat>
          <c:val>
            <c:numRef>
              <c:f>Model!$W$6:$AW$6</c:f>
              <c:numCache>
                <c:formatCode>0.0</c:formatCode>
                <c:ptCount val="27"/>
                <c:pt idx="0">
                  <c:v>2.4300000000000002</c:v>
                </c:pt>
                <c:pt idx="1">
                  <c:v>3.49</c:v>
                </c:pt>
                <c:pt idx="2">
                  <c:v>3.39</c:v>
                </c:pt>
                <c:pt idx="3">
                  <c:v>4.081999999999999</c:v>
                </c:pt>
                <c:pt idx="4">
                  <c:v>4.008</c:v>
                </c:pt>
                <c:pt idx="5">
                  <c:v>4.851</c:v>
                </c:pt>
                <c:pt idx="6">
                  <c:v>4.4509999999999996</c:v>
                </c:pt>
                <c:pt idx="7">
                  <c:v>4.375</c:v>
                </c:pt>
                <c:pt idx="8">
                  <c:v>4.8</c:v>
                </c:pt>
                <c:pt idx="9">
                  <c:v>4.3129999999999997</c:v>
                </c:pt>
                <c:pt idx="10">
                  <c:v>4.7779999999999996</c:v>
                </c:pt>
                <c:pt idx="11">
                  <c:v>5.2910000000000004</c:v>
                </c:pt>
                <c:pt idx="12">
                  <c:v>4.8609999999999998</c:v>
                </c:pt>
                <c:pt idx="13">
                  <c:v>4.6790000000000003</c:v>
                </c:pt>
                <c:pt idx="14">
                  <c:v>3.6240000000000001</c:v>
                </c:pt>
                <c:pt idx="15">
                  <c:v>4.8800000000000008</c:v>
                </c:pt>
                <c:pt idx="16">
                  <c:v>3.7919999999999998</c:v>
                </c:pt>
                <c:pt idx="17">
                  <c:v>3.819</c:v>
                </c:pt>
                <c:pt idx="18">
                  <c:v>3.1989999999999998</c:v>
                </c:pt>
                <c:pt idx="19">
                  <c:v>3.7640000000000011</c:v>
                </c:pt>
                <c:pt idx="20">
                  <c:v>3.0950000000000002</c:v>
                </c:pt>
                <c:pt idx="21">
                  <c:v>2.7410000000000001</c:v>
                </c:pt>
                <c:pt idx="22">
                  <c:v>2.8820000000000001</c:v>
                </c:pt>
                <c:pt idx="23">
                  <c:v>3.5250000000000004</c:v>
                </c:pt>
                <c:pt idx="24">
                  <c:v>2.82</c:v>
                </c:pt>
                <c:pt idx="25">
                  <c:v>2.46</c:v>
                </c:pt>
                <c:pt idx="26">
                  <c:v>2.8340000000000001</c:v>
                </c:pt>
              </c:numCache>
            </c:numRef>
          </c:val>
          <c:extLst>
            <c:ext xmlns:c16="http://schemas.microsoft.com/office/drawing/2014/chart" uri="{C3380CC4-5D6E-409C-BE32-E72D297353CC}">
              <c16:uniqueId val="{00000002-214A-47A6-8A31-2E76462F714A}"/>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0.12500001367016772"/>
          <c:y val="5.2058346839546202E-2"/>
          <c:w val="0.79166664388305374"/>
          <c:h val="0.1073835381598369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png"/><Relationship Id="rId3" Type="http://schemas.openxmlformats.org/officeDocument/2006/relationships/image" Target="../media/image2.png"/><Relationship Id="rId7" Type="http://schemas.openxmlformats.org/officeDocument/2006/relationships/image" Target="../media/image3.png"/><Relationship Id="rId12" Type="http://schemas.openxmlformats.org/officeDocument/2006/relationships/image" Target="../media/image8.png"/><Relationship Id="rId2" Type="http://schemas.openxmlformats.org/officeDocument/2006/relationships/image" Target="../media/image1.png"/><Relationship Id="rId16" Type="http://schemas.openxmlformats.org/officeDocument/2006/relationships/image" Target="../media/image12.png"/><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image" Target="../media/image7.png"/><Relationship Id="rId5" Type="http://schemas.openxmlformats.org/officeDocument/2006/relationships/chart" Target="../charts/chart3.xml"/><Relationship Id="rId15" Type="http://schemas.openxmlformats.org/officeDocument/2006/relationships/image" Target="../media/image11.png"/><Relationship Id="rId10" Type="http://schemas.openxmlformats.org/officeDocument/2006/relationships/image" Target="../media/image6.png"/><Relationship Id="rId4" Type="http://schemas.openxmlformats.org/officeDocument/2006/relationships/chart" Target="../charts/chart2.xml"/><Relationship Id="rId9" Type="http://schemas.openxmlformats.org/officeDocument/2006/relationships/image" Target="../media/image5.png"/><Relationship Id="rId14" Type="http://schemas.openxmlformats.org/officeDocument/2006/relationships/image" Target="../media/image10.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49</xdr:col>
      <xdr:colOff>0</xdr:colOff>
      <xdr:row>0</xdr:row>
      <xdr:rowOff>0</xdr:rowOff>
    </xdr:from>
    <xdr:to>
      <xdr:col>49</xdr:col>
      <xdr:colOff>0</xdr:colOff>
      <xdr:row>121</xdr:row>
      <xdr:rowOff>152400</xdr:rowOff>
    </xdr:to>
    <xdr:cxnSp macro="">
      <xdr:nvCxnSpPr>
        <xdr:cNvPr id="2" name="Straight Connector 1">
          <a:extLst>
            <a:ext uri="{FF2B5EF4-FFF2-40B4-BE49-F238E27FC236}">
              <a16:creationId xmlns:a16="http://schemas.microsoft.com/office/drawing/2014/main" id="{1D82459E-58B3-42DB-9684-9D533E1F9712}"/>
            </a:ext>
          </a:extLst>
        </xdr:cNvPr>
        <xdr:cNvCxnSpPr/>
      </xdr:nvCxnSpPr>
      <xdr:spPr>
        <a:xfrm>
          <a:off x="32004000" y="0"/>
          <a:ext cx="0" cy="2212713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73</xdr:col>
      <xdr:colOff>0</xdr:colOff>
      <xdr:row>0</xdr:row>
      <xdr:rowOff>0</xdr:rowOff>
    </xdr:from>
    <xdr:to>
      <xdr:col>73</xdr:col>
      <xdr:colOff>0</xdr:colOff>
      <xdr:row>120</xdr:row>
      <xdr:rowOff>76200</xdr:rowOff>
    </xdr:to>
    <xdr:cxnSp macro="">
      <xdr:nvCxnSpPr>
        <xdr:cNvPr id="3" name="Straight Connector 2">
          <a:extLst>
            <a:ext uri="{FF2B5EF4-FFF2-40B4-BE49-F238E27FC236}">
              <a16:creationId xmlns:a16="http://schemas.microsoft.com/office/drawing/2014/main" id="{1001E5F4-1B9E-487D-83F1-747CF5EB542B}"/>
            </a:ext>
          </a:extLst>
        </xdr:cNvPr>
        <xdr:cNvCxnSpPr/>
      </xdr:nvCxnSpPr>
      <xdr:spPr>
        <a:xfrm>
          <a:off x="64208025" y="0"/>
          <a:ext cx="0" cy="235172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161</xdr:row>
      <xdr:rowOff>190499</xdr:rowOff>
    </xdr:from>
    <xdr:to>
      <xdr:col>26</xdr:col>
      <xdr:colOff>0</xdr:colOff>
      <xdr:row>195</xdr:row>
      <xdr:rowOff>0</xdr:rowOff>
    </xdr:to>
    <xdr:graphicFrame macro="">
      <xdr:nvGraphicFramePr>
        <xdr:cNvPr id="4" name="Chart 3">
          <a:extLst>
            <a:ext uri="{FF2B5EF4-FFF2-40B4-BE49-F238E27FC236}">
              <a16:creationId xmlns:a16="http://schemas.microsoft.com/office/drawing/2014/main" id="{DD74BBAA-4B76-40FC-A8E5-A62056E8D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9525</xdr:colOff>
      <xdr:row>2</xdr:row>
      <xdr:rowOff>19049</xdr:rowOff>
    </xdr:from>
    <xdr:to>
      <xdr:col>26</xdr:col>
      <xdr:colOff>0</xdr:colOff>
      <xdr:row>27</xdr:row>
      <xdr:rowOff>1680</xdr:rowOff>
    </xdr:to>
    <xdr:pic>
      <xdr:nvPicPr>
        <xdr:cNvPr id="6" name="Picture 5">
          <a:extLst>
            <a:ext uri="{FF2B5EF4-FFF2-40B4-BE49-F238E27FC236}">
              <a16:creationId xmlns:a16="http://schemas.microsoft.com/office/drawing/2014/main" id="{A5510801-C32A-4C80-91AD-DAD1CED4B78D}"/>
            </a:ext>
          </a:extLst>
        </xdr:cNvPr>
        <xdr:cNvPicPr>
          <a:picLocks noChangeAspect="1"/>
        </xdr:cNvPicPr>
      </xdr:nvPicPr>
      <xdr:blipFill>
        <a:blip xmlns:r="http://schemas.openxmlformats.org/officeDocument/2006/relationships" r:embed="rId2"/>
        <a:stretch>
          <a:fillRect/>
        </a:stretch>
      </xdr:blipFill>
      <xdr:spPr>
        <a:xfrm>
          <a:off x="9972675" y="390524"/>
          <a:ext cx="5476875" cy="4505325"/>
        </a:xfrm>
        <a:prstGeom prst="rect">
          <a:avLst/>
        </a:prstGeom>
      </xdr:spPr>
    </xdr:pic>
    <xdr:clientData/>
  </xdr:twoCellAnchor>
  <xdr:twoCellAnchor editAs="oneCell">
    <xdr:from>
      <xdr:col>8</xdr:col>
      <xdr:colOff>19049</xdr:colOff>
      <xdr:row>2</xdr:row>
      <xdr:rowOff>9524</xdr:rowOff>
    </xdr:from>
    <xdr:to>
      <xdr:col>17</xdr:col>
      <xdr:colOff>45442</xdr:colOff>
      <xdr:row>27</xdr:row>
      <xdr:rowOff>0</xdr:rowOff>
    </xdr:to>
    <xdr:pic>
      <xdr:nvPicPr>
        <xdr:cNvPr id="7" name="Picture 6">
          <a:extLst>
            <a:ext uri="{FF2B5EF4-FFF2-40B4-BE49-F238E27FC236}">
              <a16:creationId xmlns:a16="http://schemas.microsoft.com/office/drawing/2014/main" id="{C6A07B75-EE95-2CD7-BC3C-9A62E5E5D981}"/>
            </a:ext>
          </a:extLst>
        </xdr:cNvPr>
        <xdr:cNvPicPr>
          <a:picLocks noChangeAspect="1"/>
        </xdr:cNvPicPr>
      </xdr:nvPicPr>
      <xdr:blipFill>
        <a:blip xmlns:r="http://schemas.openxmlformats.org/officeDocument/2006/relationships" r:embed="rId3"/>
        <a:stretch>
          <a:fillRect/>
        </a:stretch>
      </xdr:blipFill>
      <xdr:spPr>
        <a:xfrm>
          <a:off x="4495799" y="380999"/>
          <a:ext cx="5512793" cy="4514851"/>
        </a:xfrm>
        <a:prstGeom prst="rect">
          <a:avLst/>
        </a:prstGeom>
      </xdr:spPr>
    </xdr:pic>
    <xdr:clientData/>
  </xdr:twoCellAnchor>
  <xdr:twoCellAnchor>
    <xdr:from>
      <xdr:col>8</xdr:col>
      <xdr:colOff>0</xdr:colOff>
      <xdr:row>96</xdr:row>
      <xdr:rowOff>0</xdr:rowOff>
    </xdr:from>
    <xdr:to>
      <xdr:col>23</xdr:col>
      <xdr:colOff>0</xdr:colOff>
      <xdr:row>124</xdr:row>
      <xdr:rowOff>0</xdr:rowOff>
    </xdr:to>
    <xdr:graphicFrame macro="">
      <xdr:nvGraphicFramePr>
        <xdr:cNvPr id="5" name="Chart 4">
          <a:extLst>
            <a:ext uri="{FF2B5EF4-FFF2-40B4-BE49-F238E27FC236}">
              <a16:creationId xmlns:a16="http://schemas.microsoft.com/office/drawing/2014/main" id="{A025D3DC-80D1-4C58-BF9E-964AEA4DC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129</xdr:row>
      <xdr:rowOff>0</xdr:rowOff>
    </xdr:from>
    <xdr:to>
      <xdr:col>23</xdr:col>
      <xdr:colOff>0</xdr:colOff>
      <xdr:row>157</xdr:row>
      <xdr:rowOff>0</xdr:rowOff>
    </xdr:to>
    <xdr:graphicFrame macro="">
      <xdr:nvGraphicFramePr>
        <xdr:cNvPr id="9" name="Chart 8">
          <a:extLst>
            <a:ext uri="{FF2B5EF4-FFF2-40B4-BE49-F238E27FC236}">
              <a16:creationId xmlns:a16="http://schemas.microsoft.com/office/drawing/2014/main" id="{36B3F9BF-830C-4733-AF62-51334A82F6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60</xdr:row>
      <xdr:rowOff>0</xdr:rowOff>
    </xdr:from>
    <xdr:to>
      <xdr:col>23</xdr:col>
      <xdr:colOff>0</xdr:colOff>
      <xdr:row>91</xdr:row>
      <xdr:rowOff>0</xdr:rowOff>
    </xdr:to>
    <xdr:graphicFrame macro="">
      <xdr:nvGraphicFramePr>
        <xdr:cNvPr id="10" name="Chart 9">
          <a:extLst>
            <a:ext uri="{FF2B5EF4-FFF2-40B4-BE49-F238E27FC236}">
              <a16:creationId xmlns:a16="http://schemas.microsoft.com/office/drawing/2014/main" id="{F5B4234F-8218-4548-8FC9-65DD07C56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29</xdr:col>
      <xdr:colOff>9525</xdr:colOff>
      <xdr:row>30</xdr:row>
      <xdr:rowOff>0</xdr:rowOff>
    </xdr:from>
    <xdr:to>
      <xdr:col>40</xdr:col>
      <xdr:colOff>9524</xdr:colOff>
      <xdr:row>55</xdr:row>
      <xdr:rowOff>1680</xdr:rowOff>
    </xdr:to>
    <xdr:pic>
      <xdr:nvPicPr>
        <xdr:cNvPr id="11" name="Picture 10">
          <a:extLst>
            <a:ext uri="{FF2B5EF4-FFF2-40B4-BE49-F238E27FC236}">
              <a16:creationId xmlns:a16="http://schemas.microsoft.com/office/drawing/2014/main" id="{41561AFA-F995-97AF-F7A6-8F2B1F82896B}"/>
            </a:ext>
          </a:extLst>
        </xdr:cNvPr>
        <xdr:cNvPicPr>
          <a:picLocks noChangeAspect="1"/>
        </xdr:cNvPicPr>
      </xdr:nvPicPr>
      <xdr:blipFill>
        <a:blip xmlns:r="http://schemas.openxmlformats.org/officeDocument/2006/relationships" r:embed="rId7"/>
        <a:stretch>
          <a:fillRect/>
        </a:stretch>
      </xdr:blipFill>
      <xdr:spPr>
        <a:xfrm>
          <a:off x="12601575" y="5457825"/>
          <a:ext cx="6705599" cy="4524374"/>
        </a:xfrm>
        <a:prstGeom prst="rect">
          <a:avLst/>
        </a:prstGeom>
      </xdr:spPr>
    </xdr:pic>
    <xdr:clientData/>
  </xdr:twoCellAnchor>
  <xdr:twoCellAnchor editAs="oneCell">
    <xdr:from>
      <xdr:col>29</xdr:col>
      <xdr:colOff>9524</xdr:colOff>
      <xdr:row>60</xdr:row>
      <xdr:rowOff>9525</xdr:rowOff>
    </xdr:from>
    <xdr:to>
      <xdr:col>40</xdr:col>
      <xdr:colOff>9525</xdr:colOff>
      <xdr:row>85</xdr:row>
      <xdr:rowOff>9525</xdr:rowOff>
    </xdr:to>
    <xdr:pic>
      <xdr:nvPicPr>
        <xdr:cNvPr id="13" name="Picture 12">
          <a:extLst>
            <a:ext uri="{FF2B5EF4-FFF2-40B4-BE49-F238E27FC236}">
              <a16:creationId xmlns:a16="http://schemas.microsoft.com/office/drawing/2014/main" id="{1E999199-2754-0D64-63E7-ECD64AC67360}"/>
            </a:ext>
          </a:extLst>
        </xdr:cNvPr>
        <xdr:cNvPicPr>
          <a:picLocks noChangeAspect="1"/>
        </xdr:cNvPicPr>
      </xdr:nvPicPr>
      <xdr:blipFill>
        <a:blip xmlns:r="http://schemas.openxmlformats.org/officeDocument/2006/relationships" r:embed="rId8"/>
        <a:stretch>
          <a:fillRect/>
        </a:stretch>
      </xdr:blipFill>
      <xdr:spPr>
        <a:xfrm>
          <a:off x="12601574" y="12363450"/>
          <a:ext cx="6705601" cy="4524375"/>
        </a:xfrm>
        <a:prstGeom prst="rect">
          <a:avLst/>
        </a:prstGeom>
      </xdr:spPr>
    </xdr:pic>
    <xdr:clientData/>
  </xdr:twoCellAnchor>
  <xdr:twoCellAnchor editAs="oneCell">
    <xdr:from>
      <xdr:col>40</xdr:col>
      <xdr:colOff>0</xdr:colOff>
      <xdr:row>60</xdr:row>
      <xdr:rowOff>9524</xdr:rowOff>
    </xdr:from>
    <xdr:to>
      <xdr:col>51</xdr:col>
      <xdr:colOff>9525</xdr:colOff>
      <xdr:row>85</xdr:row>
      <xdr:rowOff>9525</xdr:rowOff>
    </xdr:to>
    <xdr:pic>
      <xdr:nvPicPr>
        <xdr:cNvPr id="15" name="Picture 14">
          <a:extLst>
            <a:ext uri="{FF2B5EF4-FFF2-40B4-BE49-F238E27FC236}">
              <a16:creationId xmlns:a16="http://schemas.microsoft.com/office/drawing/2014/main" id="{7BF1CE90-A270-11E4-E066-BFD2333AB3FF}"/>
            </a:ext>
          </a:extLst>
        </xdr:cNvPr>
        <xdr:cNvPicPr>
          <a:picLocks noChangeAspect="1"/>
        </xdr:cNvPicPr>
      </xdr:nvPicPr>
      <xdr:blipFill>
        <a:blip xmlns:r="http://schemas.openxmlformats.org/officeDocument/2006/relationships" r:embed="rId9"/>
        <a:stretch>
          <a:fillRect/>
        </a:stretch>
      </xdr:blipFill>
      <xdr:spPr>
        <a:xfrm>
          <a:off x="19297650" y="12363449"/>
          <a:ext cx="6715125" cy="4524376"/>
        </a:xfrm>
        <a:prstGeom prst="rect">
          <a:avLst/>
        </a:prstGeom>
      </xdr:spPr>
    </xdr:pic>
    <xdr:clientData/>
  </xdr:twoCellAnchor>
  <xdr:twoCellAnchor editAs="oneCell">
    <xdr:from>
      <xdr:col>51</xdr:col>
      <xdr:colOff>0</xdr:colOff>
      <xdr:row>60</xdr:row>
      <xdr:rowOff>0</xdr:rowOff>
    </xdr:from>
    <xdr:to>
      <xdr:col>62</xdr:col>
      <xdr:colOff>0</xdr:colOff>
      <xdr:row>85</xdr:row>
      <xdr:rowOff>9525</xdr:rowOff>
    </xdr:to>
    <xdr:pic>
      <xdr:nvPicPr>
        <xdr:cNvPr id="16" name="Picture 15">
          <a:extLst>
            <a:ext uri="{FF2B5EF4-FFF2-40B4-BE49-F238E27FC236}">
              <a16:creationId xmlns:a16="http://schemas.microsoft.com/office/drawing/2014/main" id="{F399FF65-9B15-F672-AB36-04ED18A894C5}"/>
            </a:ext>
          </a:extLst>
        </xdr:cNvPr>
        <xdr:cNvPicPr>
          <a:picLocks noChangeAspect="1"/>
        </xdr:cNvPicPr>
      </xdr:nvPicPr>
      <xdr:blipFill>
        <a:blip xmlns:r="http://schemas.openxmlformats.org/officeDocument/2006/relationships" r:embed="rId10"/>
        <a:stretch>
          <a:fillRect/>
        </a:stretch>
      </xdr:blipFill>
      <xdr:spPr>
        <a:xfrm>
          <a:off x="26003250" y="12353925"/>
          <a:ext cx="6705600" cy="4533900"/>
        </a:xfrm>
        <a:prstGeom prst="rect">
          <a:avLst/>
        </a:prstGeom>
      </xdr:spPr>
    </xdr:pic>
    <xdr:clientData/>
  </xdr:twoCellAnchor>
  <xdr:twoCellAnchor editAs="oneCell">
    <xdr:from>
      <xdr:col>29</xdr:col>
      <xdr:colOff>9524</xdr:colOff>
      <xdr:row>96</xdr:row>
      <xdr:rowOff>9526</xdr:rowOff>
    </xdr:from>
    <xdr:to>
      <xdr:col>40</xdr:col>
      <xdr:colOff>3621</xdr:colOff>
      <xdr:row>121</xdr:row>
      <xdr:rowOff>11206</xdr:rowOff>
    </xdr:to>
    <xdr:pic>
      <xdr:nvPicPr>
        <xdr:cNvPr id="17" name="Picture 16">
          <a:extLst>
            <a:ext uri="{FF2B5EF4-FFF2-40B4-BE49-F238E27FC236}">
              <a16:creationId xmlns:a16="http://schemas.microsoft.com/office/drawing/2014/main" id="{CB73449B-F577-38F4-8000-BE3AC9AA1518}"/>
            </a:ext>
          </a:extLst>
        </xdr:cNvPr>
        <xdr:cNvPicPr>
          <a:picLocks noChangeAspect="1"/>
        </xdr:cNvPicPr>
      </xdr:nvPicPr>
      <xdr:blipFill>
        <a:blip xmlns:r="http://schemas.openxmlformats.org/officeDocument/2006/relationships" r:embed="rId11"/>
        <a:stretch>
          <a:fillRect/>
        </a:stretch>
      </xdr:blipFill>
      <xdr:spPr>
        <a:xfrm>
          <a:off x="12601574" y="19983451"/>
          <a:ext cx="6695215" cy="4524374"/>
        </a:xfrm>
        <a:prstGeom prst="rect">
          <a:avLst/>
        </a:prstGeom>
      </xdr:spPr>
    </xdr:pic>
    <xdr:clientData/>
  </xdr:twoCellAnchor>
  <xdr:twoCellAnchor editAs="oneCell">
    <xdr:from>
      <xdr:col>40</xdr:col>
      <xdr:colOff>1</xdr:colOff>
      <xdr:row>96</xdr:row>
      <xdr:rowOff>9525</xdr:rowOff>
    </xdr:from>
    <xdr:to>
      <xdr:col>51</xdr:col>
      <xdr:colOff>1</xdr:colOff>
      <xdr:row>121</xdr:row>
      <xdr:rowOff>11206</xdr:rowOff>
    </xdr:to>
    <xdr:pic>
      <xdr:nvPicPr>
        <xdr:cNvPr id="18" name="Picture 17">
          <a:extLst>
            <a:ext uri="{FF2B5EF4-FFF2-40B4-BE49-F238E27FC236}">
              <a16:creationId xmlns:a16="http://schemas.microsoft.com/office/drawing/2014/main" id="{DE96970B-98F0-CDB4-6A8F-3F49671CAADC}"/>
            </a:ext>
          </a:extLst>
        </xdr:cNvPr>
        <xdr:cNvPicPr>
          <a:picLocks noChangeAspect="1"/>
        </xdr:cNvPicPr>
      </xdr:nvPicPr>
      <xdr:blipFill>
        <a:blip xmlns:r="http://schemas.openxmlformats.org/officeDocument/2006/relationships" r:embed="rId12"/>
        <a:stretch>
          <a:fillRect/>
        </a:stretch>
      </xdr:blipFill>
      <xdr:spPr>
        <a:xfrm>
          <a:off x="19297651" y="19983450"/>
          <a:ext cx="6705600" cy="4524375"/>
        </a:xfrm>
        <a:prstGeom prst="rect">
          <a:avLst/>
        </a:prstGeom>
      </xdr:spPr>
    </xdr:pic>
    <xdr:clientData/>
  </xdr:twoCellAnchor>
  <xdr:twoCellAnchor editAs="oneCell">
    <xdr:from>
      <xdr:col>51</xdr:col>
      <xdr:colOff>0</xdr:colOff>
      <xdr:row>96</xdr:row>
      <xdr:rowOff>9525</xdr:rowOff>
    </xdr:from>
    <xdr:to>
      <xdr:col>62</xdr:col>
      <xdr:colOff>0</xdr:colOff>
      <xdr:row>121</xdr:row>
      <xdr:rowOff>11206</xdr:rowOff>
    </xdr:to>
    <xdr:pic>
      <xdr:nvPicPr>
        <xdr:cNvPr id="19" name="Picture 18">
          <a:extLst>
            <a:ext uri="{FF2B5EF4-FFF2-40B4-BE49-F238E27FC236}">
              <a16:creationId xmlns:a16="http://schemas.microsoft.com/office/drawing/2014/main" id="{B725A078-ED88-E99B-2703-6B8925AA0C2B}"/>
            </a:ext>
          </a:extLst>
        </xdr:cNvPr>
        <xdr:cNvPicPr>
          <a:picLocks noChangeAspect="1"/>
        </xdr:cNvPicPr>
      </xdr:nvPicPr>
      <xdr:blipFill>
        <a:blip xmlns:r="http://schemas.openxmlformats.org/officeDocument/2006/relationships" r:embed="rId13"/>
        <a:stretch>
          <a:fillRect/>
        </a:stretch>
      </xdr:blipFill>
      <xdr:spPr>
        <a:xfrm>
          <a:off x="26003250" y="19983450"/>
          <a:ext cx="6705600" cy="4524375"/>
        </a:xfrm>
        <a:prstGeom prst="rect">
          <a:avLst/>
        </a:prstGeom>
      </xdr:spPr>
    </xdr:pic>
    <xdr:clientData/>
  </xdr:twoCellAnchor>
  <xdr:twoCellAnchor editAs="oneCell">
    <xdr:from>
      <xdr:col>62</xdr:col>
      <xdr:colOff>0</xdr:colOff>
      <xdr:row>96</xdr:row>
      <xdr:rowOff>0</xdr:rowOff>
    </xdr:from>
    <xdr:to>
      <xdr:col>72</xdr:col>
      <xdr:colOff>595158</xdr:colOff>
      <xdr:row>121</xdr:row>
      <xdr:rowOff>11206</xdr:rowOff>
    </xdr:to>
    <xdr:pic>
      <xdr:nvPicPr>
        <xdr:cNvPr id="20" name="Picture 19">
          <a:extLst>
            <a:ext uri="{FF2B5EF4-FFF2-40B4-BE49-F238E27FC236}">
              <a16:creationId xmlns:a16="http://schemas.microsoft.com/office/drawing/2014/main" id="{619CA786-08FA-B160-DE9D-101D420B4217}"/>
            </a:ext>
          </a:extLst>
        </xdr:cNvPr>
        <xdr:cNvPicPr>
          <a:picLocks noChangeAspect="1"/>
        </xdr:cNvPicPr>
      </xdr:nvPicPr>
      <xdr:blipFill>
        <a:blip xmlns:r="http://schemas.openxmlformats.org/officeDocument/2006/relationships" r:embed="rId14"/>
        <a:stretch>
          <a:fillRect/>
        </a:stretch>
      </xdr:blipFill>
      <xdr:spPr>
        <a:xfrm>
          <a:off x="32708850" y="19973925"/>
          <a:ext cx="6691158" cy="4533900"/>
        </a:xfrm>
        <a:prstGeom prst="rect">
          <a:avLst/>
        </a:prstGeom>
      </xdr:spPr>
    </xdr:pic>
    <xdr:clientData/>
  </xdr:twoCellAnchor>
  <xdr:twoCellAnchor editAs="oneCell">
    <xdr:from>
      <xdr:col>29</xdr:col>
      <xdr:colOff>11205</xdr:colOff>
      <xdr:row>129</xdr:row>
      <xdr:rowOff>11205</xdr:rowOff>
    </xdr:from>
    <xdr:to>
      <xdr:col>44</xdr:col>
      <xdr:colOff>0</xdr:colOff>
      <xdr:row>159</xdr:row>
      <xdr:rowOff>11204</xdr:rowOff>
    </xdr:to>
    <xdr:pic>
      <xdr:nvPicPr>
        <xdr:cNvPr id="21" name="Picture 20">
          <a:extLst>
            <a:ext uri="{FF2B5EF4-FFF2-40B4-BE49-F238E27FC236}">
              <a16:creationId xmlns:a16="http://schemas.microsoft.com/office/drawing/2014/main" id="{89E6FC83-98AC-888C-2784-A80A18ECD62A}"/>
            </a:ext>
          </a:extLst>
        </xdr:cNvPr>
        <xdr:cNvPicPr>
          <a:picLocks noChangeAspect="1"/>
        </xdr:cNvPicPr>
      </xdr:nvPicPr>
      <xdr:blipFill>
        <a:blip xmlns:r="http://schemas.openxmlformats.org/officeDocument/2006/relationships" r:embed="rId15"/>
        <a:stretch>
          <a:fillRect/>
        </a:stretch>
      </xdr:blipFill>
      <xdr:spPr>
        <a:xfrm>
          <a:off x="12516970" y="27196676"/>
          <a:ext cx="9065559" cy="5390029"/>
        </a:xfrm>
        <a:prstGeom prst="rect">
          <a:avLst/>
        </a:prstGeom>
      </xdr:spPr>
    </xdr:pic>
    <xdr:clientData/>
  </xdr:twoCellAnchor>
  <xdr:twoCellAnchor editAs="oneCell">
    <xdr:from>
      <xdr:col>8</xdr:col>
      <xdr:colOff>0</xdr:colOff>
      <xdr:row>28</xdr:row>
      <xdr:rowOff>190499</xdr:rowOff>
    </xdr:from>
    <xdr:to>
      <xdr:col>17</xdr:col>
      <xdr:colOff>15956</xdr:colOff>
      <xdr:row>55</xdr:row>
      <xdr:rowOff>11205</xdr:rowOff>
    </xdr:to>
    <xdr:pic>
      <xdr:nvPicPr>
        <xdr:cNvPr id="2" name="Picture 1">
          <a:extLst>
            <a:ext uri="{FF2B5EF4-FFF2-40B4-BE49-F238E27FC236}">
              <a16:creationId xmlns:a16="http://schemas.microsoft.com/office/drawing/2014/main" id="{E4A20D40-14DA-D93D-4A21-7689C84D04DA}"/>
            </a:ext>
          </a:extLst>
        </xdr:cNvPr>
        <xdr:cNvPicPr>
          <a:picLocks noChangeAspect="1"/>
        </xdr:cNvPicPr>
      </xdr:nvPicPr>
      <xdr:blipFill>
        <a:blip xmlns:r="http://schemas.openxmlformats.org/officeDocument/2006/relationships" r:embed="rId16"/>
        <a:stretch>
          <a:fillRect/>
        </a:stretch>
      </xdr:blipFill>
      <xdr:spPr>
        <a:xfrm>
          <a:off x="212912" y="5221940"/>
          <a:ext cx="5462015" cy="468405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1</xdr:row>
      <xdr:rowOff>9525</xdr:rowOff>
    </xdr:from>
    <xdr:to>
      <xdr:col>9</xdr:col>
      <xdr:colOff>600075</xdr:colOff>
      <xdr:row>26</xdr:row>
      <xdr:rowOff>0</xdr:rowOff>
    </xdr:to>
    <xdr:pic>
      <xdr:nvPicPr>
        <xdr:cNvPr id="2" name="Picture 1">
          <a:extLst>
            <a:ext uri="{FF2B5EF4-FFF2-40B4-BE49-F238E27FC236}">
              <a16:creationId xmlns:a16="http://schemas.microsoft.com/office/drawing/2014/main" id="{0E7A3385-44C3-4B2B-8C15-45590F593AAF}"/>
            </a:ext>
          </a:extLst>
        </xdr:cNvPr>
        <xdr:cNvPicPr>
          <a:picLocks noChangeAspect="1"/>
        </xdr:cNvPicPr>
      </xdr:nvPicPr>
      <xdr:blipFill>
        <a:blip xmlns:r="http://schemas.openxmlformats.org/officeDocument/2006/relationships" r:embed="rId1"/>
        <a:stretch>
          <a:fillRect/>
        </a:stretch>
      </xdr:blipFill>
      <xdr:spPr>
        <a:xfrm>
          <a:off x="209550" y="190500"/>
          <a:ext cx="5467350" cy="45148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https://investor.workiva.com/" TargetMode="External"/><Relationship Id="rId7" Type="http://schemas.openxmlformats.org/officeDocument/2006/relationships/hyperlink" Target="https://www.macrotrends.net/stocks/charts/WK/workiva/income-statement?freq=A" TargetMode="External"/><Relationship Id="rId2" Type="http://schemas.openxmlformats.org/officeDocument/2006/relationships/hyperlink" Target="https://www.workiva.com/" TargetMode="External"/><Relationship Id="rId1" Type="http://schemas.openxmlformats.org/officeDocument/2006/relationships/hyperlink" Target="https://app.godelterminal.com/" TargetMode="External"/><Relationship Id="rId6" Type="http://schemas.openxmlformats.org/officeDocument/2006/relationships/hyperlink" Target="https://www.gurufocus.com/term/wacc/WK" TargetMode="External"/><Relationship Id="rId5" Type="http://schemas.openxmlformats.org/officeDocument/2006/relationships/hyperlink" Target="https://seekingalpha.com/symbol/WK/earnings/transcripts" TargetMode="External"/><Relationship Id="rId4" Type="http://schemas.openxmlformats.org/officeDocument/2006/relationships/hyperlink" Target="https://stockanalysis.com/stocks/wk/compan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A267"/>
  <sheetViews>
    <sheetView zoomScale="85" zoomScaleNormal="85" workbookViewId="0">
      <selection activeCell="C6" sqref="C6"/>
    </sheetView>
  </sheetViews>
  <sheetFormatPr defaultRowHeight="14.25"/>
  <cols>
    <col min="1" max="1" width="3.42578125" style="1" customWidth="1"/>
    <col min="2" max="2" width="11.5703125" style="1" customWidth="1"/>
    <col min="3" max="3" width="11.140625" style="1" customWidth="1"/>
    <col min="4" max="4" width="11.5703125" style="1" customWidth="1"/>
    <col min="5" max="16384" width="9.140625" style="1"/>
  </cols>
  <sheetData>
    <row r="2" spans="1:19" ht="15">
      <c r="A2" s="2" t="s">
        <v>137</v>
      </c>
    </row>
    <row r="4" spans="1:19" ht="15">
      <c r="B4" s="2" t="s">
        <v>138</v>
      </c>
    </row>
    <row r="5" spans="1:19">
      <c r="B5" s="1" t="s">
        <v>0</v>
      </c>
      <c r="C5" s="89">
        <v>89.42</v>
      </c>
      <c r="D5" s="42" t="s">
        <v>1760</v>
      </c>
    </row>
    <row r="6" spans="1:19">
      <c r="B6" s="1" t="s">
        <v>1</v>
      </c>
      <c r="C6" s="44">
        <v>57.5</v>
      </c>
      <c r="D6" s="1" t="s">
        <v>1758</v>
      </c>
    </row>
    <row r="7" spans="1:19">
      <c r="B7" s="1" t="s">
        <v>2</v>
      </c>
      <c r="C7" s="90">
        <f>C5*C6</f>
        <v>5141.6500000000005</v>
      </c>
    </row>
    <row r="8" spans="1:19">
      <c r="B8" s="1" t="s">
        <v>3</v>
      </c>
      <c r="C8" s="90">
        <f>315.914+540.877</f>
        <v>856.79099999999994</v>
      </c>
      <c r="D8" s="1" t="s">
        <v>1758</v>
      </c>
    </row>
    <row r="9" spans="1:19">
      <c r="B9" s="1" t="s">
        <v>4</v>
      </c>
      <c r="C9" s="90">
        <f>71.004+695.719</f>
        <v>766.72300000000007</v>
      </c>
      <c r="D9" s="1" t="s">
        <v>1758</v>
      </c>
    </row>
    <row r="10" spans="1:19">
      <c r="B10" s="1" t="s">
        <v>5</v>
      </c>
      <c r="C10" s="90">
        <f>C7-C8+C9</f>
        <v>5051.5820000000003</v>
      </c>
    </row>
    <row r="12" spans="1:19" ht="15">
      <c r="B12" s="2" t="s">
        <v>139</v>
      </c>
      <c r="O12" s="1" t="s">
        <v>136</v>
      </c>
      <c r="R12" s="2"/>
    </row>
    <row r="13" spans="1:19">
      <c r="O13" s="1" t="s">
        <v>7</v>
      </c>
      <c r="R13" s="43" t="s">
        <v>1487</v>
      </c>
    </row>
    <row r="14" spans="1:19">
      <c r="B14" s="1" t="s">
        <v>1486</v>
      </c>
      <c r="H14" s="1" t="s">
        <v>1455</v>
      </c>
      <c r="O14" s="1" t="s">
        <v>1489</v>
      </c>
      <c r="R14" s="43" t="s">
        <v>1488</v>
      </c>
      <c r="S14" s="43"/>
    </row>
    <row r="15" spans="1:19">
      <c r="B15" s="1" t="s">
        <v>1497</v>
      </c>
      <c r="H15" s="1" t="s">
        <v>133</v>
      </c>
      <c r="I15" s="1" t="s">
        <v>1756</v>
      </c>
      <c r="P15" s="1" t="s">
        <v>1490</v>
      </c>
      <c r="R15" s="43"/>
      <c r="S15" s="43" t="s">
        <v>1493</v>
      </c>
    </row>
    <row r="16" spans="1:19">
      <c r="B16" s="1" t="s">
        <v>1498</v>
      </c>
      <c r="H16" s="1" t="s">
        <v>6</v>
      </c>
      <c r="O16" s="1" t="s">
        <v>130</v>
      </c>
      <c r="R16" s="43" t="s">
        <v>1491</v>
      </c>
      <c r="S16" s="43"/>
    </row>
    <row r="17" spans="1:22">
      <c r="B17" s="1" t="s">
        <v>1499</v>
      </c>
      <c r="H17" s="1" t="s">
        <v>134</v>
      </c>
      <c r="O17" s="1" t="s">
        <v>131</v>
      </c>
      <c r="R17" s="43" t="s">
        <v>1494</v>
      </c>
      <c r="S17" s="43"/>
    </row>
    <row r="18" spans="1:22">
      <c r="B18" s="1" t="s">
        <v>1500</v>
      </c>
      <c r="H18" s="1" t="s">
        <v>127</v>
      </c>
      <c r="I18" s="1" t="s">
        <v>1757</v>
      </c>
      <c r="K18" s="1" t="s">
        <v>128</v>
      </c>
      <c r="O18" s="1" t="s">
        <v>1492</v>
      </c>
      <c r="R18" s="43" t="s">
        <v>1538</v>
      </c>
      <c r="S18" s="43"/>
    </row>
    <row r="19" spans="1:22">
      <c r="B19" s="1" t="s">
        <v>1501</v>
      </c>
      <c r="O19" s="1" t="s">
        <v>1495</v>
      </c>
      <c r="R19" s="43" t="s">
        <v>1496</v>
      </c>
      <c r="S19" s="43"/>
    </row>
    <row r="20" spans="1:22">
      <c r="B20" s="1" t="s">
        <v>1502</v>
      </c>
      <c r="O20" s="1" t="s">
        <v>8</v>
      </c>
      <c r="R20" s="43" t="s">
        <v>132</v>
      </c>
      <c r="S20" s="43"/>
    </row>
    <row r="21" spans="1:22" ht="15">
      <c r="B21" s="1" t="s">
        <v>1503</v>
      </c>
      <c r="N21" s="2"/>
      <c r="O21" s="2"/>
    </row>
    <row r="22" spans="1:22" ht="15">
      <c r="B22" s="1" t="s">
        <v>1539</v>
      </c>
      <c r="N22" s="2"/>
      <c r="O22" s="2"/>
    </row>
    <row r="24" spans="1:22" ht="15">
      <c r="A24" s="2" t="s">
        <v>1698</v>
      </c>
    </row>
    <row r="25" spans="1:22">
      <c r="B25" s="1" t="s">
        <v>1456</v>
      </c>
    </row>
    <row r="26" spans="1:22" ht="14.25" customHeight="1">
      <c r="B26" s="46"/>
      <c r="C26" s="46" t="s">
        <v>1457</v>
      </c>
      <c r="D26" s="46"/>
      <c r="E26" s="46"/>
      <c r="F26" s="46"/>
      <c r="G26" s="46"/>
      <c r="H26" s="46"/>
      <c r="I26" s="46"/>
      <c r="J26" s="46"/>
      <c r="K26" s="46"/>
      <c r="L26" s="46"/>
      <c r="M26" s="46"/>
      <c r="N26" s="46"/>
      <c r="O26" s="46"/>
      <c r="P26" s="46"/>
      <c r="Q26" s="46"/>
      <c r="R26" s="46"/>
      <c r="S26" s="46"/>
      <c r="T26" s="45"/>
      <c r="U26" s="45"/>
      <c r="V26" s="45"/>
    </row>
    <row r="27" spans="1:22" ht="14.25" customHeight="1">
      <c r="B27" s="46"/>
      <c r="C27" s="46"/>
      <c r="D27" s="46" t="s">
        <v>1519</v>
      </c>
      <c r="E27" s="46"/>
      <c r="F27" s="46"/>
      <c r="G27" s="46"/>
      <c r="H27" s="46"/>
      <c r="I27" s="46"/>
      <c r="J27" s="46"/>
      <c r="K27" s="46"/>
      <c r="L27" s="46"/>
      <c r="M27" s="46"/>
      <c r="N27" s="46"/>
      <c r="O27" s="46"/>
      <c r="P27" s="46"/>
      <c r="Q27" s="46"/>
      <c r="R27" s="46"/>
      <c r="S27" s="46"/>
      <c r="T27" s="45"/>
      <c r="U27" s="45"/>
      <c r="V27" s="45"/>
    </row>
    <row r="28" spans="1:22" ht="14.25" customHeight="1">
      <c r="B28" s="46"/>
      <c r="C28" s="46"/>
      <c r="D28" s="46" t="s">
        <v>1520</v>
      </c>
      <c r="E28" s="46"/>
      <c r="F28" s="46"/>
      <c r="G28" s="46"/>
      <c r="H28" s="46"/>
      <c r="I28" s="46"/>
      <c r="J28" s="46"/>
      <c r="K28" s="46"/>
      <c r="L28" s="46"/>
      <c r="M28" s="46"/>
      <c r="N28" s="46"/>
      <c r="O28" s="46"/>
      <c r="P28" s="46"/>
      <c r="Q28" s="46"/>
      <c r="R28" s="46"/>
      <c r="S28" s="46"/>
      <c r="T28" s="45"/>
      <c r="U28" s="45"/>
      <c r="V28" s="45"/>
    </row>
    <row r="29" spans="1:22">
      <c r="B29" s="46" t="s">
        <v>1458</v>
      </c>
      <c r="C29" s="46"/>
      <c r="D29" s="46"/>
      <c r="E29" s="46"/>
      <c r="F29" s="46"/>
      <c r="G29" s="46"/>
      <c r="H29" s="46"/>
      <c r="I29" s="46"/>
      <c r="J29" s="46"/>
      <c r="K29" s="46"/>
      <c r="L29" s="46"/>
      <c r="M29" s="46"/>
      <c r="N29" s="46"/>
      <c r="O29" s="46"/>
      <c r="P29" s="46"/>
      <c r="Q29" s="46"/>
      <c r="R29" s="46"/>
      <c r="S29" s="46"/>
      <c r="T29" s="45"/>
      <c r="U29" s="45"/>
      <c r="V29" s="45"/>
    </row>
    <row r="30" spans="1:22">
      <c r="C30" s="46" t="s">
        <v>1464</v>
      </c>
      <c r="D30" s="45"/>
      <c r="E30" s="45"/>
      <c r="F30" s="45"/>
      <c r="G30" s="45"/>
      <c r="H30" s="45"/>
      <c r="I30" s="45"/>
      <c r="J30" s="45"/>
      <c r="K30" s="45"/>
      <c r="L30" s="45"/>
      <c r="M30" s="45"/>
      <c r="N30" s="45"/>
      <c r="O30" s="45"/>
      <c r="P30" s="45"/>
      <c r="Q30" s="45"/>
      <c r="R30" s="45"/>
      <c r="S30" s="45"/>
      <c r="T30" s="45"/>
      <c r="U30" s="45"/>
      <c r="V30" s="45"/>
    </row>
    <row r="31" spans="1:22">
      <c r="C31" s="1" t="s">
        <v>1459</v>
      </c>
    </row>
    <row r="32" spans="1:22">
      <c r="B32" s="1" t="s">
        <v>1460</v>
      </c>
    </row>
    <row r="33" spans="1:21">
      <c r="C33" s="1" t="s">
        <v>1461</v>
      </c>
    </row>
    <row r="34" spans="1:21">
      <c r="B34" s="1" t="s">
        <v>1463</v>
      </c>
    </row>
    <row r="35" spans="1:21">
      <c r="C35" s="1" t="s">
        <v>1462</v>
      </c>
    </row>
    <row r="36" spans="1:21">
      <c r="B36" s="1" t="s">
        <v>140</v>
      </c>
    </row>
    <row r="38" spans="1:21" ht="15">
      <c r="A38" s="2" t="s">
        <v>1697</v>
      </c>
    </row>
    <row r="39" spans="1:21">
      <c r="B39" s="1" t="s">
        <v>1465</v>
      </c>
    </row>
    <row r="40" spans="1:21">
      <c r="C40" s="1" t="s">
        <v>1466</v>
      </c>
    </row>
    <row r="41" spans="1:21">
      <c r="C41" s="1" t="s">
        <v>1467</v>
      </c>
    </row>
    <row r="42" spans="1:21">
      <c r="D42" s="1" t="s">
        <v>1468</v>
      </c>
    </row>
    <row r="43" spans="1:21">
      <c r="C43" s="1" t="s">
        <v>1469</v>
      </c>
    </row>
    <row r="44" spans="1:21">
      <c r="B44" s="1" t="s">
        <v>1470</v>
      </c>
    </row>
    <row r="45" spans="1:21">
      <c r="C45" s="1" t="s">
        <v>1471</v>
      </c>
    </row>
    <row r="46" spans="1:21">
      <c r="C46" s="1" t="s">
        <v>1472</v>
      </c>
    </row>
    <row r="47" spans="1:21">
      <c r="D47" s="1" t="s">
        <v>1473</v>
      </c>
    </row>
    <row r="48" spans="1:21" ht="14.25" customHeight="1">
      <c r="B48" s="103" t="s">
        <v>1474</v>
      </c>
      <c r="C48" s="103"/>
      <c r="D48" s="103"/>
      <c r="E48" s="103"/>
      <c r="F48" s="103"/>
      <c r="G48" s="103"/>
      <c r="H48" s="103"/>
      <c r="I48" s="103"/>
      <c r="J48" s="103"/>
      <c r="K48" s="103"/>
      <c r="L48" s="103"/>
      <c r="M48" s="103"/>
      <c r="N48" s="103"/>
      <c r="O48" s="103"/>
      <c r="P48" s="103"/>
      <c r="Q48" s="45"/>
      <c r="R48" s="60"/>
      <c r="S48" s="60"/>
      <c r="T48" s="60"/>
      <c r="U48" s="60"/>
    </row>
    <row r="49" spans="1:21">
      <c r="B49" s="103"/>
      <c r="C49" s="103"/>
      <c r="D49" s="103"/>
      <c r="E49" s="103"/>
      <c r="F49" s="103"/>
      <c r="G49" s="103"/>
      <c r="H49" s="103"/>
      <c r="I49" s="103"/>
      <c r="J49" s="103"/>
      <c r="K49" s="103"/>
      <c r="L49" s="103"/>
      <c r="M49" s="103"/>
      <c r="N49" s="103"/>
      <c r="O49" s="103"/>
      <c r="P49" s="103"/>
      <c r="Q49" s="45"/>
      <c r="R49" s="60"/>
      <c r="S49" s="60"/>
      <c r="T49" s="60"/>
      <c r="U49" s="60"/>
    </row>
    <row r="50" spans="1:21">
      <c r="C50" s="1" t="s">
        <v>1475</v>
      </c>
    </row>
    <row r="51" spans="1:21">
      <c r="B51" s="1" t="s">
        <v>1521</v>
      </c>
    </row>
    <row r="53" spans="1:21" ht="15">
      <c r="A53" s="2" t="s">
        <v>1540</v>
      </c>
    </row>
    <row r="54" spans="1:21">
      <c r="B54" s="1" t="s">
        <v>1541</v>
      </c>
    </row>
    <row r="55" spans="1:21">
      <c r="C55" s="1" t="s">
        <v>1542</v>
      </c>
    </row>
    <row r="56" spans="1:21">
      <c r="D56" s="1" t="s">
        <v>1544</v>
      </c>
    </row>
    <row r="57" spans="1:21">
      <c r="D57" s="1" t="s">
        <v>1543</v>
      </c>
    </row>
    <row r="58" spans="1:21">
      <c r="C58" s="1" t="s">
        <v>1547</v>
      </c>
    </row>
    <row r="59" spans="1:21">
      <c r="D59" s="1" t="s">
        <v>1545</v>
      </c>
    </row>
    <row r="60" spans="1:21">
      <c r="D60" s="1" t="s">
        <v>1546</v>
      </c>
    </row>
    <row r="61" spans="1:21">
      <c r="C61" s="1" t="s">
        <v>1548</v>
      </c>
    </row>
    <row r="62" spans="1:21">
      <c r="D62" s="1" t="s">
        <v>1549</v>
      </c>
    </row>
    <row r="63" spans="1:21">
      <c r="D63" s="1" t="s">
        <v>1550</v>
      </c>
    </row>
    <row r="64" spans="1:21">
      <c r="C64" s="1" t="s">
        <v>1551</v>
      </c>
    </row>
    <row r="65" spans="1:4">
      <c r="D65" s="1" t="s">
        <v>1552</v>
      </c>
    </row>
    <row r="66" spans="1:4">
      <c r="D66" s="1" t="s">
        <v>1553</v>
      </c>
    </row>
    <row r="67" spans="1:4">
      <c r="C67" s="1" t="s">
        <v>1554</v>
      </c>
    </row>
    <row r="68" spans="1:4">
      <c r="D68" s="1" t="s">
        <v>1555</v>
      </c>
    </row>
    <row r="69" spans="1:4">
      <c r="D69" s="1" t="s">
        <v>1556</v>
      </c>
    </row>
    <row r="70" spans="1:4">
      <c r="D70" s="1" t="s">
        <v>1557</v>
      </c>
    </row>
    <row r="71" spans="1:4">
      <c r="D71" s="1" t="s">
        <v>1558</v>
      </c>
    </row>
    <row r="72" spans="1:4">
      <c r="C72" s="1" t="s">
        <v>1559</v>
      </c>
    </row>
    <row r="73" spans="1:4">
      <c r="D73" s="1" t="s">
        <v>1560</v>
      </c>
    </row>
    <row r="74" spans="1:4">
      <c r="D74" s="1" t="s">
        <v>1561</v>
      </c>
    </row>
    <row r="76" spans="1:4" ht="15">
      <c r="A76" s="2" t="s">
        <v>1562</v>
      </c>
    </row>
    <row r="77" spans="1:4">
      <c r="B77" s="1" t="s">
        <v>1563</v>
      </c>
    </row>
    <row r="78" spans="1:4">
      <c r="C78" s="1" t="s">
        <v>1564</v>
      </c>
    </row>
    <row r="79" spans="1:4">
      <c r="D79" s="1" t="s">
        <v>1565</v>
      </c>
    </row>
    <row r="80" spans="1:4">
      <c r="D80" s="1" t="s">
        <v>1566</v>
      </c>
    </row>
    <row r="81" spans="3:27">
      <c r="C81" s="1" t="s">
        <v>1588</v>
      </c>
    </row>
    <row r="82" spans="3:27">
      <c r="D82" s="1" t="s">
        <v>1567</v>
      </c>
    </row>
    <row r="83" spans="3:27">
      <c r="D83" s="1" t="s">
        <v>1568</v>
      </c>
    </row>
    <row r="84" spans="3:27">
      <c r="D84" s="1" t="s">
        <v>1569</v>
      </c>
    </row>
    <row r="85" spans="3:27">
      <c r="D85" s="1" t="s">
        <v>1570</v>
      </c>
    </row>
    <row r="86" spans="3:27">
      <c r="D86" s="1" t="s">
        <v>1571</v>
      </c>
    </row>
    <row r="87" spans="3:27" ht="14.25" customHeight="1">
      <c r="E87" s="103" t="s">
        <v>1572</v>
      </c>
      <c r="F87" s="103"/>
      <c r="G87" s="103"/>
      <c r="H87" s="103"/>
      <c r="I87" s="103"/>
      <c r="J87" s="103"/>
      <c r="K87" s="103"/>
      <c r="L87" s="103"/>
      <c r="M87" s="103"/>
      <c r="N87" s="103"/>
      <c r="O87" s="103"/>
      <c r="P87" s="103"/>
      <c r="Q87" s="103"/>
      <c r="R87" s="103"/>
      <c r="S87" s="103"/>
      <c r="T87" s="103"/>
      <c r="U87" s="103"/>
      <c r="V87" s="103"/>
      <c r="W87" s="103"/>
      <c r="X87" s="103"/>
      <c r="Y87" s="103"/>
      <c r="Z87" s="103"/>
      <c r="AA87" s="103"/>
    </row>
    <row r="88" spans="3:27">
      <c r="E88" s="103"/>
      <c r="F88" s="103"/>
      <c r="G88" s="103"/>
      <c r="H88" s="103"/>
      <c r="I88" s="103"/>
      <c r="J88" s="103"/>
      <c r="K88" s="103"/>
      <c r="L88" s="103"/>
      <c r="M88" s="103"/>
      <c r="N88" s="103"/>
      <c r="O88" s="103"/>
      <c r="P88" s="103"/>
      <c r="Q88" s="103"/>
      <c r="R88" s="103"/>
      <c r="S88" s="103"/>
      <c r="T88" s="103"/>
      <c r="U88" s="103"/>
      <c r="V88" s="103"/>
      <c r="W88" s="103"/>
      <c r="X88" s="103"/>
      <c r="Y88" s="103"/>
      <c r="Z88" s="103"/>
      <c r="AA88" s="103"/>
    </row>
    <row r="89" spans="3:27">
      <c r="E89" s="103"/>
      <c r="F89" s="103"/>
      <c r="G89" s="103"/>
      <c r="H89" s="103"/>
      <c r="I89" s="103"/>
      <c r="J89" s="103"/>
      <c r="K89" s="103"/>
      <c r="L89" s="103"/>
      <c r="M89" s="103"/>
      <c r="N89" s="103"/>
      <c r="O89" s="103"/>
      <c r="P89" s="103"/>
      <c r="Q89" s="103"/>
      <c r="R89" s="103"/>
      <c r="S89" s="103"/>
      <c r="T89" s="103"/>
      <c r="U89" s="103"/>
      <c r="V89" s="103"/>
      <c r="W89" s="103"/>
      <c r="X89" s="103"/>
      <c r="Y89" s="103"/>
      <c r="Z89" s="103"/>
      <c r="AA89" s="103"/>
    </row>
    <row r="90" spans="3:27">
      <c r="E90" s="103"/>
      <c r="F90" s="103"/>
      <c r="G90" s="103"/>
      <c r="H90" s="103"/>
      <c r="I90" s="103"/>
      <c r="J90" s="103"/>
      <c r="K90" s="103"/>
      <c r="L90" s="103"/>
      <c r="M90" s="103"/>
      <c r="N90" s="103"/>
      <c r="O90" s="103"/>
      <c r="P90" s="103"/>
      <c r="Q90" s="103"/>
      <c r="R90" s="103"/>
      <c r="S90" s="103"/>
      <c r="T90" s="103"/>
      <c r="U90" s="103"/>
      <c r="V90" s="103"/>
      <c r="W90" s="103"/>
      <c r="X90" s="103"/>
      <c r="Y90" s="103"/>
      <c r="Z90" s="103"/>
      <c r="AA90" s="103"/>
    </row>
    <row r="91" spans="3:27">
      <c r="E91" s="103"/>
      <c r="F91" s="103"/>
      <c r="G91" s="103"/>
      <c r="H91" s="103"/>
      <c r="I91" s="103"/>
      <c r="J91" s="103"/>
      <c r="K91" s="103"/>
      <c r="L91" s="103"/>
      <c r="M91" s="103"/>
      <c r="N91" s="103"/>
      <c r="O91" s="103"/>
      <c r="P91" s="103"/>
      <c r="Q91" s="103"/>
      <c r="R91" s="103"/>
      <c r="S91" s="103"/>
      <c r="T91" s="103"/>
      <c r="U91" s="103"/>
      <c r="V91" s="103"/>
      <c r="W91" s="103"/>
      <c r="X91" s="103"/>
      <c r="Y91" s="103"/>
      <c r="Z91" s="103"/>
      <c r="AA91" s="103"/>
    </row>
    <row r="92" spans="3:27">
      <c r="D92" s="1" t="s">
        <v>1573</v>
      </c>
      <c r="E92" s="45"/>
      <c r="F92" s="45"/>
      <c r="G92" s="45"/>
      <c r="H92" s="45"/>
      <c r="I92" s="45"/>
      <c r="J92" s="45"/>
      <c r="K92" s="45"/>
      <c r="L92" s="45"/>
      <c r="M92" s="45"/>
      <c r="N92" s="45"/>
      <c r="O92" s="45"/>
      <c r="P92" s="45"/>
      <c r="Q92" s="45"/>
      <c r="R92" s="45"/>
      <c r="S92" s="45"/>
      <c r="T92" s="45"/>
      <c r="U92" s="45"/>
      <c r="V92" s="45"/>
      <c r="W92" s="45"/>
      <c r="X92" s="45"/>
      <c r="Y92" s="45"/>
      <c r="Z92" s="45"/>
      <c r="AA92" s="45"/>
    </row>
    <row r="93" spans="3:27">
      <c r="E93" s="103" t="s">
        <v>1574</v>
      </c>
      <c r="F93" s="103"/>
      <c r="G93" s="103"/>
      <c r="H93" s="103"/>
      <c r="I93" s="103"/>
      <c r="J93" s="103"/>
      <c r="K93" s="103"/>
      <c r="L93" s="103"/>
      <c r="M93" s="103"/>
      <c r="N93" s="103"/>
      <c r="O93" s="103"/>
      <c r="P93" s="103"/>
      <c r="Q93" s="103"/>
      <c r="R93" s="103"/>
      <c r="S93" s="103"/>
      <c r="T93" s="103"/>
      <c r="U93" s="103"/>
      <c r="V93" s="103"/>
      <c r="W93" s="103"/>
      <c r="X93" s="103"/>
      <c r="Y93" s="103"/>
      <c r="Z93" s="103"/>
      <c r="AA93" s="103"/>
    </row>
    <row r="94" spans="3:27">
      <c r="E94" s="103"/>
      <c r="F94" s="103"/>
      <c r="G94" s="103"/>
      <c r="H94" s="103"/>
      <c r="I94" s="103"/>
      <c r="J94" s="103"/>
      <c r="K94" s="103"/>
      <c r="L94" s="103"/>
      <c r="M94" s="103"/>
      <c r="N94" s="103"/>
      <c r="O94" s="103"/>
      <c r="P94" s="103"/>
      <c r="Q94" s="103"/>
      <c r="R94" s="103"/>
      <c r="S94" s="103"/>
      <c r="T94" s="103"/>
      <c r="U94" s="103"/>
      <c r="V94" s="103"/>
      <c r="W94" s="103"/>
      <c r="X94" s="103"/>
      <c r="Y94" s="103"/>
      <c r="Z94" s="103"/>
      <c r="AA94" s="103"/>
    </row>
    <row r="95" spans="3:27">
      <c r="E95" s="103"/>
      <c r="F95" s="103"/>
      <c r="G95" s="103"/>
      <c r="H95" s="103"/>
      <c r="I95" s="103"/>
      <c r="J95" s="103"/>
      <c r="K95" s="103"/>
      <c r="L95" s="103"/>
      <c r="M95" s="103"/>
      <c r="N95" s="103"/>
      <c r="O95" s="103"/>
      <c r="P95" s="103"/>
      <c r="Q95" s="103"/>
      <c r="R95" s="103"/>
      <c r="S95" s="103"/>
      <c r="T95" s="103"/>
      <c r="U95" s="103"/>
      <c r="V95" s="103"/>
      <c r="W95" s="103"/>
      <c r="X95" s="103"/>
      <c r="Y95" s="103"/>
      <c r="Z95" s="103"/>
      <c r="AA95" s="103"/>
    </row>
    <row r="96" spans="3:27">
      <c r="E96" s="103"/>
      <c r="F96" s="103"/>
      <c r="G96" s="103"/>
      <c r="H96" s="103"/>
      <c r="I96" s="103"/>
      <c r="J96" s="103"/>
      <c r="K96" s="103"/>
      <c r="L96" s="103"/>
      <c r="M96" s="103"/>
      <c r="N96" s="103"/>
      <c r="O96" s="103"/>
      <c r="P96" s="103"/>
      <c r="Q96" s="103"/>
      <c r="R96" s="103"/>
      <c r="S96" s="103"/>
      <c r="T96" s="103"/>
      <c r="U96" s="103"/>
      <c r="V96" s="103"/>
      <c r="W96" s="103"/>
      <c r="X96" s="103"/>
      <c r="Y96" s="103"/>
      <c r="Z96" s="103"/>
      <c r="AA96" s="103"/>
    </row>
    <row r="97" spans="1:27">
      <c r="D97" s="1" t="s">
        <v>1575</v>
      </c>
    </row>
    <row r="98" spans="1:27">
      <c r="E98" s="103" t="s">
        <v>1576</v>
      </c>
      <c r="F98" s="103"/>
      <c r="G98" s="103"/>
      <c r="H98" s="103"/>
      <c r="I98" s="103"/>
      <c r="J98" s="103"/>
      <c r="K98" s="103"/>
      <c r="L98" s="103"/>
      <c r="M98" s="103"/>
      <c r="N98" s="103"/>
      <c r="O98" s="103"/>
      <c r="P98" s="103"/>
      <c r="Q98" s="103"/>
      <c r="R98" s="103"/>
      <c r="S98" s="103"/>
      <c r="T98" s="103"/>
      <c r="U98" s="103"/>
      <c r="V98" s="103"/>
      <c r="W98" s="103"/>
      <c r="X98" s="103"/>
      <c r="Y98" s="103"/>
      <c r="Z98" s="103"/>
      <c r="AA98" s="103"/>
    </row>
    <row r="99" spans="1:27">
      <c r="E99" s="103"/>
      <c r="F99" s="103"/>
      <c r="G99" s="103"/>
      <c r="H99" s="103"/>
      <c r="I99" s="103"/>
      <c r="J99" s="103"/>
      <c r="K99" s="103"/>
      <c r="L99" s="103"/>
      <c r="M99" s="103"/>
      <c r="N99" s="103"/>
      <c r="O99" s="103"/>
      <c r="P99" s="103"/>
      <c r="Q99" s="103"/>
      <c r="R99" s="103"/>
      <c r="S99" s="103"/>
      <c r="T99" s="103"/>
      <c r="U99" s="103"/>
      <c r="V99" s="103"/>
      <c r="W99" s="103"/>
      <c r="X99" s="103"/>
      <c r="Y99" s="103"/>
      <c r="Z99" s="103"/>
      <c r="AA99" s="103"/>
    </row>
    <row r="100" spans="1:27">
      <c r="E100" s="103"/>
      <c r="F100" s="103"/>
      <c r="G100" s="103"/>
      <c r="H100" s="103"/>
      <c r="I100" s="103"/>
      <c r="J100" s="103"/>
      <c r="K100" s="103"/>
      <c r="L100" s="103"/>
      <c r="M100" s="103"/>
      <c r="N100" s="103"/>
      <c r="O100" s="103"/>
      <c r="P100" s="103"/>
      <c r="Q100" s="103"/>
      <c r="R100" s="103"/>
      <c r="S100" s="103"/>
      <c r="T100" s="103"/>
      <c r="U100" s="103"/>
      <c r="V100" s="103"/>
      <c r="W100" s="103"/>
      <c r="X100" s="103"/>
      <c r="Y100" s="103"/>
      <c r="Z100" s="103"/>
      <c r="AA100" s="103"/>
    </row>
    <row r="101" spans="1:27">
      <c r="C101" s="1" t="s">
        <v>1577</v>
      </c>
    </row>
    <row r="102" spans="1:27">
      <c r="D102" s="1" t="s">
        <v>1578</v>
      </c>
    </row>
    <row r="103" spans="1:27">
      <c r="D103" s="1" t="s">
        <v>1579</v>
      </c>
    </row>
    <row r="104" spans="1:27">
      <c r="C104" s="1" t="s">
        <v>1580</v>
      </c>
    </row>
    <row r="105" spans="1:27">
      <c r="D105" s="1" t="s">
        <v>1581</v>
      </c>
    </row>
    <row r="106" spans="1:27">
      <c r="D106" s="1" t="s">
        <v>1582</v>
      </c>
    </row>
    <row r="107" spans="1:27">
      <c r="D107" s="1" t="s">
        <v>1583</v>
      </c>
    </row>
    <row r="109" spans="1:27" ht="15">
      <c r="A109" s="2" t="s">
        <v>1584</v>
      </c>
    </row>
    <row r="110" spans="1:27">
      <c r="B110" s="1" t="s">
        <v>1585</v>
      </c>
    </row>
    <row r="111" spans="1:27">
      <c r="B111" s="1" t="s">
        <v>1586</v>
      </c>
    </row>
    <row r="112" spans="1:27">
      <c r="C112" s="1" t="s">
        <v>1587</v>
      </c>
    </row>
    <row r="113" spans="3:4">
      <c r="D113" s="1" t="s">
        <v>1589</v>
      </c>
    </row>
    <row r="114" spans="3:4">
      <c r="D114" s="1" t="s">
        <v>1590</v>
      </c>
    </row>
    <row r="115" spans="3:4">
      <c r="D115" s="1" t="s">
        <v>1591</v>
      </c>
    </row>
    <row r="116" spans="3:4">
      <c r="D116" s="1" t="s">
        <v>1592</v>
      </c>
    </row>
    <row r="117" spans="3:4">
      <c r="C117" s="1" t="s">
        <v>1593</v>
      </c>
    </row>
    <row r="118" spans="3:4">
      <c r="D118" s="1" t="s">
        <v>1595</v>
      </c>
    </row>
    <row r="119" spans="3:4">
      <c r="D119" s="1" t="s">
        <v>1594</v>
      </c>
    </row>
    <row r="120" spans="3:4">
      <c r="C120" s="1" t="s">
        <v>1596</v>
      </c>
    </row>
    <row r="121" spans="3:4">
      <c r="D121" s="1" t="s">
        <v>1597</v>
      </c>
    </row>
    <row r="122" spans="3:4">
      <c r="D122" s="1" t="s">
        <v>1598</v>
      </c>
    </row>
    <row r="123" spans="3:4">
      <c r="C123" s="1" t="s">
        <v>1599</v>
      </c>
    </row>
    <row r="124" spans="3:4">
      <c r="D124" s="1" t="s">
        <v>1600</v>
      </c>
    </row>
    <row r="125" spans="3:4">
      <c r="C125" s="1" t="s">
        <v>1601</v>
      </c>
    </row>
    <row r="126" spans="3:4">
      <c r="D126" s="1" t="s">
        <v>1602</v>
      </c>
    </row>
    <row r="127" spans="3:4">
      <c r="D127" s="1" t="s">
        <v>1603</v>
      </c>
    </row>
    <row r="128" spans="3:4">
      <c r="C128" s="1" t="s">
        <v>1604</v>
      </c>
    </row>
    <row r="129" spans="2:4">
      <c r="D129" s="1" t="s">
        <v>1605</v>
      </c>
    </row>
    <row r="130" spans="2:4">
      <c r="D130" s="1" t="s">
        <v>1606</v>
      </c>
    </row>
    <row r="131" spans="2:4">
      <c r="D131" s="1" t="s">
        <v>1607</v>
      </c>
    </row>
    <row r="132" spans="2:4">
      <c r="C132" s="1" t="s">
        <v>1608</v>
      </c>
    </row>
    <row r="133" spans="2:4">
      <c r="D133" s="1" t="s">
        <v>1610</v>
      </c>
    </row>
    <row r="134" spans="2:4">
      <c r="D134" s="1" t="s">
        <v>1613</v>
      </c>
    </row>
    <row r="135" spans="2:4">
      <c r="D135" s="1" t="s">
        <v>1612</v>
      </c>
    </row>
    <row r="136" spans="2:4">
      <c r="D136" s="1" t="s">
        <v>1611</v>
      </c>
    </row>
    <row r="137" spans="2:4">
      <c r="D137" s="1" t="s">
        <v>1609</v>
      </c>
    </row>
    <row r="138" spans="2:4">
      <c r="C138" s="1" t="s">
        <v>1614</v>
      </c>
    </row>
    <row r="139" spans="2:4">
      <c r="D139" s="1" t="s">
        <v>1615</v>
      </c>
    </row>
    <row r="140" spans="2:4">
      <c r="D140" s="1" t="s">
        <v>1616</v>
      </c>
    </row>
    <row r="141" spans="2:4">
      <c r="B141" s="1" t="s">
        <v>1617</v>
      </c>
    </row>
    <row r="142" spans="2:4">
      <c r="B142" s="1" t="s">
        <v>1618</v>
      </c>
    </row>
    <row r="143" spans="2:4">
      <c r="B143" s="1" t="s">
        <v>1619</v>
      </c>
    </row>
    <row r="144" spans="2:4">
      <c r="C144" s="1" t="s">
        <v>1620</v>
      </c>
    </row>
    <row r="146" spans="1:5" ht="15">
      <c r="A146" s="2" t="s">
        <v>1621</v>
      </c>
    </row>
    <row r="147" spans="1:5">
      <c r="B147" s="1" t="s">
        <v>1622</v>
      </c>
    </row>
    <row r="148" spans="1:5">
      <c r="C148" s="1" t="s">
        <v>1571</v>
      </c>
    </row>
    <row r="149" spans="1:5">
      <c r="D149" s="1" t="s">
        <v>1623</v>
      </c>
    </row>
    <row r="150" spans="1:5">
      <c r="E150" s="1" t="s">
        <v>1624</v>
      </c>
    </row>
    <row r="151" spans="1:5">
      <c r="E151" s="1" t="s">
        <v>1625</v>
      </c>
    </row>
    <row r="152" spans="1:5">
      <c r="E152" s="1" t="s">
        <v>1626</v>
      </c>
    </row>
    <row r="153" spans="1:5">
      <c r="E153" s="1" t="s">
        <v>1627</v>
      </c>
    </row>
    <row r="154" spans="1:5">
      <c r="D154" s="1" t="s">
        <v>1628</v>
      </c>
    </row>
    <row r="155" spans="1:5">
      <c r="E155" s="1" t="s">
        <v>1629</v>
      </c>
    </row>
    <row r="156" spans="1:5">
      <c r="E156" s="1" t="s">
        <v>1630</v>
      </c>
    </row>
    <row r="157" spans="1:5">
      <c r="E157" s="1" t="s">
        <v>1631</v>
      </c>
    </row>
    <row r="158" spans="1:5">
      <c r="E158" s="1" t="s">
        <v>1632</v>
      </c>
    </row>
    <row r="159" spans="1:5">
      <c r="E159" s="1" t="s">
        <v>1633</v>
      </c>
    </row>
    <row r="160" spans="1:5">
      <c r="D160" s="1" t="s">
        <v>1634</v>
      </c>
    </row>
    <row r="161" spans="4:5">
      <c r="E161" s="1" t="s">
        <v>1635</v>
      </c>
    </row>
    <row r="162" spans="4:5">
      <c r="E162" s="1" t="s">
        <v>1636</v>
      </c>
    </row>
    <row r="163" spans="4:5">
      <c r="E163" s="1" t="s">
        <v>1637</v>
      </c>
    </row>
    <row r="164" spans="4:5">
      <c r="E164" s="1" t="s">
        <v>1640</v>
      </c>
    </row>
    <row r="165" spans="4:5">
      <c r="E165" s="1" t="s">
        <v>1638</v>
      </c>
    </row>
    <row r="166" spans="4:5">
      <c r="E166" s="1" t="s">
        <v>1639</v>
      </c>
    </row>
    <row r="167" spans="4:5">
      <c r="D167" s="1" t="s">
        <v>1641</v>
      </c>
    </row>
    <row r="168" spans="4:5">
      <c r="E168" s="1" t="s">
        <v>1642</v>
      </c>
    </row>
    <row r="169" spans="4:5">
      <c r="E169" s="1" t="s">
        <v>1643</v>
      </c>
    </row>
    <row r="170" spans="4:5">
      <c r="E170" s="1" t="s">
        <v>1644</v>
      </c>
    </row>
    <row r="171" spans="4:5">
      <c r="D171" s="1" t="s">
        <v>1649</v>
      </c>
    </row>
    <row r="172" spans="4:5">
      <c r="E172" s="1" t="s">
        <v>1645</v>
      </c>
    </row>
    <row r="173" spans="4:5">
      <c r="E173" s="1" t="s">
        <v>1646</v>
      </c>
    </row>
    <row r="174" spans="4:5">
      <c r="E174" s="1" t="s">
        <v>1647</v>
      </c>
    </row>
    <row r="175" spans="4:5">
      <c r="D175" s="1" t="s">
        <v>1648</v>
      </c>
    </row>
    <row r="176" spans="4:5">
      <c r="E176" s="1" t="s">
        <v>1650</v>
      </c>
    </row>
    <row r="177" spans="3:5">
      <c r="E177" s="1" t="s">
        <v>1651</v>
      </c>
    </row>
    <row r="178" spans="3:5">
      <c r="E178" s="1" t="s">
        <v>1652</v>
      </c>
    </row>
    <row r="179" spans="3:5">
      <c r="C179" s="1" t="s">
        <v>1573</v>
      </c>
    </row>
    <row r="180" spans="3:5">
      <c r="D180" s="1" t="s">
        <v>1653</v>
      </c>
    </row>
    <row r="181" spans="3:5">
      <c r="E181" s="1" t="s">
        <v>1654</v>
      </c>
    </row>
    <row r="182" spans="3:5">
      <c r="D182" s="1" t="s">
        <v>1655</v>
      </c>
    </row>
    <row r="183" spans="3:5">
      <c r="E183" s="1" t="s">
        <v>1656</v>
      </c>
    </row>
    <row r="184" spans="3:5">
      <c r="D184" s="1" t="s">
        <v>1657</v>
      </c>
    </row>
    <row r="185" spans="3:5">
      <c r="D185" s="1" t="s">
        <v>1658</v>
      </c>
    </row>
    <row r="186" spans="3:5">
      <c r="E186" s="1" t="s">
        <v>1659</v>
      </c>
    </row>
    <row r="187" spans="3:5">
      <c r="D187" s="1" t="s">
        <v>1660</v>
      </c>
    </row>
    <row r="188" spans="3:5">
      <c r="E188" s="1" t="s">
        <v>1661</v>
      </c>
    </row>
    <row r="189" spans="3:5">
      <c r="C189" s="1" t="s">
        <v>1575</v>
      </c>
    </row>
    <row r="190" spans="3:5">
      <c r="D190" s="1" t="s">
        <v>1662</v>
      </c>
    </row>
    <row r="191" spans="3:5">
      <c r="E191" s="1" t="s">
        <v>1663</v>
      </c>
    </row>
    <row r="192" spans="3:5">
      <c r="E192" s="1" t="s">
        <v>1664</v>
      </c>
    </row>
    <row r="193" spans="3:5">
      <c r="E193" s="1" t="s">
        <v>1665</v>
      </c>
    </row>
    <row r="194" spans="3:5">
      <c r="D194" s="1" t="s">
        <v>1666</v>
      </c>
    </row>
    <row r="195" spans="3:5">
      <c r="E195" s="1" t="s">
        <v>1667</v>
      </c>
    </row>
    <row r="196" spans="3:5">
      <c r="E196" s="1" t="s">
        <v>1668</v>
      </c>
    </row>
    <row r="197" spans="3:5">
      <c r="E197" s="1" t="s">
        <v>1669</v>
      </c>
    </row>
    <row r="198" spans="3:5">
      <c r="E198" s="1" t="s">
        <v>1670</v>
      </c>
    </row>
    <row r="199" spans="3:5">
      <c r="E199" s="1" t="s">
        <v>1671</v>
      </c>
    </row>
    <row r="200" spans="3:5">
      <c r="E200" s="1" t="s">
        <v>1672</v>
      </c>
    </row>
    <row r="201" spans="3:5">
      <c r="D201" s="1" t="s">
        <v>1673</v>
      </c>
    </row>
    <row r="202" spans="3:5">
      <c r="E202" s="1" t="s">
        <v>1674</v>
      </c>
    </row>
    <row r="203" spans="3:5">
      <c r="E203" s="1" t="s">
        <v>1675</v>
      </c>
    </row>
    <row r="204" spans="3:5">
      <c r="D204" s="1" t="s">
        <v>1676</v>
      </c>
    </row>
    <row r="205" spans="3:5">
      <c r="E205" s="1" t="s">
        <v>1677</v>
      </c>
    </row>
    <row r="206" spans="3:5">
      <c r="E206" s="1" t="s">
        <v>1678</v>
      </c>
    </row>
    <row r="207" spans="3:5">
      <c r="E207" s="1" t="s">
        <v>1679</v>
      </c>
    </row>
    <row r="208" spans="3:5">
      <c r="C208" s="1" t="s">
        <v>1680</v>
      </c>
    </row>
    <row r="209" spans="4:5">
      <c r="D209" s="1" t="s">
        <v>1681</v>
      </c>
    </row>
    <row r="210" spans="4:5">
      <c r="E210" s="1" t="s">
        <v>1682</v>
      </c>
    </row>
    <row r="211" spans="4:5">
      <c r="E211" s="1" t="s">
        <v>1683</v>
      </c>
    </row>
    <row r="212" spans="4:5">
      <c r="E212" s="1" t="s">
        <v>1684</v>
      </c>
    </row>
    <row r="213" spans="4:5">
      <c r="E213" s="1" t="s">
        <v>1685</v>
      </c>
    </row>
    <row r="214" spans="4:5">
      <c r="E214" s="1" t="s">
        <v>1686</v>
      </c>
    </row>
    <row r="215" spans="4:5">
      <c r="E215" s="1" t="s">
        <v>1687</v>
      </c>
    </row>
    <row r="216" spans="4:5">
      <c r="E216" s="1" t="s">
        <v>1688</v>
      </c>
    </row>
    <row r="217" spans="4:5">
      <c r="D217" s="1" t="s">
        <v>1689</v>
      </c>
    </row>
    <row r="218" spans="4:5">
      <c r="E218" s="1" t="s">
        <v>1690</v>
      </c>
    </row>
    <row r="219" spans="4:5">
      <c r="E219" s="1" t="s">
        <v>1691</v>
      </c>
    </row>
    <row r="220" spans="4:5">
      <c r="E220" s="1" t="s">
        <v>1692</v>
      </c>
    </row>
    <row r="221" spans="4:5">
      <c r="D221" s="1" t="s">
        <v>1693</v>
      </c>
    </row>
    <row r="222" spans="4:5">
      <c r="E222" s="1" t="s">
        <v>1694</v>
      </c>
    </row>
    <row r="223" spans="4:5">
      <c r="E223" s="1" t="s">
        <v>1695</v>
      </c>
    </row>
    <row r="225" spans="1:3" ht="15">
      <c r="A225" s="2" t="s">
        <v>1696</v>
      </c>
    </row>
    <row r="226" spans="1:3">
      <c r="B226" s="1" t="s">
        <v>1699</v>
      </c>
    </row>
    <row r="227" spans="1:3">
      <c r="C227" s="1" t="s">
        <v>1700</v>
      </c>
    </row>
    <row r="228" spans="1:3">
      <c r="C228" s="1" t="s">
        <v>1701</v>
      </c>
    </row>
    <row r="229" spans="1:3">
      <c r="C229" s="1" t="s">
        <v>1702</v>
      </c>
    </row>
    <row r="230" spans="1:3">
      <c r="C230" s="1" t="s">
        <v>1703</v>
      </c>
    </row>
    <row r="231" spans="1:3">
      <c r="C231" s="1" t="s">
        <v>1704</v>
      </c>
    </row>
    <row r="233" spans="1:3" ht="15">
      <c r="A233" s="2" t="s">
        <v>1705</v>
      </c>
    </row>
    <row r="234" spans="1:3">
      <c r="B234" s="1" t="s">
        <v>1706</v>
      </c>
    </row>
    <row r="235" spans="1:3" ht="15">
      <c r="C235" s="2" t="s">
        <v>1707</v>
      </c>
    </row>
    <row r="237" spans="1:3" ht="15">
      <c r="A237" s="2" t="s">
        <v>1708</v>
      </c>
    </row>
    <row r="238" spans="1:3">
      <c r="B238" s="1" t="s">
        <v>1709</v>
      </c>
    </row>
    <row r="239" spans="1:3">
      <c r="C239" s="1" t="s">
        <v>1710</v>
      </c>
    </row>
    <row r="240" spans="1:3">
      <c r="C240" s="1" t="s">
        <v>1711</v>
      </c>
    </row>
    <row r="241" spans="2:18">
      <c r="C241" s="1" t="s">
        <v>1712</v>
      </c>
    </row>
    <row r="242" spans="2:18">
      <c r="C242" s="1" t="s">
        <v>1713</v>
      </c>
    </row>
    <row r="243" spans="2:18">
      <c r="C243" s="1" t="s">
        <v>1714</v>
      </c>
    </row>
    <row r="244" spans="2:18">
      <c r="C244" s="1" t="s">
        <v>1715</v>
      </c>
    </row>
    <row r="245" spans="2:18">
      <c r="C245" s="1" t="s">
        <v>1716</v>
      </c>
    </row>
    <row r="246" spans="2:18">
      <c r="B246" s="1" t="s">
        <v>1717</v>
      </c>
    </row>
    <row r="247" spans="2:18">
      <c r="B247" s="1" t="s">
        <v>1718</v>
      </c>
    </row>
    <row r="248" spans="2:18">
      <c r="C248" s="1" t="s">
        <v>1719</v>
      </c>
    </row>
    <row r="249" spans="2:18" ht="15">
      <c r="B249" s="3" t="s">
        <v>1737</v>
      </c>
      <c r="C249" s="72"/>
      <c r="D249" s="72"/>
      <c r="E249" s="72" t="s">
        <v>1720</v>
      </c>
      <c r="F249" s="72" t="s">
        <v>1721</v>
      </c>
      <c r="G249" s="72"/>
      <c r="H249" s="4"/>
      <c r="I249" s="4"/>
      <c r="J249" s="3"/>
      <c r="K249" s="4"/>
      <c r="L249" s="4"/>
      <c r="M249" s="4"/>
      <c r="N249" s="4"/>
      <c r="O249" s="4"/>
      <c r="P249" s="3"/>
      <c r="Q249" s="3"/>
      <c r="R249" s="3"/>
    </row>
    <row r="250" spans="2:18" ht="15">
      <c r="B250" s="7" t="s">
        <v>1724</v>
      </c>
      <c r="C250" s="74"/>
      <c r="D250" s="75"/>
      <c r="E250" s="79" t="s">
        <v>1725</v>
      </c>
      <c r="F250" s="104" t="s">
        <v>1738</v>
      </c>
      <c r="G250" s="104"/>
      <c r="H250" s="104"/>
      <c r="I250" s="104"/>
      <c r="J250" s="104"/>
      <c r="K250" s="104"/>
      <c r="L250" s="104"/>
      <c r="M250" s="104"/>
      <c r="N250" s="104"/>
      <c r="O250" s="104"/>
      <c r="P250" s="104"/>
      <c r="Q250" s="104"/>
      <c r="R250" s="105"/>
    </row>
    <row r="251" spans="2:18" ht="15">
      <c r="B251" s="12" t="s">
        <v>1732</v>
      </c>
      <c r="C251" s="84"/>
      <c r="D251" s="76"/>
      <c r="E251" s="73" t="s">
        <v>1732</v>
      </c>
      <c r="F251" s="91" t="s">
        <v>1746</v>
      </c>
      <c r="G251" s="92"/>
      <c r="H251" s="92"/>
      <c r="I251" s="92"/>
      <c r="J251" s="92"/>
      <c r="K251" s="92"/>
      <c r="L251" s="92"/>
      <c r="M251" s="92"/>
      <c r="N251" s="92"/>
      <c r="O251" s="92"/>
      <c r="P251" s="92"/>
      <c r="Q251" s="92"/>
      <c r="R251" s="93"/>
    </row>
    <row r="252" spans="2:18" ht="15">
      <c r="B252" s="12" t="s">
        <v>1729</v>
      </c>
      <c r="C252" s="84"/>
      <c r="D252" s="76"/>
      <c r="E252" s="81" t="s">
        <v>1730</v>
      </c>
      <c r="F252" s="94" t="s">
        <v>1744</v>
      </c>
      <c r="G252" s="95"/>
      <c r="H252" s="95"/>
      <c r="I252" s="95"/>
      <c r="J252" s="95"/>
      <c r="K252" s="95"/>
      <c r="L252" s="95"/>
      <c r="M252" s="95"/>
      <c r="N252" s="95"/>
      <c r="O252" s="95"/>
      <c r="P252" s="95"/>
      <c r="Q252" s="95"/>
      <c r="R252" s="96"/>
    </row>
    <row r="253" spans="2:18" ht="15">
      <c r="B253" s="12" t="s">
        <v>1731</v>
      </c>
      <c r="C253" s="84"/>
      <c r="D253" s="76"/>
      <c r="E253" s="73" t="s">
        <v>1731</v>
      </c>
      <c r="F253" s="91" t="s">
        <v>1747</v>
      </c>
      <c r="G253" s="92"/>
      <c r="H253" s="92"/>
      <c r="I253" s="92"/>
      <c r="J253" s="92"/>
      <c r="K253" s="92"/>
      <c r="L253" s="92"/>
      <c r="M253" s="92"/>
      <c r="N253" s="92"/>
      <c r="O253" s="92"/>
      <c r="P253" s="92"/>
      <c r="Q253" s="92"/>
      <c r="R253" s="93"/>
    </row>
    <row r="254" spans="2:18" ht="15">
      <c r="B254" s="12" t="s">
        <v>1727</v>
      </c>
      <c r="C254" s="84"/>
      <c r="D254" s="76"/>
      <c r="E254" s="81" t="s">
        <v>1728</v>
      </c>
      <c r="F254" s="94" t="s">
        <v>1741</v>
      </c>
      <c r="G254" s="95"/>
      <c r="H254" s="95"/>
      <c r="I254" s="95"/>
      <c r="J254" s="95"/>
      <c r="K254" s="95"/>
      <c r="L254" s="95"/>
      <c r="M254" s="95"/>
      <c r="N254" s="95"/>
      <c r="O254" s="95"/>
      <c r="P254" s="95"/>
      <c r="Q254" s="95"/>
      <c r="R254" s="96"/>
    </row>
    <row r="255" spans="2:18" ht="15">
      <c r="B255" s="12" t="s">
        <v>1736</v>
      </c>
      <c r="C255" s="84"/>
      <c r="D255" s="76"/>
      <c r="E255" s="80" t="s">
        <v>1723</v>
      </c>
      <c r="F255" s="91" t="s">
        <v>1751</v>
      </c>
      <c r="G255" s="92"/>
      <c r="H255" s="92"/>
      <c r="I255" s="92"/>
      <c r="J255" s="92"/>
      <c r="K255" s="92"/>
      <c r="L255" s="92"/>
      <c r="M255" s="92"/>
      <c r="N255" s="92"/>
      <c r="O255" s="92"/>
      <c r="P255" s="92"/>
      <c r="Q255" s="92"/>
      <c r="R255" s="93"/>
    </row>
    <row r="256" spans="2:18" ht="15">
      <c r="B256" s="12" t="s">
        <v>1726</v>
      </c>
      <c r="C256" s="84"/>
      <c r="D256" s="76"/>
      <c r="E256" s="81" t="s">
        <v>1723</v>
      </c>
      <c r="F256" s="94" t="s">
        <v>1740</v>
      </c>
      <c r="G256" s="95"/>
      <c r="H256" s="95"/>
      <c r="I256" s="95"/>
      <c r="J256" s="95"/>
      <c r="K256" s="95"/>
      <c r="L256" s="95"/>
      <c r="M256" s="95"/>
      <c r="N256" s="95"/>
      <c r="O256" s="95"/>
      <c r="P256" s="95"/>
      <c r="Q256" s="95"/>
      <c r="R256" s="96"/>
    </row>
    <row r="257" spans="2:18" ht="15">
      <c r="B257" s="12" t="s">
        <v>1722</v>
      </c>
      <c r="C257" s="84"/>
      <c r="D257" s="76"/>
      <c r="E257" s="80" t="s">
        <v>1723</v>
      </c>
      <c r="F257" s="91" t="s">
        <v>1739</v>
      </c>
      <c r="G257" s="92"/>
      <c r="H257" s="92"/>
      <c r="I257" s="92"/>
      <c r="J257" s="92"/>
      <c r="K257" s="92"/>
      <c r="L257" s="92"/>
      <c r="M257" s="92"/>
      <c r="N257" s="92"/>
      <c r="O257" s="92"/>
      <c r="P257" s="92"/>
      <c r="Q257" s="92"/>
      <c r="R257" s="93"/>
    </row>
    <row r="258" spans="2:18" ht="15">
      <c r="B258" s="12" t="s">
        <v>1743</v>
      </c>
      <c r="C258" s="84"/>
      <c r="D258" s="76"/>
      <c r="E258" s="81" t="s">
        <v>1723</v>
      </c>
      <c r="F258" s="94" t="s">
        <v>1742</v>
      </c>
      <c r="G258" s="95"/>
      <c r="H258" s="95"/>
      <c r="I258" s="95"/>
      <c r="J258" s="95"/>
      <c r="K258" s="95"/>
      <c r="L258" s="95"/>
      <c r="M258" s="95"/>
      <c r="N258" s="95"/>
      <c r="O258" s="95"/>
      <c r="P258" s="95"/>
      <c r="Q258" s="95"/>
      <c r="R258" s="96"/>
    </row>
    <row r="259" spans="2:18" ht="15">
      <c r="B259" s="12" t="s">
        <v>1733</v>
      </c>
      <c r="C259" s="84"/>
      <c r="D259" s="76"/>
      <c r="E259" s="80" t="s">
        <v>1723</v>
      </c>
      <c r="F259" s="91" t="s">
        <v>1745</v>
      </c>
      <c r="G259" s="92"/>
      <c r="H259" s="92"/>
      <c r="I259" s="92"/>
      <c r="J259" s="92"/>
      <c r="K259" s="92"/>
      <c r="L259" s="92"/>
      <c r="M259" s="92"/>
      <c r="N259" s="92"/>
      <c r="O259" s="92"/>
      <c r="P259" s="92"/>
      <c r="Q259" s="92"/>
      <c r="R259" s="93"/>
    </row>
    <row r="260" spans="2:18" ht="15">
      <c r="B260" s="12" t="s">
        <v>1749</v>
      </c>
      <c r="C260" s="84"/>
      <c r="D260" s="76"/>
      <c r="E260" s="81" t="s">
        <v>1723</v>
      </c>
      <c r="F260" s="94" t="s">
        <v>1748</v>
      </c>
      <c r="G260" s="95"/>
      <c r="H260" s="95"/>
      <c r="I260" s="95"/>
      <c r="J260" s="95"/>
      <c r="K260" s="95"/>
      <c r="L260" s="95"/>
      <c r="M260" s="95"/>
      <c r="N260" s="95"/>
      <c r="O260" s="95"/>
      <c r="P260" s="95"/>
      <c r="Q260" s="95"/>
      <c r="R260" s="96"/>
    </row>
    <row r="261" spans="2:18" ht="15">
      <c r="B261" s="12" t="s">
        <v>1734</v>
      </c>
      <c r="C261" s="84"/>
      <c r="D261" s="76"/>
      <c r="E261" s="80" t="s">
        <v>1723</v>
      </c>
      <c r="F261" s="91" t="s">
        <v>1750</v>
      </c>
      <c r="G261" s="92"/>
      <c r="H261" s="92"/>
      <c r="I261" s="92"/>
      <c r="J261" s="92"/>
      <c r="K261" s="92"/>
      <c r="L261" s="92"/>
      <c r="M261" s="92"/>
      <c r="N261" s="92"/>
      <c r="O261" s="92"/>
      <c r="P261" s="92"/>
      <c r="Q261" s="92"/>
      <c r="R261" s="93"/>
    </row>
    <row r="262" spans="2:18" ht="15">
      <c r="B262" s="12" t="s">
        <v>1735</v>
      </c>
      <c r="C262" s="84"/>
      <c r="D262" s="76"/>
      <c r="E262" s="81" t="s">
        <v>1723</v>
      </c>
      <c r="F262" s="100" t="s">
        <v>1753</v>
      </c>
      <c r="G262" s="101"/>
      <c r="H262" s="101"/>
      <c r="I262" s="101"/>
      <c r="J262" s="101"/>
      <c r="K262" s="101"/>
      <c r="L262" s="101"/>
      <c r="M262" s="101"/>
      <c r="N262" s="101"/>
      <c r="O262" s="101"/>
      <c r="P262" s="101"/>
      <c r="Q262" s="101"/>
      <c r="R262" s="102"/>
    </row>
    <row r="263" spans="2:18" ht="15">
      <c r="B263" s="12"/>
      <c r="C263" s="84"/>
      <c r="D263" s="76"/>
      <c r="E263" s="80"/>
      <c r="F263" s="91"/>
      <c r="G263" s="92"/>
      <c r="H263" s="92"/>
      <c r="I263" s="92"/>
      <c r="J263" s="92"/>
      <c r="K263" s="92"/>
      <c r="L263" s="92"/>
      <c r="M263" s="92"/>
      <c r="N263" s="92"/>
      <c r="O263" s="92"/>
      <c r="P263" s="92"/>
      <c r="Q263" s="92"/>
      <c r="R263" s="93"/>
    </row>
    <row r="264" spans="2:18" ht="15">
      <c r="B264" s="12"/>
      <c r="C264" s="84"/>
      <c r="D264" s="76"/>
      <c r="E264" s="82"/>
      <c r="F264" s="95"/>
      <c r="G264" s="95"/>
      <c r="H264" s="95"/>
      <c r="I264" s="95"/>
      <c r="J264" s="95"/>
      <c r="K264" s="95"/>
      <c r="L264" s="95"/>
      <c r="M264" s="95"/>
      <c r="N264" s="95"/>
      <c r="O264" s="95"/>
      <c r="P264" s="95"/>
      <c r="Q264" s="95"/>
      <c r="R264" s="96"/>
    </row>
    <row r="265" spans="2:18" ht="15">
      <c r="B265" s="12"/>
      <c r="C265" s="84"/>
      <c r="D265" s="76"/>
      <c r="E265" s="80"/>
      <c r="F265" s="91"/>
      <c r="G265" s="92"/>
      <c r="H265" s="92"/>
      <c r="I265" s="92"/>
      <c r="J265" s="92"/>
      <c r="K265" s="92"/>
      <c r="L265" s="92"/>
      <c r="M265" s="92"/>
      <c r="N265" s="92"/>
      <c r="O265" s="92"/>
      <c r="P265" s="92"/>
      <c r="Q265" s="92"/>
      <c r="R265" s="93"/>
    </row>
    <row r="266" spans="2:18" ht="15">
      <c r="B266" s="19"/>
      <c r="C266" s="77"/>
      <c r="D266" s="78"/>
      <c r="E266" s="83"/>
      <c r="F266" s="97"/>
      <c r="G266" s="98"/>
      <c r="H266" s="98"/>
      <c r="I266" s="98"/>
      <c r="J266" s="98"/>
      <c r="K266" s="98"/>
      <c r="L266" s="98"/>
      <c r="M266" s="98"/>
      <c r="N266" s="98"/>
      <c r="O266" s="98"/>
      <c r="P266" s="98"/>
      <c r="Q266" s="98"/>
      <c r="R266" s="99"/>
    </row>
    <row r="267" spans="2:18">
      <c r="B267" s="1" t="s">
        <v>1752</v>
      </c>
    </row>
  </sheetData>
  <mergeCells count="21">
    <mergeCell ref="E87:AA91"/>
    <mergeCell ref="E93:AA96"/>
    <mergeCell ref="B48:P49"/>
    <mergeCell ref="E98:AA100"/>
    <mergeCell ref="F250:R250"/>
    <mergeCell ref="F251:R251"/>
    <mergeCell ref="F256:R256"/>
    <mergeCell ref="F258:R258"/>
    <mergeCell ref="F266:R266"/>
    <mergeCell ref="F265:R265"/>
    <mergeCell ref="F257:R257"/>
    <mergeCell ref="F260:R260"/>
    <mergeCell ref="F252:R252"/>
    <mergeCell ref="F253:R253"/>
    <mergeCell ref="F254:R254"/>
    <mergeCell ref="F255:R255"/>
    <mergeCell ref="F259:R259"/>
    <mergeCell ref="F261:R261"/>
    <mergeCell ref="F262:R262"/>
    <mergeCell ref="F263:R263"/>
    <mergeCell ref="F264:R264"/>
  </mergeCells>
  <hyperlinks>
    <hyperlink ref="R20" r:id="rId1" xr:uid="{14375537-5C3D-4253-9650-337AB6789785}"/>
    <hyperlink ref="R14" r:id="rId2" xr:uid="{461AE889-0E86-427C-BFC6-5EA5B252C6DA}"/>
    <hyperlink ref="S15" r:id="rId3" xr:uid="{A0188D64-FF7D-4F79-B0E1-6D1DA2ABD5FD}"/>
    <hyperlink ref="R17" r:id="rId4" xr:uid="{2EF57278-C861-445B-B44B-E1FA663398DD}"/>
    <hyperlink ref="R16" r:id="rId5" xr:uid="{A291E1DA-0530-430B-8DEA-5FFAA74697E2}"/>
    <hyperlink ref="R19" r:id="rId6" xr:uid="{C7F30348-4A9E-41EC-A0C6-AD764A5C759D}"/>
    <hyperlink ref="R18" r:id="rId7" xr:uid="{49B3B754-7031-47F4-AD4C-36B861BC00B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7957-A42B-4AB7-A411-12A70E029F5D}">
  <dimension ref="B1:EF112"/>
  <sheetViews>
    <sheetView tabSelected="1" zoomScale="85" zoomScaleNormal="85" workbookViewId="0">
      <pane xSplit="2" ySplit="3" topLeftCell="BU80" activePane="bottomRight" state="frozen"/>
      <selection pane="topRight" activeCell="C1" sqref="C1"/>
      <selection pane="bottomLeft" activeCell="A4" sqref="A4"/>
      <selection pane="bottomRight" activeCell="AZ71" sqref="AZ71"/>
    </sheetView>
  </sheetViews>
  <sheetFormatPr defaultRowHeight="14.25"/>
  <cols>
    <col min="1" max="1" width="3.140625" style="1" customWidth="1"/>
    <col min="2" max="2" width="37.5703125" style="1" customWidth="1"/>
    <col min="3" max="5" width="9.28515625" style="1" bestFit="1" customWidth="1"/>
    <col min="6" max="6" width="9.42578125" style="1" bestFit="1" customWidth="1"/>
    <col min="7" max="26" width="9.28515625" style="1" bestFit="1" customWidth="1"/>
    <col min="27" max="37" width="9.42578125" style="1" bestFit="1" customWidth="1"/>
    <col min="38" max="38" width="9.5703125" style="1" bestFit="1" customWidth="1"/>
    <col min="39" max="39" width="10" style="1" bestFit="1" customWidth="1"/>
    <col min="40" max="40" width="9.28515625" style="1" customWidth="1"/>
    <col min="41" max="46" width="9.42578125" style="1" bestFit="1" customWidth="1"/>
    <col min="47" max="47" width="10" style="1" bestFit="1" customWidth="1"/>
    <col min="48" max="49" width="9.140625" style="1"/>
    <col min="50" max="54" width="9.140625" style="35"/>
    <col min="55" max="73" width="9.140625" style="1"/>
    <col min="74" max="133" width="9.140625" style="35"/>
    <col min="134" max="16384" width="9.140625" style="1"/>
  </cols>
  <sheetData>
    <row r="1" spans="2:136" ht="15">
      <c r="B1" s="1" t="s">
        <v>1517</v>
      </c>
      <c r="W1" s="33" t="s">
        <v>63</v>
      </c>
      <c r="AA1" s="33" t="s">
        <v>67</v>
      </c>
      <c r="AE1" s="33" t="s">
        <v>71</v>
      </c>
      <c r="AI1" s="33" t="s">
        <v>75</v>
      </c>
      <c r="AM1" s="33" t="s">
        <v>79</v>
      </c>
      <c r="AQ1" s="33" t="s">
        <v>83</v>
      </c>
      <c r="AU1" s="33" t="s">
        <v>87</v>
      </c>
    </row>
    <row r="2" spans="2:136">
      <c r="B2" s="1" t="s">
        <v>95</v>
      </c>
    </row>
    <row r="3" spans="2:136" ht="15">
      <c r="B3" s="2" t="s">
        <v>96</v>
      </c>
      <c r="C3" s="33" t="s">
        <v>43</v>
      </c>
      <c r="D3" s="33" t="s">
        <v>44</v>
      </c>
      <c r="E3" s="33" t="s">
        <v>45</v>
      </c>
      <c r="F3" s="33" t="s">
        <v>46</v>
      </c>
      <c r="G3" s="33" t="s">
        <v>47</v>
      </c>
      <c r="H3" s="33" t="s">
        <v>48</v>
      </c>
      <c r="I3" s="33" t="s">
        <v>49</v>
      </c>
      <c r="J3" s="33" t="s">
        <v>50</v>
      </c>
      <c r="K3" s="33" t="s">
        <v>51</v>
      </c>
      <c r="L3" s="33" t="s">
        <v>52</v>
      </c>
      <c r="M3" s="33" t="s">
        <v>53</v>
      </c>
      <c r="N3" s="33" t="s">
        <v>54</v>
      </c>
      <c r="O3" s="33" t="s">
        <v>55</v>
      </c>
      <c r="P3" s="33" t="s">
        <v>56</v>
      </c>
      <c r="Q3" s="33" t="s">
        <v>57</v>
      </c>
      <c r="R3" s="33" t="s">
        <v>58</v>
      </c>
      <c r="S3" s="33" t="s">
        <v>59</v>
      </c>
      <c r="T3" s="33" t="s">
        <v>60</v>
      </c>
      <c r="U3" s="33" t="s">
        <v>61</v>
      </c>
      <c r="V3" s="33" t="s">
        <v>62</v>
      </c>
      <c r="W3" s="33" t="s">
        <v>63</v>
      </c>
      <c r="X3" s="33" t="s">
        <v>64</v>
      </c>
      <c r="Y3" s="33" t="s">
        <v>65</v>
      </c>
      <c r="Z3" s="33" t="s">
        <v>66</v>
      </c>
      <c r="AA3" s="33" t="s">
        <v>67</v>
      </c>
      <c r="AB3" s="33" t="s">
        <v>68</v>
      </c>
      <c r="AC3" s="33" t="s">
        <v>69</v>
      </c>
      <c r="AD3" s="33" t="s">
        <v>70</v>
      </c>
      <c r="AE3" s="33" t="s">
        <v>71</v>
      </c>
      <c r="AF3" s="33" t="s">
        <v>72</v>
      </c>
      <c r="AG3" s="33" t="s">
        <v>73</v>
      </c>
      <c r="AH3" s="33" t="s">
        <v>74</v>
      </c>
      <c r="AI3" s="33" t="s">
        <v>75</v>
      </c>
      <c r="AJ3" s="33" t="s">
        <v>76</v>
      </c>
      <c r="AK3" s="33" t="s">
        <v>77</v>
      </c>
      <c r="AL3" s="33" t="s">
        <v>78</v>
      </c>
      <c r="AM3" s="33" t="s">
        <v>79</v>
      </c>
      <c r="AN3" s="33" t="s">
        <v>80</v>
      </c>
      <c r="AO3" s="33" t="s">
        <v>81</v>
      </c>
      <c r="AP3" s="33" t="s">
        <v>82</v>
      </c>
      <c r="AQ3" s="33" t="s">
        <v>83</v>
      </c>
      <c r="AR3" s="33" t="s">
        <v>84</v>
      </c>
      <c r="AS3" s="33" t="s">
        <v>85</v>
      </c>
      <c r="AT3" s="33" t="s">
        <v>86</v>
      </c>
      <c r="AU3" s="33" t="s">
        <v>87</v>
      </c>
      <c r="AV3" s="2" t="s">
        <v>88</v>
      </c>
      <c r="AW3" s="2" t="s">
        <v>89</v>
      </c>
      <c r="AX3" s="34" t="s">
        <v>90</v>
      </c>
      <c r="AY3" s="34" t="s">
        <v>91</v>
      </c>
      <c r="AZ3" s="34" t="s">
        <v>92</v>
      </c>
      <c r="BA3" s="34" t="s">
        <v>93</v>
      </c>
      <c r="BB3" s="34" t="s">
        <v>94</v>
      </c>
      <c r="BK3" s="2">
        <v>2014</v>
      </c>
      <c r="BL3" s="2">
        <f t="shared" ref="BL3:DR3" si="0">BK3+1</f>
        <v>2015</v>
      </c>
      <c r="BM3" s="2">
        <f t="shared" si="0"/>
        <v>2016</v>
      </c>
      <c r="BN3" s="2">
        <f t="shared" si="0"/>
        <v>2017</v>
      </c>
      <c r="BO3" s="2">
        <f t="shared" si="0"/>
        <v>2018</v>
      </c>
      <c r="BP3" s="2">
        <f t="shared" si="0"/>
        <v>2019</v>
      </c>
      <c r="BQ3" s="2">
        <f t="shared" si="0"/>
        <v>2020</v>
      </c>
      <c r="BR3" s="2">
        <f t="shared" si="0"/>
        <v>2021</v>
      </c>
      <c r="BS3" s="2">
        <f t="shared" si="0"/>
        <v>2022</v>
      </c>
      <c r="BT3" s="2">
        <f t="shared" si="0"/>
        <v>2023</v>
      </c>
      <c r="BU3" s="2">
        <f t="shared" si="0"/>
        <v>2024</v>
      </c>
      <c r="BV3" s="34">
        <f t="shared" si="0"/>
        <v>2025</v>
      </c>
      <c r="BW3" s="34">
        <f t="shared" si="0"/>
        <v>2026</v>
      </c>
      <c r="BX3" s="34">
        <f t="shared" si="0"/>
        <v>2027</v>
      </c>
      <c r="BY3" s="34">
        <f t="shared" si="0"/>
        <v>2028</v>
      </c>
      <c r="BZ3" s="34">
        <f t="shared" si="0"/>
        <v>2029</v>
      </c>
      <c r="CA3" s="34">
        <f t="shared" si="0"/>
        <v>2030</v>
      </c>
      <c r="CB3" s="34">
        <f t="shared" si="0"/>
        <v>2031</v>
      </c>
      <c r="CC3" s="34">
        <f t="shared" si="0"/>
        <v>2032</v>
      </c>
      <c r="CD3" s="34">
        <f t="shared" si="0"/>
        <v>2033</v>
      </c>
      <c r="CE3" s="34">
        <f t="shared" si="0"/>
        <v>2034</v>
      </c>
      <c r="CF3" s="34">
        <f t="shared" si="0"/>
        <v>2035</v>
      </c>
      <c r="CG3" s="34">
        <f t="shared" si="0"/>
        <v>2036</v>
      </c>
      <c r="CH3" s="34">
        <f t="shared" si="0"/>
        <v>2037</v>
      </c>
      <c r="CI3" s="34">
        <f t="shared" si="0"/>
        <v>2038</v>
      </c>
      <c r="CJ3" s="34">
        <f t="shared" si="0"/>
        <v>2039</v>
      </c>
      <c r="CK3" s="34">
        <f t="shared" si="0"/>
        <v>2040</v>
      </c>
      <c r="CL3" s="34">
        <f t="shared" si="0"/>
        <v>2041</v>
      </c>
      <c r="CM3" s="34">
        <f t="shared" si="0"/>
        <v>2042</v>
      </c>
      <c r="CN3" s="34">
        <f t="shared" si="0"/>
        <v>2043</v>
      </c>
      <c r="CO3" s="34">
        <f t="shared" si="0"/>
        <v>2044</v>
      </c>
      <c r="CP3" s="34">
        <f t="shared" si="0"/>
        <v>2045</v>
      </c>
      <c r="CQ3" s="34">
        <f t="shared" si="0"/>
        <v>2046</v>
      </c>
      <c r="CR3" s="34">
        <f t="shared" si="0"/>
        <v>2047</v>
      </c>
      <c r="CS3" s="34">
        <f t="shared" si="0"/>
        <v>2048</v>
      </c>
      <c r="CT3" s="34">
        <f t="shared" si="0"/>
        <v>2049</v>
      </c>
      <c r="CU3" s="34">
        <f t="shared" si="0"/>
        <v>2050</v>
      </c>
      <c r="CV3" s="34">
        <f t="shared" si="0"/>
        <v>2051</v>
      </c>
      <c r="CW3" s="34">
        <f t="shared" si="0"/>
        <v>2052</v>
      </c>
      <c r="CX3" s="34">
        <f t="shared" si="0"/>
        <v>2053</v>
      </c>
      <c r="CY3" s="34">
        <f t="shared" si="0"/>
        <v>2054</v>
      </c>
      <c r="CZ3" s="34">
        <f t="shared" si="0"/>
        <v>2055</v>
      </c>
      <c r="DA3" s="34">
        <f t="shared" si="0"/>
        <v>2056</v>
      </c>
      <c r="DB3" s="34">
        <f t="shared" si="0"/>
        <v>2057</v>
      </c>
      <c r="DC3" s="34">
        <f t="shared" si="0"/>
        <v>2058</v>
      </c>
      <c r="DD3" s="34">
        <f t="shared" si="0"/>
        <v>2059</v>
      </c>
      <c r="DE3" s="34">
        <f t="shared" si="0"/>
        <v>2060</v>
      </c>
      <c r="DF3" s="34">
        <f t="shared" si="0"/>
        <v>2061</v>
      </c>
      <c r="DG3" s="34">
        <f t="shared" si="0"/>
        <v>2062</v>
      </c>
      <c r="DH3" s="34">
        <f t="shared" si="0"/>
        <v>2063</v>
      </c>
      <c r="DI3" s="34">
        <f t="shared" si="0"/>
        <v>2064</v>
      </c>
      <c r="DJ3" s="34">
        <f t="shared" si="0"/>
        <v>2065</v>
      </c>
      <c r="DK3" s="34">
        <f t="shared" si="0"/>
        <v>2066</v>
      </c>
      <c r="DL3" s="34">
        <f t="shared" si="0"/>
        <v>2067</v>
      </c>
      <c r="DM3" s="34">
        <f t="shared" si="0"/>
        <v>2068</v>
      </c>
      <c r="DN3" s="34">
        <f t="shared" si="0"/>
        <v>2069</v>
      </c>
      <c r="DO3" s="34">
        <f t="shared" si="0"/>
        <v>2070</v>
      </c>
      <c r="DP3" s="34">
        <f t="shared" si="0"/>
        <v>2071</v>
      </c>
      <c r="DQ3" s="34">
        <f t="shared" si="0"/>
        <v>2072</v>
      </c>
      <c r="DR3" s="34">
        <f t="shared" si="0"/>
        <v>2073</v>
      </c>
      <c r="DS3" s="34">
        <f t="shared" ref="DS3:EC3" si="1">DR3+1</f>
        <v>2074</v>
      </c>
      <c r="DT3" s="34">
        <f t="shared" si="1"/>
        <v>2075</v>
      </c>
      <c r="DU3" s="34">
        <f t="shared" si="1"/>
        <v>2076</v>
      </c>
      <c r="DV3" s="34">
        <f t="shared" si="1"/>
        <v>2077</v>
      </c>
      <c r="DW3" s="34">
        <f t="shared" si="1"/>
        <v>2078</v>
      </c>
      <c r="DX3" s="34">
        <f t="shared" si="1"/>
        <v>2079</v>
      </c>
      <c r="DY3" s="34">
        <f t="shared" si="1"/>
        <v>2080</v>
      </c>
      <c r="DZ3" s="34">
        <f t="shared" si="1"/>
        <v>2081</v>
      </c>
      <c r="EA3" s="34">
        <f t="shared" si="1"/>
        <v>2082</v>
      </c>
      <c r="EB3" s="34">
        <f t="shared" si="1"/>
        <v>2083</v>
      </c>
      <c r="EC3" s="34">
        <f t="shared" si="1"/>
        <v>2084</v>
      </c>
      <c r="ED3" s="2"/>
      <c r="EE3" s="2"/>
      <c r="EF3" s="2"/>
    </row>
    <row r="4" spans="2:136">
      <c r="B4" s="36" t="s">
        <v>1418</v>
      </c>
      <c r="W4" s="49">
        <v>56.122999999999998</v>
      </c>
      <c r="X4" s="49">
        <v>60.472000000000001</v>
      </c>
      <c r="Y4" s="49">
        <v>63.021999999999998</v>
      </c>
      <c r="Z4" s="49">
        <f>245.765-SUM(W4:Y4)</f>
        <v>66.147999999999996</v>
      </c>
      <c r="AA4" s="49">
        <v>68.361000000000004</v>
      </c>
      <c r="AB4" s="49">
        <v>70.695999999999998</v>
      </c>
      <c r="AC4" s="49">
        <v>75.849999999999994</v>
      </c>
      <c r="AD4" s="49">
        <f>295.877-SUM(AA4:AC4)</f>
        <v>80.97</v>
      </c>
      <c r="AE4" s="49">
        <v>84.936000000000007</v>
      </c>
      <c r="AF4" s="49">
        <v>91.204999999999998</v>
      </c>
      <c r="AG4" s="49">
        <v>98.912000000000006</v>
      </c>
      <c r="AH4" s="49">
        <f>379.34-SUM(AE4:AG4)</f>
        <v>104.28699999999998</v>
      </c>
      <c r="AI4" s="49">
        <v>107.12</v>
      </c>
      <c r="AJ4" s="49">
        <v>113.35299999999999</v>
      </c>
      <c r="AK4" s="49">
        <v>118.59099999999999</v>
      </c>
      <c r="AL4" s="49">
        <f>464.935-SUM(AI4:AK4)</f>
        <v>125.87099999999998</v>
      </c>
      <c r="AM4" s="49">
        <v>129.66399999999999</v>
      </c>
      <c r="AN4" s="49">
        <v>136.77199999999999</v>
      </c>
      <c r="AO4" s="49">
        <v>143.42099999999999</v>
      </c>
      <c r="AP4" s="49">
        <f>558.645-SUM(AM4:AO4)</f>
        <v>148.78800000000001</v>
      </c>
      <c r="AQ4" s="49">
        <v>154.97900000000001</v>
      </c>
      <c r="AR4" s="49">
        <v>160.73500000000001</v>
      </c>
      <c r="AS4" s="49">
        <v>171.035</v>
      </c>
      <c r="AT4" s="49">
        <f>667.646-SUM(AQ4:AS4)</f>
        <v>180.89699999999993</v>
      </c>
      <c r="AU4" s="49">
        <v>185.512</v>
      </c>
      <c r="AV4" s="53">
        <v>198.22300000000001</v>
      </c>
      <c r="AW4" s="53">
        <v>209.56</v>
      </c>
      <c r="BP4" s="53">
        <f>SUM(W4:Z4)</f>
        <v>245.76499999999999</v>
      </c>
      <c r="BQ4" s="53">
        <f>SUM(AA4:AD4)</f>
        <v>295.87700000000001</v>
      </c>
      <c r="BR4" s="53">
        <f>SUM(AE4:AH4)</f>
        <v>379.34</v>
      </c>
      <c r="BS4" s="53">
        <f>SUM(AI4:AL4)</f>
        <v>464.935</v>
      </c>
      <c r="BT4" s="53">
        <f>SUM(AM4:AP4)</f>
        <v>558.64499999999998</v>
      </c>
      <c r="BU4" s="53">
        <f>SUM(AQ4:AT4)</f>
        <v>667.64599999999996</v>
      </c>
    </row>
    <row r="5" spans="2:136">
      <c r="B5" s="36" t="s">
        <v>1401</v>
      </c>
      <c r="W5" s="49">
        <v>11.41</v>
      </c>
      <c r="X5" s="49">
        <v>9.5220000000000002</v>
      </c>
      <c r="Y5" s="49">
        <v>7.7670000000000003</v>
      </c>
      <c r="Z5" s="49">
        <f>38.734-SUM(W5:Y5)</f>
        <v>10.035</v>
      </c>
      <c r="AA5" s="49">
        <v>13.432</v>
      </c>
      <c r="AB5" s="49">
        <v>8.3130000000000006</v>
      </c>
      <c r="AC5" s="49">
        <v>7.798</v>
      </c>
      <c r="AD5" s="49">
        <f>38.032-SUM(AA5:AC5)</f>
        <v>8.4889999999999972</v>
      </c>
      <c r="AE5" s="49">
        <v>14.486000000000001</v>
      </c>
      <c r="AF5" s="49">
        <v>10.069000000000001</v>
      </c>
      <c r="AG5" s="49">
        <v>9.0030000000000001</v>
      </c>
      <c r="AH5" s="49">
        <f>44.763-SUM(AE5:AG5)</f>
        <v>11.204999999999998</v>
      </c>
      <c r="AI5" s="49">
        <v>17.693000000000001</v>
      </c>
      <c r="AJ5" s="49">
        <v>13.516999999999999</v>
      </c>
      <c r="AK5" s="49">
        <v>10.634</v>
      </c>
      <c r="AL5" s="49">
        <f>54.896-SUM(AI5:AK5)</f>
        <v>13.052</v>
      </c>
      <c r="AM5" s="49">
        <v>16.733000000000001</v>
      </c>
      <c r="AN5" s="49">
        <v>14.430999999999999</v>
      </c>
      <c r="AO5" s="49">
        <v>11.555</v>
      </c>
      <c r="AP5" s="49">
        <f>56.82-SUM(AM5:AO5)</f>
        <v>14.100999999999999</v>
      </c>
      <c r="AQ5" s="49">
        <v>17.593</v>
      </c>
      <c r="AR5" s="49">
        <v>14.026999999999999</v>
      </c>
      <c r="AS5" s="49">
        <v>11.705</v>
      </c>
      <c r="AT5" s="49">
        <f>58.791-SUM(AQ5:AS5)</f>
        <v>15.466000000000001</v>
      </c>
      <c r="AU5" s="49">
        <v>17.940000000000001</v>
      </c>
      <c r="AV5" s="53">
        <v>14.502000000000001</v>
      </c>
      <c r="AW5" s="53">
        <v>11.77</v>
      </c>
      <c r="BP5" s="53">
        <f t="shared" ref="BP5:BP7" si="2">SUM(W5:Z5)</f>
        <v>38.734000000000002</v>
      </c>
      <c r="BQ5" s="53">
        <f t="shared" ref="BQ5:BQ7" si="3">SUM(AA5:AD5)</f>
        <v>38.031999999999996</v>
      </c>
      <c r="BR5" s="53">
        <f t="shared" ref="BR5:BR7" si="4">SUM(AE5:AH5)</f>
        <v>44.762999999999998</v>
      </c>
      <c r="BS5" s="53">
        <f t="shared" ref="BS5:BS7" si="5">SUM(AI5:AL5)</f>
        <v>54.896000000000001</v>
      </c>
      <c r="BT5" s="53">
        <f t="shared" ref="BT5:BT7" si="6">SUM(AM5:AP5)</f>
        <v>56.82</v>
      </c>
      <c r="BU5" s="53">
        <f t="shared" ref="BU5:BU7" si="7">SUM(AQ5:AT5)</f>
        <v>58.790999999999997</v>
      </c>
    </row>
    <row r="6" spans="2:136">
      <c r="B6" s="36" t="s">
        <v>1402</v>
      </c>
      <c r="W6" s="49">
        <v>2.4300000000000002</v>
      </c>
      <c r="X6" s="49">
        <v>3.49</v>
      </c>
      <c r="Y6" s="49">
        <v>3.39</v>
      </c>
      <c r="Z6" s="49">
        <f>13.392-SUM(W6:Y6)</f>
        <v>4.081999999999999</v>
      </c>
      <c r="AA6" s="49">
        <v>4.008</v>
      </c>
      <c r="AB6" s="49">
        <v>4.851</v>
      </c>
      <c r="AC6" s="49">
        <v>4.4509999999999996</v>
      </c>
      <c r="AD6" s="49">
        <f>17.685-SUM(AA6:AC6)</f>
        <v>4.375</v>
      </c>
      <c r="AE6" s="49">
        <v>4.8</v>
      </c>
      <c r="AF6" s="49">
        <v>4.3129999999999997</v>
      </c>
      <c r="AG6" s="49">
        <v>4.7779999999999996</v>
      </c>
      <c r="AH6" s="49">
        <f>19.182-SUM(AE6:AG6)</f>
        <v>5.2910000000000004</v>
      </c>
      <c r="AI6" s="49">
        <v>4.8609999999999998</v>
      </c>
      <c r="AJ6" s="49">
        <v>4.6790000000000003</v>
      </c>
      <c r="AK6" s="49">
        <v>3.6240000000000001</v>
      </c>
      <c r="AL6" s="49">
        <f>18.044-SUM(AI6:AK6)</f>
        <v>4.8800000000000008</v>
      </c>
      <c r="AM6" s="49">
        <v>3.7919999999999998</v>
      </c>
      <c r="AN6" s="49">
        <v>3.819</v>
      </c>
      <c r="AO6" s="49">
        <v>3.1989999999999998</v>
      </c>
      <c r="AP6" s="49">
        <f>14.574-SUM(AM6:AO6)</f>
        <v>3.7640000000000011</v>
      </c>
      <c r="AQ6" s="49">
        <v>3.0950000000000002</v>
      </c>
      <c r="AR6" s="49">
        <v>2.7410000000000001</v>
      </c>
      <c r="AS6" s="49">
        <v>2.8820000000000001</v>
      </c>
      <c r="AT6" s="49">
        <f>12.243-SUM(AQ6:AS6)</f>
        <v>3.5250000000000004</v>
      </c>
      <c r="AU6" s="49">
        <v>2.82</v>
      </c>
      <c r="AV6" s="53">
        <v>2.46</v>
      </c>
      <c r="AW6" s="53">
        <v>2.8340000000000001</v>
      </c>
      <c r="BP6" s="53">
        <f t="shared" si="2"/>
        <v>13.391999999999999</v>
      </c>
      <c r="BQ6" s="53">
        <f t="shared" si="3"/>
        <v>17.684999999999999</v>
      </c>
      <c r="BR6" s="53">
        <f t="shared" si="4"/>
        <v>19.181999999999999</v>
      </c>
      <c r="BS6" s="53">
        <f t="shared" si="5"/>
        <v>18.044</v>
      </c>
      <c r="BT6" s="53">
        <f t="shared" si="6"/>
        <v>14.574</v>
      </c>
      <c r="BU6" s="53">
        <f t="shared" si="7"/>
        <v>12.243</v>
      </c>
    </row>
    <row r="7" spans="2:136">
      <c r="B7" s="36" t="s">
        <v>1416</v>
      </c>
      <c r="W7" s="49">
        <f t="shared" ref="W7:AT7" si="8">SUM(W5:W6)</f>
        <v>13.84</v>
      </c>
      <c r="X7" s="49">
        <f t="shared" si="8"/>
        <v>13.012</v>
      </c>
      <c r="Y7" s="49">
        <f t="shared" si="8"/>
        <v>11.157</v>
      </c>
      <c r="Z7" s="49">
        <f t="shared" si="8"/>
        <v>14.116999999999999</v>
      </c>
      <c r="AA7" s="49">
        <f t="shared" si="8"/>
        <v>17.440000000000001</v>
      </c>
      <c r="AB7" s="49">
        <f t="shared" si="8"/>
        <v>13.164000000000001</v>
      </c>
      <c r="AC7" s="49">
        <f t="shared" si="8"/>
        <v>12.248999999999999</v>
      </c>
      <c r="AD7" s="49">
        <f t="shared" si="8"/>
        <v>12.863999999999997</v>
      </c>
      <c r="AE7" s="49">
        <f t="shared" si="8"/>
        <v>19.286000000000001</v>
      </c>
      <c r="AF7" s="49">
        <f t="shared" si="8"/>
        <v>14.382000000000001</v>
      </c>
      <c r="AG7" s="49">
        <f t="shared" si="8"/>
        <v>13.780999999999999</v>
      </c>
      <c r="AH7" s="49">
        <f t="shared" si="8"/>
        <v>16.495999999999999</v>
      </c>
      <c r="AI7" s="49">
        <f t="shared" si="8"/>
        <v>22.554000000000002</v>
      </c>
      <c r="AJ7" s="49">
        <f t="shared" si="8"/>
        <v>18.195999999999998</v>
      </c>
      <c r="AK7" s="49">
        <f t="shared" si="8"/>
        <v>14.258000000000001</v>
      </c>
      <c r="AL7" s="49">
        <f t="shared" si="8"/>
        <v>17.932000000000002</v>
      </c>
      <c r="AM7" s="49">
        <f t="shared" si="8"/>
        <v>20.524999999999999</v>
      </c>
      <c r="AN7" s="49">
        <f t="shared" si="8"/>
        <v>18.25</v>
      </c>
      <c r="AO7" s="49">
        <f t="shared" si="8"/>
        <v>14.754</v>
      </c>
      <c r="AP7" s="49">
        <f t="shared" si="8"/>
        <v>17.865000000000002</v>
      </c>
      <c r="AQ7" s="49">
        <f t="shared" si="8"/>
        <v>20.687999999999999</v>
      </c>
      <c r="AR7" s="49">
        <f t="shared" si="8"/>
        <v>16.768000000000001</v>
      </c>
      <c r="AS7" s="49">
        <f t="shared" si="8"/>
        <v>14.587</v>
      </c>
      <c r="AT7" s="49">
        <f t="shared" si="8"/>
        <v>18.991</v>
      </c>
      <c r="AU7" s="49">
        <f>SUM(AU5:AU6)</f>
        <v>20.76</v>
      </c>
      <c r="AV7" s="49">
        <f>SUM(AV5:AV6)</f>
        <v>16.962</v>
      </c>
      <c r="AW7" s="49">
        <f>SUM(AW5:AW6)</f>
        <v>14.603999999999999</v>
      </c>
      <c r="BP7" s="53">
        <f t="shared" si="2"/>
        <v>52.125999999999998</v>
      </c>
      <c r="BQ7" s="53">
        <f t="shared" si="3"/>
        <v>55.716999999999999</v>
      </c>
      <c r="BR7" s="53">
        <f t="shared" si="4"/>
        <v>63.945000000000007</v>
      </c>
      <c r="BS7" s="53">
        <f t="shared" si="5"/>
        <v>72.94</v>
      </c>
      <c r="BT7" s="53">
        <f t="shared" si="6"/>
        <v>71.394000000000005</v>
      </c>
      <c r="BU7" s="53">
        <f t="shared" si="7"/>
        <v>71.034000000000006</v>
      </c>
    </row>
    <row r="8" spans="2:136" s="2" customFormat="1" ht="15">
      <c r="B8" s="33" t="s">
        <v>97</v>
      </c>
      <c r="W8" s="50">
        <f t="shared" ref="W8" si="9">SUM(W4:W6)</f>
        <v>69.963000000000008</v>
      </c>
      <c r="X8" s="50">
        <f t="shared" ref="X8" si="10">SUM(X4:X6)</f>
        <v>73.483999999999995</v>
      </c>
      <c r="Y8" s="50">
        <f t="shared" ref="Y8" si="11">SUM(Y4:Y6)</f>
        <v>74.179000000000002</v>
      </c>
      <c r="Z8" s="50">
        <f t="shared" ref="Z8" si="12">SUM(Z4:Z6)</f>
        <v>80.264999999999986</v>
      </c>
      <c r="AA8" s="50">
        <f t="shared" ref="AA8:AT8" si="13">SUM(AA4:AA6)</f>
        <v>85.801000000000002</v>
      </c>
      <c r="AB8" s="50">
        <f t="shared" si="13"/>
        <v>83.86</v>
      </c>
      <c r="AC8" s="50">
        <f t="shared" si="13"/>
        <v>88.09899999999999</v>
      </c>
      <c r="AD8" s="50">
        <f t="shared" si="13"/>
        <v>93.834000000000003</v>
      </c>
      <c r="AE8" s="50">
        <f t="shared" si="13"/>
        <v>104.22200000000001</v>
      </c>
      <c r="AF8" s="50">
        <f t="shared" si="13"/>
        <v>105.587</v>
      </c>
      <c r="AG8" s="50">
        <f t="shared" si="13"/>
        <v>112.69300000000001</v>
      </c>
      <c r="AH8" s="50">
        <f t="shared" si="13"/>
        <v>120.78299999999997</v>
      </c>
      <c r="AI8" s="50">
        <f t="shared" si="13"/>
        <v>129.67400000000001</v>
      </c>
      <c r="AJ8" s="50">
        <f t="shared" si="13"/>
        <v>131.54899999999998</v>
      </c>
      <c r="AK8" s="50">
        <f t="shared" si="13"/>
        <v>132.84899999999999</v>
      </c>
      <c r="AL8" s="50">
        <f t="shared" si="13"/>
        <v>143.80299999999997</v>
      </c>
      <c r="AM8" s="50">
        <f t="shared" si="13"/>
        <v>150.18899999999999</v>
      </c>
      <c r="AN8" s="50">
        <f t="shared" si="13"/>
        <v>155.02199999999999</v>
      </c>
      <c r="AO8" s="50">
        <f t="shared" si="13"/>
        <v>158.17500000000001</v>
      </c>
      <c r="AP8" s="50">
        <f t="shared" si="13"/>
        <v>166.65300000000002</v>
      </c>
      <c r="AQ8" s="50">
        <f t="shared" si="13"/>
        <v>175.667</v>
      </c>
      <c r="AR8" s="50">
        <f t="shared" si="13"/>
        <v>177.50300000000001</v>
      </c>
      <c r="AS8" s="50">
        <f t="shared" si="13"/>
        <v>185.62200000000001</v>
      </c>
      <c r="AT8" s="50">
        <f t="shared" si="13"/>
        <v>199.88799999999995</v>
      </c>
      <c r="AU8" s="50">
        <f>SUM(AU4:AU6)</f>
        <v>206.27199999999999</v>
      </c>
      <c r="AV8" s="50">
        <f>SUM(AV4:AV6)</f>
        <v>215.18500000000003</v>
      </c>
      <c r="AW8" s="50">
        <f>SUM(AW4:AW6)</f>
        <v>224.16400000000002</v>
      </c>
      <c r="AX8" s="34"/>
      <c r="AY8" s="34"/>
      <c r="AZ8" s="34"/>
      <c r="BA8" s="34"/>
      <c r="BB8" s="34"/>
      <c r="BP8" s="54">
        <f t="shared" ref="BP8:BT8" si="14">SUM(BP4:BP6)</f>
        <v>297.89099999999996</v>
      </c>
      <c r="BQ8" s="54">
        <f t="shared" si="14"/>
        <v>351.59399999999999</v>
      </c>
      <c r="BR8" s="54">
        <f t="shared" si="14"/>
        <v>443.28499999999997</v>
      </c>
      <c r="BS8" s="54">
        <f t="shared" si="14"/>
        <v>537.875</v>
      </c>
      <c r="BT8" s="54">
        <f t="shared" si="14"/>
        <v>630.03899999999999</v>
      </c>
      <c r="BU8" s="54">
        <f>SUM(BU4:BU6)</f>
        <v>738.68</v>
      </c>
      <c r="BV8" s="34"/>
      <c r="BW8" s="34"/>
      <c r="BX8" s="34"/>
      <c r="BY8" s="34"/>
      <c r="BZ8" s="34"/>
      <c r="CA8" s="34"/>
      <c r="CB8" s="34"/>
      <c r="CC8" s="34"/>
      <c r="CD8" s="34"/>
      <c r="CE8" s="34"/>
      <c r="CF8" s="34"/>
      <c r="CG8" s="34"/>
      <c r="CH8" s="34"/>
      <c r="CI8" s="34"/>
      <c r="CJ8" s="34"/>
      <c r="CK8" s="34"/>
      <c r="CL8" s="34"/>
      <c r="CM8" s="34"/>
      <c r="CN8" s="34"/>
      <c r="CO8" s="34"/>
      <c r="CP8" s="34"/>
      <c r="CQ8" s="34"/>
      <c r="CR8" s="34"/>
      <c r="CS8" s="34"/>
      <c r="CT8" s="34"/>
      <c r="CU8" s="34"/>
      <c r="CV8" s="34"/>
      <c r="CW8" s="34"/>
      <c r="CX8" s="34"/>
      <c r="CY8" s="34"/>
      <c r="CZ8" s="34"/>
      <c r="DA8" s="34"/>
      <c r="DB8" s="34"/>
      <c r="DC8" s="34"/>
      <c r="DD8" s="34"/>
      <c r="DE8" s="34"/>
      <c r="DF8" s="34"/>
      <c r="DG8" s="34"/>
      <c r="DH8" s="34"/>
      <c r="DI8" s="34"/>
      <c r="DJ8" s="34"/>
      <c r="DK8" s="34"/>
      <c r="DL8" s="34"/>
      <c r="DM8" s="34"/>
      <c r="DN8" s="34"/>
      <c r="DO8" s="34"/>
      <c r="DP8" s="34"/>
      <c r="DQ8" s="34"/>
      <c r="DR8" s="34"/>
      <c r="DS8" s="34"/>
      <c r="DT8" s="34"/>
      <c r="DU8" s="34"/>
      <c r="DV8" s="34"/>
      <c r="DW8" s="34"/>
      <c r="DX8" s="34"/>
      <c r="DY8" s="34"/>
      <c r="DZ8" s="34"/>
      <c r="EA8" s="34"/>
      <c r="EB8" s="34"/>
      <c r="EC8" s="34"/>
    </row>
    <row r="9" spans="2:136">
      <c r="B9" s="36"/>
      <c r="AV9" s="53"/>
      <c r="AW9" s="53"/>
    </row>
    <row r="10" spans="2:136">
      <c r="B10" s="36" t="s">
        <v>1403</v>
      </c>
      <c r="AA10" s="55">
        <f t="shared" ref="AA10:AT10" si="15">AA4/W4-1</f>
        <v>0.2180567681699126</v>
      </c>
      <c r="AB10" s="55">
        <f t="shared" si="15"/>
        <v>0.16906998280195795</v>
      </c>
      <c r="AC10" s="55">
        <f t="shared" si="15"/>
        <v>0.20354796737647174</v>
      </c>
      <c r="AD10" s="55">
        <f t="shared" si="15"/>
        <v>0.22407329019773847</v>
      </c>
      <c r="AE10" s="55">
        <f t="shared" si="15"/>
        <v>0.24246280774125606</v>
      </c>
      <c r="AF10" s="55">
        <f t="shared" si="15"/>
        <v>0.29010127871449587</v>
      </c>
      <c r="AG10" s="55">
        <f t="shared" si="15"/>
        <v>0.30404746209624278</v>
      </c>
      <c r="AH10" s="55">
        <f t="shared" si="15"/>
        <v>0.28797085340249451</v>
      </c>
      <c r="AI10" s="55">
        <f t="shared" si="15"/>
        <v>0.26118489215409246</v>
      </c>
      <c r="AJ10" s="55">
        <f t="shared" si="15"/>
        <v>0.2428375637300586</v>
      </c>
      <c r="AK10" s="55">
        <f t="shared" si="15"/>
        <v>0.19895462633451944</v>
      </c>
      <c r="AL10" s="55">
        <f t="shared" si="15"/>
        <v>0.20696731136191482</v>
      </c>
      <c r="AM10" s="55">
        <f t="shared" si="15"/>
        <v>0.21045556385362185</v>
      </c>
      <c r="AN10" s="55">
        <f t="shared" si="15"/>
        <v>0.2066023837040043</v>
      </c>
      <c r="AO10" s="55">
        <f t="shared" si="15"/>
        <v>0.20937507905321651</v>
      </c>
      <c r="AP10" s="55">
        <f t="shared" si="15"/>
        <v>0.18206735467264124</v>
      </c>
      <c r="AQ10" s="55">
        <f t="shared" si="15"/>
        <v>0.19523537759131315</v>
      </c>
      <c r="AR10" s="55">
        <f t="shared" si="15"/>
        <v>0.17520398912058033</v>
      </c>
      <c r="AS10" s="55">
        <f t="shared" si="15"/>
        <v>0.19253805230754217</v>
      </c>
      <c r="AT10" s="55">
        <f t="shared" si="15"/>
        <v>0.21580369384627729</v>
      </c>
      <c r="AU10" s="55">
        <f t="shared" ref="AU10:AW12" si="16">AU4/AQ4-1</f>
        <v>0.19701378896495636</v>
      </c>
      <c r="AV10" s="55">
        <f t="shared" si="16"/>
        <v>0.23322860609077045</v>
      </c>
      <c r="AW10" s="55">
        <f t="shared" si="16"/>
        <v>0.22524629461806067</v>
      </c>
      <c r="BQ10" s="55">
        <f t="shared" ref="BQ10:BT10" si="17">BQ4/BP4-1</f>
        <v>0.2039021016011231</v>
      </c>
      <c r="BR10" s="55">
        <f t="shared" si="17"/>
        <v>0.28208681310139005</v>
      </c>
      <c r="BS10" s="55">
        <f t="shared" si="17"/>
        <v>0.2256419043602047</v>
      </c>
      <c r="BT10" s="55">
        <f t="shared" si="17"/>
        <v>0.20155505608310831</v>
      </c>
      <c r="BU10" s="55">
        <f>BU4/BT4-1</f>
        <v>0.19511675572143306</v>
      </c>
    </row>
    <row r="11" spans="2:136">
      <c r="B11" s="36" t="s">
        <v>1404</v>
      </c>
      <c r="AA11" s="55">
        <f t="shared" ref="AA11:AT11" si="18">AA5/W5-1</f>
        <v>0.17721297107800171</v>
      </c>
      <c r="AB11" s="55">
        <f t="shared" si="18"/>
        <v>-0.1269691241335853</v>
      </c>
      <c r="AC11" s="55">
        <f t="shared" si="18"/>
        <v>3.9912450109436115E-3</v>
      </c>
      <c r="AD11" s="55">
        <f t="shared" si="18"/>
        <v>-0.154060787244644</v>
      </c>
      <c r="AE11" s="55">
        <f t="shared" si="18"/>
        <v>7.8469326980345366E-2</v>
      </c>
      <c r="AF11" s="55">
        <f t="shared" si="18"/>
        <v>0.21123541441116322</v>
      </c>
      <c r="AG11" s="55">
        <f t="shared" si="18"/>
        <v>0.15452680174403688</v>
      </c>
      <c r="AH11" s="55">
        <f t="shared" si="18"/>
        <v>0.3199434562374841</v>
      </c>
      <c r="AI11" s="55">
        <f t="shared" si="18"/>
        <v>0.22138616595333427</v>
      </c>
      <c r="AJ11" s="55">
        <f t="shared" si="18"/>
        <v>0.34243718343430318</v>
      </c>
      <c r="AK11" s="55">
        <f t="shared" si="18"/>
        <v>0.1811618349439077</v>
      </c>
      <c r="AL11" s="55">
        <f t="shared" si="18"/>
        <v>0.16483712628290959</v>
      </c>
      <c r="AM11" s="55">
        <f t="shared" si="18"/>
        <v>-5.425874639688022E-2</v>
      </c>
      <c r="AN11" s="55">
        <f t="shared" si="18"/>
        <v>6.7618554412961496E-2</v>
      </c>
      <c r="AO11" s="55">
        <f t="shared" si="18"/>
        <v>8.6608990031972866E-2</v>
      </c>
      <c r="AP11" s="55">
        <f t="shared" si="18"/>
        <v>8.0370824394728757E-2</v>
      </c>
      <c r="AQ11" s="55">
        <f t="shared" si="18"/>
        <v>5.1395446124424815E-2</v>
      </c>
      <c r="AR11" s="55">
        <f t="shared" si="18"/>
        <v>-2.7995287921834922E-2</v>
      </c>
      <c r="AS11" s="55">
        <f t="shared" si="18"/>
        <v>1.2981393336218172E-2</v>
      </c>
      <c r="AT11" s="55">
        <f t="shared" si="18"/>
        <v>9.6801645273385084E-2</v>
      </c>
      <c r="AU11" s="55">
        <f t="shared" si="16"/>
        <v>1.9723753765702234E-2</v>
      </c>
      <c r="AV11" s="55">
        <f t="shared" si="16"/>
        <v>3.3863263705710578E-2</v>
      </c>
      <c r="AW11" s="55">
        <f t="shared" si="16"/>
        <v>5.5531824006833652E-3</v>
      </c>
      <c r="BQ11" s="55">
        <f t="shared" ref="BQ11:BT11" si="19">BQ5/BP5-1</f>
        <v>-1.8123612330252614E-2</v>
      </c>
      <c r="BR11" s="55">
        <f t="shared" si="19"/>
        <v>0.17698254101809008</v>
      </c>
      <c r="BS11" s="55">
        <f t="shared" si="19"/>
        <v>0.22636999307463768</v>
      </c>
      <c r="BT11" s="55">
        <f t="shared" si="19"/>
        <v>3.5048090935587251E-2</v>
      </c>
      <c r="BU11" s="55">
        <f>BU5/BT5-1</f>
        <v>3.4688489968320857E-2</v>
      </c>
    </row>
    <row r="12" spans="2:136">
      <c r="B12" s="36" t="s">
        <v>1405</v>
      </c>
      <c r="AA12" s="55">
        <f t="shared" ref="AA12:AT12" si="20">AA6/W6-1</f>
        <v>0.64938271604938258</v>
      </c>
      <c r="AB12" s="55">
        <f t="shared" si="20"/>
        <v>0.38997134670487088</v>
      </c>
      <c r="AC12" s="55">
        <f t="shared" si="20"/>
        <v>0.31297935103244812</v>
      </c>
      <c r="AD12" s="55">
        <f t="shared" si="20"/>
        <v>7.1778539931406371E-2</v>
      </c>
      <c r="AE12" s="55">
        <f t="shared" si="20"/>
        <v>0.19760479041916157</v>
      </c>
      <c r="AF12" s="55">
        <f t="shared" si="20"/>
        <v>-0.11090496804782524</v>
      </c>
      <c r="AG12" s="55">
        <f t="shared" si="20"/>
        <v>7.3466636710851407E-2</v>
      </c>
      <c r="AH12" s="55">
        <f t="shared" si="20"/>
        <v>0.20937142857142876</v>
      </c>
      <c r="AI12" s="55">
        <f t="shared" si="20"/>
        <v>1.2708333333333321E-2</v>
      </c>
      <c r="AJ12" s="55">
        <f t="shared" si="20"/>
        <v>8.4859726408532454E-2</v>
      </c>
      <c r="AK12" s="55">
        <f t="shared" si="20"/>
        <v>-0.24152365006278764</v>
      </c>
      <c r="AL12" s="55">
        <f t="shared" si="20"/>
        <v>-7.7679077679077557E-2</v>
      </c>
      <c r="AM12" s="55">
        <f t="shared" si="20"/>
        <v>-0.21991359802509769</v>
      </c>
      <c r="AN12" s="55">
        <f t="shared" si="20"/>
        <v>-0.18379995725582399</v>
      </c>
      <c r="AO12" s="55">
        <f t="shared" si="20"/>
        <v>-0.11727373068432678</v>
      </c>
      <c r="AP12" s="55">
        <f t="shared" si="20"/>
        <v>-0.22868852459016387</v>
      </c>
      <c r="AQ12" s="55">
        <f t="shared" si="20"/>
        <v>-0.18380801687763704</v>
      </c>
      <c r="AR12" s="55">
        <f t="shared" si="20"/>
        <v>-0.28227284629484151</v>
      </c>
      <c r="AS12" s="55">
        <f t="shared" si="20"/>
        <v>-9.9093466708346289E-2</v>
      </c>
      <c r="AT12" s="55">
        <f t="shared" si="20"/>
        <v>-6.3496280552603812E-2</v>
      </c>
      <c r="AU12" s="55">
        <f t="shared" si="16"/>
        <v>-8.8852988691437873E-2</v>
      </c>
      <c r="AV12" s="55">
        <f t="shared" si="16"/>
        <v>-0.10251732944180958</v>
      </c>
      <c r="AW12" s="55">
        <f t="shared" si="16"/>
        <v>-1.6655100624566321E-2</v>
      </c>
      <c r="BQ12" s="55">
        <f t="shared" ref="BQ12:BT12" si="21">BQ6/BP6-1</f>
        <v>0.32056451612903225</v>
      </c>
      <c r="BR12" s="55">
        <f t="shared" si="21"/>
        <v>8.46480067854114E-2</v>
      </c>
      <c r="BS12" s="55">
        <f t="shared" si="21"/>
        <v>-5.9326451881972608E-2</v>
      </c>
      <c r="BT12" s="55">
        <f t="shared" si="21"/>
        <v>-0.19230769230769229</v>
      </c>
      <c r="BU12" s="55">
        <f>BU6/BT6-1</f>
        <v>-0.15994236311239185</v>
      </c>
    </row>
    <row r="13" spans="2:136" s="2" customFormat="1" ht="15">
      <c r="B13" s="33" t="s">
        <v>1406</v>
      </c>
      <c r="AA13" s="56">
        <f t="shared" ref="AA13:AT13" si="22">AA8/W8-1</f>
        <v>0.22637679916527298</v>
      </c>
      <c r="AB13" s="56">
        <f t="shared" si="22"/>
        <v>0.14120080561754955</v>
      </c>
      <c r="AC13" s="56">
        <f t="shared" si="22"/>
        <v>0.18765418784292032</v>
      </c>
      <c r="AD13" s="56">
        <f t="shared" si="22"/>
        <v>0.16905251354886963</v>
      </c>
      <c r="AE13" s="56">
        <f t="shared" si="22"/>
        <v>0.21469446743044962</v>
      </c>
      <c r="AF13" s="56">
        <f t="shared" si="22"/>
        <v>0.25908657285952774</v>
      </c>
      <c r="AG13" s="56">
        <f t="shared" si="22"/>
        <v>0.27916321411139777</v>
      </c>
      <c r="AH13" s="56">
        <f t="shared" si="22"/>
        <v>0.28719866999168708</v>
      </c>
      <c r="AI13" s="56">
        <f t="shared" si="22"/>
        <v>0.24420947592638798</v>
      </c>
      <c r="AJ13" s="56">
        <f t="shared" si="22"/>
        <v>0.2458825423584341</v>
      </c>
      <c r="AK13" s="56">
        <f t="shared" si="22"/>
        <v>0.17885760428775499</v>
      </c>
      <c r="AL13" s="56">
        <f t="shared" si="22"/>
        <v>0.19058973531043266</v>
      </c>
      <c r="AM13" s="56">
        <f t="shared" si="22"/>
        <v>0.15820442031556037</v>
      </c>
      <c r="AN13" s="56">
        <f t="shared" si="22"/>
        <v>0.17843541189974843</v>
      </c>
      <c r="AO13" s="56">
        <f t="shared" si="22"/>
        <v>0.19063749068491309</v>
      </c>
      <c r="AP13" s="56">
        <f t="shared" si="22"/>
        <v>0.15889793676070774</v>
      </c>
      <c r="AQ13" s="56">
        <f t="shared" si="22"/>
        <v>0.16963958745314245</v>
      </c>
      <c r="AR13" s="56">
        <f t="shared" si="22"/>
        <v>0.14501812645947032</v>
      </c>
      <c r="AS13" s="56">
        <f t="shared" si="22"/>
        <v>0.17352299668089133</v>
      </c>
      <c r="AT13" s="56">
        <f t="shared" si="22"/>
        <v>0.19942635296094235</v>
      </c>
      <c r="AU13" s="56">
        <f t="shared" ref="AU13:AW13" si="23">AU8/AQ8-1</f>
        <v>0.17422168079377442</v>
      </c>
      <c r="AV13" s="56">
        <f t="shared" si="23"/>
        <v>0.21228936975713086</v>
      </c>
      <c r="AW13" s="56">
        <f t="shared" si="23"/>
        <v>0.20763702578358179</v>
      </c>
      <c r="AX13" s="34"/>
      <c r="AY13" s="34"/>
      <c r="AZ13" s="34"/>
      <c r="BA13" s="34"/>
      <c r="BB13" s="34"/>
      <c r="BQ13" s="56">
        <f t="shared" ref="BQ13:BT13" si="24">BQ8/BP8-1</f>
        <v>0.18027734976887522</v>
      </c>
      <c r="BR13" s="56">
        <f t="shared" si="24"/>
        <v>0.26078658907717411</v>
      </c>
      <c r="BS13" s="56">
        <f t="shared" si="24"/>
        <v>0.21338416594290366</v>
      </c>
      <c r="BT13" s="56">
        <f t="shared" si="24"/>
        <v>0.17134836160818034</v>
      </c>
      <c r="BU13" s="56">
        <f>BU8/BT8-1</f>
        <v>0.17243535717630176</v>
      </c>
      <c r="BV13" s="34"/>
      <c r="BW13" s="34"/>
      <c r="BX13" s="34"/>
      <c r="BY13" s="34"/>
      <c r="BZ13" s="34"/>
      <c r="CA13" s="34"/>
      <c r="CB13" s="34"/>
      <c r="CC13" s="34"/>
      <c r="CD13" s="34"/>
      <c r="CE13" s="34"/>
      <c r="CF13" s="34"/>
      <c r="CG13" s="34"/>
      <c r="CH13" s="34"/>
      <c r="CI13" s="34"/>
      <c r="CJ13" s="34"/>
      <c r="CK13" s="34"/>
      <c r="CL13" s="34"/>
      <c r="CM13" s="34"/>
      <c r="CN13" s="34"/>
      <c r="CO13" s="34"/>
      <c r="CP13" s="34"/>
      <c r="CQ13" s="34"/>
      <c r="CR13" s="34"/>
      <c r="CS13" s="34"/>
      <c r="CT13" s="34"/>
      <c r="CU13" s="34"/>
      <c r="CV13" s="34"/>
      <c r="CW13" s="34"/>
      <c r="CX13" s="34"/>
      <c r="CY13" s="34"/>
      <c r="CZ13" s="34"/>
      <c r="DA13" s="34"/>
      <c r="DB13" s="34"/>
      <c r="DC13" s="34"/>
      <c r="DD13" s="34"/>
      <c r="DE13" s="34"/>
      <c r="DF13" s="34"/>
      <c r="DG13" s="34"/>
      <c r="DH13" s="34"/>
      <c r="DI13" s="34"/>
      <c r="DJ13" s="34"/>
      <c r="DK13" s="34"/>
      <c r="DL13" s="34"/>
      <c r="DM13" s="34"/>
      <c r="DN13" s="34"/>
      <c r="DO13" s="34"/>
      <c r="DP13" s="34"/>
      <c r="DQ13" s="34"/>
      <c r="DR13" s="34"/>
      <c r="DS13" s="34"/>
      <c r="DT13" s="34"/>
      <c r="DU13" s="34"/>
      <c r="DV13" s="34"/>
      <c r="DW13" s="34"/>
      <c r="DX13" s="34"/>
      <c r="DY13" s="34"/>
      <c r="DZ13" s="34"/>
      <c r="EA13" s="34"/>
      <c r="EB13" s="34"/>
      <c r="EC13" s="34"/>
    </row>
    <row r="14" spans="2:136">
      <c r="AV14" s="53"/>
      <c r="AW14" s="53"/>
    </row>
    <row r="15" spans="2:136">
      <c r="B15" s="36" t="s">
        <v>1415</v>
      </c>
      <c r="W15" s="55">
        <f t="shared" ref="W15:AT15" si="25">W4/$AU$8</f>
        <v>0.27208249301892645</v>
      </c>
      <c r="X15" s="55">
        <f t="shared" si="25"/>
        <v>0.29316630468507604</v>
      </c>
      <c r="Y15" s="55">
        <f t="shared" si="25"/>
        <v>0.30552862240148931</v>
      </c>
      <c r="Z15" s="55">
        <f t="shared" si="25"/>
        <v>0.3206833695314924</v>
      </c>
      <c r="AA15" s="55">
        <f t="shared" si="25"/>
        <v>0.33141192212224641</v>
      </c>
      <c r="AB15" s="55">
        <f t="shared" si="25"/>
        <v>0.34273192677629538</v>
      </c>
      <c r="AC15" s="55">
        <f t="shared" si="25"/>
        <v>0.36771835246664597</v>
      </c>
      <c r="AD15" s="55">
        <f t="shared" si="25"/>
        <v>0.39253994725411107</v>
      </c>
      <c r="AE15" s="55">
        <f t="shared" si="25"/>
        <v>0.41176698727893274</v>
      </c>
      <c r="AF15" s="55">
        <f t="shared" si="25"/>
        <v>0.44215889699038163</v>
      </c>
      <c r="AG15" s="55">
        <f t="shared" si="25"/>
        <v>0.47952218430034133</v>
      </c>
      <c r="AH15" s="55">
        <f t="shared" si="25"/>
        <v>0.50558001085944759</v>
      </c>
      <c r="AI15" s="55">
        <f t="shared" si="25"/>
        <v>0.51931430344399632</v>
      </c>
      <c r="AJ15" s="55">
        <f t="shared" si="25"/>
        <v>0.54953168631709592</v>
      </c>
      <c r="AK15" s="55">
        <f t="shared" si="25"/>
        <v>0.57492534129692829</v>
      </c>
      <c r="AL15" s="55">
        <f t="shared" si="25"/>
        <v>0.61021854638535522</v>
      </c>
      <c r="AM15" s="55">
        <f t="shared" si="25"/>
        <v>0.62860688799255349</v>
      </c>
      <c r="AN15" s="55">
        <f t="shared" si="25"/>
        <v>0.66306624263108904</v>
      </c>
      <c r="AO15" s="55">
        <f t="shared" si="25"/>
        <v>0.69530038008067019</v>
      </c>
      <c r="AP15" s="55">
        <f t="shared" si="25"/>
        <v>0.72131942289792128</v>
      </c>
      <c r="AQ15" s="55">
        <f t="shared" si="25"/>
        <v>0.75133319112627994</v>
      </c>
      <c r="AR15" s="55">
        <f t="shared" si="25"/>
        <v>0.7792380933912505</v>
      </c>
      <c r="AS15" s="55">
        <f t="shared" si="25"/>
        <v>0.82917216103009617</v>
      </c>
      <c r="AT15" s="55">
        <f t="shared" si="25"/>
        <v>0.87698281880235773</v>
      </c>
      <c r="AU15" s="55">
        <f>AU4/$AU$8</f>
        <v>0.89935618988520016</v>
      </c>
      <c r="AV15" s="55">
        <f>AV4/$AU$8</f>
        <v>0.96097870772572147</v>
      </c>
      <c r="AW15" s="55">
        <f>AW4/$AU$8</f>
        <v>1.0159401179025753</v>
      </c>
      <c r="BP15" s="55">
        <f t="shared" ref="BP15:BT15" si="26">BP4/BP8</f>
        <v>0.82501653289290389</v>
      </c>
      <c r="BQ15" s="55">
        <f t="shared" si="26"/>
        <v>0.8415302877751043</v>
      </c>
      <c r="BR15" s="55">
        <f t="shared" si="26"/>
        <v>0.85574743111091056</v>
      </c>
      <c r="BS15" s="55">
        <f t="shared" si="26"/>
        <v>0.86439228445270744</v>
      </c>
      <c r="BT15" s="55">
        <f t="shared" si="26"/>
        <v>0.88668320532538458</v>
      </c>
      <c r="BU15" s="55">
        <f>BU4/BU8</f>
        <v>0.90383657334705148</v>
      </c>
    </row>
    <row r="16" spans="2:136">
      <c r="B16" s="36" t="s">
        <v>1407</v>
      </c>
      <c r="W16" s="55">
        <f t="shared" ref="W16:AT16" si="27">W5/$AU$8</f>
        <v>5.5315311821284519E-2</v>
      </c>
      <c r="X16" s="55">
        <f t="shared" si="27"/>
        <v>4.6162348743406766E-2</v>
      </c>
      <c r="Y16" s="55">
        <f t="shared" si="27"/>
        <v>3.7654165373875274E-2</v>
      </c>
      <c r="Z16" s="55">
        <f t="shared" si="27"/>
        <v>4.8649356189885203E-2</v>
      </c>
      <c r="AA16" s="55">
        <f t="shared" si="27"/>
        <v>6.5117902575240458E-2</v>
      </c>
      <c r="AB16" s="55">
        <f t="shared" si="27"/>
        <v>4.0301155755507294E-2</v>
      </c>
      <c r="AC16" s="55">
        <f t="shared" si="27"/>
        <v>3.7804452373565001E-2</v>
      </c>
      <c r="AD16" s="55">
        <f t="shared" si="27"/>
        <v>4.1154398076326391E-2</v>
      </c>
      <c r="AE16" s="55">
        <f t="shared" si="27"/>
        <v>7.0227660564691291E-2</v>
      </c>
      <c r="AF16" s="55">
        <f t="shared" si="27"/>
        <v>4.8814187092770717E-2</v>
      </c>
      <c r="AG16" s="55">
        <f t="shared" si="27"/>
        <v>4.3646253490536767E-2</v>
      </c>
      <c r="AH16" s="55">
        <f t="shared" si="27"/>
        <v>5.4321478436239523E-2</v>
      </c>
      <c r="AI16" s="55">
        <f t="shared" si="27"/>
        <v>8.5775093080980469E-2</v>
      </c>
      <c r="AJ16" s="55">
        <f t="shared" si="27"/>
        <v>6.5529979832454233E-2</v>
      </c>
      <c r="AK16" s="55">
        <f t="shared" si="27"/>
        <v>5.1553288861309346E-2</v>
      </c>
      <c r="AL16" s="55">
        <f t="shared" si="27"/>
        <v>6.3275674837108289E-2</v>
      </c>
      <c r="AM16" s="55">
        <f t="shared" si="27"/>
        <v>8.112104405833076E-2</v>
      </c>
      <c r="AN16" s="55">
        <f t="shared" si="27"/>
        <v>6.9961022339435311E-2</v>
      </c>
      <c r="AO16" s="55">
        <f t="shared" si="27"/>
        <v>5.6018267142413904E-2</v>
      </c>
      <c r="AP16" s="55">
        <f t="shared" si="27"/>
        <v>6.8361192987899472E-2</v>
      </c>
      <c r="AQ16" s="55">
        <f t="shared" si="27"/>
        <v>8.5290296307787783E-2</v>
      </c>
      <c r="AR16" s="55">
        <f t="shared" si="27"/>
        <v>6.8002443375736896E-2</v>
      </c>
      <c r="AS16" s="55">
        <f t="shared" si="27"/>
        <v>5.6745462302202919E-2</v>
      </c>
      <c r="AT16" s="55">
        <f t="shared" si="27"/>
        <v>7.4978668941979534E-2</v>
      </c>
      <c r="AU16" s="55">
        <f t="shared" ref="AU16:AV17" si="28">AU5/$AU$8</f>
        <v>8.6972541110766383E-2</v>
      </c>
      <c r="AV16" s="55">
        <f t="shared" si="28"/>
        <v>7.0305228048402113E-2</v>
      </c>
      <c r="AW16" s="55">
        <f t="shared" ref="AW16" si="29">AW5/$AU$8</f>
        <v>5.7060580204778159E-2</v>
      </c>
      <c r="BP16" s="55">
        <f t="shared" ref="BP16:BT16" si="30">BP5/BP8</f>
        <v>0.13002742613909116</v>
      </c>
      <c r="BQ16" s="55">
        <f t="shared" si="30"/>
        <v>0.10817021905948337</v>
      </c>
      <c r="BR16" s="55">
        <f t="shared" si="30"/>
        <v>0.10098018204992273</v>
      </c>
      <c r="BS16" s="55">
        <f t="shared" si="30"/>
        <v>0.10206088775273066</v>
      </c>
      <c r="BT16" s="55">
        <f t="shared" si="30"/>
        <v>9.0184893316128056E-2</v>
      </c>
      <c r="BU16" s="55">
        <f>BU5/BU8</f>
        <v>7.9589267341744735E-2</v>
      </c>
    </row>
    <row r="17" spans="2:133">
      <c r="B17" s="36" t="s">
        <v>1408</v>
      </c>
      <c r="W17" s="55">
        <f t="shared" ref="W17:AT17" si="31">W6/$AU$8</f>
        <v>1.1780561588582067E-2</v>
      </c>
      <c r="X17" s="55">
        <f t="shared" si="31"/>
        <v>1.6919407384424451E-2</v>
      </c>
      <c r="Y17" s="55">
        <f t="shared" si="31"/>
        <v>1.6434610611231772E-2</v>
      </c>
      <c r="Z17" s="55">
        <f t="shared" si="31"/>
        <v>1.9789404281725098E-2</v>
      </c>
      <c r="AA17" s="55">
        <f t="shared" si="31"/>
        <v>1.9430654669562519E-2</v>
      </c>
      <c r="AB17" s="55">
        <f t="shared" si="31"/>
        <v>2.3517491467576791E-2</v>
      </c>
      <c r="AC17" s="55">
        <f t="shared" si="31"/>
        <v>2.1578304374806082E-2</v>
      </c>
      <c r="AD17" s="55">
        <f t="shared" si="31"/>
        <v>2.1209858827179646E-2</v>
      </c>
      <c r="AE17" s="55">
        <f t="shared" si="31"/>
        <v>2.3270245113248527E-2</v>
      </c>
      <c r="AF17" s="55">
        <f t="shared" si="31"/>
        <v>2.0909284827800186E-2</v>
      </c>
      <c r="AG17" s="55">
        <f t="shared" si="31"/>
        <v>2.3163589823146136E-2</v>
      </c>
      <c r="AH17" s="55">
        <f t="shared" si="31"/>
        <v>2.5650597269624577E-2</v>
      </c>
      <c r="AI17" s="55">
        <f t="shared" si="31"/>
        <v>2.3565971144896058E-2</v>
      </c>
      <c r="AJ17" s="55">
        <f t="shared" si="31"/>
        <v>2.2683641017685389E-2</v>
      </c>
      <c r="AK17" s="55">
        <f t="shared" si="31"/>
        <v>1.7569035060502638E-2</v>
      </c>
      <c r="AL17" s="55">
        <f t="shared" si="31"/>
        <v>2.3658082531802672E-2</v>
      </c>
      <c r="AM17" s="55">
        <f t="shared" si="31"/>
        <v>1.8383493639466335E-2</v>
      </c>
      <c r="AN17" s="55">
        <f t="shared" si="31"/>
        <v>1.8514388768228359E-2</v>
      </c>
      <c r="AO17" s="55">
        <f t="shared" si="31"/>
        <v>1.5508648774433757E-2</v>
      </c>
      <c r="AP17" s="55">
        <f t="shared" si="31"/>
        <v>1.8247750542972393E-2</v>
      </c>
      <c r="AQ17" s="55">
        <f t="shared" si="31"/>
        <v>1.5004460130313374E-2</v>
      </c>
      <c r="AR17" s="55">
        <f t="shared" si="31"/>
        <v>1.3288279553211295E-2</v>
      </c>
      <c r="AS17" s="55">
        <f t="shared" si="31"/>
        <v>1.3971843003412971E-2</v>
      </c>
      <c r="AT17" s="55">
        <f t="shared" si="31"/>
        <v>1.708908625504189E-2</v>
      </c>
      <c r="AU17" s="55">
        <f t="shared" si="28"/>
        <v>1.3671269004033509E-2</v>
      </c>
      <c r="AV17" s="55">
        <f t="shared" si="28"/>
        <v>1.192600062053987E-2</v>
      </c>
      <c r="AW17" s="55">
        <f t="shared" ref="AW17" si="32">AW6/$AU$8</f>
        <v>1.3739140552280486E-2</v>
      </c>
      <c r="BP17" s="55">
        <f t="shared" ref="BP17:BT17" si="33">BP6/BP8</f>
        <v>4.4956040968005082E-2</v>
      </c>
      <c r="BQ17" s="55">
        <f t="shared" si="33"/>
        <v>5.0299493165412379E-2</v>
      </c>
      <c r="BR17" s="55">
        <f t="shared" si="33"/>
        <v>4.3272386839166677E-2</v>
      </c>
      <c r="BS17" s="55">
        <f t="shared" si="33"/>
        <v>3.3546827794561931E-2</v>
      </c>
      <c r="BT17" s="55">
        <f t="shared" si="33"/>
        <v>2.3131901358487333E-2</v>
      </c>
      <c r="BU17" s="55">
        <f>BU6/BU8</f>
        <v>1.6574159311203769E-2</v>
      </c>
    </row>
    <row r="18" spans="2:133">
      <c r="AV18" s="53"/>
      <c r="AW18" s="53"/>
      <c r="BU18" s="53"/>
    </row>
    <row r="19" spans="2:133">
      <c r="B19" s="88" t="s">
        <v>1409</v>
      </c>
      <c r="AA19" s="51"/>
      <c r="AB19" s="51"/>
      <c r="AC19" s="51"/>
      <c r="AD19" s="51"/>
      <c r="AE19" s="51"/>
      <c r="AF19" s="51"/>
      <c r="AG19" s="51"/>
      <c r="AH19" s="49"/>
      <c r="AI19" s="51"/>
      <c r="AJ19" s="51"/>
      <c r="AK19" s="51"/>
      <c r="AL19" s="49"/>
      <c r="AM19" s="51"/>
      <c r="AN19" s="51"/>
      <c r="AO19" s="51"/>
      <c r="AP19" s="49"/>
      <c r="AQ19" s="51">
        <f>128.473+18.227</f>
        <v>146.70000000000002</v>
      </c>
      <c r="AR19" s="51">
        <f>132.228+15.076</f>
        <v>147.304</v>
      </c>
      <c r="AS19" s="51">
        <f>138.833+13.35</f>
        <v>152.18299999999999</v>
      </c>
      <c r="AT19" s="49">
        <f>545.772+63.601-SUM(AQ19:AS19)</f>
        <v>163.18600000000004</v>
      </c>
      <c r="AU19" s="51">
        <f>149.336+36.176</f>
        <v>185.512</v>
      </c>
      <c r="AV19" s="53">
        <f>156.916+14.946</f>
        <v>171.86199999999999</v>
      </c>
      <c r="AW19" s="53">
        <f>164.847+12.809</f>
        <v>177.65600000000001</v>
      </c>
      <c r="BP19" s="53"/>
      <c r="BQ19" s="53"/>
      <c r="BR19" s="53"/>
      <c r="BS19" s="53"/>
      <c r="BT19" s="53"/>
      <c r="BU19" s="53">
        <f t="shared" ref="BU19" si="34">SUM(AQ19:AT19)</f>
        <v>609.37300000000005</v>
      </c>
    </row>
    <row r="20" spans="2:133">
      <c r="B20" s="88" t="s">
        <v>1410</v>
      </c>
      <c r="AA20" s="51"/>
      <c r="AB20" s="51"/>
      <c r="AC20" s="51"/>
      <c r="AD20" s="51"/>
      <c r="AE20" s="51"/>
      <c r="AF20" s="51"/>
      <c r="AG20" s="51"/>
      <c r="AH20" s="49"/>
      <c r="AI20" s="51"/>
      <c r="AJ20" s="51"/>
      <c r="AK20" s="51"/>
      <c r="AL20" s="49"/>
      <c r="AM20" s="51"/>
      <c r="AN20" s="51"/>
      <c r="AO20" s="51"/>
      <c r="AP20" s="49"/>
      <c r="AQ20" s="51">
        <f>26.506+2.461</f>
        <v>28.966999999999999</v>
      </c>
      <c r="AR20" s="51">
        <f>28.507+1.692</f>
        <v>30.199000000000002</v>
      </c>
      <c r="AS20" s="51">
        <f>32.202+1.22</f>
        <v>33.421999999999997</v>
      </c>
      <c r="AT20" s="49">
        <f>121.874+7.433-SUM(AQ20:AS20)</f>
        <v>36.718999999999994</v>
      </c>
      <c r="AU20" s="51">
        <f>18.379+2.389</f>
        <v>20.768000000000001</v>
      </c>
      <c r="AV20" s="53">
        <f>41.307+2.018</f>
        <v>43.325000000000003</v>
      </c>
      <c r="AW20" s="53">
        <f>44.713+1.797</f>
        <v>46.51</v>
      </c>
      <c r="BP20" s="53"/>
      <c r="BQ20" s="53"/>
      <c r="BR20" s="53"/>
      <c r="BS20" s="53"/>
      <c r="BT20" s="53"/>
      <c r="BU20" s="53">
        <f t="shared" ref="BU20" si="35">SUM(AQ20:AT20)</f>
        <v>129.30699999999999</v>
      </c>
    </row>
    <row r="21" spans="2:133" s="2" customFormat="1" ht="15">
      <c r="B21" s="2" t="s">
        <v>97</v>
      </c>
      <c r="AA21" s="52"/>
      <c r="AB21" s="52"/>
      <c r="AC21" s="52"/>
      <c r="AD21" s="52"/>
      <c r="AE21" s="52"/>
      <c r="AF21" s="52"/>
      <c r="AG21" s="52"/>
      <c r="AH21" s="52"/>
      <c r="AI21" s="52"/>
      <c r="AJ21" s="52"/>
      <c r="AK21" s="52"/>
      <c r="AL21" s="52"/>
      <c r="AM21" s="52"/>
      <c r="AN21" s="52"/>
      <c r="AO21" s="52"/>
      <c r="AP21" s="52"/>
      <c r="AQ21" s="52">
        <f t="shared" ref="AQ21:AT21" si="36">SUM(AQ19:AQ20)</f>
        <v>175.66700000000003</v>
      </c>
      <c r="AR21" s="52">
        <f t="shared" si="36"/>
        <v>177.50300000000001</v>
      </c>
      <c r="AS21" s="52">
        <f t="shared" si="36"/>
        <v>185.60499999999999</v>
      </c>
      <c r="AT21" s="52">
        <f t="shared" si="36"/>
        <v>199.90500000000003</v>
      </c>
      <c r="AU21" s="52">
        <f>SUM(AU19:AU20)</f>
        <v>206.28</v>
      </c>
      <c r="AV21" s="52">
        <f>SUM(AV19:AV20)</f>
        <v>215.18700000000001</v>
      </c>
      <c r="AW21" s="52">
        <f>SUM(AW19:AW20)</f>
        <v>224.166</v>
      </c>
      <c r="AX21" s="34"/>
      <c r="AY21" s="34"/>
      <c r="AZ21" s="34"/>
      <c r="BA21" s="34"/>
      <c r="BB21" s="34"/>
      <c r="BU21" s="54">
        <f>SUM(BU19:BU20)</f>
        <v>738.68000000000006</v>
      </c>
      <c r="BV21" s="34"/>
      <c r="BW21" s="34"/>
      <c r="BX21" s="34"/>
      <c r="BY21" s="34"/>
      <c r="BZ21" s="34"/>
      <c r="CA21" s="34"/>
      <c r="CB21" s="34"/>
      <c r="CC21" s="34"/>
      <c r="CD21" s="34"/>
      <c r="CE21" s="34"/>
      <c r="CF21" s="34"/>
      <c r="CG21" s="34"/>
      <c r="CH21" s="34"/>
      <c r="CI21" s="34"/>
      <c r="CJ21" s="34"/>
      <c r="CK21" s="34"/>
      <c r="CL21" s="34"/>
      <c r="CM21" s="34"/>
      <c r="CN21" s="34"/>
      <c r="CO21" s="34"/>
      <c r="CP21" s="34"/>
      <c r="CQ21" s="34"/>
      <c r="CR21" s="34"/>
      <c r="CS21" s="34"/>
      <c r="CT21" s="34"/>
      <c r="CU21" s="34"/>
      <c r="CV21" s="34"/>
      <c r="CW21" s="34"/>
      <c r="CX21" s="34"/>
      <c r="CY21" s="34"/>
      <c r="CZ21" s="34"/>
      <c r="DA21" s="34"/>
      <c r="DB21" s="34"/>
      <c r="DC21" s="34"/>
      <c r="DD21" s="34"/>
      <c r="DE21" s="34"/>
      <c r="DF21" s="34"/>
      <c r="DG21" s="34"/>
      <c r="DH21" s="34"/>
      <c r="DI21" s="34"/>
      <c r="DJ21" s="34"/>
      <c r="DK21" s="34"/>
      <c r="DL21" s="34"/>
      <c r="DM21" s="34"/>
      <c r="DN21" s="34"/>
      <c r="DO21" s="34"/>
      <c r="DP21" s="34"/>
      <c r="DQ21" s="34"/>
      <c r="DR21" s="34"/>
      <c r="DS21" s="34"/>
      <c r="DT21" s="34"/>
      <c r="DU21" s="34"/>
      <c r="DV21" s="34"/>
      <c r="DW21" s="34"/>
      <c r="DX21" s="34"/>
      <c r="DY21" s="34"/>
      <c r="DZ21" s="34"/>
      <c r="EA21" s="34"/>
      <c r="EB21" s="34"/>
      <c r="EC21" s="34"/>
    </row>
    <row r="22" spans="2:133">
      <c r="AV22" s="53"/>
      <c r="AW22" s="53"/>
    </row>
    <row r="23" spans="2:133">
      <c r="B23" s="88" t="s">
        <v>1411</v>
      </c>
      <c r="AU23" s="55">
        <f t="shared" ref="AU23:AV23" si="37">AU19/AQ19-1</f>
        <v>0.26456714383094737</v>
      </c>
      <c r="AV23" s="55">
        <f t="shared" si="37"/>
        <v>0.16671645033400306</v>
      </c>
      <c r="AW23" s="55">
        <f>AW19/AS19-1</f>
        <v>0.16738400478371451</v>
      </c>
    </row>
    <row r="24" spans="2:133">
      <c r="B24" s="88" t="s">
        <v>1412</v>
      </c>
      <c r="AU24" s="55">
        <f t="shared" ref="AU24:AV24" si="38">AU20/AQ20-1</f>
        <v>-0.2830462250146718</v>
      </c>
      <c r="AV24" s="55">
        <f t="shared" si="38"/>
        <v>0.43465015397860851</v>
      </c>
      <c r="AW24" s="55">
        <f>AW20/AS20-1</f>
        <v>0.3915983483932739</v>
      </c>
    </row>
    <row r="25" spans="2:133">
      <c r="B25" s="1" t="s">
        <v>1406</v>
      </c>
      <c r="AU25" s="55">
        <f t="shared" ref="AU25:AV25" si="39">AU21/AQ21-1</f>
        <v>0.17426722150432328</v>
      </c>
      <c r="AV25" s="55">
        <f t="shared" si="39"/>
        <v>0.2123006371723295</v>
      </c>
      <c r="AW25" s="55">
        <f>AW21/AS21-1</f>
        <v>0.20775841168071985</v>
      </c>
    </row>
    <row r="26" spans="2:133">
      <c r="AV26" s="53"/>
      <c r="AW26" s="53"/>
    </row>
    <row r="27" spans="2:133">
      <c r="B27" s="36" t="s">
        <v>1413</v>
      </c>
      <c r="AQ27" s="55">
        <f t="shared" ref="AQ27:AT27" si="40">AQ19/AQ21</f>
        <v>0.83510277969112012</v>
      </c>
      <c r="AR27" s="55">
        <f t="shared" si="40"/>
        <v>0.82986766420849223</v>
      </c>
      <c r="AS27" s="55">
        <f t="shared" si="40"/>
        <v>0.81992942000484903</v>
      </c>
      <c r="AT27" s="55">
        <f t="shared" si="40"/>
        <v>0.81631775093169257</v>
      </c>
      <c r="AU27" s="55">
        <f>AU19/AU21</f>
        <v>0.8993213108396354</v>
      </c>
      <c r="AV27" s="55">
        <f>AV19/AV21</f>
        <v>0.79866348803598719</v>
      </c>
      <c r="AW27" s="55">
        <f>AW19/AW21</f>
        <v>0.79251982905525376</v>
      </c>
    </row>
    <row r="28" spans="2:133">
      <c r="B28" s="88" t="s">
        <v>1414</v>
      </c>
      <c r="AQ28" s="55">
        <f t="shared" ref="AQ28:AT28" si="41">AQ20/AQ21</f>
        <v>0.16489722030887982</v>
      </c>
      <c r="AR28" s="55">
        <f t="shared" si="41"/>
        <v>0.17013233579150774</v>
      </c>
      <c r="AS28" s="55">
        <f t="shared" si="41"/>
        <v>0.180070579995151</v>
      </c>
      <c r="AT28" s="55">
        <f t="shared" si="41"/>
        <v>0.18368224906830738</v>
      </c>
      <c r="AU28" s="55">
        <f>AU20/AU21</f>
        <v>0.10067868916036456</v>
      </c>
      <c r="AV28" s="55">
        <f>AV20/AV21</f>
        <v>0.2013365119640127</v>
      </c>
      <c r="AW28" s="55">
        <f>AW20/AW21</f>
        <v>0.2074801709447463</v>
      </c>
    </row>
    <row r="30" spans="2:133">
      <c r="B30" s="36" t="s">
        <v>1417</v>
      </c>
      <c r="W30" s="53">
        <f t="shared" ref="W30:AT30" si="42">W4</f>
        <v>56.122999999999998</v>
      </c>
      <c r="X30" s="53">
        <f t="shared" si="42"/>
        <v>60.472000000000001</v>
      </c>
      <c r="Y30" s="53">
        <f t="shared" si="42"/>
        <v>63.021999999999998</v>
      </c>
      <c r="Z30" s="53">
        <f t="shared" si="42"/>
        <v>66.147999999999996</v>
      </c>
      <c r="AA30" s="53">
        <f t="shared" si="42"/>
        <v>68.361000000000004</v>
      </c>
      <c r="AB30" s="53">
        <f t="shared" si="42"/>
        <v>70.695999999999998</v>
      </c>
      <c r="AC30" s="53">
        <f t="shared" si="42"/>
        <v>75.849999999999994</v>
      </c>
      <c r="AD30" s="53">
        <f t="shared" si="42"/>
        <v>80.97</v>
      </c>
      <c r="AE30" s="53">
        <f t="shared" si="42"/>
        <v>84.936000000000007</v>
      </c>
      <c r="AF30" s="53">
        <f t="shared" si="42"/>
        <v>91.204999999999998</v>
      </c>
      <c r="AG30" s="53">
        <f t="shared" si="42"/>
        <v>98.912000000000006</v>
      </c>
      <c r="AH30" s="53">
        <f t="shared" si="42"/>
        <v>104.28699999999998</v>
      </c>
      <c r="AI30" s="53">
        <f t="shared" si="42"/>
        <v>107.12</v>
      </c>
      <c r="AJ30" s="53">
        <f t="shared" si="42"/>
        <v>113.35299999999999</v>
      </c>
      <c r="AK30" s="53">
        <f t="shared" si="42"/>
        <v>118.59099999999999</v>
      </c>
      <c r="AL30" s="53">
        <f t="shared" si="42"/>
        <v>125.87099999999998</v>
      </c>
      <c r="AM30" s="53">
        <f t="shared" si="42"/>
        <v>129.66399999999999</v>
      </c>
      <c r="AN30" s="53">
        <f t="shared" si="42"/>
        <v>136.77199999999999</v>
      </c>
      <c r="AO30" s="53">
        <f t="shared" si="42"/>
        <v>143.42099999999999</v>
      </c>
      <c r="AP30" s="53">
        <f t="shared" si="42"/>
        <v>148.78800000000001</v>
      </c>
      <c r="AQ30" s="53">
        <f t="shared" si="42"/>
        <v>154.97900000000001</v>
      </c>
      <c r="AR30" s="53">
        <f t="shared" si="42"/>
        <v>160.73500000000001</v>
      </c>
      <c r="AS30" s="53">
        <f t="shared" si="42"/>
        <v>171.035</v>
      </c>
      <c r="AT30" s="53">
        <f t="shared" si="42"/>
        <v>180.89699999999993</v>
      </c>
      <c r="AU30" s="53">
        <f>AU4</f>
        <v>185.512</v>
      </c>
      <c r="AV30" s="53">
        <v>198.22300000000001</v>
      </c>
      <c r="AW30" s="53">
        <f>AW4</f>
        <v>209.56</v>
      </c>
      <c r="BP30" s="53">
        <f t="shared" ref="BP30:BP46" si="43">SUM(W30:Z30)</f>
        <v>245.76499999999999</v>
      </c>
      <c r="BQ30" s="53">
        <f t="shared" ref="BQ30:BQ46" si="44">SUM(AA30:AD30)</f>
        <v>295.87700000000001</v>
      </c>
      <c r="BR30" s="53">
        <f t="shared" ref="BR30:BR46" si="45">SUM(AE30:AH30)</f>
        <v>379.34</v>
      </c>
      <c r="BS30" s="53">
        <f t="shared" ref="BS30:BS46" si="46">SUM(AI30:AL30)</f>
        <v>464.935</v>
      </c>
      <c r="BT30" s="53">
        <f t="shared" ref="BT30:BT46" si="47">SUM(AM30:AP30)</f>
        <v>558.64499999999998</v>
      </c>
      <c r="BU30" s="53">
        <f t="shared" ref="BU30:BU46" si="48">SUM(AQ30:AT30)</f>
        <v>667.64599999999996</v>
      </c>
    </row>
    <row r="31" spans="2:133">
      <c r="B31" s="36" t="s">
        <v>1419</v>
      </c>
      <c r="W31" s="53">
        <f t="shared" ref="W31:AT31" si="49">SUM(W7)</f>
        <v>13.84</v>
      </c>
      <c r="X31" s="53">
        <f t="shared" si="49"/>
        <v>13.012</v>
      </c>
      <c r="Y31" s="53">
        <f t="shared" si="49"/>
        <v>11.157</v>
      </c>
      <c r="Z31" s="53">
        <f t="shared" si="49"/>
        <v>14.116999999999999</v>
      </c>
      <c r="AA31" s="53">
        <f t="shared" si="49"/>
        <v>17.440000000000001</v>
      </c>
      <c r="AB31" s="53">
        <f t="shared" si="49"/>
        <v>13.164000000000001</v>
      </c>
      <c r="AC31" s="53">
        <f t="shared" si="49"/>
        <v>12.248999999999999</v>
      </c>
      <c r="AD31" s="53">
        <f t="shared" si="49"/>
        <v>12.863999999999997</v>
      </c>
      <c r="AE31" s="53">
        <f t="shared" si="49"/>
        <v>19.286000000000001</v>
      </c>
      <c r="AF31" s="53">
        <f t="shared" si="49"/>
        <v>14.382000000000001</v>
      </c>
      <c r="AG31" s="53">
        <f t="shared" si="49"/>
        <v>13.780999999999999</v>
      </c>
      <c r="AH31" s="53">
        <f t="shared" si="49"/>
        <v>16.495999999999999</v>
      </c>
      <c r="AI31" s="53">
        <f t="shared" si="49"/>
        <v>22.554000000000002</v>
      </c>
      <c r="AJ31" s="53">
        <f t="shared" si="49"/>
        <v>18.195999999999998</v>
      </c>
      <c r="AK31" s="53">
        <f t="shared" si="49"/>
        <v>14.258000000000001</v>
      </c>
      <c r="AL31" s="53">
        <f t="shared" si="49"/>
        <v>17.932000000000002</v>
      </c>
      <c r="AM31" s="53">
        <f t="shared" si="49"/>
        <v>20.524999999999999</v>
      </c>
      <c r="AN31" s="53">
        <f t="shared" si="49"/>
        <v>18.25</v>
      </c>
      <c r="AO31" s="53">
        <f t="shared" si="49"/>
        <v>14.754</v>
      </c>
      <c r="AP31" s="53">
        <f t="shared" si="49"/>
        <v>17.865000000000002</v>
      </c>
      <c r="AQ31" s="53">
        <f t="shared" si="49"/>
        <v>20.687999999999999</v>
      </c>
      <c r="AR31" s="53">
        <f t="shared" si="49"/>
        <v>16.768000000000001</v>
      </c>
      <c r="AS31" s="53">
        <f t="shared" si="49"/>
        <v>14.587</v>
      </c>
      <c r="AT31" s="53">
        <f t="shared" si="49"/>
        <v>18.991</v>
      </c>
      <c r="AU31" s="53">
        <f>SUM(AU7)</f>
        <v>20.76</v>
      </c>
      <c r="AV31" s="53">
        <v>16.96</v>
      </c>
      <c r="AW31" s="53">
        <f>AW7</f>
        <v>14.603999999999999</v>
      </c>
      <c r="BP31" s="53">
        <f t="shared" si="43"/>
        <v>52.125999999999998</v>
      </c>
      <c r="BQ31" s="53">
        <f t="shared" si="44"/>
        <v>55.716999999999999</v>
      </c>
      <c r="BR31" s="53">
        <f t="shared" si="45"/>
        <v>63.945000000000007</v>
      </c>
      <c r="BS31" s="53">
        <f t="shared" si="46"/>
        <v>72.94</v>
      </c>
      <c r="BT31" s="53">
        <f t="shared" si="47"/>
        <v>71.394000000000005</v>
      </c>
      <c r="BU31" s="53">
        <f t="shared" si="48"/>
        <v>71.034000000000006</v>
      </c>
    </row>
    <row r="32" spans="2:133" s="2" customFormat="1" ht="15">
      <c r="B32" s="2" t="s">
        <v>97</v>
      </c>
      <c r="C32" s="57">
        <v>28.1</v>
      </c>
      <c r="D32" s="57">
        <v>26.5</v>
      </c>
      <c r="E32" s="57">
        <v>27.9</v>
      </c>
      <c r="F32" s="57">
        <v>30.1</v>
      </c>
      <c r="G32" s="57">
        <v>35.200000000000003</v>
      </c>
      <c r="H32" s="57">
        <v>34</v>
      </c>
      <c r="I32" s="57">
        <v>36.299999999999997</v>
      </c>
      <c r="J32" s="57">
        <v>39.9</v>
      </c>
      <c r="K32" s="57">
        <v>44.6</v>
      </c>
      <c r="L32" s="57">
        <v>43</v>
      </c>
      <c r="M32" s="57">
        <v>44.7</v>
      </c>
      <c r="N32" s="57">
        <v>46.4</v>
      </c>
      <c r="O32" s="57">
        <v>51.9</v>
      </c>
      <c r="P32" s="57">
        <v>49.4</v>
      </c>
      <c r="Q32" s="57">
        <v>52.1</v>
      </c>
      <c r="R32" s="57">
        <v>54.5</v>
      </c>
      <c r="S32" s="57">
        <v>59.9</v>
      </c>
      <c r="T32" s="57">
        <v>59.1</v>
      </c>
      <c r="U32" s="57">
        <v>60.9</v>
      </c>
      <c r="V32" s="57">
        <v>64.400000000000006</v>
      </c>
      <c r="W32" s="54">
        <f t="shared" ref="W32:AT32" si="50">W8</f>
        <v>69.963000000000008</v>
      </c>
      <c r="X32" s="54">
        <f t="shared" si="50"/>
        <v>73.483999999999995</v>
      </c>
      <c r="Y32" s="54">
        <f t="shared" si="50"/>
        <v>74.179000000000002</v>
      </c>
      <c r="Z32" s="54">
        <f t="shared" si="50"/>
        <v>80.264999999999986</v>
      </c>
      <c r="AA32" s="54">
        <f t="shared" si="50"/>
        <v>85.801000000000002</v>
      </c>
      <c r="AB32" s="54">
        <f t="shared" si="50"/>
        <v>83.86</v>
      </c>
      <c r="AC32" s="54">
        <f t="shared" si="50"/>
        <v>88.09899999999999</v>
      </c>
      <c r="AD32" s="54">
        <f t="shared" si="50"/>
        <v>93.834000000000003</v>
      </c>
      <c r="AE32" s="54">
        <f t="shared" si="50"/>
        <v>104.22200000000001</v>
      </c>
      <c r="AF32" s="54">
        <f t="shared" si="50"/>
        <v>105.587</v>
      </c>
      <c r="AG32" s="54">
        <f t="shared" si="50"/>
        <v>112.69300000000001</v>
      </c>
      <c r="AH32" s="54">
        <f t="shared" si="50"/>
        <v>120.78299999999997</v>
      </c>
      <c r="AI32" s="54">
        <f t="shared" si="50"/>
        <v>129.67400000000001</v>
      </c>
      <c r="AJ32" s="54">
        <f t="shared" si="50"/>
        <v>131.54899999999998</v>
      </c>
      <c r="AK32" s="54">
        <f t="shared" si="50"/>
        <v>132.84899999999999</v>
      </c>
      <c r="AL32" s="54">
        <f t="shared" si="50"/>
        <v>143.80299999999997</v>
      </c>
      <c r="AM32" s="54">
        <f t="shared" si="50"/>
        <v>150.18899999999999</v>
      </c>
      <c r="AN32" s="54">
        <f t="shared" si="50"/>
        <v>155.02199999999999</v>
      </c>
      <c r="AO32" s="54">
        <f t="shared" si="50"/>
        <v>158.17500000000001</v>
      </c>
      <c r="AP32" s="54">
        <f t="shared" si="50"/>
        <v>166.65300000000002</v>
      </c>
      <c r="AQ32" s="54">
        <f t="shared" si="50"/>
        <v>175.667</v>
      </c>
      <c r="AR32" s="54">
        <f t="shared" si="50"/>
        <v>177.50300000000001</v>
      </c>
      <c r="AS32" s="54">
        <f t="shared" si="50"/>
        <v>185.62200000000001</v>
      </c>
      <c r="AT32" s="54">
        <f t="shared" si="50"/>
        <v>199.88799999999995</v>
      </c>
      <c r="AU32" s="54">
        <f>AU8</f>
        <v>206.27199999999999</v>
      </c>
      <c r="AV32" s="54">
        <f>AV8</f>
        <v>215.18500000000003</v>
      </c>
      <c r="AW32" s="54">
        <f>AW8</f>
        <v>224.16400000000002</v>
      </c>
      <c r="AX32" s="34">
        <v>233</v>
      </c>
      <c r="AY32" s="34">
        <v>239</v>
      </c>
      <c r="AZ32" s="34">
        <v>243</v>
      </c>
      <c r="BA32" s="34">
        <v>254</v>
      </c>
      <c r="BB32" s="34">
        <v>270</v>
      </c>
      <c r="BK32" s="2">
        <f t="shared" ref="BK32:BK48" si="51">SUM(C32:F32)</f>
        <v>112.6</v>
      </c>
      <c r="BL32" s="2">
        <f t="shared" ref="BL32:BL48" si="52">SUM(G32:J32)</f>
        <v>145.4</v>
      </c>
      <c r="BM32" s="2">
        <f t="shared" ref="BM32:BM48" si="53">SUM(K32:N32)</f>
        <v>178.70000000000002</v>
      </c>
      <c r="BN32" s="2">
        <f t="shared" ref="BN32:BN48" si="54">SUM(O32:R32)</f>
        <v>207.9</v>
      </c>
      <c r="BO32" s="2">
        <f t="shared" ref="BO32:BO48" si="55">SUM(S32:V32)</f>
        <v>244.3</v>
      </c>
      <c r="BP32" s="54">
        <f t="shared" si="43"/>
        <v>297.89099999999996</v>
      </c>
      <c r="BQ32" s="54">
        <f t="shared" si="44"/>
        <v>351.59399999999999</v>
      </c>
      <c r="BR32" s="54">
        <f t="shared" si="45"/>
        <v>443.28500000000003</v>
      </c>
      <c r="BS32" s="54">
        <f t="shared" si="46"/>
        <v>537.87499999999989</v>
      </c>
      <c r="BT32" s="54">
        <f t="shared" si="47"/>
        <v>630.03899999999999</v>
      </c>
      <c r="BU32" s="54">
        <f t="shared" si="48"/>
        <v>738.68</v>
      </c>
      <c r="BV32" s="34">
        <v>866</v>
      </c>
      <c r="BW32" s="34">
        <v>1010</v>
      </c>
      <c r="BX32" s="34"/>
      <c r="BY32" s="34"/>
      <c r="BZ32" s="34"/>
      <c r="CA32" s="34"/>
      <c r="CB32" s="34"/>
      <c r="CC32" s="34"/>
      <c r="CD32" s="34"/>
      <c r="CE32" s="34"/>
      <c r="CF32" s="34"/>
      <c r="CG32" s="34"/>
      <c r="CH32" s="34"/>
      <c r="CI32" s="34"/>
      <c r="CJ32" s="34"/>
      <c r="CK32" s="34"/>
      <c r="CL32" s="34"/>
      <c r="CM32" s="34"/>
      <c r="CN32" s="34"/>
      <c r="CO32" s="34"/>
      <c r="CP32" s="34"/>
      <c r="CQ32" s="34"/>
      <c r="CR32" s="34"/>
      <c r="CS32" s="34"/>
      <c r="CT32" s="34"/>
      <c r="CU32" s="34"/>
      <c r="CV32" s="34"/>
      <c r="CW32" s="34"/>
      <c r="CX32" s="34"/>
      <c r="CY32" s="34"/>
      <c r="CZ32" s="34"/>
      <c r="DA32" s="34"/>
      <c r="DB32" s="34"/>
      <c r="DC32" s="34"/>
      <c r="DD32" s="34"/>
      <c r="DE32" s="34"/>
      <c r="DF32" s="34"/>
      <c r="DG32" s="34"/>
      <c r="DH32" s="34"/>
      <c r="DI32" s="34"/>
      <c r="DJ32" s="34"/>
      <c r="DK32" s="34"/>
      <c r="DL32" s="34"/>
      <c r="DM32" s="34"/>
      <c r="DN32" s="34"/>
      <c r="DO32" s="34"/>
      <c r="DP32" s="34"/>
      <c r="DQ32" s="34"/>
      <c r="DR32" s="34"/>
      <c r="DS32" s="34"/>
      <c r="DT32" s="34"/>
      <c r="DU32" s="34"/>
      <c r="DV32" s="34"/>
      <c r="DW32" s="34"/>
      <c r="DX32" s="34"/>
      <c r="DY32" s="34"/>
      <c r="DZ32" s="34"/>
      <c r="EA32" s="34"/>
      <c r="EB32" s="34"/>
      <c r="EC32" s="34"/>
    </row>
    <row r="33" spans="2:133">
      <c r="B33" s="36" t="s">
        <v>1420</v>
      </c>
      <c r="C33" s="53"/>
      <c r="D33" s="53"/>
      <c r="E33" s="53"/>
      <c r="F33" s="53"/>
      <c r="G33" s="53"/>
      <c r="H33" s="53"/>
      <c r="I33" s="53"/>
      <c r="J33" s="53"/>
      <c r="K33" s="53"/>
      <c r="L33" s="53"/>
      <c r="M33" s="53"/>
      <c r="N33" s="53"/>
      <c r="O33" s="53"/>
      <c r="P33" s="53"/>
      <c r="Q33" s="53"/>
      <c r="R33" s="53"/>
      <c r="S33" s="53"/>
      <c r="T33" s="53"/>
      <c r="U33" s="53"/>
      <c r="V33" s="53"/>
      <c r="W33" s="53">
        <v>9.8089999999999993</v>
      </c>
      <c r="X33" s="53">
        <v>10.202</v>
      </c>
      <c r="Y33" s="53">
        <v>10.923999999999999</v>
      </c>
      <c r="Z33" s="53">
        <f>42.881-SUM(W33:Y33)</f>
        <v>11.946000000000002</v>
      </c>
      <c r="AA33" s="53">
        <v>12.153</v>
      </c>
      <c r="AB33" s="53">
        <v>12.098000000000001</v>
      </c>
      <c r="AC33" s="53">
        <v>12.013</v>
      </c>
      <c r="AD33" s="53">
        <f>49.503-SUM(AA33:AC33)</f>
        <v>13.238999999999997</v>
      </c>
      <c r="AE33" s="53">
        <v>13.202</v>
      </c>
      <c r="AF33" s="53">
        <v>14.098000000000001</v>
      </c>
      <c r="AG33" s="53">
        <v>15.606</v>
      </c>
      <c r="AH33" s="53">
        <f>60.551-SUM(AE33:AG33)</f>
        <v>17.645000000000003</v>
      </c>
      <c r="AI33" s="53">
        <v>18.533000000000001</v>
      </c>
      <c r="AJ33" s="53">
        <v>18.914999999999999</v>
      </c>
      <c r="AK33" s="53">
        <v>19.234999999999999</v>
      </c>
      <c r="AL33" s="53">
        <f>77.711-SUM(AI33:AK33)</f>
        <v>21.027999999999999</v>
      </c>
      <c r="AM33" s="53">
        <v>24.132999999999999</v>
      </c>
      <c r="AN33" s="53">
        <v>25.082999999999998</v>
      </c>
      <c r="AO33" s="53">
        <v>24.864000000000001</v>
      </c>
      <c r="AP33" s="53">
        <f>99.193-SUM(AM33:AO33)</f>
        <v>25.113</v>
      </c>
      <c r="AQ33" s="53">
        <v>27.927</v>
      </c>
      <c r="AR33" s="53">
        <v>27.945</v>
      </c>
      <c r="AS33" s="53">
        <v>30.620999999999999</v>
      </c>
      <c r="AT33" s="53">
        <f>118.697-SUM(AQ33:AS33)</f>
        <v>32.204000000000008</v>
      </c>
      <c r="AU33" s="53">
        <v>34.061999999999998</v>
      </c>
      <c r="AV33" s="53">
        <v>35.277000000000001</v>
      </c>
      <c r="AW33" s="53">
        <v>33.82</v>
      </c>
      <c r="BP33" s="53">
        <f t="shared" si="43"/>
        <v>42.881</v>
      </c>
      <c r="BQ33" s="53">
        <f t="shared" si="44"/>
        <v>49.503</v>
      </c>
      <c r="BR33" s="53">
        <f t="shared" si="45"/>
        <v>60.551000000000002</v>
      </c>
      <c r="BS33" s="53">
        <f t="shared" si="46"/>
        <v>77.710999999999999</v>
      </c>
      <c r="BT33" s="53">
        <f t="shared" si="47"/>
        <v>99.192999999999998</v>
      </c>
      <c r="BU33" s="53">
        <f t="shared" si="48"/>
        <v>118.697</v>
      </c>
    </row>
    <row r="34" spans="2:133">
      <c r="B34" s="36" t="s">
        <v>1421</v>
      </c>
      <c r="C34" s="53"/>
      <c r="D34" s="53"/>
      <c r="E34" s="53"/>
      <c r="F34" s="53"/>
      <c r="G34" s="53"/>
      <c r="H34" s="53"/>
      <c r="I34" s="53"/>
      <c r="J34" s="53"/>
      <c r="K34" s="53"/>
      <c r="L34" s="53"/>
      <c r="M34" s="53"/>
      <c r="N34" s="53"/>
      <c r="O34" s="53"/>
      <c r="P34" s="53"/>
      <c r="Q34" s="53"/>
      <c r="R34" s="53"/>
      <c r="S34" s="53"/>
      <c r="T34" s="53"/>
      <c r="U34" s="53"/>
      <c r="V34" s="53"/>
      <c r="W34" s="53">
        <v>9.7270000000000003</v>
      </c>
      <c r="X34" s="53">
        <v>10.475</v>
      </c>
      <c r="Y34" s="53">
        <v>10.827</v>
      </c>
      <c r="Z34" s="53">
        <f>42.131-SUM(W34:Y34)</f>
        <v>11.102000000000004</v>
      </c>
      <c r="AA34" s="53">
        <v>10.243</v>
      </c>
      <c r="AB34" s="53">
        <v>10.146000000000001</v>
      </c>
      <c r="AC34" s="53">
        <v>9.8729999999999993</v>
      </c>
      <c r="AD34" s="53">
        <f>40.674-SUM(AA34:AC34)</f>
        <v>10.411999999999999</v>
      </c>
      <c r="AE34" s="53">
        <v>10.474</v>
      </c>
      <c r="AF34" s="53">
        <v>10.493</v>
      </c>
      <c r="AG34" s="53">
        <v>10.798999999999999</v>
      </c>
      <c r="AH34" s="53">
        <f>43.282-SUM(AE34:AG34)</f>
        <v>11.515999999999998</v>
      </c>
      <c r="AI34" s="53">
        <v>12.34</v>
      </c>
      <c r="AJ34" s="53">
        <v>13.321999999999999</v>
      </c>
      <c r="AK34" s="53">
        <v>13.183999999999999</v>
      </c>
      <c r="AL34" s="53">
        <f>52.174-SUM(AI34:AK34)</f>
        <v>13.328000000000003</v>
      </c>
      <c r="AM34" s="53">
        <v>14.385</v>
      </c>
      <c r="AN34" s="53">
        <v>14.420999999999999</v>
      </c>
      <c r="AO34" s="53">
        <v>13.491</v>
      </c>
      <c r="AP34" s="53">
        <f>55.029-SUM(AM34:AO34)</f>
        <v>12.732000000000006</v>
      </c>
      <c r="AQ34" s="53">
        <v>13.596</v>
      </c>
      <c r="AR34" s="53">
        <v>13.227</v>
      </c>
      <c r="AS34" s="53">
        <v>13.05</v>
      </c>
      <c r="AT34" s="53">
        <f>53.358-SUM(AQ34:AS34)</f>
        <v>13.484999999999992</v>
      </c>
      <c r="AU34" s="53">
        <v>14.28</v>
      </c>
      <c r="AV34" s="53">
        <v>14.26</v>
      </c>
      <c r="AW34" s="53">
        <v>12.554</v>
      </c>
      <c r="BP34" s="53">
        <f t="shared" si="43"/>
        <v>42.131</v>
      </c>
      <c r="BQ34" s="53">
        <f t="shared" si="44"/>
        <v>40.673999999999999</v>
      </c>
      <c r="BR34" s="53">
        <f t="shared" si="45"/>
        <v>43.281999999999996</v>
      </c>
      <c r="BS34" s="53">
        <f t="shared" si="46"/>
        <v>52.173999999999999</v>
      </c>
      <c r="BT34" s="53">
        <f t="shared" si="47"/>
        <v>55.029000000000003</v>
      </c>
      <c r="BU34" s="53">
        <f t="shared" si="48"/>
        <v>53.357999999999997</v>
      </c>
    </row>
    <row r="35" spans="2:133">
      <c r="B35" s="1" t="s">
        <v>1452</v>
      </c>
      <c r="C35" s="58">
        <v>7.5</v>
      </c>
      <c r="D35" s="58">
        <v>7.9</v>
      </c>
      <c r="E35" s="58">
        <v>8.5</v>
      </c>
      <c r="F35" s="58">
        <v>10</v>
      </c>
      <c r="G35" s="58">
        <v>9.6999999999999993</v>
      </c>
      <c r="H35" s="58">
        <v>9.8000000000000007</v>
      </c>
      <c r="I35" s="58">
        <v>9.8000000000000007</v>
      </c>
      <c r="J35" s="58">
        <v>11</v>
      </c>
      <c r="K35" s="58">
        <v>13.1</v>
      </c>
      <c r="L35" s="58">
        <v>12.6</v>
      </c>
      <c r="M35" s="58">
        <v>12.7</v>
      </c>
      <c r="N35" s="58">
        <v>13.2</v>
      </c>
      <c r="O35" s="58">
        <v>14.2</v>
      </c>
      <c r="P35" s="58">
        <v>14.3</v>
      </c>
      <c r="Q35" s="58">
        <v>15.7</v>
      </c>
      <c r="R35" s="58">
        <v>16.100000000000001</v>
      </c>
      <c r="S35" s="58">
        <v>16.5</v>
      </c>
      <c r="T35" s="58">
        <v>16.3</v>
      </c>
      <c r="U35" s="58">
        <v>15.7</v>
      </c>
      <c r="V35" s="58">
        <v>17.399999999999999</v>
      </c>
      <c r="W35" s="53">
        <f t="shared" ref="W35:AT35" si="56">SUM(W33:W34)</f>
        <v>19.536000000000001</v>
      </c>
      <c r="X35" s="53">
        <f t="shared" si="56"/>
        <v>20.677</v>
      </c>
      <c r="Y35" s="53">
        <f t="shared" si="56"/>
        <v>21.750999999999998</v>
      </c>
      <c r="Z35" s="53">
        <f t="shared" si="56"/>
        <v>23.048000000000005</v>
      </c>
      <c r="AA35" s="53">
        <f t="shared" si="56"/>
        <v>22.396000000000001</v>
      </c>
      <c r="AB35" s="53">
        <f t="shared" si="56"/>
        <v>22.244</v>
      </c>
      <c r="AC35" s="53">
        <f t="shared" si="56"/>
        <v>21.885999999999999</v>
      </c>
      <c r="AD35" s="53">
        <f t="shared" si="56"/>
        <v>23.650999999999996</v>
      </c>
      <c r="AE35" s="53">
        <f t="shared" si="56"/>
        <v>23.676000000000002</v>
      </c>
      <c r="AF35" s="53">
        <f t="shared" si="56"/>
        <v>24.591000000000001</v>
      </c>
      <c r="AG35" s="53">
        <f t="shared" si="56"/>
        <v>26.405000000000001</v>
      </c>
      <c r="AH35" s="53">
        <f t="shared" si="56"/>
        <v>29.161000000000001</v>
      </c>
      <c r="AI35" s="53">
        <f t="shared" si="56"/>
        <v>30.873000000000001</v>
      </c>
      <c r="AJ35" s="53">
        <f t="shared" si="56"/>
        <v>32.236999999999995</v>
      </c>
      <c r="AK35" s="53">
        <f t="shared" si="56"/>
        <v>32.418999999999997</v>
      </c>
      <c r="AL35" s="53">
        <f t="shared" si="56"/>
        <v>34.356000000000002</v>
      </c>
      <c r="AM35" s="53">
        <f t="shared" si="56"/>
        <v>38.518000000000001</v>
      </c>
      <c r="AN35" s="53">
        <f t="shared" si="56"/>
        <v>39.503999999999998</v>
      </c>
      <c r="AO35" s="53">
        <f t="shared" si="56"/>
        <v>38.355000000000004</v>
      </c>
      <c r="AP35" s="53">
        <f t="shared" si="56"/>
        <v>37.845000000000006</v>
      </c>
      <c r="AQ35" s="53">
        <f t="shared" si="56"/>
        <v>41.522999999999996</v>
      </c>
      <c r="AR35" s="53">
        <f t="shared" si="56"/>
        <v>41.171999999999997</v>
      </c>
      <c r="AS35" s="53">
        <f t="shared" si="56"/>
        <v>43.670999999999999</v>
      </c>
      <c r="AT35" s="53">
        <f t="shared" si="56"/>
        <v>45.689</v>
      </c>
      <c r="AU35" s="53">
        <f>SUM(AU33:AU34)</f>
        <v>48.341999999999999</v>
      </c>
      <c r="AV35" s="53">
        <f>SUM(AV33:AV34)</f>
        <v>49.536999999999999</v>
      </c>
      <c r="AW35" s="53">
        <f>SUM(AW33:AW34)</f>
        <v>46.374000000000002</v>
      </c>
      <c r="BK35" s="1">
        <f t="shared" si="51"/>
        <v>33.9</v>
      </c>
      <c r="BL35" s="1">
        <f t="shared" si="52"/>
        <v>40.299999999999997</v>
      </c>
      <c r="BM35" s="1">
        <f t="shared" si="53"/>
        <v>51.599999999999994</v>
      </c>
      <c r="BN35" s="1">
        <f t="shared" si="54"/>
        <v>60.300000000000004</v>
      </c>
      <c r="BO35" s="1">
        <f t="shared" si="55"/>
        <v>65.900000000000006</v>
      </c>
      <c r="BP35" s="53">
        <f t="shared" si="43"/>
        <v>85.012</v>
      </c>
      <c r="BQ35" s="53">
        <f t="shared" si="44"/>
        <v>90.176999999999992</v>
      </c>
      <c r="BR35" s="53">
        <f t="shared" si="45"/>
        <v>103.833</v>
      </c>
      <c r="BS35" s="53">
        <f t="shared" si="46"/>
        <v>129.88499999999999</v>
      </c>
      <c r="BT35" s="53">
        <f t="shared" si="47"/>
        <v>154.22200000000001</v>
      </c>
      <c r="BU35" s="53">
        <f t="shared" si="48"/>
        <v>172.05499999999998</v>
      </c>
    </row>
    <row r="36" spans="2:133">
      <c r="B36" s="1" t="s">
        <v>98</v>
      </c>
      <c r="C36" s="53">
        <f>C32-C35</f>
        <v>20.6</v>
      </c>
      <c r="D36" s="53">
        <f t="shared" ref="D36:AV36" si="57">D32-D35</f>
        <v>18.600000000000001</v>
      </c>
      <c r="E36" s="53">
        <f t="shared" si="57"/>
        <v>19.399999999999999</v>
      </c>
      <c r="F36" s="53">
        <f t="shared" si="57"/>
        <v>20.100000000000001</v>
      </c>
      <c r="G36" s="53">
        <f t="shared" si="57"/>
        <v>25.500000000000004</v>
      </c>
      <c r="H36" s="53">
        <f t="shared" si="57"/>
        <v>24.2</v>
      </c>
      <c r="I36" s="53">
        <f t="shared" si="57"/>
        <v>26.499999999999996</v>
      </c>
      <c r="J36" s="53">
        <f t="shared" si="57"/>
        <v>28.9</v>
      </c>
      <c r="K36" s="53">
        <f t="shared" si="57"/>
        <v>31.5</v>
      </c>
      <c r="L36" s="53">
        <f t="shared" si="57"/>
        <v>30.4</v>
      </c>
      <c r="M36" s="53">
        <f t="shared" si="57"/>
        <v>32</v>
      </c>
      <c r="N36" s="53">
        <f t="shared" si="57"/>
        <v>33.200000000000003</v>
      </c>
      <c r="O36" s="53">
        <f t="shared" si="57"/>
        <v>37.700000000000003</v>
      </c>
      <c r="P36" s="53">
        <f t="shared" si="57"/>
        <v>35.099999999999994</v>
      </c>
      <c r="Q36" s="53">
        <f t="shared" si="57"/>
        <v>36.400000000000006</v>
      </c>
      <c r="R36" s="53">
        <f t="shared" si="57"/>
        <v>38.4</v>
      </c>
      <c r="S36" s="53">
        <f t="shared" si="57"/>
        <v>43.4</v>
      </c>
      <c r="T36" s="53">
        <f t="shared" si="57"/>
        <v>42.8</v>
      </c>
      <c r="U36" s="53">
        <f t="shared" si="57"/>
        <v>45.2</v>
      </c>
      <c r="V36" s="53">
        <f t="shared" si="57"/>
        <v>47.000000000000007</v>
      </c>
      <c r="W36" s="53">
        <f t="shared" si="57"/>
        <v>50.427000000000007</v>
      </c>
      <c r="X36" s="53">
        <f t="shared" si="57"/>
        <v>52.806999999999995</v>
      </c>
      <c r="Y36" s="53">
        <f t="shared" si="57"/>
        <v>52.428000000000004</v>
      </c>
      <c r="Z36" s="53">
        <f t="shared" si="57"/>
        <v>57.216999999999985</v>
      </c>
      <c r="AA36" s="53">
        <f t="shared" si="57"/>
        <v>63.405000000000001</v>
      </c>
      <c r="AB36" s="53">
        <f t="shared" si="57"/>
        <v>61.616</v>
      </c>
      <c r="AC36" s="53">
        <f t="shared" si="57"/>
        <v>66.212999999999994</v>
      </c>
      <c r="AD36" s="53">
        <f t="shared" si="57"/>
        <v>70.183000000000007</v>
      </c>
      <c r="AE36" s="53">
        <f t="shared" si="57"/>
        <v>80.546000000000006</v>
      </c>
      <c r="AF36" s="53">
        <f t="shared" si="57"/>
        <v>80.996000000000009</v>
      </c>
      <c r="AG36" s="53">
        <f t="shared" si="57"/>
        <v>86.288000000000011</v>
      </c>
      <c r="AH36" s="53">
        <f t="shared" si="57"/>
        <v>91.621999999999971</v>
      </c>
      <c r="AI36" s="53">
        <f t="shared" si="57"/>
        <v>98.801000000000002</v>
      </c>
      <c r="AJ36" s="53">
        <f t="shared" si="57"/>
        <v>99.311999999999983</v>
      </c>
      <c r="AK36" s="53">
        <f t="shared" si="57"/>
        <v>100.42999999999999</v>
      </c>
      <c r="AL36" s="53">
        <f t="shared" si="57"/>
        <v>109.44699999999997</v>
      </c>
      <c r="AM36" s="53">
        <f t="shared" si="57"/>
        <v>111.67099999999999</v>
      </c>
      <c r="AN36" s="53">
        <f t="shared" si="57"/>
        <v>115.518</v>
      </c>
      <c r="AO36" s="53">
        <f t="shared" si="57"/>
        <v>119.82000000000001</v>
      </c>
      <c r="AP36" s="53">
        <f t="shared" si="57"/>
        <v>128.80800000000002</v>
      </c>
      <c r="AQ36" s="53">
        <f t="shared" si="57"/>
        <v>134.14400000000001</v>
      </c>
      <c r="AR36" s="53">
        <f t="shared" si="57"/>
        <v>136.33100000000002</v>
      </c>
      <c r="AS36" s="53">
        <f t="shared" si="57"/>
        <v>141.95100000000002</v>
      </c>
      <c r="AT36" s="53">
        <f t="shared" si="57"/>
        <v>154.19899999999996</v>
      </c>
      <c r="AU36" s="53">
        <f t="shared" si="57"/>
        <v>157.93</v>
      </c>
      <c r="AV36" s="53">
        <f t="shared" si="57"/>
        <v>165.64800000000002</v>
      </c>
      <c r="AW36" s="53">
        <f t="shared" ref="AW36" si="58">AW32-AW35</f>
        <v>177.79000000000002</v>
      </c>
      <c r="BK36" s="1">
        <f t="shared" si="51"/>
        <v>78.7</v>
      </c>
      <c r="BL36" s="1">
        <f t="shared" si="52"/>
        <v>105.1</v>
      </c>
      <c r="BM36" s="1">
        <f t="shared" si="53"/>
        <v>127.10000000000001</v>
      </c>
      <c r="BN36" s="1">
        <f t="shared" si="54"/>
        <v>147.6</v>
      </c>
      <c r="BO36" s="1">
        <f t="shared" si="55"/>
        <v>178.39999999999998</v>
      </c>
      <c r="BP36" s="53">
        <f t="shared" si="43"/>
        <v>212.87899999999999</v>
      </c>
      <c r="BQ36" s="53">
        <f t="shared" si="44"/>
        <v>261.41699999999997</v>
      </c>
      <c r="BR36" s="53">
        <f t="shared" si="45"/>
        <v>339.452</v>
      </c>
      <c r="BS36" s="53">
        <f t="shared" si="46"/>
        <v>407.99</v>
      </c>
      <c r="BT36" s="53">
        <f t="shared" si="47"/>
        <v>475.81700000000001</v>
      </c>
      <c r="BU36" s="53">
        <f t="shared" si="48"/>
        <v>566.625</v>
      </c>
    </row>
    <row r="37" spans="2:133">
      <c r="B37" s="1" t="s">
        <v>1424</v>
      </c>
      <c r="C37" s="58">
        <v>10.3</v>
      </c>
      <c r="D37" s="58">
        <v>10.8</v>
      </c>
      <c r="E37" s="58">
        <v>11.2</v>
      </c>
      <c r="F37" s="58">
        <v>11.9</v>
      </c>
      <c r="G37" s="58">
        <v>12</v>
      </c>
      <c r="H37" s="58">
        <v>12.2</v>
      </c>
      <c r="I37" s="58">
        <v>12.8</v>
      </c>
      <c r="J37" s="58">
        <v>13.5</v>
      </c>
      <c r="K37" s="58">
        <v>14.5</v>
      </c>
      <c r="L37" s="58">
        <v>14</v>
      </c>
      <c r="M37" s="58">
        <v>14.3</v>
      </c>
      <c r="N37" s="58">
        <v>14.5</v>
      </c>
      <c r="O37" s="58">
        <v>15.5</v>
      </c>
      <c r="P37" s="58">
        <v>16.2</v>
      </c>
      <c r="Q37" s="58">
        <v>17.5</v>
      </c>
      <c r="R37" s="58">
        <v>18.899999999999999</v>
      </c>
      <c r="S37" s="58">
        <v>20.100000000000001</v>
      </c>
      <c r="T37" s="58">
        <v>20.7</v>
      </c>
      <c r="U37" s="58">
        <v>20</v>
      </c>
      <c r="V37" s="58">
        <v>20.8</v>
      </c>
      <c r="W37" s="53">
        <v>22.010999999999999</v>
      </c>
      <c r="X37" s="53">
        <v>21.795000000000002</v>
      </c>
      <c r="Y37" s="53">
        <v>22.899000000000001</v>
      </c>
      <c r="Z37" s="53">
        <f>89.921-SUM(W37:Y37)</f>
        <v>23.216000000000008</v>
      </c>
      <c r="AA37" s="53">
        <v>22.994</v>
      </c>
      <c r="AB37" s="53">
        <v>23.507999999999999</v>
      </c>
      <c r="AC37" s="53">
        <v>23.956</v>
      </c>
      <c r="AD37" s="53">
        <f>94.844-SUM(AA37:AC37)</f>
        <v>24.385999999999996</v>
      </c>
      <c r="AE37" s="53">
        <v>26.634</v>
      </c>
      <c r="AF37" s="53">
        <v>27.83</v>
      </c>
      <c r="AG37" s="53">
        <v>29.841000000000001</v>
      </c>
      <c r="AH37" s="53">
        <f>115.735-SUM(AE37:AG37)</f>
        <v>31.429999999999993</v>
      </c>
      <c r="AI37" s="53">
        <v>35.884</v>
      </c>
      <c r="AJ37" s="53">
        <v>39.177</v>
      </c>
      <c r="AK37" s="53">
        <v>38.582999999999998</v>
      </c>
      <c r="AL37" s="53">
        <f>151.716-SUM(AI37:AK37)</f>
        <v>38.072000000000003</v>
      </c>
      <c r="AM37" s="53">
        <v>45.790999999999997</v>
      </c>
      <c r="AN37" s="53">
        <v>42.697000000000003</v>
      </c>
      <c r="AO37" s="53">
        <v>41.747</v>
      </c>
      <c r="AP37" s="53">
        <f>172.79-SUM(AM37:AO37)</f>
        <v>42.554999999999978</v>
      </c>
      <c r="AQ37" s="53">
        <v>45.494999999999997</v>
      </c>
      <c r="AR37" s="53">
        <v>48.408000000000001</v>
      </c>
      <c r="AS37" s="53">
        <v>48.424999999999997</v>
      </c>
      <c r="AT37" s="53">
        <f>192.935-SUM(AQ37:AS37)</f>
        <v>50.607000000000028</v>
      </c>
      <c r="AU37" s="53">
        <v>53.78</v>
      </c>
      <c r="AV37" s="53">
        <v>54.843000000000004</v>
      </c>
      <c r="AW37" s="53">
        <v>51.402999999999999</v>
      </c>
      <c r="BK37" s="1">
        <f t="shared" si="51"/>
        <v>44.199999999999996</v>
      </c>
      <c r="BL37" s="1">
        <f t="shared" si="52"/>
        <v>50.5</v>
      </c>
      <c r="BM37" s="1">
        <f t="shared" si="53"/>
        <v>57.3</v>
      </c>
      <c r="BN37" s="1">
        <f t="shared" si="54"/>
        <v>68.099999999999994</v>
      </c>
      <c r="BO37" s="1">
        <f t="shared" si="55"/>
        <v>81.599999999999994</v>
      </c>
      <c r="BP37" s="53">
        <f t="shared" si="43"/>
        <v>89.921000000000006</v>
      </c>
      <c r="BQ37" s="53">
        <f t="shared" si="44"/>
        <v>94.843999999999994</v>
      </c>
      <c r="BR37" s="53">
        <f t="shared" si="45"/>
        <v>115.735</v>
      </c>
      <c r="BS37" s="53">
        <f t="shared" si="46"/>
        <v>151.71600000000001</v>
      </c>
      <c r="BT37" s="53">
        <f t="shared" si="47"/>
        <v>172.79</v>
      </c>
      <c r="BU37" s="53">
        <f t="shared" si="48"/>
        <v>192.935</v>
      </c>
    </row>
    <row r="38" spans="2:133">
      <c r="B38" s="1" t="s">
        <v>1425</v>
      </c>
      <c r="C38" s="58">
        <v>4.2</v>
      </c>
      <c r="D38" s="58">
        <v>5.2</v>
      </c>
      <c r="E38" s="58">
        <v>4.5999999999999996</v>
      </c>
      <c r="F38" s="58">
        <v>5.8</v>
      </c>
      <c r="G38" s="58">
        <v>6.7</v>
      </c>
      <c r="H38" s="58">
        <v>6.3</v>
      </c>
      <c r="I38" s="58">
        <v>7.2</v>
      </c>
      <c r="J38" s="58">
        <v>8.5</v>
      </c>
      <c r="K38" s="58">
        <v>9</v>
      </c>
      <c r="L38" s="58">
        <v>7.9</v>
      </c>
      <c r="M38" s="58">
        <v>8</v>
      </c>
      <c r="N38" s="58">
        <v>7.8</v>
      </c>
      <c r="O38" s="58">
        <v>9.4</v>
      </c>
      <c r="P38" s="58">
        <v>8.9</v>
      </c>
      <c r="Q38" s="58">
        <v>9</v>
      </c>
      <c r="R38" s="58">
        <v>12.3</v>
      </c>
      <c r="S38" s="58">
        <v>11.8</v>
      </c>
      <c r="T38" s="58">
        <v>21.7</v>
      </c>
      <c r="U38" s="58">
        <v>11.9</v>
      </c>
      <c r="V38" s="58">
        <v>11</v>
      </c>
      <c r="W38" s="53">
        <v>25.364999999999998</v>
      </c>
      <c r="X38" s="53">
        <v>28.213000000000001</v>
      </c>
      <c r="Y38" s="53">
        <v>32.99</v>
      </c>
      <c r="Z38" s="53">
        <f>120.3-SUM(W38:Y38)</f>
        <v>33.731999999999985</v>
      </c>
      <c r="AA38" s="53">
        <v>36.116999999999997</v>
      </c>
      <c r="AB38" s="53">
        <v>35.270000000000003</v>
      </c>
      <c r="AC38" s="53">
        <v>35.487000000000002</v>
      </c>
      <c r="AD38" s="53">
        <f>144.687-SUM(AA38:AC38)</f>
        <v>37.813000000000017</v>
      </c>
      <c r="AE38" s="53">
        <v>41.034999999999997</v>
      </c>
      <c r="AF38" s="53">
        <v>41.524999999999999</v>
      </c>
      <c r="AG38" s="53">
        <v>46.026000000000003</v>
      </c>
      <c r="AH38" s="53">
        <f>178.785-SUM(AE38:AG38)</f>
        <v>50.198999999999984</v>
      </c>
      <c r="AI38" s="53">
        <v>56.1</v>
      </c>
      <c r="AJ38" s="53">
        <v>64.218999999999994</v>
      </c>
      <c r="AK38" s="53">
        <v>64.56</v>
      </c>
      <c r="AL38" s="53">
        <f>245.26-SUM(AI38:AK38)</f>
        <v>60.381</v>
      </c>
      <c r="AM38" s="53">
        <v>70.709999999999994</v>
      </c>
      <c r="AN38" s="53">
        <v>71.882000000000005</v>
      </c>
      <c r="AO38" s="53">
        <v>72.575999999999993</v>
      </c>
      <c r="AP38" s="53">
        <f>287.035-SUM(AM38:AO38)</f>
        <v>71.867000000000047</v>
      </c>
      <c r="AQ38" s="53">
        <v>82.632999999999996</v>
      </c>
      <c r="AR38" s="53">
        <v>84.697000000000003</v>
      </c>
      <c r="AS38" s="53">
        <v>89.756</v>
      </c>
      <c r="AT38" s="53">
        <f>347.243-SUM(AQ38:AS38)</f>
        <v>90.156999999999982</v>
      </c>
      <c r="AU38" s="53">
        <v>101.67</v>
      </c>
      <c r="AV38" s="53">
        <v>104.02500000000001</v>
      </c>
      <c r="AW38" s="53">
        <v>101.127</v>
      </c>
      <c r="BK38" s="1">
        <f t="shared" si="51"/>
        <v>19.8</v>
      </c>
      <c r="BL38" s="1">
        <f t="shared" si="52"/>
        <v>28.7</v>
      </c>
      <c r="BM38" s="1">
        <f t="shared" si="53"/>
        <v>32.699999999999996</v>
      </c>
      <c r="BN38" s="1">
        <f t="shared" si="54"/>
        <v>39.6</v>
      </c>
      <c r="BO38" s="1">
        <f t="shared" si="55"/>
        <v>56.4</v>
      </c>
      <c r="BP38" s="53">
        <f t="shared" si="43"/>
        <v>120.3</v>
      </c>
      <c r="BQ38" s="53">
        <f t="shared" si="44"/>
        <v>144.68700000000001</v>
      </c>
      <c r="BR38" s="53">
        <f t="shared" si="45"/>
        <v>178.785</v>
      </c>
      <c r="BS38" s="53">
        <f t="shared" si="46"/>
        <v>245.26</v>
      </c>
      <c r="BT38" s="53">
        <f t="shared" si="47"/>
        <v>287.03500000000003</v>
      </c>
      <c r="BU38" s="53">
        <f t="shared" si="48"/>
        <v>347.24299999999999</v>
      </c>
    </row>
    <row r="39" spans="2:133">
      <c r="B39" s="1" t="s">
        <v>1426</v>
      </c>
      <c r="C39" s="58">
        <f>25-SUM(C37:C38)</f>
        <v>10.5</v>
      </c>
      <c r="D39" s="58">
        <f>28.7-SUM(D37:D38)</f>
        <v>12.7</v>
      </c>
      <c r="E39" s="58">
        <f>32-SUM(E37:E38)</f>
        <v>16.200000000000003</v>
      </c>
      <c r="F39" s="58">
        <f>31.8-SUM(F37:F38)</f>
        <v>14.100000000000001</v>
      </c>
      <c r="G39" s="58">
        <f>32.4-SUM(G37:G38)</f>
        <v>13.7</v>
      </c>
      <c r="H39" s="58">
        <f>34.8-SUM(H37:H38)</f>
        <v>16.299999999999997</v>
      </c>
      <c r="I39" s="58">
        <f>40.8-SUM(I37:I38)</f>
        <v>20.799999999999997</v>
      </c>
      <c r="J39" s="58">
        <f>40.7-SUM(J37:J38)</f>
        <v>18.700000000000003</v>
      </c>
      <c r="K39" s="58">
        <f>43.6-SUM(K37:K38)</f>
        <v>20.100000000000001</v>
      </c>
      <c r="L39" s="58">
        <f>41.8-SUM(L37:L38)</f>
        <v>19.899999999999999</v>
      </c>
      <c r="M39" s="58">
        <f>44.7-SUM(M37:M38)</f>
        <v>22.400000000000002</v>
      </c>
      <c r="N39" s="58">
        <f>40.6-SUM(N37:N38)</f>
        <v>18.3</v>
      </c>
      <c r="O39" s="58">
        <f>43.7-SUM(O37:O38)</f>
        <v>18.800000000000004</v>
      </c>
      <c r="P39" s="58">
        <f>45-SUM(P37:P38)</f>
        <v>19.899999999999999</v>
      </c>
      <c r="Q39" s="58">
        <f>50.2-SUM(Q37:Q38)</f>
        <v>23.700000000000003</v>
      </c>
      <c r="R39" s="58">
        <f>53.1-SUM(R37:R38)</f>
        <v>21.900000000000002</v>
      </c>
      <c r="S39" s="58">
        <f>52.9-SUM(S37:S38)</f>
        <v>20.999999999999996</v>
      </c>
      <c r="T39" s="58">
        <f>64.6-SUM(T37:T38)</f>
        <v>22.199999999999996</v>
      </c>
      <c r="U39" s="58">
        <f>55.9-SUM(U37:U38)</f>
        <v>24</v>
      </c>
      <c r="V39" s="58">
        <f>54.8-SUM(V37:V38)</f>
        <v>22.999999999999996</v>
      </c>
      <c r="W39" s="53">
        <v>10.382999999999999</v>
      </c>
      <c r="X39" s="53">
        <v>11.226000000000001</v>
      </c>
      <c r="Y39" s="53">
        <v>12.016999999999999</v>
      </c>
      <c r="Z39" s="53">
        <f>48.064-SUM(W39:Y39)</f>
        <v>14.437999999999995</v>
      </c>
      <c r="AA39" s="53">
        <v>13.448</v>
      </c>
      <c r="AB39" s="53">
        <v>19.632000000000001</v>
      </c>
      <c r="AC39" s="53">
        <v>13.722</v>
      </c>
      <c r="AD39" s="53">
        <f>59.688-SUM(AA39:AC39)</f>
        <v>12.886000000000003</v>
      </c>
      <c r="AE39" s="53">
        <v>17.021000000000001</v>
      </c>
      <c r="AF39" s="53">
        <v>17.384</v>
      </c>
      <c r="AG39" s="53">
        <v>18.39</v>
      </c>
      <c r="AH39" s="53">
        <f>74.287-SUM(AE39:AG39)</f>
        <v>21.492000000000004</v>
      </c>
      <c r="AI39" s="53">
        <v>23.994</v>
      </c>
      <c r="AJ39" s="53">
        <v>24.108000000000001</v>
      </c>
      <c r="AK39" s="53">
        <v>27.405000000000001</v>
      </c>
      <c r="AL39" s="53">
        <f>99.778-SUM(AI39:AK39)</f>
        <v>24.271000000000001</v>
      </c>
      <c r="AM39" s="53">
        <v>42.011000000000003</v>
      </c>
      <c r="AN39" s="53">
        <v>23.626999999999999</v>
      </c>
      <c r="AO39" s="53">
        <v>21.021999999999998</v>
      </c>
      <c r="AP39" s="53">
        <f>110.519-SUM(AM39:AO39)</f>
        <v>23.859000000000009</v>
      </c>
      <c r="AQ39" s="53">
        <v>24.298999999999999</v>
      </c>
      <c r="AR39" s="53">
        <v>26.375</v>
      </c>
      <c r="AS39" s="53">
        <v>25.550999999999998</v>
      </c>
      <c r="AT39" s="53">
        <f>102.981-SUM(AQ39:AS39)</f>
        <v>26.756</v>
      </c>
      <c r="AU39" s="53">
        <v>27.236999999999998</v>
      </c>
      <c r="AV39" s="53">
        <v>28.92</v>
      </c>
      <c r="AW39" s="53">
        <v>28.663</v>
      </c>
      <c r="BK39" s="1">
        <f t="shared" si="51"/>
        <v>53.500000000000007</v>
      </c>
      <c r="BL39" s="1">
        <f t="shared" si="52"/>
        <v>69.5</v>
      </c>
      <c r="BM39" s="1">
        <f t="shared" si="53"/>
        <v>80.7</v>
      </c>
      <c r="BN39" s="1">
        <f t="shared" si="54"/>
        <v>84.300000000000011</v>
      </c>
      <c r="BO39" s="1">
        <f t="shared" si="55"/>
        <v>90.199999999999989</v>
      </c>
      <c r="BP39" s="53">
        <f t="shared" si="43"/>
        <v>48.064</v>
      </c>
      <c r="BQ39" s="53">
        <f t="shared" si="44"/>
        <v>59.688000000000002</v>
      </c>
      <c r="BR39" s="53">
        <f t="shared" si="45"/>
        <v>74.287000000000006</v>
      </c>
      <c r="BS39" s="53">
        <f t="shared" si="46"/>
        <v>99.778000000000006</v>
      </c>
      <c r="BT39" s="53">
        <f t="shared" si="47"/>
        <v>110.51900000000001</v>
      </c>
      <c r="BU39" s="53">
        <f t="shared" si="48"/>
        <v>102.98099999999999</v>
      </c>
    </row>
    <row r="40" spans="2:133">
      <c r="B40" s="1" t="s">
        <v>1451</v>
      </c>
      <c r="C40" s="53">
        <f>C36-SUM(C37:C39)</f>
        <v>-4.3999999999999986</v>
      </c>
      <c r="D40" s="53">
        <f t="shared" ref="D40:AV40" si="59">D36-SUM(D37:D39)</f>
        <v>-10.099999999999998</v>
      </c>
      <c r="E40" s="53">
        <f t="shared" si="59"/>
        <v>-12.600000000000001</v>
      </c>
      <c r="F40" s="53">
        <f t="shared" si="59"/>
        <v>-11.7</v>
      </c>
      <c r="G40" s="53">
        <f t="shared" si="59"/>
        <v>-6.899999999999995</v>
      </c>
      <c r="H40" s="53">
        <f t="shared" si="59"/>
        <v>-10.599999999999998</v>
      </c>
      <c r="I40" s="53">
        <f t="shared" si="59"/>
        <v>-14.3</v>
      </c>
      <c r="J40" s="53">
        <f t="shared" si="59"/>
        <v>-11.800000000000004</v>
      </c>
      <c r="K40" s="53">
        <f t="shared" si="59"/>
        <v>-12.100000000000001</v>
      </c>
      <c r="L40" s="53">
        <f t="shared" si="59"/>
        <v>-11.399999999999999</v>
      </c>
      <c r="M40" s="53">
        <f t="shared" si="59"/>
        <v>-12.700000000000003</v>
      </c>
      <c r="N40" s="53">
        <f t="shared" si="59"/>
        <v>-7.3999999999999986</v>
      </c>
      <c r="O40" s="53">
        <f t="shared" si="59"/>
        <v>-6</v>
      </c>
      <c r="P40" s="53">
        <f t="shared" si="59"/>
        <v>-9.9000000000000057</v>
      </c>
      <c r="Q40" s="53">
        <f t="shared" si="59"/>
        <v>-13.799999999999997</v>
      </c>
      <c r="R40" s="53">
        <f t="shared" si="59"/>
        <v>-14.700000000000003</v>
      </c>
      <c r="S40" s="53">
        <f t="shared" si="59"/>
        <v>-9.5</v>
      </c>
      <c r="T40" s="53">
        <f t="shared" si="59"/>
        <v>-21.799999999999997</v>
      </c>
      <c r="U40" s="53">
        <f t="shared" si="59"/>
        <v>-10.699999999999996</v>
      </c>
      <c r="V40" s="53">
        <f t="shared" si="59"/>
        <v>-7.7999999999999901</v>
      </c>
      <c r="W40" s="53">
        <f t="shared" si="59"/>
        <v>-7.3319999999999936</v>
      </c>
      <c r="X40" s="53">
        <f t="shared" si="59"/>
        <v>-8.4270000000000067</v>
      </c>
      <c r="Y40" s="53">
        <f t="shared" si="59"/>
        <v>-15.478000000000002</v>
      </c>
      <c r="Z40" s="53">
        <f t="shared" si="59"/>
        <v>-14.169000000000011</v>
      </c>
      <c r="AA40" s="53">
        <f t="shared" si="59"/>
        <v>-9.1539999999999964</v>
      </c>
      <c r="AB40" s="53">
        <f t="shared" si="59"/>
        <v>-16.794000000000011</v>
      </c>
      <c r="AC40" s="53">
        <f t="shared" si="59"/>
        <v>-6.9519999999999982</v>
      </c>
      <c r="AD40" s="53">
        <f t="shared" si="59"/>
        <v>-4.902000000000001</v>
      </c>
      <c r="AE40" s="53">
        <f t="shared" si="59"/>
        <v>-4.1439999999999912</v>
      </c>
      <c r="AF40" s="53">
        <f t="shared" si="59"/>
        <v>-5.7429999999999808</v>
      </c>
      <c r="AG40" s="53">
        <f t="shared" si="59"/>
        <v>-7.9689999999999941</v>
      </c>
      <c r="AH40" s="53">
        <f t="shared" si="59"/>
        <v>-11.499000000000009</v>
      </c>
      <c r="AI40" s="53">
        <f t="shared" si="59"/>
        <v>-17.177000000000007</v>
      </c>
      <c r="AJ40" s="53">
        <f t="shared" si="59"/>
        <v>-28.192000000000007</v>
      </c>
      <c r="AK40" s="53">
        <f t="shared" si="59"/>
        <v>-30.118000000000009</v>
      </c>
      <c r="AL40" s="53">
        <f t="shared" si="59"/>
        <v>-13.277000000000029</v>
      </c>
      <c r="AM40" s="53">
        <f t="shared" si="59"/>
        <v>-46.841000000000008</v>
      </c>
      <c r="AN40" s="53">
        <f t="shared" si="59"/>
        <v>-22.688000000000017</v>
      </c>
      <c r="AO40" s="53">
        <f t="shared" si="59"/>
        <v>-15.524999999999991</v>
      </c>
      <c r="AP40" s="53">
        <f t="shared" si="59"/>
        <v>-9.4730000000000132</v>
      </c>
      <c r="AQ40" s="53">
        <f t="shared" si="59"/>
        <v>-18.282999999999987</v>
      </c>
      <c r="AR40" s="53">
        <f t="shared" si="59"/>
        <v>-23.149000000000001</v>
      </c>
      <c r="AS40" s="53">
        <f t="shared" si="59"/>
        <v>-21.780999999999949</v>
      </c>
      <c r="AT40" s="53">
        <f t="shared" si="59"/>
        <v>-13.321000000000055</v>
      </c>
      <c r="AU40" s="53">
        <f t="shared" si="59"/>
        <v>-24.756999999999977</v>
      </c>
      <c r="AV40" s="53">
        <f t="shared" si="59"/>
        <v>-22.139999999999986</v>
      </c>
      <c r="AW40" s="53">
        <f t="shared" ref="AW40" si="60">AW36-SUM(AW37:AW39)</f>
        <v>-3.4029999999999916</v>
      </c>
      <c r="BK40" s="1">
        <f t="shared" si="51"/>
        <v>-38.799999999999997</v>
      </c>
      <c r="BL40" s="1">
        <f t="shared" si="52"/>
        <v>-43.599999999999994</v>
      </c>
      <c r="BM40" s="1">
        <f t="shared" si="53"/>
        <v>-43.6</v>
      </c>
      <c r="BN40" s="1">
        <f t="shared" si="54"/>
        <v>-44.400000000000006</v>
      </c>
      <c r="BO40" s="1">
        <f t="shared" si="55"/>
        <v>-49.799999999999983</v>
      </c>
      <c r="BP40" s="53">
        <f t="shared" si="43"/>
        <v>-45.406000000000013</v>
      </c>
      <c r="BQ40" s="53">
        <f t="shared" si="44"/>
        <v>-37.802000000000007</v>
      </c>
      <c r="BR40" s="53">
        <f t="shared" si="45"/>
        <v>-29.354999999999976</v>
      </c>
      <c r="BS40" s="53">
        <f t="shared" si="46"/>
        <v>-88.764000000000053</v>
      </c>
      <c r="BT40" s="53">
        <f t="shared" si="47"/>
        <v>-94.527000000000029</v>
      </c>
      <c r="BU40" s="53">
        <f t="shared" si="48"/>
        <v>-76.533999999999992</v>
      </c>
    </row>
    <row r="41" spans="2:133">
      <c r="B41" s="1" t="s">
        <v>1427</v>
      </c>
      <c r="C41" s="1">
        <v>0</v>
      </c>
      <c r="D41" s="1">
        <v>0</v>
      </c>
      <c r="E41" s="1">
        <v>0</v>
      </c>
      <c r="F41" s="1">
        <v>0</v>
      </c>
      <c r="G41" s="1">
        <v>0</v>
      </c>
      <c r="H41" s="1">
        <v>0</v>
      </c>
      <c r="I41" s="1">
        <v>0</v>
      </c>
      <c r="J41" s="1">
        <v>0</v>
      </c>
      <c r="K41" s="1">
        <v>0</v>
      </c>
      <c r="L41" s="1">
        <v>0</v>
      </c>
      <c r="M41" s="1">
        <v>0</v>
      </c>
      <c r="N41" s="1">
        <v>0</v>
      </c>
      <c r="O41" s="1">
        <v>0</v>
      </c>
      <c r="P41" s="1">
        <v>0</v>
      </c>
      <c r="Q41" s="1">
        <v>0</v>
      </c>
      <c r="R41" s="1">
        <v>0</v>
      </c>
      <c r="S41" s="1">
        <v>0</v>
      </c>
      <c r="T41" s="1">
        <v>0</v>
      </c>
      <c r="U41" s="1">
        <v>0</v>
      </c>
      <c r="V41" s="1">
        <v>0</v>
      </c>
      <c r="W41" s="53">
        <v>0.49199999999999999</v>
      </c>
      <c r="X41" s="53">
        <v>0.64100000000000001</v>
      </c>
      <c r="Y41" s="53">
        <v>1.46</v>
      </c>
      <c r="Z41" s="53">
        <f>4.657-SUM(W41:Y41)</f>
        <v>2.0640000000000001</v>
      </c>
      <c r="AA41" s="53">
        <v>1.706</v>
      </c>
      <c r="AB41" s="53">
        <v>0.65500000000000003</v>
      </c>
      <c r="AC41" s="53">
        <v>0.47099999999999997</v>
      </c>
      <c r="AD41" s="53">
        <f>3.282-SUM(AA41:AC41)</f>
        <v>0.45000000000000018</v>
      </c>
      <c r="AE41" s="53">
        <v>0.36</v>
      </c>
      <c r="AF41" s="53">
        <v>0.255</v>
      </c>
      <c r="AG41" s="53">
        <v>0.219</v>
      </c>
      <c r="AH41" s="53">
        <f>1.041-SUM(AE41:AG41)</f>
        <v>0.20699999999999996</v>
      </c>
      <c r="AI41" s="53">
        <v>0.28000000000000003</v>
      </c>
      <c r="AJ41" s="53">
        <v>0.60499999999999998</v>
      </c>
      <c r="AK41" s="53">
        <v>1.44</v>
      </c>
      <c r="AL41" s="53">
        <f>4.88-SUM(AI41:AK41)</f>
        <v>2.5549999999999997</v>
      </c>
      <c r="AM41" s="53">
        <v>3.7170000000000001</v>
      </c>
      <c r="AN41" s="53">
        <v>4.5350000000000001</v>
      </c>
      <c r="AO41" s="53">
        <v>7.2939999999999996</v>
      </c>
      <c r="AP41" s="53">
        <f>25.882-SUM(AM41:AO41)</f>
        <v>10.336000000000002</v>
      </c>
      <c r="AQ41" s="53">
        <v>10.455</v>
      </c>
      <c r="AR41" s="53">
        <v>10.336</v>
      </c>
      <c r="AS41" s="53">
        <v>9.298</v>
      </c>
      <c r="AT41" s="53">
        <f>39.395-SUM(AQ41:AS41)</f>
        <v>9.3060000000000045</v>
      </c>
      <c r="AU41" s="53">
        <v>8.7469999999999999</v>
      </c>
      <c r="AV41" s="53">
        <v>8.34</v>
      </c>
      <c r="AW41" s="53">
        <v>8.44</v>
      </c>
      <c r="BK41" s="1">
        <f t="shared" si="51"/>
        <v>0</v>
      </c>
      <c r="BL41" s="1">
        <f t="shared" si="52"/>
        <v>0</v>
      </c>
      <c r="BM41" s="1">
        <f t="shared" si="53"/>
        <v>0</v>
      </c>
      <c r="BN41" s="1">
        <f t="shared" si="54"/>
        <v>0</v>
      </c>
      <c r="BO41" s="1">
        <f t="shared" si="55"/>
        <v>0</v>
      </c>
      <c r="BP41" s="53">
        <f t="shared" si="43"/>
        <v>4.657</v>
      </c>
      <c r="BQ41" s="53">
        <f t="shared" si="44"/>
        <v>3.282</v>
      </c>
      <c r="BR41" s="53">
        <f t="shared" si="45"/>
        <v>1.0409999999999999</v>
      </c>
      <c r="BS41" s="53">
        <f t="shared" si="46"/>
        <v>4.88</v>
      </c>
      <c r="BT41" s="53">
        <f t="shared" si="47"/>
        <v>25.882000000000001</v>
      </c>
      <c r="BU41" s="53">
        <f t="shared" si="48"/>
        <v>39.395000000000003</v>
      </c>
    </row>
    <row r="42" spans="2:133">
      <c r="B42" s="1" t="s">
        <v>1428</v>
      </c>
      <c r="C42" s="1">
        <v>0</v>
      </c>
      <c r="D42" s="1">
        <v>0</v>
      </c>
      <c r="E42" s="1">
        <v>0</v>
      </c>
      <c r="F42" s="1">
        <v>0</v>
      </c>
      <c r="G42" s="1">
        <v>0</v>
      </c>
      <c r="H42" s="1">
        <v>0</v>
      </c>
      <c r="I42" s="1">
        <v>0</v>
      </c>
      <c r="J42" s="1">
        <v>0</v>
      </c>
      <c r="K42" s="1">
        <v>0</v>
      </c>
      <c r="L42" s="1">
        <v>0</v>
      </c>
      <c r="M42" s="1">
        <v>0</v>
      </c>
      <c r="N42" s="1">
        <v>0</v>
      </c>
      <c r="O42" s="1">
        <v>0</v>
      </c>
      <c r="P42" s="1">
        <v>0</v>
      </c>
      <c r="Q42" s="1">
        <v>0</v>
      </c>
      <c r="R42" s="1">
        <v>0</v>
      </c>
      <c r="S42" s="1">
        <v>0</v>
      </c>
      <c r="T42" s="1">
        <v>0</v>
      </c>
      <c r="U42" s="1">
        <v>0</v>
      </c>
      <c r="V42" s="1">
        <v>0</v>
      </c>
      <c r="W42" s="53">
        <v>-0.44</v>
      </c>
      <c r="X42" s="53">
        <v>-0.433</v>
      </c>
      <c r="Y42" s="53">
        <v>-1.9590000000000001</v>
      </c>
      <c r="Z42" s="53">
        <f>-6.027-SUM(W42:Y42)</f>
        <v>-3.1950000000000003</v>
      </c>
      <c r="AA42" s="53">
        <v>-3.5539999999999998</v>
      </c>
      <c r="AB42" s="53">
        <v>-3.5630000000000002</v>
      </c>
      <c r="AC42" s="53">
        <v>-3.5720000000000001</v>
      </c>
      <c r="AD42" s="53">
        <f>-13.964-SUM(AA42:AC42)</f>
        <v>-3.2750000000000004</v>
      </c>
      <c r="AE42" s="53">
        <v>-3.4849999999999999</v>
      </c>
      <c r="AF42" s="53">
        <v>-3.5019999999999998</v>
      </c>
      <c r="AG42" s="53">
        <v>-3.508</v>
      </c>
      <c r="AH42" s="53">
        <f>-14.015-SUM(AE42:AG42)</f>
        <v>-3.5199999999999996</v>
      </c>
      <c r="AI42" s="53">
        <v>-1.518</v>
      </c>
      <c r="AJ42" s="53">
        <v>-1.512</v>
      </c>
      <c r="AK42" s="53">
        <v>-1.51</v>
      </c>
      <c r="AL42" s="53">
        <f>-6.042-SUM(AI42:AK42)</f>
        <v>-1.5019999999999998</v>
      </c>
      <c r="AM42" s="53">
        <v>-1.5009999999999999</v>
      </c>
      <c r="AN42" s="53">
        <v>-1.4990000000000001</v>
      </c>
      <c r="AO42" s="53">
        <v>-47.347000000000001</v>
      </c>
      <c r="AP42" s="53">
        <f>-53.639-SUM(AM42:AO42)</f>
        <v>-3.2920000000000016</v>
      </c>
      <c r="AQ42" s="53">
        <v>-3.2320000000000002</v>
      </c>
      <c r="AR42" s="53">
        <v>-3.2370000000000001</v>
      </c>
      <c r="AS42" s="53">
        <v>-3.1989999999999998</v>
      </c>
      <c r="AT42" s="53">
        <f>-12.865-SUM(AQ42:AS42)</f>
        <v>-3.197000000000001</v>
      </c>
      <c r="AU42" s="53">
        <v>-3.1949999999999998</v>
      </c>
      <c r="AV42" s="53">
        <v>-3.19</v>
      </c>
      <c r="AW42" s="53">
        <v>-3.19</v>
      </c>
      <c r="BK42" s="1">
        <f t="shared" si="51"/>
        <v>0</v>
      </c>
      <c r="BL42" s="1">
        <f t="shared" si="52"/>
        <v>0</v>
      </c>
      <c r="BM42" s="1">
        <f t="shared" si="53"/>
        <v>0</v>
      </c>
      <c r="BN42" s="1">
        <f t="shared" si="54"/>
        <v>0</v>
      </c>
      <c r="BO42" s="1">
        <f t="shared" si="55"/>
        <v>0</v>
      </c>
      <c r="BP42" s="53">
        <f t="shared" si="43"/>
        <v>-6.0270000000000001</v>
      </c>
      <c r="BQ42" s="53">
        <f t="shared" si="44"/>
        <v>-13.964</v>
      </c>
      <c r="BR42" s="53">
        <f t="shared" si="45"/>
        <v>-14.015000000000001</v>
      </c>
      <c r="BS42" s="53">
        <f t="shared" si="46"/>
        <v>-6.0419999999999998</v>
      </c>
      <c r="BT42" s="53">
        <f t="shared" si="47"/>
        <v>-53.639000000000003</v>
      </c>
      <c r="BU42" s="53">
        <f t="shared" si="48"/>
        <v>-12.865</v>
      </c>
    </row>
    <row r="43" spans="2:133">
      <c r="B43" s="1" t="s">
        <v>1429</v>
      </c>
      <c r="C43" s="53">
        <v>-0.3</v>
      </c>
      <c r="D43" s="53">
        <v>-0.5</v>
      </c>
      <c r="E43" s="53">
        <v>-0.8</v>
      </c>
      <c r="F43" s="53">
        <v>-1</v>
      </c>
      <c r="G43" s="53">
        <v>-0.6</v>
      </c>
      <c r="H43" s="53">
        <v>-0.3</v>
      </c>
      <c r="I43" s="53">
        <v>-0.3</v>
      </c>
      <c r="J43" s="53">
        <v>1.5</v>
      </c>
      <c r="K43" s="53">
        <v>0.1</v>
      </c>
      <c r="L43" s="53">
        <v>-0.2</v>
      </c>
      <c r="M43" s="53">
        <v>-0.2</v>
      </c>
      <c r="N43" s="53">
        <v>-0.1</v>
      </c>
      <c r="O43" s="53">
        <v>0.2</v>
      </c>
      <c r="P43" s="53">
        <v>-0.3</v>
      </c>
      <c r="Q43" s="53">
        <v>-0.3</v>
      </c>
      <c r="R43" s="53">
        <v>0.3</v>
      </c>
      <c r="S43" s="53">
        <v>-0.1</v>
      </c>
      <c r="T43" s="53">
        <v>0</v>
      </c>
      <c r="U43" s="53">
        <v>-0.2</v>
      </c>
      <c r="V43" s="53">
        <v>0.3</v>
      </c>
      <c r="W43" s="53">
        <v>-0.17199999999999999</v>
      </c>
      <c r="X43" s="53">
        <v>-0.111</v>
      </c>
      <c r="Y43" s="53">
        <v>2.4E-2</v>
      </c>
      <c r="Z43" s="53">
        <f>-0.564-SUM(W43:Y43)</f>
        <v>-0.30499999999999999</v>
      </c>
      <c r="AA43" s="53">
        <v>0.71799999999999997</v>
      </c>
      <c r="AB43" s="53">
        <v>-6.8000000000000005E-2</v>
      </c>
      <c r="AC43" s="53">
        <v>-0.38700000000000001</v>
      </c>
      <c r="AD43" s="53">
        <f>0.205-SUM(AA43:AC43)</f>
        <v>-5.7999999999999913E-2</v>
      </c>
      <c r="AE43" s="53">
        <v>-0.38400000000000001</v>
      </c>
      <c r="AF43" s="53">
        <v>-0.156</v>
      </c>
      <c r="AG43" s="53">
        <v>3.8050000000000002</v>
      </c>
      <c r="AH43" s="53">
        <f>3.229-SUM(AE43:AG43)</f>
        <v>-3.6000000000000032E-2</v>
      </c>
      <c r="AI43" s="53">
        <v>-0.16500000000000001</v>
      </c>
      <c r="AJ43" s="53">
        <v>0.66800000000000004</v>
      </c>
      <c r="AK43" s="53">
        <v>0.96399999999999997</v>
      </c>
      <c r="AL43" s="53">
        <f>0.926-SUM(AI43:AK43)</f>
        <v>-0.54100000000000004</v>
      </c>
      <c r="AM43" s="53">
        <v>-0.94</v>
      </c>
      <c r="AN43" s="53">
        <v>-0.439</v>
      </c>
      <c r="AO43" s="53">
        <v>-7.0999999999999994E-2</v>
      </c>
      <c r="AP43" s="53">
        <f>-1.814-SUM(AM43:AO43)</f>
        <v>-0.3640000000000001</v>
      </c>
      <c r="AQ43" s="53">
        <v>8.5999999999999993E-2</v>
      </c>
      <c r="AR43" s="53">
        <v>-4.4999999999999998E-2</v>
      </c>
      <c r="AS43" s="53">
        <v>-0.35</v>
      </c>
      <c r="AT43" s="53">
        <f>0.563-SUM(AQ43:AS43)</f>
        <v>0.87199999999999989</v>
      </c>
      <c r="AU43" s="53">
        <v>-0.23300000000000001</v>
      </c>
      <c r="AV43" s="53">
        <v>-0.7</v>
      </c>
      <c r="AW43" s="53">
        <v>0.318</v>
      </c>
      <c r="BK43" s="1">
        <f t="shared" si="51"/>
        <v>-2.6</v>
      </c>
      <c r="BL43" s="1">
        <f t="shared" si="52"/>
        <v>0.30000000000000004</v>
      </c>
      <c r="BM43" s="1">
        <f t="shared" si="53"/>
        <v>-0.4</v>
      </c>
      <c r="BN43" s="1">
        <f t="shared" si="54"/>
        <v>-9.9999999999999978E-2</v>
      </c>
      <c r="BO43" s="1">
        <f t="shared" si="55"/>
        <v>0</v>
      </c>
      <c r="BP43" s="53">
        <f t="shared" si="43"/>
        <v>-0.56399999999999995</v>
      </c>
      <c r="BQ43" s="53">
        <f t="shared" si="44"/>
        <v>0.20499999999999999</v>
      </c>
      <c r="BR43" s="53">
        <f t="shared" si="45"/>
        <v>3.2290000000000001</v>
      </c>
      <c r="BS43" s="53">
        <f t="shared" si="46"/>
        <v>0.92600000000000005</v>
      </c>
      <c r="BT43" s="53">
        <f t="shared" si="47"/>
        <v>-1.8140000000000001</v>
      </c>
      <c r="BU43" s="53">
        <f t="shared" si="48"/>
        <v>0.56299999999999994</v>
      </c>
    </row>
    <row r="44" spans="2:133">
      <c r="B44" s="1" t="s">
        <v>1430</v>
      </c>
      <c r="C44" s="53">
        <f>C40+SUM(C42:C42)</f>
        <v>-4.3999999999999986</v>
      </c>
      <c r="D44" s="53">
        <f t="shared" ref="D44:V44" si="61">D40+SUM(D42:D42)</f>
        <v>-10.099999999999998</v>
      </c>
      <c r="E44" s="53">
        <f t="shared" si="61"/>
        <v>-12.600000000000001</v>
      </c>
      <c r="F44" s="53">
        <f t="shared" si="61"/>
        <v>-11.7</v>
      </c>
      <c r="G44" s="53">
        <f t="shared" si="61"/>
        <v>-6.899999999999995</v>
      </c>
      <c r="H44" s="53">
        <f t="shared" si="61"/>
        <v>-10.599999999999998</v>
      </c>
      <c r="I44" s="53">
        <f t="shared" si="61"/>
        <v>-14.3</v>
      </c>
      <c r="J44" s="53">
        <f t="shared" si="61"/>
        <v>-11.800000000000004</v>
      </c>
      <c r="K44" s="53">
        <f t="shared" si="61"/>
        <v>-12.100000000000001</v>
      </c>
      <c r="L44" s="53">
        <f t="shared" si="61"/>
        <v>-11.399999999999999</v>
      </c>
      <c r="M44" s="53">
        <f t="shared" si="61"/>
        <v>-12.700000000000003</v>
      </c>
      <c r="N44" s="53">
        <f t="shared" si="61"/>
        <v>-7.3999999999999986</v>
      </c>
      <c r="O44" s="53">
        <f t="shared" si="61"/>
        <v>-6</v>
      </c>
      <c r="P44" s="53">
        <f t="shared" si="61"/>
        <v>-9.9000000000000057</v>
      </c>
      <c r="Q44" s="53">
        <f t="shared" si="61"/>
        <v>-13.799999999999997</v>
      </c>
      <c r="R44" s="53">
        <f t="shared" si="61"/>
        <v>-14.700000000000003</v>
      </c>
      <c r="S44" s="53">
        <f t="shared" si="61"/>
        <v>-9.5</v>
      </c>
      <c r="T44" s="53">
        <f t="shared" si="61"/>
        <v>-21.799999999999997</v>
      </c>
      <c r="U44" s="53">
        <f t="shared" si="61"/>
        <v>-10.699999999999996</v>
      </c>
      <c r="V44" s="53">
        <f t="shared" si="61"/>
        <v>-7.7999999999999901</v>
      </c>
      <c r="W44" s="53">
        <f t="shared" ref="W44:AT44" si="62">W40+SUM(W41:W43)</f>
        <v>-7.4519999999999937</v>
      </c>
      <c r="X44" s="53">
        <f t="shared" si="62"/>
        <v>-8.3300000000000072</v>
      </c>
      <c r="Y44" s="53">
        <f t="shared" si="62"/>
        <v>-15.953000000000001</v>
      </c>
      <c r="Z44" s="53">
        <f t="shared" si="62"/>
        <v>-15.605000000000011</v>
      </c>
      <c r="AA44" s="53">
        <f t="shared" si="62"/>
        <v>-10.283999999999995</v>
      </c>
      <c r="AB44" s="53">
        <f t="shared" si="62"/>
        <v>-19.77000000000001</v>
      </c>
      <c r="AC44" s="53">
        <f t="shared" si="62"/>
        <v>-10.439999999999998</v>
      </c>
      <c r="AD44" s="53">
        <f t="shared" si="62"/>
        <v>-7.785000000000001</v>
      </c>
      <c r="AE44" s="53">
        <f t="shared" si="62"/>
        <v>-7.6529999999999916</v>
      </c>
      <c r="AF44" s="53">
        <f t="shared" si="62"/>
        <v>-9.1459999999999813</v>
      </c>
      <c r="AG44" s="53">
        <f t="shared" si="62"/>
        <v>-7.4529999999999941</v>
      </c>
      <c r="AH44" s="53">
        <f t="shared" si="62"/>
        <v>-14.84800000000001</v>
      </c>
      <c r="AI44" s="53">
        <f t="shared" si="62"/>
        <v>-18.580000000000005</v>
      </c>
      <c r="AJ44" s="53">
        <f t="shared" si="62"/>
        <v>-28.431000000000008</v>
      </c>
      <c r="AK44" s="53">
        <f t="shared" si="62"/>
        <v>-29.224000000000011</v>
      </c>
      <c r="AL44" s="53">
        <f t="shared" si="62"/>
        <v>-12.765000000000029</v>
      </c>
      <c r="AM44" s="53">
        <f t="shared" si="62"/>
        <v>-45.565000000000005</v>
      </c>
      <c r="AN44" s="53">
        <f t="shared" si="62"/>
        <v>-20.091000000000015</v>
      </c>
      <c r="AO44" s="53">
        <f t="shared" si="62"/>
        <v>-55.648999999999994</v>
      </c>
      <c r="AP44" s="53">
        <f t="shared" si="62"/>
        <v>-2.7930000000000126</v>
      </c>
      <c r="AQ44" s="53">
        <f t="shared" si="62"/>
        <v>-10.973999999999986</v>
      </c>
      <c r="AR44" s="53">
        <f t="shared" si="62"/>
        <v>-16.094999999999999</v>
      </c>
      <c r="AS44" s="53">
        <f t="shared" si="62"/>
        <v>-16.031999999999947</v>
      </c>
      <c r="AT44" s="53">
        <f t="shared" si="62"/>
        <v>-6.3400000000000514</v>
      </c>
      <c r="AU44" s="53">
        <f>AU40+SUM(AU41:AU43)</f>
        <v>-19.437999999999978</v>
      </c>
      <c r="AV44" s="53">
        <f>AV40+SUM(AV41:AV43)</f>
        <v>-17.689999999999987</v>
      </c>
      <c r="AW44" s="53">
        <f>AW40+SUM(AW41:AW43)</f>
        <v>2.165000000000008</v>
      </c>
      <c r="BK44" s="1">
        <f t="shared" si="51"/>
        <v>-38.799999999999997</v>
      </c>
      <c r="BL44" s="1">
        <f t="shared" si="52"/>
        <v>-43.599999999999994</v>
      </c>
      <c r="BM44" s="1">
        <f t="shared" si="53"/>
        <v>-43.6</v>
      </c>
      <c r="BN44" s="1">
        <f t="shared" si="54"/>
        <v>-44.400000000000006</v>
      </c>
      <c r="BO44" s="1">
        <f t="shared" si="55"/>
        <v>-49.799999999999983</v>
      </c>
      <c r="BP44" s="53">
        <f t="shared" si="43"/>
        <v>-47.340000000000011</v>
      </c>
      <c r="BQ44" s="53">
        <f t="shared" si="44"/>
        <v>-48.279000000000003</v>
      </c>
      <c r="BR44" s="53">
        <f t="shared" si="45"/>
        <v>-39.09999999999998</v>
      </c>
      <c r="BS44" s="53">
        <f t="shared" si="46"/>
        <v>-89.000000000000043</v>
      </c>
      <c r="BT44" s="53">
        <f t="shared" si="47"/>
        <v>-124.09800000000001</v>
      </c>
      <c r="BU44" s="53">
        <f t="shared" si="48"/>
        <v>-49.440999999999981</v>
      </c>
    </row>
    <row r="45" spans="2:133">
      <c r="B45" s="1" t="s">
        <v>1454</v>
      </c>
      <c r="C45" s="53">
        <v>0</v>
      </c>
      <c r="D45" s="53">
        <v>0</v>
      </c>
      <c r="E45" s="53">
        <v>0</v>
      </c>
      <c r="F45" s="53">
        <v>0</v>
      </c>
      <c r="G45" s="53">
        <v>-0.1</v>
      </c>
      <c r="H45" s="53">
        <v>0.1</v>
      </c>
      <c r="I45" s="53">
        <v>0</v>
      </c>
      <c r="J45" s="53">
        <v>-1.5</v>
      </c>
      <c r="K45" s="53">
        <v>0</v>
      </c>
      <c r="L45" s="53">
        <v>0</v>
      </c>
      <c r="M45" s="53">
        <v>0</v>
      </c>
      <c r="N45" s="53">
        <v>0</v>
      </c>
      <c r="O45" s="53">
        <v>0</v>
      </c>
      <c r="P45" s="53">
        <v>0</v>
      </c>
      <c r="Q45" s="53">
        <v>0</v>
      </c>
      <c r="R45" s="53">
        <v>0</v>
      </c>
      <c r="S45" s="53">
        <v>0</v>
      </c>
      <c r="T45" s="53">
        <v>0</v>
      </c>
      <c r="U45" s="53">
        <v>0</v>
      </c>
      <c r="V45" s="53">
        <v>0.2</v>
      </c>
      <c r="W45" s="53">
        <v>1.0999999999999999E-2</v>
      </c>
      <c r="X45" s="53">
        <v>-8.0000000000000002E-3</v>
      </c>
      <c r="Y45" s="53">
        <v>9.8000000000000004E-2</v>
      </c>
      <c r="Z45" s="53">
        <f>0.139-SUM(W45:Y45)</f>
        <v>3.8000000000000006E-2</v>
      </c>
      <c r="AA45" s="53">
        <v>0.28899999999999998</v>
      </c>
      <c r="AB45" s="53">
        <v>-5.0000000000000001E-3</v>
      </c>
      <c r="AC45" s="53">
        <v>6.7000000000000004E-2</v>
      </c>
      <c r="AD45" s="53">
        <f>-0.291-SUM(AA45:AC45)</f>
        <v>-0.6419999999999999</v>
      </c>
      <c r="AE45" s="53">
        <v>-0.32900000000000001</v>
      </c>
      <c r="AF45" s="53">
        <v>0.36799999999999999</v>
      </c>
      <c r="AG45" s="53">
        <v>-0.88500000000000001</v>
      </c>
      <c r="AH45" s="53">
        <f>-1.37-SUM(AE45:AG45)</f>
        <v>-0.52400000000000002</v>
      </c>
      <c r="AI45" s="53">
        <v>-8.6999999999999994E-2</v>
      </c>
      <c r="AJ45" s="53">
        <v>0.43</v>
      </c>
      <c r="AK45" s="53">
        <v>0.46700000000000003</v>
      </c>
      <c r="AL45" s="53">
        <f>1.947-SUM(AI45:AK45)</f>
        <v>1.137</v>
      </c>
      <c r="AM45" s="53">
        <v>0.58499999999999996</v>
      </c>
      <c r="AN45" s="53">
        <v>0.81899999999999995</v>
      </c>
      <c r="AO45" s="53">
        <v>0.53</v>
      </c>
      <c r="AP45" s="53">
        <f>3.427-SUM(AM45:AO45)</f>
        <v>1.4930000000000001</v>
      </c>
      <c r="AQ45" s="53">
        <v>0.71299999999999997</v>
      </c>
      <c r="AR45" s="53">
        <v>1.4530000000000001</v>
      </c>
      <c r="AS45" s="53">
        <v>0.95899999999999996</v>
      </c>
      <c r="AT45" s="53">
        <f>5.601-SUM(AQ45:AS45)</f>
        <v>2.476</v>
      </c>
      <c r="AU45" s="53">
        <v>1.94</v>
      </c>
      <c r="AV45" s="53">
        <v>1.66</v>
      </c>
      <c r="AW45" s="53">
        <v>-0.626</v>
      </c>
      <c r="BK45" s="1">
        <f t="shared" si="51"/>
        <v>0</v>
      </c>
      <c r="BL45" s="1">
        <f t="shared" si="52"/>
        <v>-1.5</v>
      </c>
      <c r="BM45" s="1">
        <f t="shared" si="53"/>
        <v>0</v>
      </c>
      <c r="BN45" s="1">
        <f t="shared" si="54"/>
        <v>0</v>
      </c>
      <c r="BO45" s="1">
        <f t="shared" si="55"/>
        <v>0.2</v>
      </c>
      <c r="BP45" s="53">
        <f t="shared" si="43"/>
        <v>0.13900000000000001</v>
      </c>
      <c r="BQ45" s="53">
        <f t="shared" si="44"/>
        <v>-0.29099999999999993</v>
      </c>
      <c r="BR45" s="53">
        <f t="shared" si="45"/>
        <v>-1.37</v>
      </c>
      <c r="BS45" s="53">
        <f t="shared" si="46"/>
        <v>1.9470000000000001</v>
      </c>
      <c r="BT45" s="53">
        <f t="shared" si="47"/>
        <v>3.427</v>
      </c>
      <c r="BU45" s="53">
        <f t="shared" si="48"/>
        <v>5.601</v>
      </c>
    </row>
    <row r="46" spans="2:133" s="2" customFormat="1" ht="15">
      <c r="B46" s="2" t="s">
        <v>109</v>
      </c>
      <c r="C46" s="54">
        <f>C44-C45</f>
        <v>-4.3999999999999986</v>
      </c>
      <c r="D46" s="54">
        <f t="shared" ref="D46:AV46" si="63">D44-D45</f>
        <v>-10.099999999999998</v>
      </c>
      <c r="E46" s="54">
        <f t="shared" si="63"/>
        <v>-12.600000000000001</v>
      </c>
      <c r="F46" s="54">
        <f t="shared" si="63"/>
        <v>-11.7</v>
      </c>
      <c r="G46" s="54">
        <f t="shared" si="63"/>
        <v>-6.7999999999999954</v>
      </c>
      <c r="H46" s="54">
        <f t="shared" si="63"/>
        <v>-10.699999999999998</v>
      </c>
      <c r="I46" s="54">
        <f t="shared" si="63"/>
        <v>-14.3</v>
      </c>
      <c r="J46" s="54">
        <f t="shared" si="63"/>
        <v>-10.300000000000004</v>
      </c>
      <c r="K46" s="54">
        <f t="shared" si="63"/>
        <v>-12.100000000000001</v>
      </c>
      <c r="L46" s="54">
        <f t="shared" si="63"/>
        <v>-11.399999999999999</v>
      </c>
      <c r="M46" s="54">
        <f t="shared" si="63"/>
        <v>-12.700000000000003</v>
      </c>
      <c r="N46" s="54">
        <f t="shared" si="63"/>
        <v>-7.3999999999999986</v>
      </c>
      <c r="O46" s="54">
        <f t="shared" si="63"/>
        <v>-6</v>
      </c>
      <c r="P46" s="54">
        <f t="shared" si="63"/>
        <v>-9.9000000000000057</v>
      </c>
      <c r="Q46" s="54">
        <f t="shared" si="63"/>
        <v>-13.799999999999997</v>
      </c>
      <c r="R46" s="54">
        <f t="shared" si="63"/>
        <v>-14.700000000000003</v>
      </c>
      <c r="S46" s="54">
        <f t="shared" si="63"/>
        <v>-9.5</v>
      </c>
      <c r="T46" s="54">
        <f t="shared" si="63"/>
        <v>-21.799999999999997</v>
      </c>
      <c r="U46" s="54">
        <f t="shared" si="63"/>
        <v>-10.699999999999996</v>
      </c>
      <c r="V46" s="54">
        <f t="shared" si="63"/>
        <v>-7.9999999999999902</v>
      </c>
      <c r="W46" s="54">
        <f t="shared" si="63"/>
        <v>-7.4629999999999939</v>
      </c>
      <c r="X46" s="54">
        <f t="shared" si="63"/>
        <v>-8.3220000000000081</v>
      </c>
      <c r="Y46" s="54">
        <f t="shared" si="63"/>
        <v>-16.051000000000002</v>
      </c>
      <c r="Z46" s="54">
        <f t="shared" si="63"/>
        <v>-15.643000000000011</v>
      </c>
      <c r="AA46" s="54">
        <f t="shared" si="63"/>
        <v>-10.572999999999995</v>
      </c>
      <c r="AB46" s="54">
        <f t="shared" si="63"/>
        <v>-19.765000000000011</v>
      </c>
      <c r="AC46" s="54">
        <f t="shared" si="63"/>
        <v>-10.506999999999998</v>
      </c>
      <c r="AD46" s="54">
        <f t="shared" si="63"/>
        <v>-7.1430000000000007</v>
      </c>
      <c r="AE46" s="54">
        <f t="shared" si="63"/>
        <v>-7.3239999999999919</v>
      </c>
      <c r="AF46" s="54">
        <f t="shared" si="63"/>
        <v>-9.5139999999999816</v>
      </c>
      <c r="AG46" s="54">
        <f t="shared" si="63"/>
        <v>-6.5679999999999943</v>
      </c>
      <c r="AH46" s="54">
        <f t="shared" si="63"/>
        <v>-14.324000000000009</v>
      </c>
      <c r="AI46" s="54">
        <f t="shared" si="63"/>
        <v>-18.493000000000006</v>
      </c>
      <c r="AJ46" s="54">
        <f t="shared" si="63"/>
        <v>-28.861000000000008</v>
      </c>
      <c r="AK46" s="54">
        <f t="shared" si="63"/>
        <v>-29.69100000000001</v>
      </c>
      <c r="AL46" s="54">
        <f t="shared" si="63"/>
        <v>-13.902000000000029</v>
      </c>
      <c r="AM46" s="54">
        <f t="shared" si="63"/>
        <v>-46.150000000000006</v>
      </c>
      <c r="AN46" s="54">
        <f t="shared" si="63"/>
        <v>-20.910000000000014</v>
      </c>
      <c r="AO46" s="54">
        <f t="shared" si="63"/>
        <v>-56.178999999999995</v>
      </c>
      <c r="AP46" s="54">
        <f t="shared" si="63"/>
        <v>-4.2860000000000129</v>
      </c>
      <c r="AQ46" s="54">
        <f t="shared" si="63"/>
        <v>-11.686999999999985</v>
      </c>
      <c r="AR46" s="54">
        <f t="shared" si="63"/>
        <v>-17.547999999999998</v>
      </c>
      <c r="AS46" s="54">
        <f t="shared" si="63"/>
        <v>-16.990999999999946</v>
      </c>
      <c r="AT46" s="54">
        <f t="shared" si="63"/>
        <v>-8.8160000000000522</v>
      </c>
      <c r="AU46" s="54">
        <f t="shared" si="63"/>
        <v>-21.377999999999979</v>
      </c>
      <c r="AV46" s="54">
        <f t="shared" si="63"/>
        <v>-19.349999999999987</v>
      </c>
      <c r="AW46" s="54">
        <f t="shared" ref="AW46" si="64">AW44-AW45</f>
        <v>2.7910000000000079</v>
      </c>
      <c r="AX46" s="34">
        <v>1.21</v>
      </c>
      <c r="AY46" s="34">
        <v>-14.59</v>
      </c>
      <c r="AZ46" s="34">
        <v>-14.18</v>
      </c>
      <c r="BA46" s="87">
        <v>-5.2</v>
      </c>
      <c r="BB46" s="87">
        <v>7.2</v>
      </c>
      <c r="BK46" s="1">
        <f t="shared" si="51"/>
        <v>-38.799999999999997</v>
      </c>
      <c r="BL46" s="1">
        <f t="shared" si="52"/>
        <v>-42.099999999999994</v>
      </c>
      <c r="BM46" s="1">
        <f t="shared" si="53"/>
        <v>-43.6</v>
      </c>
      <c r="BN46" s="1">
        <f t="shared" si="54"/>
        <v>-44.400000000000006</v>
      </c>
      <c r="BO46" s="1">
        <f t="shared" si="55"/>
        <v>-49.999999999999986</v>
      </c>
      <c r="BP46" s="54">
        <f t="shared" si="43"/>
        <v>-47.479000000000013</v>
      </c>
      <c r="BQ46" s="54">
        <f t="shared" si="44"/>
        <v>-47.988000000000007</v>
      </c>
      <c r="BR46" s="54">
        <f t="shared" si="45"/>
        <v>-37.729999999999976</v>
      </c>
      <c r="BS46" s="54">
        <f t="shared" si="46"/>
        <v>-90.947000000000045</v>
      </c>
      <c r="BT46" s="54">
        <f t="shared" si="47"/>
        <v>-127.52500000000002</v>
      </c>
      <c r="BU46" s="54">
        <f t="shared" si="48"/>
        <v>-55.04199999999998</v>
      </c>
      <c r="BV46" s="34">
        <v>-57.74</v>
      </c>
      <c r="BW46" s="34">
        <v>-13.43</v>
      </c>
      <c r="BX46" s="34"/>
      <c r="BY46" s="34"/>
      <c r="BZ46" s="34"/>
      <c r="CA46" s="34"/>
      <c r="CB46" s="34"/>
      <c r="CC46" s="34"/>
      <c r="CD46" s="34"/>
      <c r="CE46" s="34"/>
      <c r="CF46" s="34"/>
      <c r="CG46" s="34"/>
      <c r="CH46" s="34"/>
      <c r="CI46" s="34"/>
      <c r="CJ46" s="34"/>
      <c r="CK46" s="34"/>
      <c r="CL46" s="34"/>
      <c r="CM46" s="34"/>
      <c r="CN46" s="34"/>
      <c r="CO46" s="34"/>
      <c r="CP46" s="34"/>
      <c r="CQ46" s="34"/>
      <c r="CR46" s="34"/>
      <c r="CS46" s="34"/>
      <c r="CT46" s="34"/>
      <c r="CU46" s="34"/>
      <c r="CV46" s="34"/>
      <c r="CW46" s="34"/>
      <c r="CX46" s="34"/>
      <c r="CY46" s="34"/>
      <c r="CZ46" s="34"/>
      <c r="DA46" s="34"/>
      <c r="DB46" s="34"/>
      <c r="DC46" s="34"/>
      <c r="DD46" s="34"/>
      <c r="DE46" s="34"/>
      <c r="DF46" s="34"/>
      <c r="DG46" s="34"/>
      <c r="DH46" s="34"/>
      <c r="DI46" s="34"/>
      <c r="DJ46" s="34"/>
      <c r="DK46" s="34"/>
      <c r="DL46" s="34"/>
      <c r="DM46" s="34"/>
      <c r="DN46" s="34"/>
      <c r="DO46" s="34"/>
      <c r="DP46" s="34"/>
      <c r="DQ46" s="34"/>
      <c r="DR46" s="34"/>
      <c r="DS46" s="34"/>
      <c r="DT46" s="34"/>
      <c r="DU46" s="34"/>
      <c r="DV46" s="34"/>
      <c r="DW46" s="34"/>
      <c r="DX46" s="34"/>
      <c r="DY46" s="34"/>
      <c r="DZ46" s="34"/>
      <c r="EA46" s="34"/>
      <c r="EB46" s="34"/>
      <c r="EC46" s="34"/>
    </row>
    <row r="47" spans="2:133">
      <c r="B47" s="1" t="s">
        <v>113</v>
      </c>
      <c r="C47" s="53">
        <v>31.8</v>
      </c>
      <c r="D47" s="53">
        <v>31.8</v>
      </c>
      <c r="E47" s="53">
        <v>31.8</v>
      </c>
      <c r="F47" s="53">
        <v>31.6</v>
      </c>
      <c r="G47" s="53">
        <v>39</v>
      </c>
      <c r="H47" s="53">
        <v>39</v>
      </c>
      <c r="I47" s="53">
        <v>39</v>
      </c>
      <c r="J47" s="53">
        <v>39</v>
      </c>
      <c r="K47" s="53">
        <v>40</v>
      </c>
      <c r="L47" s="53">
        <v>41</v>
      </c>
      <c r="M47" s="53">
        <v>41</v>
      </c>
      <c r="N47" s="53">
        <v>41</v>
      </c>
      <c r="O47" s="53">
        <v>41</v>
      </c>
      <c r="P47" s="53">
        <v>41</v>
      </c>
      <c r="Q47" s="53">
        <v>41</v>
      </c>
      <c r="R47" s="53">
        <v>42.4</v>
      </c>
      <c r="S47" s="53">
        <v>43</v>
      </c>
      <c r="T47" s="53">
        <v>43</v>
      </c>
      <c r="U47" s="53">
        <v>43.6</v>
      </c>
      <c r="V47" s="53">
        <v>44.1</v>
      </c>
      <c r="W47" s="53">
        <v>45.228999999999999</v>
      </c>
      <c r="X47" s="53">
        <v>46.165999999999997</v>
      </c>
      <c r="Y47" s="53">
        <v>46.731000000000002</v>
      </c>
      <c r="Z47" s="53">
        <v>46.302</v>
      </c>
      <c r="AA47" s="53">
        <v>47.545000000000002</v>
      </c>
      <c r="AB47" s="53">
        <v>48.170999999999999</v>
      </c>
      <c r="AC47" s="53">
        <v>48.84</v>
      </c>
      <c r="AD47" s="53">
        <v>48.448</v>
      </c>
      <c r="AE47" s="53">
        <v>50.244</v>
      </c>
      <c r="AF47" s="53">
        <v>51.064999999999998</v>
      </c>
      <c r="AG47" s="53">
        <v>51.441000000000003</v>
      </c>
      <c r="AH47" s="53">
        <v>51.125999999999998</v>
      </c>
      <c r="AI47" s="53">
        <v>52.595999999999997</v>
      </c>
      <c r="AJ47" s="53">
        <v>52.85</v>
      </c>
      <c r="AK47" s="53">
        <v>53.081000000000003</v>
      </c>
      <c r="AL47" s="53">
        <v>52.954000000000001</v>
      </c>
      <c r="AM47" s="53">
        <v>53.69</v>
      </c>
      <c r="AN47" s="53">
        <v>54.009</v>
      </c>
      <c r="AO47" s="53">
        <v>54.256</v>
      </c>
      <c r="AP47" s="53">
        <v>54.098999999999997</v>
      </c>
      <c r="AQ47" s="53">
        <v>54.914999999999999</v>
      </c>
      <c r="AR47" s="53">
        <v>55.177</v>
      </c>
      <c r="AS47" s="53">
        <v>55.581000000000003</v>
      </c>
      <c r="AT47" s="53">
        <v>55.354999999999997</v>
      </c>
      <c r="AU47" s="53">
        <v>56.156999999999996</v>
      </c>
      <c r="AV47" s="53">
        <v>56.076000000000001</v>
      </c>
      <c r="AW47" s="53">
        <v>56.347000000000001</v>
      </c>
      <c r="BK47" s="53">
        <f>AVERAGE(C47:F47)</f>
        <v>31.75</v>
      </c>
      <c r="BL47" s="53">
        <f>AVERAGE(G47:J47)</f>
        <v>39</v>
      </c>
      <c r="BM47" s="53">
        <f>AVERAGE(K47:N47)</f>
        <v>40.75</v>
      </c>
      <c r="BN47" s="53">
        <f>AVERAGE(O47:R47)</f>
        <v>41.35</v>
      </c>
      <c r="BO47" s="53">
        <f>AVERAGE(S47:V47)</f>
        <v>43.424999999999997</v>
      </c>
      <c r="BP47" s="53">
        <f>AVERAGE(W47:Z47)</f>
        <v>46.106999999999999</v>
      </c>
      <c r="BQ47" s="53">
        <f>AVERAGE(AA47:AD47)</f>
        <v>48.251000000000005</v>
      </c>
      <c r="BR47" s="53">
        <f>AVERAGE(AE47:AH47)</f>
        <v>50.969000000000001</v>
      </c>
      <c r="BS47" s="53">
        <f>AVERAGE(AI47:AL47)</f>
        <v>52.870249999999999</v>
      </c>
      <c r="BT47" s="53">
        <f>AVERAGE(AM47:AP47)</f>
        <v>54.013499999999993</v>
      </c>
      <c r="BU47" s="53">
        <f>AVERAGE(AQ47:AT47)</f>
        <v>55.256999999999998</v>
      </c>
    </row>
    <row r="48" spans="2:133">
      <c r="B48" s="1" t="s">
        <v>1453</v>
      </c>
      <c r="C48" s="39">
        <f>C46/C47</f>
        <v>-0.13836477987421378</v>
      </c>
      <c r="D48" s="39">
        <f t="shared" ref="D48:AV48" si="65">D46/D47</f>
        <v>-0.31761006289308169</v>
      </c>
      <c r="E48" s="39">
        <f t="shared" si="65"/>
        <v>-0.39622641509433965</v>
      </c>
      <c r="F48" s="39">
        <f t="shared" si="65"/>
        <v>-0.370253164556962</v>
      </c>
      <c r="G48" s="39">
        <f t="shared" si="65"/>
        <v>-0.17435897435897424</v>
      </c>
      <c r="H48" s="39">
        <f t="shared" si="65"/>
        <v>-0.27435897435897427</v>
      </c>
      <c r="I48" s="39">
        <f t="shared" si="65"/>
        <v>-0.3666666666666667</v>
      </c>
      <c r="J48" s="39">
        <f t="shared" si="65"/>
        <v>-0.26410256410256422</v>
      </c>
      <c r="K48" s="39">
        <f t="shared" si="65"/>
        <v>-0.30250000000000005</v>
      </c>
      <c r="L48" s="39">
        <f t="shared" si="65"/>
        <v>-0.27804878048780485</v>
      </c>
      <c r="M48" s="39">
        <f t="shared" si="65"/>
        <v>-0.30975609756097566</v>
      </c>
      <c r="N48" s="39">
        <f t="shared" si="65"/>
        <v>-0.18048780487804875</v>
      </c>
      <c r="O48" s="39">
        <f t="shared" si="65"/>
        <v>-0.14634146341463414</v>
      </c>
      <c r="P48" s="39">
        <f t="shared" si="65"/>
        <v>-0.24146341463414647</v>
      </c>
      <c r="Q48" s="39">
        <f t="shared" si="65"/>
        <v>-0.33658536585365845</v>
      </c>
      <c r="R48" s="39">
        <f t="shared" si="65"/>
        <v>-0.34669811320754723</v>
      </c>
      <c r="S48" s="39">
        <f t="shared" si="65"/>
        <v>-0.22093023255813954</v>
      </c>
      <c r="T48" s="39">
        <f t="shared" si="65"/>
        <v>-0.50697674418604644</v>
      </c>
      <c r="U48" s="39">
        <f t="shared" si="65"/>
        <v>-0.24541284403669714</v>
      </c>
      <c r="V48" s="39">
        <f t="shared" si="65"/>
        <v>-0.18140589569160975</v>
      </c>
      <c r="W48" s="39">
        <f t="shared" si="65"/>
        <v>-0.16500475358730005</v>
      </c>
      <c r="X48" s="39">
        <f t="shared" si="65"/>
        <v>-0.18026253086687191</v>
      </c>
      <c r="Y48" s="39">
        <f t="shared" si="65"/>
        <v>-0.34347649312019862</v>
      </c>
      <c r="Z48" s="39">
        <f t="shared" si="65"/>
        <v>-0.3378471772277658</v>
      </c>
      <c r="AA48" s="39">
        <f t="shared" si="65"/>
        <v>-0.22237879903249541</v>
      </c>
      <c r="AB48" s="39">
        <f t="shared" si="65"/>
        <v>-0.41030910713915036</v>
      </c>
      <c r="AC48" s="39">
        <f t="shared" si="65"/>
        <v>-0.21513104013104006</v>
      </c>
      <c r="AD48" s="39">
        <f t="shared" si="65"/>
        <v>-0.14743642668428006</v>
      </c>
      <c r="AE48" s="39">
        <f t="shared" si="65"/>
        <v>-0.14576864899291442</v>
      </c>
      <c r="AF48" s="39">
        <f t="shared" si="65"/>
        <v>-0.18631156369333168</v>
      </c>
      <c r="AG48" s="39">
        <f t="shared" si="65"/>
        <v>-0.12768025504947403</v>
      </c>
      <c r="AH48" s="39">
        <f t="shared" si="65"/>
        <v>-0.28017055901107085</v>
      </c>
      <c r="AI48" s="39">
        <f t="shared" si="65"/>
        <v>-0.35160468476690254</v>
      </c>
      <c r="AJ48" s="39">
        <f t="shared" si="65"/>
        <v>-0.54609271523178826</v>
      </c>
      <c r="AK48" s="39">
        <f t="shared" si="65"/>
        <v>-0.55935268740227218</v>
      </c>
      <c r="AL48" s="39">
        <f t="shared" si="65"/>
        <v>-0.26252974279563451</v>
      </c>
      <c r="AM48" s="39">
        <f t="shared" si="65"/>
        <v>-0.8595641646489105</v>
      </c>
      <c r="AN48" s="39">
        <f t="shared" si="65"/>
        <v>-0.38715769593956589</v>
      </c>
      <c r="AO48" s="39">
        <f t="shared" si="65"/>
        <v>-1.0354430846358005</v>
      </c>
      <c r="AP48" s="39">
        <f t="shared" si="65"/>
        <v>-7.9225124309137196E-2</v>
      </c>
      <c r="AQ48" s="39">
        <f t="shared" si="65"/>
        <v>-0.212819812437403</v>
      </c>
      <c r="AR48" s="39">
        <f t="shared" si="65"/>
        <v>-0.31803106366783257</v>
      </c>
      <c r="AS48" s="39">
        <f t="shared" si="65"/>
        <v>-0.30569799032043227</v>
      </c>
      <c r="AT48" s="39">
        <f t="shared" si="65"/>
        <v>-0.15926293921055104</v>
      </c>
      <c r="AU48" s="39">
        <f t="shared" si="65"/>
        <v>-0.38068272877824633</v>
      </c>
      <c r="AV48" s="39">
        <f t="shared" si="65"/>
        <v>-0.3450674085170124</v>
      </c>
      <c r="AW48" s="39">
        <f t="shared" ref="AW48" si="66">AW46/AW47</f>
        <v>4.9532361971356201E-2</v>
      </c>
      <c r="AX48" s="61"/>
      <c r="AY48" s="61"/>
      <c r="AZ48" s="61"/>
      <c r="BA48" s="61"/>
      <c r="BB48" s="61"/>
      <c r="BK48" s="39">
        <f t="shared" si="51"/>
        <v>-1.2224544224185971</v>
      </c>
      <c r="BL48" s="39">
        <f t="shared" si="52"/>
        <v>-1.0794871794871794</v>
      </c>
      <c r="BM48" s="39">
        <f t="shared" si="53"/>
        <v>-1.0707926829268293</v>
      </c>
      <c r="BN48" s="39">
        <f t="shared" si="54"/>
        <v>-1.0710883571099863</v>
      </c>
      <c r="BO48" s="39">
        <f t="shared" si="55"/>
        <v>-1.1547257164724929</v>
      </c>
      <c r="BP48" s="39">
        <f t="shared" ref="BP48:BT48" si="67">BP46/BP47</f>
        <v>-1.0297568698896049</v>
      </c>
      <c r="BQ48" s="39">
        <f t="shared" si="67"/>
        <v>-0.99454933576506188</v>
      </c>
      <c r="BR48" s="39">
        <f t="shared" si="67"/>
        <v>-0.74025387980929536</v>
      </c>
      <c r="BS48" s="39">
        <f t="shared" si="67"/>
        <v>-1.7201923577058942</v>
      </c>
      <c r="BT48" s="39">
        <f t="shared" si="67"/>
        <v>-2.3609838281170457</v>
      </c>
      <c r="BU48" s="39">
        <f>BU46/BU47</f>
        <v>-0.99610909025100858</v>
      </c>
    </row>
    <row r="49" spans="2:73">
      <c r="AV49" s="53"/>
      <c r="AW49" s="53"/>
    </row>
    <row r="50" spans="2:73">
      <c r="B50" s="36" t="s">
        <v>1422</v>
      </c>
      <c r="C50" s="55"/>
      <c r="D50" s="55"/>
      <c r="E50" s="55"/>
      <c r="F50" s="55"/>
      <c r="G50" s="55"/>
      <c r="H50" s="55"/>
      <c r="I50" s="55"/>
      <c r="J50" s="55"/>
      <c r="K50" s="55"/>
      <c r="L50" s="55"/>
      <c r="M50" s="55"/>
      <c r="N50" s="55"/>
      <c r="O50" s="55"/>
      <c r="P50" s="55"/>
      <c r="Q50" s="55"/>
      <c r="R50" s="55"/>
      <c r="S50" s="55"/>
      <c r="T50" s="55"/>
      <c r="U50" s="55"/>
      <c r="V50" s="55"/>
      <c r="W50" s="55">
        <f t="shared" ref="W50:AT50" si="68">(W30-W33)/W30</f>
        <v>0.82522317053614391</v>
      </c>
      <c r="X50" s="55">
        <f t="shared" si="68"/>
        <v>0.83129382193411827</v>
      </c>
      <c r="Y50" s="55">
        <f t="shared" si="68"/>
        <v>0.82666370473802797</v>
      </c>
      <c r="Z50" s="55">
        <f t="shared" si="68"/>
        <v>0.81940497067182683</v>
      </c>
      <c r="AA50" s="55">
        <f t="shared" si="68"/>
        <v>0.82222319743713523</v>
      </c>
      <c r="AB50" s="55">
        <f t="shared" si="68"/>
        <v>0.82887292067443707</v>
      </c>
      <c r="AC50" s="55">
        <f t="shared" si="68"/>
        <v>0.84162162162162168</v>
      </c>
      <c r="AD50" s="55">
        <f t="shared" si="68"/>
        <v>0.83649499814746198</v>
      </c>
      <c r="AE50" s="55">
        <f t="shared" si="68"/>
        <v>0.8445653197701799</v>
      </c>
      <c r="AF50" s="55">
        <f t="shared" si="68"/>
        <v>0.84542514116550627</v>
      </c>
      <c r="AG50" s="55">
        <f t="shared" si="68"/>
        <v>0.84222339048851513</v>
      </c>
      <c r="AH50" s="55">
        <f t="shared" si="68"/>
        <v>0.83080345584780446</v>
      </c>
      <c r="AI50" s="55">
        <f t="shared" si="68"/>
        <v>0.82698842419716201</v>
      </c>
      <c r="AJ50" s="55">
        <f t="shared" si="68"/>
        <v>0.83313189770010487</v>
      </c>
      <c r="AK50" s="55">
        <f t="shared" si="68"/>
        <v>0.83780388056429245</v>
      </c>
      <c r="AL50" s="55">
        <f t="shared" si="68"/>
        <v>0.83294007356738253</v>
      </c>
      <c r="AM50" s="55">
        <f t="shared" si="68"/>
        <v>0.81388049111549854</v>
      </c>
      <c r="AN50" s="55">
        <f t="shared" si="68"/>
        <v>0.81660720030415579</v>
      </c>
      <c r="AO50" s="55">
        <f t="shared" si="68"/>
        <v>0.82663626665551071</v>
      </c>
      <c r="AP50" s="55">
        <f t="shared" si="68"/>
        <v>0.83121622711508991</v>
      </c>
      <c r="AQ50" s="55">
        <f t="shared" si="68"/>
        <v>0.81980139244671868</v>
      </c>
      <c r="AR50" s="55">
        <f t="shared" si="68"/>
        <v>0.82614240831181762</v>
      </c>
      <c r="AS50" s="55">
        <f t="shared" si="68"/>
        <v>0.82096646885140467</v>
      </c>
      <c r="AT50" s="55">
        <f t="shared" si="68"/>
        <v>0.8219760416148415</v>
      </c>
      <c r="AU50" s="55">
        <f t="shared" ref="AU50:AW51" si="69">(AU30-AU33)/AU30</f>
        <v>0.81638923627582038</v>
      </c>
      <c r="AV50" s="55">
        <f t="shared" si="69"/>
        <v>0.82203377004686651</v>
      </c>
      <c r="AW50" s="55">
        <f t="shared" si="69"/>
        <v>0.83861423935865631</v>
      </c>
      <c r="BK50" s="55"/>
      <c r="BL50" s="55"/>
      <c r="BM50" s="55"/>
      <c r="BN50" s="55"/>
      <c r="BO50" s="55"/>
      <c r="BP50" s="55">
        <f t="shared" ref="BP50:BT50" si="70">(BP30-BP33)/BP30</f>
        <v>0.82552031412121329</v>
      </c>
      <c r="BQ50" s="55">
        <f t="shared" si="70"/>
        <v>0.83269061130131783</v>
      </c>
      <c r="BR50" s="55">
        <f t="shared" si="70"/>
        <v>0.84037802499077352</v>
      </c>
      <c r="BS50" s="55">
        <f t="shared" si="70"/>
        <v>0.83285620570617391</v>
      </c>
      <c r="BT50" s="55">
        <f t="shared" si="70"/>
        <v>0.82244001109828246</v>
      </c>
      <c r="BU50" s="55">
        <f>(BU30-BU33)/BU30</f>
        <v>0.82221566518783906</v>
      </c>
    </row>
    <row r="51" spans="2:73">
      <c r="B51" s="36" t="s">
        <v>1423</v>
      </c>
      <c r="C51" s="55"/>
      <c r="D51" s="55"/>
      <c r="E51" s="55"/>
      <c r="F51" s="55"/>
      <c r="G51" s="55"/>
      <c r="H51" s="55"/>
      <c r="I51" s="55"/>
      <c r="J51" s="55"/>
      <c r="K51" s="55"/>
      <c r="L51" s="55"/>
      <c r="M51" s="55"/>
      <c r="N51" s="55"/>
      <c r="O51" s="55"/>
      <c r="P51" s="55"/>
      <c r="Q51" s="55"/>
      <c r="R51" s="55"/>
      <c r="S51" s="55"/>
      <c r="T51" s="55"/>
      <c r="U51" s="55"/>
      <c r="V51" s="55"/>
      <c r="W51" s="55">
        <f t="shared" ref="W51:AT51" si="71">(W31-W34)/W31</f>
        <v>0.29718208092485549</v>
      </c>
      <c r="X51" s="55">
        <f t="shared" si="71"/>
        <v>0.19497387027359367</v>
      </c>
      <c r="Y51" s="55">
        <f t="shared" si="71"/>
        <v>2.957784350631891E-2</v>
      </c>
      <c r="Z51" s="55">
        <f t="shared" si="71"/>
        <v>0.21357228872989981</v>
      </c>
      <c r="AA51" s="55">
        <f t="shared" si="71"/>
        <v>0.41267201834862388</v>
      </c>
      <c r="AB51" s="55">
        <f t="shared" si="71"/>
        <v>0.22926162260711033</v>
      </c>
      <c r="AC51" s="55">
        <f t="shared" si="71"/>
        <v>0.1939750183688464</v>
      </c>
      <c r="AD51" s="55">
        <f t="shared" si="71"/>
        <v>0.1906094527363183</v>
      </c>
      <c r="AE51" s="55">
        <f t="shared" si="71"/>
        <v>0.45691174945556368</v>
      </c>
      <c r="AF51" s="55">
        <f t="shared" si="71"/>
        <v>0.27040745376164654</v>
      </c>
      <c r="AG51" s="55">
        <f t="shared" si="71"/>
        <v>0.21638487773020823</v>
      </c>
      <c r="AH51" s="55">
        <f t="shared" si="71"/>
        <v>0.30189136760426777</v>
      </c>
      <c r="AI51" s="55">
        <f t="shared" si="71"/>
        <v>0.45286867074576576</v>
      </c>
      <c r="AJ51" s="55">
        <f t="shared" si="71"/>
        <v>0.26786106836667395</v>
      </c>
      <c r="AK51" s="55">
        <f t="shared" si="71"/>
        <v>7.5326132697433129E-2</v>
      </c>
      <c r="AL51" s="55">
        <f t="shared" si="71"/>
        <v>0.25674771358465304</v>
      </c>
      <c r="AM51" s="55">
        <f t="shared" si="71"/>
        <v>0.29914738124238727</v>
      </c>
      <c r="AN51" s="55">
        <f t="shared" si="71"/>
        <v>0.20980821917808223</v>
      </c>
      <c r="AO51" s="55">
        <f t="shared" si="71"/>
        <v>8.5603904026026842E-2</v>
      </c>
      <c r="AP51" s="55">
        <f t="shared" si="71"/>
        <v>0.28732157850545731</v>
      </c>
      <c r="AQ51" s="55">
        <f t="shared" si="71"/>
        <v>0.34280742459396746</v>
      </c>
      <c r="AR51" s="55">
        <f t="shared" si="71"/>
        <v>0.21117604961832062</v>
      </c>
      <c r="AS51" s="55">
        <f t="shared" si="71"/>
        <v>0.10536779324055659</v>
      </c>
      <c r="AT51" s="55">
        <f t="shared" si="71"/>
        <v>0.28992680743510124</v>
      </c>
      <c r="AU51" s="55">
        <f t="shared" si="69"/>
        <v>0.31213872832369949</v>
      </c>
      <c r="AV51" s="55">
        <f t="shared" si="69"/>
        <v>0.15919811320754723</v>
      </c>
      <c r="AW51" s="55">
        <f t="shared" si="69"/>
        <v>0.14037250068474383</v>
      </c>
      <c r="BK51" s="55"/>
      <c r="BL51" s="55"/>
      <c r="BM51" s="55"/>
      <c r="BN51" s="55"/>
      <c r="BO51" s="55"/>
      <c r="BP51" s="55">
        <f t="shared" ref="BP51:BT51" si="72">(BP31-BP34)/BP31</f>
        <v>0.19174692092238035</v>
      </c>
      <c r="BQ51" s="55">
        <f t="shared" si="72"/>
        <v>0.26998941077229571</v>
      </c>
      <c r="BR51" s="55">
        <f t="shared" si="72"/>
        <v>0.32313707092032229</v>
      </c>
      <c r="BS51" s="55">
        <f t="shared" si="72"/>
        <v>0.28469975322182617</v>
      </c>
      <c r="BT51" s="55">
        <f t="shared" si="72"/>
        <v>0.22922094293638121</v>
      </c>
      <c r="BU51" s="55">
        <f>(BU31-BU34)/BU31</f>
        <v>0.24883858433989367</v>
      </c>
    </row>
    <row r="52" spans="2:73">
      <c r="B52" s="37" t="s">
        <v>1476</v>
      </c>
      <c r="C52" s="55">
        <f t="shared" ref="C52:V52" si="73">C36/C32</f>
        <v>0.73309608540925264</v>
      </c>
      <c r="D52" s="55">
        <f t="shared" si="73"/>
        <v>0.70188679245283025</v>
      </c>
      <c r="E52" s="55">
        <f t="shared" si="73"/>
        <v>0.69534050179211471</v>
      </c>
      <c r="F52" s="55">
        <f t="shared" si="73"/>
        <v>0.66777408637873759</v>
      </c>
      <c r="G52" s="55">
        <f t="shared" si="73"/>
        <v>0.72443181818181823</v>
      </c>
      <c r="H52" s="55">
        <f t="shared" si="73"/>
        <v>0.71176470588235297</v>
      </c>
      <c r="I52" s="55">
        <f t="shared" si="73"/>
        <v>0.73002754820936633</v>
      </c>
      <c r="J52" s="55">
        <f t="shared" si="73"/>
        <v>0.72431077694235591</v>
      </c>
      <c r="K52" s="55">
        <f t="shared" si="73"/>
        <v>0.70627802690582953</v>
      </c>
      <c r="L52" s="55">
        <f t="shared" si="73"/>
        <v>0.7069767441860465</v>
      </c>
      <c r="M52" s="55">
        <f t="shared" si="73"/>
        <v>0.71588366890380306</v>
      </c>
      <c r="N52" s="55">
        <f t="shared" si="73"/>
        <v>0.71551724137931039</v>
      </c>
      <c r="O52" s="55">
        <f t="shared" si="73"/>
        <v>0.7263969171483623</v>
      </c>
      <c r="P52" s="55">
        <f t="shared" si="73"/>
        <v>0.71052631578947356</v>
      </c>
      <c r="Q52" s="55">
        <f t="shared" si="73"/>
        <v>0.6986564299424185</v>
      </c>
      <c r="R52" s="55">
        <f t="shared" si="73"/>
        <v>0.70458715596330268</v>
      </c>
      <c r="S52" s="55">
        <f t="shared" si="73"/>
        <v>0.72454090150250416</v>
      </c>
      <c r="T52" s="55">
        <f t="shared" si="73"/>
        <v>0.72419627749576987</v>
      </c>
      <c r="U52" s="55">
        <f t="shared" si="73"/>
        <v>0.74220032840722505</v>
      </c>
      <c r="V52" s="55">
        <f t="shared" si="73"/>
        <v>0.72981366459627339</v>
      </c>
      <c r="W52" s="55">
        <f t="shared" ref="W52:AT52" si="74">W36/W32</f>
        <v>0.7207666909652245</v>
      </c>
      <c r="X52" s="55">
        <f t="shared" si="74"/>
        <v>0.71861901910619996</v>
      </c>
      <c r="Y52" s="55">
        <f t="shared" si="74"/>
        <v>0.70677685059113771</v>
      </c>
      <c r="Z52" s="55">
        <f t="shared" si="74"/>
        <v>0.71285118046471052</v>
      </c>
      <c r="AA52" s="55">
        <f t="shared" si="74"/>
        <v>0.73897740119579025</v>
      </c>
      <c r="AB52" s="55">
        <f t="shared" si="74"/>
        <v>0.73474839017409965</v>
      </c>
      <c r="AC52" s="55">
        <f t="shared" si="74"/>
        <v>0.7515749327461152</v>
      </c>
      <c r="AD52" s="55">
        <f t="shared" si="74"/>
        <v>0.74794850480636021</v>
      </c>
      <c r="AE52" s="55">
        <f t="shared" si="74"/>
        <v>0.77283107213448221</v>
      </c>
      <c r="AF52" s="55">
        <f t="shared" si="74"/>
        <v>0.7671020106641917</v>
      </c>
      <c r="AG52" s="55">
        <f t="shared" si="74"/>
        <v>0.76569085923704228</v>
      </c>
      <c r="AH52" s="55">
        <f t="shared" si="74"/>
        <v>0.75856701688151473</v>
      </c>
      <c r="AI52" s="55">
        <f t="shared" si="74"/>
        <v>0.76191834909079692</v>
      </c>
      <c r="AJ52" s="55">
        <f t="shared" si="74"/>
        <v>0.75494302503249744</v>
      </c>
      <c r="AK52" s="55">
        <f t="shared" si="74"/>
        <v>0.75597106489322463</v>
      </c>
      <c r="AL52" s="55">
        <f t="shared" si="74"/>
        <v>0.76108982427348526</v>
      </c>
      <c r="AM52" s="55">
        <f t="shared" si="74"/>
        <v>0.74353647737184481</v>
      </c>
      <c r="AN52" s="55">
        <f t="shared" si="74"/>
        <v>0.74517165305569533</v>
      </c>
      <c r="AO52" s="55">
        <f t="shared" si="74"/>
        <v>0.75751541014698909</v>
      </c>
      <c r="AP52" s="55">
        <f t="shared" si="74"/>
        <v>0.77291137873305615</v>
      </c>
      <c r="AQ52" s="55">
        <f t="shared" si="74"/>
        <v>0.76362663448456458</v>
      </c>
      <c r="AR52" s="55">
        <f t="shared" si="74"/>
        <v>0.76804899072128363</v>
      </c>
      <c r="AS52" s="55">
        <f t="shared" si="74"/>
        <v>0.76473155121698944</v>
      </c>
      <c r="AT52" s="55">
        <f t="shared" si="74"/>
        <v>0.77142699911950685</v>
      </c>
      <c r="AU52" s="55">
        <f>AU36/AU32</f>
        <v>0.76563954390319588</v>
      </c>
      <c r="AV52" s="55">
        <f>AV36/AV32</f>
        <v>0.76979343355717178</v>
      </c>
      <c r="AW52" s="55">
        <f>AW36/AW32</f>
        <v>0.79312467657607821</v>
      </c>
      <c r="BK52" s="55">
        <f t="shared" ref="BK52:BO52" si="75">BK36/BK32</f>
        <v>0.69893428063943164</v>
      </c>
      <c r="BL52" s="55">
        <f t="shared" si="75"/>
        <v>0.72283356258596965</v>
      </c>
      <c r="BM52" s="55">
        <f t="shared" si="75"/>
        <v>0.71124790151091211</v>
      </c>
      <c r="BN52" s="55">
        <f t="shared" si="75"/>
        <v>0.7099567099567099</v>
      </c>
      <c r="BO52" s="55">
        <f t="shared" si="75"/>
        <v>0.73024969300040921</v>
      </c>
      <c r="BP52" s="55">
        <f t="shared" ref="BP52:BT52" si="76">BP36/BP32</f>
        <v>0.7146204484190527</v>
      </c>
      <c r="BQ52" s="55">
        <f t="shared" si="76"/>
        <v>0.74351951398488025</v>
      </c>
      <c r="BR52" s="55">
        <f t="shared" si="76"/>
        <v>0.76576468863146729</v>
      </c>
      <c r="BS52" s="55">
        <f t="shared" si="76"/>
        <v>0.75852196142226369</v>
      </c>
      <c r="BT52" s="55">
        <f t="shared" si="76"/>
        <v>0.75521832775431363</v>
      </c>
      <c r="BU52" s="55">
        <f>BU36/BU32</f>
        <v>0.76707776032923602</v>
      </c>
    </row>
    <row r="53" spans="2:73">
      <c r="B53" s="37" t="s">
        <v>99</v>
      </c>
      <c r="C53" s="55">
        <f t="shared" ref="C53:V53" si="77">C37/C32</f>
        <v>0.36654804270462632</v>
      </c>
      <c r="D53" s="55">
        <f t="shared" si="77"/>
        <v>0.40754716981132078</v>
      </c>
      <c r="E53" s="55">
        <f t="shared" si="77"/>
        <v>0.40143369175627241</v>
      </c>
      <c r="F53" s="55">
        <f t="shared" si="77"/>
        <v>0.39534883720930231</v>
      </c>
      <c r="G53" s="55">
        <f t="shared" si="77"/>
        <v>0.34090909090909088</v>
      </c>
      <c r="H53" s="55">
        <f t="shared" si="77"/>
        <v>0.35882352941176471</v>
      </c>
      <c r="I53" s="55">
        <f t="shared" si="77"/>
        <v>0.35261707988980723</v>
      </c>
      <c r="J53" s="55">
        <f t="shared" si="77"/>
        <v>0.33834586466165417</v>
      </c>
      <c r="K53" s="55">
        <f t="shared" si="77"/>
        <v>0.32511210762331838</v>
      </c>
      <c r="L53" s="55">
        <f t="shared" si="77"/>
        <v>0.32558139534883723</v>
      </c>
      <c r="M53" s="55">
        <f t="shared" si="77"/>
        <v>0.31991051454138703</v>
      </c>
      <c r="N53" s="55">
        <f t="shared" si="77"/>
        <v>0.3125</v>
      </c>
      <c r="O53" s="55">
        <f t="shared" si="77"/>
        <v>0.29865125240847784</v>
      </c>
      <c r="P53" s="55">
        <f t="shared" si="77"/>
        <v>0.32793522267206476</v>
      </c>
      <c r="Q53" s="55">
        <f t="shared" si="77"/>
        <v>0.33589251439539347</v>
      </c>
      <c r="R53" s="55">
        <f t="shared" si="77"/>
        <v>0.34678899082568804</v>
      </c>
      <c r="S53" s="55">
        <f t="shared" si="77"/>
        <v>0.33555926544240405</v>
      </c>
      <c r="T53" s="55">
        <f t="shared" si="77"/>
        <v>0.35025380710659898</v>
      </c>
      <c r="U53" s="55">
        <f t="shared" si="77"/>
        <v>0.32840722495894908</v>
      </c>
      <c r="V53" s="55">
        <f t="shared" si="77"/>
        <v>0.32298136645962733</v>
      </c>
      <c r="W53" s="55">
        <f t="shared" ref="W53:AT53" si="78">W37/W32</f>
        <v>0.31460915055100547</v>
      </c>
      <c r="X53" s="55">
        <f t="shared" si="78"/>
        <v>0.29659517718142731</v>
      </c>
      <c r="Y53" s="55">
        <f t="shared" si="78"/>
        <v>0.30869922754418366</v>
      </c>
      <c r="Z53" s="55">
        <f t="shared" si="78"/>
        <v>0.28924188625179109</v>
      </c>
      <c r="AA53" s="55">
        <f t="shared" si="78"/>
        <v>0.26799221454295402</v>
      </c>
      <c r="AB53" s="55">
        <f t="shared" si="78"/>
        <v>0.28032435010732171</v>
      </c>
      <c r="AC53" s="55">
        <f t="shared" si="78"/>
        <v>0.27192136119592736</v>
      </c>
      <c r="AD53" s="55">
        <f t="shared" si="78"/>
        <v>0.25988447684208277</v>
      </c>
      <c r="AE53" s="55">
        <f t="shared" si="78"/>
        <v>0.25555065149392642</v>
      </c>
      <c r="AF53" s="55">
        <f t="shared" si="78"/>
        <v>0.26357411423754817</v>
      </c>
      <c r="AG53" s="55">
        <f t="shared" si="78"/>
        <v>0.26479905584197777</v>
      </c>
      <c r="AH53" s="55">
        <f t="shared" si="78"/>
        <v>0.26021873939213297</v>
      </c>
      <c r="AI53" s="55">
        <f t="shared" si="78"/>
        <v>0.27672470965652329</v>
      </c>
      <c r="AJ53" s="55">
        <f t="shared" si="78"/>
        <v>0.29781298223475666</v>
      </c>
      <c r="AK53" s="55">
        <f t="shared" si="78"/>
        <v>0.29042747781315631</v>
      </c>
      <c r="AL53" s="55">
        <f t="shared" si="78"/>
        <v>0.26475108307893447</v>
      </c>
      <c r="AM53" s="55">
        <f t="shared" si="78"/>
        <v>0.30488917297538431</v>
      </c>
      <c r="AN53" s="55">
        <f t="shared" si="78"/>
        <v>0.27542542348827914</v>
      </c>
      <c r="AO53" s="55">
        <f t="shared" si="78"/>
        <v>0.26392919235024498</v>
      </c>
      <c r="AP53" s="55">
        <f t="shared" si="78"/>
        <v>0.25535093877697956</v>
      </c>
      <c r="AQ53" s="55">
        <f t="shared" si="78"/>
        <v>0.25898432830298235</v>
      </c>
      <c r="AR53" s="55">
        <f t="shared" si="78"/>
        <v>0.2727165174673104</v>
      </c>
      <c r="AS53" s="55">
        <f t="shared" si="78"/>
        <v>0.2608796371119802</v>
      </c>
      <c r="AT53" s="55">
        <f t="shared" si="78"/>
        <v>0.25317677899623808</v>
      </c>
      <c r="AU53" s="55">
        <f>AU37/AU32</f>
        <v>0.26072370462302202</v>
      </c>
      <c r="AV53" s="55">
        <f>AV37/AV32</f>
        <v>0.25486441898831236</v>
      </c>
      <c r="AW53" s="55">
        <f>AW37/AW32</f>
        <v>0.22930979104584143</v>
      </c>
      <c r="BK53" s="55">
        <f t="shared" ref="BK53:BO53" si="79">BK37/BK32</f>
        <v>0.3925399644760213</v>
      </c>
      <c r="BL53" s="55">
        <f t="shared" si="79"/>
        <v>0.34731774415405775</v>
      </c>
      <c r="BM53" s="55">
        <f t="shared" si="79"/>
        <v>0.32064913262451028</v>
      </c>
      <c r="BN53" s="55">
        <f t="shared" si="79"/>
        <v>0.3275613275613275</v>
      </c>
      <c r="BO53" s="55">
        <f t="shared" si="79"/>
        <v>0.33401555464592708</v>
      </c>
      <c r="BP53" s="55">
        <f t="shared" ref="BP53:BT53" si="80">BP37/BP32</f>
        <v>0.30185873356361898</v>
      </c>
      <c r="BQ53" s="55">
        <f t="shared" si="80"/>
        <v>0.26975431890191526</v>
      </c>
      <c r="BR53" s="55">
        <f t="shared" si="80"/>
        <v>0.26108485511578328</v>
      </c>
      <c r="BS53" s="55">
        <f t="shared" si="80"/>
        <v>0.28206553567278653</v>
      </c>
      <c r="BT53" s="55">
        <f t="shared" si="80"/>
        <v>0.27425286371161151</v>
      </c>
      <c r="BU53" s="55">
        <f>BU37/BU32</f>
        <v>0.26118887745708563</v>
      </c>
    </row>
    <row r="54" spans="2:73">
      <c r="B54" s="37" t="s">
        <v>100</v>
      </c>
      <c r="C54" s="55">
        <f t="shared" ref="C54:V54" si="81">SUM(C38:C39)/C32</f>
        <v>0.52313167259786475</v>
      </c>
      <c r="D54" s="55">
        <f t="shared" si="81"/>
        <v>0.67547169811320751</v>
      </c>
      <c r="E54" s="55">
        <f t="shared" si="81"/>
        <v>0.7455197132616489</v>
      </c>
      <c r="F54" s="55">
        <f t="shared" si="81"/>
        <v>0.66112956810631229</v>
      </c>
      <c r="G54" s="55">
        <f t="shared" si="81"/>
        <v>0.57954545454545447</v>
      </c>
      <c r="H54" s="55">
        <f t="shared" si="81"/>
        <v>0.66470588235294115</v>
      </c>
      <c r="I54" s="55">
        <f t="shared" si="81"/>
        <v>0.77134986225895308</v>
      </c>
      <c r="J54" s="55">
        <f t="shared" si="81"/>
        <v>0.68170426065162915</v>
      </c>
      <c r="K54" s="55">
        <f t="shared" si="81"/>
        <v>0.65246636771300448</v>
      </c>
      <c r="L54" s="55">
        <f t="shared" si="81"/>
        <v>0.64651162790697669</v>
      </c>
      <c r="M54" s="55">
        <f t="shared" si="81"/>
        <v>0.68008948545861303</v>
      </c>
      <c r="N54" s="55">
        <f t="shared" si="81"/>
        <v>0.5625</v>
      </c>
      <c r="O54" s="55">
        <f t="shared" si="81"/>
        <v>0.54335260115606943</v>
      </c>
      <c r="P54" s="55">
        <f t="shared" si="81"/>
        <v>0.582995951417004</v>
      </c>
      <c r="Q54" s="55">
        <f t="shared" si="81"/>
        <v>0.62763915547024951</v>
      </c>
      <c r="R54" s="55">
        <f t="shared" si="81"/>
        <v>0.62752293577981655</v>
      </c>
      <c r="S54" s="55">
        <f t="shared" si="81"/>
        <v>0.54757929883138556</v>
      </c>
      <c r="T54" s="55">
        <f t="shared" si="81"/>
        <v>0.74280879864636196</v>
      </c>
      <c r="U54" s="55">
        <f t="shared" si="81"/>
        <v>0.58949096880131358</v>
      </c>
      <c r="V54" s="55">
        <f t="shared" si="81"/>
        <v>0.52795031055900621</v>
      </c>
      <c r="W54" s="55">
        <f t="shared" ref="W54:AT54" si="82">SUM(W38:W39)/W32</f>
        <v>0.51095579091805654</v>
      </c>
      <c r="X54" s="55">
        <f t="shared" si="82"/>
        <v>0.53670186707310441</v>
      </c>
      <c r="Y54" s="55">
        <f t="shared" si="82"/>
        <v>0.60673505978781062</v>
      </c>
      <c r="Z54" s="55">
        <f t="shared" si="82"/>
        <v>0.60013704603500884</v>
      </c>
      <c r="AA54" s="55">
        <f t="shared" si="82"/>
        <v>0.57767391988438355</v>
      </c>
      <c r="AB54" s="55">
        <f t="shared" si="82"/>
        <v>0.65468638206534702</v>
      </c>
      <c r="AC54" s="55">
        <f t="shared" si="82"/>
        <v>0.55856479642220691</v>
      </c>
      <c r="AD54" s="55">
        <f t="shared" si="82"/>
        <v>0.54030521985634228</v>
      </c>
      <c r="AE54" s="55">
        <f t="shared" si="82"/>
        <v>0.55704169944925253</v>
      </c>
      <c r="AF54" s="55">
        <f t="shared" si="82"/>
        <v>0.55791906200573926</v>
      </c>
      <c r="AG54" s="55">
        <f t="shared" si="82"/>
        <v>0.57160604474102195</v>
      </c>
      <c r="AH54" s="55">
        <f t="shared" si="82"/>
        <v>0.5935520727254664</v>
      </c>
      <c r="AI54" s="55">
        <f t="shared" si="82"/>
        <v>0.61765658497462861</v>
      </c>
      <c r="AJ54" s="55">
        <f t="shared" si="82"/>
        <v>0.67143801929319125</v>
      </c>
      <c r="AK54" s="55">
        <f t="shared" si="82"/>
        <v>0.69225210577422491</v>
      </c>
      <c r="AL54" s="55">
        <f t="shared" si="82"/>
        <v>0.58866643950404385</v>
      </c>
      <c r="AM54" s="55">
        <f t="shared" si="82"/>
        <v>0.75052766847105989</v>
      </c>
      <c r="AN54" s="55">
        <f t="shared" si="82"/>
        <v>0.61609965037220527</v>
      </c>
      <c r="AO54" s="55">
        <f t="shared" si="82"/>
        <v>0.59173700015805264</v>
      </c>
      <c r="AP54" s="55">
        <f t="shared" si="82"/>
        <v>0.57440310105428671</v>
      </c>
      <c r="AQ54" s="55">
        <f t="shared" si="82"/>
        <v>0.6087199075523575</v>
      </c>
      <c r="AR54" s="55">
        <f t="shared" si="82"/>
        <v>0.62574717047035822</v>
      </c>
      <c r="AS54" s="55">
        <f t="shared" si="82"/>
        <v>0.62119253105774097</v>
      </c>
      <c r="AT54" s="55">
        <f t="shared" si="82"/>
        <v>0.58489253982230061</v>
      </c>
      <c r="AU54" s="55">
        <f>SUM(AU38:AU39)/AU32</f>
        <v>0.62493697641948498</v>
      </c>
      <c r="AV54" s="55">
        <f>SUM(AV38:AV39)/AV32</f>
        <v>0.61781722703720043</v>
      </c>
      <c r="AW54" s="55">
        <f>SUM(AW38:AW39)/AW32</f>
        <v>0.57899573526525216</v>
      </c>
      <c r="BK54" s="55">
        <f t="shared" ref="BK54:BO54" si="83">SUM(BK38:BK39)/BK32</f>
        <v>0.65097690941385444</v>
      </c>
      <c r="BL54" s="55">
        <f t="shared" si="83"/>
        <v>0.67537826685006874</v>
      </c>
      <c r="BM54" s="55">
        <f t="shared" si="83"/>
        <v>0.63458310016787911</v>
      </c>
      <c r="BN54" s="55">
        <f t="shared" si="83"/>
        <v>0.59595959595959602</v>
      </c>
      <c r="BO54" s="55">
        <f t="shared" si="83"/>
        <v>0.60008186655751117</v>
      </c>
      <c r="BP54" s="55">
        <f t="shared" ref="BP54:BT54" si="84">SUM(BP38:BP39)/BP32</f>
        <v>0.56518659509686442</v>
      </c>
      <c r="BQ54" s="55">
        <f t="shared" si="84"/>
        <v>0.58128125053328561</v>
      </c>
      <c r="BR54" s="55">
        <f t="shared" si="84"/>
        <v>0.57090133886777128</v>
      </c>
      <c r="BS54" s="55">
        <f t="shared" si="84"/>
        <v>0.6414836160818036</v>
      </c>
      <c r="BT54" s="55">
        <f t="shared" si="84"/>
        <v>0.63099903339317098</v>
      </c>
      <c r="BU54" s="55">
        <f>SUM(BU38:BU39)/BU32</f>
        <v>0.60949802350138083</v>
      </c>
    </row>
    <row r="55" spans="2:73">
      <c r="B55" s="37" t="s">
        <v>101</v>
      </c>
      <c r="C55" s="55">
        <f t="shared" ref="C55:V55" si="85">C40/C32</f>
        <v>-0.15658362989323837</v>
      </c>
      <c r="D55" s="55">
        <f t="shared" si="85"/>
        <v>-0.38113207547169803</v>
      </c>
      <c r="E55" s="55">
        <f t="shared" si="85"/>
        <v>-0.45161290322580655</v>
      </c>
      <c r="F55" s="55">
        <f t="shared" si="85"/>
        <v>-0.38870431893687701</v>
      </c>
      <c r="G55" s="55">
        <f t="shared" si="85"/>
        <v>-0.19602272727272713</v>
      </c>
      <c r="H55" s="55">
        <f t="shared" si="85"/>
        <v>-0.31176470588235289</v>
      </c>
      <c r="I55" s="55">
        <f t="shared" si="85"/>
        <v>-0.39393939393939398</v>
      </c>
      <c r="J55" s="55">
        <f t="shared" si="85"/>
        <v>-0.29573934837092741</v>
      </c>
      <c r="K55" s="55">
        <f t="shared" si="85"/>
        <v>-0.27130044843049328</v>
      </c>
      <c r="L55" s="55">
        <f t="shared" si="85"/>
        <v>-0.26511627906976742</v>
      </c>
      <c r="M55" s="55">
        <f t="shared" si="85"/>
        <v>-0.28411633109619694</v>
      </c>
      <c r="N55" s="55">
        <f t="shared" si="85"/>
        <v>-0.15948275862068964</v>
      </c>
      <c r="O55" s="55">
        <f t="shared" si="85"/>
        <v>-0.11560693641618497</v>
      </c>
      <c r="P55" s="55">
        <f t="shared" si="85"/>
        <v>-0.20040485829959526</v>
      </c>
      <c r="Q55" s="55">
        <f t="shared" si="85"/>
        <v>-0.26487523992322448</v>
      </c>
      <c r="R55" s="55">
        <f t="shared" si="85"/>
        <v>-0.26972477064220191</v>
      </c>
      <c r="S55" s="55">
        <f t="shared" si="85"/>
        <v>-0.15859766277128548</v>
      </c>
      <c r="T55" s="55">
        <f t="shared" si="85"/>
        <v>-0.36886632825719112</v>
      </c>
      <c r="U55" s="55">
        <f t="shared" si="85"/>
        <v>-0.17569786535303769</v>
      </c>
      <c r="V55" s="55">
        <f t="shared" si="85"/>
        <v>-0.12111801242236009</v>
      </c>
      <c r="W55" s="55">
        <f t="shared" ref="W55:AT55" si="86">W40/W32</f>
        <v>-0.10479825050383763</v>
      </c>
      <c r="X55" s="55">
        <f t="shared" si="86"/>
        <v>-0.11467802514833171</v>
      </c>
      <c r="Y55" s="55">
        <f t="shared" si="86"/>
        <v>-0.2086574367408566</v>
      </c>
      <c r="Z55" s="55">
        <f t="shared" si="86"/>
        <v>-0.17652775182208949</v>
      </c>
      <c r="AA55" s="55">
        <f t="shared" si="86"/>
        <v>-0.10668873323154737</v>
      </c>
      <c r="AB55" s="55">
        <f t="shared" si="86"/>
        <v>-0.20026234199856918</v>
      </c>
      <c r="AC55" s="55">
        <f t="shared" si="86"/>
        <v>-7.8911224872018973E-2</v>
      </c>
      <c r="AD55" s="55">
        <f t="shared" si="86"/>
        <v>-5.224119189206472E-2</v>
      </c>
      <c r="AE55" s="55">
        <f t="shared" si="86"/>
        <v>-3.9761278808696732E-2</v>
      </c>
      <c r="AF55" s="55">
        <f t="shared" si="86"/>
        <v>-5.4391165579095728E-2</v>
      </c>
      <c r="AG55" s="55">
        <f t="shared" si="86"/>
        <v>-7.0714241345957538E-2</v>
      </c>
      <c r="AH55" s="55">
        <f t="shared" si="86"/>
        <v>-9.5203795236084646E-2</v>
      </c>
      <c r="AI55" s="55">
        <f t="shared" si="86"/>
        <v>-0.13246294554035509</v>
      </c>
      <c r="AJ55" s="55">
        <f t="shared" si="86"/>
        <v>-0.21430797649545044</v>
      </c>
      <c r="AK55" s="55">
        <f t="shared" si="86"/>
        <v>-0.22670851869415662</v>
      </c>
      <c r="AL55" s="55">
        <f t="shared" si="86"/>
        <v>-9.232769830949307E-2</v>
      </c>
      <c r="AM55" s="55">
        <f t="shared" si="86"/>
        <v>-0.3118803640745994</v>
      </c>
      <c r="AN55" s="55">
        <f t="shared" si="86"/>
        <v>-0.14635342080478911</v>
      </c>
      <c r="AO55" s="55">
        <f t="shared" si="86"/>
        <v>-9.8150782361308614E-2</v>
      </c>
      <c r="AP55" s="55">
        <f t="shared" si="86"/>
        <v>-5.6842661098210123E-2</v>
      </c>
      <c r="AQ55" s="55">
        <f t="shared" si="86"/>
        <v>-0.10407760137077532</v>
      </c>
      <c r="AR55" s="55">
        <f t="shared" si="86"/>
        <v>-0.13041469721638507</v>
      </c>
      <c r="AS55" s="55">
        <f t="shared" si="86"/>
        <v>-0.11734061695273161</v>
      </c>
      <c r="AT55" s="55">
        <f t="shared" si="86"/>
        <v>-6.6642319699031755E-2</v>
      </c>
      <c r="AU55" s="55">
        <f>AU40/AU32</f>
        <v>-0.12002113713931109</v>
      </c>
      <c r="AV55" s="55">
        <f>AV40/AV32</f>
        <v>-0.10288821246834112</v>
      </c>
      <c r="AW55" s="55">
        <f>AW40/AW32</f>
        <v>-1.5180849735015397E-2</v>
      </c>
      <c r="BK55" s="55">
        <f t="shared" ref="BK55:BO55" si="87">BK40/BK32</f>
        <v>-0.34458259325044405</v>
      </c>
      <c r="BL55" s="55">
        <f t="shared" si="87"/>
        <v>-0.29986244841815674</v>
      </c>
      <c r="BM55" s="55">
        <f t="shared" si="87"/>
        <v>-0.24398433128147731</v>
      </c>
      <c r="BN55" s="55">
        <f t="shared" si="87"/>
        <v>-0.2135642135642136</v>
      </c>
      <c r="BO55" s="55">
        <f t="shared" si="87"/>
        <v>-0.20384772820302899</v>
      </c>
      <c r="BP55" s="55">
        <f t="shared" ref="BP55:BT55" si="88">BP40/BP32</f>
        <v>-0.15242488024143067</v>
      </c>
      <c r="BQ55" s="55">
        <f t="shared" si="88"/>
        <v>-0.10751605545032056</v>
      </c>
      <c r="BR55" s="55">
        <f t="shared" si="88"/>
        <v>-6.6221505352087193E-2</v>
      </c>
      <c r="BS55" s="55">
        <f t="shared" si="88"/>
        <v>-0.16502719033232641</v>
      </c>
      <c r="BT55" s="55">
        <f t="shared" si="88"/>
        <v>-0.15003356935046883</v>
      </c>
      <c r="BU55" s="55">
        <f>BU40/BU32</f>
        <v>-0.10360914062923052</v>
      </c>
    </row>
    <row r="56" spans="2:73">
      <c r="B56" s="37" t="s">
        <v>102</v>
      </c>
      <c r="C56" s="55">
        <f t="shared" ref="C56:V56" si="89">C45/C44</f>
        <v>0</v>
      </c>
      <c r="D56" s="55">
        <f t="shared" si="89"/>
        <v>0</v>
      </c>
      <c r="E56" s="55">
        <f t="shared" si="89"/>
        <v>0</v>
      </c>
      <c r="F56" s="55">
        <f t="shared" si="89"/>
        <v>0</v>
      </c>
      <c r="G56" s="55">
        <f t="shared" si="89"/>
        <v>1.4492753623188416E-2</v>
      </c>
      <c r="H56" s="55">
        <f t="shared" si="89"/>
        <v>-9.4339622641509465E-3</v>
      </c>
      <c r="I56" s="55">
        <f t="shared" si="89"/>
        <v>0</v>
      </c>
      <c r="J56" s="55">
        <f t="shared" si="89"/>
        <v>0.12711864406779658</v>
      </c>
      <c r="K56" s="55">
        <f t="shared" si="89"/>
        <v>0</v>
      </c>
      <c r="L56" s="55">
        <f t="shared" si="89"/>
        <v>0</v>
      </c>
      <c r="M56" s="55">
        <f t="shared" si="89"/>
        <v>0</v>
      </c>
      <c r="N56" s="55">
        <f t="shared" si="89"/>
        <v>0</v>
      </c>
      <c r="O56" s="55">
        <f t="shared" si="89"/>
        <v>0</v>
      </c>
      <c r="P56" s="55">
        <f t="shared" si="89"/>
        <v>0</v>
      </c>
      <c r="Q56" s="55">
        <f t="shared" si="89"/>
        <v>0</v>
      </c>
      <c r="R56" s="55">
        <f t="shared" si="89"/>
        <v>0</v>
      </c>
      <c r="S56" s="55">
        <f t="shared" si="89"/>
        <v>0</v>
      </c>
      <c r="T56" s="55">
        <f t="shared" si="89"/>
        <v>0</v>
      </c>
      <c r="U56" s="55">
        <f t="shared" si="89"/>
        <v>0</v>
      </c>
      <c r="V56" s="55">
        <f t="shared" si="89"/>
        <v>-2.5641025641025675E-2</v>
      </c>
      <c r="W56" s="55">
        <f t="shared" ref="W56:AT56" si="90">W45/W44</f>
        <v>-1.4761137949543758E-3</v>
      </c>
      <c r="X56" s="55">
        <f t="shared" si="90"/>
        <v>9.6038415366146376E-4</v>
      </c>
      <c r="Y56" s="55">
        <f t="shared" si="90"/>
        <v>-6.1430451952610796E-3</v>
      </c>
      <c r="Z56" s="55">
        <f t="shared" si="90"/>
        <v>-2.4351169496956092E-3</v>
      </c>
      <c r="AA56" s="55">
        <f t="shared" si="90"/>
        <v>-2.8101905873201098E-2</v>
      </c>
      <c r="AB56" s="55">
        <f t="shared" si="90"/>
        <v>2.5290844714213445E-4</v>
      </c>
      <c r="AC56" s="55">
        <f t="shared" si="90"/>
        <v>-6.4176245210727989E-3</v>
      </c>
      <c r="AD56" s="55">
        <f t="shared" si="90"/>
        <v>8.2466281310211928E-2</v>
      </c>
      <c r="AE56" s="55">
        <f t="shared" si="90"/>
        <v>4.2989677250751389E-2</v>
      </c>
      <c r="AF56" s="55">
        <f t="shared" si="90"/>
        <v>-4.0236168816969252E-2</v>
      </c>
      <c r="AG56" s="55">
        <f t="shared" si="90"/>
        <v>0.11874412988058509</v>
      </c>
      <c r="AH56" s="55">
        <f t="shared" si="90"/>
        <v>3.5290948275862044E-2</v>
      </c>
      <c r="AI56" s="55">
        <f t="shared" si="90"/>
        <v>4.6824542518837439E-3</v>
      </c>
      <c r="AJ56" s="55">
        <f t="shared" si="90"/>
        <v>-1.5124336111990428E-2</v>
      </c>
      <c r="AK56" s="55">
        <f t="shared" si="90"/>
        <v>-1.5980016424856278E-2</v>
      </c>
      <c r="AL56" s="55">
        <f t="shared" si="90"/>
        <v>-8.9071680376028001E-2</v>
      </c>
      <c r="AM56" s="55">
        <f t="shared" si="90"/>
        <v>-1.2838801711840226E-2</v>
      </c>
      <c r="AN56" s="55">
        <f t="shared" si="90"/>
        <v>-4.0764521427504821E-2</v>
      </c>
      <c r="AO56" s="55">
        <f t="shared" si="90"/>
        <v>-9.5239806645222753E-3</v>
      </c>
      <c r="AP56" s="55">
        <f t="shared" si="90"/>
        <v>-0.53455066237020887</v>
      </c>
      <c r="AQ56" s="55">
        <f t="shared" si="90"/>
        <v>-6.497175141242946E-2</v>
      </c>
      <c r="AR56" s="55">
        <f t="shared" si="90"/>
        <v>-9.027648337993166E-2</v>
      </c>
      <c r="AS56" s="55">
        <f t="shared" si="90"/>
        <v>-5.9817864271457286E-2</v>
      </c>
      <c r="AT56" s="55">
        <f t="shared" si="90"/>
        <v>-0.39053627760252047</v>
      </c>
      <c r="AU56" s="55">
        <f>AU45/AU44</f>
        <v>-9.9804506636485352E-2</v>
      </c>
      <c r="AV56" s="55">
        <f>AV45/AV44</f>
        <v>-9.3838326738270278E-2</v>
      </c>
      <c r="AW56" s="55">
        <f>AW45/AW44</f>
        <v>-0.28914549653579569</v>
      </c>
      <c r="BK56" s="55">
        <f t="shared" ref="BK56:BO56" si="91">BK45/BK44</f>
        <v>0</v>
      </c>
      <c r="BL56" s="55">
        <f t="shared" si="91"/>
        <v>3.4403669724770644E-2</v>
      </c>
      <c r="BM56" s="55">
        <f t="shared" si="91"/>
        <v>0</v>
      </c>
      <c r="BN56" s="55">
        <f t="shared" si="91"/>
        <v>0</v>
      </c>
      <c r="BO56" s="55">
        <f t="shared" si="91"/>
        <v>-4.0160642570281138E-3</v>
      </c>
      <c r="BP56" s="55">
        <f t="shared" ref="BP56:BT56" si="92">BP45/BP44</f>
        <v>-2.9362061681453312E-3</v>
      </c>
      <c r="BQ56" s="55">
        <f t="shared" si="92"/>
        <v>6.0274653576088966E-3</v>
      </c>
      <c r="BR56" s="55">
        <f t="shared" si="92"/>
        <v>3.5038363171355516E-2</v>
      </c>
      <c r="BS56" s="55">
        <f t="shared" si="92"/>
        <v>-2.1876404494382013E-2</v>
      </c>
      <c r="BT56" s="55">
        <f t="shared" si="92"/>
        <v>-2.7615271801318311E-2</v>
      </c>
      <c r="BU56" s="55">
        <f>BU45/BU44</f>
        <v>-0.11328654355696693</v>
      </c>
    </row>
    <row r="57" spans="2:73">
      <c r="B57" s="37" t="s">
        <v>103</v>
      </c>
      <c r="C57" s="55">
        <f t="shared" ref="C57:V57" si="93">C46/C32</f>
        <v>-0.15658362989323837</v>
      </c>
      <c r="D57" s="55">
        <f t="shared" si="93"/>
        <v>-0.38113207547169803</v>
      </c>
      <c r="E57" s="55">
        <f t="shared" si="93"/>
        <v>-0.45161290322580655</v>
      </c>
      <c r="F57" s="55">
        <f t="shared" si="93"/>
        <v>-0.38870431893687701</v>
      </c>
      <c r="G57" s="55">
        <f t="shared" si="93"/>
        <v>-0.19318181818181804</v>
      </c>
      <c r="H57" s="55">
        <f t="shared" si="93"/>
        <v>-0.31470588235294111</v>
      </c>
      <c r="I57" s="55">
        <f t="shared" si="93"/>
        <v>-0.39393939393939398</v>
      </c>
      <c r="J57" s="55">
        <f t="shared" si="93"/>
        <v>-0.2581453634085214</v>
      </c>
      <c r="K57" s="55">
        <f t="shared" si="93"/>
        <v>-0.27130044843049328</v>
      </c>
      <c r="L57" s="55">
        <f t="shared" si="93"/>
        <v>-0.26511627906976742</v>
      </c>
      <c r="M57" s="55">
        <f t="shared" si="93"/>
        <v>-0.28411633109619694</v>
      </c>
      <c r="N57" s="55">
        <f t="shared" si="93"/>
        <v>-0.15948275862068964</v>
      </c>
      <c r="O57" s="55">
        <f t="shared" si="93"/>
        <v>-0.11560693641618497</v>
      </c>
      <c r="P57" s="55">
        <f t="shared" si="93"/>
        <v>-0.20040485829959526</v>
      </c>
      <c r="Q57" s="55">
        <f t="shared" si="93"/>
        <v>-0.26487523992322448</v>
      </c>
      <c r="R57" s="55">
        <f t="shared" si="93"/>
        <v>-0.26972477064220191</v>
      </c>
      <c r="S57" s="55">
        <f t="shared" si="93"/>
        <v>-0.15859766277128548</v>
      </c>
      <c r="T57" s="55">
        <f t="shared" si="93"/>
        <v>-0.36886632825719112</v>
      </c>
      <c r="U57" s="55">
        <f t="shared" si="93"/>
        <v>-0.17569786535303769</v>
      </c>
      <c r="V57" s="55">
        <f t="shared" si="93"/>
        <v>-0.12422360248447188</v>
      </c>
      <c r="W57" s="55">
        <f t="shared" ref="W57:AT57" si="94">W46/W32</f>
        <v>-0.10667066878207042</v>
      </c>
      <c r="X57" s="55">
        <f t="shared" si="94"/>
        <v>-0.11324914267051343</v>
      </c>
      <c r="Y57" s="55">
        <f t="shared" si="94"/>
        <v>-0.21638199490421819</v>
      </c>
      <c r="Z57" s="55">
        <f t="shared" si="94"/>
        <v>-0.19489192051329987</v>
      </c>
      <c r="AA57" s="55">
        <f t="shared" si="94"/>
        <v>-0.12322700201629345</v>
      </c>
      <c r="AB57" s="55">
        <f t="shared" si="94"/>
        <v>-0.23569043644168866</v>
      </c>
      <c r="AC57" s="55">
        <f t="shared" si="94"/>
        <v>-0.11926355577248322</v>
      </c>
      <c r="AD57" s="55">
        <f t="shared" si="94"/>
        <v>-7.6123793081399077E-2</v>
      </c>
      <c r="AE57" s="55">
        <f t="shared" si="94"/>
        <v>-7.0273070944714078E-2</v>
      </c>
      <c r="AF57" s="55">
        <f t="shared" si="94"/>
        <v>-9.0105789538484679E-2</v>
      </c>
      <c r="AG57" s="55">
        <f t="shared" si="94"/>
        <v>-5.8282235808790196E-2</v>
      </c>
      <c r="AH57" s="55">
        <f t="shared" si="94"/>
        <v>-0.118592848331305</v>
      </c>
      <c r="AI57" s="55">
        <f t="shared" si="94"/>
        <v>-0.14261147184478001</v>
      </c>
      <c r="AJ57" s="55">
        <f t="shared" si="94"/>
        <v>-0.21939353396833128</v>
      </c>
      <c r="AK57" s="55">
        <f t="shared" si="94"/>
        <v>-0.22349434320168018</v>
      </c>
      <c r="AL57" s="55">
        <f t="shared" si="94"/>
        <v>-9.6673921962685289E-2</v>
      </c>
      <c r="AM57" s="55">
        <f t="shared" si="94"/>
        <v>-0.30727949450359221</v>
      </c>
      <c r="AN57" s="55">
        <f t="shared" si="94"/>
        <v>-0.13488408096915286</v>
      </c>
      <c r="AO57" s="55">
        <f t="shared" si="94"/>
        <v>-0.35516990674885407</v>
      </c>
      <c r="AP57" s="55">
        <f t="shared" si="94"/>
        <v>-2.5718108884928637E-2</v>
      </c>
      <c r="AQ57" s="55">
        <f t="shared" si="94"/>
        <v>-6.6529285523177287E-2</v>
      </c>
      <c r="AR57" s="55">
        <f t="shared" si="94"/>
        <v>-9.8860300952659935E-2</v>
      </c>
      <c r="AS57" s="55">
        <f t="shared" si="94"/>
        <v>-9.1535486095397883E-2</v>
      </c>
      <c r="AT57" s="55">
        <f t="shared" si="94"/>
        <v>-4.4104698631233764E-2</v>
      </c>
      <c r="AU57" s="55">
        <f>AU46/AU32</f>
        <v>-0.10363985417313053</v>
      </c>
      <c r="AV57" s="55">
        <f>AV46/AV32</f>
        <v>-8.9922624718265606E-2</v>
      </c>
      <c r="AW57" s="55">
        <f>AW46/AW32</f>
        <v>1.2450705733302437E-2</v>
      </c>
      <c r="BK57" s="55">
        <f t="shared" ref="BK57:BO57" si="95">BK46/BK32</f>
        <v>-0.34458259325044405</v>
      </c>
      <c r="BL57" s="55">
        <f t="shared" si="95"/>
        <v>-0.28954607977991742</v>
      </c>
      <c r="BM57" s="55">
        <f t="shared" si="95"/>
        <v>-0.24398433128147731</v>
      </c>
      <c r="BN57" s="55">
        <f t="shared" si="95"/>
        <v>-0.2135642135642136</v>
      </c>
      <c r="BO57" s="55">
        <f t="shared" si="95"/>
        <v>-0.20466639377814155</v>
      </c>
      <c r="BP57" s="55">
        <f t="shared" ref="BP57:BT57" si="96">BP46/BP32</f>
        <v>-0.15938380145758019</v>
      </c>
      <c r="BQ57" s="55">
        <f t="shared" si="96"/>
        <v>-0.13648697076741925</v>
      </c>
      <c r="BR57" s="55">
        <f t="shared" si="96"/>
        <v>-8.5114542562910928E-2</v>
      </c>
      <c r="BS57" s="55">
        <f t="shared" si="96"/>
        <v>-0.16908575412502916</v>
      </c>
      <c r="BT57" s="55">
        <f t="shared" si="96"/>
        <v>-0.20240810489509384</v>
      </c>
      <c r="BU57" s="55">
        <f>BU46/BU32</f>
        <v>-7.4513997942275395E-2</v>
      </c>
    </row>
    <row r="58" spans="2:73">
      <c r="B58" s="37"/>
      <c r="AV58" s="53"/>
      <c r="AW58" s="53"/>
    </row>
    <row r="59" spans="2:73">
      <c r="B59" s="1" t="s">
        <v>1431</v>
      </c>
      <c r="W59" s="53"/>
      <c r="X59" s="53"/>
      <c r="Y59" s="53"/>
      <c r="Z59" s="53">
        <v>381.74200000000002</v>
      </c>
      <c r="AA59" s="53">
        <v>393.43400000000003</v>
      </c>
      <c r="AB59" s="53">
        <v>402.12099999999998</v>
      </c>
      <c r="AC59" s="53">
        <v>462.13200000000001</v>
      </c>
      <c r="AD59" s="53">
        <v>322.83100000000002</v>
      </c>
      <c r="AE59" s="53">
        <v>331.173</v>
      </c>
      <c r="AF59" s="53">
        <v>322.19400000000002</v>
      </c>
      <c r="AG59" s="53">
        <v>291.125</v>
      </c>
      <c r="AH59" s="53">
        <v>300.38600000000002</v>
      </c>
      <c r="AI59" s="53">
        <v>303.07600000000002</v>
      </c>
      <c r="AJ59" s="53">
        <v>226.25299999999999</v>
      </c>
      <c r="AK59" s="53">
        <v>229.49700000000001</v>
      </c>
      <c r="AL59" s="53">
        <v>240.197</v>
      </c>
      <c r="AM59" s="53">
        <v>195.48500000000001</v>
      </c>
      <c r="AN59" s="53">
        <v>198.93899999999999</v>
      </c>
      <c r="AO59" s="53">
        <v>404.88499999999999</v>
      </c>
      <c r="AP59" s="53">
        <v>256.10000000000002</v>
      </c>
      <c r="AQ59" s="53">
        <v>296.06599999999997</v>
      </c>
      <c r="AR59" s="53">
        <v>267.89699999999999</v>
      </c>
      <c r="AS59" s="53">
        <v>248.239</v>
      </c>
      <c r="AT59" s="53">
        <v>301.83499999999998</v>
      </c>
      <c r="AU59" s="53">
        <v>242.024</v>
      </c>
      <c r="AV59" s="53">
        <v>284.25</v>
      </c>
      <c r="AW59" s="53">
        <v>315.91399999999999</v>
      </c>
      <c r="BP59" s="53">
        <f>Z59</f>
        <v>381.74200000000002</v>
      </c>
      <c r="BQ59" s="53">
        <f>AD59</f>
        <v>322.83100000000002</v>
      </c>
      <c r="BR59" s="53">
        <f>AH59</f>
        <v>300.38600000000002</v>
      </c>
      <c r="BS59" s="53">
        <f>AL59</f>
        <v>240.197</v>
      </c>
      <c r="BT59" s="53">
        <f>AP59</f>
        <v>256.10000000000002</v>
      </c>
      <c r="BU59" s="53">
        <f>AT59</f>
        <v>301.83499999999998</v>
      </c>
    </row>
    <row r="60" spans="2:73">
      <c r="B60" s="1" t="s">
        <v>104</v>
      </c>
      <c r="W60" s="53"/>
      <c r="X60" s="53"/>
      <c r="Y60" s="53"/>
      <c r="Z60" s="53">
        <v>106.214</v>
      </c>
      <c r="AA60" s="53">
        <v>102.589</v>
      </c>
      <c r="AB60" s="53">
        <v>106.45099999999999</v>
      </c>
      <c r="AC60" s="53">
        <v>97.75</v>
      </c>
      <c r="AD60" s="53">
        <v>207.20699999999999</v>
      </c>
      <c r="AE60" s="53">
        <v>209.446</v>
      </c>
      <c r="AF60" s="53">
        <v>229.41900000000001</v>
      </c>
      <c r="AG60" s="53">
        <v>231.22399999999999</v>
      </c>
      <c r="AH60" s="53">
        <v>230.06</v>
      </c>
      <c r="AI60" s="53">
        <v>220.45699999999999</v>
      </c>
      <c r="AJ60" s="53">
        <v>202.71199999999999</v>
      </c>
      <c r="AK60" s="53">
        <v>203.511</v>
      </c>
      <c r="AL60" s="53">
        <v>190.595</v>
      </c>
      <c r="AM60" s="53">
        <v>244.33799999999999</v>
      </c>
      <c r="AN60" s="53">
        <v>267.31200000000001</v>
      </c>
      <c r="AO60" s="53">
        <v>377.53300000000002</v>
      </c>
      <c r="AP60" s="53">
        <v>557.62199999999996</v>
      </c>
      <c r="AQ60" s="53">
        <v>542.28099999999995</v>
      </c>
      <c r="AR60" s="53">
        <v>472.95600000000002</v>
      </c>
      <c r="AS60" s="53">
        <v>528.11500000000001</v>
      </c>
      <c r="AT60" s="53">
        <v>514.58500000000004</v>
      </c>
      <c r="AU60" s="53">
        <v>525</v>
      </c>
      <c r="AV60" s="53">
        <v>529.45000000000005</v>
      </c>
      <c r="AW60" s="53">
        <v>540.87699999999995</v>
      </c>
      <c r="BP60" s="53">
        <f t="shared" ref="BP60:BP71" si="97">Z60</f>
        <v>106.214</v>
      </c>
      <c r="BQ60" s="53">
        <f t="shared" ref="BQ60:BQ71" si="98">AD60</f>
        <v>207.20699999999999</v>
      </c>
      <c r="BR60" s="53">
        <f t="shared" ref="BR60:BR71" si="99">AH60</f>
        <v>230.06</v>
      </c>
      <c r="BS60" s="53">
        <f t="shared" ref="BS60:BS71" si="100">AL60</f>
        <v>190.595</v>
      </c>
      <c r="BT60" s="53">
        <f t="shared" ref="BT60:BT71" si="101">AP60</f>
        <v>557.62199999999996</v>
      </c>
      <c r="BU60" s="53">
        <f t="shared" ref="BU60:BU71" si="102">AT60</f>
        <v>514.58500000000004</v>
      </c>
    </row>
    <row r="61" spans="2:73">
      <c r="B61" s="1" t="s">
        <v>1432</v>
      </c>
      <c r="W61" s="53"/>
      <c r="X61" s="53"/>
      <c r="Y61" s="53"/>
      <c r="Z61" s="53">
        <v>60.228000000000002</v>
      </c>
      <c r="AA61" s="53">
        <v>45.521999999999998</v>
      </c>
      <c r="AB61" s="53">
        <v>41.47</v>
      </c>
      <c r="AC61" s="53">
        <v>55.57</v>
      </c>
      <c r="AD61" s="53">
        <v>68.921999999999997</v>
      </c>
      <c r="AE61" s="53">
        <v>53.753999999999998</v>
      </c>
      <c r="AF61" s="53">
        <v>65.908000000000001</v>
      </c>
      <c r="AG61" s="53">
        <v>64.099000000000004</v>
      </c>
      <c r="AH61" s="53">
        <v>76.847999999999999</v>
      </c>
      <c r="AI61" s="53">
        <v>70.132999999999996</v>
      </c>
      <c r="AJ61" s="53">
        <v>75.606999999999999</v>
      </c>
      <c r="AK61" s="53">
        <v>82.278000000000006</v>
      </c>
      <c r="AL61" s="53">
        <v>106.316</v>
      </c>
      <c r="AM61" s="53">
        <v>77.150999999999996</v>
      </c>
      <c r="AN61" s="53">
        <v>84.272000000000006</v>
      </c>
      <c r="AO61" s="53">
        <v>98.861000000000004</v>
      </c>
      <c r="AP61" s="53">
        <v>125.193</v>
      </c>
      <c r="AQ61" s="53">
        <v>87.897999999999996</v>
      </c>
      <c r="AR61" s="53">
        <v>121.35899999999999</v>
      </c>
      <c r="AS61" s="53">
        <v>137.92099999999999</v>
      </c>
      <c r="AT61" s="53">
        <v>148.43299999999999</v>
      </c>
      <c r="AU61" s="53">
        <v>118.62</v>
      </c>
      <c r="AV61" s="53">
        <v>121.56</v>
      </c>
      <c r="AW61" s="53">
        <v>144.43</v>
      </c>
      <c r="BP61" s="53">
        <f t="shared" si="97"/>
        <v>60.228000000000002</v>
      </c>
      <c r="BQ61" s="53">
        <f t="shared" si="98"/>
        <v>68.921999999999997</v>
      </c>
      <c r="BR61" s="53">
        <f t="shared" si="99"/>
        <v>76.847999999999999</v>
      </c>
      <c r="BS61" s="53">
        <f t="shared" si="100"/>
        <v>106.316</v>
      </c>
      <c r="BT61" s="53">
        <f t="shared" si="101"/>
        <v>125.193</v>
      </c>
      <c r="BU61" s="53">
        <f t="shared" si="102"/>
        <v>148.43299999999999</v>
      </c>
    </row>
    <row r="62" spans="2:73">
      <c r="B62" s="1" t="s">
        <v>1435</v>
      </c>
      <c r="W62" s="53"/>
      <c r="X62" s="53"/>
      <c r="Y62" s="53"/>
      <c r="Z62" s="53">
        <v>14.108000000000001</v>
      </c>
      <c r="AA62" s="53">
        <v>12.554</v>
      </c>
      <c r="AB62" s="53">
        <v>15.65</v>
      </c>
      <c r="AC62" s="53">
        <v>17.919</v>
      </c>
      <c r="AD62" s="53">
        <v>21.922999999999998</v>
      </c>
      <c r="AE62" s="53">
        <v>22.923999999999999</v>
      </c>
      <c r="AF62" s="53">
        <v>26.646000000000001</v>
      </c>
      <c r="AG62" s="53">
        <v>28.021000000000001</v>
      </c>
      <c r="AH62" s="53">
        <v>31.152000000000001</v>
      </c>
      <c r="AI62" s="53">
        <v>31.815999999999999</v>
      </c>
      <c r="AJ62" s="53">
        <v>29.992000000000001</v>
      </c>
      <c r="AK62" s="53">
        <v>35.042999999999999</v>
      </c>
      <c r="AL62" s="53">
        <v>38.35</v>
      </c>
      <c r="AM62" s="53">
        <v>39.667999999999999</v>
      </c>
      <c r="AN62" s="53">
        <v>38.470999999999997</v>
      </c>
      <c r="AO62" s="53">
        <v>36.953000000000003</v>
      </c>
      <c r="AP62" s="53">
        <v>39.023000000000003</v>
      </c>
      <c r="AQ62" s="53">
        <v>37.822000000000003</v>
      </c>
      <c r="AR62" s="53">
        <v>41.994</v>
      </c>
      <c r="AS62" s="53">
        <v>44.725999999999999</v>
      </c>
      <c r="AT62" s="53">
        <v>50.914000000000001</v>
      </c>
      <c r="AU62" s="53">
        <v>51.183999999999997</v>
      </c>
      <c r="AV62" s="53">
        <v>53.25</v>
      </c>
      <c r="AW62" s="53">
        <v>55.28</v>
      </c>
      <c r="BP62" s="53">
        <f t="shared" si="97"/>
        <v>14.108000000000001</v>
      </c>
      <c r="BQ62" s="53">
        <f t="shared" si="98"/>
        <v>21.922999999999998</v>
      </c>
      <c r="BR62" s="53">
        <f t="shared" si="99"/>
        <v>31.152000000000001</v>
      </c>
      <c r="BS62" s="53">
        <f t="shared" si="100"/>
        <v>38.35</v>
      </c>
      <c r="BT62" s="53">
        <f t="shared" si="101"/>
        <v>39.023000000000003</v>
      </c>
      <c r="BU62" s="53">
        <f t="shared" si="102"/>
        <v>50.914000000000001</v>
      </c>
    </row>
    <row r="63" spans="2:73">
      <c r="B63" s="1" t="s">
        <v>1434</v>
      </c>
      <c r="W63" s="53"/>
      <c r="X63" s="53"/>
      <c r="Y63" s="53"/>
      <c r="Z63" s="53">
        <v>2.4319999999999999</v>
      </c>
      <c r="AA63" s="53">
        <v>2.6829999999999998</v>
      </c>
      <c r="AB63" s="53">
        <v>2.63</v>
      </c>
      <c r="AC63" s="53">
        <v>2.4169999999999998</v>
      </c>
      <c r="AD63" s="53">
        <v>3.1549999999999998</v>
      </c>
      <c r="AE63" s="53">
        <v>3.3140000000000001</v>
      </c>
      <c r="AF63" s="53">
        <v>2.75</v>
      </c>
      <c r="AG63" s="53">
        <v>3.3540000000000001</v>
      </c>
      <c r="AH63" s="53">
        <v>3.5379999999999998</v>
      </c>
      <c r="AI63" s="53">
        <v>3.359</v>
      </c>
      <c r="AJ63" s="53">
        <v>2.9489999999999998</v>
      </c>
      <c r="AK63" s="53">
        <v>3.4489999999999998</v>
      </c>
      <c r="AL63" s="53">
        <v>6.6740000000000004</v>
      </c>
      <c r="AM63" s="53">
        <v>5.0860000000000003</v>
      </c>
      <c r="AN63" s="53">
        <v>5.4720000000000004</v>
      </c>
      <c r="AO63" s="53">
        <v>7.0170000000000003</v>
      </c>
      <c r="AP63" s="53">
        <v>7.367</v>
      </c>
      <c r="AQ63" s="53">
        <v>7.1619999999999999</v>
      </c>
      <c r="AR63" s="53">
        <v>6.8769999999999998</v>
      </c>
      <c r="AS63" s="53">
        <v>8.6460000000000008</v>
      </c>
      <c r="AT63" s="53">
        <v>10.276</v>
      </c>
      <c r="AU63" s="53">
        <v>9.3000000000000007</v>
      </c>
      <c r="AV63" s="53">
        <v>9.4</v>
      </c>
      <c r="AW63" s="53">
        <v>10.14</v>
      </c>
      <c r="BP63" s="53">
        <f t="shared" si="97"/>
        <v>2.4319999999999999</v>
      </c>
      <c r="BQ63" s="53">
        <f t="shared" si="98"/>
        <v>3.1549999999999998</v>
      </c>
      <c r="BR63" s="53">
        <f t="shared" si="99"/>
        <v>3.5379999999999998</v>
      </c>
      <c r="BS63" s="53">
        <f t="shared" si="100"/>
        <v>6.6740000000000004</v>
      </c>
      <c r="BT63" s="53">
        <f t="shared" si="101"/>
        <v>7.367</v>
      </c>
      <c r="BU63" s="53">
        <f t="shared" si="102"/>
        <v>10.276</v>
      </c>
    </row>
    <row r="64" spans="2:73">
      <c r="B64" s="1" t="s">
        <v>1433</v>
      </c>
      <c r="W64" s="53"/>
      <c r="X64" s="53"/>
      <c r="Y64" s="53"/>
      <c r="Z64" s="53">
        <v>6.508</v>
      </c>
      <c r="AA64" s="53">
        <v>8.452</v>
      </c>
      <c r="AB64" s="53">
        <v>9.3490000000000002</v>
      </c>
      <c r="AC64" s="53">
        <v>9.5869999999999997</v>
      </c>
      <c r="AD64" s="53">
        <v>9.0470000000000006</v>
      </c>
      <c r="AE64" s="53">
        <v>12.757999999999999</v>
      </c>
      <c r="AF64" s="53">
        <v>12.045</v>
      </c>
      <c r="AG64" s="53">
        <v>13.092000000000001</v>
      </c>
      <c r="AH64" s="53">
        <v>15.108000000000001</v>
      </c>
      <c r="AI64" s="53">
        <v>16.216999999999999</v>
      </c>
      <c r="AJ64" s="53">
        <v>17.776</v>
      </c>
      <c r="AK64" s="53">
        <v>14.098000000000001</v>
      </c>
      <c r="AL64" s="53">
        <v>17.957000000000001</v>
      </c>
      <c r="AM64" s="53">
        <v>23.713000000000001</v>
      </c>
      <c r="AN64" s="53">
        <v>25.419</v>
      </c>
      <c r="AO64" s="53">
        <v>21.902000000000001</v>
      </c>
      <c r="AP64" s="53">
        <v>23.631</v>
      </c>
      <c r="AQ64" s="53">
        <v>25.771000000000001</v>
      </c>
      <c r="AR64" s="53">
        <v>21.306999999999999</v>
      </c>
      <c r="AS64" s="53">
        <v>21.055</v>
      </c>
      <c r="AT64" s="53">
        <v>22.199000000000002</v>
      </c>
      <c r="AU64" s="53">
        <v>28.161000000000001</v>
      </c>
      <c r="AV64" s="53">
        <v>25.18</v>
      </c>
      <c r="AW64" s="53">
        <v>25.62</v>
      </c>
      <c r="BP64" s="53">
        <f t="shared" si="97"/>
        <v>6.508</v>
      </c>
      <c r="BQ64" s="53">
        <f t="shared" si="98"/>
        <v>9.0470000000000006</v>
      </c>
      <c r="BR64" s="53">
        <f t="shared" si="99"/>
        <v>15.108000000000001</v>
      </c>
      <c r="BS64" s="53">
        <f t="shared" si="100"/>
        <v>17.957000000000001</v>
      </c>
      <c r="BT64" s="53">
        <f t="shared" si="101"/>
        <v>23.631</v>
      </c>
      <c r="BU64" s="53">
        <f t="shared" si="102"/>
        <v>22.199000000000002</v>
      </c>
    </row>
    <row r="65" spans="2:133">
      <c r="B65" s="1" t="s">
        <v>1436</v>
      </c>
      <c r="W65" s="53"/>
      <c r="X65" s="53"/>
      <c r="Y65" s="53"/>
      <c r="Z65" s="53">
        <v>32.299999999999997</v>
      </c>
      <c r="AA65" s="53">
        <v>39.231000000000002</v>
      </c>
      <c r="AB65" s="53">
        <v>38.912999999999997</v>
      </c>
      <c r="AC65" s="53">
        <v>38.231000000000002</v>
      </c>
      <c r="AD65" s="53">
        <v>29.364999999999998</v>
      </c>
      <c r="AE65" s="53">
        <v>28.960999999999999</v>
      </c>
      <c r="AF65" s="53">
        <v>28.922000000000001</v>
      </c>
      <c r="AG65" s="53">
        <v>28.49</v>
      </c>
      <c r="AH65" s="53">
        <v>28.821000000000002</v>
      </c>
      <c r="AI65" s="53">
        <v>28.091000000000001</v>
      </c>
      <c r="AJ65" s="53">
        <v>27.331</v>
      </c>
      <c r="AK65" s="53">
        <v>27.132999999999999</v>
      </c>
      <c r="AL65" s="53">
        <v>27.096</v>
      </c>
      <c r="AM65" s="53">
        <v>26.048999999999999</v>
      </c>
      <c r="AN65" s="53">
        <v>25.38</v>
      </c>
      <c r="AO65" s="53">
        <v>25.102</v>
      </c>
      <c r="AP65" s="53">
        <v>24.282</v>
      </c>
      <c r="AQ65" s="53">
        <v>23.295000000000002</v>
      </c>
      <c r="AR65" s="53">
        <v>22.268000000000001</v>
      </c>
      <c r="AS65" s="53">
        <v>21.757000000000001</v>
      </c>
      <c r="AT65" s="53">
        <v>21.824999999999999</v>
      </c>
      <c r="AU65" s="53">
        <v>21.484999999999999</v>
      </c>
      <c r="AV65" s="53">
        <v>21.18</v>
      </c>
      <c r="AW65" s="53">
        <v>20.338000000000001</v>
      </c>
      <c r="BP65" s="53">
        <f t="shared" si="97"/>
        <v>32.299999999999997</v>
      </c>
      <c r="BQ65" s="53">
        <f t="shared" si="98"/>
        <v>29.364999999999998</v>
      </c>
      <c r="BR65" s="53">
        <f t="shared" si="99"/>
        <v>28.821000000000002</v>
      </c>
      <c r="BS65" s="53">
        <f t="shared" si="100"/>
        <v>27.096</v>
      </c>
      <c r="BT65" s="53">
        <f t="shared" si="101"/>
        <v>24.282</v>
      </c>
      <c r="BU65" s="53">
        <f t="shared" si="102"/>
        <v>21.824999999999999</v>
      </c>
    </row>
    <row r="66" spans="2:133">
      <c r="B66" s="1" t="s">
        <v>1437</v>
      </c>
      <c r="W66" s="53"/>
      <c r="X66" s="53"/>
      <c r="Y66" s="53"/>
      <c r="Z66" s="53">
        <v>15.352</v>
      </c>
      <c r="AA66" s="53">
        <v>18.358000000000001</v>
      </c>
      <c r="AB66" s="53">
        <v>17.533999999999999</v>
      </c>
      <c r="AC66" s="53">
        <v>16.631</v>
      </c>
      <c r="AD66" s="53">
        <v>15.843999999999999</v>
      </c>
      <c r="AE66" s="53">
        <v>16.501000000000001</v>
      </c>
      <c r="AF66" s="53">
        <v>15.558</v>
      </c>
      <c r="AG66" s="53">
        <v>14.536</v>
      </c>
      <c r="AH66" s="53">
        <v>17.760000000000002</v>
      </c>
      <c r="AI66" s="53">
        <v>16.46</v>
      </c>
      <c r="AJ66" s="53">
        <v>15.048999999999999</v>
      </c>
      <c r="AK66" s="53">
        <v>14.414</v>
      </c>
      <c r="AL66" s="53">
        <v>13.932</v>
      </c>
      <c r="AM66" s="53">
        <v>12.714</v>
      </c>
      <c r="AN66" s="53">
        <v>11.493</v>
      </c>
      <c r="AO66" s="53">
        <v>10.228</v>
      </c>
      <c r="AP66" s="53">
        <v>12.641999999999999</v>
      </c>
      <c r="AQ66" s="53">
        <v>11.254</v>
      </c>
      <c r="AR66" s="53">
        <v>10.535</v>
      </c>
      <c r="AS66" s="53">
        <v>9.4849999999999994</v>
      </c>
      <c r="AT66" s="53">
        <v>11.786</v>
      </c>
      <c r="AU66" s="53">
        <v>12.340999999999999</v>
      </c>
      <c r="AV66" s="53">
        <v>11.66</v>
      </c>
      <c r="AW66" s="53">
        <v>10.32</v>
      </c>
      <c r="BP66" s="53">
        <f t="shared" si="97"/>
        <v>15.352</v>
      </c>
      <c r="BQ66" s="53">
        <f t="shared" si="98"/>
        <v>15.843999999999999</v>
      </c>
      <c r="BR66" s="53">
        <f t="shared" si="99"/>
        <v>17.760000000000002</v>
      </c>
      <c r="BS66" s="53">
        <f t="shared" si="100"/>
        <v>13.932</v>
      </c>
      <c r="BT66" s="53">
        <f t="shared" si="101"/>
        <v>12.641999999999999</v>
      </c>
      <c r="BU66" s="53">
        <f t="shared" si="102"/>
        <v>11.786</v>
      </c>
    </row>
    <row r="67" spans="2:133">
      <c r="B67" s="1" t="s">
        <v>1435</v>
      </c>
      <c r="W67" s="53"/>
      <c r="X67" s="53"/>
      <c r="Y67" s="53"/>
      <c r="Z67" s="53">
        <v>14.977</v>
      </c>
      <c r="AA67" s="53">
        <v>15.750999999999999</v>
      </c>
      <c r="AB67" s="53">
        <v>14.867000000000001</v>
      </c>
      <c r="AC67" s="53">
        <v>17.571999999999999</v>
      </c>
      <c r="AD67" s="53">
        <v>23.420999999999999</v>
      </c>
      <c r="AE67" s="53">
        <v>23.422000000000001</v>
      </c>
      <c r="AF67" s="53">
        <v>28.797000000000001</v>
      </c>
      <c r="AG67" s="53">
        <v>29.234000000000002</v>
      </c>
      <c r="AH67" s="53">
        <v>33.091000000000001</v>
      </c>
      <c r="AI67" s="53">
        <v>30.879000000000001</v>
      </c>
      <c r="AJ67" s="53">
        <v>34.826000000000001</v>
      </c>
      <c r="AK67" s="53">
        <v>30.257999999999999</v>
      </c>
      <c r="AL67" s="53">
        <v>33.682000000000002</v>
      </c>
      <c r="AM67" s="53">
        <v>30.818999999999999</v>
      </c>
      <c r="AN67" s="53">
        <v>30.81</v>
      </c>
      <c r="AO67" s="53">
        <v>28.815999999999999</v>
      </c>
      <c r="AP67" s="53">
        <v>33.345999999999997</v>
      </c>
      <c r="AQ67" s="53">
        <v>32.847999999999999</v>
      </c>
      <c r="AR67" s="53">
        <v>40.168999999999997</v>
      </c>
      <c r="AS67" s="53">
        <v>43.557000000000002</v>
      </c>
      <c r="AT67" s="53">
        <v>54.857999999999997</v>
      </c>
      <c r="AU67" s="53">
        <v>51.456000000000003</v>
      </c>
      <c r="AV67" s="53">
        <v>51.475999999999999</v>
      </c>
      <c r="AW67" s="53">
        <v>51.816000000000003</v>
      </c>
      <c r="BP67" s="53">
        <f t="shared" si="97"/>
        <v>14.977</v>
      </c>
      <c r="BQ67" s="53">
        <f t="shared" si="98"/>
        <v>23.420999999999999</v>
      </c>
      <c r="BR67" s="53">
        <f t="shared" si="99"/>
        <v>33.091000000000001</v>
      </c>
      <c r="BS67" s="53">
        <f t="shared" si="100"/>
        <v>33.682000000000002</v>
      </c>
      <c r="BT67" s="53">
        <f t="shared" si="101"/>
        <v>33.345999999999997</v>
      </c>
      <c r="BU67" s="53">
        <f t="shared" si="102"/>
        <v>54.857999999999997</v>
      </c>
    </row>
    <row r="68" spans="2:133">
      <c r="B68" s="1" t="s">
        <v>1438</v>
      </c>
      <c r="W68" s="53"/>
      <c r="X68" s="53"/>
      <c r="Y68" s="53"/>
      <c r="Z68" s="53">
        <v>0</v>
      </c>
      <c r="AA68" s="53">
        <v>0</v>
      </c>
      <c r="AB68" s="53">
        <v>0</v>
      </c>
      <c r="AC68" s="53">
        <v>0</v>
      </c>
      <c r="AD68" s="53">
        <v>0</v>
      </c>
      <c r="AE68" s="53">
        <v>0</v>
      </c>
      <c r="AF68" s="53">
        <v>0</v>
      </c>
      <c r="AG68" s="53">
        <v>34.279000000000003</v>
      </c>
      <c r="AH68" s="53">
        <v>34.555999999999997</v>
      </c>
      <c r="AI68" s="53">
        <v>34.555999999999997</v>
      </c>
      <c r="AJ68" s="53">
        <v>109.04</v>
      </c>
      <c r="AK68" s="53">
        <v>103.09099999999999</v>
      </c>
      <c r="AL68" s="53">
        <v>109.74</v>
      </c>
      <c r="AM68" s="53">
        <v>110.997</v>
      </c>
      <c r="AN68" s="53">
        <v>111.154</v>
      </c>
      <c r="AO68" s="53">
        <v>108.851</v>
      </c>
      <c r="AP68" s="53">
        <v>112.09699999999999</v>
      </c>
      <c r="AQ68" s="53">
        <v>110.31699999999999</v>
      </c>
      <c r="AR68" s="53">
        <v>199.202</v>
      </c>
      <c r="AS68" s="53">
        <v>202.13300000000001</v>
      </c>
      <c r="AT68" s="53">
        <v>196.84399999999999</v>
      </c>
      <c r="AU68" s="53">
        <v>199.72399999999999</v>
      </c>
      <c r="AV68" s="53">
        <v>206</v>
      </c>
      <c r="AW68" s="53">
        <v>205.95500000000001</v>
      </c>
      <c r="BP68" s="53">
        <f t="shared" si="97"/>
        <v>0</v>
      </c>
      <c r="BQ68" s="53">
        <f t="shared" si="98"/>
        <v>0</v>
      </c>
      <c r="BR68" s="53">
        <f t="shared" si="99"/>
        <v>34.555999999999997</v>
      </c>
      <c r="BS68" s="53">
        <f t="shared" si="100"/>
        <v>109.74</v>
      </c>
      <c r="BT68" s="53">
        <f t="shared" si="101"/>
        <v>112.09699999999999</v>
      </c>
      <c r="BU68" s="53">
        <f t="shared" si="102"/>
        <v>196.84399999999999</v>
      </c>
    </row>
    <row r="69" spans="2:133">
      <c r="B69" s="1" t="s">
        <v>1439</v>
      </c>
      <c r="W69" s="53"/>
      <c r="X69" s="53"/>
      <c r="Y69" s="53"/>
      <c r="Z69" s="53">
        <v>1.651</v>
      </c>
      <c r="AA69" s="53">
        <v>1.639</v>
      </c>
      <c r="AB69" s="53">
        <v>1.6220000000000001</v>
      </c>
      <c r="AC69" s="53">
        <v>1.633</v>
      </c>
      <c r="AD69" s="53">
        <v>1.583</v>
      </c>
      <c r="AE69" s="53">
        <v>1.56</v>
      </c>
      <c r="AF69" s="53">
        <v>1.516</v>
      </c>
      <c r="AG69" s="53">
        <v>8.1929999999999996</v>
      </c>
      <c r="AH69" s="53">
        <v>10.433999999999999</v>
      </c>
      <c r="AI69" s="53">
        <v>9.6769999999999996</v>
      </c>
      <c r="AJ69" s="53">
        <v>30.161999999999999</v>
      </c>
      <c r="AK69" s="53">
        <v>27.827999999999999</v>
      </c>
      <c r="AL69" s="53">
        <v>28.234000000000002</v>
      </c>
      <c r="AM69" s="53">
        <v>27.11</v>
      </c>
      <c r="AN69" s="53">
        <v>25.643000000000001</v>
      </c>
      <c r="AO69" s="53">
        <v>23.585000000000001</v>
      </c>
      <c r="AP69" s="53">
        <v>22.891999999999999</v>
      </c>
      <c r="AQ69" s="53">
        <v>21.154</v>
      </c>
      <c r="AR69" s="53">
        <v>31.533000000000001</v>
      </c>
      <c r="AS69" s="53">
        <v>30.277999999999999</v>
      </c>
      <c r="AT69" s="53">
        <v>27.388999999999999</v>
      </c>
      <c r="AU69" s="53">
        <v>26.030999999999999</v>
      </c>
      <c r="AV69" s="53">
        <v>25.215</v>
      </c>
      <c r="AW69" s="53">
        <v>23.533000000000001</v>
      </c>
      <c r="BP69" s="53">
        <f t="shared" si="97"/>
        <v>1.651</v>
      </c>
      <c r="BQ69" s="53">
        <f t="shared" si="98"/>
        <v>1.583</v>
      </c>
      <c r="BR69" s="53">
        <f t="shared" si="99"/>
        <v>10.433999999999999</v>
      </c>
      <c r="BS69" s="53">
        <f t="shared" si="100"/>
        <v>28.234000000000002</v>
      </c>
      <c r="BT69" s="53">
        <f t="shared" si="101"/>
        <v>22.891999999999999</v>
      </c>
      <c r="BU69" s="53">
        <f t="shared" si="102"/>
        <v>27.388999999999999</v>
      </c>
    </row>
    <row r="70" spans="2:133">
      <c r="B70" s="1" t="s">
        <v>1440</v>
      </c>
      <c r="W70" s="53"/>
      <c r="X70" s="53"/>
      <c r="Y70" s="53"/>
      <c r="Z70" s="53">
        <v>3.4390000000000001</v>
      </c>
      <c r="AA70" s="53">
        <v>3.5030000000000001</v>
      </c>
      <c r="AB70" s="53">
        <v>4.12</v>
      </c>
      <c r="AC70" s="53">
        <v>4.0590000000000002</v>
      </c>
      <c r="AD70" s="53">
        <v>3.7080000000000002</v>
      </c>
      <c r="AE70" s="53">
        <v>4.6100000000000003</v>
      </c>
      <c r="AF70" s="53">
        <v>5.1269999999999998</v>
      </c>
      <c r="AG70" s="53">
        <v>4.5679999999999996</v>
      </c>
      <c r="AH70" s="53">
        <v>5.0049999999999999</v>
      </c>
      <c r="AI70" s="53">
        <v>5.1619999999999999</v>
      </c>
      <c r="AJ70" s="53">
        <v>5.0609999999999999</v>
      </c>
      <c r="AK70" s="53">
        <v>6.0369999999999999</v>
      </c>
      <c r="AL70" s="53">
        <v>6.8470000000000004</v>
      </c>
      <c r="AM70" s="53">
        <v>6.9429999999999996</v>
      </c>
      <c r="AN70" s="53">
        <v>6.43</v>
      </c>
      <c r="AO70" s="53">
        <v>5.3949999999999996</v>
      </c>
      <c r="AP70" s="53">
        <v>4.665</v>
      </c>
      <c r="AQ70" s="53">
        <v>6.0359999999999996</v>
      </c>
      <c r="AR70" s="53">
        <v>6.5919999999999996</v>
      </c>
      <c r="AS70" s="53">
        <v>6.1740000000000004</v>
      </c>
      <c r="AT70" s="53">
        <v>7.5250000000000004</v>
      </c>
      <c r="AU70" s="53">
        <v>8.3000000000000007</v>
      </c>
      <c r="AV70" s="53">
        <v>7.0469999999999997</v>
      </c>
      <c r="AW70" s="53">
        <v>7.0780000000000003</v>
      </c>
      <c r="BP70" s="53">
        <f t="shared" si="97"/>
        <v>3.4390000000000001</v>
      </c>
      <c r="BQ70" s="53">
        <f t="shared" si="98"/>
        <v>3.7080000000000002</v>
      </c>
      <c r="BR70" s="53">
        <f t="shared" si="99"/>
        <v>5.0049999999999999</v>
      </c>
      <c r="BS70" s="53">
        <f t="shared" si="100"/>
        <v>6.8470000000000004</v>
      </c>
      <c r="BT70" s="53">
        <f t="shared" si="101"/>
        <v>4.665</v>
      </c>
      <c r="BU70" s="53">
        <f t="shared" si="102"/>
        <v>7.5250000000000004</v>
      </c>
    </row>
    <row r="71" spans="2:133" s="2" customFormat="1" ht="15">
      <c r="B71" s="2" t="s">
        <v>1441</v>
      </c>
      <c r="W71" s="54"/>
      <c r="X71" s="54"/>
      <c r="Y71" s="54"/>
      <c r="Z71" s="54">
        <f>SUM(Z59:Z70)</f>
        <v>638.95099999999979</v>
      </c>
      <c r="AA71" s="54">
        <f t="shared" ref="AA71:AT71" si="103">SUM(AA59:AA70)</f>
        <v>643.71600000000001</v>
      </c>
      <c r="AB71" s="54">
        <f>SUM(AB59:AB70)</f>
        <v>654.72699999999998</v>
      </c>
      <c r="AC71" s="54">
        <f>SUM(AC59:AC70)</f>
        <v>723.50100000000009</v>
      </c>
      <c r="AD71" s="54">
        <f t="shared" si="103"/>
        <v>707.00600000000009</v>
      </c>
      <c r="AE71" s="54">
        <f>SUM(AE59:AE70)</f>
        <v>708.423</v>
      </c>
      <c r="AF71" s="54">
        <f>SUM(AF59:AF70)</f>
        <v>738.88199999999995</v>
      </c>
      <c r="AG71" s="54">
        <f t="shared" si="103"/>
        <v>750.21499999999992</v>
      </c>
      <c r="AH71" s="54">
        <f t="shared" si="103"/>
        <v>786.75900000000001</v>
      </c>
      <c r="AI71" s="54">
        <f t="shared" si="103"/>
        <v>769.88300000000027</v>
      </c>
      <c r="AJ71" s="54">
        <f t="shared" si="103"/>
        <v>776.75799999999992</v>
      </c>
      <c r="AK71" s="54">
        <f t="shared" si="103"/>
        <v>776.63700000000006</v>
      </c>
      <c r="AL71" s="54">
        <f t="shared" si="103"/>
        <v>819.62000000000012</v>
      </c>
      <c r="AM71" s="54">
        <f t="shared" si="103"/>
        <v>800.07299999999987</v>
      </c>
      <c r="AN71" s="54">
        <f t="shared" si="103"/>
        <v>830.79499999999996</v>
      </c>
      <c r="AO71" s="54">
        <f t="shared" si="103"/>
        <v>1149.1280000000002</v>
      </c>
      <c r="AP71" s="54">
        <f t="shared" si="103"/>
        <v>1218.8599999999999</v>
      </c>
      <c r="AQ71" s="54">
        <f t="shared" si="103"/>
        <v>1201.904</v>
      </c>
      <c r="AR71" s="54">
        <f t="shared" si="103"/>
        <v>1242.6890000000001</v>
      </c>
      <c r="AS71" s="54">
        <f t="shared" si="103"/>
        <v>1302.086</v>
      </c>
      <c r="AT71" s="54">
        <f t="shared" si="103"/>
        <v>1368.4690000000003</v>
      </c>
      <c r="AU71" s="54">
        <f>SUM(AU59:AU70)</f>
        <v>1293.6259999999997</v>
      </c>
      <c r="AV71" s="54">
        <f>SUM(AV59:AV70)</f>
        <v>1345.6679999999999</v>
      </c>
      <c r="AW71" s="54">
        <f>SUM(AW59:AW70)</f>
        <v>1411.3009999999997</v>
      </c>
      <c r="AX71" s="34"/>
      <c r="AY71" s="34"/>
      <c r="AZ71" s="34"/>
      <c r="BA71" s="34"/>
      <c r="BB71" s="34"/>
      <c r="BP71" s="54">
        <f t="shared" si="97"/>
        <v>638.95099999999979</v>
      </c>
      <c r="BQ71" s="54">
        <f t="shared" si="98"/>
        <v>707.00600000000009</v>
      </c>
      <c r="BR71" s="54">
        <f t="shared" si="99"/>
        <v>786.75900000000001</v>
      </c>
      <c r="BS71" s="54">
        <f t="shared" si="100"/>
        <v>819.62000000000012</v>
      </c>
      <c r="BT71" s="54">
        <f t="shared" si="101"/>
        <v>1218.8599999999999</v>
      </c>
      <c r="BU71" s="54">
        <f t="shared" si="102"/>
        <v>1368.4690000000003</v>
      </c>
      <c r="BV71" s="34"/>
      <c r="BW71" s="34"/>
      <c r="BX71" s="34"/>
      <c r="BY71" s="34"/>
      <c r="BZ71" s="34"/>
      <c r="CA71" s="34"/>
      <c r="CB71" s="34"/>
      <c r="CC71" s="34"/>
      <c r="CD71" s="34"/>
      <c r="CE71" s="34"/>
      <c r="CF71" s="34"/>
      <c r="CG71" s="34"/>
      <c r="CH71" s="34"/>
      <c r="CI71" s="34"/>
      <c r="CJ71" s="34"/>
      <c r="CK71" s="34"/>
      <c r="CL71" s="34"/>
      <c r="CM71" s="34"/>
      <c r="CN71" s="34"/>
      <c r="CO71" s="34"/>
      <c r="CP71" s="34"/>
      <c r="CQ71" s="34"/>
      <c r="CR71" s="34"/>
      <c r="CS71" s="34"/>
      <c r="CT71" s="34"/>
      <c r="CU71" s="34"/>
      <c r="CV71" s="34"/>
      <c r="CW71" s="34"/>
      <c r="CX71" s="34"/>
      <c r="CY71" s="34"/>
      <c r="CZ71" s="34"/>
      <c r="DA71" s="34"/>
      <c r="DB71" s="34"/>
      <c r="DC71" s="34"/>
      <c r="DD71" s="34"/>
      <c r="DE71" s="34"/>
      <c r="DF71" s="34"/>
      <c r="DG71" s="34"/>
      <c r="DH71" s="34"/>
      <c r="DI71" s="34"/>
      <c r="DJ71" s="34"/>
      <c r="DK71" s="34"/>
      <c r="DL71" s="34"/>
      <c r="DM71" s="34"/>
      <c r="DN71" s="34"/>
      <c r="DO71" s="34"/>
      <c r="DP71" s="34"/>
      <c r="DQ71" s="34"/>
      <c r="DR71" s="34"/>
      <c r="DS71" s="34"/>
      <c r="DT71" s="34"/>
      <c r="DU71" s="34"/>
      <c r="DV71" s="34"/>
      <c r="DW71" s="34"/>
      <c r="DX71" s="34"/>
      <c r="DY71" s="34"/>
      <c r="DZ71" s="34"/>
      <c r="EA71" s="34"/>
      <c r="EB71" s="34"/>
      <c r="EC71" s="34"/>
    </row>
    <row r="72" spans="2:133">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row>
    <row r="73" spans="2:133">
      <c r="B73" s="1" t="s">
        <v>1442</v>
      </c>
      <c r="W73" s="53"/>
      <c r="X73" s="53"/>
      <c r="Y73" s="53"/>
      <c r="Z73" s="53">
        <v>7.0570000000000004</v>
      </c>
      <c r="AA73" s="53">
        <v>5.5010000000000003</v>
      </c>
      <c r="AB73" s="53">
        <v>3.8130000000000002</v>
      </c>
      <c r="AC73" s="53">
        <v>3.65</v>
      </c>
      <c r="AD73" s="53">
        <v>2.843</v>
      </c>
      <c r="AE73" s="53">
        <v>4.7160000000000002</v>
      </c>
      <c r="AF73" s="53">
        <v>3.7040000000000002</v>
      </c>
      <c r="AG73" s="53">
        <v>4.0179999999999998</v>
      </c>
      <c r="AH73" s="53">
        <v>4.1139999999999999</v>
      </c>
      <c r="AI73" s="53">
        <v>8.3789999999999996</v>
      </c>
      <c r="AJ73" s="53">
        <v>5.7969999999999997</v>
      </c>
      <c r="AK73" s="53">
        <v>9.6739999999999995</v>
      </c>
      <c r="AL73" s="53">
        <v>6.1740000000000004</v>
      </c>
      <c r="AM73" s="53">
        <v>6.3940000000000001</v>
      </c>
      <c r="AN73" s="53">
        <v>5.3120000000000003</v>
      </c>
      <c r="AO73" s="53">
        <v>4.9089999999999998</v>
      </c>
      <c r="AP73" s="53">
        <v>5.2039999999999997</v>
      </c>
      <c r="AQ73" s="53">
        <v>9.9109999999999996</v>
      </c>
      <c r="AR73" s="53">
        <v>8.2289999999999992</v>
      </c>
      <c r="AS73" s="53">
        <v>13.346</v>
      </c>
      <c r="AT73" s="53">
        <v>7.7469999999999999</v>
      </c>
      <c r="AU73" s="53">
        <v>14.760999999999999</v>
      </c>
      <c r="AV73" s="53">
        <v>10.904999999999999</v>
      </c>
      <c r="AW73" s="53">
        <v>11.01</v>
      </c>
      <c r="BP73" s="53">
        <f t="shared" ref="BP73:BP85" si="104">Z73</f>
        <v>7.0570000000000004</v>
      </c>
      <c r="BQ73" s="53">
        <f t="shared" ref="BQ73:BQ85" si="105">AD73</f>
        <v>2.843</v>
      </c>
      <c r="BR73" s="53">
        <f t="shared" ref="BR73:BR85" si="106">AH73</f>
        <v>4.1139999999999999</v>
      </c>
      <c r="BS73" s="53">
        <f t="shared" ref="BS73:BS85" si="107">AL73</f>
        <v>6.1740000000000004</v>
      </c>
      <c r="BT73" s="53">
        <f t="shared" ref="BT73:BT85" si="108">AP73</f>
        <v>5.2039999999999997</v>
      </c>
      <c r="BU73" s="53">
        <f t="shared" ref="BU73:BU85" si="109">AT73</f>
        <v>7.7469999999999999</v>
      </c>
    </row>
    <row r="74" spans="2:133">
      <c r="B74" s="1" t="s">
        <v>1443</v>
      </c>
      <c r="W74" s="53"/>
      <c r="X74" s="53"/>
      <c r="Y74" s="53"/>
      <c r="Z74" s="53">
        <v>49.798999999999999</v>
      </c>
      <c r="AA74" s="53">
        <v>42.762</v>
      </c>
      <c r="AB74" s="53">
        <v>56.387</v>
      </c>
      <c r="AC74" s="53">
        <v>63.444000000000003</v>
      </c>
      <c r="AD74" s="53">
        <v>68.256</v>
      </c>
      <c r="AE74" s="53">
        <v>60.11</v>
      </c>
      <c r="AF74" s="53">
        <v>76.682000000000002</v>
      </c>
      <c r="AG74" s="53">
        <v>78.799000000000007</v>
      </c>
      <c r="AH74" s="53">
        <v>84.126000000000005</v>
      </c>
      <c r="AI74" s="53">
        <v>71.588999999999999</v>
      </c>
      <c r="AJ74" s="53">
        <v>85.863</v>
      </c>
      <c r="AK74" s="53">
        <v>84.89</v>
      </c>
      <c r="AL74" s="53">
        <v>83.998999999999995</v>
      </c>
      <c r="AM74" s="53">
        <v>79.341999999999999</v>
      </c>
      <c r="AN74" s="53">
        <v>91.117999999999995</v>
      </c>
      <c r="AO74" s="53">
        <v>94.158000000000001</v>
      </c>
      <c r="AP74" s="53">
        <v>97.921000000000006</v>
      </c>
      <c r="AQ74" s="53">
        <v>89.436999999999998</v>
      </c>
      <c r="AR74" s="53">
        <v>113.35899999999999</v>
      </c>
      <c r="AS74" s="53">
        <v>111.029</v>
      </c>
      <c r="AT74" s="53">
        <v>126.508</v>
      </c>
      <c r="AU74" s="53">
        <v>93.495000000000005</v>
      </c>
      <c r="AV74" s="53">
        <v>118.58799999999999</v>
      </c>
      <c r="AW74" s="53">
        <v>120.15900000000001</v>
      </c>
      <c r="BP74" s="53">
        <f t="shared" si="104"/>
        <v>49.798999999999999</v>
      </c>
      <c r="BQ74" s="53">
        <f t="shared" si="105"/>
        <v>68.256</v>
      </c>
      <c r="BR74" s="53">
        <f t="shared" si="106"/>
        <v>84.126000000000005</v>
      </c>
      <c r="BS74" s="53">
        <f t="shared" si="107"/>
        <v>83.998999999999995</v>
      </c>
      <c r="BT74" s="53">
        <f t="shared" si="108"/>
        <v>97.921000000000006</v>
      </c>
      <c r="BU74" s="53">
        <f t="shared" si="109"/>
        <v>126.508</v>
      </c>
    </row>
    <row r="75" spans="2:133">
      <c r="B75" s="1" t="s">
        <v>1444</v>
      </c>
      <c r="W75" s="53"/>
      <c r="X75" s="53"/>
      <c r="Y75" s="53"/>
      <c r="Z75" s="53">
        <v>173.61699999999999</v>
      </c>
      <c r="AA75" s="53">
        <v>172.369</v>
      </c>
      <c r="AB75" s="53">
        <v>171.37799999999999</v>
      </c>
      <c r="AC75" s="53">
        <v>182.7</v>
      </c>
      <c r="AD75" s="53">
        <v>208.99</v>
      </c>
      <c r="AE75" s="53">
        <v>212.02500000000001</v>
      </c>
      <c r="AF75" s="53">
        <v>224.952</v>
      </c>
      <c r="AG75" s="53">
        <v>235.75399999999999</v>
      </c>
      <c r="AH75" s="53">
        <v>258.02300000000002</v>
      </c>
      <c r="AI75" s="53">
        <v>259.387</v>
      </c>
      <c r="AJ75" s="53">
        <v>272.73099999999999</v>
      </c>
      <c r="AK75" s="53">
        <v>280.59399999999999</v>
      </c>
      <c r="AL75" s="53">
        <v>316.26299999999998</v>
      </c>
      <c r="AM75" s="53">
        <v>309.78100000000001</v>
      </c>
      <c r="AN75" s="53">
        <v>327.36500000000001</v>
      </c>
      <c r="AO75" s="53">
        <v>338.41800000000001</v>
      </c>
      <c r="AP75" s="53">
        <v>380.84300000000002</v>
      </c>
      <c r="AQ75" s="53">
        <v>367.06</v>
      </c>
      <c r="AR75" s="53">
        <v>384.10500000000002</v>
      </c>
      <c r="AS75" s="53">
        <v>414.22899999999998</v>
      </c>
      <c r="AT75" s="53">
        <v>457.608</v>
      </c>
      <c r="AU75" s="53">
        <v>438.51299999999998</v>
      </c>
      <c r="AV75" s="53">
        <v>461.267</v>
      </c>
      <c r="AW75" s="53">
        <v>489.69</v>
      </c>
      <c r="BP75" s="53">
        <f t="shared" si="104"/>
        <v>173.61699999999999</v>
      </c>
      <c r="BQ75" s="53">
        <f t="shared" si="105"/>
        <v>208.99</v>
      </c>
      <c r="BR75" s="53">
        <f t="shared" si="106"/>
        <v>258.02300000000002</v>
      </c>
      <c r="BS75" s="53">
        <f t="shared" si="107"/>
        <v>316.26299999999998</v>
      </c>
      <c r="BT75" s="53">
        <f t="shared" si="108"/>
        <v>380.84300000000002</v>
      </c>
      <c r="BU75" s="53">
        <f t="shared" si="109"/>
        <v>457.608</v>
      </c>
    </row>
    <row r="76" spans="2:133">
      <c r="B76" s="1" t="s">
        <v>1480</v>
      </c>
      <c r="W76" s="53"/>
      <c r="X76" s="53"/>
      <c r="Y76" s="53"/>
      <c r="Z76" s="53">
        <v>0</v>
      </c>
      <c r="AA76" s="53">
        <v>0</v>
      </c>
      <c r="AB76" s="53">
        <v>0</v>
      </c>
      <c r="AC76" s="53">
        <v>0</v>
      </c>
      <c r="AD76" s="53">
        <v>0</v>
      </c>
      <c r="AE76" s="53">
        <v>0</v>
      </c>
      <c r="AF76" s="53">
        <v>0</v>
      </c>
      <c r="AG76" s="53">
        <v>296.34100000000001</v>
      </c>
      <c r="AH76" s="53">
        <v>298.661</v>
      </c>
      <c r="AI76" s="53">
        <v>0</v>
      </c>
      <c r="AJ76" s="53">
        <v>0</v>
      </c>
      <c r="AK76" s="53">
        <v>0</v>
      </c>
      <c r="AL76" s="53">
        <v>0</v>
      </c>
      <c r="AM76" s="53">
        <v>0</v>
      </c>
      <c r="AN76" s="53">
        <v>0</v>
      </c>
      <c r="AO76" s="53">
        <v>0</v>
      </c>
      <c r="AP76" s="53">
        <v>0</v>
      </c>
      <c r="AQ76" s="53">
        <v>0</v>
      </c>
      <c r="AR76" s="53">
        <v>0</v>
      </c>
      <c r="AS76" s="53">
        <v>0</v>
      </c>
      <c r="AT76" s="53">
        <v>0</v>
      </c>
      <c r="AU76" s="53">
        <v>0</v>
      </c>
      <c r="AV76" s="53">
        <v>70.936999999999998</v>
      </c>
      <c r="AW76" s="53">
        <v>71.004000000000005</v>
      </c>
      <c r="BP76" s="53">
        <f t="shared" si="104"/>
        <v>0</v>
      </c>
      <c r="BQ76" s="53">
        <f t="shared" si="105"/>
        <v>0</v>
      </c>
      <c r="BR76" s="53">
        <f t="shared" si="106"/>
        <v>298.661</v>
      </c>
      <c r="BS76" s="53">
        <f t="shared" si="107"/>
        <v>0</v>
      </c>
      <c r="BT76" s="53">
        <f t="shared" si="108"/>
        <v>0</v>
      </c>
      <c r="BU76" s="53">
        <f t="shared" si="109"/>
        <v>0</v>
      </c>
    </row>
    <row r="77" spans="2:133">
      <c r="B77" s="1" t="s">
        <v>1445</v>
      </c>
      <c r="W77" s="53"/>
      <c r="X77" s="53"/>
      <c r="Y77" s="53"/>
      <c r="Z77" s="53">
        <v>1.3280000000000001</v>
      </c>
      <c r="AA77" s="53">
        <v>1.361</v>
      </c>
      <c r="AB77" s="53">
        <v>1.395</v>
      </c>
      <c r="AC77" s="53">
        <v>1.429</v>
      </c>
      <c r="AD77" s="53">
        <v>1.7050000000000001</v>
      </c>
      <c r="AE77" s="53">
        <v>1.728</v>
      </c>
      <c r="AF77" s="53">
        <v>1.752</v>
      </c>
      <c r="AG77" s="53">
        <v>1.776</v>
      </c>
      <c r="AH77" s="53">
        <v>1.575</v>
      </c>
      <c r="AI77" s="53">
        <v>1.2569999999999999</v>
      </c>
      <c r="AJ77" s="53">
        <v>0.93899999999999995</v>
      </c>
      <c r="AK77" s="53">
        <v>0.6</v>
      </c>
      <c r="AL77" s="53">
        <v>0.504</v>
      </c>
      <c r="AM77" s="53">
        <v>0.51100000000000001</v>
      </c>
      <c r="AN77" s="53">
        <v>0.51800000000000002</v>
      </c>
      <c r="AO77" s="53">
        <v>0.52500000000000002</v>
      </c>
      <c r="AP77" s="53">
        <v>0.53200000000000003</v>
      </c>
      <c r="AQ77" s="53">
        <v>0.54</v>
      </c>
      <c r="AR77" s="53">
        <v>0.54700000000000004</v>
      </c>
      <c r="AS77" s="53">
        <v>0.55500000000000005</v>
      </c>
      <c r="AT77" s="53">
        <v>0.56200000000000006</v>
      </c>
      <c r="AU77" s="53">
        <v>0.56999999999999995</v>
      </c>
      <c r="AV77" s="53">
        <v>0.56999999999999995</v>
      </c>
      <c r="AW77" s="53">
        <v>0.58599999999999997</v>
      </c>
      <c r="BP77" s="53">
        <f t="shared" si="104"/>
        <v>1.3280000000000001</v>
      </c>
      <c r="BQ77" s="53">
        <f t="shared" si="105"/>
        <v>1.7050000000000001</v>
      </c>
      <c r="BR77" s="53">
        <f t="shared" si="106"/>
        <v>1.575</v>
      </c>
      <c r="BS77" s="53">
        <f t="shared" si="107"/>
        <v>0.504</v>
      </c>
      <c r="BT77" s="53">
        <f t="shared" si="108"/>
        <v>0.53200000000000003</v>
      </c>
      <c r="BU77" s="53">
        <f t="shared" si="109"/>
        <v>0.56200000000000006</v>
      </c>
    </row>
    <row r="78" spans="2:133">
      <c r="B78" s="1" t="s">
        <v>1448</v>
      </c>
      <c r="W78" s="53"/>
      <c r="X78" s="53"/>
      <c r="Y78" s="53"/>
      <c r="Z78" s="53">
        <v>280.601</v>
      </c>
      <c r="AA78" s="53">
        <v>282.798</v>
      </c>
      <c r="AB78" s="53">
        <v>285</v>
      </c>
      <c r="AC78" s="53">
        <v>287.24200000000002</v>
      </c>
      <c r="AD78" s="53">
        <v>289.49</v>
      </c>
      <c r="AE78" s="53">
        <v>291.75599999999997</v>
      </c>
      <c r="AF78" s="53">
        <v>294.04000000000002</v>
      </c>
      <c r="AG78" s="53">
        <v>0</v>
      </c>
      <c r="AH78" s="1">
        <v>0</v>
      </c>
      <c r="AI78" s="53">
        <v>339.28300000000002</v>
      </c>
      <c r="AJ78" s="53">
        <v>339.608</v>
      </c>
      <c r="AK78" s="53">
        <v>339.93200000000002</v>
      </c>
      <c r="AL78" s="53">
        <v>340.25700000000001</v>
      </c>
      <c r="AM78" s="53">
        <v>340.58199999999999</v>
      </c>
      <c r="AN78" s="53">
        <v>340.90699999999998</v>
      </c>
      <c r="AO78" s="53">
        <v>761.48699999999997</v>
      </c>
      <c r="AP78" s="53">
        <v>762.45500000000004</v>
      </c>
      <c r="AQ78" s="53">
        <v>763.06299999999999</v>
      </c>
      <c r="AR78" s="53">
        <v>763.67200000000003</v>
      </c>
      <c r="AS78" s="53">
        <v>764.28099999999995</v>
      </c>
      <c r="AT78" s="53">
        <v>764.89099999999996</v>
      </c>
      <c r="AU78" s="53">
        <v>765.5</v>
      </c>
      <c r="AV78" s="53">
        <v>695.17499999999995</v>
      </c>
      <c r="AW78" s="53">
        <v>695.71900000000005</v>
      </c>
      <c r="BP78" s="53">
        <f t="shared" si="104"/>
        <v>280.601</v>
      </c>
      <c r="BQ78" s="53">
        <f t="shared" si="105"/>
        <v>289.49</v>
      </c>
      <c r="BR78" s="53">
        <f t="shared" si="106"/>
        <v>0</v>
      </c>
      <c r="BS78" s="53">
        <f t="shared" si="107"/>
        <v>340.25700000000001</v>
      </c>
      <c r="BT78" s="53">
        <f t="shared" si="108"/>
        <v>762.45500000000004</v>
      </c>
      <c r="BU78" s="53">
        <f t="shared" si="109"/>
        <v>764.89099999999996</v>
      </c>
    </row>
    <row r="79" spans="2:133">
      <c r="B79" s="1" t="s">
        <v>1446</v>
      </c>
      <c r="W79" s="53"/>
      <c r="X79" s="53"/>
      <c r="Y79" s="53"/>
      <c r="Z79" s="53">
        <v>32.569000000000003</v>
      </c>
      <c r="AA79" s="53">
        <v>31.626000000000001</v>
      </c>
      <c r="AB79" s="53">
        <v>29.294</v>
      </c>
      <c r="AC79" s="53">
        <v>34.756</v>
      </c>
      <c r="AD79" s="53">
        <v>35.893999999999998</v>
      </c>
      <c r="AE79" s="53">
        <v>32.887999999999998</v>
      </c>
      <c r="AF79" s="53">
        <v>32.219000000000001</v>
      </c>
      <c r="AG79" s="53">
        <v>31.463000000000001</v>
      </c>
      <c r="AH79" s="1">
        <v>34.180999999999997</v>
      </c>
      <c r="AI79" s="53">
        <v>33.204000000000001</v>
      </c>
      <c r="AJ79" s="53">
        <v>34.063000000000002</v>
      </c>
      <c r="AK79" s="53">
        <v>37.497999999999998</v>
      </c>
      <c r="AL79" s="53">
        <v>38.237000000000002</v>
      </c>
      <c r="AM79" s="53">
        <v>35.600999999999999</v>
      </c>
      <c r="AN79" s="53">
        <v>39.822000000000003</v>
      </c>
      <c r="AO79" s="53">
        <v>38.216000000000001</v>
      </c>
      <c r="AP79" s="53">
        <v>36.177</v>
      </c>
      <c r="AQ79" s="53">
        <v>31.085000000000001</v>
      </c>
      <c r="AR79" s="53">
        <v>27.693999999999999</v>
      </c>
      <c r="AS79" s="53">
        <v>27.527000000000001</v>
      </c>
      <c r="AT79" s="53">
        <v>29.681000000000001</v>
      </c>
      <c r="AU79" s="53">
        <v>33.103999999999999</v>
      </c>
      <c r="AV79" s="53">
        <v>32.442999999999998</v>
      </c>
      <c r="AW79" s="53">
        <v>38.822000000000003</v>
      </c>
      <c r="BP79" s="53">
        <f t="shared" si="104"/>
        <v>32.569000000000003</v>
      </c>
      <c r="BQ79" s="53">
        <f t="shared" si="105"/>
        <v>35.893999999999998</v>
      </c>
      <c r="BR79" s="53">
        <f t="shared" si="106"/>
        <v>34.180999999999997</v>
      </c>
      <c r="BS79" s="53">
        <f t="shared" si="107"/>
        <v>38.237000000000002</v>
      </c>
      <c r="BT79" s="53">
        <f t="shared" si="108"/>
        <v>36.177</v>
      </c>
      <c r="BU79" s="53">
        <f t="shared" si="109"/>
        <v>29.681000000000001</v>
      </c>
    </row>
    <row r="80" spans="2:133">
      <c r="B80" s="1" t="s">
        <v>1447</v>
      </c>
      <c r="W80" s="53"/>
      <c r="X80" s="53"/>
      <c r="Y80" s="53"/>
      <c r="Z80" s="53">
        <v>1.498</v>
      </c>
      <c r="AA80" s="53">
        <v>1.569</v>
      </c>
      <c r="AB80" s="53">
        <v>1.778</v>
      </c>
      <c r="AC80" s="53">
        <v>1.748</v>
      </c>
      <c r="AD80" s="53">
        <v>1.68</v>
      </c>
      <c r="AE80" s="53">
        <v>1.68</v>
      </c>
      <c r="AF80" s="53">
        <v>1.3380000000000001</v>
      </c>
      <c r="AG80" s="53">
        <v>1.335</v>
      </c>
      <c r="AH80" s="53">
        <v>1.605</v>
      </c>
      <c r="AI80" s="53">
        <v>1.6020000000000001</v>
      </c>
      <c r="AJ80" s="53">
        <v>1.38</v>
      </c>
      <c r="AK80" s="53">
        <v>1.353</v>
      </c>
      <c r="AL80" s="53">
        <v>1.518</v>
      </c>
      <c r="AM80" s="53">
        <v>1.5329999999999999</v>
      </c>
      <c r="AN80" s="53">
        <v>1.5269999999999999</v>
      </c>
      <c r="AO80" s="53">
        <v>1.5389999999999999</v>
      </c>
      <c r="AP80" s="53">
        <v>0.17799999999999999</v>
      </c>
      <c r="AQ80" s="53">
        <v>0.21199999999999999</v>
      </c>
      <c r="AR80" s="53">
        <v>0.221</v>
      </c>
      <c r="AS80" s="53">
        <v>0.23599999999999999</v>
      </c>
      <c r="AT80" s="53">
        <v>0.22700000000000001</v>
      </c>
      <c r="AU80" s="53">
        <v>0.23799999999999999</v>
      </c>
      <c r="AV80" s="53">
        <v>0.29199999999999998</v>
      </c>
      <c r="AW80" s="53">
        <v>0.28399999999999997</v>
      </c>
      <c r="BP80" s="53">
        <f t="shared" si="104"/>
        <v>1.498</v>
      </c>
      <c r="BQ80" s="53">
        <f t="shared" si="105"/>
        <v>1.68</v>
      </c>
      <c r="BR80" s="53">
        <f t="shared" si="106"/>
        <v>1.605</v>
      </c>
      <c r="BS80" s="53">
        <f t="shared" si="107"/>
        <v>1.518</v>
      </c>
      <c r="BT80" s="53">
        <f t="shared" si="108"/>
        <v>0.17799999999999999</v>
      </c>
      <c r="BU80" s="53">
        <f t="shared" si="109"/>
        <v>0.22700000000000001</v>
      </c>
    </row>
    <row r="81" spans="2:133">
      <c r="B81" s="1" t="s">
        <v>1449</v>
      </c>
      <c r="W81" s="53"/>
      <c r="X81" s="53"/>
      <c r="Y81" s="53"/>
      <c r="Z81" s="53">
        <v>18.564</v>
      </c>
      <c r="AA81" s="53">
        <v>20.422000000000001</v>
      </c>
      <c r="AB81" s="53">
        <v>19.274000000000001</v>
      </c>
      <c r="AC81" s="53">
        <v>18.228999999999999</v>
      </c>
      <c r="AD81" s="53">
        <v>17.209</v>
      </c>
      <c r="AE81" s="53">
        <v>17.54</v>
      </c>
      <c r="AF81" s="53">
        <v>16.355</v>
      </c>
      <c r="AG81" s="53">
        <v>15.231</v>
      </c>
      <c r="AH81" s="53">
        <v>16.408000000000001</v>
      </c>
      <c r="AI81" s="53">
        <v>15.026</v>
      </c>
      <c r="AJ81" s="53">
        <v>13.688000000000001</v>
      </c>
      <c r="AK81" s="53">
        <v>12.866</v>
      </c>
      <c r="AL81" s="53">
        <v>12.102</v>
      </c>
      <c r="AM81" s="53">
        <v>10.948</v>
      </c>
      <c r="AN81" s="53">
        <v>9.7490000000000006</v>
      </c>
      <c r="AO81" s="53">
        <v>9.0229999999999997</v>
      </c>
      <c r="AP81" s="53">
        <v>10.89</v>
      </c>
      <c r="AQ81" s="53">
        <v>9.8390000000000004</v>
      </c>
      <c r="AR81" s="53">
        <v>8.8559999999999999</v>
      </c>
      <c r="AS81" s="53">
        <v>8.0619999999999994</v>
      </c>
      <c r="AT81" s="53">
        <v>9.4410000000000007</v>
      </c>
      <c r="AU81" s="53">
        <v>9.8450000000000006</v>
      </c>
      <c r="AV81" s="53">
        <v>8.89</v>
      </c>
      <c r="AW81" s="53">
        <v>7.915</v>
      </c>
      <c r="BP81" s="53">
        <f t="shared" si="104"/>
        <v>18.564</v>
      </c>
      <c r="BQ81" s="53">
        <f t="shared" si="105"/>
        <v>17.209</v>
      </c>
      <c r="BR81" s="53">
        <f t="shared" si="106"/>
        <v>16.408000000000001</v>
      </c>
      <c r="BS81" s="53">
        <f t="shared" si="107"/>
        <v>12.102</v>
      </c>
      <c r="BT81" s="53">
        <f t="shared" si="108"/>
        <v>10.89</v>
      </c>
      <c r="BU81" s="53">
        <f t="shared" si="109"/>
        <v>9.4410000000000007</v>
      </c>
    </row>
    <row r="82" spans="2:133">
      <c r="B82" s="1" t="s">
        <v>1450</v>
      </c>
      <c r="W82" s="53"/>
      <c r="X82" s="53"/>
      <c r="Y82" s="53"/>
      <c r="Z82" s="53">
        <v>15.888999999999999</v>
      </c>
      <c r="AA82" s="53">
        <v>15.536</v>
      </c>
      <c r="AB82" s="53">
        <v>15.173999999999999</v>
      </c>
      <c r="AC82" s="53">
        <v>14.805</v>
      </c>
      <c r="AD82" s="53">
        <v>16.661999999999999</v>
      </c>
      <c r="AE82" s="53">
        <v>16.221</v>
      </c>
      <c r="AF82" s="53">
        <v>15.773999999999999</v>
      </c>
      <c r="AG82" s="53">
        <v>15.32</v>
      </c>
      <c r="AH82" s="53">
        <v>15.087</v>
      </c>
      <c r="AI82" s="53">
        <v>14.962999999999999</v>
      </c>
      <c r="AJ82" s="53">
        <v>14.837999999999999</v>
      </c>
      <c r="AK82" s="53">
        <v>14.711</v>
      </c>
      <c r="AL82" s="53">
        <v>14.583</v>
      </c>
      <c r="AM82" s="53">
        <v>14.452</v>
      </c>
      <c r="AN82" s="53">
        <v>14.32</v>
      </c>
      <c r="AO82" s="53">
        <v>14.186</v>
      </c>
      <c r="AP82" s="53">
        <v>14.05</v>
      </c>
      <c r="AQ82" s="53">
        <v>13.913</v>
      </c>
      <c r="AR82" s="53">
        <v>13.773</v>
      </c>
      <c r="AS82" s="53">
        <v>13.631</v>
      </c>
      <c r="AT82" s="53">
        <v>13.48</v>
      </c>
      <c r="AU82" s="53">
        <v>13.342000000000001</v>
      </c>
      <c r="AV82" s="53">
        <v>13.195</v>
      </c>
      <c r="AW82" s="53">
        <v>13.045</v>
      </c>
      <c r="BP82" s="53">
        <f t="shared" si="104"/>
        <v>15.888999999999999</v>
      </c>
      <c r="BQ82" s="53">
        <f t="shared" si="105"/>
        <v>16.661999999999999</v>
      </c>
      <c r="BR82" s="53">
        <f t="shared" si="106"/>
        <v>15.087</v>
      </c>
      <c r="BS82" s="53">
        <f t="shared" si="107"/>
        <v>14.583</v>
      </c>
      <c r="BT82" s="53">
        <f t="shared" si="108"/>
        <v>14.05</v>
      </c>
      <c r="BU82" s="53">
        <f t="shared" si="109"/>
        <v>13.48</v>
      </c>
    </row>
    <row r="83" spans="2:133" s="2" customFormat="1" ht="15">
      <c r="B83" s="2" t="s">
        <v>1477</v>
      </c>
      <c r="W83" s="54"/>
      <c r="X83" s="54"/>
      <c r="Y83" s="54"/>
      <c r="Z83" s="54">
        <f>SUM(Z73:Z82)</f>
        <v>580.92200000000003</v>
      </c>
      <c r="AA83" s="54">
        <f t="shared" ref="AA83:AT83" si="110">SUM(AA73:AA82)</f>
        <v>573.94399999999996</v>
      </c>
      <c r="AB83" s="54">
        <f t="shared" si="110"/>
        <v>583.49299999999994</v>
      </c>
      <c r="AC83" s="54">
        <f t="shared" si="110"/>
        <v>608.00300000000004</v>
      </c>
      <c r="AD83" s="54">
        <f>SUM(AD73:AD82)</f>
        <v>642.72899999999993</v>
      </c>
      <c r="AE83" s="54">
        <f t="shared" si="110"/>
        <v>638.66399999999999</v>
      </c>
      <c r="AF83" s="54">
        <f>SUM(AF73:AF82)</f>
        <v>666.81600000000003</v>
      </c>
      <c r="AG83" s="54">
        <f t="shared" si="110"/>
        <v>680.03700000000003</v>
      </c>
      <c r="AH83" s="54">
        <f t="shared" si="110"/>
        <v>713.78000000000009</v>
      </c>
      <c r="AI83" s="54">
        <f t="shared" si="110"/>
        <v>744.68999999999983</v>
      </c>
      <c r="AJ83" s="54">
        <f t="shared" si="110"/>
        <v>768.90699999999993</v>
      </c>
      <c r="AK83" s="54">
        <f t="shared" si="110"/>
        <v>782.11800000000005</v>
      </c>
      <c r="AL83" s="54">
        <f t="shared" si="110"/>
        <v>813.63699999999994</v>
      </c>
      <c r="AM83" s="54">
        <f t="shared" si="110"/>
        <v>799.14400000000001</v>
      </c>
      <c r="AN83" s="54">
        <f t="shared" si="110"/>
        <v>830.63800000000015</v>
      </c>
      <c r="AO83" s="54">
        <f t="shared" si="110"/>
        <v>1262.4609999999996</v>
      </c>
      <c r="AP83" s="54">
        <f t="shared" si="110"/>
        <v>1308.25</v>
      </c>
      <c r="AQ83" s="54">
        <f t="shared" si="110"/>
        <v>1285.06</v>
      </c>
      <c r="AR83" s="54">
        <f t="shared" si="110"/>
        <v>1320.4559999999999</v>
      </c>
      <c r="AS83" s="54">
        <f t="shared" si="110"/>
        <v>1352.8960000000002</v>
      </c>
      <c r="AT83" s="54">
        <f t="shared" si="110"/>
        <v>1410.1450000000002</v>
      </c>
      <c r="AU83" s="54">
        <f>SUM(AU73:AU82)</f>
        <v>1369.3680000000002</v>
      </c>
      <c r="AV83" s="54">
        <f>SUM(AV73:AV82)</f>
        <v>1412.2619999999999</v>
      </c>
      <c r="AW83" s="54">
        <f>SUM(AW73:AW82)</f>
        <v>1448.2340000000004</v>
      </c>
      <c r="AX83" s="34"/>
      <c r="AY83" s="34"/>
      <c r="AZ83" s="34"/>
      <c r="BA83" s="34"/>
      <c r="BB83" s="34"/>
      <c r="BP83" s="54">
        <f t="shared" si="104"/>
        <v>580.92200000000003</v>
      </c>
      <c r="BQ83" s="54">
        <f t="shared" si="105"/>
        <v>642.72899999999993</v>
      </c>
      <c r="BR83" s="54">
        <f t="shared" si="106"/>
        <v>713.78000000000009</v>
      </c>
      <c r="BS83" s="54">
        <f t="shared" si="107"/>
        <v>813.63699999999994</v>
      </c>
      <c r="BT83" s="54">
        <f t="shared" si="108"/>
        <v>1308.25</v>
      </c>
      <c r="BU83" s="54">
        <f t="shared" si="109"/>
        <v>1410.1450000000002</v>
      </c>
      <c r="BV83" s="34"/>
      <c r="BW83" s="34"/>
      <c r="BX83" s="34"/>
      <c r="BY83" s="34"/>
      <c r="BZ83" s="34"/>
      <c r="CA83" s="34"/>
      <c r="CB83" s="34"/>
      <c r="CC83" s="34"/>
      <c r="CD83" s="34"/>
      <c r="CE83" s="34"/>
      <c r="CF83" s="34"/>
      <c r="CG83" s="34"/>
      <c r="CH83" s="34"/>
      <c r="CI83" s="34"/>
      <c r="CJ83" s="34"/>
      <c r="CK83" s="34"/>
      <c r="CL83" s="34"/>
      <c r="CM83" s="34"/>
      <c r="CN83" s="34"/>
      <c r="CO83" s="34"/>
      <c r="CP83" s="34"/>
      <c r="CQ83" s="34"/>
      <c r="CR83" s="34"/>
      <c r="CS83" s="34"/>
      <c r="CT83" s="34"/>
      <c r="CU83" s="34"/>
      <c r="CV83" s="34"/>
      <c r="CW83" s="34"/>
      <c r="CX83" s="34"/>
      <c r="CY83" s="34"/>
      <c r="CZ83" s="34"/>
      <c r="DA83" s="34"/>
      <c r="DB83" s="34"/>
      <c r="DC83" s="34"/>
      <c r="DD83" s="34"/>
      <c r="DE83" s="34"/>
      <c r="DF83" s="34"/>
      <c r="DG83" s="34"/>
      <c r="DH83" s="34"/>
      <c r="DI83" s="34"/>
      <c r="DJ83" s="34"/>
      <c r="DK83" s="34"/>
      <c r="DL83" s="34"/>
      <c r="DM83" s="34"/>
      <c r="DN83" s="34"/>
      <c r="DO83" s="34"/>
      <c r="DP83" s="34"/>
      <c r="DQ83" s="34"/>
      <c r="DR83" s="34"/>
      <c r="DS83" s="34"/>
      <c r="DT83" s="34"/>
      <c r="DU83" s="34"/>
      <c r="DV83" s="34"/>
      <c r="DW83" s="34"/>
      <c r="DX83" s="34"/>
      <c r="DY83" s="34"/>
      <c r="DZ83" s="34"/>
      <c r="EA83" s="34"/>
      <c r="EB83" s="34"/>
      <c r="EC83" s="34"/>
    </row>
    <row r="84" spans="2:133">
      <c r="B84" s="1" t="s">
        <v>1478</v>
      </c>
      <c r="W84" s="53"/>
      <c r="X84" s="53"/>
      <c r="Y84" s="53"/>
      <c r="Z84" s="53">
        <v>65.343000000000004</v>
      </c>
      <c r="AA84" s="53">
        <v>69.772000000000006</v>
      </c>
      <c r="AB84" s="53">
        <v>71.222999999999999</v>
      </c>
      <c r="AC84" s="53">
        <v>79.498000000000005</v>
      </c>
      <c r="AD84" s="53">
        <v>64.277000000000001</v>
      </c>
      <c r="AE84" s="53">
        <v>69.756</v>
      </c>
      <c r="AF84" s="53">
        <v>72.066000000000003</v>
      </c>
      <c r="AG84" s="53">
        <v>70.177999999999997</v>
      </c>
      <c r="AH84" s="53">
        <v>72.978999999999999</v>
      </c>
      <c r="AI84" s="53">
        <v>25.193000000000001</v>
      </c>
      <c r="AJ84" s="53">
        <v>7.8540000000000001</v>
      </c>
      <c r="AK84" s="53">
        <v>-5.49</v>
      </c>
      <c r="AL84" s="53">
        <v>5.9829999999999997</v>
      </c>
      <c r="AM84" s="53">
        <v>0.93</v>
      </c>
      <c r="AN84" s="53">
        <v>0.157</v>
      </c>
      <c r="AO84" s="53">
        <v>-113.693</v>
      </c>
      <c r="AP84" s="53">
        <v>-89.39</v>
      </c>
      <c r="AQ84" s="53">
        <v>-83.156000000000006</v>
      </c>
      <c r="AR84" s="53">
        <v>-77.747</v>
      </c>
      <c r="AS84" s="53">
        <v>-50.81</v>
      </c>
      <c r="AT84" s="53">
        <v>-41.683999999999997</v>
      </c>
      <c r="AU84" s="53">
        <v>-75.734999999999999</v>
      </c>
      <c r="AV84" s="53">
        <v>-66.528000000000006</v>
      </c>
      <c r="AW84" s="53">
        <v>-36.927</v>
      </c>
      <c r="BP84" s="53">
        <f t="shared" si="104"/>
        <v>65.343000000000004</v>
      </c>
      <c r="BQ84" s="53">
        <f t="shared" si="105"/>
        <v>64.277000000000001</v>
      </c>
      <c r="BR84" s="53">
        <f t="shared" si="106"/>
        <v>72.978999999999999</v>
      </c>
      <c r="BS84" s="53">
        <f t="shared" si="107"/>
        <v>5.9829999999999997</v>
      </c>
      <c r="BT84" s="53">
        <f t="shared" si="108"/>
        <v>-89.39</v>
      </c>
      <c r="BU84" s="53">
        <f t="shared" si="109"/>
        <v>-41.683999999999997</v>
      </c>
    </row>
    <row r="85" spans="2:133" s="2" customFormat="1" ht="15">
      <c r="B85" s="2" t="s">
        <v>1479</v>
      </c>
      <c r="W85" s="54"/>
      <c r="X85" s="54"/>
      <c r="Y85" s="54"/>
      <c r="Z85" s="54">
        <f t="shared" ref="Z85:AT85" si="111">Z83+Z84</f>
        <v>646.26499999999999</v>
      </c>
      <c r="AA85" s="54">
        <f t="shared" si="111"/>
        <v>643.71600000000001</v>
      </c>
      <c r="AB85" s="54">
        <f t="shared" si="111"/>
        <v>654.71599999999989</v>
      </c>
      <c r="AC85" s="54">
        <f t="shared" si="111"/>
        <v>687.50100000000009</v>
      </c>
      <c r="AD85" s="54">
        <f t="shared" si="111"/>
        <v>707.00599999999997</v>
      </c>
      <c r="AE85" s="54">
        <f t="shared" si="111"/>
        <v>708.42</v>
      </c>
      <c r="AF85" s="54">
        <f>AF83+AF84</f>
        <v>738.88200000000006</v>
      </c>
      <c r="AG85" s="54">
        <f t="shared" si="111"/>
        <v>750.21500000000003</v>
      </c>
      <c r="AH85" s="54">
        <f t="shared" si="111"/>
        <v>786.75900000000013</v>
      </c>
      <c r="AI85" s="54">
        <f t="shared" si="111"/>
        <v>769.88299999999981</v>
      </c>
      <c r="AJ85" s="54">
        <f t="shared" si="111"/>
        <v>776.76099999999997</v>
      </c>
      <c r="AK85" s="54">
        <f t="shared" si="111"/>
        <v>776.62800000000004</v>
      </c>
      <c r="AL85" s="54">
        <f t="shared" si="111"/>
        <v>819.61999999999989</v>
      </c>
      <c r="AM85" s="54">
        <f t="shared" si="111"/>
        <v>800.07399999999996</v>
      </c>
      <c r="AN85" s="54">
        <f t="shared" si="111"/>
        <v>830.79500000000019</v>
      </c>
      <c r="AO85" s="54">
        <f t="shared" si="111"/>
        <v>1148.7679999999996</v>
      </c>
      <c r="AP85" s="54">
        <f t="shared" si="111"/>
        <v>1218.8599999999999</v>
      </c>
      <c r="AQ85" s="54">
        <f t="shared" si="111"/>
        <v>1201.904</v>
      </c>
      <c r="AR85" s="54">
        <f t="shared" si="111"/>
        <v>1242.7089999999998</v>
      </c>
      <c r="AS85" s="54">
        <f t="shared" si="111"/>
        <v>1302.0860000000002</v>
      </c>
      <c r="AT85" s="54">
        <f t="shared" si="111"/>
        <v>1368.4610000000002</v>
      </c>
      <c r="AU85" s="54">
        <f>AU83+AU84</f>
        <v>1293.6330000000003</v>
      </c>
      <c r="AV85" s="54">
        <f>AV83+AV84</f>
        <v>1345.7339999999999</v>
      </c>
      <c r="AW85" s="54">
        <f>AW83+AW84</f>
        <v>1411.3070000000005</v>
      </c>
      <c r="AX85" s="34"/>
      <c r="AY85" s="34"/>
      <c r="AZ85" s="34"/>
      <c r="BA85" s="34"/>
      <c r="BB85" s="34"/>
      <c r="BP85" s="54">
        <f t="shared" si="104"/>
        <v>646.26499999999999</v>
      </c>
      <c r="BQ85" s="54">
        <f t="shared" si="105"/>
        <v>707.00599999999997</v>
      </c>
      <c r="BR85" s="54">
        <f t="shared" si="106"/>
        <v>786.75900000000013</v>
      </c>
      <c r="BS85" s="54">
        <f t="shared" si="107"/>
        <v>819.61999999999989</v>
      </c>
      <c r="BT85" s="54">
        <f t="shared" si="108"/>
        <v>1218.8599999999999</v>
      </c>
      <c r="BU85" s="54">
        <f t="shared" si="109"/>
        <v>1368.4610000000002</v>
      </c>
      <c r="BV85" s="34"/>
      <c r="BW85" s="34"/>
      <c r="BX85" s="34"/>
      <c r="BY85" s="34"/>
      <c r="BZ85" s="34"/>
      <c r="CA85" s="34"/>
      <c r="CB85" s="34"/>
      <c r="CC85" s="34"/>
      <c r="CD85" s="34"/>
      <c r="CE85" s="34"/>
      <c r="CF85" s="34"/>
      <c r="CG85" s="34"/>
      <c r="CH85" s="34"/>
      <c r="CI85" s="34"/>
      <c r="CJ85" s="34"/>
      <c r="CK85" s="34"/>
      <c r="CL85" s="34"/>
      <c r="CM85" s="34"/>
      <c r="CN85" s="34"/>
      <c r="CO85" s="34"/>
      <c r="CP85" s="34"/>
      <c r="CQ85" s="34"/>
      <c r="CR85" s="34"/>
      <c r="CS85" s="34"/>
      <c r="CT85" s="34"/>
      <c r="CU85" s="34"/>
      <c r="CV85" s="34"/>
      <c r="CW85" s="34"/>
      <c r="CX85" s="34"/>
      <c r="CY85" s="34"/>
      <c r="CZ85" s="34"/>
      <c r="DA85" s="34"/>
      <c r="DB85" s="34"/>
      <c r="DC85" s="34"/>
      <c r="DD85" s="34"/>
      <c r="DE85" s="34"/>
      <c r="DF85" s="34"/>
      <c r="DG85" s="34"/>
      <c r="DH85" s="34"/>
      <c r="DI85" s="34"/>
      <c r="DJ85" s="34"/>
      <c r="DK85" s="34"/>
      <c r="DL85" s="34"/>
      <c r="DM85" s="34"/>
      <c r="DN85" s="34"/>
      <c r="DO85" s="34"/>
      <c r="DP85" s="34"/>
      <c r="DQ85" s="34"/>
      <c r="DR85" s="34"/>
      <c r="DS85" s="34"/>
      <c r="DT85" s="34"/>
      <c r="DU85" s="34"/>
      <c r="DV85" s="34"/>
      <c r="DW85" s="34"/>
      <c r="DX85" s="34"/>
      <c r="DY85" s="34"/>
      <c r="DZ85" s="34"/>
      <c r="EA85" s="34"/>
      <c r="EB85" s="34"/>
      <c r="EC85" s="34"/>
    </row>
    <row r="87" spans="2:133">
      <c r="B87" s="1" t="s">
        <v>1481</v>
      </c>
      <c r="Z87" s="39">
        <f t="shared" ref="Z87:AT87" si="112">SUM(Z59:Z64)/SUM(Z73:Z78)</f>
        <v>1.1148121982349795</v>
      </c>
      <c r="AA87" s="39">
        <f t="shared" si="112"/>
        <v>1.1197386641203984</v>
      </c>
      <c r="AB87" s="39">
        <f t="shared" si="112"/>
        <v>1.1152531116486768</v>
      </c>
      <c r="AC87" s="39">
        <f t="shared" si="112"/>
        <v>1.1985458664908584</v>
      </c>
      <c r="AD87" s="39">
        <f t="shared" si="112"/>
        <v>1.1081791193171873</v>
      </c>
      <c r="AE87" s="39">
        <f t="shared" si="112"/>
        <v>1.1105210095820877</v>
      </c>
      <c r="AF87" s="39">
        <f t="shared" si="112"/>
        <v>1.0962054796799361</v>
      </c>
      <c r="AG87" s="39">
        <f t="shared" si="112"/>
        <v>1.0230700127130736</v>
      </c>
      <c r="AH87" s="39">
        <f t="shared" si="112"/>
        <v>1.0163851761564981</v>
      </c>
      <c r="AI87" s="39">
        <f t="shared" si="112"/>
        <v>0.94876120577442125</v>
      </c>
      <c r="AJ87" s="39">
        <f t="shared" si="112"/>
        <v>0.78771324570387735</v>
      </c>
      <c r="AK87" s="39">
        <f t="shared" si="112"/>
        <v>0.7934664449691905</v>
      </c>
      <c r="AL87" s="39">
        <f t="shared" si="112"/>
        <v>0.80312019454039574</v>
      </c>
      <c r="AM87" s="39">
        <f t="shared" si="112"/>
        <v>0.79477742631786141</v>
      </c>
      <c r="AN87" s="39">
        <f t="shared" si="112"/>
        <v>0.81007422701968057</v>
      </c>
      <c r="AO87" s="39">
        <f t="shared" si="112"/>
        <v>0.78962348384364467</v>
      </c>
      <c r="AP87" s="39">
        <f t="shared" si="112"/>
        <v>0.80911981587146287</v>
      </c>
      <c r="AQ87" s="39">
        <f t="shared" si="112"/>
        <v>0.81056185676388259</v>
      </c>
      <c r="AR87" s="39">
        <f t="shared" si="112"/>
        <v>0.73421622915603602</v>
      </c>
      <c r="AS87" s="39">
        <f t="shared" si="112"/>
        <v>0.75853280549929414</v>
      </c>
      <c r="AT87" s="39">
        <f t="shared" si="112"/>
        <v>0.77229031411992499</v>
      </c>
      <c r="AU87" s="39">
        <f>SUM(AU59:AU64)/SUM(AU73:AU78)</f>
        <v>0.74212374860893071</v>
      </c>
      <c r="AV87" s="39">
        <f>SUM(AV59:AV64)/SUM(AV73:AV78)</f>
        <v>0.7536896604053801</v>
      </c>
      <c r="AW87" s="39">
        <f>SUM(AW59:AW64)/SUM(AW73:AW78)</f>
        <v>0.78683631952328525</v>
      </c>
      <c r="BP87" s="39">
        <f t="shared" ref="BP87:BT87" si="113">SUM(BP59:BP64)/SUM(BP73:BP78)</f>
        <v>1.1148121982349795</v>
      </c>
      <c r="BQ87" s="39">
        <f t="shared" si="113"/>
        <v>1.1081791193171873</v>
      </c>
      <c r="BR87" s="39">
        <f t="shared" si="113"/>
        <v>1.0163851761564981</v>
      </c>
      <c r="BS87" s="39">
        <f t="shared" si="113"/>
        <v>0.80312019454039574</v>
      </c>
      <c r="BT87" s="39">
        <f t="shared" si="113"/>
        <v>0.80911981587146287</v>
      </c>
      <c r="BU87" s="39">
        <f>SUM(BU59:BU64)/SUM(BU73:BU78)</f>
        <v>0.77229031411992499</v>
      </c>
    </row>
    <row r="88" spans="2:133">
      <c r="B88" s="1" t="s">
        <v>105</v>
      </c>
      <c r="Z88" s="39">
        <f t="shared" ref="Z88:AT88" si="114">Z59/SUM(Z73:Z78)</f>
        <v>0.74500489849766394</v>
      </c>
      <c r="AA88" s="39">
        <f t="shared" si="114"/>
        <v>0.77939979120071479</v>
      </c>
      <c r="AB88" s="39">
        <f t="shared" si="114"/>
        <v>0.77633583217658064</v>
      </c>
      <c r="AC88" s="39">
        <f t="shared" si="114"/>
        <v>0.85823962560240685</v>
      </c>
      <c r="AD88" s="39">
        <f t="shared" si="114"/>
        <v>0.56509721959655801</v>
      </c>
      <c r="AE88" s="39">
        <f t="shared" si="114"/>
        <v>0.5806639957218126</v>
      </c>
      <c r="AF88" s="39">
        <f t="shared" si="114"/>
        <v>0.53598056992663823</v>
      </c>
      <c r="AG88" s="39">
        <f t="shared" si="114"/>
        <v>0.47207826323846097</v>
      </c>
      <c r="AH88" s="39">
        <f t="shared" si="114"/>
        <v>0.46463490276087049</v>
      </c>
      <c r="AI88" s="39">
        <f t="shared" si="114"/>
        <v>0.44576883195199263</v>
      </c>
      <c r="AJ88" s="39">
        <f t="shared" si="114"/>
        <v>0.320954466917658</v>
      </c>
      <c r="AK88" s="39">
        <f t="shared" si="114"/>
        <v>0.32066537187888611</v>
      </c>
      <c r="AL88" s="39">
        <f t="shared" si="114"/>
        <v>0.32146408510740809</v>
      </c>
      <c r="AM88" s="39">
        <f t="shared" si="114"/>
        <v>0.26538466759886509</v>
      </c>
      <c r="AN88" s="39">
        <f t="shared" si="114"/>
        <v>0.25997621599017273</v>
      </c>
      <c r="AO88" s="39">
        <f t="shared" si="114"/>
        <v>0.33754565455353375</v>
      </c>
      <c r="AP88" s="39">
        <f t="shared" si="114"/>
        <v>0.20538030642645488</v>
      </c>
      <c r="AQ88" s="39">
        <f t="shared" si="114"/>
        <v>0.2407019124219214</v>
      </c>
      <c r="AR88" s="39">
        <f t="shared" si="114"/>
        <v>0.21095713718745865</v>
      </c>
      <c r="AS88" s="39">
        <f t="shared" si="114"/>
        <v>0.19044911925366723</v>
      </c>
      <c r="AT88" s="39">
        <f t="shared" si="114"/>
        <v>0.22237636629937316</v>
      </c>
      <c r="AU88" s="39">
        <f>AU59/SUM(AU73:AU78)</f>
        <v>0.18435162270468811</v>
      </c>
      <c r="AV88" s="39">
        <f>AV59/SUM(AV73:AV78)</f>
        <v>0.20940121198548445</v>
      </c>
      <c r="AW88" s="39">
        <f>AW59/SUM(AW73:AW78)</f>
        <v>0.22757620115144561</v>
      </c>
      <c r="BP88" s="39">
        <f t="shared" ref="BP88:BT88" si="115">BP59/SUM(BP73:BP78)</f>
        <v>0.74500489849766394</v>
      </c>
      <c r="BQ88" s="39">
        <f t="shared" si="115"/>
        <v>0.56509721959655801</v>
      </c>
      <c r="BR88" s="39">
        <f t="shared" si="115"/>
        <v>0.46463490276087049</v>
      </c>
      <c r="BS88" s="39">
        <f t="shared" si="115"/>
        <v>0.32146408510740809</v>
      </c>
      <c r="BT88" s="39">
        <f t="shared" si="115"/>
        <v>0.20538030642645488</v>
      </c>
      <c r="BU88" s="39">
        <f>BU59/SUM(BU73:BU78)</f>
        <v>0.22237636629937316</v>
      </c>
    </row>
    <row r="89" spans="2:133">
      <c r="B89" s="1" t="s">
        <v>1482</v>
      </c>
      <c r="Z89" s="39">
        <f t="shared" ref="Z89:AT89" si="116">Z32/Z65</f>
        <v>2.484984520123839</v>
      </c>
      <c r="AA89" s="39">
        <f t="shared" si="116"/>
        <v>2.1870714485993221</v>
      </c>
      <c r="AB89" s="39">
        <f t="shared" si="116"/>
        <v>2.155063860406548</v>
      </c>
      <c r="AC89" s="39">
        <f t="shared" si="116"/>
        <v>2.3043864926368651</v>
      </c>
      <c r="AD89" s="39">
        <f t="shared" si="116"/>
        <v>3.1954367444236338</v>
      </c>
      <c r="AE89" s="39">
        <f t="shared" si="116"/>
        <v>3.598701702289286</v>
      </c>
      <c r="AF89" s="39">
        <f t="shared" si="116"/>
        <v>3.6507502938939216</v>
      </c>
      <c r="AG89" s="39">
        <f t="shared" si="116"/>
        <v>3.955528255528256</v>
      </c>
      <c r="AH89" s="39">
        <f t="shared" si="116"/>
        <v>4.1907983761840315</v>
      </c>
      <c r="AI89" s="39">
        <f t="shared" si="116"/>
        <v>4.6162115980207181</v>
      </c>
      <c r="AJ89" s="39">
        <f t="shared" si="116"/>
        <v>4.8131791738319114</v>
      </c>
      <c r="AK89" s="39">
        <f t="shared" si="116"/>
        <v>4.8962149412154936</v>
      </c>
      <c r="AL89" s="39">
        <f t="shared" si="116"/>
        <v>5.3071671095364614</v>
      </c>
      <c r="AM89" s="39">
        <f t="shared" si="116"/>
        <v>5.7656339974663133</v>
      </c>
      <c r="AN89" s="39">
        <f t="shared" si="116"/>
        <v>6.1080378250591014</v>
      </c>
      <c r="AO89" s="39">
        <f t="shared" si="116"/>
        <v>6.3012907338060717</v>
      </c>
      <c r="AP89" s="39">
        <f t="shared" si="116"/>
        <v>6.8632320237212756</v>
      </c>
      <c r="AQ89" s="39">
        <f t="shared" si="116"/>
        <v>7.540974458038205</v>
      </c>
      <c r="AR89" s="39">
        <f t="shared" si="116"/>
        <v>7.9712142985449974</v>
      </c>
      <c r="AS89" s="39">
        <f t="shared" si="116"/>
        <v>8.531599025600956</v>
      </c>
      <c r="AT89" s="39">
        <f t="shared" si="116"/>
        <v>9.1586712485681545</v>
      </c>
      <c r="AU89" s="39">
        <f>AU32/AU65</f>
        <v>9.6007447056085642</v>
      </c>
      <c r="AV89" s="39">
        <f>AV32/AV65</f>
        <v>10.159820585457981</v>
      </c>
      <c r="AW89" s="39">
        <f>AW32/AW65</f>
        <v>11.021929393254007</v>
      </c>
      <c r="BP89" s="39">
        <f t="shared" ref="BP89:BT89" si="117">BP32/BP65</f>
        <v>9.2226315789473681</v>
      </c>
      <c r="BQ89" s="39">
        <f t="shared" si="117"/>
        <v>11.973233441171462</v>
      </c>
      <c r="BR89" s="39">
        <f t="shared" si="117"/>
        <v>15.380625238541342</v>
      </c>
      <c r="BS89" s="39">
        <f t="shared" si="117"/>
        <v>19.850715972837314</v>
      </c>
      <c r="BT89" s="39">
        <f t="shared" si="117"/>
        <v>25.946750679515691</v>
      </c>
      <c r="BU89" s="39">
        <f>BU32/BU65</f>
        <v>33.845589919816724</v>
      </c>
    </row>
    <row r="90" spans="2:133">
      <c r="B90" s="1" t="s">
        <v>106</v>
      </c>
      <c r="Z90" s="39">
        <f t="shared" ref="Z90:AT90" si="118">Z32/Z71</f>
        <v>0.12561996146809382</v>
      </c>
      <c r="AA90" s="39">
        <f t="shared" si="118"/>
        <v>0.13329014658638283</v>
      </c>
      <c r="AB90" s="39">
        <f t="shared" si="118"/>
        <v>0.12808391894637003</v>
      </c>
      <c r="AC90" s="39">
        <f t="shared" si="118"/>
        <v>0.1217676271352769</v>
      </c>
      <c r="AD90" s="39">
        <f t="shared" si="118"/>
        <v>0.1327202315114723</v>
      </c>
      <c r="AE90" s="39">
        <f t="shared" si="118"/>
        <v>0.14711831772824993</v>
      </c>
      <c r="AF90" s="39">
        <f t="shared" si="118"/>
        <v>0.14290103155848974</v>
      </c>
      <c r="AG90" s="39">
        <f t="shared" si="118"/>
        <v>0.15021427190871953</v>
      </c>
      <c r="AH90" s="39">
        <f t="shared" si="118"/>
        <v>0.15351969281571609</v>
      </c>
      <c r="AI90" s="39">
        <f t="shared" si="118"/>
        <v>0.16843338533257646</v>
      </c>
      <c r="AJ90" s="39">
        <f t="shared" si="118"/>
        <v>0.16935647910932361</v>
      </c>
      <c r="AK90" s="39">
        <f t="shared" si="118"/>
        <v>0.17105674851957861</v>
      </c>
      <c r="AL90" s="39">
        <f t="shared" si="118"/>
        <v>0.17545081867206749</v>
      </c>
      <c r="AM90" s="39">
        <f t="shared" si="118"/>
        <v>0.18771912063024251</v>
      </c>
      <c r="AN90" s="39">
        <f t="shared" si="118"/>
        <v>0.18659476766229935</v>
      </c>
      <c r="AO90" s="39">
        <f t="shared" si="118"/>
        <v>0.13764785124024476</v>
      </c>
      <c r="AP90" s="39">
        <f t="shared" si="118"/>
        <v>0.13672858244589209</v>
      </c>
      <c r="AQ90" s="39">
        <f t="shared" si="118"/>
        <v>0.14615726380809116</v>
      </c>
      <c r="AR90" s="39">
        <f t="shared" si="118"/>
        <v>0.14283782989951629</v>
      </c>
      <c r="AS90" s="39">
        <f t="shared" si="118"/>
        <v>0.14255740404243653</v>
      </c>
      <c r="AT90" s="39">
        <f t="shared" si="118"/>
        <v>0.14606688204117149</v>
      </c>
      <c r="AU90" s="39">
        <f>AU32/AU71</f>
        <v>0.15945257748375499</v>
      </c>
      <c r="AV90" s="39">
        <f>AV32/AV71</f>
        <v>0.15990942788265758</v>
      </c>
      <c r="AW90" s="39">
        <f>AW32/AW71</f>
        <v>0.15883500401402681</v>
      </c>
      <c r="BP90" s="39">
        <f t="shared" ref="BP90:BT90" si="119">BP32/BP71</f>
        <v>0.46621884933273455</v>
      </c>
      <c r="BQ90" s="39">
        <f t="shared" si="119"/>
        <v>0.4972998814720101</v>
      </c>
      <c r="BR90" s="39">
        <f t="shared" si="119"/>
        <v>0.56343174974801691</v>
      </c>
      <c r="BS90" s="39">
        <f t="shared" si="119"/>
        <v>0.65624923745150165</v>
      </c>
      <c r="BT90" s="39">
        <f t="shared" si="119"/>
        <v>0.51690842262441961</v>
      </c>
      <c r="BU90" s="39">
        <f>BU32/BU71</f>
        <v>0.5397857021240523</v>
      </c>
    </row>
    <row r="91" spans="2:133">
      <c r="B91" s="1" t="s">
        <v>107</v>
      </c>
      <c r="Z91" s="48">
        <f t="shared" ref="Z91:AS91" si="120">Z46/Z71</f>
        <v>-2.4482315545323534E-2</v>
      </c>
      <c r="AA91" s="48">
        <f t="shared" si="120"/>
        <v>-1.6424945162152246E-2</v>
      </c>
      <c r="AB91" s="48">
        <f t="shared" si="120"/>
        <v>-3.0188154757631824E-2</v>
      </c>
      <c r="AC91" s="48">
        <f t="shared" si="120"/>
        <v>-1.4522440190131039E-2</v>
      </c>
      <c r="AD91" s="48">
        <f t="shared" si="120"/>
        <v>-1.0103167441294698E-2</v>
      </c>
      <c r="AE91" s="48">
        <f t="shared" si="120"/>
        <v>-1.0338455978984296E-2</v>
      </c>
      <c r="AF91" s="48">
        <f t="shared" si="120"/>
        <v>-1.2876210274441632E-2</v>
      </c>
      <c r="AG91" s="48">
        <f t="shared" si="120"/>
        <v>-8.7548236172297206E-3</v>
      </c>
      <c r="AH91" s="48">
        <f t="shared" si="120"/>
        <v>-1.8206337645962752E-2</v>
      </c>
      <c r="AI91" s="48">
        <f t="shared" si="120"/>
        <v>-2.4020532990077711E-2</v>
      </c>
      <c r="AJ91" s="48">
        <f t="shared" si="120"/>
        <v>-3.7155716452228378E-2</v>
      </c>
      <c r="AK91" s="48">
        <f t="shared" si="120"/>
        <v>-3.8230215660598206E-2</v>
      </c>
      <c r="AL91" s="48">
        <f t="shared" si="120"/>
        <v>-1.6961518752592698E-2</v>
      </c>
      <c r="AM91" s="48">
        <f t="shared" si="120"/>
        <v>-5.7682236495919761E-2</v>
      </c>
      <c r="AN91" s="48">
        <f t="shared" si="120"/>
        <v>-2.5168663749781855E-2</v>
      </c>
      <c r="AO91" s="48">
        <f t="shared" si="120"/>
        <v>-4.888837448917787E-2</v>
      </c>
      <c r="AP91" s="48">
        <f t="shared" si="120"/>
        <v>-3.5164005710253952E-3</v>
      </c>
      <c r="AQ91" s="48">
        <f t="shared" si="120"/>
        <v>-9.7237383351748436E-3</v>
      </c>
      <c r="AR91" s="48">
        <f t="shared" si="120"/>
        <v>-1.4120990851291029E-2</v>
      </c>
      <c r="AS91" s="48">
        <f t="shared" si="120"/>
        <v>-1.3049061275522467E-2</v>
      </c>
      <c r="AT91" s="48">
        <f>AT46/AT71</f>
        <v>-6.4422358124298397E-3</v>
      </c>
      <c r="AU91" s="48">
        <f>AU46/AU71</f>
        <v>-1.6525641877946164E-2</v>
      </c>
      <c r="AV91" s="48">
        <f>AV46/AV71</f>
        <v>-1.4379475472404774E-2</v>
      </c>
      <c r="AW91" s="48">
        <f>AW46/AW71</f>
        <v>1.9776078951265594E-3</v>
      </c>
      <c r="BP91" s="48">
        <f t="shared" ref="BP91:BT91" si="121">BP46/BP71</f>
        <v>-7.4307732517830044E-2</v>
      </c>
      <c r="BQ91" s="48">
        <f t="shared" si="121"/>
        <v>-6.7874954385111305E-2</v>
      </c>
      <c r="BR91" s="48">
        <f t="shared" si="121"/>
        <v>-4.7956235645222965E-2</v>
      </c>
      <c r="BS91" s="48">
        <f t="shared" si="121"/>
        <v>-0.1109623972084625</v>
      </c>
      <c r="BT91" s="48">
        <f t="shared" si="121"/>
        <v>-0.10462645422772102</v>
      </c>
      <c r="BU91" s="48">
        <f>BU46/BU71</f>
        <v>-4.0221590697341311E-2</v>
      </c>
    </row>
    <row r="92" spans="2:133">
      <c r="B92" s="1" t="s">
        <v>108</v>
      </c>
      <c r="Z92" s="48">
        <f t="shared" ref="Z92:AN92" si="122">Z46/Z84</f>
        <v>-0.23939825229940484</v>
      </c>
      <c r="AA92" s="48">
        <f t="shared" si="122"/>
        <v>-0.15153643295304697</v>
      </c>
      <c r="AB92" s="48">
        <f t="shared" si="122"/>
        <v>-0.27750866995212237</v>
      </c>
      <c r="AC92" s="48">
        <f t="shared" si="122"/>
        <v>-0.13216684696470349</v>
      </c>
      <c r="AD92" s="48">
        <f t="shared" si="122"/>
        <v>-0.11112839740498158</v>
      </c>
      <c r="AE92" s="48">
        <f t="shared" si="122"/>
        <v>-0.10499455243993336</v>
      </c>
      <c r="AF92" s="48">
        <f t="shared" si="122"/>
        <v>-0.13201787250575836</v>
      </c>
      <c r="AG92" s="48">
        <f t="shared" si="122"/>
        <v>-9.3590583943685982E-2</v>
      </c>
      <c r="AH92" s="48">
        <f t="shared" si="122"/>
        <v>-0.19627564093780414</v>
      </c>
      <c r="AI92" s="48">
        <f t="shared" si="122"/>
        <v>-0.7340531099908707</v>
      </c>
      <c r="AJ92" s="55">
        <f t="shared" si="122"/>
        <v>-3.6746880570409992</v>
      </c>
      <c r="AK92" s="48">
        <f t="shared" si="122"/>
        <v>5.4081967213114766</v>
      </c>
      <c r="AL92" s="59">
        <f t="shared" si="122"/>
        <v>-2.3235834865452163</v>
      </c>
      <c r="AM92" s="59">
        <f t="shared" si="122"/>
        <v>-49.623655913978496</v>
      </c>
      <c r="AN92" s="59">
        <f t="shared" si="122"/>
        <v>-133.18471337579626</v>
      </c>
      <c r="AO92" s="48">
        <f t="shared" ref="AO92:AU92" si="123">AO46/-AO84</f>
        <v>-0.49412892614321019</v>
      </c>
      <c r="AP92" s="48">
        <f t="shared" si="123"/>
        <v>-4.794719767311794E-2</v>
      </c>
      <c r="AQ92" s="48">
        <f t="shared" si="123"/>
        <v>-0.14054307566501498</v>
      </c>
      <c r="AR92" s="48">
        <f t="shared" si="123"/>
        <v>-0.22570645812700166</v>
      </c>
      <c r="AS92" s="48">
        <f t="shared" si="123"/>
        <v>-0.33440267663845591</v>
      </c>
      <c r="AT92" s="48">
        <f t="shared" si="123"/>
        <v>-0.2114960176566561</v>
      </c>
      <c r="AU92" s="48">
        <f t="shared" si="123"/>
        <v>-0.28227371756783493</v>
      </c>
      <c r="AV92" s="48">
        <f t="shared" ref="AV92:AW92" si="124">AV46/-AV84</f>
        <v>-0.29085497835497814</v>
      </c>
      <c r="AW92" s="48">
        <f t="shared" si="124"/>
        <v>7.5581552793349258E-2</v>
      </c>
      <c r="BP92" s="48">
        <f t="shared" ref="BP92:BT92" si="125">BP46/-BP84</f>
        <v>0.72661187885465939</v>
      </c>
      <c r="BQ92" s="48">
        <f t="shared" si="125"/>
        <v>0.74658120322977128</v>
      </c>
      <c r="BR92" s="48">
        <f t="shared" si="125"/>
        <v>0.51699804053220755</v>
      </c>
      <c r="BS92" s="55">
        <f t="shared" si="125"/>
        <v>15.200902557245538</v>
      </c>
      <c r="BT92" s="55">
        <f t="shared" si="125"/>
        <v>-1.4266137151806693</v>
      </c>
      <c r="BU92" s="55">
        <f>BU46/-BU84</f>
        <v>-1.3204586891852985</v>
      </c>
    </row>
    <row r="94" spans="2:133">
      <c r="B94" s="1" t="s">
        <v>109</v>
      </c>
      <c r="C94" s="53">
        <f>C46</f>
        <v>-4.3999999999999986</v>
      </c>
      <c r="D94" s="53">
        <f t="shared" ref="D94:AV94" si="126">D46</f>
        <v>-10.099999999999998</v>
      </c>
      <c r="E94" s="53">
        <f t="shared" si="126"/>
        <v>-12.600000000000001</v>
      </c>
      <c r="F94" s="53">
        <f t="shared" si="126"/>
        <v>-11.7</v>
      </c>
      <c r="G94" s="53">
        <f t="shared" si="126"/>
        <v>-6.7999999999999954</v>
      </c>
      <c r="H94" s="53">
        <f t="shared" si="126"/>
        <v>-10.699999999999998</v>
      </c>
      <c r="I94" s="53">
        <f t="shared" si="126"/>
        <v>-14.3</v>
      </c>
      <c r="J94" s="53">
        <f t="shared" si="126"/>
        <v>-10.300000000000004</v>
      </c>
      <c r="K94" s="53">
        <f t="shared" si="126"/>
        <v>-12.100000000000001</v>
      </c>
      <c r="L94" s="53">
        <f t="shared" si="126"/>
        <v>-11.399999999999999</v>
      </c>
      <c r="M94" s="53">
        <f t="shared" si="126"/>
        <v>-12.700000000000003</v>
      </c>
      <c r="N94" s="53">
        <f t="shared" si="126"/>
        <v>-7.3999999999999986</v>
      </c>
      <c r="O94" s="53">
        <f t="shared" si="126"/>
        <v>-6</v>
      </c>
      <c r="P94" s="53">
        <f t="shared" si="126"/>
        <v>-9.9000000000000057</v>
      </c>
      <c r="Q94" s="53">
        <f t="shared" si="126"/>
        <v>-13.799999999999997</v>
      </c>
      <c r="R94" s="53">
        <f t="shared" si="126"/>
        <v>-14.700000000000003</v>
      </c>
      <c r="S94" s="53">
        <f t="shared" si="126"/>
        <v>-9.5</v>
      </c>
      <c r="T94" s="53">
        <f t="shared" si="126"/>
        <v>-21.799999999999997</v>
      </c>
      <c r="U94" s="53">
        <f t="shared" si="126"/>
        <v>-10.699999999999996</v>
      </c>
      <c r="V94" s="53">
        <f t="shared" si="126"/>
        <v>-7.9999999999999902</v>
      </c>
      <c r="W94" s="53">
        <f t="shared" si="126"/>
        <v>-7.4629999999999939</v>
      </c>
      <c r="X94" s="53">
        <f t="shared" si="126"/>
        <v>-8.3220000000000081</v>
      </c>
      <c r="Y94" s="53">
        <f t="shared" si="126"/>
        <v>-16.051000000000002</v>
      </c>
      <c r="Z94" s="53">
        <f t="shared" si="126"/>
        <v>-15.643000000000011</v>
      </c>
      <c r="AA94" s="53">
        <f t="shared" si="126"/>
        <v>-10.572999999999995</v>
      </c>
      <c r="AB94" s="53">
        <f t="shared" si="126"/>
        <v>-19.765000000000011</v>
      </c>
      <c r="AC94" s="53">
        <f t="shared" si="126"/>
        <v>-10.506999999999998</v>
      </c>
      <c r="AD94" s="53">
        <f t="shared" si="126"/>
        <v>-7.1430000000000007</v>
      </c>
      <c r="AE94" s="53">
        <f t="shared" si="126"/>
        <v>-7.3239999999999919</v>
      </c>
      <c r="AF94" s="53">
        <f t="shared" si="126"/>
        <v>-9.5139999999999816</v>
      </c>
      <c r="AG94" s="53">
        <f t="shared" si="126"/>
        <v>-6.5679999999999943</v>
      </c>
      <c r="AH94" s="53">
        <f t="shared" si="126"/>
        <v>-14.324000000000009</v>
      </c>
      <c r="AI94" s="53">
        <f t="shared" si="126"/>
        <v>-18.493000000000006</v>
      </c>
      <c r="AJ94" s="53">
        <f t="shared" si="126"/>
        <v>-28.861000000000008</v>
      </c>
      <c r="AK94" s="53">
        <f t="shared" si="126"/>
        <v>-29.69100000000001</v>
      </c>
      <c r="AL94" s="53">
        <f t="shared" si="126"/>
        <v>-13.902000000000029</v>
      </c>
      <c r="AM94" s="53">
        <f t="shared" si="126"/>
        <v>-46.150000000000006</v>
      </c>
      <c r="AN94" s="53">
        <f t="shared" si="126"/>
        <v>-20.910000000000014</v>
      </c>
      <c r="AO94" s="53">
        <f t="shared" si="126"/>
        <v>-56.178999999999995</v>
      </c>
      <c r="AP94" s="53">
        <f t="shared" si="126"/>
        <v>-4.2860000000000129</v>
      </c>
      <c r="AQ94" s="53">
        <f t="shared" si="126"/>
        <v>-11.686999999999985</v>
      </c>
      <c r="AR94" s="53">
        <f t="shared" si="126"/>
        <v>-17.547999999999998</v>
      </c>
      <c r="AS94" s="53">
        <f t="shared" si="126"/>
        <v>-16.990999999999946</v>
      </c>
      <c r="AT94" s="53">
        <f t="shared" si="126"/>
        <v>-8.8160000000000522</v>
      </c>
      <c r="AU94" s="53">
        <f t="shared" si="126"/>
        <v>-21.377999999999979</v>
      </c>
      <c r="AV94" s="53">
        <f t="shared" si="126"/>
        <v>-19.349999999999987</v>
      </c>
      <c r="AW94" s="53">
        <f t="shared" ref="AW94" si="127">AW46</f>
        <v>2.7910000000000079</v>
      </c>
      <c r="BK94" s="1">
        <f t="shared" ref="BK94:BK99" si="128">SUM(C94:F94)</f>
        <v>-38.799999999999997</v>
      </c>
      <c r="BL94" s="1">
        <f t="shared" ref="BL94:BL99" si="129">SUM(G94:J94)</f>
        <v>-42.099999999999994</v>
      </c>
      <c r="BM94" s="1">
        <f t="shared" ref="BM94:BM99" si="130">SUM(K94:N94)</f>
        <v>-43.6</v>
      </c>
      <c r="BN94" s="1">
        <f t="shared" ref="BN94:BN99" si="131">SUM(O94:R94)</f>
        <v>-44.400000000000006</v>
      </c>
      <c r="BO94" s="1">
        <f t="shared" ref="BO94:BO99" si="132">SUM(S94:V94)</f>
        <v>-49.999999999999986</v>
      </c>
      <c r="BP94" s="53">
        <f t="shared" ref="BP94:BP96" si="133">SUM(W94:Z94)</f>
        <v>-47.479000000000013</v>
      </c>
      <c r="BQ94" s="53">
        <f t="shared" ref="BQ94:BQ96" si="134">SUM(AA94:AD94)</f>
        <v>-47.988000000000007</v>
      </c>
      <c r="BR94" s="53">
        <f t="shared" ref="BR94:BR96" si="135">SUM(AE94:AH94)</f>
        <v>-37.729999999999976</v>
      </c>
      <c r="BS94" s="53">
        <f t="shared" ref="BS94:BS96" si="136">SUM(AI94:AL94)</f>
        <v>-90.947000000000045</v>
      </c>
      <c r="BT94" s="53">
        <f t="shared" ref="BT94:BT96" si="137">SUM(AM94:AP94)</f>
        <v>-127.52500000000002</v>
      </c>
      <c r="BU94" s="53">
        <f t="shared" ref="BU94:BU96" si="138">SUM(AQ94:AT94)</f>
        <v>-55.04199999999998</v>
      </c>
    </row>
    <row r="95" spans="2:133" s="2" customFormat="1" ht="15">
      <c r="B95" s="2" t="s">
        <v>110</v>
      </c>
      <c r="C95" s="54">
        <v>1.5</v>
      </c>
      <c r="D95" s="54">
        <v>4.2</v>
      </c>
      <c r="E95" s="54">
        <v>-4.5999999999999996</v>
      </c>
      <c r="F95" s="54">
        <v>-4.5999999999999996</v>
      </c>
      <c r="G95" s="54">
        <v>-9.1999999999999993</v>
      </c>
      <c r="H95" s="54">
        <v>-2.6</v>
      </c>
      <c r="I95" s="54">
        <v>-4.7</v>
      </c>
      <c r="J95" s="54">
        <v>-5</v>
      </c>
      <c r="K95" s="54">
        <v>-19.100000000000001</v>
      </c>
      <c r="L95" s="54">
        <v>-4</v>
      </c>
      <c r="M95" s="54">
        <v>2.8</v>
      </c>
      <c r="N95" s="54">
        <v>10</v>
      </c>
      <c r="O95" s="54">
        <v>2.6</v>
      </c>
      <c r="P95" s="54">
        <v>4</v>
      </c>
      <c r="Q95" s="54">
        <v>5.2</v>
      </c>
      <c r="R95" s="54">
        <v>-6.2</v>
      </c>
      <c r="S95" s="54">
        <v>1.8</v>
      </c>
      <c r="T95" s="54">
        <v>-2.5</v>
      </c>
      <c r="U95" s="54">
        <v>7.6</v>
      </c>
      <c r="V95" s="54">
        <v>-0.4</v>
      </c>
      <c r="W95" s="54">
        <v>5.0999999999999996</v>
      </c>
      <c r="X95" s="54">
        <v>18.8</v>
      </c>
      <c r="Y95" s="54">
        <v>4.7</v>
      </c>
      <c r="Z95" s="54">
        <v>2.2999999999999998</v>
      </c>
      <c r="AA95" s="54">
        <v>4.8</v>
      </c>
      <c r="AB95" s="54">
        <v>7.2</v>
      </c>
      <c r="AC95" s="54">
        <v>7.9</v>
      </c>
      <c r="AD95" s="54">
        <v>13.4</v>
      </c>
      <c r="AE95" s="54">
        <v>11.5</v>
      </c>
      <c r="AF95" s="54">
        <v>12.8</v>
      </c>
      <c r="AG95" s="54">
        <v>16.3</v>
      </c>
      <c r="AH95" s="54">
        <v>9.3000000000000007</v>
      </c>
      <c r="AI95" s="54">
        <v>-0.9</v>
      </c>
      <c r="AJ95" s="54">
        <v>8.6999999999999993</v>
      </c>
      <c r="AK95" s="54">
        <v>4.9000000000000004</v>
      </c>
      <c r="AL95" s="54">
        <v>-1.3</v>
      </c>
      <c r="AM95" s="54">
        <v>5.6</v>
      </c>
      <c r="AN95" s="54">
        <v>26</v>
      </c>
      <c r="AO95" s="54">
        <v>15</v>
      </c>
      <c r="AP95" s="54">
        <v>24.3</v>
      </c>
      <c r="AQ95" s="54">
        <v>24.8</v>
      </c>
      <c r="AR95" s="54">
        <v>0</v>
      </c>
      <c r="AS95" s="54">
        <v>18.899999999999999</v>
      </c>
      <c r="AT95" s="54">
        <v>44</v>
      </c>
      <c r="AU95" s="54">
        <v>-7.4</v>
      </c>
      <c r="AV95" s="54">
        <v>50.311</v>
      </c>
      <c r="AW95" s="54">
        <v>46.155000000000001</v>
      </c>
      <c r="AX95" s="34"/>
      <c r="AY95" s="34"/>
      <c r="AZ95" s="34"/>
      <c r="BA95" s="34"/>
      <c r="BB95" s="34"/>
      <c r="BK95" s="2">
        <f t="shared" si="128"/>
        <v>-3.4999999999999991</v>
      </c>
      <c r="BL95" s="2">
        <f t="shared" si="129"/>
        <v>-21.5</v>
      </c>
      <c r="BM95" s="2">
        <f t="shared" si="130"/>
        <v>-10.3</v>
      </c>
      <c r="BN95" s="2">
        <f t="shared" si="131"/>
        <v>5.6000000000000005</v>
      </c>
      <c r="BO95" s="2">
        <f t="shared" si="132"/>
        <v>6.4999999999999991</v>
      </c>
      <c r="BP95" s="54">
        <f t="shared" si="133"/>
        <v>30.9</v>
      </c>
      <c r="BQ95" s="54">
        <f t="shared" si="134"/>
        <v>33.299999999999997</v>
      </c>
      <c r="BR95" s="54">
        <f t="shared" si="135"/>
        <v>49.900000000000006</v>
      </c>
      <c r="BS95" s="54">
        <f t="shared" si="136"/>
        <v>11.399999999999999</v>
      </c>
      <c r="BT95" s="54">
        <f t="shared" si="137"/>
        <v>70.900000000000006</v>
      </c>
      <c r="BU95" s="54">
        <f t="shared" si="138"/>
        <v>87.7</v>
      </c>
      <c r="BV95" s="62">
        <f>BU95*1.42</f>
        <v>124.53399999999999</v>
      </c>
      <c r="BW95" s="62">
        <f>BV95*1.4</f>
        <v>174.34759999999997</v>
      </c>
      <c r="BX95" s="62">
        <f>BW95*1.09</f>
        <v>190.038884</v>
      </c>
      <c r="BY95" s="62">
        <f t="shared" ref="BY95:CE95" si="139">BX95*1.09</f>
        <v>207.14238356000001</v>
      </c>
      <c r="BZ95" s="62">
        <f t="shared" si="139"/>
        <v>225.78519808040002</v>
      </c>
      <c r="CA95" s="62">
        <f t="shared" si="139"/>
        <v>246.10586590763603</v>
      </c>
      <c r="CB95" s="62">
        <f t="shared" si="139"/>
        <v>268.25539383932329</v>
      </c>
      <c r="CC95" s="62">
        <f t="shared" si="139"/>
        <v>292.39837928486241</v>
      </c>
      <c r="CD95" s="62">
        <f t="shared" si="139"/>
        <v>318.71423342050008</v>
      </c>
      <c r="CE95" s="62">
        <f t="shared" si="139"/>
        <v>347.39851442834509</v>
      </c>
      <c r="CF95" s="62"/>
      <c r="CG95" s="62"/>
      <c r="CH95" s="62"/>
      <c r="CI95" s="62"/>
      <c r="CJ95" s="62"/>
      <c r="CK95" s="62"/>
      <c r="CL95" s="62"/>
      <c r="CM95" s="62"/>
      <c r="CN95" s="62"/>
      <c r="CO95" s="62"/>
      <c r="CP95" s="62"/>
      <c r="CQ95" s="62"/>
      <c r="CR95" s="62"/>
      <c r="CS95" s="62"/>
      <c r="CT95" s="62"/>
      <c r="CU95" s="62"/>
      <c r="CV95" s="62"/>
      <c r="CW95" s="62"/>
      <c r="CX95" s="62"/>
      <c r="CY95" s="62"/>
      <c r="CZ95" s="62"/>
      <c r="DA95" s="62"/>
      <c r="DB95" s="62"/>
      <c r="DC95" s="62"/>
      <c r="DD95" s="62"/>
      <c r="DE95" s="62"/>
      <c r="DF95" s="62"/>
      <c r="DG95" s="62"/>
      <c r="DH95" s="62"/>
      <c r="DI95" s="62"/>
      <c r="DJ95" s="62"/>
      <c r="DK95" s="62"/>
      <c r="DL95" s="62"/>
      <c r="DM95" s="62"/>
      <c r="DN95" s="62"/>
      <c r="DO95" s="62"/>
      <c r="DP95" s="62"/>
      <c r="DQ95" s="62"/>
      <c r="DR95" s="62"/>
      <c r="DS95" s="62"/>
      <c r="DT95" s="62"/>
      <c r="DU95" s="62"/>
      <c r="DV95" s="62"/>
      <c r="DW95" s="62"/>
      <c r="DX95" s="62"/>
      <c r="DY95" s="62"/>
      <c r="DZ95" s="62"/>
      <c r="EA95" s="62"/>
      <c r="EB95" s="62"/>
      <c r="EC95" s="62"/>
    </row>
    <row r="96" spans="2:133">
      <c r="B96" s="1" t="s">
        <v>111</v>
      </c>
      <c r="C96" s="53">
        <v>-1.8</v>
      </c>
      <c r="D96" s="53">
        <v>-3.5</v>
      </c>
      <c r="E96" s="53">
        <v>-2.8</v>
      </c>
      <c r="F96" s="53">
        <v>-0.5</v>
      </c>
      <c r="G96" s="53">
        <v>-0.9</v>
      </c>
      <c r="H96" s="53">
        <v>-0.2</v>
      </c>
      <c r="I96" s="53">
        <v>-0.6</v>
      </c>
      <c r="J96" s="53">
        <v>-0.2</v>
      </c>
      <c r="K96" s="53">
        <v>-0.4</v>
      </c>
      <c r="L96" s="53">
        <v>-0.6</v>
      </c>
      <c r="M96" s="53">
        <v>-0.1</v>
      </c>
      <c r="N96" s="53">
        <v>-0.8</v>
      </c>
      <c r="O96" s="53">
        <v>-0.1</v>
      </c>
      <c r="P96" s="53">
        <v>0</v>
      </c>
      <c r="Q96" s="53">
        <v>-1</v>
      </c>
      <c r="R96" s="53">
        <v>-0.1</v>
      </c>
      <c r="S96" s="53">
        <v>0</v>
      </c>
      <c r="T96" s="53">
        <v>-0.2</v>
      </c>
      <c r="U96" s="53">
        <v>-0.5</v>
      </c>
      <c r="V96" s="53">
        <v>-0.4</v>
      </c>
      <c r="W96" s="53">
        <v>-1.7</v>
      </c>
      <c r="X96" s="53">
        <v>-0.5</v>
      </c>
      <c r="Y96" s="53">
        <v>-0.7</v>
      </c>
      <c r="Z96" s="53">
        <v>-0.2</v>
      </c>
      <c r="AA96" s="53">
        <v>-0.7</v>
      </c>
      <c r="AB96" s="53">
        <v>-0.7</v>
      </c>
      <c r="AC96" s="53">
        <v>-0.4</v>
      </c>
      <c r="AD96" s="53">
        <v>-0.1</v>
      </c>
      <c r="AE96" s="53">
        <v>-0.8</v>
      </c>
      <c r="AF96" s="53">
        <v>-0.8</v>
      </c>
      <c r="AG96" s="53">
        <v>-0.8</v>
      </c>
      <c r="AH96" s="53">
        <v>-1.1000000000000001</v>
      </c>
      <c r="AI96" s="53">
        <v>-0.5</v>
      </c>
      <c r="AJ96" s="53">
        <v>-0.7</v>
      </c>
      <c r="AK96" s="53">
        <v>-1</v>
      </c>
      <c r="AL96" s="53">
        <v>-1.2</v>
      </c>
      <c r="AM96" s="53">
        <v>-0.2</v>
      </c>
      <c r="AN96" s="53">
        <v>-0.6</v>
      </c>
      <c r="AO96" s="53">
        <v>-0.9</v>
      </c>
      <c r="AP96" s="53">
        <v>-0.4</v>
      </c>
      <c r="AQ96" s="53">
        <v>-0.2</v>
      </c>
      <c r="AR96" s="53">
        <v>-0.1</v>
      </c>
      <c r="AS96" s="53">
        <v>-0.2</v>
      </c>
      <c r="AT96" s="53">
        <v>-0.8</v>
      </c>
      <c r="AU96" s="53">
        <v>-0.8</v>
      </c>
      <c r="AV96" s="53">
        <v>-0.95499999999999996</v>
      </c>
      <c r="AW96" s="53">
        <v>-9.0999999999999998E-2</v>
      </c>
      <c r="BK96" s="1">
        <f t="shared" si="128"/>
        <v>-8.6</v>
      </c>
      <c r="BL96" s="1">
        <f t="shared" si="129"/>
        <v>-1.9000000000000001</v>
      </c>
      <c r="BM96" s="1">
        <f t="shared" si="130"/>
        <v>-1.9000000000000001</v>
      </c>
      <c r="BN96" s="1">
        <f t="shared" si="131"/>
        <v>-1.2000000000000002</v>
      </c>
      <c r="BO96" s="1">
        <f t="shared" si="132"/>
        <v>-1.1000000000000001</v>
      </c>
      <c r="BP96" s="53">
        <f t="shared" si="133"/>
        <v>-3.1000000000000005</v>
      </c>
      <c r="BQ96" s="53">
        <f t="shared" si="134"/>
        <v>-1.9</v>
      </c>
      <c r="BR96" s="53">
        <f t="shared" si="135"/>
        <v>-3.5000000000000004</v>
      </c>
      <c r="BS96" s="53">
        <f t="shared" si="136"/>
        <v>-3.4000000000000004</v>
      </c>
      <c r="BT96" s="53">
        <f t="shared" si="137"/>
        <v>-2.1</v>
      </c>
      <c r="BU96" s="53">
        <f t="shared" si="138"/>
        <v>-1.3</v>
      </c>
      <c r="BV96" s="63">
        <f>BU96*1.65</f>
        <v>-2.145</v>
      </c>
      <c r="BW96" s="63">
        <f>BV96*1.45</f>
        <v>-3.1102499999999997</v>
      </c>
      <c r="BX96" s="63">
        <f t="shared" ref="BX96" si="140">BW96*1.45</f>
        <v>-4.5098624999999997</v>
      </c>
      <c r="BY96" s="63">
        <f>BX96*1.15</f>
        <v>-5.1863418749999992</v>
      </c>
      <c r="BZ96" s="63">
        <f>BY96*1.15</f>
        <v>-5.9642931562499983</v>
      </c>
      <c r="CA96" s="63">
        <f t="shared" ref="CA96:CE96" si="141">BZ96*1.15</f>
        <v>-6.8589371296874972</v>
      </c>
      <c r="CB96" s="63">
        <f t="shared" si="141"/>
        <v>-7.8877776991406217</v>
      </c>
      <c r="CC96" s="63">
        <f t="shared" si="141"/>
        <v>-9.0709443540117149</v>
      </c>
      <c r="CD96" s="63">
        <f t="shared" si="141"/>
        <v>-10.431586007113472</v>
      </c>
      <c r="CE96" s="63">
        <f t="shared" si="141"/>
        <v>-11.996323908180491</v>
      </c>
      <c r="CF96" s="63"/>
      <c r="CG96" s="63"/>
      <c r="CH96" s="63"/>
      <c r="CI96" s="63"/>
      <c r="CJ96" s="63"/>
      <c r="CK96" s="63"/>
      <c r="CL96" s="63"/>
      <c r="CM96" s="63"/>
      <c r="CN96" s="63"/>
      <c r="CO96" s="63"/>
      <c r="CP96" s="63"/>
      <c r="CQ96" s="63"/>
      <c r="CR96" s="63"/>
      <c r="CS96" s="63"/>
      <c r="CT96" s="63"/>
      <c r="CU96" s="63"/>
      <c r="CV96" s="63"/>
      <c r="CW96" s="63"/>
      <c r="CX96" s="63"/>
      <c r="CY96" s="63"/>
      <c r="CZ96" s="63"/>
      <c r="DA96" s="63"/>
      <c r="DB96" s="63"/>
      <c r="DC96" s="63"/>
      <c r="DD96" s="63"/>
      <c r="DE96" s="63"/>
      <c r="DF96" s="63"/>
      <c r="DG96" s="63"/>
      <c r="DH96" s="63"/>
      <c r="DI96" s="63"/>
      <c r="DJ96" s="63"/>
      <c r="DK96" s="63"/>
      <c r="DL96" s="63"/>
      <c r="DM96" s="63"/>
      <c r="DN96" s="63"/>
      <c r="DO96" s="63"/>
      <c r="DP96" s="63"/>
      <c r="DQ96" s="63"/>
      <c r="DR96" s="63"/>
      <c r="DS96" s="63"/>
      <c r="DT96" s="63"/>
      <c r="DU96" s="63"/>
      <c r="DV96" s="63"/>
      <c r="DW96" s="63"/>
      <c r="DX96" s="63"/>
      <c r="DY96" s="63"/>
      <c r="DZ96" s="63"/>
      <c r="EA96" s="63"/>
      <c r="EB96" s="63"/>
      <c r="EC96" s="63"/>
    </row>
    <row r="97" spans="2:133" s="2" customFormat="1" ht="15">
      <c r="B97" s="2" t="s">
        <v>112</v>
      </c>
      <c r="C97" s="54">
        <f t="shared" ref="C97:AT97" si="142">C95+C96</f>
        <v>-0.30000000000000004</v>
      </c>
      <c r="D97" s="54">
        <f t="shared" si="142"/>
        <v>0.70000000000000018</v>
      </c>
      <c r="E97" s="54">
        <f t="shared" si="142"/>
        <v>-7.3999999999999995</v>
      </c>
      <c r="F97" s="54">
        <f t="shared" si="142"/>
        <v>-5.0999999999999996</v>
      </c>
      <c r="G97" s="54">
        <f t="shared" si="142"/>
        <v>-10.1</v>
      </c>
      <c r="H97" s="54">
        <f t="shared" si="142"/>
        <v>-2.8000000000000003</v>
      </c>
      <c r="I97" s="54">
        <f t="shared" si="142"/>
        <v>-5.3</v>
      </c>
      <c r="J97" s="54">
        <f t="shared" si="142"/>
        <v>-5.2</v>
      </c>
      <c r="K97" s="54">
        <f t="shared" si="142"/>
        <v>-19.5</v>
      </c>
      <c r="L97" s="54">
        <f t="shared" si="142"/>
        <v>-4.5999999999999996</v>
      </c>
      <c r="M97" s="54">
        <f t="shared" si="142"/>
        <v>2.6999999999999997</v>
      </c>
      <c r="N97" s="54">
        <f t="shared" si="142"/>
        <v>9.1999999999999993</v>
      </c>
      <c r="O97" s="54">
        <f t="shared" si="142"/>
        <v>2.5</v>
      </c>
      <c r="P97" s="54">
        <f t="shared" si="142"/>
        <v>4</v>
      </c>
      <c r="Q97" s="54">
        <f t="shared" si="142"/>
        <v>4.2</v>
      </c>
      <c r="R97" s="54">
        <f t="shared" si="142"/>
        <v>-6.3</v>
      </c>
      <c r="S97" s="54">
        <f t="shared" si="142"/>
        <v>1.8</v>
      </c>
      <c r="T97" s="54">
        <f t="shared" si="142"/>
        <v>-2.7</v>
      </c>
      <c r="U97" s="54">
        <f t="shared" si="142"/>
        <v>7.1</v>
      </c>
      <c r="V97" s="54">
        <f t="shared" si="142"/>
        <v>-0.8</v>
      </c>
      <c r="W97" s="54">
        <f t="shared" si="142"/>
        <v>3.3999999999999995</v>
      </c>
      <c r="X97" s="54">
        <f t="shared" si="142"/>
        <v>18.3</v>
      </c>
      <c r="Y97" s="54">
        <f t="shared" si="142"/>
        <v>4</v>
      </c>
      <c r="Z97" s="54">
        <f t="shared" si="142"/>
        <v>2.0999999999999996</v>
      </c>
      <c r="AA97" s="54">
        <f t="shared" si="142"/>
        <v>4.0999999999999996</v>
      </c>
      <c r="AB97" s="54">
        <f t="shared" si="142"/>
        <v>6.5</v>
      </c>
      <c r="AC97" s="54">
        <f t="shared" si="142"/>
        <v>7.5</v>
      </c>
      <c r="AD97" s="54">
        <f t="shared" si="142"/>
        <v>13.3</v>
      </c>
      <c r="AE97" s="54">
        <f t="shared" si="142"/>
        <v>10.7</v>
      </c>
      <c r="AF97" s="54">
        <f t="shared" si="142"/>
        <v>12</v>
      </c>
      <c r="AG97" s="54">
        <f t="shared" si="142"/>
        <v>15.5</v>
      </c>
      <c r="AH97" s="54">
        <f t="shared" si="142"/>
        <v>8.2000000000000011</v>
      </c>
      <c r="AI97" s="54">
        <f t="shared" si="142"/>
        <v>-1.4</v>
      </c>
      <c r="AJ97" s="54">
        <f t="shared" si="142"/>
        <v>7.9999999999999991</v>
      </c>
      <c r="AK97" s="54">
        <f t="shared" si="142"/>
        <v>3.9000000000000004</v>
      </c>
      <c r="AL97" s="54">
        <f t="shared" si="142"/>
        <v>-2.5</v>
      </c>
      <c r="AM97" s="54">
        <f t="shared" si="142"/>
        <v>5.3999999999999995</v>
      </c>
      <c r="AN97" s="54">
        <f t="shared" si="142"/>
        <v>25.4</v>
      </c>
      <c r="AO97" s="54">
        <f t="shared" si="142"/>
        <v>14.1</v>
      </c>
      <c r="AP97" s="54">
        <f t="shared" si="142"/>
        <v>23.900000000000002</v>
      </c>
      <c r="AQ97" s="54">
        <f t="shared" si="142"/>
        <v>24.6</v>
      </c>
      <c r="AR97" s="54">
        <f t="shared" si="142"/>
        <v>-0.1</v>
      </c>
      <c r="AS97" s="54">
        <f t="shared" si="142"/>
        <v>18.7</v>
      </c>
      <c r="AT97" s="54">
        <f t="shared" si="142"/>
        <v>43.2</v>
      </c>
      <c r="AU97" s="54">
        <f>AU95+AU96</f>
        <v>-8.2000000000000011</v>
      </c>
      <c r="AV97" s="54">
        <f>AV95+AV96</f>
        <v>49.356000000000002</v>
      </c>
      <c r="AW97" s="54">
        <f>AW95+AW96</f>
        <v>46.064</v>
      </c>
      <c r="AX97" s="34"/>
      <c r="AY97" s="34"/>
      <c r="AZ97" s="34"/>
      <c r="BA97" s="34"/>
      <c r="BB97" s="34"/>
      <c r="BK97" s="2">
        <f t="shared" si="128"/>
        <v>-12.099999999999998</v>
      </c>
      <c r="BL97" s="2">
        <f t="shared" si="129"/>
        <v>-23.4</v>
      </c>
      <c r="BM97" s="2">
        <f t="shared" si="130"/>
        <v>-12.200000000000003</v>
      </c>
      <c r="BN97" s="2">
        <f t="shared" si="131"/>
        <v>4.3999999999999995</v>
      </c>
      <c r="BO97" s="2">
        <f t="shared" si="132"/>
        <v>5.3999999999999995</v>
      </c>
      <c r="BP97" s="54">
        <f>BP95+BP96</f>
        <v>27.799999999999997</v>
      </c>
      <c r="BQ97" s="54">
        <f t="shared" ref="BQ97:BU97" si="143">BQ95+BQ96</f>
        <v>31.4</v>
      </c>
      <c r="BR97" s="54">
        <f t="shared" si="143"/>
        <v>46.400000000000006</v>
      </c>
      <c r="BS97" s="54">
        <f t="shared" si="143"/>
        <v>7.9999999999999982</v>
      </c>
      <c r="BT97" s="54">
        <f t="shared" si="143"/>
        <v>68.800000000000011</v>
      </c>
      <c r="BU97" s="54">
        <f t="shared" si="143"/>
        <v>86.4</v>
      </c>
      <c r="BV97" s="62">
        <f>BV95+BV96</f>
        <v>122.389</v>
      </c>
      <c r="BW97" s="62">
        <f t="shared" ref="BW97:CE97" si="144">BW95+BW96</f>
        <v>171.23734999999996</v>
      </c>
      <c r="BX97" s="62">
        <f t="shared" si="144"/>
        <v>185.5290215</v>
      </c>
      <c r="BY97" s="62">
        <f t="shared" si="144"/>
        <v>201.956041685</v>
      </c>
      <c r="BZ97" s="62">
        <f t="shared" si="144"/>
        <v>219.82090492415003</v>
      </c>
      <c r="CA97" s="62">
        <f t="shared" si="144"/>
        <v>239.24692877794854</v>
      </c>
      <c r="CB97" s="62">
        <f t="shared" si="144"/>
        <v>260.36761614018269</v>
      </c>
      <c r="CC97" s="62">
        <f t="shared" si="144"/>
        <v>283.3274349308507</v>
      </c>
      <c r="CD97" s="62">
        <f t="shared" si="144"/>
        <v>308.2826474133866</v>
      </c>
      <c r="CE97" s="62">
        <f t="shared" si="144"/>
        <v>335.4021905201646</v>
      </c>
      <c r="CF97" s="62">
        <f t="shared" ref="CF97:DK97" si="145">CE97*(1+$BX$99)</f>
        <v>342.94873980686828</v>
      </c>
      <c r="CG97" s="62">
        <f t="shared" si="145"/>
        <v>350.66508645252281</v>
      </c>
      <c r="CH97" s="62">
        <f t="shared" si="145"/>
        <v>358.55505089770458</v>
      </c>
      <c r="CI97" s="62">
        <f t="shared" si="145"/>
        <v>366.62253954290293</v>
      </c>
      <c r="CJ97" s="62">
        <f t="shared" si="145"/>
        <v>374.8715466826182</v>
      </c>
      <c r="CK97" s="62">
        <f t="shared" si="145"/>
        <v>383.30615648297709</v>
      </c>
      <c r="CL97" s="62">
        <f t="shared" si="145"/>
        <v>391.93054500384403</v>
      </c>
      <c r="CM97" s="62">
        <f t="shared" si="145"/>
        <v>400.74898226643052</v>
      </c>
      <c r="CN97" s="62">
        <f t="shared" si="145"/>
        <v>409.76583436742521</v>
      </c>
      <c r="CO97" s="62">
        <f t="shared" si="145"/>
        <v>418.98556564069224</v>
      </c>
      <c r="CP97" s="62">
        <f t="shared" si="145"/>
        <v>428.41274086760779</v>
      </c>
      <c r="CQ97" s="62">
        <f t="shared" si="145"/>
        <v>438.05202753712894</v>
      </c>
      <c r="CR97" s="62">
        <f t="shared" si="145"/>
        <v>447.90819815671432</v>
      </c>
      <c r="CS97" s="62">
        <f t="shared" si="145"/>
        <v>457.98613261524036</v>
      </c>
      <c r="CT97" s="62">
        <f t="shared" si="145"/>
        <v>468.29082059908325</v>
      </c>
      <c r="CU97" s="62">
        <f t="shared" si="145"/>
        <v>478.82736406256259</v>
      </c>
      <c r="CV97" s="62">
        <f t="shared" si="145"/>
        <v>489.60097975397025</v>
      </c>
      <c r="CW97" s="62">
        <f t="shared" si="145"/>
        <v>500.61700179843456</v>
      </c>
      <c r="CX97" s="62">
        <f t="shared" si="145"/>
        <v>511.88088433889931</v>
      </c>
      <c r="CY97" s="62">
        <f t="shared" si="145"/>
        <v>523.39820423652452</v>
      </c>
      <c r="CZ97" s="62">
        <f t="shared" si="145"/>
        <v>535.17466383184626</v>
      </c>
      <c r="DA97" s="62">
        <f t="shared" si="145"/>
        <v>547.21609376806282</v>
      </c>
      <c r="DB97" s="62">
        <f t="shared" si="145"/>
        <v>559.52845587784418</v>
      </c>
      <c r="DC97" s="62">
        <f t="shared" si="145"/>
        <v>572.11784613509565</v>
      </c>
      <c r="DD97" s="62">
        <f t="shared" si="145"/>
        <v>584.99049767313522</v>
      </c>
      <c r="DE97" s="62">
        <f t="shared" si="145"/>
        <v>598.15278387078069</v>
      </c>
      <c r="DF97" s="62">
        <f t="shared" si="145"/>
        <v>611.61122150787321</v>
      </c>
      <c r="DG97" s="62">
        <f t="shared" si="145"/>
        <v>625.37247399180035</v>
      </c>
      <c r="DH97" s="62">
        <f t="shared" si="145"/>
        <v>639.44335465661584</v>
      </c>
      <c r="DI97" s="62">
        <f t="shared" si="145"/>
        <v>653.83083013638964</v>
      </c>
      <c r="DJ97" s="62">
        <f t="shared" si="145"/>
        <v>668.54202381445839</v>
      </c>
      <c r="DK97" s="62">
        <f t="shared" si="145"/>
        <v>683.58421935028366</v>
      </c>
      <c r="DL97" s="62">
        <f t="shared" ref="DL97:EC97" si="146">DK97*(1+$BX$99)</f>
        <v>698.96486428566504</v>
      </c>
      <c r="DM97" s="62">
        <f t="shared" si="146"/>
        <v>714.69157373209248</v>
      </c>
      <c r="DN97" s="62">
        <f t="shared" si="146"/>
        <v>730.7721341410645</v>
      </c>
      <c r="DO97" s="62">
        <f t="shared" si="146"/>
        <v>747.21450715923845</v>
      </c>
      <c r="DP97" s="62">
        <f t="shared" si="146"/>
        <v>764.02683357032129</v>
      </c>
      <c r="DQ97" s="62">
        <f t="shared" si="146"/>
        <v>781.21743732565346</v>
      </c>
      <c r="DR97" s="62">
        <f t="shared" si="146"/>
        <v>798.79482966548062</v>
      </c>
      <c r="DS97" s="62">
        <f t="shared" si="146"/>
        <v>816.76771333295392</v>
      </c>
      <c r="DT97" s="62">
        <f t="shared" si="146"/>
        <v>835.14498688294532</v>
      </c>
      <c r="DU97" s="62">
        <f t="shared" si="146"/>
        <v>853.93574908781159</v>
      </c>
      <c r="DV97" s="62">
        <f t="shared" si="146"/>
        <v>873.14930344228731</v>
      </c>
      <c r="DW97" s="62">
        <f t="shared" si="146"/>
        <v>892.79516276973879</v>
      </c>
      <c r="DX97" s="62">
        <f t="shared" si="146"/>
        <v>912.88305393205792</v>
      </c>
      <c r="DY97" s="62">
        <f t="shared" si="146"/>
        <v>933.42292264552918</v>
      </c>
      <c r="DZ97" s="62">
        <f t="shared" si="146"/>
        <v>954.42493840505358</v>
      </c>
      <c r="EA97" s="62">
        <f t="shared" si="146"/>
        <v>975.89949951916731</v>
      </c>
      <c r="EB97" s="62">
        <f t="shared" si="146"/>
        <v>997.8572382583485</v>
      </c>
      <c r="EC97" s="62">
        <f t="shared" si="146"/>
        <v>1020.3090261191613</v>
      </c>
    </row>
    <row r="98" spans="2:133">
      <c r="B98" s="1" t="s">
        <v>113</v>
      </c>
      <c r="C98" s="53">
        <f t="shared" ref="C98:AT98" si="147">C47</f>
        <v>31.8</v>
      </c>
      <c r="D98" s="53">
        <f t="shared" si="147"/>
        <v>31.8</v>
      </c>
      <c r="E98" s="53">
        <f t="shared" si="147"/>
        <v>31.8</v>
      </c>
      <c r="F98" s="53">
        <f t="shared" si="147"/>
        <v>31.6</v>
      </c>
      <c r="G98" s="53">
        <f t="shared" si="147"/>
        <v>39</v>
      </c>
      <c r="H98" s="53">
        <f t="shared" si="147"/>
        <v>39</v>
      </c>
      <c r="I98" s="53">
        <f t="shared" si="147"/>
        <v>39</v>
      </c>
      <c r="J98" s="53">
        <f t="shared" si="147"/>
        <v>39</v>
      </c>
      <c r="K98" s="53">
        <f t="shared" si="147"/>
        <v>40</v>
      </c>
      <c r="L98" s="53">
        <f t="shared" si="147"/>
        <v>41</v>
      </c>
      <c r="M98" s="53">
        <f t="shared" si="147"/>
        <v>41</v>
      </c>
      <c r="N98" s="53">
        <f t="shared" si="147"/>
        <v>41</v>
      </c>
      <c r="O98" s="53">
        <f t="shared" si="147"/>
        <v>41</v>
      </c>
      <c r="P98" s="53">
        <f t="shared" si="147"/>
        <v>41</v>
      </c>
      <c r="Q98" s="53">
        <f t="shared" si="147"/>
        <v>41</v>
      </c>
      <c r="R98" s="53">
        <f t="shared" si="147"/>
        <v>42.4</v>
      </c>
      <c r="S98" s="53">
        <f t="shared" si="147"/>
        <v>43</v>
      </c>
      <c r="T98" s="53">
        <f t="shared" si="147"/>
        <v>43</v>
      </c>
      <c r="U98" s="53">
        <f t="shared" si="147"/>
        <v>43.6</v>
      </c>
      <c r="V98" s="53">
        <f t="shared" si="147"/>
        <v>44.1</v>
      </c>
      <c r="W98" s="53">
        <f t="shared" si="147"/>
        <v>45.228999999999999</v>
      </c>
      <c r="X98" s="53">
        <f t="shared" si="147"/>
        <v>46.165999999999997</v>
      </c>
      <c r="Y98" s="53">
        <f t="shared" si="147"/>
        <v>46.731000000000002</v>
      </c>
      <c r="Z98" s="53">
        <f t="shared" si="147"/>
        <v>46.302</v>
      </c>
      <c r="AA98" s="53">
        <f t="shared" si="147"/>
        <v>47.545000000000002</v>
      </c>
      <c r="AB98" s="53">
        <f t="shared" si="147"/>
        <v>48.170999999999999</v>
      </c>
      <c r="AC98" s="53">
        <f t="shared" si="147"/>
        <v>48.84</v>
      </c>
      <c r="AD98" s="53">
        <f t="shared" si="147"/>
        <v>48.448</v>
      </c>
      <c r="AE98" s="53">
        <f t="shared" si="147"/>
        <v>50.244</v>
      </c>
      <c r="AF98" s="53">
        <f t="shared" si="147"/>
        <v>51.064999999999998</v>
      </c>
      <c r="AG98" s="53">
        <f t="shared" si="147"/>
        <v>51.441000000000003</v>
      </c>
      <c r="AH98" s="53">
        <f t="shared" si="147"/>
        <v>51.125999999999998</v>
      </c>
      <c r="AI98" s="53">
        <f t="shared" si="147"/>
        <v>52.595999999999997</v>
      </c>
      <c r="AJ98" s="53">
        <f t="shared" si="147"/>
        <v>52.85</v>
      </c>
      <c r="AK98" s="53">
        <f t="shared" si="147"/>
        <v>53.081000000000003</v>
      </c>
      <c r="AL98" s="53">
        <f t="shared" si="147"/>
        <v>52.954000000000001</v>
      </c>
      <c r="AM98" s="53">
        <f t="shared" si="147"/>
        <v>53.69</v>
      </c>
      <c r="AN98" s="53">
        <f t="shared" si="147"/>
        <v>54.009</v>
      </c>
      <c r="AO98" s="53">
        <f t="shared" si="147"/>
        <v>54.256</v>
      </c>
      <c r="AP98" s="53">
        <f t="shared" si="147"/>
        <v>54.098999999999997</v>
      </c>
      <c r="AQ98" s="53">
        <f t="shared" si="147"/>
        <v>54.914999999999999</v>
      </c>
      <c r="AR98" s="53">
        <f t="shared" si="147"/>
        <v>55.177</v>
      </c>
      <c r="AS98" s="53">
        <f t="shared" si="147"/>
        <v>55.581000000000003</v>
      </c>
      <c r="AT98" s="53">
        <f t="shared" si="147"/>
        <v>55.354999999999997</v>
      </c>
      <c r="AU98" s="53">
        <f>AU47</f>
        <v>56.156999999999996</v>
      </c>
      <c r="AV98" s="53">
        <f>AV47</f>
        <v>56.076000000000001</v>
      </c>
      <c r="AW98" s="53">
        <f>AW47</f>
        <v>56.347000000000001</v>
      </c>
      <c r="BK98" s="53">
        <f t="shared" ref="BK98:BO98" si="148">BK47</f>
        <v>31.75</v>
      </c>
      <c r="BL98" s="53">
        <f t="shared" si="148"/>
        <v>39</v>
      </c>
      <c r="BM98" s="53">
        <f t="shared" si="148"/>
        <v>40.75</v>
      </c>
      <c r="BN98" s="53">
        <f t="shared" si="148"/>
        <v>41.35</v>
      </c>
      <c r="BO98" s="53">
        <f t="shared" si="148"/>
        <v>43.424999999999997</v>
      </c>
      <c r="BP98" s="53">
        <f>BP47</f>
        <v>46.106999999999999</v>
      </c>
      <c r="BQ98" s="53">
        <f t="shared" ref="BQ98:BU98" si="149">BQ47</f>
        <v>48.251000000000005</v>
      </c>
      <c r="BR98" s="53">
        <f t="shared" si="149"/>
        <v>50.969000000000001</v>
      </c>
      <c r="BS98" s="53">
        <f t="shared" si="149"/>
        <v>52.870249999999999</v>
      </c>
      <c r="BT98" s="53">
        <f t="shared" si="149"/>
        <v>54.013499999999993</v>
      </c>
      <c r="BU98" s="53">
        <f t="shared" si="149"/>
        <v>55.256999999999998</v>
      </c>
    </row>
    <row r="99" spans="2:133">
      <c r="B99" s="1" t="s">
        <v>114</v>
      </c>
      <c r="C99" s="39">
        <f t="shared" ref="C99:AT99" si="150">C97/C98</f>
        <v>-9.4339622641509448E-3</v>
      </c>
      <c r="D99" s="39">
        <f t="shared" si="150"/>
        <v>2.2012578616352207E-2</v>
      </c>
      <c r="E99" s="39">
        <f t="shared" si="150"/>
        <v>-0.23270440251572325</v>
      </c>
      <c r="F99" s="39">
        <f t="shared" si="150"/>
        <v>-0.16139240506329111</v>
      </c>
      <c r="G99" s="39">
        <f t="shared" si="150"/>
        <v>-0.25897435897435894</v>
      </c>
      <c r="H99" s="39">
        <f t="shared" si="150"/>
        <v>-7.1794871794871803E-2</v>
      </c>
      <c r="I99" s="39">
        <f t="shared" si="150"/>
        <v>-0.13589743589743589</v>
      </c>
      <c r="J99" s="39">
        <f t="shared" si="150"/>
        <v>-0.13333333333333333</v>
      </c>
      <c r="K99" s="39">
        <f t="shared" si="150"/>
        <v>-0.48749999999999999</v>
      </c>
      <c r="L99" s="39">
        <f t="shared" si="150"/>
        <v>-0.1121951219512195</v>
      </c>
      <c r="M99" s="39">
        <f t="shared" si="150"/>
        <v>6.5853658536585355E-2</v>
      </c>
      <c r="N99" s="39">
        <f t="shared" si="150"/>
        <v>0.224390243902439</v>
      </c>
      <c r="O99" s="39">
        <f t="shared" si="150"/>
        <v>6.097560975609756E-2</v>
      </c>
      <c r="P99" s="39">
        <f t="shared" si="150"/>
        <v>9.7560975609756101E-2</v>
      </c>
      <c r="Q99" s="39">
        <f t="shared" si="150"/>
        <v>0.10243902439024391</v>
      </c>
      <c r="R99" s="39">
        <f t="shared" si="150"/>
        <v>-0.14858490566037735</v>
      </c>
      <c r="S99" s="39">
        <f t="shared" si="150"/>
        <v>4.1860465116279069E-2</v>
      </c>
      <c r="T99" s="39">
        <f t="shared" si="150"/>
        <v>-6.2790697674418611E-2</v>
      </c>
      <c r="U99" s="39">
        <f t="shared" si="150"/>
        <v>0.1628440366972477</v>
      </c>
      <c r="V99" s="39">
        <f t="shared" si="150"/>
        <v>-1.8140589569160998E-2</v>
      </c>
      <c r="W99" s="39">
        <f t="shared" si="150"/>
        <v>7.517300846801829E-2</v>
      </c>
      <c r="X99" s="39">
        <f t="shared" si="150"/>
        <v>0.39639561582116711</v>
      </c>
      <c r="Y99" s="39">
        <f t="shared" si="150"/>
        <v>8.5596285121225732E-2</v>
      </c>
      <c r="Z99" s="39">
        <f t="shared" si="150"/>
        <v>4.5354412336400148E-2</v>
      </c>
      <c r="AA99" s="39">
        <f t="shared" si="150"/>
        <v>8.6234094016195167E-2</v>
      </c>
      <c r="AB99" s="39">
        <f t="shared" si="150"/>
        <v>0.13493595731871874</v>
      </c>
      <c r="AC99" s="39">
        <f t="shared" si="150"/>
        <v>0.15356265356265356</v>
      </c>
      <c r="AD99" s="39">
        <f t="shared" si="150"/>
        <v>0.27452113606340822</v>
      </c>
      <c r="AE99" s="39">
        <f t="shared" si="150"/>
        <v>0.21296075153252128</v>
      </c>
      <c r="AF99" s="39">
        <f t="shared" si="150"/>
        <v>0.23499461470674632</v>
      </c>
      <c r="AG99" s="39">
        <f t="shared" si="150"/>
        <v>0.30131607083843626</v>
      </c>
      <c r="AH99" s="39">
        <f t="shared" si="150"/>
        <v>0.16038806086922508</v>
      </c>
      <c r="AI99" s="39">
        <f t="shared" si="150"/>
        <v>-2.6617993763784317E-2</v>
      </c>
      <c r="AJ99" s="39">
        <f t="shared" si="150"/>
        <v>0.15137180700094605</v>
      </c>
      <c r="AK99" s="39">
        <f t="shared" si="150"/>
        <v>7.3472617320698555E-2</v>
      </c>
      <c r="AL99" s="39">
        <f t="shared" si="150"/>
        <v>-4.7210786720549909E-2</v>
      </c>
      <c r="AM99" s="39">
        <f t="shared" si="150"/>
        <v>0.10057738871298193</v>
      </c>
      <c r="AN99" s="39">
        <f t="shared" si="150"/>
        <v>0.47029198837230829</v>
      </c>
      <c r="AO99" s="39">
        <f t="shared" si="150"/>
        <v>0.25987909171335888</v>
      </c>
      <c r="AP99" s="39">
        <f t="shared" si="150"/>
        <v>0.44178265772010578</v>
      </c>
      <c r="AQ99" s="39">
        <f t="shared" si="150"/>
        <v>0.44796503687517075</v>
      </c>
      <c r="AR99" s="39">
        <f t="shared" si="150"/>
        <v>-1.8123493484604094E-3</v>
      </c>
      <c r="AS99" s="39">
        <f t="shared" si="150"/>
        <v>0.33644590777423938</v>
      </c>
      <c r="AT99" s="39">
        <f t="shared" si="150"/>
        <v>0.78041730647637986</v>
      </c>
      <c r="AU99" s="39">
        <f>AU97/AU98</f>
        <v>-0.14601919618213227</v>
      </c>
      <c r="AV99" s="39">
        <f>AV97/AV98</f>
        <v>0.88016263642199877</v>
      </c>
      <c r="AW99" s="39">
        <f>AW97/AW98</f>
        <v>0.81750581219940721</v>
      </c>
      <c r="BK99" s="39">
        <f t="shared" si="128"/>
        <v>-0.38151819122681307</v>
      </c>
      <c r="BL99" s="39">
        <f t="shared" si="129"/>
        <v>-0.6</v>
      </c>
      <c r="BM99" s="39">
        <f t="shared" si="130"/>
        <v>-0.30945121951219512</v>
      </c>
      <c r="BN99" s="39">
        <f t="shared" si="131"/>
        <v>0.11239070409572022</v>
      </c>
      <c r="BO99" s="39">
        <f t="shared" si="132"/>
        <v>0.12377321456994715</v>
      </c>
      <c r="BP99" s="39">
        <f t="shared" ref="BP99" si="151">SUM(W99:Z99)</f>
        <v>0.60251932174681122</v>
      </c>
      <c r="BQ99" s="39">
        <f t="shared" ref="BQ99" si="152">SUM(AA99:AD99)</f>
        <v>0.64925384096097571</v>
      </c>
      <c r="BR99" s="39">
        <f t="shared" ref="BR99" si="153">SUM(AE99:AH99)</f>
        <v>0.90965949794692891</v>
      </c>
      <c r="BS99" s="39">
        <f t="shared" ref="BS99" si="154">SUM(AI99:AL99)</f>
        <v>0.15101564383731036</v>
      </c>
      <c r="BT99" s="39">
        <f t="shared" ref="BT99" si="155">SUM(AM99:AP99)</f>
        <v>1.2725311265187549</v>
      </c>
      <c r="BU99" s="39">
        <f t="shared" ref="BU99" si="156">SUM(AQ99:AT99)</f>
        <v>1.5630159017773297</v>
      </c>
      <c r="BW99" s="66" t="s">
        <v>1507</v>
      </c>
      <c r="BX99" s="67">
        <v>2.2499999999999999E-2</v>
      </c>
    </row>
    <row r="100" spans="2:133" ht="15" customHeight="1">
      <c r="BW100" s="66" t="s">
        <v>1508</v>
      </c>
      <c r="BX100" s="67">
        <v>4.5100000000000001E-2</v>
      </c>
    </row>
    <row r="101" spans="2:133" ht="15" customHeight="1">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c r="AS101" s="59"/>
      <c r="AT101" s="59"/>
      <c r="AU101" s="59"/>
      <c r="BV101" s="64"/>
      <c r="BW101" s="66" t="s">
        <v>1509</v>
      </c>
      <c r="BX101" s="67">
        <f>5.5%-BX100</f>
        <v>9.8999999999999991E-3</v>
      </c>
      <c r="CA101" s="65"/>
    </row>
    <row r="102" spans="2:133" ht="15" customHeight="1">
      <c r="BW102" s="66" t="s">
        <v>1510</v>
      </c>
      <c r="BX102" s="35">
        <v>0.87</v>
      </c>
      <c r="CA102" s="65"/>
    </row>
    <row r="103" spans="2:133" ht="15" customHeight="1">
      <c r="BV103" s="68"/>
      <c r="BW103" s="66" t="s">
        <v>1511</v>
      </c>
      <c r="BX103" s="67">
        <f>+BX100+(BX101*BX102)</f>
        <v>5.3712999999999997E-2</v>
      </c>
      <c r="CA103" s="63"/>
    </row>
    <row r="104" spans="2:133" ht="15" customHeight="1">
      <c r="BV104" s="69"/>
      <c r="BW104" s="66"/>
    </row>
    <row r="105" spans="2:133" ht="15" customHeight="1">
      <c r="BW105" s="66" t="s">
        <v>1512</v>
      </c>
      <c r="BX105" s="63">
        <f>NPV(BX103,BV97:EC97)</f>
        <v>6758.5113907212744</v>
      </c>
    </row>
    <row r="106" spans="2:133" ht="15" customHeight="1">
      <c r="BW106" s="66" t="s">
        <v>113</v>
      </c>
      <c r="BX106" s="63">
        <f>Main!C6</f>
        <v>57.5</v>
      </c>
      <c r="BY106" s="70" t="s">
        <v>1400</v>
      </c>
    </row>
    <row r="107" spans="2:133" ht="15" customHeight="1">
      <c r="BW107" s="66" t="s">
        <v>1513</v>
      </c>
      <c r="BX107" s="61">
        <f>BX105/BX106</f>
        <v>117.53932853428303</v>
      </c>
      <c r="BY107" s="64"/>
    </row>
    <row r="108" spans="2:133" ht="15" customHeight="1">
      <c r="BW108" s="66" t="s">
        <v>1514</v>
      </c>
      <c r="BX108" s="61">
        <f>Main!C5</f>
        <v>89.42</v>
      </c>
      <c r="BY108" s="71" t="s">
        <v>1516</v>
      </c>
    </row>
    <row r="109" spans="2:133" ht="15" customHeight="1">
      <c r="BW109" s="66" t="s">
        <v>1515</v>
      </c>
      <c r="BX109" s="67">
        <f>BX107/BX108-1</f>
        <v>0.31446352644020381</v>
      </c>
      <c r="BY109" s="64" t="str">
        <f>IF(BX109&gt;0,"Upside","Downside")</f>
        <v>Upside</v>
      </c>
    </row>
    <row r="110" spans="2:133" ht="15" customHeight="1">
      <c r="BW110" s="106" t="str" cm="1">
        <f t="array" ref="BW110">_xlfn.IFS(BX109&gt;=25%,"Strong Buy",BX109&gt;=10.00001%,"Buy",AND(BX109&lt;=10%,BX109&gt;=-4.9999%),"Hold",AND(BX109&lt;=-5%,BX109&gt;=-14.999999%),"Sell",BX109&lt;=-15%,"Strong Sell")</f>
        <v>Strong Buy</v>
      </c>
      <c r="BX110" s="106"/>
    </row>
    <row r="111" spans="2:133" ht="15" customHeight="1">
      <c r="BV111" s="2"/>
      <c r="BW111" s="2"/>
      <c r="BX111" s="2"/>
      <c r="BY111" s="2"/>
      <c r="BZ111" s="2"/>
      <c r="CA111" s="2"/>
      <c r="CB111" s="2"/>
    </row>
    <row r="112" spans="2:133" ht="15" customHeight="1"/>
  </sheetData>
  <mergeCells count="1">
    <mergeCell ref="BW110:BX110"/>
  </mergeCells>
  <conditionalFormatting sqref="BW110:BX110">
    <cfRule type="colorScale" priority="1">
      <colorScale>
        <cfvo type="min"/>
        <cfvo type="percentile" val="50"/>
        <cfvo type="max"/>
        <color rgb="FFF8696B"/>
        <color rgb="FFFCFCFF"/>
        <color rgb="FF63BE7B"/>
      </colorScale>
    </cfRule>
    <cfRule type="containsText" dxfId="4" priority="2" operator="containsText" text="Strong Sell">
      <formula>NOT(ISERROR(SEARCH("Strong Sell",BW110)))</formula>
    </cfRule>
    <cfRule type="containsText" dxfId="3" priority="3" operator="containsText" text="Sell">
      <formula>NOT(ISERROR(SEARCH("Sell",BW110)))</formula>
    </cfRule>
    <cfRule type="containsText" dxfId="2" priority="4" operator="containsText" text="Hold">
      <formula>NOT(ISERROR(SEARCH("Hold",BW110)))</formula>
    </cfRule>
    <cfRule type="beginsWith" dxfId="1" priority="5" operator="beginsWith" text="Buy">
      <formula>LEFT(BW110,LEN("Buy"))="Buy"</formula>
    </cfRule>
    <cfRule type="beginsWith" dxfId="0" priority="6" operator="beginsWith" text="Strong">
      <formula>LEFT(BW110,LEN("Strong"))="Strong"</formula>
    </cfRule>
  </conditionalFormatting>
  <pageMargins left="0.7" right="0.7" top="0.75" bottom="0.75" header="0.3" footer="0.3"/>
  <ignoredErrors>
    <ignoredError sqref="W7:AW7 Z37:Z45 AU88 AU87 Z88:AT88 Z87:AT87 BQ95:BU99 BP47:BU48 BK32:BO46 BK48:BO49 BP95:BP99 BK95:BO97 BK99:BO99 AV35 AU54 B54:AT54 AV54:AW54 AV87:AV88 AW87:AW91" formulaRange="1"/>
    <ignoredError sqref="AL44 BW95" formula="1"/>
    <ignoredError sqref="BK47:BO47 BK98:BO98" formula="1" formulaRange="1"/>
    <ignoredError sqref="BY108" twoDigitTextYear="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FD4A5-C172-4508-BDD9-9132B91E029B}">
  <dimension ref="A1:CA1548"/>
  <sheetViews>
    <sheetView topLeftCell="H85" zoomScale="40" zoomScaleNormal="40" workbookViewId="0">
      <selection activeCell="AC129" sqref="AC129:AU175"/>
    </sheetView>
  </sheetViews>
  <sheetFormatPr defaultRowHeight="14.25"/>
  <cols>
    <col min="1" max="7" width="9.140625" style="1" hidden="1" customWidth="1"/>
    <col min="8" max="8" width="3.140625" style="1" customWidth="1"/>
    <col min="9" max="28" width="9.140625" style="1"/>
    <col min="29" max="29" width="2.85546875" style="1" customWidth="1"/>
    <col min="30" max="16384" width="9.140625" style="1"/>
  </cols>
  <sheetData>
    <row r="1" spans="8:79">
      <c r="CA1" s="1">
        <v>0</v>
      </c>
    </row>
    <row r="2" spans="8:79" ht="15">
      <c r="H2" s="2" t="s">
        <v>135</v>
      </c>
      <c r="AC2" s="2" t="s">
        <v>115</v>
      </c>
    </row>
    <row r="3" spans="8:79">
      <c r="AD3" s="1" t="s">
        <v>1527</v>
      </c>
    </row>
    <row r="4" spans="8:79">
      <c r="AE4" s="1" t="s">
        <v>1525</v>
      </c>
    </row>
    <row r="5" spans="8:79">
      <c r="AE5" s="1" t="s">
        <v>1522</v>
      </c>
    </row>
    <row r="6" spans="8:79">
      <c r="AE6" s="1" t="s">
        <v>1524</v>
      </c>
    </row>
    <row r="7" spans="8:79">
      <c r="AF7" s="1" t="s">
        <v>1523</v>
      </c>
    </row>
    <row r="8" spans="8:79">
      <c r="AE8" s="1" t="s">
        <v>1531</v>
      </c>
    </row>
    <row r="9" spans="8:79">
      <c r="AF9" s="1" t="s">
        <v>1526</v>
      </c>
    </row>
    <row r="10" spans="8:79">
      <c r="AE10" s="1" t="s">
        <v>1533</v>
      </c>
    </row>
    <row r="11" spans="8:79">
      <c r="AE11" s="1" t="s">
        <v>1534</v>
      </c>
    </row>
    <row r="12" spans="8:79">
      <c r="AE12" s="1" t="s">
        <v>1532</v>
      </c>
    </row>
    <row r="13" spans="8:79">
      <c r="AF13" s="1" t="s">
        <v>1535</v>
      </c>
    </row>
    <row r="14" spans="8:79">
      <c r="AE14" s="1" t="s">
        <v>1528</v>
      </c>
    </row>
    <row r="15" spans="8:79">
      <c r="AF15" s="1" t="s">
        <v>1536</v>
      </c>
    </row>
    <row r="16" spans="8:79">
      <c r="AE16" s="1" t="s">
        <v>1529</v>
      </c>
    </row>
    <row r="17" spans="8:32">
      <c r="AF17" s="1" t="s">
        <v>1530</v>
      </c>
    </row>
    <row r="18" spans="8:32">
      <c r="AE18" s="1" t="s">
        <v>1537</v>
      </c>
    </row>
    <row r="19" spans="8:32">
      <c r="AD19" s="1" t="s">
        <v>1484</v>
      </c>
    </row>
    <row r="20" spans="8:32">
      <c r="AE20" s="1" t="s">
        <v>1485</v>
      </c>
    </row>
    <row r="21" spans="8:32">
      <c r="AD21" s="1" t="s">
        <v>1504</v>
      </c>
    </row>
    <row r="22" spans="8:32">
      <c r="AE22" s="1" t="s">
        <v>1505</v>
      </c>
    </row>
    <row r="23" spans="8:32">
      <c r="AE23" s="1" t="s">
        <v>1506</v>
      </c>
    </row>
    <row r="29" spans="8:32" ht="15">
      <c r="H29" s="2" t="s">
        <v>13</v>
      </c>
      <c r="AC29" s="2" t="s">
        <v>1759</v>
      </c>
    </row>
    <row r="30" spans="8:32" ht="15">
      <c r="AC30" s="2" t="s">
        <v>116</v>
      </c>
    </row>
    <row r="56" spans="8:29">
      <c r="I56" s="1" t="s">
        <v>14</v>
      </c>
      <c r="J56" s="1" t="s">
        <v>15</v>
      </c>
    </row>
    <row r="57" spans="8:29">
      <c r="J57" s="1" t="s">
        <v>16</v>
      </c>
    </row>
    <row r="58" spans="8:29">
      <c r="J58" s="1" t="s">
        <v>17</v>
      </c>
    </row>
    <row r="60" spans="8:29" ht="15">
      <c r="H60" s="2" t="s">
        <v>141</v>
      </c>
      <c r="AC60" s="2" t="s">
        <v>117</v>
      </c>
    </row>
    <row r="92" spans="8:29">
      <c r="I92" s="1" t="s">
        <v>14</v>
      </c>
      <c r="J92" s="1" t="s">
        <v>15</v>
      </c>
    </row>
    <row r="93" spans="8:29">
      <c r="J93" s="1" t="s">
        <v>16</v>
      </c>
    </row>
    <row r="94" spans="8:29">
      <c r="J94" s="1" t="s">
        <v>17</v>
      </c>
    </row>
    <row r="96" spans="8:29" ht="15">
      <c r="H96" s="2" t="s">
        <v>142</v>
      </c>
      <c r="AC96" s="2" t="s">
        <v>118</v>
      </c>
    </row>
    <row r="125" spans="9:10">
      <c r="I125" s="1" t="s">
        <v>14</v>
      </c>
      <c r="J125" s="1" t="s">
        <v>15</v>
      </c>
    </row>
    <row r="126" spans="9:10">
      <c r="J126" s="1" t="s">
        <v>16</v>
      </c>
    </row>
    <row r="127" spans="9:10">
      <c r="J127" s="1" t="s">
        <v>17</v>
      </c>
    </row>
    <row r="129" spans="8:29" ht="15">
      <c r="H129" s="2" t="s">
        <v>1483</v>
      </c>
      <c r="AC129" s="2" t="s">
        <v>119</v>
      </c>
    </row>
    <row r="145" spans="9:30" ht="15" customHeight="1"/>
    <row r="158" spans="9:30">
      <c r="I158" s="1" t="s">
        <v>14</v>
      </c>
      <c r="J158" s="1" t="s">
        <v>15</v>
      </c>
    </row>
    <row r="159" spans="9:30">
      <c r="J159" s="1" t="s">
        <v>16</v>
      </c>
    </row>
    <row r="160" spans="9:30">
      <c r="J160" s="1" t="s">
        <v>17</v>
      </c>
      <c r="AD160" s="1" t="s">
        <v>1518</v>
      </c>
    </row>
    <row r="162" spans="9:9" ht="15">
      <c r="I162" s="2" t="s">
        <v>143</v>
      </c>
    </row>
    <row r="180" spans="1:7">
      <c r="A180" s="1" t="s">
        <v>1755</v>
      </c>
    </row>
    <row r="181" spans="1:7">
      <c r="A181" s="24" t="s">
        <v>18</v>
      </c>
      <c r="B181" s="24" t="s">
        <v>19</v>
      </c>
      <c r="C181" s="24" t="s">
        <v>20</v>
      </c>
      <c r="D181" s="24" t="s">
        <v>21</v>
      </c>
      <c r="E181" s="24" t="s">
        <v>22</v>
      </c>
      <c r="F181" s="24" t="s">
        <v>23</v>
      </c>
      <c r="G181" s="24" t="s">
        <v>24</v>
      </c>
    </row>
    <row r="182" spans="1:7">
      <c r="A182" s="47">
        <v>67.81</v>
      </c>
      <c r="B182" s="47">
        <v>68.900000000000006</v>
      </c>
      <c r="C182" s="47">
        <v>67.650000000000006</v>
      </c>
      <c r="D182" s="47">
        <v>68.709999999999994</v>
      </c>
      <c r="E182" s="47">
        <v>430284</v>
      </c>
      <c r="F182" s="47" t="s">
        <v>1399</v>
      </c>
      <c r="G182" s="25">
        <f>A182/D182-1</f>
        <v>-1.3098530053849422E-2</v>
      </c>
    </row>
    <row r="183" spans="1:7">
      <c r="A183" s="47">
        <v>68.7</v>
      </c>
      <c r="B183" s="47">
        <v>70.275000000000006</v>
      </c>
      <c r="C183" s="47">
        <v>68.64</v>
      </c>
      <c r="D183" s="47">
        <v>69.849999999999994</v>
      </c>
      <c r="E183" s="47">
        <v>536246</v>
      </c>
      <c r="F183" s="47" t="s">
        <v>1398</v>
      </c>
      <c r="G183" s="25">
        <f t="shared" ref="G183:G246" si="0">A183/D183-1</f>
        <v>-1.6463851109520311E-2</v>
      </c>
    </row>
    <row r="184" spans="1:7">
      <c r="A184" s="47">
        <v>69.55</v>
      </c>
      <c r="B184" s="47">
        <v>70.66</v>
      </c>
      <c r="C184" s="47">
        <v>69.209999999999994</v>
      </c>
      <c r="D184" s="47">
        <v>69.83</v>
      </c>
      <c r="E184" s="47">
        <v>499762</v>
      </c>
      <c r="F184" s="47" t="s">
        <v>1397</v>
      </c>
      <c r="G184" s="25">
        <f t="shared" si="0"/>
        <v>-4.009737934984936E-3</v>
      </c>
    </row>
    <row r="185" spans="1:7">
      <c r="A185" s="47">
        <v>69.209999999999994</v>
      </c>
      <c r="B185" s="47">
        <v>69.844999999999999</v>
      </c>
      <c r="C185" s="47">
        <v>68.069999999999993</v>
      </c>
      <c r="D185" s="47">
        <v>68.98</v>
      </c>
      <c r="E185" s="47">
        <v>449917</v>
      </c>
      <c r="F185" s="47" t="s">
        <v>1396</v>
      </c>
      <c r="G185" s="25">
        <f t="shared" si="0"/>
        <v>3.3342997970424726E-3</v>
      </c>
    </row>
    <row r="186" spans="1:7">
      <c r="A186" s="47">
        <v>68.28</v>
      </c>
      <c r="B186" s="47">
        <v>69.185000000000002</v>
      </c>
      <c r="C186" s="47">
        <v>67.42</v>
      </c>
      <c r="D186" s="47">
        <v>68.239999999999995</v>
      </c>
      <c r="E186" s="47">
        <v>388166</v>
      </c>
      <c r="F186" s="47" t="s">
        <v>1395</v>
      </c>
      <c r="G186" s="25">
        <f t="shared" si="0"/>
        <v>5.8616647127784915E-4</v>
      </c>
    </row>
    <row r="187" spans="1:7">
      <c r="A187" s="47">
        <v>67.91</v>
      </c>
      <c r="B187" s="47">
        <v>69.5</v>
      </c>
      <c r="C187" s="47">
        <v>67.62</v>
      </c>
      <c r="D187" s="47">
        <v>68.95</v>
      </c>
      <c r="E187" s="47">
        <v>409541</v>
      </c>
      <c r="F187" s="47" t="s">
        <v>1394</v>
      </c>
      <c r="G187" s="25">
        <f t="shared" si="0"/>
        <v>-1.5083393763596908E-2</v>
      </c>
    </row>
    <row r="188" spans="1:7">
      <c r="A188" s="47">
        <v>68.8</v>
      </c>
      <c r="B188" s="47">
        <v>68.87</v>
      </c>
      <c r="C188" s="47">
        <v>67.570099999999996</v>
      </c>
      <c r="D188" s="47">
        <v>68.45</v>
      </c>
      <c r="E188" s="47">
        <v>245213</v>
      </c>
      <c r="F188" s="47" t="s">
        <v>1393</v>
      </c>
      <c r="G188" s="25">
        <f t="shared" si="0"/>
        <v>5.1132213294373674E-3</v>
      </c>
    </row>
    <row r="189" spans="1:7">
      <c r="A189" s="47">
        <v>68.38</v>
      </c>
      <c r="B189" s="47">
        <v>68.52</v>
      </c>
      <c r="C189" s="47">
        <v>66.66</v>
      </c>
      <c r="D189" s="47">
        <v>67.09</v>
      </c>
      <c r="E189" s="47">
        <v>711723</v>
      </c>
      <c r="F189" s="47" t="s">
        <v>1392</v>
      </c>
      <c r="G189" s="25">
        <f t="shared" si="0"/>
        <v>1.9227902817111175E-2</v>
      </c>
    </row>
    <row r="190" spans="1:7">
      <c r="A190" s="47">
        <v>67.290000000000006</v>
      </c>
      <c r="B190" s="47">
        <v>67.618399999999994</v>
      </c>
      <c r="C190" s="47">
        <v>66.31</v>
      </c>
      <c r="D190" s="47">
        <v>66.5</v>
      </c>
      <c r="E190" s="47">
        <v>455992</v>
      </c>
      <c r="F190" s="47" t="s">
        <v>1391</v>
      </c>
      <c r="G190" s="25">
        <f t="shared" si="0"/>
        <v>1.187969924812049E-2</v>
      </c>
    </row>
    <row r="191" spans="1:7">
      <c r="A191" s="47">
        <v>66.819999999999993</v>
      </c>
      <c r="B191" s="47">
        <v>67.665700000000001</v>
      </c>
      <c r="C191" s="47">
        <v>66.19</v>
      </c>
      <c r="D191" s="47">
        <v>67.53</v>
      </c>
      <c r="E191" s="47">
        <v>295614</v>
      </c>
      <c r="F191" s="47" t="s">
        <v>1390</v>
      </c>
      <c r="G191" s="25">
        <f t="shared" si="0"/>
        <v>-1.0513845698208346E-2</v>
      </c>
    </row>
    <row r="192" spans="1:7">
      <c r="A192" s="47">
        <v>66.53</v>
      </c>
      <c r="B192" s="47">
        <v>67.814999999999998</v>
      </c>
      <c r="C192" s="47">
        <v>66.459999999999994</v>
      </c>
      <c r="D192" s="47">
        <v>67.34</v>
      </c>
      <c r="E192" s="47">
        <v>311293</v>
      </c>
      <c r="F192" s="47" t="s">
        <v>1389</v>
      </c>
      <c r="G192" s="25">
        <f t="shared" si="0"/>
        <v>-1.2028512028512073E-2</v>
      </c>
    </row>
    <row r="193" spans="1:17">
      <c r="A193" s="47">
        <v>67.19</v>
      </c>
      <c r="B193" s="47">
        <v>68.520099999999999</v>
      </c>
      <c r="C193" s="47">
        <v>67.010000000000005</v>
      </c>
      <c r="D193" s="47">
        <v>68.290000000000006</v>
      </c>
      <c r="E193" s="47">
        <v>361659</v>
      </c>
      <c r="F193" s="47" t="s">
        <v>1388</v>
      </c>
      <c r="G193" s="25">
        <f t="shared" si="0"/>
        <v>-1.6107775662615453E-2</v>
      </c>
    </row>
    <row r="194" spans="1:17">
      <c r="A194" s="47">
        <v>67.16</v>
      </c>
      <c r="B194" s="47">
        <v>67.930000000000007</v>
      </c>
      <c r="C194" s="47">
        <v>65.95</v>
      </c>
      <c r="D194" s="47">
        <v>66.209999999999994</v>
      </c>
      <c r="E194" s="47">
        <v>444818</v>
      </c>
      <c r="F194" s="47" t="s">
        <v>1387</v>
      </c>
      <c r="G194" s="25">
        <f t="shared" si="0"/>
        <v>1.4348285757438406E-2</v>
      </c>
    </row>
    <row r="195" spans="1:17">
      <c r="A195" s="47">
        <v>67.52</v>
      </c>
      <c r="B195" s="47">
        <v>68.69</v>
      </c>
      <c r="C195" s="47">
        <v>67.489999999999995</v>
      </c>
      <c r="D195" s="47">
        <v>68.515000000000001</v>
      </c>
      <c r="E195" s="47">
        <v>327310</v>
      </c>
      <c r="F195" s="47" t="s">
        <v>1386</v>
      </c>
      <c r="G195" s="25">
        <f t="shared" si="0"/>
        <v>-1.4522367364810718E-2</v>
      </c>
    </row>
    <row r="196" spans="1:17">
      <c r="A196" s="47">
        <v>68.61</v>
      </c>
      <c r="B196" s="47">
        <v>70.91</v>
      </c>
      <c r="C196" s="47">
        <v>68.41</v>
      </c>
      <c r="D196" s="47">
        <v>69.7</v>
      </c>
      <c r="E196" s="47">
        <v>466142</v>
      </c>
      <c r="F196" s="47" t="s">
        <v>1385</v>
      </c>
      <c r="G196" s="25">
        <f t="shared" si="0"/>
        <v>-1.5638450502152179E-2</v>
      </c>
    </row>
    <row r="197" spans="1:17">
      <c r="A197" s="47">
        <v>70.91</v>
      </c>
      <c r="B197" s="47">
        <v>71.47</v>
      </c>
      <c r="C197" s="47">
        <v>69.7</v>
      </c>
      <c r="D197" s="47">
        <v>69.7</v>
      </c>
      <c r="E197" s="47">
        <v>384615</v>
      </c>
      <c r="F197" s="47" t="s">
        <v>1384</v>
      </c>
      <c r="G197" s="25">
        <f t="shared" si="0"/>
        <v>1.7360114777618341E-2</v>
      </c>
      <c r="I197" s="26"/>
      <c r="J197" s="26" t="s">
        <v>25</v>
      </c>
      <c r="K197" s="27">
        <f>MIN(G182:G1437)</f>
        <v>-0.13396375098502755</v>
      </c>
    </row>
    <row r="198" spans="1:17">
      <c r="A198" s="47">
        <v>70.09</v>
      </c>
      <c r="B198" s="47">
        <v>70.849999999999994</v>
      </c>
      <c r="C198" s="47">
        <v>69.75</v>
      </c>
      <c r="D198" s="47">
        <v>70.45</v>
      </c>
      <c r="E198" s="47">
        <v>377084</v>
      </c>
      <c r="F198" s="47" t="s">
        <v>1383</v>
      </c>
      <c r="G198" s="25">
        <f t="shared" si="0"/>
        <v>-5.1100070972320832E-3</v>
      </c>
      <c r="I198" s="26"/>
      <c r="J198" s="26" t="s">
        <v>26</v>
      </c>
      <c r="K198" s="27">
        <f>MAX(G182:G1437)</f>
        <v>0.16687097762794978</v>
      </c>
    </row>
    <row r="199" spans="1:17">
      <c r="A199" s="47">
        <v>71.459999999999994</v>
      </c>
      <c r="B199" s="47">
        <v>72.5</v>
      </c>
      <c r="C199" s="47">
        <v>71.45</v>
      </c>
      <c r="D199" s="47">
        <v>71.89</v>
      </c>
      <c r="E199" s="47">
        <v>474058</v>
      </c>
      <c r="F199" s="47" t="s">
        <v>1382</v>
      </c>
      <c r="G199" s="25">
        <f t="shared" si="0"/>
        <v>-5.9813604117402441E-3</v>
      </c>
      <c r="I199" s="26"/>
      <c r="J199" s="26" t="s">
        <v>27</v>
      </c>
      <c r="K199" s="27">
        <f>AVERAGE(G182:G1437)</f>
        <v>5.011290313105555E-4</v>
      </c>
    </row>
    <row r="200" spans="1:17">
      <c r="A200" s="47">
        <v>71.739999999999995</v>
      </c>
      <c r="B200" s="47">
        <v>72.209999999999994</v>
      </c>
      <c r="C200" s="47">
        <v>70.599999999999994</v>
      </c>
      <c r="D200" s="47">
        <v>71.67</v>
      </c>
      <c r="E200" s="47">
        <v>326018</v>
      </c>
      <c r="F200" s="47" t="s">
        <v>1381</v>
      </c>
      <c r="G200" s="25">
        <f t="shared" si="0"/>
        <v>9.7669875819716978E-4</v>
      </c>
      <c r="I200" s="26"/>
      <c r="J200" s="26" t="s">
        <v>28</v>
      </c>
      <c r="K200" s="27">
        <f>MEDIAN(G182:G1437)</f>
        <v>4.7943235209513269E-5</v>
      </c>
    </row>
    <row r="201" spans="1:17" ht="15">
      <c r="A201" s="47">
        <v>72.180000000000007</v>
      </c>
      <c r="B201" s="47">
        <v>73.05</v>
      </c>
      <c r="C201" s="47">
        <v>71.704999999999998</v>
      </c>
      <c r="D201" s="47">
        <v>71.900000000000006</v>
      </c>
      <c r="E201" s="47">
        <v>455373</v>
      </c>
      <c r="F201" s="47" t="s">
        <v>1380</v>
      </c>
      <c r="G201" s="25">
        <f t="shared" si="0"/>
        <v>3.8942976356051151E-3</v>
      </c>
      <c r="I201" s="26"/>
      <c r="J201" s="26" t="s">
        <v>29</v>
      </c>
      <c r="K201" s="27">
        <f>_xlfn.STDEV.P(G182:G1437)</f>
        <v>2.452539806473579E-2</v>
      </c>
      <c r="M201" s="2"/>
    </row>
    <row r="202" spans="1:17" ht="15">
      <c r="A202" s="47">
        <v>72.02</v>
      </c>
      <c r="B202" s="47">
        <v>72.459999999999994</v>
      </c>
      <c r="C202" s="47">
        <v>70.504999999999995</v>
      </c>
      <c r="D202" s="47">
        <v>71.150000000000006</v>
      </c>
      <c r="E202" s="47">
        <v>574797</v>
      </c>
      <c r="F202" s="47" t="s">
        <v>1379</v>
      </c>
      <c r="G202" s="25">
        <f t="shared" si="0"/>
        <v>1.2227687983134006E-2</v>
      </c>
      <c r="I202" s="26"/>
      <c r="J202" s="28" t="s">
        <v>30</v>
      </c>
      <c r="K202" s="27">
        <f>3*K201</f>
        <v>7.357619419420737E-2</v>
      </c>
      <c r="L202" s="26"/>
      <c r="M202" s="2" t="s">
        <v>129</v>
      </c>
    </row>
    <row r="203" spans="1:17" ht="15">
      <c r="A203" s="47">
        <v>70.849999999999994</v>
      </c>
      <c r="B203" s="47">
        <v>71.454999999999998</v>
      </c>
      <c r="C203" s="47">
        <v>69.489999999999995</v>
      </c>
      <c r="D203" s="47">
        <v>70.06</v>
      </c>
      <c r="E203" s="47">
        <v>1080037</v>
      </c>
      <c r="F203" s="47" t="s">
        <v>1378</v>
      </c>
      <c r="G203" s="25">
        <f t="shared" si="0"/>
        <v>1.1276049100770624E-2</v>
      </c>
      <c r="I203" s="26"/>
      <c r="J203" s="28" t="s">
        <v>31</v>
      </c>
      <c r="K203" s="26">
        <v>0.87</v>
      </c>
      <c r="L203" s="26"/>
      <c r="M203" s="2" t="s">
        <v>32</v>
      </c>
    </row>
    <row r="204" spans="1:17">
      <c r="A204" s="47">
        <v>67.569999999999993</v>
      </c>
      <c r="B204" s="47">
        <v>69.5</v>
      </c>
      <c r="C204" s="47">
        <v>67.55</v>
      </c>
      <c r="D204" s="47">
        <v>68.930000000000007</v>
      </c>
      <c r="E204" s="47">
        <v>567979</v>
      </c>
      <c r="F204" s="47" t="s">
        <v>1377</v>
      </c>
      <c r="G204" s="25">
        <f t="shared" si="0"/>
        <v>-1.9730161032932125E-2</v>
      </c>
    </row>
    <row r="205" spans="1:17">
      <c r="A205" s="47">
        <v>68.75</v>
      </c>
      <c r="B205" s="47">
        <v>69.864999999999995</v>
      </c>
      <c r="C205" s="47">
        <v>67.650000000000006</v>
      </c>
      <c r="D205" s="47">
        <v>68.38</v>
      </c>
      <c r="E205" s="47">
        <v>865495</v>
      </c>
      <c r="F205" s="47" t="s">
        <v>1376</v>
      </c>
      <c r="G205" s="25">
        <f t="shared" si="0"/>
        <v>5.4109388710150697E-3</v>
      </c>
      <c r="I205" s="29" t="s">
        <v>33</v>
      </c>
      <c r="J205" s="30">
        <v>1255</v>
      </c>
    </row>
    <row r="206" spans="1:17" ht="15" thickBot="1">
      <c r="A206" s="47">
        <v>67.77</v>
      </c>
      <c r="B206" s="47">
        <v>69.59</v>
      </c>
      <c r="C206" s="47">
        <v>67.33</v>
      </c>
      <c r="D206" s="47">
        <v>68.17</v>
      </c>
      <c r="E206" s="47">
        <v>848571</v>
      </c>
      <c r="F206" s="47" t="s">
        <v>1375</v>
      </c>
      <c r="G206" s="25">
        <f t="shared" si="0"/>
        <v>-5.8676837318469843E-3</v>
      </c>
      <c r="I206" s="1" t="s">
        <v>34</v>
      </c>
      <c r="L206" s="1" t="s">
        <v>35</v>
      </c>
      <c r="P206" s="1" t="s">
        <v>36</v>
      </c>
    </row>
    <row r="207" spans="1:17" ht="15" customHeight="1">
      <c r="A207" s="47">
        <v>67.53</v>
      </c>
      <c r="B207" s="47">
        <v>69.48</v>
      </c>
      <c r="C207" s="47">
        <v>65.099999999999994</v>
      </c>
      <c r="D207" s="47">
        <v>65.41</v>
      </c>
      <c r="E207" s="47">
        <v>842952</v>
      </c>
      <c r="F207" s="47" t="s">
        <v>1374</v>
      </c>
      <c r="G207" s="25">
        <f t="shared" si="0"/>
        <v>3.2410946338480517E-2</v>
      </c>
      <c r="I207" s="86" t="s">
        <v>37</v>
      </c>
      <c r="J207" s="86" t="s">
        <v>38</v>
      </c>
      <c r="L207" s="31" t="s">
        <v>39</v>
      </c>
      <c r="M207" s="32" t="s">
        <v>40</v>
      </c>
      <c r="P207" s="31" t="s">
        <v>41</v>
      </c>
      <c r="Q207" s="32" t="s">
        <v>42</v>
      </c>
    </row>
    <row r="208" spans="1:17" ht="15" customHeight="1">
      <c r="A208" s="47">
        <v>66.25</v>
      </c>
      <c r="B208" s="47">
        <v>68.88</v>
      </c>
      <c r="C208" s="47">
        <v>66.045000000000002</v>
      </c>
      <c r="D208" s="47">
        <v>66.88</v>
      </c>
      <c r="E208" s="47">
        <v>1443989</v>
      </c>
      <c r="F208" s="47" t="s">
        <v>1373</v>
      </c>
      <c r="G208" s="25">
        <f t="shared" si="0"/>
        <v>-9.4198564593300782E-3</v>
      </c>
      <c r="I208" s="25">
        <v>-7.4999999999999997E-2</v>
      </c>
      <c r="J208">
        <v>1</v>
      </c>
      <c r="L208" s="25">
        <v>-7.7499999999999999E-2</v>
      </c>
      <c r="M208" s="1">
        <f t="shared" ref="M208:M239" si="1">_xlfn.NORM.DIST(L208,$K$199,$K$201,FALSE)</f>
        <v>0.10347385716023379</v>
      </c>
      <c r="O208" s="1" t="s">
        <v>120</v>
      </c>
      <c r="P208" s="25">
        <f>K199</f>
        <v>5.011290313105555E-4</v>
      </c>
      <c r="Q208" s="1">
        <v>0</v>
      </c>
    </row>
    <row r="209" spans="1:17" ht="15">
      <c r="A209" s="47">
        <v>67.41</v>
      </c>
      <c r="B209" s="47">
        <v>71.33</v>
      </c>
      <c r="C209" s="47">
        <v>64.099900000000005</v>
      </c>
      <c r="D209" s="47">
        <v>71</v>
      </c>
      <c r="E209" s="47">
        <v>2081124</v>
      </c>
      <c r="F209" s="47" t="s">
        <v>1372</v>
      </c>
      <c r="G209" s="25">
        <f t="shared" si="0"/>
        <v>-5.0563380281690162E-2</v>
      </c>
      <c r="I209" s="25">
        <v>-7.2499999999999995E-2</v>
      </c>
      <c r="J209">
        <v>1</v>
      </c>
      <c r="L209" s="25">
        <v>-7.4999999999999997E-2</v>
      </c>
      <c r="M209" s="1">
        <f t="shared" si="1"/>
        <v>0.1423545019001656</v>
      </c>
      <c r="P209" s="25">
        <f>K199</f>
        <v>5.011290313105555E-4</v>
      </c>
      <c r="Q209" s="1">
        <v>20</v>
      </c>
    </row>
    <row r="210" spans="1:17" ht="15">
      <c r="A210" s="47">
        <v>74.39</v>
      </c>
      <c r="B210" s="47">
        <v>76.88</v>
      </c>
      <c r="C210" s="47">
        <v>73.92</v>
      </c>
      <c r="D210" s="47">
        <v>75.930000000000007</v>
      </c>
      <c r="E210" s="47">
        <v>810906</v>
      </c>
      <c r="F210" s="47" t="s">
        <v>1371</v>
      </c>
      <c r="G210" s="25">
        <f t="shared" si="0"/>
        <v>-2.0281838535493257E-2</v>
      </c>
      <c r="I210" s="25">
        <v>-6.9999999999999993E-2</v>
      </c>
      <c r="J210">
        <v>1</v>
      </c>
      <c r="L210" s="25">
        <v>-7.2499999999999995E-2</v>
      </c>
      <c r="M210" s="1">
        <f t="shared" si="1"/>
        <v>0.19382023599326073</v>
      </c>
      <c r="O210" s="38" t="s">
        <v>121</v>
      </c>
      <c r="P210" s="48">
        <f>($K$201*-3)+$K$199</f>
        <v>-7.3075065162896816E-2</v>
      </c>
      <c r="Q210" s="1">
        <v>0</v>
      </c>
    </row>
    <row r="211" spans="1:17" ht="15">
      <c r="A211" s="47">
        <v>75.27</v>
      </c>
      <c r="B211" s="47">
        <v>75.5</v>
      </c>
      <c r="C211" s="47">
        <v>71.75</v>
      </c>
      <c r="D211" s="47">
        <v>71.75</v>
      </c>
      <c r="E211" s="47">
        <v>680409</v>
      </c>
      <c r="F211" s="47" t="s">
        <v>1370</v>
      </c>
      <c r="G211" s="25">
        <f t="shared" si="0"/>
        <v>4.9059233449477269E-2</v>
      </c>
      <c r="I211" s="25">
        <v>-6.7499999999999991E-2</v>
      </c>
      <c r="J211">
        <v>1</v>
      </c>
      <c r="L211" s="25">
        <v>-6.9999999999999993E-2</v>
      </c>
      <c r="M211" s="1">
        <f t="shared" si="1"/>
        <v>0.26116463901485254</v>
      </c>
      <c r="O211" s="39"/>
      <c r="P211" s="48">
        <f>($K$201*-3)+$K$199</f>
        <v>-7.3075065162896816E-2</v>
      </c>
      <c r="Q211" s="1">
        <v>2</v>
      </c>
    </row>
    <row r="212" spans="1:17" ht="15" customHeight="1">
      <c r="A212" s="47">
        <v>74.36</v>
      </c>
      <c r="B212" s="47">
        <v>75.69</v>
      </c>
      <c r="C212" s="47">
        <v>73.34</v>
      </c>
      <c r="D212" s="47">
        <v>73.77</v>
      </c>
      <c r="E212" s="47">
        <v>547788</v>
      </c>
      <c r="F212" s="47" t="s">
        <v>1369</v>
      </c>
      <c r="G212" s="25">
        <f t="shared" si="0"/>
        <v>7.997831096651753E-3</v>
      </c>
      <c r="I212" s="25">
        <v>-6.4999999999999988E-2</v>
      </c>
      <c r="J212">
        <v>4</v>
      </c>
      <c r="L212" s="25">
        <v>-6.7499999999999991E-2</v>
      </c>
      <c r="M212" s="1">
        <f t="shared" si="1"/>
        <v>0.3482707289004055</v>
      </c>
      <c r="O212" s="38" t="s">
        <v>122</v>
      </c>
      <c r="P212" s="48">
        <f>($K$201*-2)+$K$199</f>
        <v>-4.8549667098161026E-2</v>
      </c>
      <c r="Q212" s="1">
        <v>0</v>
      </c>
    </row>
    <row r="213" spans="1:17" ht="15">
      <c r="A213" s="47">
        <v>73.44</v>
      </c>
      <c r="B213" s="47">
        <v>74.5</v>
      </c>
      <c r="C213" s="47">
        <v>72.31</v>
      </c>
      <c r="D213" s="47">
        <v>73.64</v>
      </c>
      <c r="E213" s="47">
        <v>391770</v>
      </c>
      <c r="F213" s="47" t="s">
        <v>1368</v>
      </c>
      <c r="G213" s="25">
        <f t="shared" si="0"/>
        <v>-2.7159152634438355E-3</v>
      </c>
      <c r="I213" s="25">
        <v>-6.2499999999999986E-2</v>
      </c>
      <c r="J213">
        <v>2</v>
      </c>
      <c r="L213" s="25">
        <v>-6.4999999999999988E-2</v>
      </c>
      <c r="M213" s="1">
        <f t="shared" si="1"/>
        <v>0.4596284679987877</v>
      </c>
      <c r="O213" s="39"/>
      <c r="P213" s="48">
        <f>($K$201*-2)+$K$199</f>
        <v>-4.8549667098161026E-2</v>
      </c>
      <c r="Q213" s="1">
        <v>5</v>
      </c>
    </row>
    <row r="214" spans="1:17" ht="15">
      <c r="A214" s="47">
        <v>73.62</v>
      </c>
      <c r="B214" s="47">
        <v>73.62</v>
      </c>
      <c r="C214" s="47">
        <v>72.05</v>
      </c>
      <c r="D214" s="47">
        <v>72.45</v>
      </c>
      <c r="E214" s="47">
        <v>269470</v>
      </c>
      <c r="F214" s="47" t="s">
        <v>1367</v>
      </c>
      <c r="G214" s="25">
        <f t="shared" si="0"/>
        <v>1.6149068322981464E-2</v>
      </c>
      <c r="I214" s="25">
        <v>-5.9999999999999984E-2</v>
      </c>
      <c r="J214">
        <v>3</v>
      </c>
      <c r="L214" s="25">
        <v>-6.2499999999999986E-2</v>
      </c>
      <c r="M214" s="1">
        <f t="shared" si="1"/>
        <v>0.60032193045931392</v>
      </c>
      <c r="O214" s="40" t="s">
        <v>123</v>
      </c>
      <c r="P214" s="48">
        <f>($K$201*-1)+$K$199</f>
        <v>-2.4024269033425236E-2</v>
      </c>
      <c r="Q214" s="1">
        <v>0</v>
      </c>
    </row>
    <row r="215" spans="1:17" ht="15">
      <c r="A215" s="47">
        <v>72.64</v>
      </c>
      <c r="B215" s="47">
        <v>73.260000000000005</v>
      </c>
      <c r="C215" s="47">
        <v>69.569999999999993</v>
      </c>
      <c r="D215" s="47">
        <v>70.239999999999995</v>
      </c>
      <c r="E215" s="47">
        <v>364448</v>
      </c>
      <c r="F215" s="47" t="s">
        <v>1366</v>
      </c>
      <c r="G215" s="25">
        <f t="shared" si="0"/>
        <v>3.4168564920273425E-2</v>
      </c>
      <c r="I215" s="25">
        <v>-5.7499999999999982E-2</v>
      </c>
      <c r="J215">
        <v>4</v>
      </c>
      <c r="L215" s="25">
        <v>-5.9999999999999984E-2</v>
      </c>
      <c r="M215" s="1">
        <f t="shared" si="1"/>
        <v>0.77597698837479512</v>
      </c>
      <c r="P215" s="48">
        <f>($K$201*-1)+$K$199</f>
        <v>-2.4024269033425236E-2</v>
      </c>
      <c r="Q215" s="1">
        <v>12</v>
      </c>
    </row>
    <row r="216" spans="1:17" ht="15">
      <c r="A216" s="47">
        <v>69.95</v>
      </c>
      <c r="B216" s="47">
        <v>73.459999999999994</v>
      </c>
      <c r="C216" s="47">
        <v>69.849999999999994</v>
      </c>
      <c r="D216" s="47">
        <v>71.63</v>
      </c>
      <c r="E216" s="47">
        <v>512215</v>
      </c>
      <c r="F216" s="47" t="s">
        <v>1365</v>
      </c>
      <c r="G216" s="25">
        <f t="shared" si="0"/>
        <v>-2.3453860114477032E-2</v>
      </c>
      <c r="I216" s="25">
        <v>-5.4999999999999979E-2</v>
      </c>
      <c r="J216">
        <v>2</v>
      </c>
      <c r="L216" s="25">
        <v>-5.7499999999999982E-2</v>
      </c>
      <c r="M216" s="1">
        <f t="shared" si="1"/>
        <v>0.9926606816875666</v>
      </c>
      <c r="O216" s="1" t="s">
        <v>124</v>
      </c>
      <c r="P216" s="48">
        <f>($K$201*1)+$K$199</f>
        <v>2.5026527096046344E-2</v>
      </c>
      <c r="Q216" s="1">
        <v>0</v>
      </c>
    </row>
    <row r="217" spans="1:17" ht="15">
      <c r="A217" s="47">
        <v>68.819999999999993</v>
      </c>
      <c r="B217" s="47">
        <v>70.03</v>
      </c>
      <c r="C217" s="47">
        <v>67.39</v>
      </c>
      <c r="D217" s="47">
        <v>67.75</v>
      </c>
      <c r="E217" s="47">
        <v>662903</v>
      </c>
      <c r="F217" s="47" t="s">
        <v>1364</v>
      </c>
      <c r="G217" s="25">
        <f t="shared" si="0"/>
        <v>1.5793357933579166E-2</v>
      </c>
      <c r="I217" s="25">
        <v>-5.2499999999999977E-2</v>
      </c>
      <c r="J217">
        <v>3</v>
      </c>
      <c r="L217" s="25">
        <v>-5.4999999999999979E-2</v>
      </c>
      <c r="M217" s="1">
        <f t="shared" si="1"/>
        <v>1.2567246752955747</v>
      </c>
      <c r="P217" s="48">
        <f>($K$201*1)+$K$199</f>
        <v>2.5026527096046344E-2</v>
      </c>
      <c r="Q217" s="1">
        <v>12</v>
      </c>
    </row>
    <row r="218" spans="1:17" ht="15">
      <c r="A218" s="47">
        <v>65.92</v>
      </c>
      <c r="B218" s="47">
        <v>66.709999999999994</v>
      </c>
      <c r="C218" s="47">
        <v>65.281599999999997</v>
      </c>
      <c r="D218" s="47">
        <v>66.709999999999994</v>
      </c>
      <c r="E218" s="47">
        <v>343131</v>
      </c>
      <c r="F218" s="47" t="s">
        <v>1363</v>
      </c>
      <c r="G218" s="25">
        <f t="shared" si="0"/>
        <v>-1.1842302503372704E-2</v>
      </c>
      <c r="I218" s="25">
        <v>-4.9999999999999975E-2</v>
      </c>
      <c r="J218">
        <v>2</v>
      </c>
      <c r="L218" s="25">
        <v>-5.2499999999999977E-2</v>
      </c>
      <c r="M218" s="1">
        <f t="shared" si="1"/>
        <v>1.5745875339524968</v>
      </c>
      <c r="O218" s="41" t="s">
        <v>125</v>
      </c>
      <c r="P218" s="48">
        <f>($K$201*2)+$K$199</f>
        <v>4.9551925160782134E-2</v>
      </c>
      <c r="Q218" s="1">
        <v>0</v>
      </c>
    </row>
    <row r="219" spans="1:17" ht="15">
      <c r="A219" s="47">
        <v>67.63</v>
      </c>
      <c r="B219" s="47">
        <v>68.39</v>
      </c>
      <c r="C219" s="47">
        <v>67.180000000000007</v>
      </c>
      <c r="D219" s="47">
        <v>67.92</v>
      </c>
      <c r="E219" s="47">
        <v>345699</v>
      </c>
      <c r="F219" s="47" t="s">
        <v>1362</v>
      </c>
      <c r="G219" s="25">
        <f t="shared" si="0"/>
        <v>-4.2697290930507892E-3</v>
      </c>
      <c r="I219" s="25">
        <v>-4.7499999999999973E-2</v>
      </c>
      <c r="J219">
        <v>5</v>
      </c>
      <c r="L219" s="25">
        <v>-4.9999999999999975E-2</v>
      </c>
      <c r="M219" s="1">
        <f t="shared" si="1"/>
        <v>1.9524540399789434</v>
      </c>
      <c r="P219" s="48">
        <f>($K$201*2)+$K$199</f>
        <v>4.9551925160782134E-2</v>
      </c>
      <c r="Q219" s="1">
        <v>5</v>
      </c>
    </row>
    <row r="220" spans="1:17" ht="15">
      <c r="A220" s="47">
        <v>67.400000000000006</v>
      </c>
      <c r="B220" s="47">
        <v>69.144999999999996</v>
      </c>
      <c r="C220" s="47">
        <v>66.48</v>
      </c>
      <c r="D220" s="47">
        <v>68.22</v>
      </c>
      <c r="E220" s="47">
        <v>545491</v>
      </c>
      <c r="F220" s="47" t="s">
        <v>1361</v>
      </c>
      <c r="G220" s="25">
        <f t="shared" si="0"/>
        <v>-1.2019935502785017E-2</v>
      </c>
      <c r="I220" s="25">
        <v>-4.4999999999999971E-2</v>
      </c>
      <c r="J220">
        <v>4</v>
      </c>
      <c r="L220" s="25">
        <v>-4.7499999999999973E-2</v>
      </c>
      <c r="M220" s="1">
        <f t="shared" si="1"/>
        <v>2.3959744061454482</v>
      </c>
      <c r="O220" s="41" t="s">
        <v>126</v>
      </c>
      <c r="P220" s="48">
        <f>($K$201*3)+$K$199</f>
        <v>7.4077323225517924E-2</v>
      </c>
      <c r="Q220" s="1">
        <v>0</v>
      </c>
    </row>
    <row r="221" spans="1:17" ht="15">
      <c r="A221" s="47">
        <v>69.42</v>
      </c>
      <c r="B221" s="47">
        <v>70.45</v>
      </c>
      <c r="C221" s="47">
        <v>68.69</v>
      </c>
      <c r="D221" s="47">
        <v>68.69</v>
      </c>
      <c r="E221" s="47">
        <v>664780</v>
      </c>
      <c r="F221" s="47" t="s">
        <v>1360</v>
      </c>
      <c r="G221" s="25">
        <f t="shared" si="0"/>
        <v>1.0627456689474402E-2</v>
      </c>
      <c r="I221" s="25">
        <v>-4.2499999999999968E-2</v>
      </c>
      <c r="J221">
        <v>10</v>
      </c>
      <c r="L221" s="25">
        <v>-4.4999999999999971E-2</v>
      </c>
      <c r="M221" s="1">
        <f t="shared" si="1"/>
        <v>2.9098518215635978</v>
      </c>
      <c r="O221" s="41"/>
      <c r="P221" s="48">
        <f>($K$201*3)+$K$199</f>
        <v>7.4077323225517924E-2</v>
      </c>
      <c r="Q221" s="1">
        <v>2</v>
      </c>
    </row>
    <row r="222" spans="1:17" ht="15">
      <c r="A222" s="47">
        <v>68.48</v>
      </c>
      <c r="B222" s="47">
        <v>69.36</v>
      </c>
      <c r="C222" s="47">
        <v>66.768000000000001</v>
      </c>
      <c r="D222" s="47">
        <v>68</v>
      </c>
      <c r="E222" s="47">
        <v>834954</v>
      </c>
      <c r="F222" s="47" t="s">
        <v>1359</v>
      </c>
      <c r="G222" s="25">
        <f t="shared" si="0"/>
        <v>7.058823529411784E-3</v>
      </c>
      <c r="I222" s="25">
        <v>-3.9999999999999966E-2</v>
      </c>
      <c r="J222">
        <v>7</v>
      </c>
      <c r="L222" s="25">
        <v>-4.2499999999999968E-2</v>
      </c>
      <c r="M222" s="1">
        <f t="shared" si="1"/>
        <v>3.497412981041538</v>
      </c>
    </row>
    <row r="223" spans="1:17" ht="15">
      <c r="A223" s="47">
        <v>66.41</v>
      </c>
      <c r="B223" s="47">
        <v>66.430000000000007</v>
      </c>
      <c r="C223" s="47">
        <v>64.23</v>
      </c>
      <c r="D223" s="47">
        <v>65.94</v>
      </c>
      <c r="E223" s="47">
        <v>774942</v>
      </c>
      <c r="F223" s="47" t="s">
        <v>1358</v>
      </c>
      <c r="G223" s="25">
        <f t="shared" si="0"/>
        <v>7.1276918410676515E-3</v>
      </c>
      <c r="I223" s="25">
        <v>-3.7499999999999964E-2</v>
      </c>
      <c r="J223">
        <v>8</v>
      </c>
      <c r="L223" s="25">
        <v>-3.9999999999999966E-2</v>
      </c>
      <c r="M223" s="1">
        <f t="shared" si="1"/>
        <v>4.1601626025098009</v>
      </c>
    </row>
    <row r="224" spans="1:17" ht="15">
      <c r="A224" s="47">
        <v>66.59</v>
      </c>
      <c r="B224" s="47">
        <v>68.77</v>
      </c>
      <c r="C224" s="47">
        <v>65.510000000000005</v>
      </c>
      <c r="D224" s="47">
        <v>67.56</v>
      </c>
      <c r="E224" s="47">
        <v>649183</v>
      </c>
      <c r="F224" s="47" t="s">
        <v>1357</v>
      </c>
      <c r="G224" s="25">
        <f t="shared" si="0"/>
        <v>-1.4357608052101845E-2</v>
      </c>
      <c r="I224" s="25">
        <v>-3.4999999999999962E-2</v>
      </c>
      <c r="J224">
        <v>19</v>
      </c>
      <c r="L224" s="25">
        <v>-3.7499999999999964E-2</v>
      </c>
      <c r="M224" s="1">
        <f t="shared" si="1"/>
        <v>4.8973488156682441</v>
      </c>
    </row>
    <row r="225" spans="1:13" ht="15">
      <c r="A225" s="47">
        <v>69.91</v>
      </c>
      <c r="B225" s="47">
        <v>70.89</v>
      </c>
      <c r="C225" s="47">
        <v>61.5</v>
      </c>
      <c r="D225" s="47">
        <v>61.5</v>
      </c>
      <c r="E225" s="47">
        <v>1787522</v>
      </c>
      <c r="F225" s="47" t="s">
        <v>1356</v>
      </c>
      <c r="G225" s="25">
        <f t="shared" si="0"/>
        <v>0.13674796747967477</v>
      </c>
      <c r="I225" s="25">
        <v>-3.2499999999999959E-2</v>
      </c>
      <c r="J225">
        <v>13</v>
      </c>
      <c r="L225" s="25">
        <v>-3.4999999999999962E-2</v>
      </c>
      <c r="M225" s="1">
        <f t="shared" si="1"/>
        <v>5.705571005765254</v>
      </c>
    </row>
    <row r="226" spans="1:13" ht="15">
      <c r="A226" s="47">
        <v>61.91</v>
      </c>
      <c r="B226" s="47">
        <v>67.989999999999995</v>
      </c>
      <c r="C226" s="47">
        <v>60.5</v>
      </c>
      <c r="D226" s="47">
        <v>67.5</v>
      </c>
      <c r="E226" s="47">
        <v>1379876</v>
      </c>
      <c r="F226" s="47" t="s">
        <v>1355</v>
      </c>
      <c r="G226" s="25">
        <f t="shared" si="0"/>
        <v>-8.2814814814814897E-2</v>
      </c>
      <c r="I226" s="25">
        <v>-2.9999999999999961E-2</v>
      </c>
      <c r="J226">
        <v>15</v>
      </c>
      <c r="L226" s="25">
        <v>-3.2499999999999959E-2</v>
      </c>
      <c r="M226" s="1">
        <f t="shared" si="1"/>
        <v>6.5784645005877325</v>
      </c>
    </row>
    <row r="227" spans="1:13" ht="15">
      <c r="A227" s="47">
        <v>65.98</v>
      </c>
      <c r="B227" s="47">
        <v>69.27</v>
      </c>
      <c r="C227" s="47">
        <v>62.43</v>
      </c>
      <c r="D227" s="47">
        <v>65.27</v>
      </c>
      <c r="E227" s="47">
        <v>1871459</v>
      </c>
      <c r="F227" s="47" t="s">
        <v>1354</v>
      </c>
      <c r="G227" s="25">
        <f t="shared" si="0"/>
        <v>1.0877891833920739E-2</v>
      </c>
      <c r="I227" s="25">
        <v>-2.7499999999999962E-2</v>
      </c>
      <c r="J227">
        <v>21</v>
      </c>
      <c r="L227" s="25">
        <v>-2.9999999999999961E-2</v>
      </c>
      <c r="M227" s="1">
        <f t="shared" si="1"/>
        <v>7.5064967460384704</v>
      </c>
    </row>
    <row r="228" spans="1:13" ht="15">
      <c r="A228" s="47">
        <v>67.569999999999993</v>
      </c>
      <c r="B228" s="47">
        <v>68.924999999999997</v>
      </c>
      <c r="C228" s="47">
        <v>63.98</v>
      </c>
      <c r="D228" s="47">
        <v>67.02</v>
      </c>
      <c r="E228" s="47">
        <v>1269970</v>
      </c>
      <c r="F228" s="47" t="s">
        <v>1353</v>
      </c>
      <c r="G228" s="25">
        <f t="shared" si="0"/>
        <v>8.2065055207400928E-3</v>
      </c>
      <c r="I228" s="25">
        <v>-2.4999999999999963E-2</v>
      </c>
      <c r="J228">
        <v>19</v>
      </c>
      <c r="L228" s="25">
        <v>-2.7499999999999962E-2</v>
      </c>
      <c r="M228" s="1">
        <f t="shared" si="1"/>
        <v>8.476906837352006</v>
      </c>
    </row>
    <row r="229" spans="1:13" ht="15">
      <c r="A229" s="47">
        <v>69.25</v>
      </c>
      <c r="B229" s="47">
        <v>75.209999999999994</v>
      </c>
      <c r="C229" s="47">
        <v>69.23</v>
      </c>
      <c r="D229" s="47">
        <v>73.75</v>
      </c>
      <c r="E229" s="47">
        <v>1098596</v>
      </c>
      <c r="F229" s="47" t="s">
        <v>1352</v>
      </c>
      <c r="G229" s="25">
        <f t="shared" si="0"/>
        <v>-6.101694915254241E-2</v>
      </c>
      <c r="I229" s="25">
        <v>-2.2499999999999964E-2</v>
      </c>
      <c r="J229">
        <v>25</v>
      </c>
      <c r="L229" s="25">
        <v>-2.4999999999999963E-2</v>
      </c>
      <c r="M229" s="1">
        <f t="shared" si="1"/>
        <v>9.4738142207259113</v>
      </c>
    </row>
    <row r="230" spans="1:13" ht="15">
      <c r="A230" s="47">
        <v>77.12</v>
      </c>
      <c r="B230" s="47">
        <v>78.45</v>
      </c>
      <c r="C230" s="47">
        <v>74.314999999999998</v>
      </c>
      <c r="D230" s="47">
        <v>74.849999999999994</v>
      </c>
      <c r="E230" s="47">
        <v>2057019</v>
      </c>
      <c r="F230" s="47" t="s">
        <v>1351</v>
      </c>
      <c r="G230" s="25">
        <f t="shared" si="0"/>
        <v>3.0327321309285393E-2</v>
      </c>
      <c r="I230" s="25">
        <v>-1.9999999999999966E-2</v>
      </c>
      <c r="J230">
        <v>37</v>
      </c>
      <c r="L230" s="25">
        <v>-2.2499999999999964E-2</v>
      </c>
      <c r="M230" s="1">
        <f t="shared" si="1"/>
        <v>10.478513137344525</v>
      </c>
    </row>
    <row r="231" spans="1:13" ht="15">
      <c r="A231" s="47">
        <v>76.06</v>
      </c>
      <c r="B231" s="47">
        <v>77.39</v>
      </c>
      <c r="C231" s="47">
        <v>74.52</v>
      </c>
      <c r="D231" s="47">
        <v>75.91</v>
      </c>
      <c r="E231" s="47">
        <v>910728</v>
      </c>
      <c r="F231" s="47" t="s">
        <v>1350</v>
      </c>
      <c r="G231" s="25">
        <f t="shared" si="0"/>
        <v>1.9760242392308225E-3</v>
      </c>
      <c r="I231" s="25">
        <v>-1.7499999999999967E-2</v>
      </c>
      <c r="J231">
        <v>37</v>
      </c>
      <c r="L231" s="25">
        <v>-1.9999999999999966E-2</v>
      </c>
      <c r="M231" s="1">
        <f t="shared" si="1"/>
        <v>11.469957394187489</v>
      </c>
    </row>
    <row r="232" spans="1:13" ht="15">
      <c r="A232" s="47">
        <v>75.91</v>
      </c>
      <c r="B232" s="47">
        <v>78.277699999999996</v>
      </c>
      <c r="C232" s="47">
        <v>74.400000000000006</v>
      </c>
      <c r="D232" s="47">
        <v>77.39</v>
      </c>
      <c r="E232" s="47">
        <v>828910</v>
      </c>
      <c r="F232" s="47" t="s">
        <v>1349</v>
      </c>
      <c r="G232" s="25">
        <f t="shared" si="0"/>
        <v>-1.9123917818839709E-2</v>
      </c>
      <c r="I232" s="25">
        <v>-1.4999999999999966E-2</v>
      </c>
      <c r="J232">
        <v>37</v>
      </c>
      <c r="L232" s="25">
        <v>-1.7499999999999967E-2</v>
      </c>
      <c r="M232" s="1">
        <f t="shared" si="1"/>
        <v>12.425426120929682</v>
      </c>
    </row>
    <row r="233" spans="1:13" ht="15">
      <c r="A233" s="47">
        <v>78.73</v>
      </c>
      <c r="B233" s="47">
        <v>81.147999999999996</v>
      </c>
      <c r="C233" s="47">
        <v>77.52</v>
      </c>
      <c r="D233" s="47">
        <v>80.91</v>
      </c>
      <c r="E233" s="47">
        <v>649317</v>
      </c>
      <c r="F233" s="47" t="s">
        <v>1348</v>
      </c>
      <c r="G233" s="25">
        <f t="shared" si="0"/>
        <v>-2.6943517488567492E-2</v>
      </c>
      <c r="I233" s="25">
        <v>-1.2499999999999966E-2</v>
      </c>
      <c r="J233">
        <v>41</v>
      </c>
      <c r="L233" s="25">
        <v>-1.4999999999999966E-2</v>
      </c>
      <c r="M233" s="1">
        <f t="shared" si="1"/>
        <v>13.321346430465404</v>
      </c>
    </row>
    <row r="234" spans="1:13" ht="15">
      <c r="A234" s="47">
        <v>81.08</v>
      </c>
      <c r="B234" s="47">
        <v>84.08</v>
      </c>
      <c r="C234" s="47">
        <v>80.62</v>
      </c>
      <c r="D234" s="47">
        <v>83.15</v>
      </c>
      <c r="E234" s="47">
        <v>696477</v>
      </c>
      <c r="F234" s="47" t="s">
        <v>1347</v>
      </c>
      <c r="G234" s="25">
        <f t="shared" si="0"/>
        <v>-2.489476849067962E-2</v>
      </c>
      <c r="I234" s="25">
        <v>-9.9999999999999655E-3</v>
      </c>
      <c r="J234">
        <v>48</v>
      </c>
      <c r="L234" s="25">
        <v>-1.2499999999999966E-2</v>
      </c>
      <c r="M234" s="1">
        <f t="shared" si="1"/>
        <v>14.13423468165653</v>
      </c>
    </row>
    <row r="235" spans="1:13" ht="15">
      <c r="A235" s="47">
        <v>83.72</v>
      </c>
      <c r="B235" s="47">
        <v>86.92</v>
      </c>
      <c r="C235" s="47">
        <v>82.99</v>
      </c>
      <c r="D235" s="47">
        <v>86.92</v>
      </c>
      <c r="E235" s="47">
        <v>762602</v>
      </c>
      <c r="F235" s="47" t="s">
        <v>1346</v>
      </c>
      <c r="G235" s="25">
        <f t="shared" si="0"/>
        <v>-3.6815462494247608E-2</v>
      </c>
      <c r="I235" s="25">
        <v>-7.499999999999965E-3</v>
      </c>
      <c r="J235">
        <v>51</v>
      </c>
      <c r="L235" s="25">
        <v>-9.9999999999999655E-3</v>
      </c>
      <c r="M235" s="1">
        <f t="shared" si="1"/>
        <v>14.841705771001761</v>
      </c>
    </row>
    <row r="236" spans="1:13" ht="15">
      <c r="A236" s="47">
        <v>86.77</v>
      </c>
      <c r="B236" s="47">
        <v>87.96</v>
      </c>
      <c r="C236" s="47">
        <v>85.88</v>
      </c>
      <c r="D236" s="47">
        <v>87.25</v>
      </c>
      <c r="E236" s="47">
        <v>1573952</v>
      </c>
      <c r="F236" s="47" t="s">
        <v>1345</v>
      </c>
      <c r="G236" s="25">
        <f t="shared" si="0"/>
        <v>-5.5014326647564449E-3</v>
      </c>
      <c r="I236" s="25">
        <v>-4.9999999999999645E-3</v>
      </c>
      <c r="J236">
        <v>57</v>
      </c>
      <c r="L236" s="25">
        <v>-7.499999999999965E-3</v>
      </c>
      <c r="M236" s="1">
        <f t="shared" si="1"/>
        <v>15.423490904918919</v>
      </c>
    </row>
    <row r="237" spans="1:13" ht="15">
      <c r="A237" s="47">
        <v>87.18</v>
      </c>
      <c r="B237" s="47">
        <v>88.65</v>
      </c>
      <c r="C237" s="47">
        <v>86.85</v>
      </c>
      <c r="D237" s="47">
        <v>88.44</v>
      </c>
      <c r="E237" s="47">
        <v>484266</v>
      </c>
      <c r="F237" s="47" t="s">
        <v>1344</v>
      </c>
      <c r="G237" s="25">
        <f t="shared" si="0"/>
        <v>-1.4246947082767858E-2</v>
      </c>
      <c r="I237" s="25">
        <v>-2.4999999999999645E-3</v>
      </c>
      <c r="J237">
        <v>84</v>
      </c>
      <c r="L237" s="25">
        <v>-4.9999999999999645E-3</v>
      </c>
      <c r="M237" s="1">
        <f t="shared" si="1"/>
        <v>15.862399737395126</v>
      </c>
    </row>
    <row r="238" spans="1:13" ht="15">
      <c r="A238" s="47">
        <v>87.23</v>
      </c>
      <c r="B238" s="47">
        <v>88.04</v>
      </c>
      <c r="C238" s="47">
        <v>85.79</v>
      </c>
      <c r="D238" s="47">
        <v>86.82</v>
      </c>
      <c r="E238" s="47">
        <v>694608</v>
      </c>
      <c r="F238" s="47" t="s">
        <v>1343</v>
      </c>
      <c r="G238" s="25">
        <f t="shared" si="0"/>
        <v>4.7224141902788563E-3</v>
      </c>
      <c r="I238" s="25">
        <v>3.5561831257524545E-17</v>
      </c>
      <c r="J238">
        <v>62</v>
      </c>
      <c r="L238" s="25">
        <v>-2.4999999999999645E-3</v>
      </c>
      <c r="M238" s="1">
        <f t="shared" si="1"/>
        <v>16.145163323758091</v>
      </c>
    </row>
    <row r="239" spans="1:13" ht="15">
      <c r="A239" s="47">
        <v>88.16</v>
      </c>
      <c r="B239" s="47">
        <v>91</v>
      </c>
      <c r="C239" s="47">
        <v>87.66</v>
      </c>
      <c r="D239" s="47">
        <v>88.04</v>
      </c>
      <c r="E239" s="47">
        <v>646476</v>
      </c>
      <c r="F239" s="47" t="s">
        <v>1342</v>
      </c>
      <c r="G239" s="25">
        <f t="shared" si="0"/>
        <v>1.3630168105405183E-3</v>
      </c>
      <c r="I239" s="25">
        <v>2.5000000000000356E-3</v>
      </c>
      <c r="J239">
        <v>57</v>
      </c>
      <c r="L239" s="25">
        <v>3.5561831257524545E-17</v>
      </c>
      <c r="M239" s="1">
        <f t="shared" si="1"/>
        <v>16.263100269489151</v>
      </c>
    </row>
    <row r="240" spans="1:13" ht="15">
      <c r="A240" s="47">
        <v>89.32</v>
      </c>
      <c r="B240" s="47">
        <v>90.13</v>
      </c>
      <c r="C240" s="47">
        <v>87.65</v>
      </c>
      <c r="D240" s="47">
        <v>88.86</v>
      </c>
      <c r="E240" s="47">
        <v>306601</v>
      </c>
      <c r="F240" s="47" t="s">
        <v>1341</v>
      </c>
      <c r="G240" s="25">
        <f t="shared" si="0"/>
        <v>5.1766824217869267E-3</v>
      </c>
      <c r="I240" s="25">
        <v>5.0000000000000357E-3</v>
      </c>
      <c r="J240">
        <v>59</v>
      </c>
      <c r="L240" s="25">
        <v>2.5000000000000356E-3</v>
      </c>
      <c r="M240" s="1">
        <f t="shared" ref="M240:M270" si="2">_xlfn.NORM.DIST(L240,$K$199,$K$201,FALSE)</f>
        <v>16.212559423296703</v>
      </c>
    </row>
    <row r="241" spans="1:13" ht="15">
      <c r="A241" s="47">
        <v>87.59</v>
      </c>
      <c r="B241" s="47">
        <v>88.98</v>
      </c>
      <c r="C241" s="47">
        <v>86.724999999999994</v>
      </c>
      <c r="D241" s="47">
        <v>87.85</v>
      </c>
      <c r="E241" s="47">
        <v>519747</v>
      </c>
      <c r="F241" s="47" t="s">
        <v>1340</v>
      </c>
      <c r="G241" s="25">
        <f t="shared" si="0"/>
        <v>-2.959590210586116E-3</v>
      </c>
      <c r="I241" s="25">
        <v>7.5000000000000362E-3</v>
      </c>
      <c r="J241">
        <v>51</v>
      </c>
      <c r="L241" s="25">
        <v>5.0000000000000357E-3</v>
      </c>
      <c r="M241" s="1">
        <f t="shared" si="2"/>
        <v>15.995107619168248</v>
      </c>
    </row>
    <row r="242" spans="1:13" ht="15">
      <c r="A242" s="47">
        <v>88.57</v>
      </c>
      <c r="B242" s="47">
        <v>89.62</v>
      </c>
      <c r="C242" s="47">
        <v>86.47</v>
      </c>
      <c r="D242" s="47">
        <v>87.01</v>
      </c>
      <c r="E242" s="47">
        <v>433124</v>
      </c>
      <c r="F242" s="47" t="s">
        <v>1339</v>
      </c>
      <c r="G242" s="25">
        <f t="shared" si="0"/>
        <v>1.7928973681185845E-2</v>
      </c>
      <c r="I242" s="25">
        <v>1.0000000000000037E-2</v>
      </c>
      <c r="J242">
        <v>56</v>
      </c>
      <c r="L242" s="25">
        <v>7.5000000000000362E-3</v>
      </c>
      <c r="M242" s="1">
        <f t="shared" si="2"/>
        <v>15.61744899864579</v>
      </c>
    </row>
    <row r="243" spans="1:13" ht="15">
      <c r="A243" s="47">
        <v>87.54</v>
      </c>
      <c r="B243" s="47">
        <v>89.15</v>
      </c>
      <c r="C243" s="47">
        <v>86.09</v>
      </c>
      <c r="D243" s="47">
        <v>86.09</v>
      </c>
      <c r="E243" s="47">
        <v>406743</v>
      </c>
      <c r="F243" s="47" t="s">
        <v>1338</v>
      </c>
      <c r="G243" s="25">
        <f t="shared" si="0"/>
        <v>1.6842838889534306E-2</v>
      </c>
      <c r="I243" s="25">
        <v>1.2500000000000037E-2</v>
      </c>
      <c r="J243">
        <v>60</v>
      </c>
      <c r="L243" s="25">
        <v>1.0000000000000037E-2</v>
      </c>
      <c r="M243" s="1">
        <f t="shared" si="2"/>
        <v>15.091081709171096</v>
      </c>
    </row>
    <row r="244" spans="1:13" ht="15">
      <c r="A244" s="47">
        <v>85.06</v>
      </c>
      <c r="B244" s="47">
        <v>87.05</v>
      </c>
      <c r="C244" s="47">
        <v>84.77</v>
      </c>
      <c r="D244" s="47">
        <v>86.61</v>
      </c>
      <c r="E244" s="47">
        <v>476471</v>
      </c>
      <c r="F244" s="47" t="s">
        <v>1337</v>
      </c>
      <c r="G244" s="25">
        <f t="shared" si="0"/>
        <v>-1.7896316822537783E-2</v>
      </c>
      <c r="I244" s="25">
        <v>1.5000000000000038E-2</v>
      </c>
      <c r="J244">
        <v>46</v>
      </c>
      <c r="L244" s="25">
        <v>1.2500000000000037E-2</v>
      </c>
      <c r="M244" s="1">
        <f t="shared" si="2"/>
        <v>14.431716505451883</v>
      </c>
    </row>
    <row r="245" spans="1:13" ht="15">
      <c r="A245" s="47">
        <v>86.73</v>
      </c>
      <c r="B245" s="47">
        <v>88</v>
      </c>
      <c r="C245" s="47">
        <v>84.94</v>
      </c>
      <c r="D245" s="47">
        <v>86</v>
      </c>
      <c r="E245" s="47">
        <v>627746</v>
      </c>
      <c r="F245" s="47" t="s">
        <v>1336</v>
      </c>
      <c r="G245" s="25">
        <f t="shared" si="0"/>
        <v>8.4883720930233331E-3</v>
      </c>
      <c r="I245" s="25">
        <v>1.7500000000000036E-2</v>
      </c>
      <c r="J245">
        <v>37</v>
      </c>
      <c r="L245" s="25">
        <v>1.5000000000000038E-2</v>
      </c>
      <c r="M245" s="1">
        <f t="shared" si="2"/>
        <v>13.658498266649302</v>
      </c>
    </row>
    <row r="246" spans="1:13" ht="15">
      <c r="A246" s="47">
        <v>84.89</v>
      </c>
      <c r="B246" s="47">
        <v>86.655000000000001</v>
      </c>
      <c r="C246" s="47">
        <v>84.16</v>
      </c>
      <c r="D246" s="47">
        <v>85.39</v>
      </c>
      <c r="E246" s="47">
        <v>474446</v>
      </c>
      <c r="F246" s="47" t="s">
        <v>1335</v>
      </c>
      <c r="G246" s="25">
        <f t="shared" si="0"/>
        <v>-5.8554865909357101E-3</v>
      </c>
      <c r="I246" s="25">
        <v>2.0000000000000035E-2</v>
      </c>
      <c r="J246">
        <v>41</v>
      </c>
      <c r="L246" s="25">
        <v>1.7500000000000036E-2</v>
      </c>
      <c r="M246" s="1">
        <f t="shared" si="2"/>
        <v>12.793084221375533</v>
      </c>
    </row>
    <row r="247" spans="1:13" ht="15">
      <c r="A247" s="47">
        <v>85.11</v>
      </c>
      <c r="B247" s="47">
        <v>85.99</v>
      </c>
      <c r="C247" s="47">
        <v>83.34</v>
      </c>
      <c r="D247" s="47">
        <v>84.36</v>
      </c>
      <c r="E247" s="47">
        <v>642023</v>
      </c>
      <c r="F247" s="47" t="s">
        <v>1334</v>
      </c>
      <c r="G247" s="25">
        <f t="shared" ref="G247:G310" si="3">A247/D247-1</f>
        <v>8.8904694167852849E-3</v>
      </c>
      <c r="I247" s="25">
        <v>2.2500000000000034E-2</v>
      </c>
      <c r="J247">
        <v>33</v>
      </c>
      <c r="L247" s="25">
        <v>2.0000000000000035E-2</v>
      </c>
      <c r="M247" s="1">
        <f t="shared" si="2"/>
        <v>11.858640691623318</v>
      </c>
    </row>
    <row r="248" spans="1:13" ht="15">
      <c r="A248" s="47">
        <v>85.87</v>
      </c>
      <c r="B248" s="47">
        <v>87.99</v>
      </c>
      <c r="C248" s="47">
        <v>83.47</v>
      </c>
      <c r="D248" s="47">
        <v>86.07</v>
      </c>
      <c r="E248" s="47">
        <v>988656</v>
      </c>
      <c r="F248" s="47" t="s">
        <v>1333</v>
      </c>
      <c r="G248" s="25">
        <f t="shared" si="3"/>
        <v>-2.3236900197511901E-3</v>
      </c>
      <c r="I248" s="25">
        <v>2.5000000000000033E-2</v>
      </c>
      <c r="J248">
        <v>29</v>
      </c>
      <c r="L248" s="25">
        <v>2.2500000000000034E-2</v>
      </c>
      <c r="M248" s="1">
        <f t="shared" si="2"/>
        <v>10.878822885211198</v>
      </c>
    </row>
    <row r="249" spans="1:13" ht="15">
      <c r="A249" s="47">
        <v>86.76</v>
      </c>
      <c r="B249" s="47">
        <v>89.484999999999999</v>
      </c>
      <c r="C249" s="47">
        <v>86.69</v>
      </c>
      <c r="D249" s="47">
        <v>88.26</v>
      </c>
      <c r="E249" s="47">
        <v>603041</v>
      </c>
      <c r="F249" s="47" t="s">
        <v>1332</v>
      </c>
      <c r="G249" s="25">
        <f t="shared" si="3"/>
        <v>-1.6995241332426914E-2</v>
      </c>
      <c r="I249" s="25">
        <v>2.7500000000000031E-2</v>
      </c>
      <c r="J249">
        <v>21</v>
      </c>
      <c r="L249" s="25">
        <v>2.5000000000000033E-2</v>
      </c>
      <c r="M249" s="1">
        <f t="shared" si="2"/>
        <v>9.876799696027124</v>
      </c>
    </row>
    <row r="250" spans="1:13" ht="15">
      <c r="A250" s="47">
        <v>89.31</v>
      </c>
      <c r="B250" s="47">
        <v>89.55</v>
      </c>
      <c r="C250" s="47">
        <v>86.38</v>
      </c>
      <c r="D250" s="47">
        <v>87.35</v>
      </c>
      <c r="E250" s="47">
        <v>675305</v>
      </c>
      <c r="F250" s="47" t="s">
        <v>1331</v>
      </c>
      <c r="G250" s="25">
        <f t="shared" si="3"/>
        <v>2.2438465941614361E-2</v>
      </c>
      <c r="I250" s="25">
        <v>3.000000000000003E-2</v>
      </c>
      <c r="J250">
        <v>20</v>
      </c>
      <c r="L250" s="25">
        <v>2.7500000000000031E-2</v>
      </c>
      <c r="M250" s="1">
        <f t="shared" si="2"/>
        <v>8.8743781487879279</v>
      </c>
    </row>
    <row r="251" spans="1:13" ht="15">
      <c r="A251" s="47">
        <v>87.5</v>
      </c>
      <c r="B251" s="47">
        <v>88.33</v>
      </c>
      <c r="C251" s="47">
        <v>85.19</v>
      </c>
      <c r="D251" s="47">
        <v>85.44</v>
      </c>
      <c r="E251" s="47">
        <v>698392</v>
      </c>
      <c r="F251" s="47" t="s">
        <v>1330</v>
      </c>
      <c r="G251" s="25">
        <f t="shared" si="3"/>
        <v>2.411048689138573E-2</v>
      </c>
      <c r="I251" s="25">
        <v>3.2500000000000029E-2</v>
      </c>
      <c r="J251">
        <v>30</v>
      </c>
      <c r="L251" s="25">
        <v>3.000000000000003E-2</v>
      </c>
      <c r="M251" s="1">
        <f t="shared" si="2"/>
        <v>7.8912710225364808</v>
      </c>
    </row>
    <row r="252" spans="1:13" ht="15">
      <c r="A252" s="47">
        <v>86.16</v>
      </c>
      <c r="B252" s="47">
        <v>89.28</v>
      </c>
      <c r="C252" s="47">
        <v>85.94</v>
      </c>
      <c r="D252" s="47">
        <v>87.85</v>
      </c>
      <c r="E252" s="47">
        <v>653110</v>
      </c>
      <c r="F252" s="47" t="s">
        <v>1329</v>
      </c>
      <c r="G252" s="25">
        <f t="shared" si="3"/>
        <v>-1.923733636881042E-2</v>
      </c>
      <c r="I252" s="25">
        <v>3.5000000000000031E-2</v>
      </c>
      <c r="J252">
        <v>12</v>
      </c>
      <c r="L252" s="25">
        <v>3.2500000000000029E-2</v>
      </c>
      <c r="M252" s="1">
        <f t="shared" si="2"/>
        <v>6.9445375781509879</v>
      </c>
    </row>
    <row r="253" spans="1:13" ht="15">
      <c r="A253" s="47">
        <v>87.52</v>
      </c>
      <c r="B253" s="47">
        <v>87.65</v>
      </c>
      <c r="C253" s="47">
        <v>85.75</v>
      </c>
      <c r="D253" s="47">
        <v>87.12</v>
      </c>
      <c r="E253" s="47">
        <v>1166820</v>
      </c>
      <c r="F253" s="47" t="s">
        <v>1328</v>
      </c>
      <c r="G253" s="25">
        <f t="shared" si="3"/>
        <v>4.5913682277318735E-3</v>
      </c>
      <c r="I253" s="25">
        <v>3.7500000000000033E-2</v>
      </c>
      <c r="J253">
        <v>9</v>
      </c>
      <c r="L253" s="25">
        <v>3.5000000000000031E-2</v>
      </c>
      <c r="M253" s="1">
        <f t="shared" si="2"/>
        <v>6.048212614009441</v>
      </c>
    </row>
    <row r="254" spans="1:13" ht="15">
      <c r="A254" s="47">
        <v>87.44</v>
      </c>
      <c r="B254" s="47">
        <v>89.465599999999995</v>
      </c>
      <c r="C254" s="47">
        <v>87.03</v>
      </c>
      <c r="D254" s="47">
        <v>89.2</v>
      </c>
      <c r="E254" s="47">
        <v>842474</v>
      </c>
      <c r="F254" s="47" t="s">
        <v>1327</v>
      </c>
      <c r="G254" s="25">
        <f t="shared" si="3"/>
        <v>-1.9730941704035887E-2</v>
      </c>
      <c r="I254" s="25">
        <v>4.0000000000000036E-2</v>
      </c>
      <c r="J254">
        <v>16</v>
      </c>
      <c r="L254" s="25">
        <v>3.7500000000000033E-2</v>
      </c>
      <c r="M254" s="1">
        <f t="shared" si="2"/>
        <v>5.2131246719908191</v>
      </c>
    </row>
    <row r="255" spans="1:13" ht="15">
      <c r="A255" s="47">
        <v>89.32</v>
      </c>
      <c r="B255" s="47">
        <v>90.41</v>
      </c>
      <c r="C255" s="47">
        <v>84.56</v>
      </c>
      <c r="D255" s="47">
        <v>86</v>
      </c>
      <c r="E255" s="47">
        <v>1450009</v>
      </c>
      <c r="F255" s="47" t="s">
        <v>1326</v>
      </c>
      <c r="G255" s="25">
        <f t="shared" si="3"/>
        <v>3.860465116279066E-2</v>
      </c>
      <c r="I255" s="25">
        <v>4.2500000000000038E-2</v>
      </c>
      <c r="J255">
        <v>6</v>
      </c>
      <c r="L255" s="25">
        <v>4.0000000000000036E-2</v>
      </c>
      <c r="M255" s="1">
        <f t="shared" si="2"/>
        <v>4.4468913355325057</v>
      </c>
    </row>
    <row r="256" spans="1:13" ht="15">
      <c r="A256" s="47">
        <v>83.49</v>
      </c>
      <c r="B256" s="47">
        <v>85.14</v>
      </c>
      <c r="C256" s="47">
        <v>83.31</v>
      </c>
      <c r="D256" s="47">
        <v>83.9</v>
      </c>
      <c r="E256" s="47">
        <v>763520</v>
      </c>
      <c r="F256" s="47" t="s">
        <v>1325</v>
      </c>
      <c r="G256" s="25">
        <f t="shared" si="3"/>
        <v>-4.8867699642433093E-3</v>
      </c>
      <c r="I256" s="25">
        <v>4.500000000000004E-2</v>
      </c>
      <c r="J256">
        <v>3</v>
      </c>
      <c r="L256" s="25">
        <v>4.2500000000000038E-2</v>
      </c>
      <c r="M256" s="1">
        <f t="shared" si="2"/>
        <v>3.7540691439554337</v>
      </c>
    </row>
    <row r="257" spans="1:13" ht="15">
      <c r="A257" s="47">
        <v>84.01</v>
      </c>
      <c r="B257" s="47">
        <v>85.224999999999994</v>
      </c>
      <c r="C257" s="47">
        <v>82.01</v>
      </c>
      <c r="D257" s="47">
        <v>84.68</v>
      </c>
      <c r="E257" s="47">
        <v>617921</v>
      </c>
      <c r="F257" s="47" t="s">
        <v>1324</v>
      </c>
      <c r="G257" s="25">
        <f t="shared" si="3"/>
        <v>-7.9121398205007631E-3</v>
      </c>
      <c r="I257" s="25">
        <v>4.7500000000000042E-2</v>
      </c>
      <c r="J257">
        <v>10</v>
      </c>
      <c r="L257" s="25">
        <v>4.500000000000004E-2</v>
      </c>
      <c r="M257" s="1">
        <f t="shared" si="2"/>
        <v>3.1364282860710526</v>
      </c>
    </row>
    <row r="258" spans="1:13" ht="15">
      <c r="A258" s="47">
        <v>84.43</v>
      </c>
      <c r="B258" s="47">
        <v>87.48</v>
      </c>
      <c r="C258" s="47">
        <v>84.21</v>
      </c>
      <c r="D258" s="47">
        <v>87.305000000000007</v>
      </c>
      <c r="E258" s="47">
        <v>447674</v>
      </c>
      <c r="F258" s="47" t="s">
        <v>1323</v>
      </c>
      <c r="G258" s="25">
        <f t="shared" si="3"/>
        <v>-3.2930530897428589E-2</v>
      </c>
      <c r="I258" s="25">
        <v>5.0000000000000044E-2</v>
      </c>
      <c r="J258">
        <v>4</v>
      </c>
      <c r="L258" s="25">
        <v>4.7500000000000042E-2</v>
      </c>
      <c r="M258" s="1">
        <f t="shared" si="2"/>
        <v>2.5933181571252848</v>
      </c>
    </row>
    <row r="259" spans="1:13" ht="15">
      <c r="A259" s="47">
        <v>86.55</v>
      </c>
      <c r="B259" s="47">
        <v>88.33</v>
      </c>
      <c r="C259" s="47">
        <v>85.39</v>
      </c>
      <c r="D259" s="47">
        <v>87.37</v>
      </c>
      <c r="E259" s="47">
        <v>603517</v>
      </c>
      <c r="F259" s="47" t="s">
        <v>1322</v>
      </c>
      <c r="G259" s="25">
        <f t="shared" si="3"/>
        <v>-9.3853725535081312E-3</v>
      </c>
      <c r="I259" s="25">
        <v>5.2500000000000047E-2</v>
      </c>
      <c r="J259">
        <v>2</v>
      </c>
      <c r="L259" s="25">
        <v>5.0000000000000044E-2</v>
      </c>
      <c r="M259" s="1">
        <f t="shared" si="2"/>
        <v>2.1220889499605464</v>
      </c>
    </row>
    <row r="260" spans="1:13" ht="15">
      <c r="A260" s="47">
        <v>87.09</v>
      </c>
      <c r="B260" s="47">
        <v>89.56</v>
      </c>
      <c r="C260" s="47">
        <v>86.55</v>
      </c>
      <c r="D260" s="47">
        <v>89.03</v>
      </c>
      <c r="E260" s="47">
        <v>594202</v>
      </c>
      <c r="F260" s="47" t="s">
        <v>1321</v>
      </c>
      <c r="G260" s="25">
        <f t="shared" si="3"/>
        <v>-2.1790407727732219E-2</v>
      </c>
      <c r="I260" s="25">
        <v>5.5000000000000049E-2</v>
      </c>
      <c r="J260">
        <v>3</v>
      </c>
      <c r="L260" s="25">
        <v>5.2500000000000047E-2</v>
      </c>
      <c r="M260" s="1">
        <f t="shared" si="2"/>
        <v>1.7185363055315608</v>
      </c>
    </row>
    <row r="261" spans="1:13" ht="15">
      <c r="A261" s="47">
        <v>89.78</v>
      </c>
      <c r="B261" s="47">
        <v>90.77</v>
      </c>
      <c r="C261" s="47">
        <v>88.4024</v>
      </c>
      <c r="D261" s="47">
        <v>89.02</v>
      </c>
      <c r="E261" s="47">
        <v>719355</v>
      </c>
      <c r="F261" s="47" t="s">
        <v>1320</v>
      </c>
      <c r="G261" s="25">
        <f t="shared" si="3"/>
        <v>8.5374073241968329E-3</v>
      </c>
      <c r="I261" s="25">
        <v>5.7500000000000051E-2</v>
      </c>
      <c r="J261">
        <v>3</v>
      </c>
      <c r="L261" s="25">
        <v>5.5000000000000049E-2</v>
      </c>
      <c r="M261" s="1">
        <f t="shared" si="2"/>
        <v>1.3773400728422334</v>
      </c>
    </row>
    <row r="262" spans="1:13" ht="15">
      <c r="A262" s="47">
        <v>89.08</v>
      </c>
      <c r="B262" s="47">
        <v>92.46</v>
      </c>
      <c r="C262" s="47">
        <v>88.9</v>
      </c>
      <c r="D262" s="47">
        <v>92.11</v>
      </c>
      <c r="E262" s="47">
        <v>368603</v>
      </c>
      <c r="F262" s="47" t="s">
        <v>1319</v>
      </c>
      <c r="G262" s="25">
        <f t="shared" si="3"/>
        <v>-3.2895451091086714E-2</v>
      </c>
      <c r="I262" s="25">
        <v>6.0000000000000053E-2</v>
      </c>
      <c r="J262">
        <v>3</v>
      </c>
      <c r="L262" s="25">
        <v>5.7500000000000051E-2</v>
      </c>
      <c r="M262" s="1">
        <f t="shared" si="2"/>
        <v>1.0924737217424136</v>
      </c>
    </row>
    <row r="263" spans="1:13" ht="15">
      <c r="A263" s="47">
        <v>91.81</v>
      </c>
      <c r="B263" s="47">
        <v>92</v>
      </c>
      <c r="C263" s="47">
        <v>90.2</v>
      </c>
      <c r="D263" s="47">
        <v>91.99</v>
      </c>
      <c r="E263" s="47">
        <v>727735</v>
      </c>
      <c r="F263" s="47" t="s">
        <v>1318</v>
      </c>
      <c r="G263" s="25">
        <f t="shared" si="3"/>
        <v>-1.9567344276550935E-3</v>
      </c>
      <c r="I263" s="25">
        <v>6.2500000000000056E-2</v>
      </c>
      <c r="J263">
        <v>2</v>
      </c>
      <c r="L263" s="25">
        <v>6.0000000000000053E-2</v>
      </c>
      <c r="M263" s="1">
        <f t="shared" si="2"/>
        <v>0.85756719567534845</v>
      </c>
    </row>
    <row r="264" spans="1:13" ht="15">
      <c r="A264" s="47">
        <v>91.12</v>
      </c>
      <c r="B264" s="47">
        <v>92.75</v>
      </c>
      <c r="C264" s="47">
        <v>90.24</v>
      </c>
      <c r="D264" s="47">
        <v>92.01</v>
      </c>
      <c r="E264" s="47">
        <v>833247</v>
      </c>
      <c r="F264" s="47" t="s">
        <v>1317</v>
      </c>
      <c r="G264" s="25">
        <f t="shared" si="3"/>
        <v>-9.6728616454733185E-3</v>
      </c>
      <c r="I264" s="25">
        <v>6.5000000000000058E-2</v>
      </c>
      <c r="J264">
        <v>2</v>
      </c>
      <c r="L264" s="25">
        <v>6.2500000000000056E-2</v>
      </c>
      <c r="M264" s="1">
        <f t="shared" si="2"/>
        <v>0.66621232728676205</v>
      </c>
    </row>
    <row r="265" spans="1:13" ht="15">
      <c r="A265" s="47">
        <v>94.35</v>
      </c>
      <c r="B265" s="47">
        <v>96.75</v>
      </c>
      <c r="C265" s="47">
        <v>92.95</v>
      </c>
      <c r="D265" s="47">
        <v>95.93</v>
      </c>
      <c r="E265" s="47">
        <v>646268</v>
      </c>
      <c r="F265" s="47" t="s">
        <v>1316</v>
      </c>
      <c r="G265" s="25">
        <f t="shared" si="3"/>
        <v>-1.6470342958407325E-2</v>
      </c>
      <c r="I265" s="25">
        <v>6.750000000000006E-2</v>
      </c>
      <c r="J265">
        <v>2</v>
      </c>
      <c r="L265" s="25">
        <v>6.5000000000000058E-2</v>
      </c>
      <c r="M265" s="1">
        <f t="shared" si="2"/>
        <v>0.51220582537751869</v>
      </c>
    </row>
    <row r="266" spans="1:13" ht="15">
      <c r="A266" s="47">
        <v>96.85</v>
      </c>
      <c r="B266" s="47">
        <v>100.59</v>
      </c>
      <c r="C266" s="47">
        <v>96.41</v>
      </c>
      <c r="D266" s="47">
        <v>99.83</v>
      </c>
      <c r="E266" s="47">
        <v>449331</v>
      </c>
      <c r="F266" s="47" t="s">
        <v>1315</v>
      </c>
      <c r="G266" s="25">
        <f t="shared" si="3"/>
        <v>-2.9850746268656803E-2</v>
      </c>
      <c r="I266" s="25">
        <v>7.0000000000000062E-2</v>
      </c>
      <c r="J266">
        <v>1</v>
      </c>
      <c r="L266" s="25">
        <v>6.750000000000006E-2</v>
      </c>
      <c r="M266" s="1">
        <f t="shared" si="2"/>
        <v>0.38972988270285486</v>
      </c>
    </row>
    <row r="267" spans="1:13" ht="15">
      <c r="A267" s="47">
        <v>98.92</v>
      </c>
      <c r="B267" s="47">
        <v>101.15</v>
      </c>
      <c r="C267" s="47">
        <v>98.06</v>
      </c>
      <c r="D267" s="47">
        <v>100.68</v>
      </c>
      <c r="E267" s="47">
        <v>325083</v>
      </c>
      <c r="F267" s="47" t="s">
        <v>1314</v>
      </c>
      <c r="G267" s="25">
        <f t="shared" si="3"/>
        <v>-1.7481128327373918E-2</v>
      </c>
      <c r="I267" s="25">
        <v>7.2500000000000064E-2</v>
      </c>
      <c r="J267">
        <v>1</v>
      </c>
      <c r="L267" s="25">
        <v>7.0000000000000062E-2</v>
      </c>
      <c r="M267" s="1">
        <f t="shared" si="2"/>
        <v>0.29347441421783177</v>
      </c>
    </row>
    <row r="268" spans="1:13" ht="15">
      <c r="A268" s="47">
        <v>100.14</v>
      </c>
      <c r="B268" s="47">
        <v>103.5</v>
      </c>
      <c r="C268" s="47">
        <v>99.394999999999996</v>
      </c>
      <c r="D268" s="47">
        <v>103.23</v>
      </c>
      <c r="E268" s="47">
        <v>377596</v>
      </c>
      <c r="F268" s="47" t="s">
        <v>1313</v>
      </c>
      <c r="G268" s="25">
        <f t="shared" si="3"/>
        <v>-2.9933158965417039E-2</v>
      </c>
      <c r="I268" s="25">
        <v>7.5000000000000067E-2</v>
      </c>
      <c r="J268">
        <v>1</v>
      </c>
      <c r="L268" s="25">
        <v>7.2500000000000064E-2</v>
      </c>
      <c r="M268" s="1">
        <f t="shared" si="2"/>
        <v>0.21870772667086108</v>
      </c>
    </row>
    <row r="269" spans="1:13" ht="15.75" thickBot="1">
      <c r="A269" s="47">
        <v>103.18</v>
      </c>
      <c r="B269" s="47">
        <v>103.37</v>
      </c>
      <c r="C269" s="47">
        <v>99.89</v>
      </c>
      <c r="D269" s="47">
        <v>100.97</v>
      </c>
      <c r="E269" s="47">
        <v>588540</v>
      </c>
      <c r="F269" s="47" t="s">
        <v>1312</v>
      </c>
      <c r="G269" s="25">
        <f t="shared" si="3"/>
        <v>2.188768941269692E-2</v>
      </c>
      <c r="I269" s="85" t="s">
        <v>1754</v>
      </c>
      <c r="J269" s="85">
        <v>11</v>
      </c>
      <c r="L269" s="25">
        <v>7.5000000000000067E-2</v>
      </c>
      <c r="M269" s="1">
        <f t="shared" si="2"/>
        <v>0.16130408005808194</v>
      </c>
    </row>
    <row r="270" spans="1:13">
      <c r="A270" s="47">
        <v>100.55</v>
      </c>
      <c r="B270" s="47">
        <v>101.04</v>
      </c>
      <c r="C270" s="47">
        <v>96.67</v>
      </c>
      <c r="D270" s="47">
        <v>98.22</v>
      </c>
      <c r="E270" s="47">
        <v>588106</v>
      </c>
      <c r="F270" s="47" t="s">
        <v>1311</v>
      </c>
      <c r="G270" s="25">
        <f t="shared" si="3"/>
        <v>2.3722256159641519E-2</v>
      </c>
      <c r="L270" s="25">
        <v>7.7499999999999999E-2</v>
      </c>
      <c r="M270" s="1">
        <f t="shared" si="2"/>
        <v>0.1177372596250125</v>
      </c>
    </row>
    <row r="271" spans="1:13">
      <c r="A271" s="47">
        <v>97.29</v>
      </c>
      <c r="B271" s="47">
        <v>98.54</v>
      </c>
      <c r="C271" s="47">
        <v>94.34</v>
      </c>
      <c r="D271" s="47">
        <v>96.3</v>
      </c>
      <c r="E271" s="47">
        <v>596963</v>
      </c>
      <c r="F271" s="47" t="s">
        <v>1310</v>
      </c>
      <c r="G271" s="25">
        <f t="shared" si="3"/>
        <v>1.0280373831775824E-2</v>
      </c>
    </row>
    <row r="272" spans="1:13">
      <c r="A272" s="47">
        <v>98.22</v>
      </c>
      <c r="B272" s="47">
        <v>99.84</v>
      </c>
      <c r="C272" s="47">
        <v>97.375</v>
      </c>
      <c r="D272" s="47">
        <v>99.84</v>
      </c>
      <c r="E272" s="47">
        <v>515689</v>
      </c>
      <c r="F272" s="47" t="s">
        <v>1309</v>
      </c>
      <c r="G272" s="25">
        <f t="shared" si="3"/>
        <v>-1.6225961538461564E-2</v>
      </c>
    </row>
    <row r="273" spans="1:7">
      <c r="A273" s="47">
        <v>99.1</v>
      </c>
      <c r="B273" s="47">
        <v>101.91</v>
      </c>
      <c r="C273" s="47">
        <v>98.375500000000002</v>
      </c>
      <c r="D273" s="47">
        <v>100.62</v>
      </c>
      <c r="E273" s="47">
        <v>527470</v>
      </c>
      <c r="F273" s="47" t="s">
        <v>1308</v>
      </c>
      <c r="G273" s="25">
        <f t="shared" si="3"/>
        <v>-1.5106340687736086E-2</v>
      </c>
    </row>
    <row r="274" spans="1:7">
      <c r="A274" s="47">
        <v>100.47</v>
      </c>
      <c r="B274" s="47">
        <v>104.255</v>
      </c>
      <c r="C274" s="47">
        <v>100.27</v>
      </c>
      <c r="D274" s="47">
        <v>103.99</v>
      </c>
      <c r="E274" s="47">
        <v>488525</v>
      </c>
      <c r="F274" s="47" t="s">
        <v>1307</v>
      </c>
      <c r="G274" s="25">
        <f t="shared" si="3"/>
        <v>-3.384940859698049E-2</v>
      </c>
    </row>
    <row r="275" spans="1:7">
      <c r="A275" s="47">
        <v>104.51</v>
      </c>
      <c r="B275" s="47">
        <v>105.16</v>
      </c>
      <c r="C275" s="47">
        <v>97.674999999999997</v>
      </c>
      <c r="D275" s="47">
        <v>98.3</v>
      </c>
      <c r="E275" s="47">
        <v>666439</v>
      </c>
      <c r="F275" s="47" t="s">
        <v>1306</v>
      </c>
      <c r="G275" s="25">
        <f t="shared" si="3"/>
        <v>6.317395727365227E-2</v>
      </c>
    </row>
    <row r="276" spans="1:7">
      <c r="A276" s="47">
        <v>97.69</v>
      </c>
      <c r="B276" s="47">
        <v>100.32</v>
      </c>
      <c r="C276" s="47">
        <v>96.82</v>
      </c>
      <c r="D276" s="47">
        <v>96.82</v>
      </c>
      <c r="E276" s="47">
        <v>650293</v>
      </c>
      <c r="F276" s="47" t="s">
        <v>1305</v>
      </c>
      <c r="G276" s="25">
        <f t="shared" si="3"/>
        <v>8.9857467465399576E-3</v>
      </c>
    </row>
    <row r="277" spans="1:7">
      <c r="A277" s="47">
        <v>97</v>
      </c>
      <c r="B277" s="47">
        <v>100.67</v>
      </c>
      <c r="C277" s="47">
        <v>96.62</v>
      </c>
      <c r="D277" s="47">
        <v>100.67</v>
      </c>
      <c r="E277" s="47">
        <v>613873</v>
      </c>
      <c r="F277" s="47" t="s">
        <v>1304</v>
      </c>
      <c r="G277" s="25">
        <f t="shared" si="3"/>
        <v>-3.6455746498460284E-2</v>
      </c>
    </row>
    <row r="278" spans="1:7">
      <c r="A278" s="47">
        <v>100.07</v>
      </c>
      <c r="B278" s="47">
        <v>101.29</v>
      </c>
      <c r="C278" s="47">
        <v>93.78</v>
      </c>
      <c r="D278" s="47">
        <v>98.01</v>
      </c>
      <c r="E278" s="47">
        <v>1990672</v>
      </c>
      <c r="F278" s="47" t="s">
        <v>1303</v>
      </c>
      <c r="G278" s="25">
        <f t="shared" si="3"/>
        <v>2.1018263442505791E-2</v>
      </c>
    </row>
    <row r="279" spans="1:7">
      <c r="A279" s="47">
        <v>98.91</v>
      </c>
      <c r="B279" s="47">
        <v>114.5</v>
      </c>
      <c r="C279" s="47">
        <v>94.96</v>
      </c>
      <c r="D279" s="47">
        <v>114.21</v>
      </c>
      <c r="E279" s="47">
        <v>2197465</v>
      </c>
      <c r="F279" s="47" t="s">
        <v>1302</v>
      </c>
      <c r="G279" s="25">
        <f t="shared" si="3"/>
        <v>-0.13396375098502755</v>
      </c>
    </row>
    <row r="280" spans="1:7">
      <c r="A280" s="47">
        <v>114.04</v>
      </c>
      <c r="B280" s="47">
        <v>115</v>
      </c>
      <c r="C280" s="47">
        <v>109.06</v>
      </c>
      <c r="D280" s="47">
        <v>112.6</v>
      </c>
      <c r="E280" s="47">
        <v>1723781</v>
      </c>
      <c r="F280" s="47" t="s">
        <v>1301</v>
      </c>
      <c r="G280" s="25">
        <f t="shared" si="3"/>
        <v>1.2788632326820704E-2</v>
      </c>
    </row>
    <row r="281" spans="1:7">
      <c r="A281" s="47">
        <v>112.03</v>
      </c>
      <c r="B281" s="47">
        <v>115.49</v>
      </c>
      <c r="C281" s="47">
        <v>111.64</v>
      </c>
      <c r="D281" s="47">
        <v>115.28</v>
      </c>
      <c r="E281" s="47">
        <v>346987</v>
      </c>
      <c r="F281" s="47" t="s">
        <v>1300</v>
      </c>
      <c r="G281" s="25">
        <f t="shared" si="3"/>
        <v>-2.8192227619708521E-2</v>
      </c>
    </row>
    <row r="282" spans="1:7">
      <c r="A282" s="47">
        <v>113.7</v>
      </c>
      <c r="B282" s="47">
        <v>115.47</v>
      </c>
      <c r="C282" s="47">
        <v>112.76</v>
      </c>
      <c r="D282" s="47">
        <v>114.09</v>
      </c>
      <c r="E282" s="47">
        <v>350048</v>
      </c>
      <c r="F282" s="47" t="s">
        <v>1299</v>
      </c>
      <c r="G282" s="25">
        <f t="shared" si="3"/>
        <v>-3.4183539311070099E-3</v>
      </c>
    </row>
    <row r="283" spans="1:7">
      <c r="A283" s="47">
        <v>114.09</v>
      </c>
      <c r="B283" s="47">
        <v>114.55</v>
      </c>
      <c r="C283" s="47">
        <v>111.435</v>
      </c>
      <c r="D283" s="47">
        <v>112.03</v>
      </c>
      <c r="E283" s="47">
        <v>665833</v>
      </c>
      <c r="F283" s="47" t="s">
        <v>1298</v>
      </c>
      <c r="G283" s="25">
        <f t="shared" si="3"/>
        <v>1.8387931803981017E-2</v>
      </c>
    </row>
    <row r="284" spans="1:7">
      <c r="A284" s="47">
        <v>110</v>
      </c>
      <c r="B284" s="47">
        <v>110.54</v>
      </c>
      <c r="C284" s="47">
        <v>107.12</v>
      </c>
      <c r="D284" s="47">
        <v>107.48</v>
      </c>
      <c r="E284" s="47">
        <v>527375</v>
      </c>
      <c r="F284" s="47" t="s">
        <v>1297</v>
      </c>
      <c r="G284" s="25">
        <f t="shared" si="3"/>
        <v>2.3446222553033191E-2</v>
      </c>
    </row>
    <row r="285" spans="1:7">
      <c r="A285" s="47">
        <v>105.87</v>
      </c>
      <c r="B285" s="47">
        <v>106.14</v>
      </c>
      <c r="C285" s="47">
        <v>103.935</v>
      </c>
      <c r="D285" s="47">
        <v>104.4</v>
      </c>
      <c r="E285" s="47">
        <v>477307</v>
      </c>
      <c r="F285" s="47" t="s">
        <v>1296</v>
      </c>
      <c r="G285" s="25">
        <f t="shared" si="3"/>
        <v>1.4080459770114961E-2</v>
      </c>
    </row>
    <row r="286" spans="1:7">
      <c r="A286" s="47">
        <v>105.86</v>
      </c>
      <c r="B286" s="47">
        <v>108.38500000000001</v>
      </c>
      <c r="C286" s="47">
        <v>104.92</v>
      </c>
      <c r="D286" s="47">
        <v>108.03</v>
      </c>
      <c r="E286" s="47">
        <v>473538</v>
      </c>
      <c r="F286" s="47" t="s">
        <v>1295</v>
      </c>
      <c r="G286" s="25">
        <f t="shared" si="3"/>
        <v>-2.0087012866796261E-2</v>
      </c>
    </row>
    <row r="287" spans="1:7">
      <c r="A287" s="47">
        <v>110.98</v>
      </c>
      <c r="B287" s="47">
        <v>111.01</v>
      </c>
      <c r="C287" s="47">
        <v>107.95</v>
      </c>
      <c r="D287" s="47">
        <v>109.25</v>
      </c>
      <c r="E287" s="47">
        <v>511140</v>
      </c>
      <c r="F287" s="47" t="s">
        <v>1294</v>
      </c>
      <c r="G287" s="25">
        <f t="shared" si="3"/>
        <v>1.5835240274599593E-2</v>
      </c>
    </row>
    <row r="288" spans="1:7">
      <c r="A288" s="47">
        <v>109.62</v>
      </c>
      <c r="B288" s="47">
        <v>112.32</v>
      </c>
      <c r="C288" s="47">
        <v>107.56</v>
      </c>
      <c r="D288" s="47">
        <v>112.06</v>
      </c>
      <c r="E288" s="47">
        <v>506710</v>
      </c>
      <c r="F288" s="47" t="s">
        <v>1293</v>
      </c>
      <c r="G288" s="25">
        <f t="shared" si="3"/>
        <v>-2.1774049616276936E-2</v>
      </c>
    </row>
    <row r="289" spans="1:7">
      <c r="A289" s="47">
        <v>112.14</v>
      </c>
      <c r="B289" s="47">
        <v>113.7</v>
      </c>
      <c r="C289" s="47">
        <v>111.57</v>
      </c>
      <c r="D289" s="47">
        <v>111.57</v>
      </c>
      <c r="E289" s="47">
        <v>507789</v>
      </c>
      <c r="F289" s="47" t="s">
        <v>1292</v>
      </c>
      <c r="G289" s="25">
        <f t="shared" si="3"/>
        <v>5.1089002420006135E-3</v>
      </c>
    </row>
    <row r="290" spans="1:7">
      <c r="A290" s="47">
        <v>111.35</v>
      </c>
      <c r="B290" s="47">
        <v>112.4204</v>
      </c>
      <c r="C290" s="47">
        <v>110.28</v>
      </c>
      <c r="D290" s="47">
        <v>110.96</v>
      </c>
      <c r="E290" s="47">
        <v>439360</v>
      </c>
      <c r="F290" s="47" t="s">
        <v>1291</v>
      </c>
      <c r="G290" s="25">
        <f t="shared" si="3"/>
        <v>3.5147801009371982E-3</v>
      </c>
    </row>
    <row r="291" spans="1:7">
      <c r="A291" s="47">
        <v>108.87</v>
      </c>
      <c r="B291" s="47">
        <v>111.71</v>
      </c>
      <c r="C291" s="47">
        <v>107.3</v>
      </c>
      <c r="D291" s="47">
        <v>110.43</v>
      </c>
      <c r="E291" s="47">
        <v>359722</v>
      </c>
      <c r="F291" s="47" t="s">
        <v>1290</v>
      </c>
      <c r="G291" s="25">
        <f t="shared" si="3"/>
        <v>-1.4126596033686489E-2</v>
      </c>
    </row>
    <row r="292" spans="1:7">
      <c r="A292" s="47">
        <v>109.5</v>
      </c>
      <c r="B292" s="47">
        <v>110.43</v>
      </c>
      <c r="C292" s="47">
        <v>108.27</v>
      </c>
      <c r="D292" s="47">
        <v>109.91</v>
      </c>
      <c r="E292" s="47">
        <v>249176</v>
      </c>
      <c r="F292" s="47" t="s">
        <v>1289</v>
      </c>
      <c r="G292" s="25">
        <f t="shared" si="3"/>
        <v>-3.7303248112091625E-3</v>
      </c>
    </row>
    <row r="293" spans="1:7">
      <c r="A293" s="47">
        <v>109.83</v>
      </c>
      <c r="B293" s="47">
        <v>111.38</v>
      </c>
      <c r="C293" s="47">
        <v>108.694</v>
      </c>
      <c r="D293" s="47">
        <v>110.1</v>
      </c>
      <c r="E293" s="47">
        <v>366203</v>
      </c>
      <c r="F293" s="47" t="s">
        <v>1288</v>
      </c>
      <c r="G293" s="25">
        <f t="shared" si="3"/>
        <v>-2.4523160762942586E-3</v>
      </c>
    </row>
    <row r="294" spans="1:7">
      <c r="A294" s="47">
        <v>111.13</v>
      </c>
      <c r="B294" s="47">
        <v>112.99</v>
      </c>
      <c r="C294" s="47">
        <v>109.7516</v>
      </c>
      <c r="D294" s="47">
        <v>112.28</v>
      </c>
      <c r="E294" s="47">
        <v>283883</v>
      </c>
      <c r="F294" s="47" t="s">
        <v>1287</v>
      </c>
      <c r="G294" s="25">
        <f t="shared" si="3"/>
        <v>-1.0242251514071987E-2</v>
      </c>
    </row>
    <row r="295" spans="1:7">
      <c r="A295" s="47">
        <v>113.16</v>
      </c>
      <c r="B295" s="47">
        <v>114.0727</v>
      </c>
      <c r="C295" s="47">
        <v>112.435</v>
      </c>
      <c r="D295" s="47">
        <v>113.86</v>
      </c>
      <c r="E295" s="47">
        <v>207702</v>
      </c>
      <c r="F295" s="47" t="s">
        <v>1286</v>
      </c>
      <c r="G295" s="25">
        <f t="shared" si="3"/>
        <v>-6.1479009309678423E-3</v>
      </c>
    </row>
    <row r="296" spans="1:7">
      <c r="A296" s="47">
        <v>113.18</v>
      </c>
      <c r="B296" s="47">
        <v>113.18</v>
      </c>
      <c r="C296" s="47">
        <v>111.58</v>
      </c>
      <c r="D296" s="47">
        <v>111.9</v>
      </c>
      <c r="E296" s="47">
        <v>120333</v>
      </c>
      <c r="F296" s="47" t="s">
        <v>1285</v>
      </c>
      <c r="G296" s="25">
        <f t="shared" si="3"/>
        <v>1.1438784629133059E-2</v>
      </c>
    </row>
    <row r="297" spans="1:7">
      <c r="A297" s="47">
        <v>111.66</v>
      </c>
      <c r="B297" s="47">
        <v>115.02</v>
      </c>
      <c r="C297" s="47">
        <v>110.7319</v>
      </c>
      <c r="D297" s="47">
        <v>113.96</v>
      </c>
      <c r="E297" s="47">
        <v>405230</v>
      </c>
      <c r="F297" s="47" t="s">
        <v>1284</v>
      </c>
      <c r="G297" s="25">
        <f t="shared" si="3"/>
        <v>-2.0182520182520203E-2</v>
      </c>
    </row>
    <row r="298" spans="1:7">
      <c r="A298" s="47">
        <v>114.78</v>
      </c>
      <c r="B298" s="47">
        <v>115.58</v>
      </c>
      <c r="C298" s="47">
        <v>109.7</v>
      </c>
      <c r="D298" s="47">
        <v>109.7</v>
      </c>
      <c r="E298" s="47">
        <v>1149061</v>
      </c>
      <c r="F298" s="47" t="s">
        <v>1283</v>
      </c>
      <c r="G298" s="25">
        <f t="shared" si="3"/>
        <v>4.6308113035551379E-2</v>
      </c>
    </row>
    <row r="299" spans="1:7">
      <c r="A299" s="47">
        <v>111.38</v>
      </c>
      <c r="B299" s="47">
        <v>113.17</v>
      </c>
      <c r="C299" s="47">
        <v>109.89</v>
      </c>
      <c r="D299" s="47">
        <v>110.69</v>
      </c>
      <c r="E299" s="47">
        <v>783962</v>
      </c>
      <c r="F299" s="47" t="s">
        <v>1282</v>
      </c>
      <c r="G299" s="25">
        <f t="shared" si="3"/>
        <v>6.233625440419166E-3</v>
      </c>
    </row>
    <row r="300" spans="1:7">
      <c r="A300" s="47">
        <v>110.11</v>
      </c>
      <c r="B300" s="47">
        <v>116.83</v>
      </c>
      <c r="C300" s="47">
        <v>109.67</v>
      </c>
      <c r="D300" s="47">
        <v>112.57</v>
      </c>
      <c r="E300" s="47">
        <v>1158705</v>
      </c>
      <c r="F300" s="47" t="s">
        <v>1281</v>
      </c>
      <c r="G300" s="25">
        <f t="shared" si="3"/>
        <v>-2.1853069201385744E-2</v>
      </c>
    </row>
    <row r="301" spans="1:7">
      <c r="A301" s="47">
        <v>109.29</v>
      </c>
      <c r="B301" s="47">
        <v>109.91</v>
      </c>
      <c r="C301" s="47">
        <v>105.17</v>
      </c>
      <c r="D301" s="47">
        <v>105.24</v>
      </c>
      <c r="E301" s="47">
        <v>477768</v>
      </c>
      <c r="F301" s="47" t="s">
        <v>1280</v>
      </c>
      <c r="G301" s="25">
        <f t="shared" si="3"/>
        <v>3.8483466362599916E-2</v>
      </c>
    </row>
    <row r="302" spans="1:7">
      <c r="A302" s="47">
        <v>105.42</v>
      </c>
      <c r="B302" s="47">
        <v>106.4143</v>
      </c>
      <c r="C302" s="47">
        <v>104.1</v>
      </c>
      <c r="D302" s="47">
        <v>104.11</v>
      </c>
      <c r="E302" s="47">
        <v>544285</v>
      </c>
      <c r="F302" s="47" t="s">
        <v>1279</v>
      </c>
      <c r="G302" s="25">
        <f t="shared" si="3"/>
        <v>1.2582845067716786E-2</v>
      </c>
    </row>
    <row r="303" spans="1:7">
      <c r="A303" s="47">
        <v>103.87</v>
      </c>
      <c r="B303" s="47">
        <v>104.58</v>
      </c>
      <c r="C303" s="47">
        <v>101.935</v>
      </c>
      <c r="D303" s="47">
        <v>104.31</v>
      </c>
      <c r="E303" s="47">
        <v>327727</v>
      </c>
      <c r="F303" s="47" t="s">
        <v>1278</v>
      </c>
      <c r="G303" s="25">
        <f t="shared" si="3"/>
        <v>-4.2181957626306055E-3</v>
      </c>
    </row>
    <row r="304" spans="1:7">
      <c r="A304" s="47">
        <v>104.3</v>
      </c>
      <c r="B304" s="47">
        <v>106.03</v>
      </c>
      <c r="C304" s="47">
        <v>103.91</v>
      </c>
      <c r="D304" s="47">
        <v>104.29</v>
      </c>
      <c r="E304" s="47">
        <v>256043</v>
      </c>
      <c r="F304" s="47" t="s">
        <v>1277</v>
      </c>
      <c r="G304" s="25">
        <f t="shared" si="3"/>
        <v>9.5886470419026537E-5</v>
      </c>
    </row>
    <row r="305" spans="1:7">
      <c r="A305" s="47">
        <v>104.66</v>
      </c>
      <c r="B305" s="47">
        <v>105.03</v>
      </c>
      <c r="C305" s="47">
        <v>103</v>
      </c>
      <c r="D305" s="47">
        <v>103.58</v>
      </c>
      <c r="E305" s="47">
        <v>320241</v>
      </c>
      <c r="F305" s="47" t="s">
        <v>1276</v>
      </c>
      <c r="G305" s="25">
        <f t="shared" si="3"/>
        <v>1.0426723305657415E-2</v>
      </c>
    </row>
    <row r="306" spans="1:7">
      <c r="A306" s="47">
        <v>103.01</v>
      </c>
      <c r="B306" s="47">
        <v>103.51</v>
      </c>
      <c r="C306" s="47">
        <v>101.15</v>
      </c>
      <c r="D306" s="47">
        <v>101.59</v>
      </c>
      <c r="E306" s="47">
        <v>665365</v>
      </c>
      <c r="F306" s="47" t="s">
        <v>1275</v>
      </c>
      <c r="G306" s="25">
        <f t="shared" si="3"/>
        <v>1.3977753715916919E-2</v>
      </c>
    </row>
    <row r="307" spans="1:7">
      <c r="A307" s="47">
        <v>102.32</v>
      </c>
      <c r="B307" s="47">
        <v>103.89</v>
      </c>
      <c r="C307" s="47">
        <v>102.05</v>
      </c>
      <c r="D307" s="47">
        <v>103.28</v>
      </c>
      <c r="E307" s="47">
        <v>306293</v>
      </c>
      <c r="F307" s="47" t="s">
        <v>1274</v>
      </c>
      <c r="G307" s="25">
        <f t="shared" si="3"/>
        <v>-9.2951200619675323E-3</v>
      </c>
    </row>
    <row r="308" spans="1:7">
      <c r="A308" s="47">
        <v>102.86</v>
      </c>
      <c r="B308" s="47">
        <v>103.01</v>
      </c>
      <c r="C308" s="47">
        <v>100.35</v>
      </c>
      <c r="D308" s="47">
        <v>101.76</v>
      </c>
      <c r="E308" s="47">
        <v>359281</v>
      </c>
      <c r="F308" s="47" t="s">
        <v>1273</v>
      </c>
      <c r="G308" s="25">
        <f t="shared" si="3"/>
        <v>1.0809748427672794E-2</v>
      </c>
    </row>
    <row r="309" spans="1:7">
      <c r="A309" s="47">
        <v>100.8</v>
      </c>
      <c r="B309" s="47">
        <v>101.35</v>
      </c>
      <c r="C309" s="47">
        <v>100.07</v>
      </c>
      <c r="D309" s="47">
        <v>101.14</v>
      </c>
      <c r="E309" s="47">
        <v>570430</v>
      </c>
      <c r="F309" s="47" t="s">
        <v>1272</v>
      </c>
      <c r="G309" s="25">
        <f t="shared" si="3"/>
        <v>-3.3616768835278421E-3</v>
      </c>
    </row>
    <row r="310" spans="1:7">
      <c r="A310" s="47">
        <v>101.43</v>
      </c>
      <c r="B310" s="47">
        <v>101.87</v>
      </c>
      <c r="C310" s="47">
        <v>98.99</v>
      </c>
      <c r="D310" s="47">
        <v>99.15</v>
      </c>
      <c r="E310" s="47">
        <v>357737</v>
      </c>
      <c r="F310" s="47" t="s">
        <v>1271</v>
      </c>
      <c r="G310" s="25">
        <f t="shared" si="3"/>
        <v>2.2995461422087748E-2</v>
      </c>
    </row>
    <row r="311" spans="1:7">
      <c r="A311" s="47">
        <v>98.21</v>
      </c>
      <c r="B311" s="47">
        <v>98.72</v>
      </c>
      <c r="C311" s="47">
        <v>97.17</v>
      </c>
      <c r="D311" s="47">
        <v>97.37</v>
      </c>
      <c r="E311" s="47">
        <v>414919</v>
      </c>
      <c r="F311" s="47" t="s">
        <v>1270</v>
      </c>
      <c r="G311" s="25">
        <f t="shared" ref="G311:G374" si="4">A311/D311-1</f>
        <v>8.6268871315600126E-3</v>
      </c>
    </row>
    <row r="312" spans="1:7">
      <c r="A312" s="47">
        <v>98.1</v>
      </c>
      <c r="B312" s="47">
        <v>98.424999999999997</v>
      </c>
      <c r="C312" s="47">
        <v>96.36</v>
      </c>
      <c r="D312" s="47">
        <v>97.18</v>
      </c>
      <c r="E312" s="47">
        <v>258537</v>
      </c>
      <c r="F312" s="47" t="s">
        <v>1269</v>
      </c>
      <c r="G312" s="25">
        <f t="shared" si="4"/>
        <v>9.4669685120394309E-3</v>
      </c>
    </row>
    <row r="313" spans="1:7">
      <c r="A313" s="47">
        <v>97.25</v>
      </c>
      <c r="B313" s="47">
        <v>97.9</v>
      </c>
      <c r="C313" s="47">
        <v>96.38</v>
      </c>
      <c r="D313" s="47">
        <v>97.69</v>
      </c>
      <c r="E313" s="47">
        <v>211659</v>
      </c>
      <c r="F313" s="47" t="s">
        <v>1268</v>
      </c>
      <c r="G313" s="25">
        <f t="shared" si="4"/>
        <v>-4.504043402600022E-3</v>
      </c>
    </row>
    <row r="314" spans="1:7">
      <c r="A314" s="47">
        <v>96.85</v>
      </c>
      <c r="B314" s="47">
        <v>99.04</v>
      </c>
      <c r="C314" s="47">
        <v>96.63</v>
      </c>
      <c r="D314" s="47">
        <v>98.38</v>
      </c>
      <c r="E314" s="47">
        <v>271977</v>
      </c>
      <c r="F314" s="47" t="s">
        <v>1267</v>
      </c>
      <c r="G314" s="25">
        <f t="shared" si="4"/>
        <v>-1.5551941451514506E-2</v>
      </c>
    </row>
    <row r="315" spans="1:7">
      <c r="A315" s="47">
        <v>98.72</v>
      </c>
      <c r="B315" s="47">
        <v>99.13</v>
      </c>
      <c r="C315" s="47">
        <v>96.86</v>
      </c>
      <c r="D315" s="47">
        <v>97.66</v>
      </c>
      <c r="E315" s="47">
        <v>406680</v>
      </c>
      <c r="F315" s="47" t="s">
        <v>1266</v>
      </c>
      <c r="G315" s="25">
        <f t="shared" si="4"/>
        <v>1.0853983207044893E-2</v>
      </c>
    </row>
    <row r="316" spans="1:7">
      <c r="A316" s="47">
        <v>98.37</v>
      </c>
      <c r="B316" s="47">
        <v>98.78</v>
      </c>
      <c r="C316" s="47">
        <v>95.95</v>
      </c>
      <c r="D316" s="47">
        <v>96.33</v>
      </c>
      <c r="E316" s="47">
        <v>615239</v>
      </c>
      <c r="F316" s="47" t="s">
        <v>1265</v>
      </c>
      <c r="G316" s="25">
        <f t="shared" si="4"/>
        <v>2.1177203363438313E-2</v>
      </c>
    </row>
    <row r="317" spans="1:7">
      <c r="A317" s="47">
        <v>95.62</v>
      </c>
      <c r="B317" s="47">
        <v>95.674999999999997</v>
      </c>
      <c r="C317" s="47">
        <v>94.02</v>
      </c>
      <c r="D317" s="47">
        <v>95</v>
      </c>
      <c r="E317" s="47">
        <v>482115</v>
      </c>
      <c r="F317" s="47" t="s">
        <v>1264</v>
      </c>
      <c r="G317" s="25">
        <f t="shared" si="4"/>
        <v>6.5263157894737134E-3</v>
      </c>
    </row>
    <row r="318" spans="1:7">
      <c r="A318" s="47">
        <v>94.87</v>
      </c>
      <c r="B318" s="47">
        <v>95</v>
      </c>
      <c r="C318" s="47">
        <v>92.45</v>
      </c>
      <c r="D318" s="47">
        <v>93.06</v>
      </c>
      <c r="E318" s="47">
        <v>336297</v>
      </c>
      <c r="F318" s="47" t="s">
        <v>1263</v>
      </c>
      <c r="G318" s="25">
        <f t="shared" si="4"/>
        <v>1.9449817322157781E-2</v>
      </c>
    </row>
    <row r="319" spans="1:7">
      <c r="A319" s="47">
        <v>92.18</v>
      </c>
      <c r="B319" s="47">
        <v>92.2</v>
      </c>
      <c r="C319" s="47">
        <v>89.39</v>
      </c>
      <c r="D319" s="47">
        <v>90.5</v>
      </c>
      <c r="E319" s="47">
        <v>303091</v>
      </c>
      <c r="F319" s="47" t="s">
        <v>1262</v>
      </c>
      <c r="G319" s="25">
        <f t="shared" si="4"/>
        <v>1.8563535911602314E-2</v>
      </c>
    </row>
    <row r="320" spans="1:7">
      <c r="A320" s="47">
        <v>90.17</v>
      </c>
      <c r="B320" s="47">
        <v>90.85</v>
      </c>
      <c r="C320" s="47">
        <v>89.765000000000001</v>
      </c>
      <c r="D320" s="47">
        <v>90.1</v>
      </c>
      <c r="E320" s="47">
        <v>430458</v>
      </c>
      <c r="F320" s="47" t="s">
        <v>1261</v>
      </c>
      <c r="G320" s="25">
        <f t="shared" si="4"/>
        <v>7.7691453940076372E-4</v>
      </c>
    </row>
    <row r="321" spans="1:7">
      <c r="A321" s="47">
        <v>90.8</v>
      </c>
      <c r="B321" s="47">
        <v>91.45</v>
      </c>
      <c r="C321" s="47">
        <v>90.03</v>
      </c>
      <c r="D321" s="47">
        <v>91.2</v>
      </c>
      <c r="E321" s="47">
        <v>371896</v>
      </c>
      <c r="F321" s="47" t="s">
        <v>1260</v>
      </c>
      <c r="G321" s="25">
        <f t="shared" si="4"/>
        <v>-4.3859649122807154E-3</v>
      </c>
    </row>
    <row r="322" spans="1:7">
      <c r="A322" s="47">
        <v>91.28</v>
      </c>
      <c r="B322" s="47">
        <v>93.62</v>
      </c>
      <c r="C322" s="47">
        <v>90.53</v>
      </c>
      <c r="D322" s="47">
        <v>93.62</v>
      </c>
      <c r="E322" s="47">
        <v>363642</v>
      </c>
      <c r="F322" s="47" t="s">
        <v>1259</v>
      </c>
      <c r="G322" s="25">
        <f t="shared" si="4"/>
        <v>-2.4994659260841767E-2</v>
      </c>
    </row>
    <row r="323" spans="1:7">
      <c r="A323" s="47">
        <v>93.23</v>
      </c>
      <c r="B323" s="47">
        <v>94.742500000000007</v>
      </c>
      <c r="C323" s="47">
        <v>92.650999999999996</v>
      </c>
      <c r="D323" s="47">
        <v>93.77</v>
      </c>
      <c r="E323" s="47">
        <v>502909</v>
      </c>
      <c r="F323" s="47" t="s">
        <v>1258</v>
      </c>
      <c r="G323" s="25">
        <f t="shared" si="4"/>
        <v>-5.7587714620880304E-3</v>
      </c>
    </row>
    <row r="324" spans="1:7">
      <c r="A324" s="47">
        <v>94.41</v>
      </c>
      <c r="B324" s="47">
        <v>95.58</v>
      </c>
      <c r="C324" s="47">
        <v>92.71</v>
      </c>
      <c r="D324" s="47">
        <v>92.71</v>
      </c>
      <c r="E324" s="47">
        <v>457930</v>
      </c>
      <c r="F324" s="47" t="s">
        <v>1257</v>
      </c>
      <c r="G324" s="25">
        <f t="shared" si="4"/>
        <v>1.8336749002265229E-2</v>
      </c>
    </row>
    <row r="325" spans="1:7">
      <c r="A325" s="47">
        <v>92.29</v>
      </c>
      <c r="B325" s="47">
        <v>95.12</v>
      </c>
      <c r="C325" s="47">
        <v>92.03</v>
      </c>
      <c r="D325" s="47">
        <v>94</v>
      </c>
      <c r="E325" s="47">
        <v>436411</v>
      </c>
      <c r="F325" s="47" t="s">
        <v>1256</v>
      </c>
      <c r="G325" s="25">
        <f t="shared" si="4"/>
        <v>-1.8191489361702007E-2</v>
      </c>
    </row>
    <row r="326" spans="1:7">
      <c r="A326" s="47">
        <v>94.36</v>
      </c>
      <c r="B326" s="47">
        <v>96.165000000000006</v>
      </c>
      <c r="C326" s="47">
        <v>94</v>
      </c>
      <c r="D326" s="47">
        <v>95.78</v>
      </c>
      <c r="E326" s="47">
        <v>498347</v>
      </c>
      <c r="F326" s="47" t="s">
        <v>1255</v>
      </c>
      <c r="G326" s="25">
        <f t="shared" si="4"/>
        <v>-1.4825642096471081E-2</v>
      </c>
    </row>
    <row r="327" spans="1:7">
      <c r="A327" s="47">
        <v>94.75</v>
      </c>
      <c r="B327" s="47">
        <v>96</v>
      </c>
      <c r="C327" s="47">
        <v>90.48</v>
      </c>
      <c r="D327" s="47">
        <v>91.43</v>
      </c>
      <c r="E327" s="47">
        <v>806193</v>
      </c>
      <c r="F327" s="47" t="s">
        <v>1254</v>
      </c>
      <c r="G327" s="25">
        <f t="shared" si="4"/>
        <v>3.631193262605259E-2</v>
      </c>
    </row>
    <row r="328" spans="1:7">
      <c r="A328" s="47">
        <v>91.49</v>
      </c>
      <c r="B328" s="47">
        <v>92.85</v>
      </c>
      <c r="C328" s="47">
        <v>87.299800000000005</v>
      </c>
      <c r="D328" s="47">
        <v>89.11</v>
      </c>
      <c r="E328" s="47">
        <v>918446</v>
      </c>
      <c r="F328" s="47" t="s">
        <v>1253</v>
      </c>
      <c r="G328" s="25">
        <f t="shared" si="4"/>
        <v>2.6708562450903361E-2</v>
      </c>
    </row>
    <row r="329" spans="1:7">
      <c r="A329" s="47">
        <v>87.63</v>
      </c>
      <c r="B329" s="47">
        <v>87.97</v>
      </c>
      <c r="C329" s="47">
        <v>84.62</v>
      </c>
      <c r="D329" s="47">
        <v>85</v>
      </c>
      <c r="E329" s="47">
        <v>1047778</v>
      </c>
      <c r="F329" s="47" t="s">
        <v>1252</v>
      </c>
      <c r="G329" s="25">
        <f t="shared" si="4"/>
        <v>3.094117647058825E-2</v>
      </c>
    </row>
    <row r="330" spans="1:7">
      <c r="A330" s="47">
        <v>82.47</v>
      </c>
      <c r="B330" s="47">
        <v>83</v>
      </c>
      <c r="C330" s="47">
        <v>80.204999999999998</v>
      </c>
      <c r="D330" s="47">
        <v>80.61</v>
      </c>
      <c r="E330" s="47">
        <v>302756</v>
      </c>
      <c r="F330" s="47" t="s">
        <v>1251</v>
      </c>
      <c r="G330" s="25">
        <f t="shared" si="4"/>
        <v>2.307406029028658E-2</v>
      </c>
    </row>
    <row r="331" spans="1:7">
      <c r="A331" s="47">
        <v>81.05</v>
      </c>
      <c r="B331" s="47">
        <v>81.19</v>
      </c>
      <c r="C331" s="47">
        <v>78.2</v>
      </c>
      <c r="D331" s="47">
        <v>79.19</v>
      </c>
      <c r="E331" s="47">
        <v>389594</v>
      </c>
      <c r="F331" s="47" t="s">
        <v>1250</v>
      </c>
      <c r="G331" s="25">
        <f t="shared" si="4"/>
        <v>2.3487814117944206E-2</v>
      </c>
    </row>
    <row r="332" spans="1:7">
      <c r="A332" s="47">
        <v>79.17</v>
      </c>
      <c r="B332" s="47">
        <v>81.95</v>
      </c>
      <c r="C332" s="47">
        <v>79.06</v>
      </c>
      <c r="D332" s="47">
        <v>80.47</v>
      </c>
      <c r="E332" s="47">
        <v>248051</v>
      </c>
      <c r="F332" s="47" t="s">
        <v>1249</v>
      </c>
      <c r="G332" s="25">
        <f t="shared" si="4"/>
        <v>-1.6155088852988664E-2</v>
      </c>
    </row>
    <row r="333" spans="1:7">
      <c r="A333" s="47">
        <v>79.760000000000005</v>
      </c>
      <c r="B333" s="47">
        <v>81.28</v>
      </c>
      <c r="C333" s="47">
        <v>79.72</v>
      </c>
      <c r="D333" s="47">
        <v>80.319999999999993</v>
      </c>
      <c r="E333" s="47">
        <v>346413</v>
      </c>
      <c r="F333" s="47" t="s">
        <v>1248</v>
      </c>
      <c r="G333" s="25">
        <f t="shared" si="4"/>
        <v>-6.9721115537847433E-3</v>
      </c>
    </row>
    <row r="334" spans="1:7">
      <c r="A334" s="47">
        <v>80.510000000000005</v>
      </c>
      <c r="B334" s="47">
        <v>81.319999999999993</v>
      </c>
      <c r="C334" s="47">
        <v>79.59</v>
      </c>
      <c r="D334" s="47">
        <v>79.739999999999995</v>
      </c>
      <c r="E334" s="47">
        <v>244444</v>
      </c>
      <c r="F334" s="47" t="s">
        <v>1247</v>
      </c>
      <c r="G334" s="25">
        <f t="shared" si="4"/>
        <v>9.6563832455480725E-3</v>
      </c>
    </row>
    <row r="335" spans="1:7">
      <c r="A335" s="47">
        <v>79.84</v>
      </c>
      <c r="B335" s="47">
        <v>80.284999999999997</v>
      </c>
      <c r="C335" s="47">
        <v>77.97</v>
      </c>
      <c r="D335" s="47">
        <v>78.36</v>
      </c>
      <c r="E335" s="47">
        <v>319934</v>
      </c>
      <c r="F335" s="47" t="s">
        <v>1246</v>
      </c>
      <c r="G335" s="25">
        <f t="shared" si="4"/>
        <v>1.8887187340479894E-2</v>
      </c>
    </row>
    <row r="336" spans="1:7">
      <c r="A336" s="47">
        <v>78.53</v>
      </c>
      <c r="B336" s="47">
        <v>79.91</v>
      </c>
      <c r="C336" s="47">
        <v>77.91</v>
      </c>
      <c r="D336" s="47">
        <v>79.59</v>
      </c>
      <c r="E336" s="47">
        <v>211065</v>
      </c>
      <c r="F336" s="47" t="s">
        <v>1245</v>
      </c>
      <c r="G336" s="25">
        <f t="shared" si="4"/>
        <v>-1.33182560623194E-2</v>
      </c>
    </row>
    <row r="337" spans="1:7">
      <c r="A337" s="47">
        <v>78.78</v>
      </c>
      <c r="B337" s="47">
        <v>79.83</v>
      </c>
      <c r="C337" s="47">
        <v>78.534999999999997</v>
      </c>
      <c r="D337" s="47">
        <v>79.11</v>
      </c>
      <c r="E337" s="47">
        <v>138359</v>
      </c>
      <c r="F337" s="47" t="s">
        <v>1244</v>
      </c>
      <c r="G337" s="25">
        <f t="shared" si="4"/>
        <v>-4.1714069017823041E-3</v>
      </c>
    </row>
    <row r="338" spans="1:7">
      <c r="A338" s="47">
        <v>78.709999999999994</v>
      </c>
      <c r="B338" s="47">
        <v>79.825000000000003</v>
      </c>
      <c r="C338" s="47">
        <v>78.09</v>
      </c>
      <c r="D338" s="47">
        <v>79.14</v>
      </c>
      <c r="E338" s="47">
        <v>141233</v>
      </c>
      <c r="F338" s="47" t="s">
        <v>1243</v>
      </c>
      <c r="G338" s="25">
        <f t="shared" si="4"/>
        <v>-5.4334091483447811E-3</v>
      </c>
    </row>
    <row r="339" spans="1:7">
      <c r="A339" s="47">
        <v>78.67</v>
      </c>
      <c r="B339" s="47">
        <v>80.13</v>
      </c>
      <c r="C339" s="47">
        <v>77.47</v>
      </c>
      <c r="D339" s="47">
        <v>79.42</v>
      </c>
      <c r="E339" s="47">
        <v>184957</v>
      </c>
      <c r="F339" s="47" t="s">
        <v>1242</v>
      </c>
      <c r="G339" s="25">
        <f t="shared" si="4"/>
        <v>-9.4434651221354526E-3</v>
      </c>
    </row>
    <row r="340" spans="1:7">
      <c r="A340" s="47">
        <v>79.680000000000007</v>
      </c>
      <c r="B340" s="47">
        <v>80.650000000000006</v>
      </c>
      <c r="C340" s="47">
        <v>79.66</v>
      </c>
      <c r="D340" s="47">
        <v>80.47</v>
      </c>
      <c r="E340" s="47">
        <v>211798</v>
      </c>
      <c r="F340" s="47" t="s">
        <v>1241</v>
      </c>
      <c r="G340" s="25">
        <f t="shared" si="4"/>
        <v>-9.8173232260468923E-3</v>
      </c>
    </row>
    <row r="341" spans="1:7">
      <c r="A341" s="47">
        <v>80.77</v>
      </c>
      <c r="B341" s="47">
        <v>81.510000000000005</v>
      </c>
      <c r="C341" s="47">
        <v>79.540000000000006</v>
      </c>
      <c r="D341" s="47">
        <v>80.98</v>
      </c>
      <c r="E341" s="47">
        <v>272306</v>
      </c>
      <c r="F341" s="47" t="s">
        <v>1240</v>
      </c>
      <c r="G341" s="25">
        <f t="shared" si="4"/>
        <v>-2.5932328970117435E-3</v>
      </c>
    </row>
    <row r="342" spans="1:7">
      <c r="A342" s="47">
        <v>81.52</v>
      </c>
      <c r="B342" s="47">
        <v>83</v>
      </c>
      <c r="C342" s="47">
        <v>81.5</v>
      </c>
      <c r="D342" s="47">
        <v>82.3</v>
      </c>
      <c r="E342" s="47">
        <v>235849</v>
      </c>
      <c r="F342" s="47" t="s">
        <v>1239</v>
      </c>
      <c r="G342" s="25">
        <f t="shared" si="4"/>
        <v>-9.4775212636695194E-3</v>
      </c>
    </row>
    <row r="343" spans="1:7">
      <c r="A343" s="47">
        <v>81.849999999999994</v>
      </c>
      <c r="B343" s="47">
        <v>82.284999999999997</v>
      </c>
      <c r="C343" s="47">
        <v>80.87</v>
      </c>
      <c r="D343" s="47">
        <v>82.27</v>
      </c>
      <c r="E343" s="47">
        <v>215970</v>
      </c>
      <c r="F343" s="47" t="s">
        <v>1238</v>
      </c>
      <c r="G343" s="25">
        <f t="shared" si="4"/>
        <v>-5.1051416069041178E-3</v>
      </c>
    </row>
    <row r="344" spans="1:7">
      <c r="A344" s="47">
        <v>82.1</v>
      </c>
      <c r="B344" s="47">
        <v>83.01</v>
      </c>
      <c r="C344" s="47">
        <v>80.91</v>
      </c>
      <c r="D344" s="47">
        <v>81.819999999999993</v>
      </c>
      <c r="E344" s="47">
        <v>322591</v>
      </c>
      <c r="F344" s="47" t="s">
        <v>1237</v>
      </c>
      <c r="G344" s="25">
        <f t="shared" si="4"/>
        <v>3.4221461745294057E-3</v>
      </c>
    </row>
    <row r="345" spans="1:7">
      <c r="A345" s="47">
        <v>81.33</v>
      </c>
      <c r="B345" s="47">
        <v>81.430000000000007</v>
      </c>
      <c r="C345" s="47">
        <v>79.78</v>
      </c>
      <c r="D345" s="47">
        <v>79.83</v>
      </c>
      <c r="E345" s="47">
        <v>278771</v>
      </c>
      <c r="F345" s="47" t="s">
        <v>1236</v>
      </c>
      <c r="G345" s="25">
        <f t="shared" si="4"/>
        <v>1.8789928598271333E-2</v>
      </c>
    </row>
    <row r="346" spans="1:7">
      <c r="A346" s="47">
        <v>79.91</v>
      </c>
      <c r="B346" s="47">
        <v>80.14</v>
      </c>
      <c r="C346" s="47">
        <v>78.150999999999996</v>
      </c>
      <c r="D346" s="47">
        <v>79</v>
      </c>
      <c r="E346" s="47">
        <v>272317</v>
      </c>
      <c r="F346" s="47" t="s">
        <v>1235</v>
      </c>
      <c r="G346" s="25">
        <f t="shared" si="4"/>
        <v>1.1518987341772036E-2</v>
      </c>
    </row>
    <row r="347" spans="1:7">
      <c r="A347" s="47">
        <v>79.09</v>
      </c>
      <c r="B347" s="47">
        <v>79.63</v>
      </c>
      <c r="C347" s="47">
        <v>78.385000000000005</v>
      </c>
      <c r="D347" s="47">
        <v>78.69</v>
      </c>
      <c r="E347" s="47">
        <v>215813</v>
      </c>
      <c r="F347" s="47" t="s">
        <v>1234</v>
      </c>
      <c r="G347" s="25">
        <f t="shared" si="4"/>
        <v>5.083238022620451E-3</v>
      </c>
    </row>
    <row r="348" spans="1:7">
      <c r="A348" s="47">
        <v>78.78</v>
      </c>
      <c r="B348" s="47">
        <v>79.209999999999994</v>
      </c>
      <c r="C348" s="47">
        <v>77.17</v>
      </c>
      <c r="D348" s="47">
        <v>77.31</v>
      </c>
      <c r="E348" s="47">
        <v>228762</v>
      </c>
      <c r="F348" s="47" t="s">
        <v>1233</v>
      </c>
      <c r="G348" s="25">
        <f t="shared" si="4"/>
        <v>1.9014357780364755E-2</v>
      </c>
    </row>
    <row r="349" spans="1:7">
      <c r="A349" s="47">
        <v>78.41</v>
      </c>
      <c r="B349" s="47">
        <v>79.265000000000001</v>
      </c>
      <c r="C349" s="47">
        <v>76.064999999999998</v>
      </c>
      <c r="D349" s="47">
        <v>76.180000000000007</v>
      </c>
      <c r="E349" s="47">
        <v>293088</v>
      </c>
      <c r="F349" s="47" t="s">
        <v>1232</v>
      </c>
      <c r="G349" s="25">
        <f t="shared" si="4"/>
        <v>2.9272775006563334E-2</v>
      </c>
    </row>
    <row r="350" spans="1:7">
      <c r="A350" s="47">
        <v>76.11</v>
      </c>
      <c r="B350" s="47">
        <v>77.459999999999994</v>
      </c>
      <c r="C350" s="47">
        <v>75.864999999999995</v>
      </c>
      <c r="D350" s="47">
        <v>77.099999999999994</v>
      </c>
      <c r="E350" s="47">
        <v>194854</v>
      </c>
      <c r="F350" s="47" t="s">
        <v>1231</v>
      </c>
      <c r="G350" s="25">
        <f t="shared" si="4"/>
        <v>-1.2840466926069993E-2</v>
      </c>
    </row>
    <row r="351" spans="1:7">
      <c r="A351" s="47">
        <v>77.19</v>
      </c>
      <c r="B351" s="47">
        <v>79.8</v>
      </c>
      <c r="C351" s="47">
        <v>77.08</v>
      </c>
      <c r="D351" s="47">
        <v>79.349999999999994</v>
      </c>
      <c r="E351" s="47">
        <v>165341</v>
      </c>
      <c r="F351" s="47" t="s">
        <v>1230</v>
      </c>
      <c r="G351" s="25">
        <f t="shared" si="4"/>
        <v>-2.7221172022684259E-2</v>
      </c>
    </row>
    <row r="352" spans="1:7">
      <c r="A352" s="47">
        <v>79.73</v>
      </c>
      <c r="B352" s="47">
        <v>79.790000000000006</v>
      </c>
      <c r="C352" s="47">
        <v>78.492000000000004</v>
      </c>
      <c r="D352" s="47">
        <v>78.97</v>
      </c>
      <c r="E352" s="47">
        <v>223088</v>
      </c>
      <c r="F352" s="47" t="s">
        <v>1229</v>
      </c>
      <c r="G352" s="25">
        <f t="shared" si="4"/>
        <v>9.6239078130937461E-3</v>
      </c>
    </row>
    <row r="353" spans="1:7">
      <c r="A353" s="47">
        <v>77.64</v>
      </c>
      <c r="B353" s="47">
        <v>77.959999999999994</v>
      </c>
      <c r="C353" s="47">
        <v>76.53</v>
      </c>
      <c r="D353" s="47">
        <v>76.59</v>
      </c>
      <c r="E353" s="47">
        <v>216878</v>
      </c>
      <c r="F353" s="47" t="s">
        <v>1228</v>
      </c>
      <c r="G353" s="25">
        <f t="shared" si="4"/>
        <v>1.3709361535448439E-2</v>
      </c>
    </row>
    <row r="354" spans="1:7">
      <c r="A354" s="47">
        <v>77.61</v>
      </c>
      <c r="B354" s="47">
        <v>78.069999999999993</v>
      </c>
      <c r="C354" s="47">
        <v>75.709999999999994</v>
      </c>
      <c r="D354" s="47">
        <v>76.790000000000006</v>
      </c>
      <c r="E354" s="47">
        <v>250801</v>
      </c>
      <c r="F354" s="47" t="s">
        <v>1227</v>
      </c>
      <c r="G354" s="25">
        <f t="shared" si="4"/>
        <v>1.0678473759603957E-2</v>
      </c>
    </row>
    <row r="355" spans="1:7">
      <c r="A355" s="47">
        <v>76.88</v>
      </c>
      <c r="B355" s="47">
        <v>78.89</v>
      </c>
      <c r="C355" s="47">
        <v>76.16</v>
      </c>
      <c r="D355" s="47">
        <v>78.89</v>
      </c>
      <c r="E355" s="47">
        <v>268606</v>
      </c>
      <c r="F355" s="47" t="s">
        <v>1226</v>
      </c>
      <c r="G355" s="25">
        <f t="shared" si="4"/>
        <v>-2.5478514387121343E-2</v>
      </c>
    </row>
    <row r="356" spans="1:7">
      <c r="A356" s="47">
        <v>79.12</v>
      </c>
      <c r="B356" s="47">
        <v>81.58</v>
      </c>
      <c r="C356" s="47">
        <v>78.53</v>
      </c>
      <c r="D356" s="47">
        <v>80.16</v>
      </c>
      <c r="E356" s="47">
        <v>378418</v>
      </c>
      <c r="F356" s="47" t="s">
        <v>1225</v>
      </c>
      <c r="G356" s="25">
        <f t="shared" si="4"/>
        <v>-1.2974051896207484E-2</v>
      </c>
    </row>
    <row r="357" spans="1:7">
      <c r="A357" s="47">
        <v>80.48</v>
      </c>
      <c r="B357" s="47">
        <v>80.650000000000006</v>
      </c>
      <c r="C357" s="47">
        <v>78.55</v>
      </c>
      <c r="D357" s="47">
        <v>79.42</v>
      </c>
      <c r="E357" s="47">
        <v>372113</v>
      </c>
      <c r="F357" s="47" t="s">
        <v>1224</v>
      </c>
      <c r="G357" s="25">
        <f t="shared" si="4"/>
        <v>1.3346764039284809E-2</v>
      </c>
    </row>
    <row r="358" spans="1:7">
      <c r="A358" s="47">
        <v>78.55</v>
      </c>
      <c r="B358" s="47">
        <v>79.061300000000003</v>
      </c>
      <c r="C358" s="47">
        <v>77.45</v>
      </c>
      <c r="D358" s="47">
        <v>78.7</v>
      </c>
      <c r="E358" s="47">
        <v>258796</v>
      </c>
      <c r="F358" s="47" t="s">
        <v>1223</v>
      </c>
      <c r="G358" s="25">
        <f t="shared" si="4"/>
        <v>-1.9059720457433871E-3</v>
      </c>
    </row>
    <row r="359" spans="1:7">
      <c r="A359" s="47">
        <v>77.52</v>
      </c>
      <c r="B359" s="47">
        <v>78.010000000000005</v>
      </c>
      <c r="C359" s="47">
        <v>77.19</v>
      </c>
      <c r="D359" s="47">
        <v>77.87</v>
      </c>
      <c r="E359" s="47">
        <v>317666</v>
      </c>
      <c r="F359" s="47" t="s">
        <v>1222</v>
      </c>
      <c r="G359" s="25">
        <f t="shared" si="4"/>
        <v>-4.4946706048543117E-3</v>
      </c>
    </row>
    <row r="360" spans="1:7">
      <c r="A360" s="47">
        <v>77.95</v>
      </c>
      <c r="B360" s="47">
        <v>78.39</v>
      </c>
      <c r="C360" s="47">
        <v>77.525000000000006</v>
      </c>
      <c r="D360" s="47">
        <v>78.39</v>
      </c>
      <c r="E360" s="47">
        <v>198590</v>
      </c>
      <c r="F360" s="47" t="s">
        <v>1221</v>
      </c>
      <c r="G360" s="25">
        <f t="shared" si="4"/>
        <v>-5.6129608368413741E-3</v>
      </c>
    </row>
    <row r="361" spans="1:7">
      <c r="A361" s="47">
        <v>77.8</v>
      </c>
      <c r="B361" s="47">
        <v>79.569999999999993</v>
      </c>
      <c r="C361" s="47">
        <v>77.67</v>
      </c>
      <c r="D361" s="47">
        <v>79.010000000000005</v>
      </c>
      <c r="E361" s="47">
        <v>241023</v>
      </c>
      <c r="F361" s="47" t="s">
        <v>1220</v>
      </c>
      <c r="G361" s="25">
        <f t="shared" si="4"/>
        <v>-1.531451714972798E-2</v>
      </c>
    </row>
    <row r="362" spans="1:7">
      <c r="A362" s="47">
        <v>79.16</v>
      </c>
      <c r="B362" s="47">
        <v>80.09</v>
      </c>
      <c r="C362" s="47">
        <v>78.400000000000006</v>
      </c>
      <c r="D362" s="47">
        <v>79.59</v>
      </c>
      <c r="E362" s="47">
        <v>760308</v>
      </c>
      <c r="F362" s="47" t="s">
        <v>1219</v>
      </c>
      <c r="G362" s="25">
        <f t="shared" si="4"/>
        <v>-5.4026887799976109E-3</v>
      </c>
    </row>
    <row r="363" spans="1:7">
      <c r="A363" s="47">
        <v>79.25</v>
      </c>
      <c r="B363" s="47">
        <v>79.75</v>
      </c>
      <c r="C363" s="47">
        <v>78.56</v>
      </c>
      <c r="D363" s="47">
        <v>79.33</v>
      </c>
      <c r="E363" s="47">
        <v>383839</v>
      </c>
      <c r="F363" s="47" t="s">
        <v>1218</v>
      </c>
      <c r="G363" s="25">
        <f t="shared" si="4"/>
        <v>-1.0084457330139518E-3</v>
      </c>
    </row>
    <row r="364" spans="1:7">
      <c r="A364" s="47">
        <v>77.28</v>
      </c>
      <c r="B364" s="47">
        <v>79.05</v>
      </c>
      <c r="C364" s="47">
        <v>76.260000000000005</v>
      </c>
      <c r="D364" s="47">
        <v>77</v>
      </c>
      <c r="E364" s="47">
        <v>408942</v>
      </c>
      <c r="F364" s="47" t="s">
        <v>1217</v>
      </c>
      <c r="G364" s="25">
        <f t="shared" si="4"/>
        <v>3.6363636363636598E-3</v>
      </c>
    </row>
    <row r="365" spans="1:7">
      <c r="A365" s="47">
        <v>76.88</v>
      </c>
      <c r="B365" s="47">
        <v>76.89</v>
      </c>
      <c r="C365" s="47">
        <v>74.81</v>
      </c>
      <c r="D365" s="47">
        <v>76</v>
      </c>
      <c r="E365" s="47">
        <v>397826</v>
      </c>
      <c r="F365" s="47" t="s">
        <v>1216</v>
      </c>
      <c r="G365" s="25">
        <f t="shared" si="4"/>
        <v>1.1578947368420911E-2</v>
      </c>
    </row>
    <row r="366" spans="1:7">
      <c r="A366" s="47">
        <v>75.73</v>
      </c>
      <c r="B366" s="47">
        <v>76.23</v>
      </c>
      <c r="C366" s="47">
        <v>74.3</v>
      </c>
      <c r="D366" s="47">
        <v>74.75</v>
      </c>
      <c r="E366" s="47">
        <v>510960</v>
      </c>
      <c r="F366" s="47" t="s">
        <v>1215</v>
      </c>
      <c r="G366" s="25">
        <f t="shared" si="4"/>
        <v>1.3110367892976704E-2</v>
      </c>
    </row>
    <row r="367" spans="1:7">
      <c r="A367" s="47">
        <v>74.73</v>
      </c>
      <c r="B367" s="47">
        <v>74.849999999999994</v>
      </c>
      <c r="C367" s="47">
        <v>71.807500000000005</v>
      </c>
      <c r="D367" s="47">
        <v>71.849999999999994</v>
      </c>
      <c r="E367" s="47">
        <v>423823</v>
      </c>
      <c r="F367" s="47" t="s">
        <v>1214</v>
      </c>
      <c r="G367" s="25">
        <f t="shared" si="4"/>
        <v>4.0083507306889476E-2</v>
      </c>
    </row>
    <row r="368" spans="1:7">
      <c r="A368" s="47">
        <v>70.92</v>
      </c>
      <c r="B368" s="47">
        <v>71.605000000000004</v>
      </c>
      <c r="C368" s="47">
        <v>70.260000000000005</v>
      </c>
      <c r="D368" s="47">
        <v>71.22</v>
      </c>
      <c r="E368" s="47">
        <v>406333</v>
      </c>
      <c r="F368" s="47" t="s">
        <v>1213</v>
      </c>
      <c r="G368" s="25">
        <f t="shared" si="4"/>
        <v>-4.2122999157540031E-3</v>
      </c>
    </row>
    <row r="369" spans="1:7">
      <c r="A369" s="47">
        <v>70.81</v>
      </c>
      <c r="B369" s="47">
        <v>71.040000000000006</v>
      </c>
      <c r="C369" s="47">
        <v>69.42</v>
      </c>
      <c r="D369" s="47">
        <v>70.75</v>
      </c>
      <c r="E369" s="47">
        <v>479054</v>
      </c>
      <c r="F369" s="47" t="s">
        <v>1212</v>
      </c>
      <c r="G369" s="25">
        <f t="shared" si="4"/>
        <v>8.4805653710251505E-4</v>
      </c>
    </row>
    <row r="370" spans="1:7">
      <c r="A370" s="47">
        <v>70.92</v>
      </c>
      <c r="B370" s="47">
        <v>74.099999999999994</v>
      </c>
      <c r="C370" s="47">
        <v>70.45</v>
      </c>
      <c r="D370" s="47">
        <v>73.41</v>
      </c>
      <c r="E370" s="47">
        <v>449630</v>
      </c>
      <c r="F370" s="47" t="s">
        <v>1211</v>
      </c>
      <c r="G370" s="25">
        <f t="shared" si="4"/>
        <v>-3.3919084593379556E-2</v>
      </c>
    </row>
    <row r="371" spans="1:7">
      <c r="A371" s="47">
        <v>73.349999999999994</v>
      </c>
      <c r="B371" s="47">
        <v>75.704999999999998</v>
      </c>
      <c r="C371" s="47">
        <v>73.099999999999994</v>
      </c>
      <c r="D371" s="47">
        <v>73.099999999999994</v>
      </c>
      <c r="E371" s="47">
        <v>367534</v>
      </c>
      <c r="F371" s="47" t="s">
        <v>1210</v>
      </c>
      <c r="G371" s="25">
        <f t="shared" si="4"/>
        <v>3.4199726402188713E-3</v>
      </c>
    </row>
    <row r="372" spans="1:7">
      <c r="A372" s="47">
        <v>73.09</v>
      </c>
      <c r="B372" s="47">
        <v>74.13</v>
      </c>
      <c r="C372" s="47">
        <v>72.72</v>
      </c>
      <c r="D372" s="47">
        <v>73.92</v>
      </c>
      <c r="E372" s="47">
        <v>279294</v>
      </c>
      <c r="F372" s="47" t="s">
        <v>1209</v>
      </c>
      <c r="G372" s="25">
        <f t="shared" si="4"/>
        <v>-1.1228354978354949E-2</v>
      </c>
    </row>
    <row r="373" spans="1:7">
      <c r="A373" s="47">
        <v>73.75</v>
      </c>
      <c r="B373" s="47">
        <v>75.244799999999998</v>
      </c>
      <c r="C373" s="47">
        <v>73.31</v>
      </c>
      <c r="D373" s="47">
        <v>74.69</v>
      </c>
      <c r="E373" s="47">
        <v>217628</v>
      </c>
      <c r="F373" s="47" t="s">
        <v>1208</v>
      </c>
      <c r="G373" s="25">
        <f t="shared" si="4"/>
        <v>-1.2585352791538273E-2</v>
      </c>
    </row>
    <row r="374" spans="1:7">
      <c r="A374" s="47">
        <v>74.97</v>
      </c>
      <c r="B374" s="47">
        <v>75.58</v>
      </c>
      <c r="C374" s="47">
        <v>73.319999999999993</v>
      </c>
      <c r="D374" s="47">
        <v>74.38</v>
      </c>
      <c r="E374" s="47">
        <v>285251</v>
      </c>
      <c r="F374" s="47" t="s">
        <v>1207</v>
      </c>
      <c r="G374" s="25">
        <f t="shared" si="4"/>
        <v>7.9322398494219293E-3</v>
      </c>
    </row>
    <row r="375" spans="1:7">
      <c r="A375" s="47">
        <v>74.81</v>
      </c>
      <c r="B375" s="47">
        <v>78.45</v>
      </c>
      <c r="C375" s="47">
        <v>74.37</v>
      </c>
      <c r="D375" s="47">
        <v>77.569999999999993</v>
      </c>
      <c r="E375" s="47">
        <v>393160</v>
      </c>
      <c r="F375" s="47" t="s">
        <v>1206</v>
      </c>
      <c r="G375" s="25">
        <f t="shared" ref="G375:G438" si="5">A375/D375-1</f>
        <v>-3.558076575995861E-2</v>
      </c>
    </row>
    <row r="376" spans="1:7">
      <c r="A376" s="47">
        <v>78.17</v>
      </c>
      <c r="B376" s="47">
        <v>79.847499999999997</v>
      </c>
      <c r="C376" s="47">
        <v>78.09</v>
      </c>
      <c r="D376" s="47">
        <v>79.58</v>
      </c>
      <c r="E376" s="47">
        <v>848533</v>
      </c>
      <c r="F376" s="47" t="s">
        <v>1205</v>
      </c>
      <c r="G376" s="25">
        <f t="shared" si="5"/>
        <v>-1.7718019602915303E-2</v>
      </c>
    </row>
    <row r="377" spans="1:7">
      <c r="A377" s="47">
        <v>79.11</v>
      </c>
      <c r="B377" s="47">
        <v>80.17</v>
      </c>
      <c r="C377" s="47">
        <v>78.06</v>
      </c>
      <c r="D377" s="47">
        <v>78.489999999999995</v>
      </c>
      <c r="E377" s="47">
        <v>394494</v>
      </c>
      <c r="F377" s="47" t="s">
        <v>1204</v>
      </c>
      <c r="G377" s="25">
        <f t="shared" si="5"/>
        <v>7.8990954261690671E-3</v>
      </c>
    </row>
    <row r="378" spans="1:7">
      <c r="A378" s="47">
        <v>77.680000000000007</v>
      </c>
      <c r="B378" s="47">
        <v>79.525000000000006</v>
      </c>
      <c r="C378" s="47">
        <v>77.59</v>
      </c>
      <c r="D378" s="47">
        <v>79.37</v>
      </c>
      <c r="E378" s="47">
        <v>320819</v>
      </c>
      <c r="F378" s="47" t="s">
        <v>1203</v>
      </c>
      <c r="G378" s="25">
        <f t="shared" si="5"/>
        <v>-2.1292679853849084E-2</v>
      </c>
    </row>
    <row r="379" spans="1:7">
      <c r="A379" s="47">
        <v>79.64</v>
      </c>
      <c r="B379" s="47">
        <v>80.14</v>
      </c>
      <c r="C379" s="47">
        <v>79.06</v>
      </c>
      <c r="D379" s="47">
        <v>80.14</v>
      </c>
      <c r="E379" s="47">
        <v>220431</v>
      </c>
      <c r="F379" s="47" t="s">
        <v>1202</v>
      </c>
      <c r="G379" s="25">
        <f t="shared" si="5"/>
        <v>-6.2390816071874466E-3</v>
      </c>
    </row>
    <row r="380" spans="1:7">
      <c r="A380" s="47">
        <v>80.45</v>
      </c>
      <c r="B380" s="47">
        <v>81.44</v>
      </c>
      <c r="C380" s="47">
        <v>79.39</v>
      </c>
      <c r="D380" s="47">
        <v>80</v>
      </c>
      <c r="E380" s="47">
        <v>279655</v>
      </c>
      <c r="F380" s="47" t="s">
        <v>1201</v>
      </c>
      <c r="G380" s="25">
        <f t="shared" si="5"/>
        <v>5.6249999999999911E-3</v>
      </c>
    </row>
    <row r="381" spans="1:7">
      <c r="A381" s="47">
        <v>79.64</v>
      </c>
      <c r="B381" s="47">
        <v>79.95</v>
      </c>
      <c r="C381" s="47">
        <v>77.86</v>
      </c>
      <c r="D381" s="47">
        <v>77.930000000000007</v>
      </c>
      <c r="E381" s="47">
        <v>396288</v>
      </c>
      <c r="F381" s="47" t="s">
        <v>1200</v>
      </c>
      <c r="G381" s="25">
        <f t="shared" si="5"/>
        <v>2.1942769151802821E-2</v>
      </c>
    </row>
    <row r="382" spans="1:7">
      <c r="A382" s="47">
        <v>77.45</v>
      </c>
      <c r="B382" s="47">
        <v>79.3</v>
      </c>
      <c r="C382" s="47">
        <v>77.430000000000007</v>
      </c>
      <c r="D382" s="47">
        <v>78.92</v>
      </c>
      <c r="E382" s="47">
        <v>279300</v>
      </c>
      <c r="F382" s="47" t="s">
        <v>1199</v>
      </c>
      <c r="G382" s="25">
        <f t="shared" si="5"/>
        <v>-1.8626457171819544E-2</v>
      </c>
    </row>
    <row r="383" spans="1:7">
      <c r="A383" s="47">
        <v>78.849999999999994</v>
      </c>
      <c r="B383" s="47">
        <v>79.679900000000004</v>
      </c>
      <c r="C383" s="47">
        <v>77.972999999999999</v>
      </c>
      <c r="D383" s="47">
        <v>79.05</v>
      </c>
      <c r="E383" s="47">
        <v>327130</v>
      </c>
      <c r="F383" s="47" t="s">
        <v>1198</v>
      </c>
      <c r="G383" s="25">
        <f t="shared" si="5"/>
        <v>-2.5300442757748565E-3</v>
      </c>
    </row>
    <row r="384" spans="1:7">
      <c r="A384" s="47">
        <v>78.58</v>
      </c>
      <c r="B384" s="47">
        <v>79.41</v>
      </c>
      <c r="C384" s="47">
        <v>78.183899999999994</v>
      </c>
      <c r="D384" s="47">
        <v>79.27</v>
      </c>
      <c r="E384" s="47">
        <v>215060</v>
      </c>
      <c r="F384" s="47" t="s">
        <v>1197</v>
      </c>
      <c r="G384" s="25">
        <f t="shared" si="5"/>
        <v>-8.7044279046296635E-3</v>
      </c>
    </row>
    <row r="385" spans="1:7">
      <c r="A385" s="47">
        <v>79.34</v>
      </c>
      <c r="B385" s="47">
        <v>79.36</v>
      </c>
      <c r="C385" s="47">
        <v>77.63</v>
      </c>
      <c r="D385" s="47">
        <v>78.52</v>
      </c>
      <c r="E385" s="47">
        <v>238891</v>
      </c>
      <c r="F385" s="47" t="s">
        <v>1196</v>
      </c>
      <c r="G385" s="25">
        <f t="shared" si="5"/>
        <v>1.0443199184921204E-2</v>
      </c>
    </row>
    <row r="386" spans="1:7">
      <c r="A386" s="47">
        <v>78.2</v>
      </c>
      <c r="B386" s="47">
        <v>79.790000000000006</v>
      </c>
      <c r="C386" s="47">
        <v>78.069999999999993</v>
      </c>
      <c r="D386" s="47">
        <v>79.03</v>
      </c>
      <c r="E386" s="47">
        <v>264571</v>
      </c>
      <c r="F386" s="47" t="s">
        <v>1195</v>
      </c>
      <c r="G386" s="25">
        <f t="shared" si="5"/>
        <v>-1.0502340883208894E-2</v>
      </c>
    </row>
    <row r="387" spans="1:7">
      <c r="A387" s="47">
        <v>79.430000000000007</v>
      </c>
      <c r="B387" s="47">
        <v>80.064999999999998</v>
      </c>
      <c r="C387" s="47">
        <v>78.144999999999996</v>
      </c>
      <c r="D387" s="47">
        <v>78.5</v>
      </c>
      <c r="E387" s="47">
        <v>446211</v>
      </c>
      <c r="F387" s="47" t="s">
        <v>1194</v>
      </c>
      <c r="G387" s="25">
        <f t="shared" si="5"/>
        <v>1.1847133757961981E-2</v>
      </c>
    </row>
    <row r="388" spans="1:7">
      <c r="A388" s="47">
        <v>77.540000000000006</v>
      </c>
      <c r="B388" s="47">
        <v>79.02</v>
      </c>
      <c r="C388" s="47">
        <v>76.984999999999999</v>
      </c>
      <c r="D388" s="47">
        <v>77</v>
      </c>
      <c r="E388" s="47">
        <v>420496</v>
      </c>
      <c r="F388" s="47" t="s">
        <v>1193</v>
      </c>
      <c r="G388" s="25">
        <f t="shared" si="5"/>
        <v>7.0129870129871374E-3</v>
      </c>
    </row>
    <row r="389" spans="1:7">
      <c r="A389" s="47">
        <v>76.33</v>
      </c>
      <c r="B389" s="47">
        <v>76.56</v>
      </c>
      <c r="C389" s="47">
        <v>72.930000000000007</v>
      </c>
      <c r="D389" s="47">
        <v>73.38</v>
      </c>
      <c r="E389" s="47">
        <v>380552</v>
      </c>
      <c r="F389" s="47" t="s">
        <v>1192</v>
      </c>
      <c r="G389" s="25">
        <f t="shared" si="5"/>
        <v>4.0201689833742282E-2</v>
      </c>
    </row>
    <row r="390" spans="1:7">
      <c r="A390" s="47">
        <v>73.010000000000005</v>
      </c>
      <c r="B390" s="47">
        <v>75.14</v>
      </c>
      <c r="C390" s="47">
        <v>72.849999999999994</v>
      </c>
      <c r="D390" s="47">
        <v>75</v>
      </c>
      <c r="E390" s="47">
        <v>217184</v>
      </c>
      <c r="F390" s="47" t="s">
        <v>1191</v>
      </c>
      <c r="G390" s="25">
        <f t="shared" si="5"/>
        <v>-2.6533333333333298E-2</v>
      </c>
    </row>
    <row r="391" spans="1:7">
      <c r="A391" s="47">
        <v>74.62</v>
      </c>
      <c r="B391" s="47">
        <v>75.599999999999994</v>
      </c>
      <c r="C391" s="47">
        <v>74.56</v>
      </c>
      <c r="D391" s="47">
        <v>75.13</v>
      </c>
      <c r="E391" s="47">
        <v>290530</v>
      </c>
      <c r="F391" s="47" t="s">
        <v>1190</v>
      </c>
      <c r="G391" s="25">
        <f t="shared" si="5"/>
        <v>-6.7882337282043625E-3</v>
      </c>
    </row>
    <row r="392" spans="1:7">
      <c r="A392" s="47">
        <v>75.31</v>
      </c>
      <c r="B392" s="47">
        <v>75.66</v>
      </c>
      <c r="C392" s="47">
        <v>72.81</v>
      </c>
      <c r="D392" s="47">
        <v>73.34</v>
      </c>
      <c r="E392" s="47">
        <v>325788</v>
      </c>
      <c r="F392" s="47" t="s">
        <v>1189</v>
      </c>
      <c r="G392" s="25">
        <f t="shared" si="5"/>
        <v>2.6861194436869296E-2</v>
      </c>
    </row>
    <row r="393" spans="1:7">
      <c r="A393" s="47">
        <v>72.39</v>
      </c>
      <c r="B393" s="47">
        <v>73.61</v>
      </c>
      <c r="C393" s="47">
        <v>71.78</v>
      </c>
      <c r="D393" s="47">
        <v>72.2</v>
      </c>
      <c r="E393" s="47">
        <v>414078</v>
      </c>
      <c r="F393" s="47" t="s">
        <v>1188</v>
      </c>
      <c r="G393" s="25">
        <f t="shared" si="5"/>
        <v>2.6315789473683182E-3</v>
      </c>
    </row>
    <row r="394" spans="1:7">
      <c r="A394" s="47">
        <v>71.36</v>
      </c>
      <c r="B394" s="47">
        <v>72.760000000000005</v>
      </c>
      <c r="C394" s="47">
        <v>70</v>
      </c>
      <c r="D394" s="47">
        <v>71.63</v>
      </c>
      <c r="E394" s="47">
        <v>449648</v>
      </c>
      <c r="F394" s="47" t="s">
        <v>1187</v>
      </c>
      <c r="G394" s="25">
        <f t="shared" si="5"/>
        <v>-3.7693703755409258E-3</v>
      </c>
    </row>
    <row r="395" spans="1:7">
      <c r="A395" s="47">
        <v>71.78</v>
      </c>
      <c r="B395" s="47">
        <v>71.92</v>
      </c>
      <c r="C395" s="47">
        <v>67.319999999999993</v>
      </c>
      <c r="D395" s="47">
        <v>68.11</v>
      </c>
      <c r="E395" s="47">
        <v>729840</v>
      </c>
      <c r="F395" s="47" t="s">
        <v>1186</v>
      </c>
      <c r="G395" s="25">
        <f t="shared" si="5"/>
        <v>5.3883423873146485E-2</v>
      </c>
    </row>
    <row r="396" spans="1:7">
      <c r="A396" s="47">
        <v>72.19</v>
      </c>
      <c r="B396" s="47">
        <v>74.44</v>
      </c>
      <c r="C396" s="47">
        <v>65.47</v>
      </c>
      <c r="D396" s="47">
        <v>69.569999999999993</v>
      </c>
      <c r="E396" s="47">
        <v>1173974</v>
      </c>
      <c r="F396" s="47" t="s">
        <v>1185</v>
      </c>
      <c r="G396" s="25">
        <f t="shared" si="5"/>
        <v>3.7659910881127079E-2</v>
      </c>
    </row>
    <row r="397" spans="1:7">
      <c r="A397" s="47">
        <v>72.55</v>
      </c>
      <c r="B397" s="47">
        <v>74.37</v>
      </c>
      <c r="C397" s="47">
        <v>71.92</v>
      </c>
      <c r="D397" s="47">
        <v>73.36</v>
      </c>
      <c r="E397" s="47">
        <v>783363</v>
      </c>
      <c r="F397" s="47" t="s">
        <v>1184</v>
      </c>
      <c r="G397" s="25">
        <f t="shared" si="5"/>
        <v>-1.1041439476554005E-2</v>
      </c>
    </row>
    <row r="398" spans="1:7">
      <c r="A398" s="47">
        <v>73.77</v>
      </c>
      <c r="B398" s="47">
        <v>74.88</v>
      </c>
      <c r="C398" s="47">
        <v>73.290000000000006</v>
      </c>
      <c r="D398" s="47">
        <v>73.78</v>
      </c>
      <c r="E398" s="47">
        <v>619579</v>
      </c>
      <c r="F398" s="47" t="s">
        <v>1183</v>
      </c>
      <c r="G398" s="25">
        <f t="shared" si="5"/>
        <v>-1.3553808620225816E-4</v>
      </c>
    </row>
    <row r="399" spans="1:7">
      <c r="A399" s="47">
        <v>73.72</v>
      </c>
      <c r="B399" s="47">
        <v>74.045000000000002</v>
      </c>
      <c r="C399" s="47">
        <v>73.010000000000005</v>
      </c>
      <c r="D399" s="47">
        <v>73.260000000000005</v>
      </c>
      <c r="E399" s="47">
        <v>535139</v>
      </c>
      <c r="F399" s="47" t="s">
        <v>1182</v>
      </c>
      <c r="G399" s="25">
        <f t="shared" si="5"/>
        <v>6.2790062790061274E-3</v>
      </c>
    </row>
    <row r="400" spans="1:7">
      <c r="A400" s="47">
        <v>73.19</v>
      </c>
      <c r="B400" s="47">
        <v>74.909899999999993</v>
      </c>
      <c r="C400" s="47">
        <v>72.67</v>
      </c>
      <c r="D400" s="47">
        <v>74.69</v>
      </c>
      <c r="E400" s="47">
        <v>364602</v>
      </c>
      <c r="F400" s="47" t="s">
        <v>1181</v>
      </c>
      <c r="G400" s="25">
        <f t="shared" si="5"/>
        <v>-2.0083009773731453E-2</v>
      </c>
    </row>
    <row r="401" spans="1:7">
      <c r="A401" s="47">
        <v>74.52</v>
      </c>
      <c r="B401" s="47">
        <v>75.709999999999994</v>
      </c>
      <c r="C401" s="47">
        <v>73.88</v>
      </c>
      <c r="D401" s="47">
        <v>75.709999999999994</v>
      </c>
      <c r="E401" s="47">
        <v>279743</v>
      </c>
      <c r="F401" s="47" t="s">
        <v>1180</v>
      </c>
      <c r="G401" s="25">
        <f t="shared" si="5"/>
        <v>-1.5717870822876789E-2</v>
      </c>
    </row>
    <row r="402" spans="1:7">
      <c r="A402" s="47">
        <v>74.58</v>
      </c>
      <c r="B402" s="47">
        <v>75.704999999999998</v>
      </c>
      <c r="C402" s="47">
        <v>72.66</v>
      </c>
      <c r="D402" s="47">
        <v>72.83</v>
      </c>
      <c r="E402" s="47">
        <v>556664</v>
      </c>
      <c r="F402" s="47" t="s">
        <v>1179</v>
      </c>
      <c r="G402" s="25">
        <f t="shared" si="5"/>
        <v>2.4028559659480919E-2</v>
      </c>
    </row>
    <row r="403" spans="1:7">
      <c r="A403" s="47">
        <v>72.25</v>
      </c>
      <c r="B403" s="47">
        <v>73.86</v>
      </c>
      <c r="C403" s="47">
        <v>71.86</v>
      </c>
      <c r="D403" s="47">
        <v>72.72</v>
      </c>
      <c r="E403" s="47">
        <v>294288</v>
      </c>
      <c r="F403" s="47" t="s">
        <v>1178</v>
      </c>
      <c r="G403" s="25">
        <f t="shared" si="5"/>
        <v>-6.4631463146314072E-3</v>
      </c>
    </row>
    <row r="404" spans="1:7">
      <c r="A404" s="47">
        <v>72.84</v>
      </c>
      <c r="B404" s="47">
        <v>73.37</v>
      </c>
      <c r="C404" s="47">
        <v>72.099999999999994</v>
      </c>
      <c r="D404" s="47">
        <v>72.58</v>
      </c>
      <c r="E404" s="47">
        <v>475604</v>
      </c>
      <c r="F404" s="47" t="s">
        <v>1177</v>
      </c>
      <c r="G404" s="25">
        <f t="shared" si="5"/>
        <v>3.582254064480539E-3</v>
      </c>
    </row>
    <row r="405" spans="1:7">
      <c r="A405" s="47">
        <v>72.45</v>
      </c>
      <c r="B405" s="47">
        <v>72.92</v>
      </c>
      <c r="C405" s="47">
        <v>71.25</v>
      </c>
      <c r="D405" s="47">
        <v>72.790000000000006</v>
      </c>
      <c r="E405" s="47">
        <v>347090</v>
      </c>
      <c r="F405" s="47" t="s">
        <v>1176</v>
      </c>
      <c r="G405" s="25">
        <f t="shared" si="5"/>
        <v>-4.6709712872647913E-3</v>
      </c>
    </row>
    <row r="406" spans="1:7">
      <c r="A406" s="47">
        <v>72.09</v>
      </c>
      <c r="B406" s="47">
        <v>72.81</v>
      </c>
      <c r="C406" s="47">
        <v>71.290000000000006</v>
      </c>
      <c r="D406" s="47">
        <v>72.75</v>
      </c>
      <c r="E406" s="47">
        <v>395806</v>
      </c>
      <c r="F406" s="47" t="s">
        <v>1175</v>
      </c>
      <c r="G406" s="25">
        <f t="shared" si="5"/>
        <v>-9.0721649484535316E-3</v>
      </c>
    </row>
    <row r="407" spans="1:7">
      <c r="A407" s="47">
        <v>72.7</v>
      </c>
      <c r="B407" s="47">
        <v>75.31</v>
      </c>
      <c r="C407" s="47">
        <v>72.239999999999995</v>
      </c>
      <c r="D407" s="47">
        <v>73.930000000000007</v>
      </c>
      <c r="E407" s="47">
        <v>600612</v>
      </c>
      <c r="F407" s="47" t="s">
        <v>1174</v>
      </c>
      <c r="G407" s="25">
        <f t="shared" si="5"/>
        <v>-1.6637359664547602E-2</v>
      </c>
    </row>
    <row r="408" spans="1:7">
      <c r="A408" s="47">
        <v>74.400000000000006</v>
      </c>
      <c r="B408" s="47">
        <v>75.14</v>
      </c>
      <c r="C408" s="47">
        <v>73.900000000000006</v>
      </c>
      <c r="D408" s="47">
        <v>74.77</v>
      </c>
      <c r="E408" s="47">
        <v>500685</v>
      </c>
      <c r="F408" s="47" t="s">
        <v>1173</v>
      </c>
      <c r="G408" s="25">
        <f t="shared" si="5"/>
        <v>-4.9485087601978117E-3</v>
      </c>
    </row>
    <row r="409" spans="1:7">
      <c r="A409" s="47">
        <v>75.19</v>
      </c>
      <c r="B409" s="47">
        <v>76.150000000000006</v>
      </c>
      <c r="C409" s="47">
        <v>74.5</v>
      </c>
      <c r="D409" s="47">
        <v>75.25</v>
      </c>
      <c r="E409" s="47">
        <v>627045</v>
      </c>
      <c r="F409" s="47" t="s">
        <v>1172</v>
      </c>
      <c r="G409" s="25">
        <f t="shared" si="5"/>
        <v>-7.9734219269100848E-4</v>
      </c>
    </row>
    <row r="410" spans="1:7">
      <c r="A410" s="47">
        <v>74.69</v>
      </c>
      <c r="B410" s="47">
        <v>74.834999999999994</v>
      </c>
      <c r="C410" s="47">
        <v>73.23</v>
      </c>
      <c r="D410" s="47">
        <v>74.5</v>
      </c>
      <c r="E410" s="47">
        <v>679048</v>
      </c>
      <c r="F410" s="47" t="s">
        <v>1171</v>
      </c>
      <c r="G410" s="25">
        <f t="shared" si="5"/>
        <v>2.5503355704696862E-3</v>
      </c>
    </row>
    <row r="411" spans="1:7">
      <c r="A411" s="47">
        <v>74.33</v>
      </c>
      <c r="B411" s="47">
        <v>75.332700000000003</v>
      </c>
      <c r="C411" s="47">
        <v>73.25</v>
      </c>
      <c r="D411" s="47">
        <v>73.849999999999994</v>
      </c>
      <c r="E411" s="47">
        <v>438160</v>
      </c>
      <c r="F411" s="47" t="s">
        <v>1170</v>
      </c>
      <c r="G411" s="25">
        <f t="shared" si="5"/>
        <v>6.4996614759649241E-3</v>
      </c>
    </row>
    <row r="412" spans="1:7">
      <c r="A412" s="47">
        <v>73.05</v>
      </c>
      <c r="B412" s="47">
        <v>73.91</v>
      </c>
      <c r="C412" s="47">
        <v>71.242699999999999</v>
      </c>
      <c r="D412" s="47">
        <v>71.819999999999993</v>
      </c>
      <c r="E412" s="47">
        <v>574894</v>
      </c>
      <c r="F412" s="47" t="s">
        <v>1169</v>
      </c>
      <c r="G412" s="25">
        <f t="shared" si="5"/>
        <v>1.7126148705096211E-2</v>
      </c>
    </row>
    <row r="413" spans="1:7">
      <c r="A413" s="47">
        <v>70.260000000000005</v>
      </c>
      <c r="B413" s="47">
        <v>70.95</v>
      </c>
      <c r="C413" s="47">
        <v>69.400000000000006</v>
      </c>
      <c r="D413" s="47">
        <v>70.95</v>
      </c>
      <c r="E413" s="47">
        <v>387892</v>
      </c>
      <c r="F413" s="47" t="s">
        <v>1168</v>
      </c>
      <c r="G413" s="25">
        <f t="shared" si="5"/>
        <v>-9.725158562367886E-3</v>
      </c>
    </row>
    <row r="414" spans="1:7">
      <c r="A414" s="47">
        <v>70.760000000000005</v>
      </c>
      <c r="B414" s="47">
        <v>71.62</v>
      </c>
      <c r="C414" s="47">
        <v>70.540000000000006</v>
      </c>
      <c r="D414" s="47">
        <v>71.28</v>
      </c>
      <c r="E414" s="47">
        <v>385864</v>
      </c>
      <c r="F414" s="47" t="s">
        <v>1167</v>
      </c>
      <c r="G414" s="25">
        <f t="shared" si="5"/>
        <v>-7.2951739618405398E-3</v>
      </c>
    </row>
    <row r="415" spans="1:7">
      <c r="A415" s="47">
        <v>71.34</v>
      </c>
      <c r="B415" s="47">
        <v>72.23</v>
      </c>
      <c r="C415" s="47">
        <v>71.099999999999994</v>
      </c>
      <c r="D415" s="47">
        <v>72.23</v>
      </c>
      <c r="E415" s="47">
        <v>450381</v>
      </c>
      <c r="F415" s="47" t="s">
        <v>1166</v>
      </c>
      <c r="G415" s="25">
        <f t="shared" si="5"/>
        <v>-1.2321749965388373E-2</v>
      </c>
    </row>
    <row r="416" spans="1:7">
      <c r="A416" s="47">
        <v>72.06</v>
      </c>
      <c r="B416" s="47">
        <v>72.97</v>
      </c>
      <c r="C416" s="47">
        <v>71.75</v>
      </c>
      <c r="D416" s="47">
        <v>72.36</v>
      </c>
      <c r="E416" s="47">
        <v>378314</v>
      </c>
      <c r="F416" s="47" t="s">
        <v>1165</v>
      </c>
      <c r="G416" s="25">
        <f t="shared" si="5"/>
        <v>-4.1459369817578029E-3</v>
      </c>
    </row>
    <row r="417" spans="1:7">
      <c r="A417" s="47">
        <v>72.599999999999994</v>
      </c>
      <c r="B417" s="47">
        <v>72.87</v>
      </c>
      <c r="C417" s="47">
        <v>72.08</v>
      </c>
      <c r="D417" s="47">
        <v>72.150000000000006</v>
      </c>
      <c r="E417" s="47">
        <v>165039</v>
      </c>
      <c r="F417" s="47" t="s">
        <v>1164</v>
      </c>
      <c r="G417" s="25">
        <f t="shared" si="5"/>
        <v>6.2370062370060708E-3</v>
      </c>
    </row>
    <row r="418" spans="1:7">
      <c r="A418" s="47">
        <v>71.87</v>
      </c>
      <c r="B418" s="47">
        <v>72.185000000000002</v>
      </c>
      <c r="C418" s="47">
        <v>70.989999999999995</v>
      </c>
      <c r="D418" s="47">
        <v>71.900000000000006</v>
      </c>
      <c r="E418" s="47">
        <v>512561</v>
      </c>
      <c r="F418" s="47" t="s">
        <v>1163</v>
      </c>
      <c r="G418" s="25">
        <f t="shared" si="5"/>
        <v>-4.1724617524341312E-4</v>
      </c>
    </row>
    <row r="419" spans="1:7">
      <c r="A419" s="47">
        <v>71.489999999999995</v>
      </c>
      <c r="B419" s="47">
        <v>72.62</v>
      </c>
      <c r="C419" s="47">
        <v>70.215000000000003</v>
      </c>
      <c r="D419" s="47">
        <v>72.62</v>
      </c>
      <c r="E419" s="47">
        <v>667120</v>
      </c>
      <c r="F419" s="47" t="s">
        <v>1162</v>
      </c>
      <c r="G419" s="25">
        <f t="shared" si="5"/>
        <v>-1.5560451666207786E-2</v>
      </c>
    </row>
    <row r="420" spans="1:7">
      <c r="A420" s="47">
        <v>72.989999999999995</v>
      </c>
      <c r="B420" s="47">
        <v>74.974999999999994</v>
      </c>
      <c r="C420" s="47">
        <v>72.67</v>
      </c>
      <c r="D420" s="47">
        <v>74.489999999999995</v>
      </c>
      <c r="E420" s="47">
        <v>1007500</v>
      </c>
      <c r="F420" s="47" t="s">
        <v>1161</v>
      </c>
      <c r="G420" s="25">
        <f t="shared" si="5"/>
        <v>-2.0136931131695568E-2</v>
      </c>
    </row>
    <row r="421" spans="1:7">
      <c r="A421" s="47">
        <v>73.489999999999995</v>
      </c>
      <c r="B421" s="47">
        <v>75</v>
      </c>
      <c r="C421" s="47">
        <v>72.97</v>
      </c>
      <c r="D421" s="47">
        <v>73.52</v>
      </c>
      <c r="E421" s="47">
        <v>330518</v>
      </c>
      <c r="F421" s="47" t="s">
        <v>1160</v>
      </c>
      <c r="G421" s="25">
        <f t="shared" si="5"/>
        <v>-4.0805223068551832E-4</v>
      </c>
    </row>
    <row r="422" spans="1:7">
      <c r="A422" s="47">
        <v>73.459999999999994</v>
      </c>
      <c r="B422" s="47">
        <v>74.14</v>
      </c>
      <c r="C422" s="47">
        <v>71.44</v>
      </c>
      <c r="D422" s="47">
        <v>71.97</v>
      </c>
      <c r="E422" s="47">
        <v>308348</v>
      </c>
      <c r="F422" s="47" t="s">
        <v>1159</v>
      </c>
      <c r="G422" s="25">
        <f t="shared" si="5"/>
        <v>2.0703070723912642E-2</v>
      </c>
    </row>
    <row r="423" spans="1:7">
      <c r="A423" s="47">
        <v>72.23</v>
      </c>
      <c r="B423" s="47">
        <v>73</v>
      </c>
      <c r="C423" s="47">
        <v>71.61</v>
      </c>
      <c r="D423" s="47">
        <v>72.36</v>
      </c>
      <c r="E423" s="47">
        <v>402415</v>
      </c>
      <c r="F423" s="47" t="s">
        <v>1158</v>
      </c>
      <c r="G423" s="25">
        <f t="shared" si="5"/>
        <v>-1.7965726920949887E-3</v>
      </c>
    </row>
    <row r="424" spans="1:7">
      <c r="A424" s="47">
        <v>72.31</v>
      </c>
      <c r="B424" s="47">
        <v>74.010000000000005</v>
      </c>
      <c r="C424" s="47">
        <v>72.161000000000001</v>
      </c>
      <c r="D424" s="47">
        <v>72.88</v>
      </c>
      <c r="E424" s="47">
        <v>357735</v>
      </c>
      <c r="F424" s="47" t="s">
        <v>1157</v>
      </c>
      <c r="G424" s="25">
        <f t="shared" si="5"/>
        <v>-7.821075740943928E-3</v>
      </c>
    </row>
    <row r="425" spans="1:7">
      <c r="A425" s="47">
        <v>73.069999999999993</v>
      </c>
      <c r="B425" s="47">
        <v>73.89</v>
      </c>
      <c r="C425" s="47">
        <v>70.84</v>
      </c>
      <c r="D425" s="47">
        <v>70.97</v>
      </c>
      <c r="E425" s="47">
        <v>857980</v>
      </c>
      <c r="F425" s="47" t="s">
        <v>1156</v>
      </c>
      <c r="G425" s="25">
        <f t="shared" si="5"/>
        <v>2.9589967591940214E-2</v>
      </c>
    </row>
    <row r="426" spans="1:7">
      <c r="A426" s="47">
        <v>70.760000000000005</v>
      </c>
      <c r="B426" s="47">
        <v>70.959999999999994</v>
      </c>
      <c r="C426" s="47">
        <v>69.454999999999998</v>
      </c>
      <c r="D426" s="47">
        <v>69.819999999999993</v>
      </c>
      <c r="E426" s="47">
        <v>544731</v>
      </c>
      <c r="F426" s="47" t="s">
        <v>1155</v>
      </c>
      <c r="G426" s="25">
        <f t="shared" si="5"/>
        <v>1.3463191062732971E-2</v>
      </c>
    </row>
    <row r="427" spans="1:7">
      <c r="A427" s="47">
        <v>70.22</v>
      </c>
      <c r="B427" s="47">
        <v>72.62</v>
      </c>
      <c r="C427" s="47">
        <v>70.010000000000005</v>
      </c>
      <c r="D427" s="47">
        <v>72.22</v>
      </c>
      <c r="E427" s="47">
        <v>506488</v>
      </c>
      <c r="F427" s="47" t="s">
        <v>1154</v>
      </c>
      <c r="G427" s="25">
        <f t="shared" si="5"/>
        <v>-2.7693159789532018E-2</v>
      </c>
    </row>
    <row r="428" spans="1:7">
      <c r="A428" s="47">
        <v>72.5</v>
      </c>
      <c r="B428" s="47">
        <v>74.19</v>
      </c>
      <c r="C428" s="47">
        <v>72.349999999999994</v>
      </c>
      <c r="D428" s="47">
        <v>73.849999999999994</v>
      </c>
      <c r="E428" s="47">
        <v>275707</v>
      </c>
      <c r="F428" s="47" t="s">
        <v>1153</v>
      </c>
      <c r="G428" s="25">
        <f t="shared" si="5"/>
        <v>-1.8280297901150933E-2</v>
      </c>
    </row>
    <row r="429" spans="1:7">
      <c r="A429" s="47">
        <v>74.47</v>
      </c>
      <c r="B429" s="47">
        <v>74.8</v>
      </c>
      <c r="C429" s="47">
        <v>73.62</v>
      </c>
      <c r="D429" s="47">
        <v>73.62</v>
      </c>
      <c r="E429" s="47">
        <v>230182</v>
      </c>
      <c r="F429" s="47" t="s">
        <v>1152</v>
      </c>
      <c r="G429" s="25">
        <f t="shared" si="5"/>
        <v>1.1545775604455244E-2</v>
      </c>
    </row>
    <row r="430" spans="1:7">
      <c r="A430" s="47">
        <v>74.17</v>
      </c>
      <c r="B430" s="47">
        <v>76.14</v>
      </c>
      <c r="C430" s="47">
        <v>73.75</v>
      </c>
      <c r="D430" s="47">
        <v>75.680000000000007</v>
      </c>
      <c r="E430" s="47">
        <v>214665</v>
      </c>
      <c r="F430" s="47" t="s">
        <v>1151</v>
      </c>
      <c r="G430" s="25">
        <f t="shared" si="5"/>
        <v>-1.9952431289640638E-2</v>
      </c>
    </row>
    <row r="431" spans="1:7">
      <c r="A431" s="47">
        <v>75.86</v>
      </c>
      <c r="B431" s="47">
        <v>77.8</v>
      </c>
      <c r="C431" s="47">
        <v>75.424999999999997</v>
      </c>
      <c r="D431" s="47">
        <v>75.540000000000006</v>
      </c>
      <c r="E431" s="47">
        <v>363547</v>
      </c>
      <c r="F431" s="47" t="s">
        <v>1150</v>
      </c>
      <c r="G431" s="25">
        <f t="shared" si="5"/>
        <v>4.2361662695260538E-3</v>
      </c>
    </row>
    <row r="432" spans="1:7">
      <c r="A432" s="47">
        <v>73.5</v>
      </c>
      <c r="B432" s="47">
        <v>75.010000000000005</v>
      </c>
      <c r="C432" s="47">
        <v>73.319999999999993</v>
      </c>
      <c r="D432" s="47">
        <v>75.010000000000005</v>
      </c>
      <c r="E432" s="47">
        <v>366344</v>
      </c>
      <c r="F432" s="47" t="s">
        <v>1149</v>
      </c>
      <c r="G432" s="25">
        <f t="shared" si="5"/>
        <v>-2.0130649246767218E-2</v>
      </c>
    </row>
    <row r="433" spans="1:7">
      <c r="A433" s="47">
        <v>75.349999999999994</v>
      </c>
      <c r="B433" s="47">
        <v>77.155000000000001</v>
      </c>
      <c r="C433" s="47">
        <v>74.64</v>
      </c>
      <c r="D433" s="47">
        <v>76.569999999999993</v>
      </c>
      <c r="E433" s="47">
        <v>375549</v>
      </c>
      <c r="F433" s="47" t="s">
        <v>1148</v>
      </c>
      <c r="G433" s="25">
        <f t="shared" si="5"/>
        <v>-1.59331330808411E-2</v>
      </c>
    </row>
    <row r="434" spans="1:7">
      <c r="A434" s="47">
        <v>77.09</v>
      </c>
      <c r="B434" s="47">
        <v>77.45</v>
      </c>
      <c r="C434" s="47">
        <v>75.98</v>
      </c>
      <c r="D434" s="47">
        <v>77.150000000000006</v>
      </c>
      <c r="E434" s="47">
        <v>276813</v>
      </c>
      <c r="F434" s="47" t="s">
        <v>1147</v>
      </c>
      <c r="G434" s="25">
        <f t="shared" si="5"/>
        <v>-7.7770576798452673E-4</v>
      </c>
    </row>
    <row r="435" spans="1:7">
      <c r="A435" s="47">
        <v>77.709999999999994</v>
      </c>
      <c r="B435" s="47">
        <v>78.11</v>
      </c>
      <c r="C435" s="47">
        <v>75.260000000000005</v>
      </c>
      <c r="D435" s="47">
        <v>75.260000000000005</v>
      </c>
      <c r="E435" s="47">
        <v>400129</v>
      </c>
      <c r="F435" s="47" t="s">
        <v>1146</v>
      </c>
      <c r="G435" s="25">
        <f t="shared" si="5"/>
        <v>3.2553813446717816E-2</v>
      </c>
    </row>
    <row r="436" spans="1:7">
      <c r="A436" s="47">
        <v>75.56</v>
      </c>
      <c r="B436" s="47">
        <v>76.11</v>
      </c>
      <c r="C436" s="47">
        <v>74.67</v>
      </c>
      <c r="D436" s="47">
        <v>76.11</v>
      </c>
      <c r="E436" s="47">
        <v>301625</v>
      </c>
      <c r="F436" s="47" t="s">
        <v>1145</v>
      </c>
      <c r="G436" s="25">
        <f t="shared" si="5"/>
        <v>-7.226382866903136E-3</v>
      </c>
    </row>
    <row r="437" spans="1:7">
      <c r="A437" s="47">
        <v>75.33</v>
      </c>
      <c r="B437" s="47">
        <v>76.605000000000004</v>
      </c>
      <c r="C437" s="47">
        <v>74.959999999999994</v>
      </c>
      <c r="D437" s="47">
        <v>75.599999999999994</v>
      </c>
      <c r="E437" s="47">
        <v>245670</v>
      </c>
      <c r="F437" s="47" t="s">
        <v>1144</v>
      </c>
      <c r="G437" s="25">
        <f t="shared" si="5"/>
        <v>-3.5714285714285587E-3</v>
      </c>
    </row>
    <row r="438" spans="1:7">
      <c r="A438" s="47">
        <v>75.900000000000006</v>
      </c>
      <c r="B438" s="47">
        <v>78.489999999999995</v>
      </c>
      <c r="C438" s="47">
        <v>75.174999999999997</v>
      </c>
      <c r="D438" s="47">
        <v>77.87</v>
      </c>
      <c r="E438" s="47">
        <v>222434</v>
      </c>
      <c r="F438" s="47" t="s">
        <v>1143</v>
      </c>
      <c r="G438" s="25">
        <f t="shared" si="5"/>
        <v>-2.5298574547322428E-2</v>
      </c>
    </row>
    <row r="439" spans="1:7">
      <c r="A439" s="47">
        <v>76.97</v>
      </c>
      <c r="B439" s="47">
        <v>77.5</v>
      </c>
      <c r="C439" s="47">
        <v>75.22</v>
      </c>
      <c r="D439" s="47">
        <v>76.680000000000007</v>
      </c>
      <c r="E439" s="47">
        <v>337027</v>
      </c>
      <c r="F439" s="47" t="s">
        <v>1142</v>
      </c>
      <c r="G439" s="25">
        <f t="shared" ref="G439:G502" si="6">A439/D439-1</f>
        <v>3.7819509650494076E-3</v>
      </c>
    </row>
    <row r="440" spans="1:7">
      <c r="A440" s="47">
        <v>76.31</v>
      </c>
      <c r="B440" s="47">
        <v>77.27</v>
      </c>
      <c r="C440" s="47">
        <v>75.77</v>
      </c>
      <c r="D440" s="47">
        <v>77.06</v>
      </c>
      <c r="E440" s="47">
        <v>310647</v>
      </c>
      <c r="F440" s="47" t="s">
        <v>1141</v>
      </c>
      <c r="G440" s="25">
        <f t="shared" si="6"/>
        <v>-9.7326758370100963E-3</v>
      </c>
    </row>
    <row r="441" spans="1:7">
      <c r="A441" s="47">
        <v>77.52</v>
      </c>
      <c r="B441" s="47">
        <v>79</v>
      </c>
      <c r="C441" s="47">
        <v>77.31</v>
      </c>
      <c r="D441" s="47">
        <v>77.459999999999994</v>
      </c>
      <c r="E441" s="47">
        <v>204795</v>
      </c>
      <c r="F441" s="47" t="s">
        <v>1140</v>
      </c>
      <c r="G441" s="25">
        <f t="shared" si="6"/>
        <v>7.7459333849727585E-4</v>
      </c>
    </row>
    <row r="442" spans="1:7">
      <c r="A442" s="47">
        <v>78.33</v>
      </c>
      <c r="B442" s="47">
        <v>80.36</v>
      </c>
      <c r="C442" s="47">
        <v>77.59</v>
      </c>
      <c r="D442" s="47">
        <v>80.12</v>
      </c>
      <c r="E442" s="47">
        <v>256436</v>
      </c>
      <c r="F442" s="47" t="s">
        <v>1139</v>
      </c>
      <c r="G442" s="25">
        <f t="shared" si="6"/>
        <v>-2.2341487768347545E-2</v>
      </c>
    </row>
    <row r="443" spans="1:7">
      <c r="A443" s="47">
        <v>79.5</v>
      </c>
      <c r="B443" s="47">
        <v>80.83</v>
      </c>
      <c r="C443" s="47">
        <v>79.180000000000007</v>
      </c>
      <c r="D443" s="47">
        <v>80.64</v>
      </c>
      <c r="E443" s="47">
        <v>229467</v>
      </c>
      <c r="F443" s="47" t="s">
        <v>1138</v>
      </c>
      <c r="G443" s="25">
        <f t="shared" si="6"/>
        <v>-1.4136904761904767E-2</v>
      </c>
    </row>
    <row r="444" spans="1:7">
      <c r="A444" s="47">
        <v>80.72</v>
      </c>
      <c r="B444" s="47">
        <v>82.31</v>
      </c>
      <c r="C444" s="47">
        <v>79.599999999999994</v>
      </c>
      <c r="D444" s="47">
        <v>81.95</v>
      </c>
      <c r="E444" s="47">
        <v>238680</v>
      </c>
      <c r="F444" s="47" t="s">
        <v>1137</v>
      </c>
      <c r="G444" s="25">
        <f t="shared" si="6"/>
        <v>-1.5009151921903663E-2</v>
      </c>
    </row>
    <row r="445" spans="1:7">
      <c r="A445" s="47">
        <v>81.77</v>
      </c>
      <c r="B445" s="47">
        <v>83.125</v>
      </c>
      <c r="C445" s="47">
        <v>81.09</v>
      </c>
      <c r="D445" s="47">
        <v>82.63</v>
      </c>
      <c r="E445" s="47">
        <v>219731</v>
      </c>
      <c r="F445" s="47" t="s">
        <v>1136</v>
      </c>
      <c r="G445" s="25">
        <f t="shared" si="6"/>
        <v>-1.0407842188067229E-2</v>
      </c>
    </row>
    <row r="446" spans="1:7">
      <c r="A446" s="47">
        <v>82.9</v>
      </c>
      <c r="B446" s="47">
        <v>84.98</v>
      </c>
      <c r="C446" s="47">
        <v>82.89</v>
      </c>
      <c r="D446" s="47">
        <v>84.98</v>
      </c>
      <c r="E446" s="47">
        <v>157011</v>
      </c>
      <c r="F446" s="47" t="s">
        <v>1135</v>
      </c>
      <c r="G446" s="25">
        <f t="shared" si="6"/>
        <v>-2.4476347375853136E-2</v>
      </c>
    </row>
    <row r="447" spans="1:7">
      <c r="A447" s="47">
        <v>85.49</v>
      </c>
      <c r="B447" s="47">
        <v>86</v>
      </c>
      <c r="C447" s="47">
        <v>84.52</v>
      </c>
      <c r="D447" s="47">
        <v>84.59</v>
      </c>
      <c r="E447" s="47">
        <v>253367</v>
      </c>
      <c r="F447" s="47" t="s">
        <v>1134</v>
      </c>
      <c r="G447" s="25">
        <f t="shared" si="6"/>
        <v>1.0639555503014542E-2</v>
      </c>
    </row>
    <row r="448" spans="1:7">
      <c r="A448" s="47">
        <v>84.83</v>
      </c>
      <c r="B448" s="47">
        <v>85.3</v>
      </c>
      <c r="C448" s="47">
        <v>84.1</v>
      </c>
      <c r="D448" s="47">
        <v>85.3</v>
      </c>
      <c r="E448" s="47">
        <v>198674</v>
      </c>
      <c r="F448" s="47" t="s">
        <v>1133</v>
      </c>
      <c r="G448" s="25">
        <f t="shared" si="6"/>
        <v>-5.5099648300117599E-3</v>
      </c>
    </row>
    <row r="449" spans="1:7">
      <c r="A449" s="47">
        <v>85.1</v>
      </c>
      <c r="B449" s="47">
        <v>86.3</v>
      </c>
      <c r="C449" s="47">
        <v>82.72</v>
      </c>
      <c r="D449" s="47">
        <v>83.99</v>
      </c>
      <c r="E449" s="47">
        <v>269893</v>
      </c>
      <c r="F449" s="47" t="s">
        <v>1132</v>
      </c>
      <c r="G449" s="25">
        <f t="shared" si="6"/>
        <v>1.3215859030837107E-2</v>
      </c>
    </row>
    <row r="450" spans="1:7">
      <c r="A450" s="47">
        <v>84.13</v>
      </c>
      <c r="B450" s="47">
        <v>86.44</v>
      </c>
      <c r="C450" s="47">
        <v>83.31</v>
      </c>
      <c r="D450" s="47">
        <v>85.76</v>
      </c>
      <c r="E450" s="47">
        <v>316440</v>
      </c>
      <c r="F450" s="47" t="s">
        <v>1131</v>
      </c>
      <c r="G450" s="25">
        <f t="shared" si="6"/>
        <v>-1.9006529850746356E-2</v>
      </c>
    </row>
    <row r="451" spans="1:7">
      <c r="A451" s="47">
        <v>84.33</v>
      </c>
      <c r="B451" s="47">
        <v>86</v>
      </c>
      <c r="C451" s="47">
        <v>83.6</v>
      </c>
      <c r="D451" s="47">
        <v>84.66</v>
      </c>
      <c r="E451" s="47">
        <v>320551</v>
      </c>
      <c r="F451" s="47" t="s">
        <v>1130</v>
      </c>
      <c r="G451" s="25">
        <f t="shared" si="6"/>
        <v>-3.8979447200566675E-3</v>
      </c>
    </row>
    <row r="452" spans="1:7">
      <c r="A452" s="47">
        <v>83.23</v>
      </c>
      <c r="B452" s="47">
        <v>83.45</v>
      </c>
      <c r="C452" s="47">
        <v>82</v>
      </c>
      <c r="D452" s="47">
        <v>83.09</v>
      </c>
      <c r="E452" s="47">
        <v>178400</v>
      </c>
      <c r="F452" s="47" t="s">
        <v>1129</v>
      </c>
      <c r="G452" s="25">
        <f t="shared" si="6"/>
        <v>1.6849199663016012E-3</v>
      </c>
    </row>
    <row r="453" spans="1:7">
      <c r="A453" s="47">
        <v>82.26</v>
      </c>
      <c r="B453" s="47">
        <v>82.89</v>
      </c>
      <c r="C453" s="47">
        <v>80.97</v>
      </c>
      <c r="D453" s="47">
        <v>82.89</v>
      </c>
      <c r="E453" s="47">
        <v>253394</v>
      </c>
      <c r="F453" s="47" t="s">
        <v>1128</v>
      </c>
      <c r="G453" s="25">
        <f t="shared" si="6"/>
        <v>-7.6004343105319228E-3</v>
      </c>
    </row>
    <row r="454" spans="1:7">
      <c r="A454" s="47">
        <v>82.54</v>
      </c>
      <c r="B454" s="47">
        <v>82.665000000000006</v>
      </c>
      <c r="C454" s="47">
        <v>79.36</v>
      </c>
      <c r="D454" s="47">
        <v>79.97</v>
      </c>
      <c r="E454" s="47">
        <v>298867</v>
      </c>
      <c r="F454" s="47" t="s">
        <v>1127</v>
      </c>
      <c r="G454" s="25">
        <f t="shared" si="6"/>
        <v>3.213705139427292E-2</v>
      </c>
    </row>
    <row r="455" spans="1:7">
      <c r="A455" s="47">
        <v>80.150000000000006</v>
      </c>
      <c r="B455" s="47">
        <v>81.904399999999995</v>
      </c>
      <c r="C455" s="47">
        <v>79.95</v>
      </c>
      <c r="D455" s="47">
        <v>81.31</v>
      </c>
      <c r="E455" s="47">
        <v>235513</v>
      </c>
      <c r="F455" s="47" t="s">
        <v>1126</v>
      </c>
      <c r="G455" s="25">
        <f t="shared" si="6"/>
        <v>-1.4266387898167476E-2</v>
      </c>
    </row>
    <row r="456" spans="1:7">
      <c r="A456" s="47">
        <v>82.06</v>
      </c>
      <c r="B456" s="47">
        <v>83.2</v>
      </c>
      <c r="C456" s="47">
        <v>80.8</v>
      </c>
      <c r="D456" s="47">
        <v>81.650000000000006</v>
      </c>
      <c r="E456" s="47">
        <v>265617</v>
      </c>
      <c r="F456" s="47" t="s">
        <v>1125</v>
      </c>
      <c r="G456" s="25">
        <f t="shared" si="6"/>
        <v>5.0214329454989493E-3</v>
      </c>
    </row>
    <row r="457" spans="1:7">
      <c r="A457" s="47">
        <v>81.88</v>
      </c>
      <c r="B457" s="47">
        <v>83.29</v>
      </c>
      <c r="C457" s="47">
        <v>81.150000000000006</v>
      </c>
      <c r="D457" s="47">
        <v>82.73</v>
      </c>
      <c r="E457" s="47">
        <v>434573</v>
      </c>
      <c r="F457" s="47" t="s">
        <v>1124</v>
      </c>
      <c r="G457" s="25">
        <f t="shared" si="6"/>
        <v>-1.0274386558684956E-2</v>
      </c>
    </row>
    <row r="458" spans="1:7">
      <c r="A458" s="47">
        <v>81.680000000000007</v>
      </c>
      <c r="B458" s="47">
        <v>91.2</v>
      </c>
      <c r="C458" s="47">
        <v>80.98</v>
      </c>
      <c r="D458" s="47">
        <v>87.55</v>
      </c>
      <c r="E458" s="47">
        <v>623445</v>
      </c>
      <c r="F458" s="47" t="s">
        <v>1123</v>
      </c>
      <c r="G458" s="25">
        <f t="shared" si="6"/>
        <v>-6.7047401484865654E-2</v>
      </c>
    </row>
    <row r="459" spans="1:7">
      <c r="A459" s="47">
        <v>80.040000000000006</v>
      </c>
      <c r="B459" s="47">
        <v>81.63</v>
      </c>
      <c r="C459" s="47">
        <v>78.489999999999995</v>
      </c>
      <c r="D459" s="47">
        <v>81.069999999999993</v>
      </c>
      <c r="E459" s="47">
        <v>401687</v>
      </c>
      <c r="F459" s="47" t="s">
        <v>1122</v>
      </c>
      <c r="G459" s="25">
        <f t="shared" si="6"/>
        <v>-1.2705069692857895E-2</v>
      </c>
    </row>
    <row r="460" spans="1:7">
      <c r="A460" s="47">
        <v>80.3</v>
      </c>
      <c r="B460" s="47">
        <v>82.53</v>
      </c>
      <c r="C460" s="47">
        <v>77.87</v>
      </c>
      <c r="D460" s="47">
        <v>79.069999999999993</v>
      </c>
      <c r="E460" s="47">
        <v>292609</v>
      </c>
      <c r="F460" s="47" t="s">
        <v>1121</v>
      </c>
      <c r="G460" s="25">
        <f t="shared" si="6"/>
        <v>1.5555836600480655E-2</v>
      </c>
    </row>
    <row r="461" spans="1:7">
      <c r="A461" s="47">
        <v>78.8</v>
      </c>
      <c r="B461" s="47">
        <v>81.08</v>
      </c>
      <c r="C461" s="47">
        <v>78.75</v>
      </c>
      <c r="D461" s="47">
        <v>80.41</v>
      </c>
      <c r="E461" s="47">
        <v>407875</v>
      </c>
      <c r="F461" s="47" t="s">
        <v>1120</v>
      </c>
      <c r="G461" s="25">
        <f t="shared" si="6"/>
        <v>-2.0022385275463295E-2</v>
      </c>
    </row>
    <row r="462" spans="1:7">
      <c r="A462" s="47">
        <v>81.13</v>
      </c>
      <c r="B462" s="47">
        <v>82.1</v>
      </c>
      <c r="C462" s="47">
        <v>81.099999999999994</v>
      </c>
      <c r="D462" s="47">
        <v>81.11</v>
      </c>
      <c r="E462" s="47">
        <v>249616</v>
      </c>
      <c r="F462" s="47" t="s">
        <v>1119</v>
      </c>
      <c r="G462" s="25">
        <f t="shared" si="6"/>
        <v>2.4657872025635186E-4</v>
      </c>
    </row>
    <row r="463" spans="1:7">
      <c r="A463" s="47">
        <v>80.62</v>
      </c>
      <c r="B463" s="47">
        <v>81.72</v>
      </c>
      <c r="C463" s="47">
        <v>79.959999999999994</v>
      </c>
      <c r="D463" s="47">
        <v>80.23</v>
      </c>
      <c r="E463" s="47">
        <v>203652</v>
      </c>
      <c r="F463" s="47" t="s">
        <v>1118</v>
      </c>
      <c r="G463" s="25">
        <f t="shared" si="6"/>
        <v>4.8610245544060682E-3</v>
      </c>
    </row>
    <row r="464" spans="1:7">
      <c r="A464" s="47">
        <v>79.930000000000007</v>
      </c>
      <c r="B464" s="47">
        <v>80.11</v>
      </c>
      <c r="C464" s="47">
        <v>78.37</v>
      </c>
      <c r="D464" s="47">
        <v>78.819999999999993</v>
      </c>
      <c r="E464" s="47">
        <v>192560</v>
      </c>
      <c r="F464" s="47" t="s">
        <v>1117</v>
      </c>
      <c r="G464" s="25">
        <f t="shared" si="6"/>
        <v>1.4082720121796566E-2</v>
      </c>
    </row>
    <row r="465" spans="1:7">
      <c r="A465" s="47">
        <v>80.06</v>
      </c>
      <c r="B465" s="47">
        <v>80.97</v>
      </c>
      <c r="C465" s="47">
        <v>79.709999999999994</v>
      </c>
      <c r="D465" s="47">
        <v>80.09</v>
      </c>
      <c r="E465" s="47">
        <v>245245</v>
      </c>
      <c r="F465" s="47" t="s">
        <v>1116</v>
      </c>
      <c r="G465" s="25">
        <f t="shared" si="6"/>
        <v>-3.7457859907608082E-4</v>
      </c>
    </row>
    <row r="466" spans="1:7">
      <c r="A466" s="47">
        <v>80.290000000000006</v>
      </c>
      <c r="B466" s="47">
        <v>81.88</v>
      </c>
      <c r="C466" s="47">
        <v>78.814999999999998</v>
      </c>
      <c r="D466" s="47">
        <v>78.97</v>
      </c>
      <c r="E466" s="47">
        <v>229975</v>
      </c>
      <c r="F466" s="47" t="s">
        <v>1115</v>
      </c>
      <c r="G466" s="25">
        <f t="shared" si="6"/>
        <v>1.6715208306952167E-2</v>
      </c>
    </row>
    <row r="467" spans="1:7">
      <c r="A467" s="47">
        <v>79.09</v>
      </c>
      <c r="B467" s="47">
        <v>79.900000000000006</v>
      </c>
      <c r="C467" s="47">
        <v>77.75</v>
      </c>
      <c r="D467" s="47">
        <v>78.41</v>
      </c>
      <c r="E467" s="47">
        <v>257406</v>
      </c>
      <c r="F467" s="47" t="s">
        <v>1114</v>
      </c>
      <c r="G467" s="25">
        <f t="shared" si="6"/>
        <v>8.6723632189773525E-3</v>
      </c>
    </row>
    <row r="468" spans="1:7">
      <c r="A468" s="47">
        <v>77.86</v>
      </c>
      <c r="B468" s="47">
        <v>78.754999999999995</v>
      </c>
      <c r="C468" s="47">
        <v>76.87</v>
      </c>
      <c r="D468" s="47">
        <v>77.959999999999994</v>
      </c>
      <c r="E468" s="47">
        <v>356267</v>
      </c>
      <c r="F468" s="47" t="s">
        <v>1113</v>
      </c>
      <c r="G468" s="25">
        <f t="shared" si="6"/>
        <v>-1.2827090815802356E-3</v>
      </c>
    </row>
    <row r="469" spans="1:7">
      <c r="A469" s="47">
        <v>78.040000000000006</v>
      </c>
      <c r="B469" s="47">
        <v>79.08</v>
      </c>
      <c r="C469" s="47">
        <v>76.8</v>
      </c>
      <c r="D469" s="47">
        <v>77.13</v>
      </c>
      <c r="E469" s="47">
        <v>325728</v>
      </c>
      <c r="F469" s="47" t="s">
        <v>1112</v>
      </c>
      <c r="G469" s="25">
        <f t="shared" si="6"/>
        <v>1.1798262673408777E-2</v>
      </c>
    </row>
    <row r="470" spans="1:7">
      <c r="A470" s="47">
        <v>76.97</v>
      </c>
      <c r="B470" s="47">
        <v>78.41</v>
      </c>
      <c r="C470" s="47">
        <v>76.924999999999997</v>
      </c>
      <c r="D470" s="47">
        <v>77.569999999999993</v>
      </c>
      <c r="E470" s="47">
        <v>308910</v>
      </c>
      <c r="F470" s="47" t="s">
        <v>1111</v>
      </c>
      <c r="G470" s="25">
        <f t="shared" si="6"/>
        <v>-7.7349490782517849E-3</v>
      </c>
    </row>
    <row r="471" spans="1:7">
      <c r="A471" s="47">
        <v>77.06</v>
      </c>
      <c r="B471" s="47">
        <v>78.004999999999995</v>
      </c>
      <c r="C471" s="47">
        <v>76.63</v>
      </c>
      <c r="D471" s="47">
        <v>77.64</v>
      </c>
      <c r="E471" s="47">
        <v>286597</v>
      </c>
      <c r="F471" s="47" t="s">
        <v>1110</v>
      </c>
      <c r="G471" s="25">
        <f t="shared" si="6"/>
        <v>-7.4703760947965048E-3</v>
      </c>
    </row>
    <row r="472" spans="1:7">
      <c r="A472" s="47">
        <v>78.19</v>
      </c>
      <c r="B472" s="47">
        <v>78.849999999999994</v>
      </c>
      <c r="C472" s="47">
        <v>77.31</v>
      </c>
      <c r="D472" s="47">
        <v>78.400000000000006</v>
      </c>
      <c r="E472" s="47">
        <v>383474</v>
      </c>
      <c r="F472" s="47" t="s">
        <v>1109</v>
      </c>
      <c r="G472" s="25">
        <f t="shared" si="6"/>
        <v>-2.6785714285715301E-3</v>
      </c>
    </row>
    <row r="473" spans="1:7">
      <c r="A473" s="47">
        <v>78.47</v>
      </c>
      <c r="B473" s="47">
        <v>79.73</v>
      </c>
      <c r="C473" s="47">
        <v>78.094999999999999</v>
      </c>
      <c r="D473" s="47">
        <v>79.73</v>
      </c>
      <c r="E473" s="47">
        <v>333583</v>
      </c>
      <c r="F473" s="47" t="s">
        <v>1108</v>
      </c>
      <c r="G473" s="25">
        <f t="shared" si="6"/>
        <v>-1.5803336259877176E-2</v>
      </c>
    </row>
    <row r="474" spans="1:7">
      <c r="A474" s="47">
        <v>80.599999999999994</v>
      </c>
      <c r="B474" s="47">
        <v>80.61</v>
      </c>
      <c r="C474" s="47">
        <v>78.5</v>
      </c>
      <c r="D474" s="47">
        <v>79.7</v>
      </c>
      <c r="E474" s="47">
        <v>322459</v>
      </c>
      <c r="F474" s="47" t="s">
        <v>1107</v>
      </c>
      <c r="G474" s="25">
        <f t="shared" si="6"/>
        <v>1.1292346298619638E-2</v>
      </c>
    </row>
    <row r="475" spans="1:7">
      <c r="A475" s="47">
        <v>79.39</v>
      </c>
      <c r="B475" s="47">
        <v>82.31</v>
      </c>
      <c r="C475" s="47">
        <v>79.16</v>
      </c>
      <c r="D475" s="47">
        <v>82.31</v>
      </c>
      <c r="E475" s="47">
        <v>447353</v>
      </c>
      <c r="F475" s="47" t="s">
        <v>1106</v>
      </c>
      <c r="G475" s="25">
        <f t="shared" si="6"/>
        <v>-3.5475640869882197E-2</v>
      </c>
    </row>
    <row r="476" spans="1:7">
      <c r="A476" s="47">
        <v>84.37</v>
      </c>
      <c r="B476" s="47">
        <v>84.47</v>
      </c>
      <c r="C476" s="47">
        <v>82.02</v>
      </c>
      <c r="D476" s="47">
        <v>82.13</v>
      </c>
      <c r="E476" s="47">
        <v>240650</v>
      </c>
      <c r="F476" s="47" t="s">
        <v>1105</v>
      </c>
      <c r="G476" s="25">
        <f t="shared" si="6"/>
        <v>2.7273834165347788E-2</v>
      </c>
    </row>
    <row r="477" spans="1:7">
      <c r="A477" s="47">
        <v>81.400000000000006</v>
      </c>
      <c r="B477" s="47">
        <v>81.81</v>
      </c>
      <c r="C477" s="47">
        <v>80.790000000000006</v>
      </c>
      <c r="D477" s="47">
        <v>81.099999999999994</v>
      </c>
      <c r="E477" s="47">
        <v>218412</v>
      </c>
      <c r="F477" s="47" t="s">
        <v>1104</v>
      </c>
      <c r="G477" s="25">
        <f t="shared" si="6"/>
        <v>3.6991368680643344E-3</v>
      </c>
    </row>
    <row r="478" spans="1:7">
      <c r="A478" s="47">
        <v>80.64</v>
      </c>
      <c r="B478" s="47">
        <v>81.96</v>
      </c>
      <c r="C478" s="47">
        <v>80.36</v>
      </c>
      <c r="D478" s="47">
        <v>80.36</v>
      </c>
      <c r="E478" s="47">
        <v>292260</v>
      </c>
      <c r="F478" s="47" t="s">
        <v>1103</v>
      </c>
      <c r="G478" s="25">
        <f t="shared" si="6"/>
        <v>3.4843205574912606E-3</v>
      </c>
    </row>
    <row r="479" spans="1:7">
      <c r="A479" s="47">
        <v>80.62</v>
      </c>
      <c r="B479" s="47">
        <v>83.289299999999997</v>
      </c>
      <c r="C479" s="47">
        <v>80.569999999999993</v>
      </c>
      <c r="D479" s="47">
        <v>82.25</v>
      </c>
      <c r="E479" s="47">
        <v>416327</v>
      </c>
      <c r="F479" s="47" t="s">
        <v>1102</v>
      </c>
      <c r="G479" s="25">
        <f t="shared" si="6"/>
        <v>-1.9817629179331275E-2</v>
      </c>
    </row>
    <row r="480" spans="1:7">
      <c r="A480" s="47">
        <v>81.36</v>
      </c>
      <c r="B480" s="47">
        <v>82.4</v>
      </c>
      <c r="C480" s="47">
        <v>80.64</v>
      </c>
      <c r="D480" s="47">
        <v>80.64</v>
      </c>
      <c r="E480" s="47">
        <v>341984</v>
      </c>
      <c r="F480" s="47" t="s">
        <v>1101</v>
      </c>
      <c r="G480" s="25">
        <f t="shared" si="6"/>
        <v>8.9285714285713969E-3</v>
      </c>
    </row>
    <row r="481" spans="1:7">
      <c r="A481" s="47">
        <v>81.36</v>
      </c>
      <c r="B481" s="47">
        <v>82.105000000000004</v>
      </c>
      <c r="C481" s="47">
        <v>80.2</v>
      </c>
      <c r="D481" s="47">
        <v>81.84</v>
      </c>
      <c r="E481" s="47">
        <v>305360</v>
      </c>
      <c r="F481" s="47" t="s">
        <v>1100</v>
      </c>
      <c r="G481" s="25">
        <f t="shared" si="6"/>
        <v>-5.8651026392961825E-3</v>
      </c>
    </row>
    <row r="482" spans="1:7">
      <c r="A482" s="47">
        <v>83.58</v>
      </c>
      <c r="B482" s="47">
        <v>84.8</v>
      </c>
      <c r="C482" s="47">
        <v>82.74</v>
      </c>
      <c r="D482" s="47">
        <v>84.8</v>
      </c>
      <c r="E482" s="47">
        <v>245658</v>
      </c>
      <c r="F482" s="47" t="s">
        <v>1099</v>
      </c>
      <c r="G482" s="25">
        <f t="shared" si="6"/>
        <v>-1.4386792452830144E-2</v>
      </c>
    </row>
    <row r="483" spans="1:7">
      <c r="A483" s="47">
        <v>84.8</v>
      </c>
      <c r="B483" s="47">
        <v>86.01</v>
      </c>
      <c r="C483" s="47">
        <v>84.47</v>
      </c>
      <c r="D483" s="47">
        <v>85</v>
      </c>
      <c r="E483" s="47">
        <v>304424</v>
      </c>
      <c r="F483" s="47" t="s">
        <v>1098</v>
      </c>
      <c r="G483" s="25">
        <f t="shared" si="6"/>
        <v>-2.3529411764706687E-3</v>
      </c>
    </row>
    <row r="484" spans="1:7">
      <c r="A484" s="47">
        <v>84.37</v>
      </c>
      <c r="B484" s="47">
        <v>84.62</v>
      </c>
      <c r="C484" s="47">
        <v>82.676900000000003</v>
      </c>
      <c r="D484" s="47">
        <v>83.19</v>
      </c>
      <c r="E484" s="47">
        <v>308289</v>
      </c>
      <c r="F484" s="47" t="s">
        <v>1097</v>
      </c>
      <c r="G484" s="25">
        <f t="shared" si="6"/>
        <v>1.4184397163120588E-2</v>
      </c>
    </row>
    <row r="485" spans="1:7">
      <c r="A485" s="47">
        <v>82.67</v>
      </c>
      <c r="B485" s="47">
        <v>83</v>
      </c>
      <c r="C485" s="47">
        <v>81.064999999999998</v>
      </c>
      <c r="D485" s="47">
        <v>83</v>
      </c>
      <c r="E485" s="47">
        <v>286203</v>
      </c>
      <c r="F485" s="47" t="s">
        <v>1096</v>
      </c>
      <c r="G485" s="25">
        <f t="shared" si="6"/>
        <v>-3.9759036144577653E-3</v>
      </c>
    </row>
    <row r="486" spans="1:7">
      <c r="A486" s="47">
        <v>82.33</v>
      </c>
      <c r="B486" s="47">
        <v>83.614900000000006</v>
      </c>
      <c r="C486" s="47">
        <v>82.02</v>
      </c>
      <c r="D486" s="47">
        <v>83.01</v>
      </c>
      <c r="E486" s="47">
        <v>226736</v>
      </c>
      <c r="F486" s="47" t="s">
        <v>1095</v>
      </c>
      <c r="G486" s="25">
        <f t="shared" si="6"/>
        <v>-8.1917841223949628E-3</v>
      </c>
    </row>
    <row r="487" spans="1:7">
      <c r="A487" s="47">
        <v>83.53</v>
      </c>
      <c r="B487" s="47">
        <v>85.06</v>
      </c>
      <c r="C487" s="47">
        <v>83.08</v>
      </c>
      <c r="D487" s="47">
        <v>84.71</v>
      </c>
      <c r="E487" s="47">
        <v>181128</v>
      </c>
      <c r="F487" s="47" t="s">
        <v>1094</v>
      </c>
      <c r="G487" s="25">
        <f t="shared" si="6"/>
        <v>-1.3929878408688423E-2</v>
      </c>
    </row>
    <row r="488" spans="1:7">
      <c r="A488" s="47">
        <v>84.69</v>
      </c>
      <c r="B488" s="47">
        <v>87.36</v>
      </c>
      <c r="C488" s="47">
        <v>84.141000000000005</v>
      </c>
      <c r="D488" s="47">
        <v>86.5</v>
      </c>
      <c r="E488" s="47">
        <v>345144</v>
      </c>
      <c r="F488" s="47" t="s">
        <v>1093</v>
      </c>
      <c r="G488" s="25">
        <f t="shared" si="6"/>
        <v>-2.0924855491329497E-2</v>
      </c>
    </row>
    <row r="489" spans="1:7">
      <c r="A489" s="47">
        <v>85.71</v>
      </c>
      <c r="B489" s="47">
        <v>86.32</v>
      </c>
      <c r="C489" s="47">
        <v>83.894999999999996</v>
      </c>
      <c r="D489" s="47">
        <v>84</v>
      </c>
      <c r="E489" s="47">
        <v>450192</v>
      </c>
      <c r="F489" s="47" t="s">
        <v>1092</v>
      </c>
      <c r="G489" s="25">
        <f t="shared" si="6"/>
        <v>2.035714285714274E-2</v>
      </c>
    </row>
    <row r="490" spans="1:7">
      <c r="A490" s="47">
        <v>83.92</v>
      </c>
      <c r="B490" s="47">
        <v>84.075000000000003</v>
      </c>
      <c r="C490" s="47">
        <v>82.283000000000001</v>
      </c>
      <c r="D490" s="47">
        <v>83.23</v>
      </c>
      <c r="E490" s="47">
        <v>197072</v>
      </c>
      <c r="F490" s="47" t="s">
        <v>1091</v>
      </c>
      <c r="G490" s="25">
        <f t="shared" si="6"/>
        <v>8.2902799471344935E-3</v>
      </c>
    </row>
    <row r="491" spans="1:7">
      <c r="A491" s="47">
        <v>83.71</v>
      </c>
      <c r="B491" s="47">
        <v>84.24</v>
      </c>
      <c r="C491" s="47">
        <v>83.11</v>
      </c>
      <c r="D491" s="47">
        <v>84.24</v>
      </c>
      <c r="E491" s="47">
        <v>268765</v>
      </c>
      <c r="F491" s="47" t="s">
        <v>1090</v>
      </c>
      <c r="G491" s="25">
        <f t="shared" si="6"/>
        <v>-6.2915479582146272E-3</v>
      </c>
    </row>
    <row r="492" spans="1:7">
      <c r="A492" s="47">
        <v>83.93</v>
      </c>
      <c r="B492" s="47">
        <v>84.25</v>
      </c>
      <c r="C492" s="47">
        <v>80.844999999999999</v>
      </c>
      <c r="D492" s="47">
        <v>81.459999999999994</v>
      </c>
      <c r="E492" s="47">
        <v>709521</v>
      </c>
      <c r="F492" s="47" t="s">
        <v>1089</v>
      </c>
      <c r="G492" s="25">
        <f t="shared" si="6"/>
        <v>3.0321630247974518E-2</v>
      </c>
    </row>
    <row r="493" spans="1:7">
      <c r="A493" s="47">
        <v>82.2</v>
      </c>
      <c r="B493" s="47">
        <v>84.98</v>
      </c>
      <c r="C493" s="47">
        <v>82.1</v>
      </c>
      <c r="D493" s="47">
        <v>84.35</v>
      </c>
      <c r="E493" s="47">
        <v>381699</v>
      </c>
      <c r="F493" s="47" t="s">
        <v>1088</v>
      </c>
      <c r="G493" s="25">
        <f t="shared" si="6"/>
        <v>-2.5489033787788884E-2</v>
      </c>
    </row>
    <row r="494" spans="1:7">
      <c r="A494" s="47">
        <v>84.67</v>
      </c>
      <c r="B494" s="47">
        <v>85.51</v>
      </c>
      <c r="C494" s="47">
        <v>84.26</v>
      </c>
      <c r="D494" s="47">
        <v>84.55</v>
      </c>
      <c r="E494" s="47">
        <v>220911</v>
      </c>
      <c r="F494" s="47" t="s">
        <v>1087</v>
      </c>
      <c r="G494" s="25">
        <f t="shared" si="6"/>
        <v>1.4192785334121716E-3</v>
      </c>
    </row>
    <row r="495" spans="1:7">
      <c r="A495" s="47">
        <v>84.95</v>
      </c>
      <c r="B495" s="47">
        <v>85.61</v>
      </c>
      <c r="C495" s="47">
        <v>84.43</v>
      </c>
      <c r="D495" s="47">
        <v>84.96</v>
      </c>
      <c r="E495" s="47">
        <v>333252</v>
      </c>
      <c r="F495" s="47" t="s">
        <v>1086</v>
      </c>
      <c r="G495" s="25">
        <f t="shared" si="6"/>
        <v>-1.1770244821085463E-4</v>
      </c>
    </row>
    <row r="496" spans="1:7">
      <c r="A496" s="47">
        <v>85.02</v>
      </c>
      <c r="B496" s="47">
        <v>86.06</v>
      </c>
      <c r="C496" s="47">
        <v>84.56</v>
      </c>
      <c r="D496" s="47">
        <v>85.02</v>
      </c>
      <c r="E496" s="47">
        <v>395560</v>
      </c>
      <c r="F496" s="47" t="s">
        <v>1085</v>
      </c>
      <c r="G496" s="25">
        <f t="shared" si="6"/>
        <v>0</v>
      </c>
    </row>
    <row r="497" spans="1:7">
      <c r="A497" s="47">
        <v>85.59</v>
      </c>
      <c r="B497" s="47">
        <v>87.78</v>
      </c>
      <c r="C497" s="47">
        <v>85.48</v>
      </c>
      <c r="D497" s="47">
        <v>87.16</v>
      </c>
      <c r="E497" s="47">
        <v>279736</v>
      </c>
      <c r="F497" s="47" t="s">
        <v>1084</v>
      </c>
      <c r="G497" s="25">
        <f t="shared" si="6"/>
        <v>-1.8012849931161035E-2</v>
      </c>
    </row>
    <row r="498" spans="1:7">
      <c r="A498" s="47">
        <v>86.27</v>
      </c>
      <c r="B498" s="47">
        <v>87.54</v>
      </c>
      <c r="C498" s="47">
        <v>85.88</v>
      </c>
      <c r="D498" s="47">
        <v>86</v>
      </c>
      <c r="E498" s="47">
        <v>225570</v>
      </c>
      <c r="F498" s="47" t="s">
        <v>1083</v>
      </c>
      <c r="G498" s="25">
        <f t="shared" si="6"/>
        <v>3.1395348837208736E-3</v>
      </c>
    </row>
    <row r="499" spans="1:7">
      <c r="A499" s="47">
        <v>85.35</v>
      </c>
      <c r="B499" s="47">
        <v>86.74</v>
      </c>
      <c r="C499" s="47">
        <v>84.96</v>
      </c>
      <c r="D499" s="47">
        <v>86.11</v>
      </c>
      <c r="E499" s="47">
        <v>332180</v>
      </c>
      <c r="F499" s="47" t="s">
        <v>1082</v>
      </c>
      <c r="G499" s="25">
        <f t="shared" si="6"/>
        <v>-8.82592033445595E-3</v>
      </c>
    </row>
    <row r="500" spans="1:7">
      <c r="A500" s="47">
        <v>84.75</v>
      </c>
      <c r="B500" s="47">
        <v>85.305000000000007</v>
      </c>
      <c r="C500" s="47">
        <v>84.2</v>
      </c>
      <c r="D500" s="47">
        <v>85.06</v>
      </c>
      <c r="E500" s="47">
        <v>516837</v>
      </c>
      <c r="F500" s="47" t="s">
        <v>1081</v>
      </c>
      <c r="G500" s="25">
        <f t="shared" si="6"/>
        <v>-3.6444862450035753E-3</v>
      </c>
    </row>
    <row r="501" spans="1:7">
      <c r="A501" s="47">
        <v>85.64</v>
      </c>
      <c r="B501" s="47">
        <v>86.14</v>
      </c>
      <c r="C501" s="47">
        <v>84.03</v>
      </c>
      <c r="D501" s="47">
        <v>85.5</v>
      </c>
      <c r="E501" s="47">
        <v>250236</v>
      </c>
      <c r="F501" s="47" t="s">
        <v>1080</v>
      </c>
      <c r="G501" s="25">
        <f t="shared" si="6"/>
        <v>1.6374269005847708E-3</v>
      </c>
    </row>
    <row r="502" spans="1:7">
      <c r="A502" s="47">
        <v>85.5</v>
      </c>
      <c r="B502" s="47">
        <v>86.58</v>
      </c>
      <c r="C502" s="47">
        <v>84.45</v>
      </c>
      <c r="D502" s="47">
        <v>86.14</v>
      </c>
      <c r="E502" s="47">
        <v>343951</v>
      </c>
      <c r="F502" s="47" t="s">
        <v>1079</v>
      </c>
      <c r="G502" s="25">
        <f t="shared" si="6"/>
        <v>-7.4297654980264305E-3</v>
      </c>
    </row>
    <row r="503" spans="1:7">
      <c r="A503" s="47">
        <v>86.12</v>
      </c>
      <c r="B503" s="47">
        <v>86.56</v>
      </c>
      <c r="C503" s="47">
        <v>84.924999999999997</v>
      </c>
      <c r="D503" s="47">
        <v>85.47</v>
      </c>
      <c r="E503" s="47">
        <v>392974</v>
      </c>
      <c r="F503" s="47" t="s">
        <v>1078</v>
      </c>
      <c r="G503" s="25">
        <f t="shared" ref="G503:G566" si="7">A503/D503-1</f>
        <v>7.6050076050075965E-3</v>
      </c>
    </row>
    <row r="504" spans="1:7">
      <c r="A504" s="47">
        <v>84.54</v>
      </c>
      <c r="B504" s="47">
        <v>87.07</v>
      </c>
      <c r="C504" s="47">
        <v>83.444999999999993</v>
      </c>
      <c r="D504" s="47">
        <v>83.86</v>
      </c>
      <c r="E504" s="47">
        <v>364449</v>
      </c>
      <c r="F504" s="47" t="s">
        <v>1077</v>
      </c>
      <c r="G504" s="25">
        <f t="shared" si="7"/>
        <v>8.1087526830432299E-3</v>
      </c>
    </row>
    <row r="505" spans="1:7">
      <c r="A505" s="47">
        <v>84.92</v>
      </c>
      <c r="B505" s="47">
        <v>86.73</v>
      </c>
      <c r="C505" s="47">
        <v>84.68</v>
      </c>
      <c r="D505" s="47">
        <v>85.16</v>
      </c>
      <c r="E505" s="47">
        <v>320553</v>
      </c>
      <c r="F505" s="47" t="s">
        <v>1076</v>
      </c>
      <c r="G505" s="25">
        <f t="shared" si="7"/>
        <v>-2.8182245185532917E-3</v>
      </c>
    </row>
    <row r="506" spans="1:7">
      <c r="A506" s="47">
        <v>84.98</v>
      </c>
      <c r="B506" s="47">
        <v>88.83</v>
      </c>
      <c r="C506" s="47">
        <v>84.667500000000004</v>
      </c>
      <c r="D506" s="47">
        <v>87.13</v>
      </c>
      <c r="E506" s="47">
        <v>773561</v>
      </c>
      <c r="F506" s="47" t="s">
        <v>1075</v>
      </c>
      <c r="G506" s="25">
        <f t="shared" si="7"/>
        <v>-2.4675771835188653E-2</v>
      </c>
    </row>
    <row r="507" spans="1:7">
      <c r="A507" s="47">
        <v>87.47</v>
      </c>
      <c r="B507" s="47">
        <v>87.77</v>
      </c>
      <c r="C507" s="47">
        <v>84.33</v>
      </c>
      <c r="D507" s="47">
        <v>86.59</v>
      </c>
      <c r="E507" s="47">
        <v>574333</v>
      </c>
      <c r="F507" s="47" t="s">
        <v>1074</v>
      </c>
      <c r="G507" s="25">
        <f t="shared" si="7"/>
        <v>1.0162836355237292E-2</v>
      </c>
    </row>
    <row r="508" spans="1:7">
      <c r="A508" s="47">
        <v>86.16</v>
      </c>
      <c r="B508" s="47">
        <v>86.72</v>
      </c>
      <c r="C508" s="47">
        <v>82.86</v>
      </c>
      <c r="D508" s="47">
        <v>83.58</v>
      </c>
      <c r="E508" s="47">
        <v>995526</v>
      </c>
      <c r="F508" s="47" t="s">
        <v>1073</v>
      </c>
      <c r="G508" s="25">
        <f t="shared" si="7"/>
        <v>3.0868628858578662E-2</v>
      </c>
    </row>
    <row r="509" spans="1:7">
      <c r="A509" s="47">
        <v>82.01</v>
      </c>
      <c r="B509" s="47">
        <v>88.15</v>
      </c>
      <c r="C509" s="47">
        <v>80.5</v>
      </c>
      <c r="D509" s="47">
        <v>87.1</v>
      </c>
      <c r="E509" s="47">
        <v>1764346</v>
      </c>
      <c r="F509" s="47" t="s">
        <v>1072</v>
      </c>
      <c r="G509" s="25">
        <f t="shared" si="7"/>
        <v>-5.8438576349023941E-2</v>
      </c>
    </row>
    <row r="510" spans="1:7">
      <c r="A510" s="47">
        <v>94.19</v>
      </c>
      <c r="B510" s="47">
        <v>95.67</v>
      </c>
      <c r="C510" s="47">
        <v>91.89</v>
      </c>
      <c r="D510" s="47">
        <v>92.14</v>
      </c>
      <c r="E510" s="47">
        <v>713418</v>
      </c>
      <c r="F510" s="47" t="s">
        <v>1071</v>
      </c>
      <c r="G510" s="25">
        <f t="shared" si="7"/>
        <v>2.224875189928377E-2</v>
      </c>
    </row>
    <row r="511" spans="1:7">
      <c r="A511" s="47">
        <v>93.8</v>
      </c>
      <c r="B511" s="47">
        <v>94.44</v>
      </c>
      <c r="C511" s="47">
        <v>92.55</v>
      </c>
      <c r="D511" s="47">
        <v>93.25</v>
      </c>
      <c r="E511" s="47">
        <v>495340</v>
      </c>
      <c r="F511" s="47" t="s">
        <v>1070</v>
      </c>
      <c r="G511" s="25">
        <f t="shared" si="7"/>
        <v>5.8981233243966535E-3</v>
      </c>
    </row>
    <row r="512" spans="1:7">
      <c r="A512" s="47">
        <v>94.11</v>
      </c>
      <c r="B512" s="47">
        <v>94.52</v>
      </c>
      <c r="C512" s="47">
        <v>91.92</v>
      </c>
      <c r="D512" s="47">
        <v>93.18</v>
      </c>
      <c r="E512" s="47">
        <v>497913</v>
      </c>
      <c r="F512" s="47" t="s">
        <v>1069</v>
      </c>
      <c r="G512" s="25">
        <f t="shared" si="7"/>
        <v>9.9806825499033636E-3</v>
      </c>
    </row>
    <row r="513" spans="1:7">
      <c r="A513" s="47">
        <v>91.9</v>
      </c>
      <c r="B513" s="47">
        <v>92.224999999999994</v>
      </c>
      <c r="C513" s="47">
        <v>89.14</v>
      </c>
      <c r="D513" s="47">
        <v>90.17</v>
      </c>
      <c r="E513" s="47">
        <v>434772</v>
      </c>
      <c r="F513" s="47" t="s">
        <v>1068</v>
      </c>
      <c r="G513" s="25">
        <f t="shared" si="7"/>
        <v>1.9185982033935955E-2</v>
      </c>
    </row>
    <row r="514" spans="1:7">
      <c r="A514" s="47">
        <v>89.29</v>
      </c>
      <c r="B514" s="47">
        <v>91.38</v>
      </c>
      <c r="C514" s="47">
        <v>88.73</v>
      </c>
      <c r="D514" s="47">
        <v>89.46</v>
      </c>
      <c r="E514" s="47">
        <v>391242</v>
      </c>
      <c r="F514" s="47" t="s">
        <v>1067</v>
      </c>
      <c r="G514" s="25">
        <f t="shared" si="7"/>
        <v>-1.9002906326848201E-3</v>
      </c>
    </row>
    <row r="515" spans="1:7">
      <c r="A515" s="47">
        <v>93.22</v>
      </c>
      <c r="B515" s="47">
        <v>96.258300000000006</v>
      </c>
      <c r="C515" s="47">
        <v>93.21</v>
      </c>
      <c r="D515" s="47">
        <v>96</v>
      </c>
      <c r="E515" s="47">
        <v>327350</v>
      </c>
      <c r="F515" s="47" t="s">
        <v>1066</v>
      </c>
      <c r="G515" s="25">
        <f t="shared" si="7"/>
        <v>-2.8958333333333308E-2</v>
      </c>
    </row>
    <row r="516" spans="1:7">
      <c r="A516" s="47">
        <v>95.97</v>
      </c>
      <c r="B516" s="47">
        <v>96.265000000000001</v>
      </c>
      <c r="C516" s="47">
        <v>93.905000000000001</v>
      </c>
      <c r="D516" s="47">
        <v>94.5</v>
      </c>
      <c r="E516" s="47">
        <v>255363</v>
      </c>
      <c r="F516" s="47" t="s">
        <v>1065</v>
      </c>
      <c r="G516" s="25">
        <f t="shared" si="7"/>
        <v>1.5555555555555545E-2</v>
      </c>
    </row>
    <row r="517" spans="1:7">
      <c r="A517" s="47">
        <v>93.47</v>
      </c>
      <c r="B517" s="47">
        <v>93.89</v>
      </c>
      <c r="C517" s="47">
        <v>90.76</v>
      </c>
      <c r="D517" s="47">
        <v>91.39</v>
      </c>
      <c r="E517" s="47">
        <v>293458</v>
      </c>
      <c r="F517" s="47" t="s">
        <v>1064</v>
      </c>
      <c r="G517" s="25">
        <f t="shared" si="7"/>
        <v>2.2759601706970001E-2</v>
      </c>
    </row>
    <row r="518" spans="1:7">
      <c r="A518" s="47">
        <v>91.46</v>
      </c>
      <c r="B518" s="47">
        <v>93.93</v>
      </c>
      <c r="C518" s="47">
        <v>91.02</v>
      </c>
      <c r="D518" s="47">
        <v>93.78</v>
      </c>
      <c r="E518" s="47">
        <v>353142</v>
      </c>
      <c r="F518" s="47" t="s">
        <v>1063</v>
      </c>
      <c r="G518" s="25">
        <f t="shared" si="7"/>
        <v>-2.4738750266581455E-2</v>
      </c>
    </row>
    <row r="519" spans="1:7">
      <c r="A519" s="47">
        <v>93.38</v>
      </c>
      <c r="B519" s="47">
        <v>93.875</v>
      </c>
      <c r="C519" s="47">
        <v>91.57</v>
      </c>
      <c r="D519" s="47">
        <v>91.92</v>
      </c>
      <c r="E519" s="47">
        <v>276871</v>
      </c>
      <c r="F519" s="47" t="s">
        <v>1062</v>
      </c>
      <c r="G519" s="25">
        <f t="shared" si="7"/>
        <v>1.5883376849434194E-2</v>
      </c>
    </row>
    <row r="520" spans="1:7">
      <c r="A520" s="47">
        <v>91.91</v>
      </c>
      <c r="B520" s="47">
        <v>93.2</v>
      </c>
      <c r="C520" s="47">
        <v>91.35</v>
      </c>
      <c r="D520" s="47">
        <v>93</v>
      </c>
      <c r="E520" s="47">
        <v>327257</v>
      </c>
      <c r="F520" s="47" t="s">
        <v>1061</v>
      </c>
      <c r="G520" s="25">
        <f t="shared" si="7"/>
        <v>-1.172043010752688E-2</v>
      </c>
    </row>
    <row r="521" spans="1:7">
      <c r="A521" s="47">
        <v>94</v>
      </c>
      <c r="B521" s="47">
        <v>95.13</v>
      </c>
      <c r="C521" s="47">
        <v>92.54</v>
      </c>
      <c r="D521" s="47">
        <v>94.22</v>
      </c>
      <c r="E521" s="47">
        <v>338044</v>
      </c>
      <c r="F521" s="47" t="s">
        <v>1060</v>
      </c>
      <c r="G521" s="25">
        <f t="shared" si="7"/>
        <v>-2.3349607302058928E-3</v>
      </c>
    </row>
    <row r="522" spans="1:7">
      <c r="A522" s="47">
        <v>95.37</v>
      </c>
      <c r="B522" s="47">
        <v>95.41</v>
      </c>
      <c r="C522" s="47">
        <v>92.86</v>
      </c>
      <c r="D522" s="47">
        <v>93.65</v>
      </c>
      <c r="E522" s="47">
        <v>355032</v>
      </c>
      <c r="F522" s="47" t="s">
        <v>1059</v>
      </c>
      <c r="G522" s="25">
        <f t="shared" si="7"/>
        <v>1.8366257341163816E-2</v>
      </c>
    </row>
    <row r="523" spans="1:7">
      <c r="A523" s="47">
        <v>92.94</v>
      </c>
      <c r="B523" s="47">
        <v>95.8</v>
      </c>
      <c r="C523" s="47">
        <v>92.66</v>
      </c>
      <c r="D523" s="47">
        <v>95.77</v>
      </c>
      <c r="E523" s="47">
        <v>483486</v>
      </c>
      <c r="F523" s="47" t="s">
        <v>1058</v>
      </c>
      <c r="G523" s="25">
        <f t="shared" si="7"/>
        <v>-2.9549963454108763E-2</v>
      </c>
    </row>
    <row r="524" spans="1:7">
      <c r="A524" s="47">
        <v>96.25</v>
      </c>
      <c r="B524" s="47">
        <v>97.55</v>
      </c>
      <c r="C524" s="47">
        <v>95.82</v>
      </c>
      <c r="D524" s="47">
        <v>96.46</v>
      </c>
      <c r="E524" s="47">
        <v>211159</v>
      </c>
      <c r="F524" s="47" t="s">
        <v>1057</v>
      </c>
      <c r="G524" s="25">
        <f t="shared" si="7"/>
        <v>-2.1770682148040121E-3</v>
      </c>
    </row>
    <row r="525" spans="1:7">
      <c r="A525" s="47">
        <v>97.12</v>
      </c>
      <c r="B525" s="47">
        <v>97.2</v>
      </c>
      <c r="C525" s="47">
        <v>93.59</v>
      </c>
      <c r="D525" s="47">
        <v>93.83</v>
      </c>
      <c r="E525" s="47">
        <v>555629</v>
      </c>
      <c r="F525" s="47" t="s">
        <v>1056</v>
      </c>
      <c r="G525" s="25">
        <f t="shared" si="7"/>
        <v>3.5063412554620088E-2</v>
      </c>
    </row>
    <row r="526" spans="1:7">
      <c r="A526" s="47">
        <v>93.7</v>
      </c>
      <c r="B526" s="47">
        <v>98.33</v>
      </c>
      <c r="C526" s="47">
        <v>93.52</v>
      </c>
      <c r="D526" s="47">
        <v>98</v>
      </c>
      <c r="E526" s="47">
        <v>328031</v>
      </c>
      <c r="F526" s="47" t="s">
        <v>1055</v>
      </c>
      <c r="G526" s="25">
        <f t="shared" si="7"/>
        <v>-4.3877551020408134E-2</v>
      </c>
    </row>
    <row r="527" spans="1:7">
      <c r="A527" s="47">
        <v>97.59</v>
      </c>
      <c r="B527" s="47">
        <v>99.02</v>
      </c>
      <c r="C527" s="47">
        <v>94.55</v>
      </c>
      <c r="D527" s="47">
        <v>97.8</v>
      </c>
      <c r="E527" s="47">
        <v>420469</v>
      </c>
      <c r="F527" s="47" t="s">
        <v>1054</v>
      </c>
      <c r="G527" s="25">
        <f t="shared" si="7"/>
        <v>-2.1472392638036686E-3</v>
      </c>
    </row>
    <row r="528" spans="1:7">
      <c r="A528" s="47">
        <v>97.89</v>
      </c>
      <c r="B528" s="47">
        <v>100.12</v>
      </c>
      <c r="C528" s="47">
        <v>97.86</v>
      </c>
      <c r="D528" s="47">
        <v>100</v>
      </c>
      <c r="E528" s="47">
        <v>492033</v>
      </c>
      <c r="F528" s="47" t="s">
        <v>1053</v>
      </c>
      <c r="G528" s="25">
        <f t="shared" si="7"/>
        <v>-2.1100000000000008E-2</v>
      </c>
    </row>
    <row r="529" spans="1:7">
      <c r="A529" s="47">
        <v>99.48</v>
      </c>
      <c r="B529" s="47">
        <v>99.54</v>
      </c>
      <c r="C529" s="47">
        <v>96.47</v>
      </c>
      <c r="D529" s="47">
        <v>98.51</v>
      </c>
      <c r="E529" s="47">
        <v>492273</v>
      </c>
      <c r="F529" s="47" t="s">
        <v>1052</v>
      </c>
      <c r="G529" s="25">
        <f t="shared" si="7"/>
        <v>9.8467160694346578E-3</v>
      </c>
    </row>
    <row r="530" spans="1:7">
      <c r="A530" s="47">
        <v>96.61</v>
      </c>
      <c r="B530" s="47">
        <v>98.46</v>
      </c>
      <c r="C530" s="47">
        <v>96.07</v>
      </c>
      <c r="D530" s="47">
        <v>98.05</v>
      </c>
      <c r="E530" s="47">
        <v>289355</v>
      </c>
      <c r="F530" s="47" t="s">
        <v>1051</v>
      </c>
      <c r="G530" s="25">
        <f t="shared" si="7"/>
        <v>-1.4686384497705207E-2</v>
      </c>
    </row>
    <row r="531" spans="1:7">
      <c r="A531" s="47">
        <v>96.68</v>
      </c>
      <c r="B531" s="47">
        <v>96.81</v>
      </c>
      <c r="C531" s="47">
        <v>94.45</v>
      </c>
      <c r="D531" s="47">
        <v>96.09</v>
      </c>
      <c r="E531" s="47">
        <v>264628</v>
      </c>
      <c r="F531" s="47" t="s">
        <v>1050</v>
      </c>
      <c r="G531" s="25">
        <f t="shared" si="7"/>
        <v>6.140077011135503E-3</v>
      </c>
    </row>
    <row r="532" spans="1:7">
      <c r="A532" s="47">
        <v>95.4</v>
      </c>
      <c r="B532" s="47">
        <v>95.805000000000007</v>
      </c>
      <c r="C532" s="47">
        <v>93.95</v>
      </c>
      <c r="D532" s="47">
        <v>95.37</v>
      </c>
      <c r="E532" s="47">
        <v>228344</v>
      </c>
      <c r="F532" s="47" t="s">
        <v>1049</v>
      </c>
      <c r="G532" s="25">
        <f t="shared" si="7"/>
        <v>3.145643284052646E-4</v>
      </c>
    </row>
    <row r="533" spans="1:7">
      <c r="A533" s="47">
        <v>94.63</v>
      </c>
      <c r="B533" s="47">
        <v>94.64</v>
      </c>
      <c r="C533" s="47">
        <v>93.25</v>
      </c>
      <c r="D533" s="47">
        <v>94.03</v>
      </c>
      <c r="E533" s="47">
        <v>257206</v>
      </c>
      <c r="F533" s="47" t="s">
        <v>1048</v>
      </c>
      <c r="G533" s="25">
        <f t="shared" si="7"/>
        <v>6.3809422524725434E-3</v>
      </c>
    </row>
    <row r="534" spans="1:7">
      <c r="A534" s="47">
        <v>95.41</v>
      </c>
      <c r="B534" s="47">
        <v>95.55</v>
      </c>
      <c r="C534" s="47">
        <v>93.29</v>
      </c>
      <c r="D534" s="47">
        <v>93.58</v>
      </c>
      <c r="E534" s="47">
        <v>263608</v>
      </c>
      <c r="F534" s="47" t="s">
        <v>1047</v>
      </c>
      <c r="G534" s="25">
        <f t="shared" si="7"/>
        <v>1.9555460568497551E-2</v>
      </c>
    </row>
    <row r="535" spans="1:7">
      <c r="A535" s="47">
        <v>95.05</v>
      </c>
      <c r="B535" s="47">
        <v>97.15</v>
      </c>
      <c r="C535" s="47">
        <v>94.64</v>
      </c>
      <c r="D535" s="47">
        <v>96.01</v>
      </c>
      <c r="E535" s="47">
        <v>202406</v>
      </c>
      <c r="F535" s="47" t="s">
        <v>1046</v>
      </c>
      <c r="G535" s="25">
        <f t="shared" si="7"/>
        <v>-9.9989584418290756E-3</v>
      </c>
    </row>
    <row r="536" spans="1:7">
      <c r="A536" s="47">
        <v>94.92</v>
      </c>
      <c r="B536" s="47">
        <v>94.97</v>
      </c>
      <c r="C536" s="47">
        <v>92.2</v>
      </c>
      <c r="D536" s="47">
        <v>93.4</v>
      </c>
      <c r="E536" s="47">
        <v>676168</v>
      </c>
      <c r="F536" s="47" t="s">
        <v>1045</v>
      </c>
      <c r="G536" s="25">
        <f t="shared" si="7"/>
        <v>1.6274089935760072E-2</v>
      </c>
    </row>
    <row r="537" spans="1:7">
      <c r="A537" s="47">
        <v>93.24</v>
      </c>
      <c r="B537" s="47">
        <v>93.75</v>
      </c>
      <c r="C537" s="47">
        <v>92.16</v>
      </c>
      <c r="D537" s="47">
        <v>92.55</v>
      </c>
      <c r="E537" s="47">
        <v>540838</v>
      </c>
      <c r="F537" s="47" t="s">
        <v>1044</v>
      </c>
      <c r="G537" s="25">
        <f t="shared" si="7"/>
        <v>7.4554294975688329E-3</v>
      </c>
    </row>
    <row r="538" spans="1:7">
      <c r="A538" s="47">
        <v>92.79</v>
      </c>
      <c r="B538" s="47">
        <v>93.04</v>
      </c>
      <c r="C538" s="47">
        <v>91.1</v>
      </c>
      <c r="D538" s="47">
        <v>91.51</v>
      </c>
      <c r="E538" s="47">
        <v>469841</v>
      </c>
      <c r="F538" s="47" t="s">
        <v>1043</v>
      </c>
      <c r="G538" s="25">
        <f t="shared" si="7"/>
        <v>1.3987542345098802E-2</v>
      </c>
    </row>
    <row r="539" spans="1:7">
      <c r="A539" s="47">
        <v>92.97</v>
      </c>
      <c r="B539" s="47">
        <v>93.924999999999997</v>
      </c>
      <c r="C539" s="47">
        <v>92.22</v>
      </c>
      <c r="D539" s="47">
        <v>92.6</v>
      </c>
      <c r="E539" s="47">
        <v>363038</v>
      </c>
      <c r="F539" s="47" t="s">
        <v>1042</v>
      </c>
      <c r="G539" s="25">
        <f t="shared" si="7"/>
        <v>3.9956803455722945E-3</v>
      </c>
    </row>
    <row r="540" spans="1:7">
      <c r="A540" s="47">
        <v>92.26</v>
      </c>
      <c r="B540" s="47">
        <v>93.91</v>
      </c>
      <c r="C540" s="47">
        <v>91.83</v>
      </c>
      <c r="D540" s="47">
        <v>91.91</v>
      </c>
      <c r="E540" s="47">
        <v>258537</v>
      </c>
      <c r="F540" s="47" t="s">
        <v>1041</v>
      </c>
      <c r="G540" s="25">
        <f t="shared" si="7"/>
        <v>3.8080731150038627E-3</v>
      </c>
    </row>
    <row r="541" spans="1:7">
      <c r="A541" s="47">
        <v>92.7</v>
      </c>
      <c r="B541" s="47">
        <v>94.11</v>
      </c>
      <c r="C541" s="47">
        <v>91.91</v>
      </c>
      <c r="D541" s="47">
        <v>93.75</v>
      </c>
      <c r="E541" s="47">
        <v>332654</v>
      </c>
      <c r="F541" s="47" t="s">
        <v>1040</v>
      </c>
      <c r="G541" s="25">
        <f t="shared" si="7"/>
        <v>-1.1199999999999988E-2</v>
      </c>
    </row>
    <row r="542" spans="1:7">
      <c r="A542" s="47">
        <v>93.23</v>
      </c>
      <c r="B542" s="47">
        <v>95.37</v>
      </c>
      <c r="C542" s="47">
        <v>92.650099999999995</v>
      </c>
      <c r="D542" s="47">
        <v>95.11</v>
      </c>
      <c r="E542" s="47">
        <v>349069</v>
      </c>
      <c r="F542" s="47" t="s">
        <v>1039</v>
      </c>
      <c r="G542" s="25">
        <f t="shared" si="7"/>
        <v>-1.9766586058248325E-2</v>
      </c>
    </row>
    <row r="543" spans="1:7">
      <c r="A543" s="47">
        <v>95.63</v>
      </c>
      <c r="B543" s="47">
        <v>99.71</v>
      </c>
      <c r="C543" s="47">
        <v>95.45</v>
      </c>
      <c r="D543" s="47">
        <v>99.71</v>
      </c>
      <c r="E543" s="47">
        <v>300474</v>
      </c>
      <c r="F543" s="47" t="s">
        <v>1038</v>
      </c>
      <c r="G543" s="25">
        <f t="shared" si="7"/>
        <v>-4.0918664125965232E-2</v>
      </c>
    </row>
    <row r="544" spans="1:7">
      <c r="A544" s="47">
        <v>101.53</v>
      </c>
      <c r="B544" s="47">
        <v>104.24</v>
      </c>
      <c r="C544" s="47">
        <v>101.22</v>
      </c>
      <c r="D544" s="47">
        <v>103.08</v>
      </c>
      <c r="E544" s="47">
        <v>186468</v>
      </c>
      <c r="F544" s="47" t="s">
        <v>1037</v>
      </c>
      <c r="G544" s="25">
        <f t="shared" si="7"/>
        <v>-1.5036864571206787E-2</v>
      </c>
    </row>
    <row r="545" spans="1:7">
      <c r="A545" s="47">
        <v>103.44</v>
      </c>
      <c r="B545" s="47">
        <v>104.36</v>
      </c>
      <c r="C545" s="47">
        <v>102.62</v>
      </c>
      <c r="D545" s="47">
        <v>103.77</v>
      </c>
      <c r="E545" s="47">
        <v>218620</v>
      </c>
      <c r="F545" s="47" t="s">
        <v>1036</v>
      </c>
      <c r="G545" s="25">
        <f t="shared" si="7"/>
        <v>-3.1801098583404963E-3</v>
      </c>
    </row>
    <row r="546" spans="1:7">
      <c r="A546" s="47">
        <v>104.18</v>
      </c>
      <c r="B546" s="47">
        <v>105</v>
      </c>
      <c r="C546" s="47">
        <v>103.21</v>
      </c>
      <c r="D546" s="47">
        <v>104.5</v>
      </c>
      <c r="E546" s="47">
        <v>203636</v>
      </c>
      <c r="F546" s="47" t="s">
        <v>1035</v>
      </c>
      <c r="G546" s="25">
        <f t="shared" si="7"/>
        <v>-3.0622009569377662E-3</v>
      </c>
    </row>
    <row r="547" spans="1:7">
      <c r="A547" s="47">
        <v>104.4</v>
      </c>
      <c r="B547" s="47">
        <v>104.74</v>
      </c>
      <c r="C547" s="47">
        <v>103.37</v>
      </c>
      <c r="D547" s="47">
        <v>104.04</v>
      </c>
      <c r="E547" s="47">
        <v>199429</v>
      </c>
      <c r="F547" s="47" t="s">
        <v>1034</v>
      </c>
      <c r="G547" s="25">
        <f t="shared" si="7"/>
        <v>3.4602076124568004E-3</v>
      </c>
    </row>
    <row r="548" spans="1:7">
      <c r="A548" s="47">
        <v>103.9</v>
      </c>
      <c r="B548" s="47">
        <v>104.52</v>
      </c>
      <c r="C548" s="47">
        <v>103.02</v>
      </c>
      <c r="D548" s="47">
        <v>104.2</v>
      </c>
      <c r="E548" s="47">
        <v>193787</v>
      </c>
      <c r="F548" s="47" t="s">
        <v>1033</v>
      </c>
      <c r="G548" s="25">
        <f t="shared" si="7"/>
        <v>-2.8790786948176272E-3</v>
      </c>
    </row>
    <row r="549" spans="1:7">
      <c r="A549" s="47">
        <v>103.79</v>
      </c>
      <c r="B549" s="47">
        <v>104.12</v>
      </c>
      <c r="C549" s="47">
        <v>101.13</v>
      </c>
      <c r="D549" s="47">
        <v>101.69</v>
      </c>
      <c r="E549" s="47">
        <v>332102</v>
      </c>
      <c r="F549" s="47" t="s">
        <v>1032</v>
      </c>
      <c r="G549" s="25">
        <f t="shared" si="7"/>
        <v>2.0650998131576337E-2</v>
      </c>
    </row>
    <row r="550" spans="1:7">
      <c r="A550" s="47">
        <v>100.38</v>
      </c>
      <c r="B550" s="47">
        <v>104.36</v>
      </c>
      <c r="C550" s="47">
        <v>100.01</v>
      </c>
      <c r="D550" s="47">
        <v>100.59</v>
      </c>
      <c r="E550" s="47">
        <v>346422</v>
      </c>
      <c r="F550" s="47" t="s">
        <v>1031</v>
      </c>
      <c r="G550" s="25">
        <f t="shared" si="7"/>
        <v>-2.0876826722339148E-3</v>
      </c>
    </row>
    <row r="551" spans="1:7">
      <c r="A551" s="47">
        <v>101.17</v>
      </c>
      <c r="B551" s="47">
        <v>102.54</v>
      </c>
      <c r="C551" s="47">
        <v>100.07</v>
      </c>
      <c r="D551" s="47">
        <v>101</v>
      </c>
      <c r="E551" s="47">
        <v>346690</v>
      </c>
      <c r="F551" s="47" t="s">
        <v>1030</v>
      </c>
      <c r="G551" s="25">
        <f t="shared" si="7"/>
        <v>1.6831683168316847E-3</v>
      </c>
    </row>
    <row r="552" spans="1:7">
      <c r="A552" s="47">
        <v>100.52</v>
      </c>
      <c r="B552" s="47">
        <v>100.72</v>
      </c>
      <c r="C552" s="47">
        <v>97.7</v>
      </c>
      <c r="D552" s="47">
        <v>99.29</v>
      </c>
      <c r="E552" s="47">
        <v>322145</v>
      </c>
      <c r="F552" s="47" t="s">
        <v>1029</v>
      </c>
      <c r="G552" s="25">
        <f t="shared" si="7"/>
        <v>1.238795447678509E-2</v>
      </c>
    </row>
    <row r="553" spans="1:7">
      <c r="A553" s="47">
        <v>99.62</v>
      </c>
      <c r="B553" s="47">
        <v>101.32</v>
      </c>
      <c r="C553" s="47">
        <v>98.24</v>
      </c>
      <c r="D553" s="47">
        <v>99.36</v>
      </c>
      <c r="E553" s="47">
        <v>909869</v>
      </c>
      <c r="F553" s="47" t="s">
        <v>1028</v>
      </c>
      <c r="G553" s="25">
        <f t="shared" si="7"/>
        <v>2.6167471819646959E-3</v>
      </c>
    </row>
    <row r="554" spans="1:7">
      <c r="A554" s="47">
        <v>99.11</v>
      </c>
      <c r="B554" s="47">
        <v>101.05</v>
      </c>
      <c r="C554" s="47">
        <v>98.135000000000005</v>
      </c>
      <c r="D554" s="47">
        <v>99.36</v>
      </c>
      <c r="E554" s="47">
        <v>474882</v>
      </c>
      <c r="F554" s="47" t="s">
        <v>1027</v>
      </c>
      <c r="G554" s="25">
        <f t="shared" si="7"/>
        <v>-2.5161030595812761E-3</v>
      </c>
    </row>
    <row r="555" spans="1:7">
      <c r="A555" s="47">
        <v>98.15</v>
      </c>
      <c r="B555" s="47">
        <v>98.66</v>
      </c>
      <c r="C555" s="47">
        <v>94.39</v>
      </c>
      <c r="D555" s="47">
        <v>95.76</v>
      </c>
      <c r="E555" s="47">
        <v>469418</v>
      </c>
      <c r="F555" s="47" t="s">
        <v>1026</v>
      </c>
      <c r="G555" s="25">
        <f t="shared" si="7"/>
        <v>2.4958228905597402E-2</v>
      </c>
    </row>
    <row r="556" spans="1:7">
      <c r="A556" s="47">
        <v>95.84</v>
      </c>
      <c r="B556" s="47">
        <v>96.52</v>
      </c>
      <c r="C556" s="47">
        <v>94.66</v>
      </c>
      <c r="D556" s="47">
        <v>96.52</v>
      </c>
      <c r="E556" s="47">
        <v>307589</v>
      </c>
      <c r="F556" s="47" t="s">
        <v>1025</v>
      </c>
      <c r="G556" s="25">
        <f t="shared" si="7"/>
        <v>-7.0451719850807004E-3</v>
      </c>
    </row>
    <row r="557" spans="1:7">
      <c r="A557" s="47">
        <v>96.2</v>
      </c>
      <c r="B557" s="47">
        <v>96.69</v>
      </c>
      <c r="C557" s="47">
        <v>94.23</v>
      </c>
      <c r="D557" s="47">
        <v>95.05</v>
      </c>
      <c r="E557" s="47">
        <v>325298</v>
      </c>
      <c r="F557" s="47" t="s">
        <v>1024</v>
      </c>
      <c r="G557" s="25">
        <f t="shared" si="7"/>
        <v>1.20988953182537E-2</v>
      </c>
    </row>
    <row r="558" spans="1:7">
      <c r="A558" s="47">
        <v>95.3</v>
      </c>
      <c r="B558" s="47">
        <v>97.34</v>
      </c>
      <c r="C558" s="47">
        <v>94.38</v>
      </c>
      <c r="D558" s="47">
        <v>95.36</v>
      </c>
      <c r="E558" s="47">
        <v>379790</v>
      </c>
      <c r="F558" s="47" t="s">
        <v>1023</v>
      </c>
      <c r="G558" s="25">
        <f t="shared" si="7"/>
        <v>-6.2919463087252048E-4</v>
      </c>
    </row>
    <row r="559" spans="1:7">
      <c r="A559" s="47">
        <v>95.73</v>
      </c>
      <c r="B559" s="47">
        <v>98.87</v>
      </c>
      <c r="C559" s="47">
        <v>95.46</v>
      </c>
      <c r="D559" s="47">
        <v>98.33</v>
      </c>
      <c r="E559" s="47">
        <v>408697</v>
      </c>
      <c r="F559" s="47" t="s">
        <v>1022</v>
      </c>
      <c r="G559" s="25">
        <f t="shared" si="7"/>
        <v>-2.6441574290653858E-2</v>
      </c>
    </row>
    <row r="560" spans="1:7">
      <c r="A560" s="47">
        <v>98.3</v>
      </c>
      <c r="B560" s="47">
        <v>100.39</v>
      </c>
      <c r="C560" s="47">
        <v>97.924999999999997</v>
      </c>
      <c r="D560" s="47">
        <v>99.2</v>
      </c>
      <c r="E560" s="47">
        <v>281556</v>
      </c>
      <c r="F560" s="47" t="s">
        <v>1021</v>
      </c>
      <c r="G560" s="25">
        <f t="shared" si="7"/>
        <v>-9.0725806451613655E-3</v>
      </c>
    </row>
    <row r="561" spans="1:7">
      <c r="A561" s="47">
        <v>99.13</v>
      </c>
      <c r="B561" s="47">
        <v>100.41</v>
      </c>
      <c r="C561" s="47">
        <v>97.03</v>
      </c>
      <c r="D561" s="47">
        <v>99.51</v>
      </c>
      <c r="E561" s="47">
        <v>424852</v>
      </c>
      <c r="F561" s="47" t="s">
        <v>1020</v>
      </c>
      <c r="G561" s="25">
        <f t="shared" si="7"/>
        <v>-3.8187116872676619E-3</v>
      </c>
    </row>
    <row r="562" spans="1:7">
      <c r="A562" s="47">
        <v>100.25</v>
      </c>
      <c r="B562" s="47">
        <v>100.44</v>
      </c>
      <c r="C562" s="47">
        <v>98.12</v>
      </c>
      <c r="D562" s="47">
        <v>98.9</v>
      </c>
      <c r="E562" s="47">
        <v>247360</v>
      </c>
      <c r="F562" s="47" t="s">
        <v>1019</v>
      </c>
      <c r="G562" s="25">
        <f t="shared" si="7"/>
        <v>1.3650151668351818E-2</v>
      </c>
    </row>
    <row r="563" spans="1:7">
      <c r="A563" s="47">
        <v>99.62</v>
      </c>
      <c r="B563" s="47">
        <v>99.71</v>
      </c>
      <c r="C563" s="47">
        <v>95.575000000000003</v>
      </c>
      <c r="D563" s="47">
        <v>96.76</v>
      </c>
      <c r="E563" s="47">
        <v>328040</v>
      </c>
      <c r="F563" s="47" t="s">
        <v>1018</v>
      </c>
      <c r="G563" s="25">
        <f t="shared" si="7"/>
        <v>2.9557668458040531E-2</v>
      </c>
    </row>
    <row r="564" spans="1:7">
      <c r="A564" s="47">
        <v>96.17</v>
      </c>
      <c r="B564" s="47">
        <v>96.94</v>
      </c>
      <c r="C564" s="47">
        <v>94.45</v>
      </c>
      <c r="D564" s="47">
        <v>96.35</v>
      </c>
      <c r="E564" s="47">
        <v>324180</v>
      </c>
      <c r="F564" s="47" t="s">
        <v>1017</v>
      </c>
      <c r="G564" s="25">
        <f t="shared" si="7"/>
        <v>-1.8681888946547875E-3</v>
      </c>
    </row>
    <row r="565" spans="1:7">
      <c r="A565" s="47">
        <v>95.87</v>
      </c>
      <c r="B565" s="47">
        <v>99.28</v>
      </c>
      <c r="C565" s="47">
        <v>95.45</v>
      </c>
      <c r="D565" s="47">
        <v>97.51</v>
      </c>
      <c r="E565" s="47">
        <v>253895</v>
      </c>
      <c r="F565" s="47" t="s">
        <v>1016</v>
      </c>
      <c r="G565" s="25">
        <f t="shared" si="7"/>
        <v>-1.6818787816634151E-2</v>
      </c>
    </row>
    <row r="566" spans="1:7">
      <c r="A566" s="47">
        <v>95.53</v>
      </c>
      <c r="B566" s="47">
        <v>96.51</v>
      </c>
      <c r="C566" s="47">
        <v>93.09</v>
      </c>
      <c r="D566" s="47">
        <v>93.99</v>
      </c>
      <c r="E566" s="47">
        <v>364013</v>
      </c>
      <c r="F566" s="47" t="s">
        <v>1015</v>
      </c>
      <c r="G566" s="25">
        <f t="shared" si="7"/>
        <v>1.6384721778912814E-2</v>
      </c>
    </row>
    <row r="567" spans="1:7">
      <c r="A567" s="47">
        <v>94.37</v>
      </c>
      <c r="B567" s="47">
        <v>94.69</v>
      </c>
      <c r="C567" s="47">
        <v>93.025000000000006</v>
      </c>
      <c r="D567" s="47">
        <v>93.91</v>
      </c>
      <c r="E567" s="47">
        <v>271136</v>
      </c>
      <c r="F567" s="47" t="s">
        <v>1014</v>
      </c>
      <c r="G567" s="25">
        <f t="shared" ref="G567:G630" si="8">A567/D567-1</f>
        <v>4.8983068895751547E-3</v>
      </c>
    </row>
    <row r="568" spans="1:7">
      <c r="A568" s="47">
        <v>94.57</v>
      </c>
      <c r="B568" s="47">
        <v>94.71</v>
      </c>
      <c r="C568" s="47">
        <v>92.76</v>
      </c>
      <c r="D568" s="47">
        <v>93.39</v>
      </c>
      <c r="E568" s="47">
        <v>112692</v>
      </c>
      <c r="F568" s="47" t="s">
        <v>1013</v>
      </c>
      <c r="G568" s="25">
        <f t="shared" si="8"/>
        <v>1.2635185780061953E-2</v>
      </c>
    </row>
    <row r="569" spans="1:7">
      <c r="A569" s="47">
        <v>94.19</v>
      </c>
      <c r="B569" s="47">
        <v>95.27</v>
      </c>
      <c r="C569" s="47">
        <v>93.59</v>
      </c>
      <c r="D569" s="47">
        <v>94.53</v>
      </c>
      <c r="E569" s="47">
        <v>256364</v>
      </c>
      <c r="F569" s="47" t="s">
        <v>1012</v>
      </c>
      <c r="G569" s="25">
        <f t="shared" si="8"/>
        <v>-3.5967417750978337E-3</v>
      </c>
    </row>
    <row r="570" spans="1:7">
      <c r="A570" s="47">
        <v>93.88</v>
      </c>
      <c r="B570" s="47">
        <v>94.72</v>
      </c>
      <c r="C570" s="47">
        <v>92.49</v>
      </c>
      <c r="D570" s="47">
        <v>93.82</v>
      </c>
      <c r="E570" s="47">
        <v>372804</v>
      </c>
      <c r="F570" s="47" t="s">
        <v>1011</v>
      </c>
      <c r="G570" s="25">
        <f t="shared" si="8"/>
        <v>6.3952248987431126E-4</v>
      </c>
    </row>
    <row r="571" spans="1:7">
      <c r="A571" s="47">
        <v>94.64</v>
      </c>
      <c r="B571" s="47">
        <v>95.78</v>
      </c>
      <c r="C571" s="47">
        <v>92.7</v>
      </c>
      <c r="D571" s="47">
        <v>93.89</v>
      </c>
      <c r="E571" s="47">
        <v>325658</v>
      </c>
      <c r="F571" s="47" t="s">
        <v>1010</v>
      </c>
      <c r="G571" s="25">
        <f t="shared" si="8"/>
        <v>7.9880711470869947E-3</v>
      </c>
    </row>
    <row r="572" spans="1:7">
      <c r="A572" s="47">
        <v>93.41</v>
      </c>
      <c r="B572" s="47">
        <v>93.53</v>
      </c>
      <c r="C572" s="47">
        <v>90.32</v>
      </c>
      <c r="D572" s="47">
        <v>91.43</v>
      </c>
      <c r="E572" s="47">
        <v>429926</v>
      </c>
      <c r="F572" s="47" t="s">
        <v>1009</v>
      </c>
      <c r="G572" s="25">
        <f t="shared" si="8"/>
        <v>2.1655911626380808E-2</v>
      </c>
    </row>
    <row r="573" spans="1:7">
      <c r="A573" s="47">
        <v>91.12</v>
      </c>
      <c r="B573" s="47">
        <v>94.64</v>
      </c>
      <c r="C573" s="47">
        <v>91.11</v>
      </c>
      <c r="D573" s="47">
        <v>94.04</v>
      </c>
      <c r="E573" s="47">
        <v>399802</v>
      </c>
      <c r="F573" s="47" t="s">
        <v>1008</v>
      </c>
      <c r="G573" s="25">
        <f t="shared" si="8"/>
        <v>-3.1050616758826033E-2</v>
      </c>
    </row>
    <row r="574" spans="1:7">
      <c r="A574" s="47">
        <v>94.64</v>
      </c>
      <c r="B574" s="47">
        <v>96.189899999999994</v>
      </c>
      <c r="C574" s="47">
        <v>93.894999999999996</v>
      </c>
      <c r="D574" s="47">
        <v>93.92</v>
      </c>
      <c r="E574" s="47">
        <v>269494</v>
      </c>
      <c r="F574" s="47" t="s">
        <v>1007</v>
      </c>
      <c r="G574" s="25">
        <f t="shared" si="8"/>
        <v>7.6660988074956915E-3</v>
      </c>
    </row>
    <row r="575" spans="1:7">
      <c r="A575" s="47">
        <v>93.87</v>
      </c>
      <c r="B575" s="47">
        <v>93.95</v>
      </c>
      <c r="C575" s="47">
        <v>90.35</v>
      </c>
      <c r="D575" s="47">
        <v>91.92</v>
      </c>
      <c r="E575" s="47">
        <v>300932</v>
      </c>
      <c r="F575" s="47" t="s">
        <v>1006</v>
      </c>
      <c r="G575" s="25">
        <f t="shared" si="8"/>
        <v>2.1214099216710247E-2</v>
      </c>
    </row>
    <row r="576" spans="1:7">
      <c r="A576" s="47">
        <v>89.04</v>
      </c>
      <c r="B576" s="47">
        <v>89.35</v>
      </c>
      <c r="C576" s="47">
        <v>88.03</v>
      </c>
      <c r="D576" s="47">
        <v>89.07</v>
      </c>
      <c r="E576" s="47">
        <v>225136</v>
      </c>
      <c r="F576" s="47" t="s">
        <v>1005</v>
      </c>
      <c r="G576" s="25">
        <f t="shared" si="8"/>
        <v>-3.3681374200056347E-4</v>
      </c>
    </row>
    <row r="577" spans="1:7">
      <c r="A577" s="47">
        <v>89.54</v>
      </c>
      <c r="B577" s="47">
        <v>89.814999999999998</v>
      </c>
      <c r="C577" s="47">
        <v>86.501999999999995</v>
      </c>
      <c r="D577" s="47">
        <v>87.23</v>
      </c>
      <c r="E577" s="47">
        <v>275669</v>
      </c>
      <c r="F577" s="47" t="s">
        <v>1004</v>
      </c>
      <c r="G577" s="25">
        <f t="shared" si="8"/>
        <v>2.6481715006305251E-2</v>
      </c>
    </row>
    <row r="578" spans="1:7">
      <c r="A578" s="47">
        <v>86.99</v>
      </c>
      <c r="B578" s="47">
        <v>90.29</v>
      </c>
      <c r="C578" s="47">
        <v>86.7</v>
      </c>
      <c r="D578" s="47">
        <v>89.83</v>
      </c>
      <c r="E578" s="47">
        <v>273385</v>
      </c>
      <c r="F578" s="47" t="s">
        <v>1003</v>
      </c>
      <c r="G578" s="25">
        <f t="shared" si="8"/>
        <v>-3.1615273293999824E-2</v>
      </c>
    </row>
    <row r="579" spans="1:7">
      <c r="A579" s="47">
        <v>89.37</v>
      </c>
      <c r="B579" s="47">
        <v>89.42</v>
      </c>
      <c r="C579" s="47">
        <v>87.29</v>
      </c>
      <c r="D579" s="47">
        <v>88.04</v>
      </c>
      <c r="E579" s="47">
        <v>289591</v>
      </c>
      <c r="F579" s="47" t="s">
        <v>1002</v>
      </c>
      <c r="G579" s="25">
        <f t="shared" si="8"/>
        <v>1.5106769650159002E-2</v>
      </c>
    </row>
    <row r="580" spans="1:7">
      <c r="A580" s="47">
        <v>88.25</v>
      </c>
      <c r="B580" s="47">
        <v>90.47</v>
      </c>
      <c r="C580" s="47">
        <v>88.204999999999998</v>
      </c>
      <c r="D580" s="47">
        <v>88.57</v>
      </c>
      <c r="E580" s="47">
        <v>444700</v>
      </c>
      <c r="F580" s="47" t="s">
        <v>1001</v>
      </c>
      <c r="G580" s="25">
        <f t="shared" si="8"/>
        <v>-3.6129614993789527E-3</v>
      </c>
    </row>
    <row r="581" spans="1:7">
      <c r="A581" s="47">
        <v>88.68</v>
      </c>
      <c r="B581" s="47">
        <v>89.66</v>
      </c>
      <c r="C581" s="47">
        <v>87.55</v>
      </c>
      <c r="D581" s="47">
        <v>89.66</v>
      </c>
      <c r="E581" s="47">
        <v>328205</v>
      </c>
      <c r="F581" s="47" t="s">
        <v>1000</v>
      </c>
      <c r="G581" s="25">
        <f t="shared" si="8"/>
        <v>-1.0930180682578561E-2</v>
      </c>
    </row>
    <row r="582" spans="1:7">
      <c r="A582" s="47">
        <v>89.68</v>
      </c>
      <c r="B582" s="47">
        <v>90.97</v>
      </c>
      <c r="C582" s="47">
        <v>87.91</v>
      </c>
      <c r="D582" s="47">
        <v>88.63</v>
      </c>
      <c r="E582" s="47">
        <v>422916</v>
      </c>
      <c r="F582" s="47" t="s">
        <v>999</v>
      </c>
      <c r="G582" s="25">
        <f t="shared" si="8"/>
        <v>1.1847004400316052E-2</v>
      </c>
    </row>
    <row r="583" spans="1:7">
      <c r="A583" s="47">
        <v>87.4</v>
      </c>
      <c r="B583" s="47">
        <v>88.32</v>
      </c>
      <c r="C583" s="47">
        <v>85</v>
      </c>
      <c r="D583" s="47">
        <v>87.81</v>
      </c>
      <c r="E583" s="47">
        <v>641929</v>
      </c>
      <c r="F583" s="47" t="s">
        <v>998</v>
      </c>
      <c r="G583" s="25">
        <f t="shared" si="8"/>
        <v>-4.6691720760733135E-3</v>
      </c>
    </row>
    <row r="584" spans="1:7">
      <c r="A584" s="47">
        <v>85.16</v>
      </c>
      <c r="B584" s="47">
        <v>87.392899999999997</v>
      </c>
      <c r="C584" s="47">
        <v>83.93</v>
      </c>
      <c r="D584" s="47">
        <v>86.72</v>
      </c>
      <c r="E584" s="47">
        <v>623896</v>
      </c>
      <c r="F584" s="47" t="s">
        <v>997</v>
      </c>
      <c r="G584" s="25">
        <f t="shared" si="8"/>
        <v>-1.7988929889298899E-2</v>
      </c>
    </row>
    <row r="585" spans="1:7">
      <c r="A585" s="47">
        <v>87.09</v>
      </c>
      <c r="B585" s="47">
        <v>91.38</v>
      </c>
      <c r="C585" s="47">
        <v>83.47</v>
      </c>
      <c r="D585" s="47">
        <v>88.88</v>
      </c>
      <c r="E585" s="47">
        <v>1176243</v>
      </c>
      <c r="F585" s="47" t="s">
        <v>996</v>
      </c>
      <c r="G585" s="25">
        <f t="shared" si="8"/>
        <v>-2.0139513951395016E-2</v>
      </c>
    </row>
    <row r="586" spans="1:7">
      <c r="A586" s="47">
        <v>91.5</v>
      </c>
      <c r="B586" s="47">
        <v>94.65</v>
      </c>
      <c r="C586" s="47">
        <v>91</v>
      </c>
      <c r="D586" s="47">
        <v>94.65</v>
      </c>
      <c r="E586" s="47">
        <v>735222</v>
      </c>
      <c r="F586" s="47" t="s">
        <v>995</v>
      </c>
      <c r="G586" s="25">
        <f t="shared" si="8"/>
        <v>-3.3280507131537296E-2</v>
      </c>
    </row>
    <row r="587" spans="1:7">
      <c r="A587" s="47">
        <v>93.52</v>
      </c>
      <c r="B587" s="47">
        <v>94.81</v>
      </c>
      <c r="C587" s="47">
        <v>93.15</v>
      </c>
      <c r="D587" s="47">
        <v>94.52</v>
      </c>
      <c r="E587" s="47">
        <v>337119</v>
      </c>
      <c r="F587" s="47" t="s">
        <v>994</v>
      </c>
      <c r="G587" s="25">
        <f t="shared" si="8"/>
        <v>-1.0579771476936117E-2</v>
      </c>
    </row>
    <row r="588" spans="1:7">
      <c r="A588" s="47">
        <v>93.56</v>
      </c>
      <c r="B588" s="47">
        <v>96.86</v>
      </c>
      <c r="C588" s="47">
        <v>92.084999999999994</v>
      </c>
      <c r="D588" s="47">
        <v>95.94</v>
      </c>
      <c r="E588" s="47">
        <v>477612</v>
      </c>
      <c r="F588" s="47" t="s">
        <v>993</v>
      </c>
      <c r="G588" s="25">
        <f t="shared" si="8"/>
        <v>-2.480717114863451E-2</v>
      </c>
    </row>
    <row r="589" spans="1:7">
      <c r="A589" s="47">
        <v>95.58</v>
      </c>
      <c r="B589" s="47">
        <v>99.377499999999998</v>
      </c>
      <c r="C589" s="47">
        <v>95.56</v>
      </c>
      <c r="D589" s="47">
        <v>98.81</v>
      </c>
      <c r="E589" s="47">
        <v>492023</v>
      </c>
      <c r="F589" s="47" t="s">
        <v>992</v>
      </c>
      <c r="G589" s="25">
        <f t="shared" si="8"/>
        <v>-3.2688999089161008E-2</v>
      </c>
    </row>
    <row r="590" spans="1:7">
      <c r="A590" s="47">
        <v>100.02</v>
      </c>
      <c r="B590" s="47">
        <v>101.21</v>
      </c>
      <c r="C590" s="47">
        <v>97.954999999999998</v>
      </c>
      <c r="D590" s="47">
        <v>98.25</v>
      </c>
      <c r="E590" s="47">
        <v>346524</v>
      </c>
      <c r="F590" s="47" t="s">
        <v>991</v>
      </c>
      <c r="G590" s="25">
        <f t="shared" si="8"/>
        <v>1.8015267175572447E-2</v>
      </c>
    </row>
    <row r="591" spans="1:7">
      <c r="A591" s="47">
        <v>97.13</v>
      </c>
      <c r="B591" s="47">
        <v>99.04</v>
      </c>
      <c r="C591" s="47">
        <v>96.15</v>
      </c>
      <c r="D591" s="47">
        <v>97.37</v>
      </c>
      <c r="E591" s="47">
        <v>361788</v>
      </c>
      <c r="F591" s="47" t="s">
        <v>990</v>
      </c>
      <c r="G591" s="25">
        <f t="shared" si="8"/>
        <v>-2.4648248947315432E-3</v>
      </c>
    </row>
    <row r="592" spans="1:7">
      <c r="A592" s="47">
        <v>98.12</v>
      </c>
      <c r="B592" s="47">
        <v>100.87</v>
      </c>
      <c r="C592" s="47">
        <v>97.48</v>
      </c>
      <c r="D592" s="47">
        <v>99.93</v>
      </c>
      <c r="E592" s="47">
        <v>464682</v>
      </c>
      <c r="F592" s="47" t="s">
        <v>989</v>
      </c>
      <c r="G592" s="25">
        <f t="shared" si="8"/>
        <v>-1.8112678875212618E-2</v>
      </c>
    </row>
    <row r="593" spans="1:7">
      <c r="A593" s="47">
        <v>100.08</v>
      </c>
      <c r="B593" s="47">
        <v>102.41</v>
      </c>
      <c r="C593" s="47">
        <v>99.53</v>
      </c>
      <c r="D593" s="47">
        <v>100.8</v>
      </c>
      <c r="E593" s="47">
        <v>381175</v>
      </c>
      <c r="F593" s="47" t="s">
        <v>988</v>
      </c>
      <c r="G593" s="25">
        <f t="shared" si="8"/>
        <v>-7.1428571428571175E-3</v>
      </c>
    </row>
    <row r="594" spans="1:7">
      <c r="A594" s="47">
        <v>100.13</v>
      </c>
      <c r="B594" s="47">
        <v>101.64</v>
      </c>
      <c r="C594" s="47">
        <v>98.79</v>
      </c>
      <c r="D594" s="47">
        <v>100.87</v>
      </c>
      <c r="E594" s="47">
        <v>397573</v>
      </c>
      <c r="F594" s="47" t="s">
        <v>987</v>
      </c>
      <c r="G594" s="25">
        <f t="shared" si="8"/>
        <v>-7.33617527510666E-3</v>
      </c>
    </row>
    <row r="595" spans="1:7">
      <c r="A595" s="47">
        <v>101.58</v>
      </c>
      <c r="B595" s="47">
        <v>101.67</v>
      </c>
      <c r="C595" s="47">
        <v>97.16</v>
      </c>
      <c r="D595" s="47">
        <v>97.2</v>
      </c>
      <c r="E595" s="47">
        <v>520704</v>
      </c>
      <c r="F595" s="47" t="s">
        <v>986</v>
      </c>
      <c r="G595" s="25">
        <f t="shared" si="8"/>
        <v>4.5061728395061618E-2</v>
      </c>
    </row>
    <row r="596" spans="1:7">
      <c r="A596" s="47">
        <v>98</v>
      </c>
      <c r="B596" s="47">
        <v>100.85</v>
      </c>
      <c r="C596" s="47">
        <v>97.36</v>
      </c>
      <c r="D596" s="47">
        <v>98.08</v>
      </c>
      <c r="E596" s="47">
        <v>478716</v>
      </c>
      <c r="F596" s="47" t="s">
        <v>985</v>
      </c>
      <c r="G596" s="25">
        <f t="shared" si="8"/>
        <v>-8.1566068515492862E-4</v>
      </c>
    </row>
    <row r="597" spans="1:7">
      <c r="A597" s="47">
        <v>97.16</v>
      </c>
      <c r="B597" s="47">
        <v>99.18</v>
      </c>
      <c r="C597" s="47">
        <v>96.194999999999993</v>
      </c>
      <c r="D597" s="47">
        <v>98.6</v>
      </c>
      <c r="E597" s="47">
        <v>400541</v>
      </c>
      <c r="F597" s="47" t="s">
        <v>984</v>
      </c>
      <c r="G597" s="25">
        <f t="shared" si="8"/>
        <v>-1.4604462474644975E-2</v>
      </c>
    </row>
    <row r="598" spans="1:7">
      <c r="A598" s="47">
        <v>99.33</v>
      </c>
      <c r="B598" s="47">
        <v>101.59</v>
      </c>
      <c r="C598" s="47">
        <v>98.47</v>
      </c>
      <c r="D598" s="47">
        <v>101.59</v>
      </c>
      <c r="E598" s="47">
        <v>344014</v>
      </c>
      <c r="F598" s="47" t="s">
        <v>983</v>
      </c>
      <c r="G598" s="25">
        <f t="shared" si="8"/>
        <v>-2.2246284083079049E-2</v>
      </c>
    </row>
    <row r="599" spans="1:7">
      <c r="A599" s="47">
        <v>101.28</v>
      </c>
      <c r="B599" s="47">
        <v>102.84</v>
      </c>
      <c r="C599" s="47">
        <v>100.45</v>
      </c>
      <c r="D599" s="47">
        <v>101.59</v>
      </c>
      <c r="E599" s="47">
        <v>341123</v>
      </c>
      <c r="F599" s="47" t="s">
        <v>982</v>
      </c>
      <c r="G599" s="25">
        <f t="shared" si="8"/>
        <v>-3.0514814450240957E-3</v>
      </c>
    </row>
    <row r="600" spans="1:7">
      <c r="A600" s="47">
        <v>101.24</v>
      </c>
      <c r="B600" s="47">
        <v>102.19</v>
      </c>
      <c r="C600" s="47">
        <v>99.85</v>
      </c>
      <c r="D600" s="47">
        <v>99.85</v>
      </c>
      <c r="E600" s="47">
        <v>424163</v>
      </c>
      <c r="F600" s="47" t="s">
        <v>981</v>
      </c>
      <c r="G600" s="25">
        <f t="shared" si="8"/>
        <v>1.3920881321982881E-2</v>
      </c>
    </row>
    <row r="601" spans="1:7">
      <c r="A601" s="47">
        <v>99.59</v>
      </c>
      <c r="B601" s="47">
        <v>101.545</v>
      </c>
      <c r="C601" s="47">
        <v>99.22</v>
      </c>
      <c r="D601" s="47">
        <v>99.77</v>
      </c>
      <c r="E601" s="47">
        <v>439747</v>
      </c>
      <c r="F601" s="47" t="s">
        <v>980</v>
      </c>
      <c r="G601" s="25">
        <f t="shared" si="8"/>
        <v>-1.804149543951028E-3</v>
      </c>
    </row>
    <row r="602" spans="1:7">
      <c r="A602" s="47">
        <v>100.8</v>
      </c>
      <c r="B602" s="47">
        <v>101.55</v>
      </c>
      <c r="C602" s="47">
        <v>97.5</v>
      </c>
      <c r="D602" s="47">
        <v>97.5</v>
      </c>
      <c r="E602" s="47">
        <v>284514</v>
      </c>
      <c r="F602" s="47" t="s">
        <v>979</v>
      </c>
      <c r="G602" s="25">
        <f t="shared" si="8"/>
        <v>3.3846153846153859E-2</v>
      </c>
    </row>
    <row r="603" spans="1:7">
      <c r="A603" s="47">
        <v>97.84</v>
      </c>
      <c r="B603" s="47">
        <v>98.305000000000007</v>
      </c>
      <c r="C603" s="47">
        <v>96.61</v>
      </c>
      <c r="D603" s="47">
        <v>97.74</v>
      </c>
      <c r="E603" s="47">
        <v>298951</v>
      </c>
      <c r="F603" s="47" t="s">
        <v>978</v>
      </c>
      <c r="G603" s="25">
        <f t="shared" si="8"/>
        <v>1.0231225700840785E-3</v>
      </c>
    </row>
    <row r="604" spans="1:7">
      <c r="A604" s="47">
        <v>98.06</v>
      </c>
      <c r="B604" s="47">
        <v>98.864999999999995</v>
      </c>
      <c r="C604" s="47">
        <v>96.27</v>
      </c>
      <c r="D604" s="47">
        <v>98.25</v>
      </c>
      <c r="E604" s="47">
        <v>361233</v>
      </c>
      <c r="F604" s="47" t="s">
        <v>977</v>
      </c>
      <c r="G604" s="25">
        <f t="shared" si="8"/>
        <v>-1.9338422391856902E-3</v>
      </c>
    </row>
    <row r="605" spans="1:7">
      <c r="A605" s="47">
        <v>97.61</v>
      </c>
      <c r="B605" s="47">
        <v>99.1</v>
      </c>
      <c r="C605" s="47">
        <v>97.123800000000003</v>
      </c>
      <c r="D605" s="47">
        <v>98.88</v>
      </c>
      <c r="E605" s="47">
        <v>361829</v>
      </c>
      <c r="F605" s="47" t="s">
        <v>976</v>
      </c>
      <c r="G605" s="25">
        <f t="shared" si="8"/>
        <v>-1.2843851132686046E-2</v>
      </c>
    </row>
    <row r="606" spans="1:7">
      <c r="A606" s="47">
        <v>99.77</v>
      </c>
      <c r="B606" s="47">
        <v>101.42</v>
      </c>
      <c r="C606" s="47">
        <v>98.35</v>
      </c>
      <c r="D606" s="47">
        <v>100.23</v>
      </c>
      <c r="E606" s="47">
        <v>286053</v>
      </c>
      <c r="F606" s="47" t="s">
        <v>975</v>
      </c>
      <c r="G606" s="25">
        <f t="shared" si="8"/>
        <v>-4.5894442781603262E-3</v>
      </c>
    </row>
    <row r="607" spans="1:7">
      <c r="A607" s="47">
        <v>101.34</v>
      </c>
      <c r="B607" s="47">
        <v>102.98</v>
      </c>
      <c r="C607" s="47">
        <v>100.99</v>
      </c>
      <c r="D607" s="47">
        <v>101.73</v>
      </c>
      <c r="E607" s="47">
        <v>342872</v>
      </c>
      <c r="F607" s="47" t="s">
        <v>974</v>
      </c>
      <c r="G607" s="25">
        <f t="shared" si="8"/>
        <v>-3.8336773813034686E-3</v>
      </c>
    </row>
    <row r="608" spans="1:7">
      <c r="A608" s="47">
        <v>100.62</v>
      </c>
      <c r="B608" s="47">
        <v>102.34</v>
      </c>
      <c r="C608" s="47">
        <v>97.74</v>
      </c>
      <c r="D608" s="47">
        <v>98.84</v>
      </c>
      <c r="E608" s="47">
        <v>379236</v>
      </c>
      <c r="F608" s="47" t="s">
        <v>973</v>
      </c>
      <c r="G608" s="25">
        <f t="shared" si="8"/>
        <v>1.8008903278025068E-2</v>
      </c>
    </row>
    <row r="609" spans="1:7">
      <c r="A609" s="47">
        <v>99.33</v>
      </c>
      <c r="B609" s="47">
        <v>100.26</v>
      </c>
      <c r="C609" s="47">
        <v>98.44</v>
      </c>
      <c r="D609" s="47">
        <v>99.22</v>
      </c>
      <c r="E609" s="47">
        <v>360322</v>
      </c>
      <c r="F609" s="47" t="s">
        <v>972</v>
      </c>
      <c r="G609" s="25">
        <f t="shared" si="8"/>
        <v>1.1086474501109667E-3</v>
      </c>
    </row>
    <row r="610" spans="1:7">
      <c r="A610" s="47">
        <v>98.81</v>
      </c>
      <c r="B610" s="47">
        <v>101.91</v>
      </c>
      <c r="C610" s="47">
        <v>97.62</v>
      </c>
      <c r="D610" s="47">
        <v>101.28</v>
      </c>
      <c r="E610" s="47">
        <v>439902</v>
      </c>
      <c r="F610" s="47" t="s">
        <v>971</v>
      </c>
      <c r="G610" s="25">
        <f t="shared" si="8"/>
        <v>-2.4387835703001515E-2</v>
      </c>
    </row>
    <row r="611" spans="1:7">
      <c r="A611" s="47">
        <v>102.04</v>
      </c>
      <c r="B611" s="47">
        <v>103.4</v>
      </c>
      <c r="C611" s="47">
        <v>101.03</v>
      </c>
      <c r="D611" s="47">
        <v>101.82</v>
      </c>
      <c r="E611" s="47">
        <v>190872</v>
      </c>
      <c r="F611" s="47" t="s">
        <v>970</v>
      </c>
      <c r="G611" s="25">
        <f t="shared" si="8"/>
        <v>2.1606757022196721E-3</v>
      </c>
    </row>
    <row r="612" spans="1:7">
      <c r="A612" s="47">
        <v>102.42</v>
      </c>
      <c r="B612" s="47">
        <v>104.18</v>
      </c>
      <c r="C612" s="47">
        <v>101.78</v>
      </c>
      <c r="D612" s="47">
        <v>102.46</v>
      </c>
      <c r="E612" s="47">
        <v>174235</v>
      </c>
      <c r="F612" s="47" t="s">
        <v>969</v>
      </c>
      <c r="G612" s="25">
        <f t="shared" si="8"/>
        <v>-3.9039625219594587E-4</v>
      </c>
    </row>
    <row r="613" spans="1:7">
      <c r="A613" s="47">
        <v>101.72</v>
      </c>
      <c r="B613" s="47">
        <v>106.75</v>
      </c>
      <c r="C613" s="47">
        <v>101.69</v>
      </c>
      <c r="D613" s="47">
        <v>106.01</v>
      </c>
      <c r="E613" s="47">
        <v>424084</v>
      </c>
      <c r="F613" s="47" t="s">
        <v>968</v>
      </c>
      <c r="G613" s="25">
        <f t="shared" si="8"/>
        <v>-4.0467880388642685E-2</v>
      </c>
    </row>
    <row r="614" spans="1:7">
      <c r="A614" s="47">
        <v>107.55</v>
      </c>
      <c r="B614" s="47">
        <v>109.31</v>
      </c>
      <c r="C614" s="47">
        <v>107.37</v>
      </c>
      <c r="D614" s="47">
        <v>109.31</v>
      </c>
      <c r="E614" s="47">
        <v>382615</v>
      </c>
      <c r="F614" s="47" t="s">
        <v>967</v>
      </c>
      <c r="G614" s="25">
        <f t="shared" si="8"/>
        <v>-1.6100997164028907E-2</v>
      </c>
    </row>
    <row r="615" spans="1:7">
      <c r="A615" s="47">
        <v>107.1</v>
      </c>
      <c r="B615" s="47">
        <v>109.91</v>
      </c>
      <c r="C615" s="47">
        <v>106.715</v>
      </c>
      <c r="D615" s="47">
        <v>108.72</v>
      </c>
      <c r="E615" s="47">
        <v>350831</v>
      </c>
      <c r="F615" s="47" t="s">
        <v>966</v>
      </c>
      <c r="G615" s="25">
        <f t="shared" si="8"/>
        <v>-1.490066225165565E-2</v>
      </c>
    </row>
    <row r="616" spans="1:7">
      <c r="A616" s="47">
        <v>109.23</v>
      </c>
      <c r="B616" s="47">
        <v>111.17</v>
      </c>
      <c r="C616" s="47">
        <v>107.67</v>
      </c>
      <c r="D616" s="47">
        <v>110.77</v>
      </c>
      <c r="E616" s="47">
        <v>493624</v>
      </c>
      <c r="F616" s="47" t="s">
        <v>965</v>
      </c>
      <c r="G616" s="25">
        <f t="shared" si="8"/>
        <v>-1.3902681231380276E-2</v>
      </c>
    </row>
    <row r="617" spans="1:7">
      <c r="A617" s="47">
        <v>110.01</v>
      </c>
      <c r="B617" s="47">
        <v>112.32</v>
      </c>
      <c r="C617" s="47">
        <v>108.76</v>
      </c>
      <c r="D617" s="47">
        <v>112.32</v>
      </c>
      <c r="E617" s="47">
        <v>597714</v>
      </c>
      <c r="F617" s="47" t="s">
        <v>964</v>
      </c>
      <c r="G617" s="25">
        <f t="shared" si="8"/>
        <v>-2.0566239316239243E-2</v>
      </c>
    </row>
    <row r="618" spans="1:7">
      <c r="A618" s="47">
        <v>112.37</v>
      </c>
      <c r="B618" s="47">
        <v>116</v>
      </c>
      <c r="C618" s="47">
        <v>112.32</v>
      </c>
      <c r="D618" s="47">
        <v>113.01</v>
      </c>
      <c r="E618" s="47">
        <v>651915</v>
      </c>
      <c r="F618" s="47" t="s">
        <v>963</v>
      </c>
      <c r="G618" s="25">
        <f t="shared" si="8"/>
        <v>-5.6632156446332349E-3</v>
      </c>
    </row>
    <row r="619" spans="1:7">
      <c r="A619" s="47">
        <v>112.52</v>
      </c>
      <c r="B619" s="47">
        <v>112.93</v>
      </c>
      <c r="C619" s="47">
        <v>110.01</v>
      </c>
      <c r="D619" s="47">
        <v>110.63</v>
      </c>
      <c r="E619" s="47">
        <v>1044533</v>
      </c>
      <c r="F619" s="47" t="s">
        <v>962</v>
      </c>
      <c r="G619" s="25">
        <f t="shared" si="8"/>
        <v>1.7083973605712677E-2</v>
      </c>
    </row>
    <row r="620" spans="1:7">
      <c r="A620" s="47">
        <v>110.34</v>
      </c>
      <c r="B620" s="47">
        <v>112.86</v>
      </c>
      <c r="C620" s="47">
        <v>110.005</v>
      </c>
      <c r="D620" s="47">
        <v>110.7</v>
      </c>
      <c r="E620" s="47">
        <v>469619</v>
      </c>
      <c r="F620" s="47" t="s">
        <v>961</v>
      </c>
      <c r="G620" s="25">
        <f t="shared" si="8"/>
        <v>-3.2520325203252431E-3</v>
      </c>
    </row>
    <row r="621" spans="1:7">
      <c r="A621" s="47">
        <v>111.65</v>
      </c>
      <c r="B621" s="47">
        <v>113.19</v>
      </c>
      <c r="C621" s="47">
        <v>110.21</v>
      </c>
      <c r="D621" s="47">
        <v>111.11</v>
      </c>
      <c r="E621" s="47">
        <v>387471</v>
      </c>
      <c r="F621" s="47" t="s">
        <v>960</v>
      </c>
      <c r="G621" s="25">
        <f t="shared" si="8"/>
        <v>4.8600486004861665E-3</v>
      </c>
    </row>
    <row r="622" spans="1:7">
      <c r="A622" s="47">
        <v>109.94</v>
      </c>
      <c r="B622" s="47">
        <v>113</v>
      </c>
      <c r="C622" s="47">
        <v>109.9</v>
      </c>
      <c r="D622" s="47">
        <v>111.76</v>
      </c>
      <c r="E622" s="47">
        <v>188541</v>
      </c>
      <c r="F622" s="47" t="s">
        <v>959</v>
      </c>
      <c r="G622" s="25">
        <f t="shared" si="8"/>
        <v>-1.6284896206156141E-2</v>
      </c>
    </row>
    <row r="623" spans="1:7">
      <c r="A623" s="47">
        <v>111.98</v>
      </c>
      <c r="B623" s="47">
        <v>112.26</v>
      </c>
      <c r="C623" s="47">
        <v>109.48</v>
      </c>
      <c r="D623" s="47">
        <v>110.41</v>
      </c>
      <c r="E623" s="47">
        <v>474613</v>
      </c>
      <c r="F623" s="47" t="s">
        <v>958</v>
      </c>
      <c r="G623" s="25">
        <f t="shared" si="8"/>
        <v>1.4219726474051342E-2</v>
      </c>
    </row>
    <row r="624" spans="1:7">
      <c r="A624" s="47">
        <v>111.57</v>
      </c>
      <c r="B624" s="47">
        <v>112.17</v>
      </c>
      <c r="C624" s="47">
        <v>109.785</v>
      </c>
      <c r="D624" s="47">
        <v>110.58</v>
      </c>
      <c r="E624" s="47">
        <v>238646</v>
      </c>
      <c r="F624" s="47" t="s">
        <v>957</v>
      </c>
      <c r="G624" s="25">
        <f t="shared" si="8"/>
        <v>8.9527943570264501E-3</v>
      </c>
    </row>
    <row r="625" spans="1:7">
      <c r="A625" s="47">
        <v>110.98</v>
      </c>
      <c r="B625" s="47">
        <v>111.77</v>
      </c>
      <c r="C625" s="47">
        <v>109.26</v>
      </c>
      <c r="D625" s="47">
        <v>109.71</v>
      </c>
      <c r="E625" s="47">
        <v>391209</v>
      </c>
      <c r="F625" s="47" t="s">
        <v>956</v>
      </c>
      <c r="G625" s="25">
        <f t="shared" si="8"/>
        <v>1.1575973019779529E-2</v>
      </c>
    </row>
    <row r="626" spans="1:7">
      <c r="A626" s="47">
        <v>110.38</v>
      </c>
      <c r="B626" s="47">
        <v>113.325</v>
      </c>
      <c r="C626" s="47">
        <v>110.16</v>
      </c>
      <c r="D626" s="47">
        <v>111.28</v>
      </c>
      <c r="E626" s="47">
        <v>405403</v>
      </c>
      <c r="F626" s="47" t="s">
        <v>955</v>
      </c>
      <c r="G626" s="25">
        <f t="shared" si="8"/>
        <v>-8.0877066858375812E-3</v>
      </c>
    </row>
    <row r="627" spans="1:7">
      <c r="A627" s="47">
        <v>111.85</v>
      </c>
      <c r="B627" s="47">
        <v>112.08</v>
      </c>
      <c r="C627" s="47">
        <v>108.895</v>
      </c>
      <c r="D627" s="47">
        <v>109.46</v>
      </c>
      <c r="E627" s="47">
        <v>546720</v>
      </c>
      <c r="F627" s="47" t="s">
        <v>954</v>
      </c>
      <c r="G627" s="25">
        <f t="shared" si="8"/>
        <v>2.1834460076740392E-2</v>
      </c>
    </row>
    <row r="628" spans="1:7">
      <c r="A628" s="47">
        <v>108.5</v>
      </c>
      <c r="B628" s="47">
        <v>110.45</v>
      </c>
      <c r="C628" s="47">
        <v>106.53</v>
      </c>
      <c r="D628" s="47">
        <v>106.53</v>
      </c>
      <c r="E628" s="47">
        <v>436003</v>
      </c>
      <c r="F628" s="47" t="s">
        <v>953</v>
      </c>
      <c r="G628" s="25">
        <f t="shared" si="8"/>
        <v>1.8492443443161477E-2</v>
      </c>
    </row>
    <row r="629" spans="1:7">
      <c r="A629" s="47">
        <v>106.86</v>
      </c>
      <c r="B629" s="47">
        <v>107.74</v>
      </c>
      <c r="C629" s="47">
        <v>102.48</v>
      </c>
      <c r="D629" s="47">
        <v>103.11</v>
      </c>
      <c r="E629" s="47">
        <v>513127</v>
      </c>
      <c r="F629" s="47" t="s">
        <v>952</v>
      </c>
      <c r="G629" s="25">
        <f t="shared" si="8"/>
        <v>3.636892638929301E-2</v>
      </c>
    </row>
    <row r="630" spans="1:7">
      <c r="A630" s="47">
        <v>104.27</v>
      </c>
      <c r="B630" s="47">
        <v>105.09</v>
      </c>
      <c r="C630" s="47">
        <v>101</v>
      </c>
      <c r="D630" s="47">
        <v>101</v>
      </c>
      <c r="E630" s="47">
        <v>578239</v>
      </c>
      <c r="F630" s="47" t="s">
        <v>951</v>
      </c>
      <c r="G630" s="25">
        <f t="shared" si="8"/>
        <v>3.2376237623762405E-2</v>
      </c>
    </row>
    <row r="631" spans="1:7">
      <c r="A631" s="47">
        <v>100.06</v>
      </c>
      <c r="B631" s="47">
        <v>100.43</v>
      </c>
      <c r="C631" s="47">
        <v>96.65</v>
      </c>
      <c r="D631" s="47">
        <v>96.65</v>
      </c>
      <c r="E631" s="47">
        <v>616282</v>
      </c>
      <c r="F631" s="47" t="s">
        <v>950</v>
      </c>
      <c r="G631" s="25">
        <f t="shared" ref="G631:G694" si="9">A631/D631-1</f>
        <v>3.5281945162959127E-2</v>
      </c>
    </row>
    <row r="632" spans="1:7">
      <c r="A632" s="47">
        <v>96.5</v>
      </c>
      <c r="B632" s="47">
        <v>98.25</v>
      </c>
      <c r="C632" s="47">
        <v>95.95</v>
      </c>
      <c r="D632" s="47">
        <v>97.91</v>
      </c>
      <c r="E632" s="47">
        <v>364898</v>
      </c>
      <c r="F632" s="47" t="s">
        <v>949</v>
      </c>
      <c r="G632" s="25">
        <f t="shared" si="9"/>
        <v>-1.4400980492288773E-2</v>
      </c>
    </row>
    <row r="633" spans="1:7">
      <c r="A633" s="47">
        <v>97.49</v>
      </c>
      <c r="B633" s="47">
        <v>98.59</v>
      </c>
      <c r="C633" s="47">
        <v>96.9</v>
      </c>
      <c r="D633" s="47">
        <v>97.75</v>
      </c>
      <c r="E633" s="47">
        <v>383765</v>
      </c>
      <c r="F633" s="47" t="s">
        <v>948</v>
      </c>
      <c r="G633" s="25">
        <f t="shared" si="9"/>
        <v>-2.6598465473146593E-3</v>
      </c>
    </row>
    <row r="634" spans="1:7">
      <c r="A634" s="47">
        <v>97.25</v>
      </c>
      <c r="B634" s="47">
        <v>98.32</v>
      </c>
      <c r="C634" s="47">
        <v>97</v>
      </c>
      <c r="D634" s="47">
        <v>98.32</v>
      </c>
      <c r="E634" s="47">
        <v>427401</v>
      </c>
      <c r="F634" s="47" t="s">
        <v>947</v>
      </c>
      <c r="G634" s="25">
        <f t="shared" si="9"/>
        <v>-1.088283157038239E-2</v>
      </c>
    </row>
    <row r="635" spans="1:7">
      <c r="A635" s="47">
        <v>97.44</v>
      </c>
      <c r="B635" s="47">
        <v>99.5</v>
      </c>
      <c r="C635" s="47">
        <v>97.120999999999995</v>
      </c>
      <c r="D635" s="47">
        <v>98.45</v>
      </c>
      <c r="E635" s="47">
        <v>353332</v>
      </c>
      <c r="F635" s="47" t="s">
        <v>946</v>
      </c>
      <c r="G635" s="25">
        <f t="shared" si="9"/>
        <v>-1.0259014728288496E-2</v>
      </c>
    </row>
    <row r="636" spans="1:7">
      <c r="A636" s="47">
        <v>98.06</v>
      </c>
      <c r="B636" s="47">
        <v>98.2</v>
      </c>
      <c r="C636" s="47">
        <v>95.29</v>
      </c>
      <c r="D636" s="47">
        <v>95.77</v>
      </c>
      <c r="E636" s="47">
        <v>432248</v>
      </c>
      <c r="F636" s="47" t="s">
        <v>945</v>
      </c>
      <c r="G636" s="25">
        <f t="shared" si="9"/>
        <v>2.3911454526469811E-2</v>
      </c>
    </row>
    <row r="637" spans="1:7">
      <c r="A637" s="47">
        <v>97.25</v>
      </c>
      <c r="B637" s="47">
        <v>98.71</v>
      </c>
      <c r="C637" s="47">
        <v>96.64</v>
      </c>
      <c r="D637" s="47">
        <v>98.09</v>
      </c>
      <c r="E637" s="47">
        <v>680970</v>
      </c>
      <c r="F637" s="47" t="s">
        <v>944</v>
      </c>
      <c r="G637" s="25">
        <f t="shared" si="9"/>
        <v>-8.5635640738097596E-3</v>
      </c>
    </row>
    <row r="638" spans="1:7">
      <c r="A638" s="47">
        <v>97.57</v>
      </c>
      <c r="B638" s="47">
        <v>99.92</v>
      </c>
      <c r="C638" s="47">
        <v>97.48</v>
      </c>
      <c r="D638" s="47">
        <v>98.57</v>
      </c>
      <c r="E638" s="47">
        <v>563873</v>
      </c>
      <c r="F638" s="47" t="s">
        <v>943</v>
      </c>
      <c r="G638" s="25">
        <f t="shared" si="9"/>
        <v>-1.0145074566298096E-2</v>
      </c>
    </row>
    <row r="639" spans="1:7">
      <c r="A639" s="47">
        <v>97.88</v>
      </c>
      <c r="B639" s="47">
        <v>105.58499999999999</v>
      </c>
      <c r="C639" s="47">
        <v>97.56</v>
      </c>
      <c r="D639" s="47">
        <v>105.48</v>
      </c>
      <c r="E639" s="47">
        <v>2380279</v>
      </c>
      <c r="F639" s="47" t="s">
        <v>942</v>
      </c>
      <c r="G639" s="25">
        <f t="shared" si="9"/>
        <v>-7.2051573758058485E-2</v>
      </c>
    </row>
    <row r="640" spans="1:7">
      <c r="A640" s="47">
        <v>102.99</v>
      </c>
      <c r="B640" s="47">
        <v>103.54</v>
      </c>
      <c r="C640" s="47">
        <v>97.72</v>
      </c>
      <c r="D640" s="47">
        <v>99.04</v>
      </c>
      <c r="E640" s="47">
        <v>1297681</v>
      </c>
      <c r="F640" s="47" t="s">
        <v>941</v>
      </c>
      <c r="G640" s="25">
        <f t="shared" si="9"/>
        <v>3.9882875605815604E-2</v>
      </c>
    </row>
    <row r="641" spans="1:7">
      <c r="A641" s="47">
        <v>102.53</v>
      </c>
      <c r="B641" s="47">
        <v>103.07</v>
      </c>
      <c r="C641" s="47">
        <v>101.19</v>
      </c>
      <c r="D641" s="47">
        <v>101.62</v>
      </c>
      <c r="E641" s="47">
        <v>237175</v>
      </c>
      <c r="F641" s="47" t="s">
        <v>940</v>
      </c>
      <c r="G641" s="25">
        <f t="shared" si="9"/>
        <v>8.9549301318638808E-3</v>
      </c>
    </row>
    <row r="642" spans="1:7">
      <c r="A642" s="47">
        <v>102.39</v>
      </c>
      <c r="B642" s="47">
        <v>104.80500000000001</v>
      </c>
      <c r="C642" s="47">
        <v>101.97</v>
      </c>
      <c r="D642" s="47">
        <v>104.5</v>
      </c>
      <c r="E642" s="47">
        <v>321268</v>
      </c>
      <c r="F642" s="47" t="s">
        <v>939</v>
      </c>
      <c r="G642" s="25">
        <f t="shared" si="9"/>
        <v>-2.0191387559808649E-2</v>
      </c>
    </row>
    <row r="643" spans="1:7">
      <c r="A643" s="47">
        <v>103.97</v>
      </c>
      <c r="B643" s="47">
        <v>107.42</v>
      </c>
      <c r="C643" s="47">
        <v>103</v>
      </c>
      <c r="D643" s="47">
        <v>107.12</v>
      </c>
      <c r="E643" s="47">
        <v>355772</v>
      </c>
      <c r="F643" s="47" t="s">
        <v>938</v>
      </c>
      <c r="G643" s="25">
        <f t="shared" si="9"/>
        <v>-2.940627333831225E-2</v>
      </c>
    </row>
    <row r="644" spans="1:7">
      <c r="A644" s="47">
        <v>106.79</v>
      </c>
      <c r="B644" s="47">
        <v>108.87</v>
      </c>
      <c r="C644" s="47">
        <v>104.73</v>
      </c>
      <c r="D644" s="47">
        <v>107.81</v>
      </c>
      <c r="E644" s="47">
        <v>398971</v>
      </c>
      <c r="F644" s="47" t="s">
        <v>937</v>
      </c>
      <c r="G644" s="25">
        <f t="shared" si="9"/>
        <v>-9.4610889527872999E-3</v>
      </c>
    </row>
    <row r="645" spans="1:7">
      <c r="A645" s="47">
        <v>108.92</v>
      </c>
      <c r="B645" s="47">
        <v>112.21</v>
      </c>
      <c r="C645" s="47">
        <v>105.91500000000001</v>
      </c>
      <c r="D645" s="47">
        <v>108</v>
      </c>
      <c r="E645" s="47">
        <v>505248</v>
      </c>
      <c r="F645" s="47" t="s">
        <v>936</v>
      </c>
      <c r="G645" s="25">
        <f t="shared" si="9"/>
        <v>8.5185185185185919E-3</v>
      </c>
    </row>
    <row r="646" spans="1:7">
      <c r="A646" s="47">
        <v>107.41</v>
      </c>
      <c r="B646" s="47">
        <v>107.74</v>
      </c>
      <c r="C646" s="47">
        <v>103.58</v>
      </c>
      <c r="D646" s="47">
        <v>107</v>
      </c>
      <c r="E646" s="47">
        <v>487659</v>
      </c>
      <c r="F646" s="47" t="s">
        <v>935</v>
      </c>
      <c r="G646" s="25">
        <f t="shared" si="9"/>
        <v>3.8317757009345144E-3</v>
      </c>
    </row>
    <row r="647" spans="1:7">
      <c r="A647" s="47">
        <v>102.68</v>
      </c>
      <c r="B647" s="47">
        <v>103.52</v>
      </c>
      <c r="C647" s="47">
        <v>100.68</v>
      </c>
      <c r="D647" s="47">
        <v>102.3</v>
      </c>
      <c r="E647" s="47">
        <v>282736</v>
      </c>
      <c r="F647" s="47" t="s">
        <v>934</v>
      </c>
      <c r="G647" s="25">
        <f t="shared" si="9"/>
        <v>3.7145650048877599E-3</v>
      </c>
    </row>
    <row r="648" spans="1:7">
      <c r="A648" s="47">
        <v>101.9</v>
      </c>
      <c r="B648" s="47">
        <v>104.04</v>
      </c>
      <c r="C648" s="47">
        <v>100.19</v>
      </c>
      <c r="D648" s="47">
        <v>104.04</v>
      </c>
      <c r="E648" s="47">
        <v>169845</v>
      </c>
      <c r="F648" s="47" t="s">
        <v>933</v>
      </c>
      <c r="G648" s="25">
        <f t="shared" si="9"/>
        <v>-2.0569011918492919E-2</v>
      </c>
    </row>
    <row r="649" spans="1:7">
      <c r="A649" s="47">
        <v>106.06</v>
      </c>
      <c r="B649" s="47">
        <v>106.16</v>
      </c>
      <c r="C649" s="47">
        <v>103.86750000000001</v>
      </c>
      <c r="D649" s="47">
        <v>104.58</v>
      </c>
      <c r="E649" s="47">
        <v>167091</v>
      </c>
      <c r="F649" s="47" t="s">
        <v>932</v>
      </c>
      <c r="G649" s="25">
        <f t="shared" si="9"/>
        <v>1.4151845477146763E-2</v>
      </c>
    </row>
    <row r="650" spans="1:7">
      <c r="A650" s="47">
        <v>105.29</v>
      </c>
      <c r="B650" s="47">
        <v>106.09</v>
      </c>
      <c r="C650" s="47">
        <v>104.52</v>
      </c>
      <c r="D650" s="47">
        <v>104.92</v>
      </c>
      <c r="E650" s="47">
        <v>225032</v>
      </c>
      <c r="F650" s="47" t="s">
        <v>931</v>
      </c>
      <c r="G650" s="25">
        <f t="shared" si="9"/>
        <v>3.5264963781929115E-3</v>
      </c>
    </row>
    <row r="651" spans="1:7">
      <c r="A651" s="47">
        <v>104.9</v>
      </c>
      <c r="B651" s="47">
        <v>106.105</v>
      </c>
      <c r="C651" s="47">
        <v>103.69</v>
      </c>
      <c r="D651" s="47">
        <v>104.76</v>
      </c>
      <c r="E651" s="47">
        <v>174619</v>
      </c>
      <c r="F651" s="47" t="s">
        <v>930</v>
      </c>
      <c r="G651" s="25">
        <f t="shared" si="9"/>
        <v>1.3363879343259999E-3</v>
      </c>
    </row>
    <row r="652" spans="1:7">
      <c r="A652" s="47">
        <v>102.92</v>
      </c>
      <c r="B652" s="47">
        <v>108.77500000000001</v>
      </c>
      <c r="C652" s="47">
        <v>102.52500000000001</v>
      </c>
      <c r="D652" s="47">
        <v>108.23</v>
      </c>
      <c r="E652" s="47">
        <v>262677</v>
      </c>
      <c r="F652" s="47" t="s">
        <v>929</v>
      </c>
      <c r="G652" s="25">
        <f t="shared" si="9"/>
        <v>-4.9062182389356002E-2</v>
      </c>
    </row>
    <row r="653" spans="1:7">
      <c r="A653" s="47">
        <v>107.11</v>
      </c>
      <c r="B653" s="47">
        <v>107.59</v>
      </c>
      <c r="C653" s="47">
        <v>105.8</v>
      </c>
      <c r="D653" s="47">
        <v>106.67</v>
      </c>
      <c r="E653" s="47">
        <v>246513</v>
      </c>
      <c r="F653" s="47" t="s">
        <v>928</v>
      </c>
      <c r="G653" s="25">
        <f t="shared" si="9"/>
        <v>4.1248710977781489E-3</v>
      </c>
    </row>
    <row r="654" spans="1:7">
      <c r="A654" s="47">
        <v>106.95</v>
      </c>
      <c r="B654" s="47">
        <v>107.19</v>
      </c>
      <c r="C654" s="47">
        <v>105.08499999999999</v>
      </c>
      <c r="D654" s="47">
        <v>105.12</v>
      </c>
      <c r="E654" s="47">
        <v>163433</v>
      </c>
      <c r="F654" s="47" t="s">
        <v>927</v>
      </c>
      <c r="G654" s="25">
        <f t="shared" si="9"/>
        <v>1.7408675799086781E-2</v>
      </c>
    </row>
    <row r="655" spans="1:7">
      <c r="A655" s="47">
        <v>104.65</v>
      </c>
      <c r="B655" s="47">
        <v>105.84</v>
      </c>
      <c r="C655" s="47">
        <v>102.67</v>
      </c>
      <c r="D655" s="47">
        <v>105.84</v>
      </c>
      <c r="E655" s="47">
        <v>225201</v>
      </c>
      <c r="F655" s="47" t="s">
        <v>926</v>
      </c>
      <c r="G655" s="25">
        <f t="shared" si="9"/>
        <v>-1.1243386243386166E-2</v>
      </c>
    </row>
    <row r="656" spans="1:7">
      <c r="A656" s="47">
        <v>105.38</v>
      </c>
      <c r="B656" s="47">
        <v>105.46</v>
      </c>
      <c r="C656" s="47">
        <v>103.31</v>
      </c>
      <c r="D656" s="47">
        <v>105.11</v>
      </c>
      <c r="E656" s="47">
        <v>341581</v>
      </c>
      <c r="F656" s="47" t="s">
        <v>925</v>
      </c>
      <c r="G656" s="25">
        <f t="shared" si="9"/>
        <v>2.5687375130813983E-3</v>
      </c>
    </row>
    <row r="657" spans="1:7">
      <c r="A657" s="47">
        <v>103.75</v>
      </c>
      <c r="B657" s="47">
        <v>105.505</v>
      </c>
      <c r="C657" s="47">
        <v>103.04</v>
      </c>
      <c r="D657" s="47">
        <v>103.34</v>
      </c>
      <c r="E657" s="47">
        <v>399887</v>
      </c>
      <c r="F657" s="47" t="s">
        <v>924</v>
      </c>
      <c r="G657" s="25">
        <f t="shared" si="9"/>
        <v>3.9674859686471553E-3</v>
      </c>
    </row>
    <row r="658" spans="1:7">
      <c r="A658" s="47">
        <v>103.53</v>
      </c>
      <c r="B658" s="47">
        <v>108</v>
      </c>
      <c r="C658" s="47">
        <v>103.3</v>
      </c>
      <c r="D658" s="47">
        <v>107.41</v>
      </c>
      <c r="E658" s="47">
        <v>455115</v>
      </c>
      <c r="F658" s="47" t="s">
        <v>923</v>
      </c>
      <c r="G658" s="25">
        <f t="shared" si="9"/>
        <v>-3.612326599013127E-2</v>
      </c>
    </row>
    <row r="659" spans="1:7">
      <c r="A659" s="47">
        <v>107.02</v>
      </c>
      <c r="B659" s="47">
        <v>107.45</v>
      </c>
      <c r="C659" s="47">
        <v>105.44</v>
      </c>
      <c r="D659" s="47">
        <v>106.02</v>
      </c>
      <c r="E659" s="47">
        <v>325782</v>
      </c>
      <c r="F659" s="47" t="s">
        <v>922</v>
      </c>
      <c r="G659" s="25">
        <f t="shared" si="9"/>
        <v>9.4321826070553616E-3</v>
      </c>
    </row>
    <row r="660" spans="1:7">
      <c r="A660" s="47">
        <v>106.03</v>
      </c>
      <c r="B660" s="47">
        <v>106.09</v>
      </c>
      <c r="C660" s="47">
        <v>102.02</v>
      </c>
      <c r="D660" s="47">
        <v>102.65</v>
      </c>
      <c r="E660" s="47">
        <v>357010</v>
      </c>
      <c r="F660" s="47" t="s">
        <v>921</v>
      </c>
      <c r="G660" s="25">
        <f t="shared" si="9"/>
        <v>3.2927423283000357E-2</v>
      </c>
    </row>
    <row r="661" spans="1:7">
      <c r="A661" s="47">
        <v>104.24</v>
      </c>
      <c r="B661" s="47">
        <v>104.57</v>
      </c>
      <c r="C661" s="47">
        <v>102.905</v>
      </c>
      <c r="D661" s="47">
        <v>103.57</v>
      </c>
      <c r="E661" s="47">
        <v>195750</v>
      </c>
      <c r="F661" s="47" t="s">
        <v>920</v>
      </c>
      <c r="G661" s="25">
        <f t="shared" si="9"/>
        <v>6.4690547455827918E-3</v>
      </c>
    </row>
    <row r="662" spans="1:7">
      <c r="A662" s="47">
        <v>103.76</v>
      </c>
      <c r="B662" s="47">
        <v>105.83</v>
      </c>
      <c r="C662" s="47">
        <v>100.71</v>
      </c>
      <c r="D662" s="47">
        <v>100.71</v>
      </c>
      <c r="E662" s="47">
        <v>330158</v>
      </c>
      <c r="F662" s="47" t="s">
        <v>919</v>
      </c>
      <c r="G662" s="25">
        <f t="shared" si="9"/>
        <v>3.0284976665673868E-2</v>
      </c>
    </row>
    <row r="663" spans="1:7">
      <c r="A663" s="47">
        <v>99.73</v>
      </c>
      <c r="B663" s="47">
        <v>99.92</v>
      </c>
      <c r="C663" s="47">
        <v>98.12</v>
      </c>
      <c r="D663" s="47">
        <v>99.39</v>
      </c>
      <c r="E663" s="47">
        <v>360547</v>
      </c>
      <c r="F663" s="47" t="s">
        <v>918</v>
      </c>
      <c r="G663" s="25">
        <f t="shared" si="9"/>
        <v>3.4208672904718629E-3</v>
      </c>
    </row>
    <row r="664" spans="1:7">
      <c r="A664" s="47">
        <v>97.39</v>
      </c>
      <c r="B664" s="47">
        <v>98.09</v>
      </c>
      <c r="C664" s="47">
        <v>96.62</v>
      </c>
      <c r="D664" s="47">
        <v>98.09</v>
      </c>
      <c r="E664" s="47">
        <v>328631</v>
      </c>
      <c r="F664" s="47" t="s">
        <v>917</v>
      </c>
      <c r="G664" s="25">
        <f t="shared" si="9"/>
        <v>-7.1363033948415033E-3</v>
      </c>
    </row>
    <row r="665" spans="1:7">
      <c r="A665" s="47">
        <v>97.25</v>
      </c>
      <c r="B665" s="47">
        <v>97.642499999999998</v>
      </c>
      <c r="C665" s="47">
        <v>95.7</v>
      </c>
      <c r="D665" s="47">
        <v>96.07</v>
      </c>
      <c r="E665" s="47">
        <v>303115</v>
      </c>
      <c r="F665" s="47" t="s">
        <v>916</v>
      </c>
      <c r="G665" s="25">
        <f t="shared" si="9"/>
        <v>1.2282710523576545E-2</v>
      </c>
    </row>
    <row r="666" spans="1:7">
      <c r="A666" s="47">
        <v>96.98</v>
      </c>
      <c r="B666" s="47">
        <v>98.56</v>
      </c>
      <c r="C666" s="47">
        <v>96.885000000000005</v>
      </c>
      <c r="D666" s="47">
        <v>97.58</v>
      </c>
      <c r="E666" s="47">
        <v>220359</v>
      </c>
      <c r="F666" s="47" t="s">
        <v>915</v>
      </c>
      <c r="G666" s="25">
        <f t="shared" si="9"/>
        <v>-6.1488009838081004E-3</v>
      </c>
    </row>
    <row r="667" spans="1:7">
      <c r="A667" s="47">
        <v>97.47</v>
      </c>
      <c r="B667" s="47">
        <v>97.76</v>
      </c>
      <c r="C667" s="47">
        <v>96</v>
      </c>
      <c r="D667" s="47">
        <v>96.18</v>
      </c>
      <c r="E667" s="47">
        <v>223753</v>
      </c>
      <c r="F667" s="47" t="s">
        <v>914</v>
      </c>
      <c r="G667" s="25">
        <f t="shared" si="9"/>
        <v>1.3412351840299319E-2</v>
      </c>
    </row>
    <row r="668" spans="1:7">
      <c r="A668" s="47">
        <v>97.59</v>
      </c>
      <c r="B668" s="47">
        <v>98.635000000000005</v>
      </c>
      <c r="C668" s="47">
        <v>96.13</v>
      </c>
      <c r="D668" s="47">
        <v>96.73</v>
      </c>
      <c r="E668" s="47">
        <v>284017</v>
      </c>
      <c r="F668" s="47" t="s">
        <v>913</v>
      </c>
      <c r="G668" s="25">
        <f t="shared" si="9"/>
        <v>8.890726765222734E-3</v>
      </c>
    </row>
    <row r="669" spans="1:7">
      <c r="A669" s="47">
        <v>97.44</v>
      </c>
      <c r="B669" s="47">
        <v>101.62</v>
      </c>
      <c r="C669" s="47">
        <v>97.28</v>
      </c>
      <c r="D669" s="47">
        <v>101.16</v>
      </c>
      <c r="E669" s="47">
        <v>233308</v>
      </c>
      <c r="F669" s="47" t="s">
        <v>912</v>
      </c>
      <c r="G669" s="25">
        <f t="shared" si="9"/>
        <v>-3.6773428232502958E-2</v>
      </c>
    </row>
    <row r="670" spans="1:7">
      <c r="A670" s="47">
        <v>101.66</v>
      </c>
      <c r="B670" s="47">
        <v>102.4</v>
      </c>
      <c r="C670" s="47">
        <v>101.16500000000001</v>
      </c>
      <c r="D670" s="47">
        <v>101.99</v>
      </c>
      <c r="E670" s="47">
        <v>305820</v>
      </c>
      <c r="F670" s="47" t="s">
        <v>911</v>
      </c>
      <c r="G670" s="25">
        <f t="shared" si="9"/>
        <v>-3.2356113344444992E-3</v>
      </c>
    </row>
    <row r="671" spans="1:7">
      <c r="A671" s="47">
        <v>101.24</v>
      </c>
      <c r="B671" s="47">
        <v>102.79</v>
      </c>
      <c r="C671" s="47">
        <v>98.58</v>
      </c>
      <c r="D671" s="47">
        <v>99.38</v>
      </c>
      <c r="E671" s="47">
        <v>274004</v>
      </c>
      <c r="F671" s="47" t="s">
        <v>910</v>
      </c>
      <c r="G671" s="25">
        <f t="shared" si="9"/>
        <v>1.8716039444556243E-2</v>
      </c>
    </row>
    <row r="672" spans="1:7">
      <c r="A672" s="47">
        <v>99.1</v>
      </c>
      <c r="B672" s="47">
        <v>99.89</v>
      </c>
      <c r="C672" s="47">
        <v>97.43</v>
      </c>
      <c r="D672" s="47">
        <v>98.14</v>
      </c>
      <c r="E672" s="47">
        <v>313539</v>
      </c>
      <c r="F672" s="47" t="s">
        <v>909</v>
      </c>
      <c r="G672" s="25">
        <f t="shared" si="9"/>
        <v>9.7819441614019897E-3</v>
      </c>
    </row>
    <row r="673" spans="1:7">
      <c r="A673" s="47">
        <v>98.17</v>
      </c>
      <c r="B673" s="47">
        <v>98.91</v>
      </c>
      <c r="C673" s="47">
        <v>97.31</v>
      </c>
      <c r="D673" s="47">
        <v>97.31</v>
      </c>
      <c r="E673" s="47">
        <v>278687</v>
      </c>
      <c r="F673" s="47" t="s">
        <v>908</v>
      </c>
      <c r="G673" s="25">
        <f t="shared" si="9"/>
        <v>8.8377350734765159E-3</v>
      </c>
    </row>
    <row r="674" spans="1:7">
      <c r="A674" s="47">
        <v>97.3</v>
      </c>
      <c r="B674" s="47">
        <v>101.07</v>
      </c>
      <c r="C674" s="47">
        <v>97.19</v>
      </c>
      <c r="D674" s="47">
        <v>99.62</v>
      </c>
      <c r="E674" s="47">
        <v>309046</v>
      </c>
      <c r="F674" s="47" t="s">
        <v>907</v>
      </c>
      <c r="G674" s="25">
        <f t="shared" si="9"/>
        <v>-2.3288496285886473E-2</v>
      </c>
    </row>
    <row r="675" spans="1:7">
      <c r="A675" s="47">
        <v>100.71</v>
      </c>
      <c r="B675" s="47">
        <v>102.05500000000001</v>
      </c>
      <c r="C675" s="47">
        <v>98.26</v>
      </c>
      <c r="D675" s="47">
        <v>98.42</v>
      </c>
      <c r="E675" s="47">
        <v>842215</v>
      </c>
      <c r="F675" s="47" t="s">
        <v>906</v>
      </c>
      <c r="G675" s="25">
        <f t="shared" si="9"/>
        <v>2.3267628530786455E-2</v>
      </c>
    </row>
    <row r="676" spans="1:7">
      <c r="A676" s="47">
        <v>100.22</v>
      </c>
      <c r="B676" s="47">
        <v>100.6</v>
      </c>
      <c r="C676" s="47">
        <v>97.7</v>
      </c>
      <c r="D676" s="47">
        <v>98.74</v>
      </c>
      <c r="E676" s="47">
        <v>301025</v>
      </c>
      <c r="F676" s="47" t="s">
        <v>905</v>
      </c>
      <c r="G676" s="25">
        <f t="shared" si="9"/>
        <v>1.4988859631355211E-2</v>
      </c>
    </row>
    <row r="677" spans="1:7">
      <c r="A677" s="47">
        <v>98.77</v>
      </c>
      <c r="B677" s="47">
        <v>101.3</v>
      </c>
      <c r="C677" s="47">
        <v>98.39</v>
      </c>
      <c r="D677" s="47">
        <v>101.3</v>
      </c>
      <c r="E677" s="47">
        <v>255062</v>
      </c>
      <c r="F677" s="47" t="s">
        <v>904</v>
      </c>
      <c r="G677" s="25">
        <f t="shared" si="9"/>
        <v>-2.497532082922016E-2</v>
      </c>
    </row>
    <row r="678" spans="1:7">
      <c r="A678" s="47">
        <v>99.72</v>
      </c>
      <c r="B678" s="47">
        <v>101.49</v>
      </c>
      <c r="C678" s="47">
        <v>98.46</v>
      </c>
      <c r="D678" s="47">
        <v>100.64</v>
      </c>
      <c r="E678" s="47">
        <v>266076</v>
      </c>
      <c r="F678" s="47" t="s">
        <v>903</v>
      </c>
      <c r="G678" s="25">
        <f t="shared" si="9"/>
        <v>-9.1414944356120742E-3</v>
      </c>
    </row>
    <row r="679" spans="1:7">
      <c r="A679" s="47">
        <v>101.81</v>
      </c>
      <c r="B679" s="47">
        <v>106.99</v>
      </c>
      <c r="C679" s="47">
        <v>100.77</v>
      </c>
      <c r="D679" s="47">
        <v>104.42</v>
      </c>
      <c r="E679" s="47">
        <v>687950</v>
      </c>
      <c r="F679" s="47" t="s">
        <v>902</v>
      </c>
      <c r="G679" s="25">
        <f t="shared" si="9"/>
        <v>-2.4995211645278625E-2</v>
      </c>
    </row>
    <row r="680" spans="1:7">
      <c r="A680" s="47">
        <v>102.04</v>
      </c>
      <c r="B680" s="47">
        <v>102.065</v>
      </c>
      <c r="C680" s="47">
        <v>99.65</v>
      </c>
      <c r="D680" s="47">
        <v>100.34</v>
      </c>
      <c r="E680" s="47">
        <v>279889</v>
      </c>
      <c r="F680" s="47" t="s">
        <v>901</v>
      </c>
      <c r="G680" s="25">
        <f t="shared" si="9"/>
        <v>1.6942395854096182E-2</v>
      </c>
    </row>
    <row r="681" spans="1:7">
      <c r="A681" s="47">
        <v>101.58</v>
      </c>
      <c r="B681" s="47">
        <v>103.28</v>
      </c>
      <c r="C681" s="47">
        <v>100.95</v>
      </c>
      <c r="D681" s="47">
        <v>102.69</v>
      </c>
      <c r="E681" s="47">
        <v>356971</v>
      </c>
      <c r="F681" s="47" t="s">
        <v>900</v>
      </c>
      <c r="G681" s="25">
        <f t="shared" si="9"/>
        <v>-1.0809231668127417E-2</v>
      </c>
    </row>
    <row r="682" spans="1:7">
      <c r="A682" s="47">
        <v>102.9</v>
      </c>
      <c r="B682" s="47">
        <v>103.94</v>
      </c>
      <c r="C682" s="47">
        <v>102.18</v>
      </c>
      <c r="D682" s="47">
        <v>102.87</v>
      </c>
      <c r="E682" s="47">
        <v>298377</v>
      </c>
      <c r="F682" s="47" t="s">
        <v>899</v>
      </c>
      <c r="G682" s="25">
        <f t="shared" si="9"/>
        <v>2.9163021289013713E-4</v>
      </c>
    </row>
    <row r="683" spans="1:7">
      <c r="A683" s="47">
        <v>102.01</v>
      </c>
      <c r="B683" s="47">
        <v>102.63</v>
      </c>
      <c r="C683" s="47">
        <v>99.59</v>
      </c>
      <c r="D683" s="47">
        <v>100.46</v>
      </c>
      <c r="E683" s="47">
        <v>203972</v>
      </c>
      <c r="F683" s="47" t="s">
        <v>898</v>
      </c>
      <c r="G683" s="25">
        <f t="shared" si="9"/>
        <v>1.5429026478200436E-2</v>
      </c>
    </row>
    <row r="684" spans="1:7">
      <c r="A684" s="47">
        <v>99.94</v>
      </c>
      <c r="B684" s="47">
        <v>102.185</v>
      </c>
      <c r="C684" s="47">
        <v>99.25</v>
      </c>
      <c r="D684" s="47">
        <v>100.55</v>
      </c>
      <c r="E684" s="47">
        <v>212004</v>
      </c>
      <c r="F684" s="47" t="s">
        <v>897</v>
      </c>
      <c r="G684" s="25">
        <f t="shared" si="9"/>
        <v>-6.0666335156638329E-3</v>
      </c>
    </row>
    <row r="685" spans="1:7">
      <c r="A685" s="47">
        <v>100.24</v>
      </c>
      <c r="B685" s="47">
        <v>100.95</v>
      </c>
      <c r="C685" s="47">
        <v>99.67</v>
      </c>
      <c r="D685" s="47">
        <v>100.08</v>
      </c>
      <c r="E685" s="47">
        <v>321948</v>
      </c>
      <c r="F685" s="47" t="s">
        <v>896</v>
      </c>
      <c r="G685" s="25">
        <f t="shared" si="9"/>
        <v>1.5987210231813709E-3</v>
      </c>
    </row>
    <row r="686" spans="1:7">
      <c r="A686" s="47">
        <v>100.58</v>
      </c>
      <c r="B686" s="47">
        <v>103.59</v>
      </c>
      <c r="C686" s="47">
        <v>100.16</v>
      </c>
      <c r="D686" s="47">
        <v>102.52</v>
      </c>
      <c r="E686" s="47">
        <v>376511</v>
      </c>
      <c r="F686" s="47" t="s">
        <v>895</v>
      </c>
      <c r="G686" s="25">
        <f t="shared" si="9"/>
        <v>-1.8923136948888031E-2</v>
      </c>
    </row>
    <row r="687" spans="1:7">
      <c r="A687" s="47">
        <v>102.58</v>
      </c>
      <c r="B687" s="47">
        <v>103.62</v>
      </c>
      <c r="C687" s="47">
        <v>98.83</v>
      </c>
      <c r="D687" s="47">
        <v>98.83</v>
      </c>
      <c r="E687" s="47">
        <v>376561</v>
      </c>
      <c r="F687" s="47" t="s">
        <v>894</v>
      </c>
      <c r="G687" s="25">
        <f t="shared" si="9"/>
        <v>3.7943944146514141E-2</v>
      </c>
    </row>
    <row r="688" spans="1:7">
      <c r="A688" s="47">
        <v>99.68</v>
      </c>
      <c r="B688" s="47">
        <v>99.75</v>
      </c>
      <c r="C688" s="47">
        <v>97.4</v>
      </c>
      <c r="D688" s="47">
        <v>97.55</v>
      </c>
      <c r="E688" s="47">
        <v>225212</v>
      </c>
      <c r="F688" s="47" t="s">
        <v>893</v>
      </c>
      <c r="G688" s="25">
        <f t="shared" si="9"/>
        <v>2.1834956432598807E-2</v>
      </c>
    </row>
    <row r="689" spans="1:7">
      <c r="A689" s="47">
        <v>98.5</v>
      </c>
      <c r="B689" s="47">
        <v>99</v>
      </c>
      <c r="C689" s="47">
        <v>96.63</v>
      </c>
      <c r="D689" s="47">
        <v>97.4</v>
      </c>
      <c r="E689" s="47">
        <v>451429</v>
      </c>
      <c r="F689" s="47" t="s">
        <v>892</v>
      </c>
      <c r="G689" s="25">
        <f t="shared" si="9"/>
        <v>1.1293634496919891E-2</v>
      </c>
    </row>
    <row r="690" spans="1:7">
      <c r="A690" s="47">
        <v>97.4</v>
      </c>
      <c r="B690" s="47">
        <v>97.71</v>
      </c>
      <c r="C690" s="47">
        <v>95.16</v>
      </c>
      <c r="D690" s="47">
        <v>95.27</v>
      </c>
      <c r="E690" s="47">
        <v>376861</v>
      </c>
      <c r="F690" s="47" t="s">
        <v>891</v>
      </c>
      <c r="G690" s="25">
        <f t="shared" si="9"/>
        <v>2.235751023407162E-2</v>
      </c>
    </row>
    <row r="691" spans="1:7">
      <c r="A691" s="47">
        <v>96.86</v>
      </c>
      <c r="B691" s="47">
        <v>97.25</v>
      </c>
      <c r="C691" s="47">
        <v>95.12</v>
      </c>
      <c r="D691" s="47">
        <v>96.55</v>
      </c>
      <c r="E691" s="47">
        <v>672029</v>
      </c>
      <c r="F691" s="47" t="s">
        <v>890</v>
      </c>
      <c r="G691" s="25">
        <f t="shared" si="9"/>
        <v>3.2107716209217596E-3</v>
      </c>
    </row>
    <row r="692" spans="1:7">
      <c r="A692" s="47">
        <v>96.97</v>
      </c>
      <c r="B692" s="47">
        <v>97.45</v>
      </c>
      <c r="C692" s="47">
        <v>94.26</v>
      </c>
      <c r="D692" s="47">
        <v>95.56</v>
      </c>
      <c r="E692" s="47">
        <v>269275</v>
      </c>
      <c r="F692" s="47" t="s">
        <v>889</v>
      </c>
      <c r="G692" s="25">
        <f t="shared" si="9"/>
        <v>1.4755127668480528E-2</v>
      </c>
    </row>
    <row r="693" spans="1:7">
      <c r="A693" s="47">
        <v>94.41</v>
      </c>
      <c r="B693" s="47">
        <v>95.75</v>
      </c>
      <c r="C693" s="47">
        <v>92.625</v>
      </c>
      <c r="D693" s="47">
        <v>92.78</v>
      </c>
      <c r="E693" s="47">
        <v>204746</v>
      </c>
      <c r="F693" s="47" t="s">
        <v>888</v>
      </c>
      <c r="G693" s="25">
        <f t="shared" si="9"/>
        <v>1.7568441474455687E-2</v>
      </c>
    </row>
    <row r="694" spans="1:7">
      <c r="A694" s="47">
        <v>91.94</v>
      </c>
      <c r="B694" s="47">
        <v>96.49</v>
      </c>
      <c r="C694" s="47">
        <v>91.64</v>
      </c>
      <c r="D694" s="47">
        <v>95.66</v>
      </c>
      <c r="E694" s="47">
        <v>266873</v>
      </c>
      <c r="F694" s="47" t="s">
        <v>887</v>
      </c>
      <c r="G694" s="25">
        <f t="shared" si="9"/>
        <v>-3.8887727367760805E-2</v>
      </c>
    </row>
    <row r="695" spans="1:7">
      <c r="A695" s="47">
        <v>94.65</v>
      </c>
      <c r="B695" s="47">
        <v>95.09</v>
      </c>
      <c r="C695" s="47">
        <v>92.82</v>
      </c>
      <c r="D695" s="47">
        <v>93.45</v>
      </c>
      <c r="E695" s="47">
        <v>248630</v>
      </c>
      <c r="F695" s="47" t="s">
        <v>886</v>
      </c>
      <c r="G695" s="25">
        <f t="shared" ref="G695:G758" si="10">A695/D695-1</f>
        <v>1.2841091492777013E-2</v>
      </c>
    </row>
    <row r="696" spans="1:7">
      <c r="A696" s="47">
        <v>94.76</v>
      </c>
      <c r="B696" s="47">
        <v>97.19</v>
      </c>
      <c r="C696" s="47">
        <v>94.1</v>
      </c>
      <c r="D696" s="47">
        <v>95.72</v>
      </c>
      <c r="E696" s="47">
        <v>409469</v>
      </c>
      <c r="F696" s="47" t="s">
        <v>885</v>
      </c>
      <c r="G696" s="25">
        <f t="shared" si="10"/>
        <v>-1.0029251984956078E-2</v>
      </c>
    </row>
    <row r="697" spans="1:7">
      <c r="A697" s="47">
        <v>96.75</v>
      </c>
      <c r="B697" s="47">
        <v>96.87</v>
      </c>
      <c r="C697" s="47">
        <v>89.15</v>
      </c>
      <c r="D697" s="47">
        <v>90.04</v>
      </c>
      <c r="E697" s="47">
        <v>877146</v>
      </c>
      <c r="F697" s="47" t="s">
        <v>884</v>
      </c>
      <c r="G697" s="25">
        <f t="shared" si="10"/>
        <v>7.4522434473567323E-2</v>
      </c>
    </row>
    <row r="698" spans="1:7">
      <c r="A698" s="47">
        <v>89.86</v>
      </c>
      <c r="B698" s="47">
        <v>90.49</v>
      </c>
      <c r="C698" s="47">
        <v>88.77</v>
      </c>
      <c r="D698" s="47">
        <v>89.85</v>
      </c>
      <c r="E698" s="47">
        <v>253661</v>
      </c>
      <c r="F698" s="47" t="s">
        <v>883</v>
      </c>
      <c r="G698" s="25">
        <f t="shared" si="10"/>
        <v>1.1129660545350362E-4</v>
      </c>
    </row>
    <row r="699" spans="1:7">
      <c r="A699" s="47">
        <v>89.42</v>
      </c>
      <c r="B699" s="47">
        <v>89.93</v>
      </c>
      <c r="C699" s="47">
        <v>88.52</v>
      </c>
      <c r="D699" s="47">
        <v>88.69</v>
      </c>
      <c r="E699" s="47">
        <v>686407</v>
      </c>
      <c r="F699" s="47" t="s">
        <v>882</v>
      </c>
      <c r="G699" s="25">
        <f t="shared" si="10"/>
        <v>8.2309166760627939E-3</v>
      </c>
    </row>
    <row r="700" spans="1:7">
      <c r="A700" s="47">
        <v>88.57</v>
      </c>
      <c r="B700" s="47">
        <v>89.84</v>
      </c>
      <c r="C700" s="47">
        <v>88.05</v>
      </c>
      <c r="D700" s="47">
        <v>88.86</v>
      </c>
      <c r="E700" s="47">
        <v>333572</v>
      </c>
      <c r="F700" s="47" t="s">
        <v>881</v>
      </c>
      <c r="G700" s="25">
        <f t="shared" si="10"/>
        <v>-3.2635606572136711E-3</v>
      </c>
    </row>
    <row r="701" spans="1:7">
      <c r="A701" s="47">
        <v>88.46</v>
      </c>
      <c r="B701" s="47">
        <v>89.88</v>
      </c>
      <c r="C701" s="47">
        <v>87.98</v>
      </c>
      <c r="D701" s="47">
        <v>89.73</v>
      </c>
      <c r="E701" s="47">
        <v>269447</v>
      </c>
      <c r="F701" s="47" t="s">
        <v>880</v>
      </c>
      <c r="G701" s="25">
        <f t="shared" si="10"/>
        <v>-1.4153571826591049E-2</v>
      </c>
    </row>
    <row r="702" spans="1:7">
      <c r="A702" s="47">
        <v>90.54</v>
      </c>
      <c r="B702" s="47">
        <v>90.88</v>
      </c>
      <c r="C702" s="47">
        <v>88.45</v>
      </c>
      <c r="D702" s="47">
        <v>88.8</v>
      </c>
      <c r="E702" s="47">
        <v>289053</v>
      </c>
      <c r="F702" s="47" t="s">
        <v>879</v>
      </c>
      <c r="G702" s="25">
        <f t="shared" si="10"/>
        <v>1.9594594594594783E-2</v>
      </c>
    </row>
    <row r="703" spans="1:7">
      <c r="A703" s="47">
        <v>88.9</v>
      </c>
      <c r="B703" s="47">
        <v>89.52</v>
      </c>
      <c r="C703" s="47">
        <v>87.9</v>
      </c>
      <c r="D703" s="47">
        <v>88.63</v>
      </c>
      <c r="E703" s="47">
        <v>300540</v>
      </c>
      <c r="F703" s="47" t="s">
        <v>878</v>
      </c>
      <c r="G703" s="25">
        <f t="shared" si="10"/>
        <v>3.0463725600813341E-3</v>
      </c>
    </row>
    <row r="704" spans="1:7">
      <c r="A704" s="47">
        <v>88.63</v>
      </c>
      <c r="B704" s="47">
        <v>89.495000000000005</v>
      </c>
      <c r="C704" s="47">
        <v>87.95</v>
      </c>
      <c r="D704" s="47">
        <v>89.28</v>
      </c>
      <c r="E704" s="47">
        <v>262203</v>
      </c>
      <c r="F704" s="47" t="s">
        <v>877</v>
      </c>
      <c r="G704" s="25">
        <f t="shared" si="10"/>
        <v>-7.2804659498209023E-3</v>
      </c>
    </row>
    <row r="705" spans="1:7">
      <c r="A705" s="47">
        <v>89.75</v>
      </c>
      <c r="B705" s="47">
        <v>90.45</v>
      </c>
      <c r="C705" s="47">
        <v>88.06</v>
      </c>
      <c r="D705" s="47">
        <v>90.15</v>
      </c>
      <c r="E705" s="47">
        <v>418611</v>
      </c>
      <c r="F705" s="47" t="s">
        <v>876</v>
      </c>
      <c r="G705" s="25">
        <f t="shared" si="10"/>
        <v>-4.4370493621742613E-3</v>
      </c>
    </row>
    <row r="706" spans="1:7">
      <c r="A706" s="47">
        <v>88.87</v>
      </c>
      <c r="B706" s="47">
        <v>89.21</v>
      </c>
      <c r="C706" s="47">
        <v>87.52</v>
      </c>
      <c r="D706" s="47">
        <v>87.52</v>
      </c>
      <c r="E706" s="47">
        <v>369818</v>
      </c>
      <c r="F706" s="47" t="s">
        <v>875</v>
      </c>
      <c r="G706" s="25">
        <f t="shared" si="10"/>
        <v>1.542504570383918E-2</v>
      </c>
    </row>
    <row r="707" spans="1:7">
      <c r="A707" s="47">
        <v>88.31</v>
      </c>
      <c r="B707" s="47">
        <v>89.83</v>
      </c>
      <c r="C707" s="47">
        <v>88.3</v>
      </c>
      <c r="D707" s="47">
        <v>89.48</v>
      </c>
      <c r="E707" s="47">
        <v>454905</v>
      </c>
      <c r="F707" s="47" t="s">
        <v>874</v>
      </c>
      <c r="G707" s="25">
        <f t="shared" si="10"/>
        <v>-1.3075547608404126E-2</v>
      </c>
    </row>
    <row r="708" spans="1:7">
      <c r="A708" s="47">
        <v>89.15</v>
      </c>
      <c r="B708" s="47">
        <v>89.15</v>
      </c>
      <c r="C708" s="47">
        <v>85.39</v>
      </c>
      <c r="D708" s="47">
        <v>86.48</v>
      </c>
      <c r="E708" s="47">
        <v>497303</v>
      </c>
      <c r="F708" s="47" t="s">
        <v>873</v>
      </c>
      <c r="G708" s="25">
        <f t="shared" si="10"/>
        <v>3.0874190564292414E-2</v>
      </c>
    </row>
    <row r="709" spans="1:7">
      <c r="A709" s="47">
        <v>85.76</v>
      </c>
      <c r="B709" s="47">
        <v>88.584999999999994</v>
      </c>
      <c r="C709" s="47">
        <v>85.47</v>
      </c>
      <c r="D709" s="47">
        <v>88.1</v>
      </c>
      <c r="E709" s="47">
        <v>347244</v>
      </c>
      <c r="F709" s="47" t="s">
        <v>872</v>
      </c>
      <c r="G709" s="25">
        <f t="shared" si="10"/>
        <v>-2.6560726447218963E-2</v>
      </c>
    </row>
    <row r="710" spans="1:7">
      <c r="A710" s="47">
        <v>87.5</v>
      </c>
      <c r="B710" s="47">
        <v>90.165000000000006</v>
      </c>
      <c r="C710" s="47">
        <v>85.2</v>
      </c>
      <c r="D710" s="47">
        <v>87.04</v>
      </c>
      <c r="E710" s="47">
        <v>995493</v>
      </c>
      <c r="F710" s="47" t="s">
        <v>871</v>
      </c>
      <c r="G710" s="25">
        <f t="shared" si="10"/>
        <v>5.2849264705880916E-3</v>
      </c>
    </row>
    <row r="711" spans="1:7">
      <c r="A711" s="47">
        <v>91.02</v>
      </c>
      <c r="B711" s="47">
        <v>93.644999999999996</v>
      </c>
      <c r="C711" s="47">
        <v>89.93</v>
      </c>
      <c r="D711" s="47">
        <v>93.56</v>
      </c>
      <c r="E711" s="47">
        <v>537808</v>
      </c>
      <c r="F711" s="47" t="s">
        <v>870</v>
      </c>
      <c r="G711" s="25">
        <f t="shared" si="10"/>
        <v>-2.7148353997434871E-2</v>
      </c>
    </row>
    <row r="712" spans="1:7">
      <c r="A712" s="47">
        <v>93.75</v>
      </c>
      <c r="B712" s="47">
        <v>94.22</v>
      </c>
      <c r="C712" s="47">
        <v>92.19</v>
      </c>
      <c r="D712" s="47">
        <v>92.81</v>
      </c>
      <c r="E712" s="47">
        <v>441408</v>
      </c>
      <c r="F712" s="47" t="s">
        <v>869</v>
      </c>
      <c r="G712" s="25">
        <f t="shared" si="10"/>
        <v>1.0128218941924283E-2</v>
      </c>
    </row>
    <row r="713" spans="1:7">
      <c r="A713" s="47">
        <v>93.42</v>
      </c>
      <c r="B713" s="47">
        <v>94.465000000000003</v>
      </c>
      <c r="C713" s="47">
        <v>91.1</v>
      </c>
      <c r="D713" s="47">
        <v>93.46</v>
      </c>
      <c r="E713" s="47">
        <v>478990</v>
      </c>
      <c r="F713" s="47" t="s">
        <v>868</v>
      </c>
      <c r="G713" s="25">
        <f t="shared" si="10"/>
        <v>-4.2799058420706082E-4</v>
      </c>
    </row>
    <row r="714" spans="1:7">
      <c r="A714" s="47">
        <v>94.55</v>
      </c>
      <c r="B714" s="47">
        <v>95.81</v>
      </c>
      <c r="C714" s="47">
        <v>93.78</v>
      </c>
      <c r="D714" s="47">
        <v>94.97</v>
      </c>
      <c r="E714" s="47">
        <v>191829</v>
      </c>
      <c r="F714" s="47" t="s">
        <v>867</v>
      </c>
      <c r="G714" s="25">
        <f t="shared" si="10"/>
        <v>-4.4224491944825362E-3</v>
      </c>
    </row>
    <row r="715" spans="1:7">
      <c r="A715" s="47">
        <v>93.84</v>
      </c>
      <c r="B715" s="47">
        <v>96.69</v>
      </c>
      <c r="C715" s="47">
        <v>93.36</v>
      </c>
      <c r="D715" s="47">
        <v>95.33</v>
      </c>
      <c r="E715" s="47">
        <v>277425</v>
      </c>
      <c r="F715" s="47" t="s">
        <v>866</v>
      </c>
      <c r="G715" s="25">
        <f t="shared" si="10"/>
        <v>-1.5629917129969528E-2</v>
      </c>
    </row>
    <row r="716" spans="1:7">
      <c r="A716" s="47">
        <v>93.99</v>
      </c>
      <c r="B716" s="47">
        <v>96.21</v>
      </c>
      <c r="C716" s="47">
        <v>93.75</v>
      </c>
      <c r="D716" s="47">
        <v>96.21</v>
      </c>
      <c r="E716" s="47">
        <v>477202</v>
      </c>
      <c r="F716" s="47" t="s">
        <v>865</v>
      </c>
      <c r="G716" s="25">
        <f t="shared" si="10"/>
        <v>-2.3074524477704972E-2</v>
      </c>
    </row>
    <row r="717" spans="1:7">
      <c r="A717" s="47">
        <v>97.04</v>
      </c>
      <c r="B717" s="47">
        <v>97.92</v>
      </c>
      <c r="C717" s="47">
        <v>95.7</v>
      </c>
      <c r="D717" s="47">
        <v>97.07</v>
      </c>
      <c r="E717" s="47">
        <v>221684</v>
      </c>
      <c r="F717" s="47" t="s">
        <v>864</v>
      </c>
      <c r="G717" s="25">
        <f t="shared" si="10"/>
        <v>-3.0905532090230725E-4</v>
      </c>
    </row>
    <row r="718" spans="1:7">
      <c r="A718" s="47">
        <v>97.3</v>
      </c>
      <c r="B718" s="47">
        <v>97.894999999999996</v>
      </c>
      <c r="C718" s="47">
        <v>96.745000000000005</v>
      </c>
      <c r="D718" s="47">
        <v>96.94</v>
      </c>
      <c r="E718" s="47">
        <v>327925</v>
      </c>
      <c r="F718" s="47" t="s">
        <v>863</v>
      </c>
      <c r="G718" s="25">
        <f t="shared" si="10"/>
        <v>3.7136373014234891E-3</v>
      </c>
    </row>
    <row r="719" spans="1:7">
      <c r="A719" s="47">
        <v>96.42</v>
      </c>
      <c r="B719" s="47">
        <v>98.83</v>
      </c>
      <c r="C719" s="47">
        <v>96.21</v>
      </c>
      <c r="D719" s="47">
        <v>97.5</v>
      </c>
      <c r="E719" s="47">
        <v>273709</v>
      </c>
      <c r="F719" s="47" t="s">
        <v>862</v>
      </c>
      <c r="G719" s="25">
        <f t="shared" si="10"/>
        <v>-1.1076923076923095E-2</v>
      </c>
    </row>
    <row r="720" spans="1:7">
      <c r="A720" s="47">
        <v>98.56</v>
      </c>
      <c r="B720" s="47">
        <v>100.395</v>
      </c>
      <c r="C720" s="47">
        <v>98.28</v>
      </c>
      <c r="D720" s="47">
        <v>100.03</v>
      </c>
      <c r="E720" s="47">
        <v>227542</v>
      </c>
      <c r="F720" s="47" t="s">
        <v>861</v>
      </c>
      <c r="G720" s="25">
        <f t="shared" si="10"/>
        <v>-1.469559132260323E-2</v>
      </c>
    </row>
    <row r="721" spans="1:7">
      <c r="A721" s="47">
        <v>101.28</v>
      </c>
      <c r="B721" s="47">
        <v>103.7</v>
      </c>
      <c r="C721" s="47">
        <v>101.24</v>
      </c>
      <c r="D721" s="47">
        <v>103</v>
      </c>
      <c r="E721" s="47">
        <v>623912</v>
      </c>
      <c r="F721" s="47" t="s">
        <v>860</v>
      </c>
      <c r="G721" s="25">
        <f t="shared" si="10"/>
        <v>-1.6699029126213571E-2</v>
      </c>
    </row>
    <row r="722" spans="1:7">
      <c r="A722" s="47">
        <v>101.81</v>
      </c>
      <c r="B722" s="47">
        <v>102.09</v>
      </c>
      <c r="C722" s="47">
        <v>99.4</v>
      </c>
      <c r="D722" s="47">
        <v>99.79</v>
      </c>
      <c r="E722" s="47">
        <v>267114</v>
      </c>
      <c r="F722" s="47" t="s">
        <v>859</v>
      </c>
      <c r="G722" s="25">
        <f t="shared" si="10"/>
        <v>2.0242509269465803E-2</v>
      </c>
    </row>
    <row r="723" spans="1:7">
      <c r="A723" s="47">
        <v>99.51</v>
      </c>
      <c r="B723" s="47">
        <v>99.84</v>
      </c>
      <c r="C723" s="47">
        <v>96.614999999999995</v>
      </c>
      <c r="D723" s="47">
        <v>96.82</v>
      </c>
      <c r="E723" s="47">
        <v>989468</v>
      </c>
      <c r="F723" s="47" t="s">
        <v>858</v>
      </c>
      <c r="G723" s="25">
        <f t="shared" si="10"/>
        <v>2.7783515802520364E-2</v>
      </c>
    </row>
    <row r="724" spans="1:7">
      <c r="A724" s="47">
        <v>97.1</v>
      </c>
      <c r="B724" s="47">
        <v>98.894999999999996</v>
      </c>
      <c r="C724" s="47">
        <v>96.95</v>
      </c>
      <c r="D724" s="47">
        <v>97.45</v>
      </c>
      <c r="E724" s="47">
        <v>272109</v>
      </c>
      <c r="F724" s="47" t="s">
        <v>857</v>
      </c>
      <c r="G724" s="25">
        <f t="shared" si="10"/>
        <v>-3.5915854284249704E-3</v>
      </c>
    </row>
    <row r="725" spans="1:7">
      <c r="A725" s="47">
        <v>96.36</v>
      </c>
      <c r="B725" s="47">
        <v>98.94</v>
      </c>
      <c r="C725" s="47">
        <v>96.32</v>
      </c>
      <c r="D725" s="47">
        <v>98.94</v>
      </c>
      <c r="E725" s="47">
        <v>202919</v>
      </c>
      <c r="F725" s="47" t="s">
        <v>856</v>
      </c>
      <c r="G725" s="25">
        <f t="shared" si="10"/>
        <v>-2.6076409945421486E-2</v>
      </c>
    </row>
    <row r="726" spans="1:7">
      <c r="A726" s="47">
        <v>97.5</v>
      </c>
      <c r="B726" s="47">
        <v>99.14</v>
      </c>
      <c r="C726" s="47">
        <v>96.63</v>
      </c>
      <c r="D726" s="47">
        <v>97.4</v>
      </c>
      <c r="E726" s="47">
        <v>333008</v>
      </c>
      <c r="F726" s="47" t="s">
        <v>855</v>
      </c>
      <c r="G726" s="25">
        <f t="shared" si="10"/>
        <v>1.0266940451744144E-3</v>
      </c>
    </row>
    <row r="727" spans="1:7">
      <c r="A727" s="47">
        <v>97.89</v>
      </c>
      <c r="B727" s="47">
        <v>98.08</v>
      </c>
      <c r="C727" s="47">
        <v>94.99</v>
      </c>
      <c r="D727" s="47">
        <v>95.79</v>
      </c>
      <c r="E727" s="47">
        <v>363582</v>
      </c>
      <c r="F727" s="47" t="s">
        <v>854</v>
      </c>
      <c r="G727" s="25">
        <f t="shared" si="10"/>
        <v>2.1922956467272048E-2</v>
      </c>
    </row>
    <row r="728" spans="1:7">
      <c r="A728" s="47">
        <v>97.29</v>
      </c>
      <c r="B728" s="47">
        <v>97.56</v>
      </c>
      <c r="C728" s="47">
        <v>94.54</v>
      </c>
      <c r="D728" s="47">
        <v>96</v>
      </c>
      <c r="E728" s="47">
        <v>327585</v>
      </c>
      <c r="F728" s="47" t="s">
        <v>853</v>
      </c>
      <c r="G728" s="25">
        <f t="shared" si="10"/>
        <v>1.3437499999999991E-2</v>
      </c>
    </row>
    <row r="729" spans="1:7">
      <c r="A729" s="47">
        <v>96.38</v>
      </c>
      <c r="B729" s="47">
        <v>98.76</v>
      </c>
      <c r="C729" s="47">
        <v>94.68</v>
      </c>
      <c r="D729" s="47">
        <v>98.76</v>
      </c>
      <c r="E729" s="47">
        <v>582018</v>
      </c>
      <c r="F729" s="47" t="s">
        <v>852</v>
      </c>
      <c r="G729" s="25">
        <f t="shared" si="10"/>
        <v>-2.4098825435399096E-2</v>
      </c>
    </row>
    <row r="730" spans="1:7">
      <c r="A730" s="47">
        <v>99.17</v>
      </c>
      <c r="B730" s="47">
        <v>101.61</v>
      </c>
      <c r="C730" s="47">
        <v>98.17</v>
      </c>
      <c r="D730" s="47">
        <v>101.43</v>
      </c>
      <c r="E730" s="47">
        <v>448023</v>
      </c>
      <c r="F730" s="47" t="s">
        <v>851</v>
      </c>
      <c r="G730" s="25">
        <f t="shared" si="10"/>
        <v>-2.2281376318643464E-2</v>
      </c>
    </row>
    <row r="731" spans="1:7">
      <c r="A731" s="47">
        <v>100.86</v>
      </c>
      <c r="B731" s="47">
        <v>101.895</v>
      </c>
      <c r="C731" s="47">
        <v>98.52</v>
      </c>
      <c r="D731" s="47">
        <v>101.31</v>
      </c>
      <c r="E731" s="47">
        <v>370086</v>
      </c>
      <c r="F731" s="47" t="s">
        <v>850</v>
      </c>
      <c r="G731" s="25">
        <f t="shared" si="10"/>
        <v>-4.4418122594018783E-3</v>
      </c>
    </row>
    <row r="732" spans="1:7">
      <c r="A732" s="47">
        <v>102.41</v>
      </c>
      <c r="B732" s="47">
        <v>104.76</v>
      </c>
      <c r="C732" s="47">
        <v>100</v>
      </c>
      <c r="D732" s="47">
        <v>100.55</v>
      </c>
      <c r="E732" s="47">
        <v>423096</v>
      </c>
      <c r="F732" s="47" t="s">
        <v>849</v>
      </c>
      <c r="G732" s="25">
        <f t="shared" si="10"/>
        <v>1.8498259572351961E-2</v>
      </c>
    </row>
    <row r="733" spans="1:7">
      <c r="A733" s="47">
        <v>99.94</v>
      </c>
      <c r="B733" s="47">
        <v>100.65</v>
      </c>
      <c r="C733" s="47">
        <v>99.37</v>
      </c>
      <c r="D733" s="47">
        <v>99.75</v>
      </c>
      <c r="E733" s="47">
        <v>202614</v>
      </c>
      <c r="F733" s="47" t="s">
        <v>848</v>
      </c>
      <c r="G733" s="25">
        <f t="shared" si="10"/>
        <v>1.9047619047618536E-3</v>
      </c>
    </row>
    <row r="734" spans="1:7">
      <c r="A734" s="47">
        <v>99.15</v>
      </c>
      <c r="B734" s="47">
        <v>99.17</v>
      </c>
      <c r="C734" s="47">
        <v>98.17</v>
      </c>
      <c r="D734" s="47">
        <v>98.73</v>
      </c>
      <c r="E734" s="47">
        <v>196152</v>
      </c>
      <c r="F734" s="47" t="s">
        <v>847</v>
      </c>
      <c r="G734" s="25">
        <f t="shared" si="10"/>
        <v>4.2540261318748662E-3</v>
      </c>
    </row>
    <row r="735" spans="1:7">
      <c r="A735" s="47">
        <v>98.04</v>
      </c>
      <c r="B735" s="47">
        <v>98.26</v>
      </c>
      <c r="C735" s="47">
        <v>96.69</v>
      </c>
      <c r="D735" s="47">
        <v>97.66</v>
      </c>
      <c r="E735" s="47">
        <v>190631</v>
      </c>
      <c r="F735" s="47" t="s">
        <v>846</v>
      </c>
      <c r="G735" s="25">
        <f t="shared" si="10"/>
        <v>3.8910505836577958E-3</v>
      </c>
    </row>
    <row r="736" spans="1:7">
      <c r="A736" s="47">
        <v>98.01</v>
      </c>
      <c r="B736" s="47">
        <v>99.22</v>
      </c>
      <c r="C736" s="47">
        <v>96.745000000000005</v>
      </c>
      <c r="D736" s="47">
        <v>98.57</v>
      </c>
      <c r="E736" s="47">
        <v>311456</v>
      </c>
      <c r="F736" s="47" t="s">
        <v>845</v>
      </c>
      <c r="G736" s="25">
        <f t="shared" si="10"/>
        <v>-5.6812417571268092E-3</v>
      </c>
    </row>
    <row r="737" spans="1:7">
      <c r="A737" s="47">
        <v>98.4</v>
      </c>
      <c r="B737" s="47">
        <v>98.55</v>
      </c>
      <c r="C737" s="47">
        <v>95.819500000000005</v>
      </c>
      <c r="D737" s="47">
        <v>97.03</v>
      </c>
      <c r="E737" s="47">
        <v>258513</v>
      </c>
      <c r="F737" s="47" t="s">
        <v>844</v>
      </c>
      <c r="G737" s="25">
        <f t="shared" si="10"/>
        <v>1.4119344532618872E-2</v>
      </c>
    </row>
    <row r="738" spans="1:7">
      <c r="A738" s="47">
        <v>97.38</v>
      </c>
      <c r="B738" s="47">
        <v>99.41</v>
      </c>
      <c r="C738" s="47">
        <v>96.19</v>
      </c>
      <c r="D738" s="47">
        <v>97.23</v>
      </c>
      <c r="E738" s="47">
        <v>305828</v>
      </c>
      <c r="F738" s="47" t="s">
        <v>843</v>
      </c>
      <c r="G738" s="25">
        <f t="shared" si="10"/>
        <v>1.5427337241591399E-3</v>
      </c>
    </row>
    <row r="739" spans="1:7">
      <c r="A739" s="47">
        <v>95.85</v>
      </c>
      <c r="B739" s="47">
        <v>99.21</v>
      </c>
      <c r="C739" s="47">
        <v>95.67</v>
      </c>
      <c r="D739" s="47">
        <v>97.96</v>
      </c>
      <c r="E739" s="47">
        <v>314593</v>
      </c>
      <c r="F739" s="47" t="s">
        <v>842</v>
      </c>
      <c r="G739" s="25">
        <f t="shared" si="10"/>
        <v>-2.153940383830133E-2</v>
      </c>
    </row>
    <row r="740" spans="1:7">
      <c r="A740" s="47">
        <v>98.08</v>
      </c>
      <c r="B740" s="47">
        <v>98.42</v>
      </c>
      <c r="C740" s="47">
        <v>96.34</v>
      </c>
      <c r="D740" s="47">
        <v>96.69</v>
      </c>
      <c r="E740" s="47">
        <v>377849</v>
      </c>
      <c r="F740" s="47" t="s">
        <v>841</v>
      </c>
      <c r="G740" s="25">
        <f t="shared" si="10"/>
        <v>1.4375840314406974E-2</v>
      </c>
    </row>
    <row r="741" spans="1:7">
      <c r="A741" s="47">
        <v>95.85</v>
      </c>
      <c r="B741" s="47">
        <v>96.08</v>
      </c>
      <c r="C741" s="47">
        <v>94.056299999999993</v>
      </c>
      <c r="D741" s="47">
        <v>94.99</v>
      </c>
      <c r="E741" s="47">
        <v>413290</v>
      </c>
      <c r="F741" s="47" t="s">
        <v>840</v>
      </c>
      <c r="G741" s="25">
        <f t="shared" si="10"/>
        <v>9.0535845878514376E-3</v>
      </c>
    </row>
    <row r="742" spans="1:7">
      <c r="A742" s="47">
        <v>95.32</v>
      </c>
      <c r="B742" s="47">
        <v>95.98</v>
      </c>
      <c r="C742" s="47">
        <v>93.23</v>
      </c>
      <c r="D742" s="47">
        <v>95.26</v>
      </c>
      <c r="E742" s="47">
        <v>520575</v>
      </c>
      <c r="F742" s="47" t="s">
        <v>839</v>
      </c>
      <c r="G742" s="25">
        <f t="shared" si="10"/>
        <v>6.2985513331925702E-4</v>
      </c>
    </row>
    <row r="743" spans="1:7">
      <c r="A743" s="47">
        <v>95.32</v>
      </c>
      <c r="B743" s="47">
        <v>95.64</v>
      </c>
      <c r="C743" s="47">
        <v>90.65</v>
      </c>
      <c r="D743" s="47">
        <v>91.73</v>
      </c>
      <c r="E743" s="47">
        <v>405752</v>
      </c>
      <c r="F743" s="47" t="s">
        <v>838</v>
      </c>
      <c r="G743" s="25">
        <f t="shared" si="10"/>
        <v>3.9136596533304147E-2</v>
      </c>
    </row>
    <row r="744" spans="1:7">
      <c r="A744" s="47">
        <v>91.74</v>
      </c>
      <c r="B744" s="47">
        <v>92.16</v>
      </c>
      <c r="C744" s="47">
        <v>89.37</v>
      </c>
      <c r="D744" s="47">
        <v>90.28</v>
      </c>
      <c r="E744" s="47">
        <v>346012</v>
      </c>
      <c r="F744" s="47" t="s">
        <v>837</v>
      </c>
      <c r="G744" s="25">
        <f t="shared" si="10"/>
        <v>1.617190961453252E-2</v>
      </c>
    </row>
    <row r="745" spans="1:7">
      <c r="A745" s="47">
        <v>91.18</v>
      </c>
      <c r="B745" s="47">
        <v>91.31</v>
      </c>
      <c r="C745" s="47">
        <v>87.65</v>
      </c>
      <c r="D745" s="47">
        <v>88.47</v>
      </c>
      <c r="E745" s="47">
        <v>401759</v>
      </c>
      <c r="F745" s="47" t="s">
        <v>836</v>
      </c>
      <c r="G745" s="25">
        <f t="shared" si="10"/>
        <v>3.063185260540302E-2</v>
      </c>
    </row>
    <row r="746" spans="1:7">
      <c r="A746" s="47">
        <v>86.19</v>
      </c>
      <c r="B746" s="47">
        <v>88.44</v>
      </c>
      <c r="C746" s="47">
        <v>82.995000000000005</v>
      </c>
      <c r="D746" s="47">
        <v>84.18</v>
      </c>
      <c r="E746" s="47">
        <v>297169</v>
      </c>
      <c r="F746" s="47" t="s">
        <v>835</v>
      </c>
      <c r="G746" s="25">
        <f t="shared" si="10"/>
        <v>2.387740555951523E-2</v>
      </c>
    </row>
    <row r="747" spans="1:7">
      <c r="A747" s="47">
        <v>85.21</v>
      </c>
      <c r="B747" s="47">
        <v>86.89</v>
      </c>
      <c r="C747" s="47">
        <v>83.42</v>
      </c>
      <c r="D747" s="47">
        <v>86.81</v>
      </c>
      <c r="E747" s="47">
        <v>845185</v>
      </c>
      <c r="F747" s="47" t="s">
        <v>834</v>
      </c>
      <c r="G747" s="25">
        <f t="shared" si="10"/>
        <v>-1.843105632991604E-2</v>
      </c>
    </row>
    <row r="748" spans="1:7">
      <c r="A748" s="47">
        <v>88.02</v>
      </c>
      <c r="B748" s="47">
        <v>92.66</v>
      </c>
      <c r="C748" s="47">
        <v>88.01</v>
      </c>
      <c r="D748" s="47">
        <v>91.22</v>
      </c>
      <c r="E748" s="47">
        <v>443917</v>
      </c>
      <c r="F748" s="47" t="s">
        <v>833</v>
      </c>
      <c r="G748" s="25">
        <f t="shared" si="10"/>
        <v>-3.5080026310019718E-2</v>
      </c>
    </row>
    <row r="749" spans="1:7">
      <c r="A749" s="47">
        <v>90.66</v>
      </c>
      <c r="B749" s="47">
        <v>91.91</v>
      </c>
      <c r="C749" s="47">
        <v>89.72</v>
      </c>
      <c r="D749" s="47">
        <v>90.82</v>
      </c>
      <c r="E749" s="47">
        <v>303654</v>
      </c>
      <c r="F749" s="47" t="s">
        <v>832</v>
      </c>
      <c r="G749" s="25">
        <f t="shared" si="10"/>
        <v>-1.7617264919620457E-3</v>
      </c>
    </row>
    <row r="750" spans="1:7">
      <c r="A750" s="47">
        <v>91.16</v>
      </c>
      <c r="B750" s="47">
        <v>95</v>
      </c>
      <c r="C750" s="47">
        <v>91.07</v>
      </c>
      <c r="D750" s="47">
        <v>94.48</v>
      </c>
      <c r="E750" s="47">
        <v>276728</v>
      </c>
      <c r="F750" s="47" t="s">
        <v>831</v>
      </c>
      <c r="G750" s="25">
        <f t="shared" si="10"/>
        <v>-3.5139712108382848E-2</v>
      </c>
    </row>
    <row r="751" spans="1:7">
      <c r="A751" s="47">
        <v>94.38</v>
      </c>
      <c r="B751" s="47">
        <v>94.775000000000006</v>
      </c>
      <c r="C751" s="47">
        <v>92.52</v>
      </c>
      <c r="D751" s="47">
        <v>93</v>
      </c>
      <c r="E751" s="47">
        <v>258098</v>
      </c>
      <c r="F751" s="47" t="s">
        <v>830</v>
      </c>
      <c r="G751" s="25">
        <f t="shared" si="10"/>
        <v>1.4838709677419404E-2</v>
      </c>
    </row>
    <row r="752" spans="1:7">
      <c r="A752" s="47">
        <v>92.65</v>
      </c>
      <c r="B752" s="47">
        <v>92.94</v>
      </c>
      <c r="C752" s="47">
        <v>89.32</v>
      </c>
      <c r="D752" s="47">
        <v>90.2</v>
      </c>
      <c r="E752" s="47">
        <v>381450</v>
      </c>
      <c r="F752" s="47" t="s">
        <v>829</v>
      </c>
      <c r="G752" s="25">
        <f t="shared" si="10"/>
        <v>2.716186252771613E-2</v>
      </c>
    </row>
    <row r="753" spans="1:7">
      <c r="A753" s="47">
        <v>89.41</v>
      </c>
      <c r="B753" s="47">
        <v>91.23</v>
      </c>
      <c r="C753" s="47">
        <v>88.09</v>
      </c>
      <c r="D753" s="47">
        <v>88.58</v>
      </c>
      <c r="E753" s="47">
        <v>267141</v>
      </c>
      <c r="F753" s="47" t="s">
        <v>828</v>
      </c>
      <c r="G753" s="25">
        <f t="shared" si="10"/>
        <v>9.3700609618423414E-3</v>
      </c>
    </row>
    <row r="754" spans="1:7">
      <c r="A754" s="47">
        <v>89</v>
      </c>
      <c r="B754" s="47">
        <v>89.82</v>
      </c>
      <c r="C754" s="47">
        <v>87.96</v>
      </c>
      <c r="D754" s="47">
        <v>89</v>
      </c>
      <c r="E754" s="47">
        <v>406323</v>
      </c>
      <c r="F754" s="47" t="s">
        <v>827</v>
      </c>
      <c r="G754" s="25">
        <f t="shared" si="10"/>
        <v>0</v>
      </c>
    </row>
    <row r="755" spans="1:7">
      <c r="A755" s="47">
        <v>89.2</v>
      </c>
      <c r="B755" s="47">
        <v>89.82</v>
      </c>
      <c r="C755" s="47">
        <v>87.6</v>
      </c>
      <c r="D755" s="47">
        <v>87.6</v>
      </c>
      <c r="E755" s="47">
        <v>520183</v>
      </c>
      <c r="F755" s="47" t="s">
        <v>826</v>
      </c>
      <c r="G755" s="25">
        <f t="shared" si="10"/>
        <v>1.8264840182648401E-2</v>
      </c>
    </row>
    <row r="756" spans="1:7">
      <c r="A756" s="47">
        <v>87.71</v>
      </c>
      <c r="B756" s="47">
        <v>88.355000000000004</v>
      </c>
      <c r="C756" s="47">
        <v>87.05</v>
      </c>
      <c r="D756" s="47">
        <v>88</v>
      </c>
      <c r="E756" s="47">
        <v>412453</v>
      </c>
      <c r="F756" s="47" t="s">
        <v>825</v>
      </c>
      <c r="G756" s="25">
        <f t="shared" si="10"/>
        <v>-3.2954545454546569E-3</v>
      </c>
    </row>
    <row r="757" spans="1:7">
      <c r="A757" s="47">
        <v>87.43</v>
      </c>
      <c r="B757" s="47">
        <v>87.5</v>
      </c>
      <c r="C757" s="47">
        <v>85.41</v>
      </c>
      <c r="D757" s="47">
        <v>86.45</v>
      </c>
      <c r="E757" s="47">
        <v>328974</v>
      </c>
      <c r="F757" s="47" t="s">
        <v>824</v>
      </c>
      <c r="G757" s="25">
        <f t="shared" si="10"/>
        <v>1.1336032388663986E-2</v>
      </c>
    </row>
    <row r="758" spans="1:7">
      <c r="A758" s="47">
        <v>88.87</v>
      </c>
      <c r="B758" s="47">
        <v>89.49</v>
      </c>
      <c r="C758" s="47">
        <v>86.43</v>
      </c>
      <c r="D758" s="47">
        <v>88.71</v>
      </c>
      <c r="E758" s="47">
        <v>437146</v>
      </c>
      <c r="F758" s="47" t="s">
        <v>823</v>
      </c>
      <c r="G758" s="25">
        <f t="shared" si="10"/>
        <v>1.8036298049826094E-3</v>
      </c>
    </row>
    <row r="759" spans="1:7">
      <c r="A759" s="47">
        <v>87.59</v>
      </c>
      <c r="B759" s="47">
        <v>91.5</v>
      </c>
      <c r="C759" s="47">
        <v>85.95</v>
      </c>
      <c r="D759" s="47">
        <v>88.07</v>
      </c>
      <c r="E759" s="47">
        <v>952593</v>
      </c>
      <c r="F759" s="47" t="s">
        <v>822</v>
      </c>
      <c r="G759" s="25">
        <f t="shared" ref="G759:G822" si="11">A759/D759-1</f>
        <v>-5.4502100601793169E-3</v>
      </c>
    </row>
    <row r="760" spans="1:7">
      <c r="A760" s="47">
        <v>85.51</v>
      </c>
      <c r="B760" s="47">
        <v>87.24</v>
      </c>
      <c r="C760" s="47">
        <v>85.04</v>
      </c>
      <c r="D760" s="47">
        <v>86.03</v>
      </c>
      <c r="E760" s="47">
        <v>727993</v>
      </c>
      <c r="F760" s="47" t="s">
        <v>821</v>
      </c>
      <c r="G760" s="25">
        <f t="shared" si="11"/>
        <v>-6.0444031151922761E-3</v>
      </c>
    </row>
    <row r="761" spans="1:7">
      <c r="A761" s="47">
        <v>88.24</v>
      </c>
      <c r="B761" s="47">
        <v>90.57</v>
      </c>
      <c r="C761" s="47">
        <v>88.18</v>
      </c>
      <c r="D761" s="47">
        <v>89.46</v>
      </c>
      <c r="E761" s="47">
        <v>409340</v>
      </c>
      <c r="F761" s="47" t="s">
        <v>820</v>
      </c>
      <c r="G761" s="25">
        <f t="shared" si="11"/>
        <v>-1.3637379834562924E-2</v>
      </c>
    </row>
    <row r="762" spans="1:7">
      <c r="A762" s="47">
        <v>89</v>
      </c>
      <c r="B762" s="47">
        <v>90.52</v>
      </c>
      <c r="C762" s="47">
        <v>88.99</v>
      </c>
      <c r="D762" s="47">
        <v>89.14</v>
      </c>
      <c r="E762" s="47">
        <v>290776</v>
      </c>
      <c r="F762" s="47" t="s">
        <v>819</v>
      </c>
      <c r="G762" s="25">
        <f t="shared" si="11"/>
        <v>-1.5705631590756663E-3</v>
      </c>
    </row>
    <row r="763" spans="1:7">
      <c r="A763" s="47">
        <v>91.34</v>
      </c>
      <c r="B763" s="47">
        <v>92.25</v>
      </c>
      <c r="C763" s="47">
        <v>89.81</v>
      </c>
      <c r="D763" s="47">
        <v>89.81</v>
      </c>
      <c r="E763" s="47">
        <v>520166</v>
      </c>
      <c r="F763" s="47" t="s">
        <v>818</v>
      </c>
      <c r="G763" s="25">
        <f t="shared" si="11"/>
        <v>1.7035964814608562E-2</v>
      </c>
    </row>
    <row r="764" spans="1:7">
      <c r="A764" s="47">
        <v>90.49</v>
      </c>
      <c r="B764" s="47">
        <v>92.9</v>
      </c>
      <c r="C764" s="47">
        <v>89.79</v>
      </c>
      <c r="D764" s="47">
        <v>89.79</v>
      </c>
      <c r="E764" s="47">
        <v>412603</v>
      </c>
      <c r="F764" s="47" t="s">
        <v>817</v>
      </c>
      <c r="G764" s="25">
        <f t="shared" si="11"/>
        <v>7.7959683706425587E-3</v>
      </c>
    </row>
    <row r="765" spans="1:7">
      <c r="A765" s="47">
        <v>90.87</v>
      </c>
      <c r="B765" s="47">
        <v>91.3</v>
      </c>
      <c r="C765" s="47">
        <v>89.4</v>
      </c>
      <c r="D765" s="47">
        <v>90.28</v>
      </c>
      <c r="E765" s="47">
        <v>220858</v>
      </c>
      <c r="F765" s="47" t="s">
        <v>816</v>
      </c>
      <c r="G765" s="25">
        <f t="shared" si="11"/>
        <v>6.5352237483384812E-3</v>
      </c>
    </row>
    <row r="766" spans="1:7">
      <c r="A766" s="47">
        <v>89.68</v>
      </c>
      <c r="B766" s="47">
        <v>91.99</v>
      </c>
      <c r="C766" s="47">
        <v>89.43</v>
      </c>
      <c r="D766" s="47">
        <v>90.99</v>
      </c>
      <c r="E766" s="47">
        <v>264896</v>
      </c>
      <c r="F766" s="47" t="s">
        <v>815</v>
      </c>
      <c r="G766" s="25">
        <f t="shared" si="11"/>
        <v>-1.4397186504011339E-2</v>
      </c>
    </row>
    <row r="767" spans="1:7">
      <c r="A767" s="47">
        <v>91.9</v>
      </c>
      <c r="B767" s="47">
        <v>93.93</v>
      </c>
      <c r="C767" s="47">
        <v>91.56</v>
      </c>
      <c r="D767" s="47">
        <v>93.61</v>
      </c>
      <c r="E767" s="47">
        <v>134396</v>
      </c>
      <c r="F767" s="47" t="s">
        <v>814</v>
      </c>
      <c r="G767" s="25">
        <f t="shared" si="11"/>
        <v>-1.8267279136844339E-2</v>
      </c>
    </row>
    <row r="768" spans="1:7">
      <c r="A768" s="47">
        <v>91.88</v>
      </c>
      <c r="B768" s="47">
        <v>94.415000000000006</v>
      </c>
      <c r="C768" s="47">
        <v>91.32</v>
      </c>
      <c r="D768" s="47">
        <v>92.91</v>
      </c>
      <c r="E768" s="47">
        <v>283968</v>
      </c>
      <c r="F768" s="47" t="s">
        <v>813</v>
      </c>
      <c r="G768" s="25">
        <f t="shared" si="11"/>
        <v>-1.1085997201592979E-2</v>
      </c>
    </row>
    <row r="769" spans="1:7">
      <c r="A769" s="47">
        <v>93.48</v>
      </c>
      <c r="B769" s="47">
        <v>93.59</v>
      </c>
      <c r="C769" s="47">
        <v>90.17</v>
      </c>
      <c r="D769" s="47">
        <v>90.86</v>
      </c>
      <c r="E769" s="47">
        <v>404347</v>
      </c>
      <c r="F769" s="47" t="s">
        <v>812</v>
      </c>
      <c r="G769" s="25">
        <f t="shared" si="11"/>
        <v>2.8835571208452704E-2</v>
      </c>
    </row>
    <row r="770" spans="1:7">
      <c r="A770" s="47">
        <v>91.17</v>
      </c>
      <c r="B770" s="47">
        <v>93.58</v>
      </c>
      <c r="C770" s="47">
        <v>89.75</v>
      </c>
      <c r="D770" s="47">
        <v>89.75</v>
      </c>
      <c r="E770" s="47">
        <v>312691</v>
      </c>
      <c r="F770" s="47" t="s">
        <v>811</v>
      </c>
      <c r="G770" s="25">
        <f t="shared" si="11"/>
        <v>1.5821727019498688E-2</v>
      </c>
    </row>
    <row r="771" spans="1:7">
      <c r="A771" s="47">
        <v>91.26</v>
      </c>
      <c r="B771" s="47">
        <v>95.29</v>
      </c>
      <c r="C771" s="47">
        <v>90.93</v>
      </c>
      <c r="D771" s="47">
        <v>92.26</v>
      </c>
      <c r="E771" s="47">
        <v>304071</v>
      </c>
      <c r="F771" s="47" t="s">
        <v>810</v>
      </c>
      <c r="G771" s="25">
        <f t="shared" si="11"/>
        <v>-1.0838933448948596E-2</v>
      </c>
    </row>
    <row r="772" spans="1:7">
      <c r="A772" s="47">
        <v>94.99</v>
      </c>
      <c r="B772" s="47">
        <v>96.49</v>
      </c>
      <c r="C772" s="47">
        <v>92.84</v>
      </c>
      <c r="D772" s="47">
        <v>95.12</v>
      </c>
      <c r="E772" s="47">
        <v>527140</v>
      </c>
      <c r="F772" s="47" t="s">
        <v>809</v>
      </c>
      <c r="G772" s="25">
        <f t="shared" si="11"/>
        <v>-1.3666947014299158E-3</v>
      </c>
    </row>
    <row r="773" spans="1:7">
      <c r="A773" s="47">
        <v>92.79</v>
      </c>
      <c r="B773" s="47">
        <v>93.28</v>
      </c>
      <c r="C773" s="47">
        <v>86.81</v>
      </c>
      <c r="D773" s="47">
        <v>87.48</v>
      </c>
      <c r="E773" s="47">
        <v>666197</v>
      </c>
      <c r="F773" s="47" t="s">
        <v>808</v>
      </c>
      <c r="G773" s="25">
        <f t="shared" si="11"/>
        <v>6.0699588477366229E-2</v>
      </c>
    </row>
    <row r="774" spans="1:7">
      <c r="A774" s="47">
        <v>86.53</v>
      </c>
      <c r="B774" s="47">
        <v>87.45</v>
      </c>
      <c r="C774" s="47">
        <v>86.26</v>
      </c>
      <c r="D774" s="47">
        <v>86.95</v>
      </c>
      <c r="E774" s="47">
        <v>404026</v>
      </c>
      <c r="F774" s="47" t="s">
        <v>807</v>
      </c>
      <c r="G774" s="25">
        <f t="shared" si="11"/>
        <v>-4.8303622771708188E-3</v>
      </c>
    </row>
    <row r="775" spans="1:7">
      <c r="A775" s="47">
        <v>86.74</v>
      </c>
      <c r="B775" s="47">
        <v>88.7</v>
      </c>
      <c r="C775" s="47">
        <v>85.84</v>
      </c>
      <c r="D775" s="47">
        <v>87.5</v>
      </c>
      <c r="E775" s="47">
        <v>287528</v>
      </c>
      <c r="F775" s="47" t="s">
        <v>806</v>
      </c>
      <c r="G775" s="25">
        <f t="shared" si="11"/>
        <v>-8.6857142857142966E-3</v>
      </c>
    </row>
    <row r="776" spans="1:7">
      <c r="A776" s="47">
        <v>88.6</v>
      </c>
      <c r="B776" s="47">
        <v>90</v>
      </c>
      <c r="C776" s="47">
        <v>88.19</v>
      </c>
      <c r="D776" s="47">
        <v>88.67</v>
      </c>
      <c r="E776" s="47">
        <v>327883</v>
      </c>
      <c r="F776" s="47" t="s">
        <v>805</v>
      </c>
      <c r="G776" s="25">
        <f t="shared" si="11"/>
        <v>-7.894440058645591E-4</v>
      </c>
    </row>
    <row r="777" spans="1:7">
      <c r="A777" s="47">
        <v>89.26</v>
      </c>
      <c r="B777" s="47">
        <v>93.67</v>
      </c>
      <c r="C777" s="47">
        <v>88</v>
      </c>
      <c r="D777" s="47">
        <v>92.02</v>
      </c>
      <c r="E777" s="47">
        <v>441693</v>
      </c>
      <c r="F777" s="47" t="s">
        <v>804</v>
      </c>
      <c r="G777" s="25">
        <f t="shared" si="11"/>
        <v>-2.9993479678330659E-2</v>
      </c>
    </row>
    <row r="778" spans="1:7">
      <c r="A778" s="47">
        <v>90.58</v>
      </c>
      <c r="B778" s="47">
        <v>91.415000000000006</v>
      </c>
      <c r="C778" s="47">
        <v>84.66</v>
      </c>
      <c r="D778" s="47">
        <v>87.94</v>
      </c>
      <c r="E778" s="47">
        <v>524482</v>
      </c>
      <c r="F778" s="47" t="s">
        <v>803</v>
      </c>
      <c r="G778" s="25">
        <f t="shared" si="11"/>
        <v>3.0020468501250841E-2</v>
      </c>
    </row>
    <row r="779" spans="1:7">
      <c r="A779" s="47">
        <v>90.46</v>
      </c>
      <c r="B779" s="47">
        <v>93.36</v>
      </c>
      <c r="C779" s="47">
        <v>90.44</v>
      </c>
      <c r="D779" s="47">
        <v>92.38</v>
      </c>
      <c r="E779" s="47">
        <v>181839</v>
      </c>
      <c r="F779" s="47" t="s">
        <v>802</v>
      </c>
      <c r="G779" s="25">
        <f t="shared" si="11"/>
        <v>-2.0783719419787849E-2</v>
      </c>
    </row>
    <row r="780" spans="1:7">
      <c r="A780" s="47">
        <v>92.57</v>
      </c>
      <c r="B780" s="47">
        <v>92.62</v>
      </c>
      <c r="C780" s="47">
        <v>87.87</v>
      </c>
      <c r="D780" s="47">
        <v>87.94</v>
      </c>
      <c r="E780" s="47">
        <v>398276</v>
      </c>
      <c r="F780" s="47" t="s">
        <v>801</v>
      </c>
      <c r="G780" s="25">
        <f t="shared" si="11"/>
        <v>5.2649533773027057E-2</v>
      </c>
    </row>
    <row r="781" spans="1:7">
      <c r="A781" s="47">
        <v>87.89</v>
      </c>
      <c r="B781" s="47">
        <v>89.31</v>
      </c>
      <c r="C781" s="47">
        <v>86.08</v>
      </c>
      <c r="D781" s="47">
        <v>87.32</v>
      </c>
      <c r="E781" s="47">
        <v>421802</v>
      </c>
      <c r="F781" s="47" t="s">
        <v>800</v>
      </c>
      <c r="G781" s="25">
        <f t="shared" si="11"/>
        <v>6.5277141548327755E-3</v>
      </c>
    </row>
    <row r="782" spans="1:7">
      <c r="A782" s="47">
        <v>86.47</v>
      </c>
      <c r="B782" s="47">
        <v>87.52</v>
      </c>
      <c r="C782" s="47">
        <v>84.33</v>
      </c>
      <c r="D782" s="47">
        <v>86.49</v>
      </c>
      <c r="E782" s="47">
        <v>356564</v>
      </c>
      <c r="F782" s="47" t="s">
        <v>799</v>
      </c>
      <c r="G782" s="25">
        <f t="shared" si="11"/>
        <v>-2.3124060585033579E-4</v>
      </c>
    </row>
    <row r="783" spans="1:7">
      <c r="A783" s="47">
        <v>87.13</v>
      </c>
      <c r="B783" s="47">
        <v>89.96</v>
      </c>
      <c r="C783" s="47">
        <v>86.944999999999993</v>
      </c>
      <c r="D783" s="47">
        <v>88.78</v>
      </c>
      <c r="E783" s="47">
        <v>289047</v>
      </c>
      <c r="F783" s="47" t="s">
        <v>798</v>
      </c>
      <c r="G783" s="25">
        <f t="shared" si="11"/>
        <v>-1.8585266952016233E-2</v>
      </c>
    </row>
    <row r="784" spans="1:7">
      <c r="A784" s="47">
        <v>87.83</v>
      </c>
      <c r="B784" s="47">
        <v>89.45</v>
      </c>
      <c r="C784" s="47">
        <v>87.31</v>
      </c>
      <c r="D784" s="47">
        <v>89.09</v>
      </c>
      <c r="E784" s="47">
        <v>338546</v>
      </c>
      <c r="F784" s="47" t="s">
        <v>797</v>
      </c>
      <c r="G784" s="25">
        <f t="shared" si="11"/>
        <v>-1.4143001459198667E-2</v>
      </c>
    </row>
    <row r="785" spans="1:7">
      <c r="A785" s="47">
        <v>89.58</v>
      </c>
      <c r="B785" s="47">
        <v>90.55</v>
      </c>
      <c r="C785" s="47">
        <v>87.45</v>
      </c>
      <c r="D785" s="47">
        <v>87.79</v>
      </c>
      <c r="E785" s="47">
        <v>296807</v>
      </c>
      <c r="F785" s="47" t="s">
        <v>796</v>
      </c>
      <c r="G785" s="25">
        <f t="shared" si="11"/>
        <v>2.0389566009795912E-2</v>
      </c>
    </row>
    <row r="786" spans="1:7">
      <c r="A786" s="47">
        <v>89.41</v>
      </c>
      <c r="B786" s="47">
        <v>89.61</v>
      </c>
      <c r="C786" s="47">
        <v>85.71</v>
      </c>
      <c r="D786" s="47">
        <v>88.4</v>
      </c>
      <c r="E786" s="47">
        <v>247901</v>
      </c>
      <c r="F786" s="47" t="s">
        <v>795</v>
      </c>
      <c r="G786" s="25">
        <f t="shared" si="11"/>
        <v>1.1425339366515797E-2</v>
      </c>
    </row>
    <row r="787" spans="1:7">
      <c r="A787" s="47">
        <v>87.98</v>
      </c>
      <c r="B787" s="47">
        <v>87.99</v>
      </c>
      <c r="C787" s="47">
        <v>85.960999999999999</v>
      </c>
      <c r="D787" s="47">
        <v>86.72</v>
      </c>
      <c r="E787" s="47">
        <v>457990</v>
      </c>
      <c r="F787" s="47" t="s">
        <v>794</v>
      </c>
      <c r="G787" s="25">
        <f t="shared" si="11"/>
        <v>1.4529520295202936E-2</v>
      </c>
    </row>
    <row r="788" spans="1:7">
      <c r="A788" s="47">
        <v>86.17</v>
      </c>
      <c r="B788" s="47">
        <v>86.53</v>
      </c>
      <c r="C788" s="47">
        <v>84.12</v>
      </c>
      <c r="D788" s="47">
        <v>86.12</v>
      </c>
      <c r="E788" s="47">
        <v>255694</v>
      </c>
      <c r="F788" s="47" t="s">
        <v>793</v>
      </c>
      <c r="G788" s="25">
        <f t="shared" si="11"/>
        <v>5.8058522991166761E-4</v>
      </c>
    </row>
    <row r="789" spans="1:7">
      <c r="A789" s="47">
        <v>86.91</v>
      </c>
      <c r="B789" s="47">
        <v>89.003900000000002</v>
      </c>
      <c r="C789" s="47">
        <v>81.760000000000005</v>
      </c>
      <c r="D789" s="47">
        <v>83.44</v>
      </c>
      <c r="E789" s="47">
        <v>479641</v>
      </c>
      <c r="F789" s="47" t="s">
        <v>792</v>
      </c>
      <c r="G789" s="25">
        <f t="shared" si="11"/>
        <v>4.1586768935762297E-2</v>
      </c>
    </row>
    <row r="790" spans="1:7">
      <c r="A790" s="47">
        <v>82.1</v>
      </c>
      <c r="B790" s="47">
        <v>82.76</v>
      </c>
      <c r="C790" s="47">
        <v>79.415000000000006</v>
      </c>
      <c r="D790" s="47">
        <v>82.69</v>
      </c>
      <c r="E790" s="47">
        <v>363829</v>
      </c>
      <c r="F790" s="47" t="s">
        <v>791</v>
      </c>
      <c r="G790" s="25">
        <f t="shared" si="11"/>
        <v>-7.1350828395211341E-3</v>
      </c>
    </row>
    <row r="791" spans="1:7">
      <c r="A791" s="47">
        <v>81.599999999999994</v>
      </c>
      <c r="B791" s="47">
        <v>82.29</v>
      </c>
      <c r="C791" s="47">
        <v>79.2</v>
      </c>
      <c r="D791" s="47">
        <v>80.36</v>
      </c>
      <c r="E791" s="47">
        <v>289443</v>
      </c>
      <c r="F791" s="47" t="s">
        <v>790</v>
      </c>
      <c r="G791" s="25">
        <f t="shared" si="11"/>
        <v>1.5430562468889963E-2</v>
      </c>
    </row>
    <row r="792" spans="1:7">
      <c r="A792" s="47">
        <v>81.17</v>
      </c>
      <c r="B792" s="47">
        <v>84.03</v>
      </c>
      <c r="C792" s="47">
        <v>81.13</v>
      </c>
      <c r="D792" s="47">
        <v>84.03</v>
      </c>
      <c r="E792" s="47">
        <v>602734</v>
      </c>
      <c r="F792" s="47" t="s">
        <v>789</v>
      </c>
      <c r="G792" s="25">
        <f t="shared" si="11"/>
        <v>-3.4035463524931586E-2</v>
      </c>
    </row>
    <row r="793" spans="1:7">
      <c r="A793" s="47">
        <v>82.48</v>
      </c>
      <c r="B793" s="47">
        <v>86.36</v>
      </c>
      <c r="C793" s="47">
        <v>80.97</v>
      </c>
      <c r="D793" s="47">
        <v>85</v>
      </c>
      <c r="E793" s="47">
        <v>289611</v>
      </c>
      <c r="F793" s="47" t="s">
        <v>788</v>
      </c>
      <c r="G793" s="25">
        <f t="shared" si="11"/>
        <v>-2.964705882352936E-2</v>
      </c>
    </row>
    <row r="794" spans="1:7">
      <c r="A794" s="47">
        <v>83.97</v>
      </c>
      <c r="B794" s="47">
        <v>84.4</v>
      </c>
      <c r="C794" s="47">
        <v>82.014399999999995</v>
      </c>
      <c r="D794" s="47">
        <v>82.06</v>
      </c>
      <c r="E794" s="47">
        <v>218111</v>
      </c>
      <c r="F794" s="47" t="s">
        <v>787</v>
      </c>
      <c r="G794" s="25">
        <f t="shared" si="11"/>
        <v>2.3275651961979005E-2</v>
      </c>
    </row>
    <row r="795" spans="1:7">
      <c r="A795" s="47">
        <v>83.72</v>
      </c>
      <c r="B795" s="47">
        <v>84.53</v>
      </c>
      <c r="C795" s="47">
        <v>82.35</v>
      </c>
      <c r="D795" s="47">
        <v>82.84</v>
      </c>
      <c r="E795" s="47">
        <v>278420</v>
      </c>
      <c r="F795" s="47" t="s">
        <v>786</v>
      </c>
      <c r="G795" s="25">
        <f t="shared" si="11"/>
        <v>1.0622887493964228E-2</v>
      </c>
    </row>
    <row r="796" spans="1:7">
      <c r="A796" s="47">
        <v>81.38</v>
      </c>
      <c r="B796" s="47">
        <v>83.21</v>
      </c>
      <c r="C796" s="47">
        <v>80.709999999999994</v>
      </c>
      <c r="D796" s="47">
        <v>82.37</v>
      </c>
      <c r="E796" s="47">
        <v>192399</v>
      </c>
      <c r="F796" s="47" t="s">
        <v>785</v>
      </c>
      <c r="G796" s="25">
        <f t="shared" si="11"/>
        <v>-1.2018938934078016E-2</v>
      </c>
    </row>
    <row r="797" spans="1:7">
      <c r="A797" s="47">
        <v>82.55</v>
      </c>
      <c r="B797" s="47">
        <v>84.34</v>
      </c>
      <c r="C797" s="47">
        <v>81.180000000000007</v>
      </c>
      <c r="D797" s="47">
        <v>82.95</v>
      </c>
      <c r="E797" s="47">
        <v>193197</v>
      </c>
      <c r="F797" s="47" t="s">
        <v>784</v>
      </c>
      <c r="G797" s="25">
        <f t="shared" si="11"/>
        <v>-4.8221820373719471E-3</v>
      </c>
    </row>
    <row r="798" spans="1:7">
      <c r="A798" s="47">
        <v>83.71</v>
      </c>
      <c r="B798" s="47">
        <v>83.78</v>
      </c>
      <c r="C798" s="47">
        <v>81.430000000000007</v>
      </c>
      <c r="D798" s="47">
        <v>82.81</v>
      </c>
      <c r="E798" s="47">
        <v>146140</v>
      </c>
      <c r="F798" s="47" t="s">
        <v>783</v>
      </c>
      <c r="G798" s="25">
        <f t="shared" si="11"/>
        <v>1.0868252626494268E-2</v>
      </c>
    </row>
    <row r="799" spans="1:7">
      <c r="A799" s="47">
        <v>83.7</v>
      </c>
      <c r="B799" s="47">
        <v>83.88</v>
      </c>
      <c r="C799" s="47">
        <v>81.080100000000002</v>
      </c>
      <c r="D799" s="47">
        <v>82.63</v>
      </c>
      <c r="E799" s="47">
        <v>198059</v>
      </c>
      <c r="F799" s="47" t="s">
        <v>782</v>
      </c>
      <c r="G799" s="25">
        <f t="shared" si="11"/>
        <v>1.294929202468853E-2</v>
      </c>
    </row>
    <row r="800" spans="1:7">
      <c r="A800" s="47">
        <v>84.16</v>
      </c>
      <c r="B800" s="47">
        <v>84.85</v>
      </c>
      <c r="C800" s="47">
        <v>81.73</v>
      </c>
      <c r="D800" s="47">
        <v>83.8</v>
      </c>
      <c r="E800" s="47">
        <v>197708</v>
      </c>
      <c r="F800" s="47" t="s">
        <v>781</v>
      </c>
      <c r="G800" s="25">
        <f t="shared" si="11"/>
        <v>4.2959427207636125E-3</v>
      </c>
    </row>
    <row r="801" spans="1:7">
      <c r="A801" s="47">
        <v>83.37</v>
      </c>
      <c r="B801" s="47">
        <v>84.07</v>
      </c>
      <c r="C801" s="47">
        <v>80.290000000000006</v>
      </c>
      <c r="D801" s="47">
        <v>80.78</v>
      </c>
      <c r="E801" s="47">
        <v>346911</v>
      </c>
      <c r="F801" s="47" t="s">
        <v>780</v>
      </c>
      <c r="G801" s="25">
        <f t="shared" si="11"/>
        <v>3.2062391681109137E-2</v>
      </c>
    </row>
    <row r="802" spans="1:7">
      <c r="A802" s="47">
        <v>81.180000000000007</v>
      </c>
      <c r="B802" s="47">
        <v>83.22</v>
      </c>
      <c r="C802" s="47">
        <v>80.41</v>
      </c>
      <c r="D802" s="47">
        <v>82.94</v>
      </c>
      <c r="E802" s="47">
        <v>277257</v>
      </c>
      <c r="F802" s="47" t="s">
        <v>779</v>
      </c>
      <c r="G802" s="25">
        <f t="shared" si="11"/>
        <v>-2.1220159151193574E-2</v>
      </c>
    </row>
    <row r="803" spans="1:7">
      <c r="A803" s="47">
        <v>83.34</v>
      </c>
      <c r="B803" s="47">
        <v>83.41</v>
      </c>
      <c r="C803" s="47">
        <v>81.06</v>
      </c>
      <c r="D803" s="47">
        <v>81.25</v>
      </c>
      <c r="E803" s="47">
        <v>681405</v>
      </c>
      <c r="F803" s="47" t="s">
        <v>778</v>
      </c>
      <c r="G803" s="25">
        <f t="shared" si="11"/>
        <v>2.572307692307696E-2</v>
      </c>
    </row>
    <row r="804" spans="1:7">
      <c r="A804" s="47">
        <v>81.81</v>
      </c>
      <c r="B804" s="47">
        <v>82.85</v>
      </c>
      <c r="C804" s="47">
        <v>79.17</v>
      </c>
      <c r="D804" s="47">
        <v>81.96</v>
      </c>
      <c r="E804" s="47">
        <v>391513</v>
      </c>
      <c r="F804" s="47" t="s">
        <v>777</v>
      </c>
      <c r="G804" s="25">
        <f t="shared" si="11"/>
        <v>-1.8301610541726632E-3</v>
      </c>
    </row>
    <row r="805" spans="1:7">
      <c r="A805" s="47">
        <v>83.97</v>
      </c>
      <c r="B805" s="47">
        <v>86.84</v>
      </c>
      <c r="C805" s="47">
        <v>83.06</v>
      </c>
      <c r="D805" s="47">
        <v>85.39</v>
      </c>
      <c r="E805" s="47">
        <v>499965</v>
      </c>
      <c r="F805" s="47" t="s">
        <v>776</v>
      </c>
      <c r="G805" s="25">
        <f t="shared" si="11"/>
        <v>-1.6629581918257474E-2</v>
      </c>
    </row>
    <row r="806" spans="1:7">
      <c r="A806" s="47">
        <v>85.47</v>
      </c>
      <c r="B806" s="47">
        <v>91.84</v>
      </c>
      <c r="C806" s="47">
        <v>84.07</v>
      </c>
      <c r="D806" s="47">
        <v>88.51</v>
      </c>
      <c r="E806" s="47">
        <v>519757</v>
      </c>
      <c r="F806" s="47" t="s">
        <v>775</v>
      </c>
      <c r="G806" s="25">
        <f t="shared" si="11"/>
        <v>-3.4346401536549664E-2</v>
      </c>
    </row>
    <row r="807" spans="1:7">
      <c r="A807" s="47">
        <v>84.58</v>
      </c>
      <c r="B807" s="47">
        <v>85.28</v>
      </c>
      <c r="C807" s="47">
        <v>77.81</v>
      </c>
      <c r="D807" s="47">
        <v>78.3</v>
      </c>
      <c r="E807" s="47">
        <v>579998</v>
      </c>
      <c r="F807" s="47" t="s">
        <v>774</v>
      </c>
      <c r="G807" s="25">
        <f t="shared" si="11"/>
        <v>8.020434227330786E-2</v>
      </c>
    </row>
    <row r="808" spans="1:7">
      <c r="A808" s="47">
        <v>78.19</v>
      </c>
      <c r="B808" s="47">
        <v>81.209999999999994</v>
      </c>
      <c r="C808" s="47">
        <v>78.13</v>
      </c>
      <c r="D808" s="47">
        <v>79.92</v>
      </c>
      <c r="E808" s="47">
        <v>183536</v>
      </c>
      <c r="F808" s="47" t="s">
        <v>773</v>
      </c>
      <c r="G808" s="25">
        <f t="shared" si="11"/>
        <v>-2.1646646646646728E-2</v>
      </c>
    </row>
    <row r="809" spans="1:7">
      <c r="A809" s="47">
        <v>80.239999999999995</v>
      </c>
      <c r="B809" s="47">
        <v>82.09</v>
      </c>
      <c r="C809" s="47">
        <v>76.72</v>
      </c>
      <c r="D809" s="47">
        <v>78.38</v>
      </c>
      <c r="E809" s="47">
        <v>277165</v>
      </c>
      <c r="F809" s="47" t="s">
        <v>772</v>
      </c>
      <c r="G809" s="25">
        <f t="shared" si="11"/>
        <v>2.373054350599646E-2</v>
      </c>
    </row>
    <row r="810" spans="1:7">
      <c r="A810" s="47">
        <v>77.84</v>
      </c>
      <c r="B810" s="47">
        <v>79.13</v>
      </c>
      <c r="C810" s="47">
        <v>76.790000000000006</v>
      </c>
      <c r="D810" s="47">
        <v>77.66</v>
      </c>
      <c r="E810" s="47">
        <v>199901</v>
      </c>
      <c r="F810" s="47" t="s">
        <v>771</v>
      </c>
      <c r="G810" s="25">
        <f t="shared" si="11"/>
        <v>2.3177955189288557E-3</v>
      </c>
    </row>
    <row r="811" spans="1:7">
      <c r="A811" s="47">
        <v>77.62</v>
      </c>
      <c r="B811" s="47">
        <v>83.03</v>
      </c>
      <c r="C811" s="47">
        <v>77.44</v>
      </c>
      <c r="D811" s="47">
        <v>82.25</v>
      </c>
      <c r="E811" s="47">
        <v>220328</v>
      </c>
      <c r="F811" s="47" t="s">
        <v>770</v>
      </c>
      <c r="G811" s="25">
        <f t="shared" si="11"/>
        <v>-5.6291793313069882E-2</v>
      </c>
    </row>
    <row r="812" spans="1:7">
      <c r="A812" s="47">
        <v>81.97</v>
      </c>
      <c r="B812" s="47">
        <v>83.33</v>
      </c>
      <c r="C812" s="47">
        <v>80.349999999999994</v>
      </c>
      <c r="D812" s="47">
        <v>83.31</v>
      </c>
      <c r="E812" s="47">
        <v>343229</v>
      </c>
      <c r="F812" s="47" t="s">
        <v>769</v>
      </c>
      <c r="G812" s="25">
        <f t="shared" si="11"/>
        <v>-1.6084503661025096E-2</v>
      </c>
    </row>
    <row r="813" spans="1:7">
      <c r="A813" s="47">
        <v>84.1</v>
      </c>
      <c r="B813" s="47">
        <v>84.74</v>
      </c>
      <c r="C813" s="47">
        <v>81.819999999999993</v>
      </c>
      <c r="D813" s="47">
        <v>82.44</v>
      </c>
      <c r="E813" s="47">
        <v>255802</v>
      </c>
      <c r="F813" s="47" t="s">
        <v>768</v>
      </c>
      <c r="G813" s="25">
        <f t="shared" si="11"/>
        <v>2.0135856380397721E-2</v>
      </c>
    </row>
    <row r="814" spans="1:7">
      <c r="A814" s="47">
        <v>84.33</v>
      </c>
      <c r="B814" s="47">
        <v>84.5</v>
      </c>
      <c r="C814" s="47">
        <v>79.78</v>
      </c>
      <c r="D814" s="47">
        <v>79.78</v>
      </c>
      <c r="E814" s="47">
        <v>460082</v>
      </c>
      <c r="F814" s="47" t="s">
        <v>767</v>
      </c>
      <c r="G814" s="25">
        <f t="shared" si="11"/>
        <v>5.7031837553271458E-2</v>
      </c>
    </row>
    <row r="815" spans="1:7">
      <c r="A815" s="47">
        <v>80.56</v>
      </c>
      <c r="B815" s="47">
        <v>80.739999999999995</v>
      </c>
      <c r="C815" s="47">
        <v>75.540000000000006</v>
      </c>
      <c r="D815" s="47">
        <v>75.540000000000006</v>
      </c>
      <c r="E815" s="47">
        <v>331868</v>
      </c>
      <c r="F815" s="47" t="s">
        <v>766</v>
      </c>
      <c r="G815" s="25">
        <f t="shared" si="11"/>
        <v>6.6454858353190316E-2</v>
      </c>
    </row>
    <row r="816" spans="1:7">
      <c r="A816" s="47">
        <v>75.7</v>
      </c>
      <c r="B816" s="47">
        <v>77.39</v>
      </c>
      <c r="C816" s="47">
        <v>74.465000000000003</v>
      </c>
      <c r="D816" s="47">
        <v>76.930000000000007</v>
      </c>
      <c r="E816" s="47">
        <v>250618</v>
      </c>
      <c r="F816" s="47" t="s">
        <v>765</v>
      </c>
      <c r="G816" s="25">
        <f t="shared" si="11"/>
        <v>-1.5988561029507409E-2</v>
      </c>
    </row>
    <row r="817" spans="1:7">
      <c r="A817" s="47">
        <v>76.83</v>
      </c>
      <c r="B817" s="47">
        <v>78.150000000000006</v>
      </c>
      <c r="C817" s="47">
        <v>76.510000000000005</v>
      </c>
      <c r="D817" s="47">
        <v>76.510000000000005</v>
      </c>
      <c r="E817" s="47">
        <v>295750</v>
      </c>
      <c r="F817" s="47" t="s">
        <v>764</v>
      </c>
      <c r="G817" s="25">
        <f t="shared" si="11"/>
        <v>4.1824598091750875E-3</v>
      </c>
    </row>
    <row r="818" spans="1:7">
      <c r="A818" s="47">
        <v>77.510000000000005</v>
      </c>
      <c r="B818" s="47">
        <v>78.2</v>
      </c>
      <c r="C818" s="47">
        <v>76.62</v>
      </c>
      <c r="D818" s="47">
        <v>77.12</v>
      </c>
      <c r="E818" s="47">
        <v>81732</v>
      </c>
      <c r="F818" s="47" t="s">
        <v>763</v>
      </c>
      <c r="G818" s="25">
        <f t="shared" si="11"/>
        <v>5.0570539419088067E-3</v>
      </c>
    </row>
    <row r="819" spans="1:7">
      <c r="A819" s="47">
        <v>77.23</v>
      </c>
      <c r="B819" s="47">
        <v>78.260000000000005</v>
      </c>
      <c r="C819" s="47">
        <v>74.39</v>
      </c>
      <c r="D819" s="47">
        <v>74.83</v>
      </c>
      <c r="E819" s="47">
        <v>217089</v>
      </c>
      <c r="F819" s="47" t="s">
        <v>762</v>
      </c>
      <c r="G819" s="25">
        <f t="shared" si="11"/>
        <v>3.2072698115729104E-2</v>
      </c>
    </row>
    <row r="820" spans="1:7">
      <c r="A820" s="47">
        <v>74.599999999999994</v>
      </c>
      <c r="B820" s="47">
        <v>74.709999999999994</v>
      </c>
      <c r="C820" s="47">
        <v>72.650000000000006</v>
      </c>
      <c r="D820" s="47">
        <v>74.45</v>
      </c>
      <c r="E820" s="47">
        <v>266077</v>
      </c>
      <c r="F820" s="47" t="s">
        <v>761</v>
      </c>
      <c r="G820" s="25">
        <f t="shared" si="11"/>
        <v>2.0147750167895939E-3</v>
      </c>
    </row>
    <row r="821" spans="1:7">
      <c r="A821" s="47">
        <v>74.290000000000006</v>
      </c>
      <c r="B821" s="47">
        <v>75.319999999999993</v>
      </c>
      <c r="C821" s="47">
        <v>73.099999999999994</v>
      </c>
      <c r="D821" s="47">
        <v>73.23</v>
      </c>
      <c r="E821" s="47">
        <v>166796</v>
      </c>
      <c r="F821" s="47" t="s">
        <v>760</v>
      </c>
      <c r="G821" s="25">
        <f t="shared" si="11"/>
        <v>1.4474941963676047E-2</v>
      </c>
    </row>
    <row r="822" spans="1:7">
      <c r="A822" s="47">
        <v>74.48</v>
      </c>
      <c r="B822" s="47">
        <v>75.930000000000007</v>
      </c>
      <c r="C822" s="47">
        <v>73.72</v>
      </c>
      <c r="D822" s="47">
        <v>75.930000000000007</v>
      </c>
      <c r="E822" s="47">
        <v>210803</v>
      </c>
      <c r="F822" s="47" t="s">
        <v>759</v>
      </c>
      <c r="G822" s="25">
        <f t="shared" si="11"/>
        <v>-1.9096536283419008E-2</v>
      </c>
    </row>
    <row r="823" spans="1:7">
      <c r="A823" s="47">
        <v>73.98</v>
      </c>
      <c r="B823" s="47">
        <v>76.27</v>
      </c>
      <c r="C823" s="47">
        <v>73.34</v>
      </c>
      <c r="D823" s="47">
        <v>75.319999999999993</v>
      </c>
      <c r="E823" s="47">
        <v>271860</v>
      </c>
      <c r="F823" s="47" t="s">
        <v>758</v>
      </c>
      <c r="G823" s="25">
        <f t="shared" ref="G823:G886" si="12">A823/D823-1</f>
        <v>-1.7790759426447034E-2</v>
      </c>
    </row>
    <row r="824" spans="1:7">
      <c r="A824" s="47">
        <v>76.98</v>
      </c>
      <c r="B824" s="47">
        <v>78.91</v>
      </c>
      <c r="C824" s="47">
        <v>75.59</v>
      </c>
      <c r="D824" s="47">
        <v>78.91</v>
      </c>
      <c r="E824" s="47">
        <v>321121</v>
      </c>
      <c r="F824" s="47" t="s">
        <v>757</v>
      </c>
      <c r="G824" s="25">
        <f t="shared" si="12"/>
        <v>-2.4458243568622362E-2</v>
      </c>
    </row>
    <row r="825" spans="1:7">
      <c r="A825" s="47">
        <v>80.38</v>
      </c>
      <c r="B825" s="47">
        <v>81.61</v>
      </c>
      <c r="C825" s="47">
        <v>77.489999999999995</v>
      </c>
      <c r="D825" s="47">
        <v>79.39</v>
      </c>
      <c r="E825" s="47">
        <v>372527</v>
      </c>
      <c r="F825" s="47" t="s">
        <v>756</v>
      </c>
      <c r="G825" s="25">
        <f t="shared" si="12"/>
        <v>1.2470084393500391E-2</v>
      </c>
    </row>
    <row r="826" spans="1:7">
      <c r="A826" s="47">
        <v>76.66</v>
      </c>
      <c r="B826" s="47">
        <v>77.2</v>
      </c>
      <c r="C826" s="47">
        <v>74.08</v>
      </c>
      <c r="D826" s="47">
        <v>76.900000000000006</v>
      </c>
      <c r="E826" s="47">
        <v>238700</v>
      </c>
      <c r="F826" s="47" t="s">
        <v>755</v>
      </c>
      <c r="G826" s="25">
        <f t="shared" si="12"/>
        <v>-3.1209362808843899E-3</v>
      </c>
    </row>
    <row r="827" spans="1:7">
      <c r="A827" s="47">
        <v>77.98</v>
      </c>
      <c r="B827" s="47">
        <v>79.144999999999996</v>
      </c>
      <c r="C827" s="47">
        <v>74.180000000000007</v>
      </c>
      <c r="D827" s="47">
        <v>74.180000000000007</v>
      </c>
      <c r="E827" s="47">
        <v>435690</v>
      </c>
      <c r="F827" s="47" t="s">
        <v>754</v>
      </c>
      <c r="G827" s="25">
        <f t="shared" si="12"/>
        <v>5.1226745753572445E-2</v>
      </c>
    </row>
    <row r="828" spans="1:7">
      <c r="A828" s="47">
        <v>74.650000000000006</v>
      </c>
      <c r="B828" s="47">
        <v>75.7</v>
      </c>
      <c r="C828" s="47">
        <v>72</v>
      </c>
      <c r="D828" s="47">
        <v>72</v>
      </c>
      <c r="E828" s="47">
        <v>494174</v>
      </c>
      <c r="F828" s="47" t="s">
        <v>753</v>
      </c>
      <c r="G828" s="25">
        <f t="shared" si="12"/>
        <v>3.6805555555555536E-2</v>
      </c>
    </row>
    <row r="829" spans="1:7">
      <c r="A829" s="47">
        <v>66.98</v>
      </c>
      <c r="B829" s="47">
        <v>67.930000000000007</v>
      </c>
      <c r="C829" s="47">
        <v>66.08</v>
      </c>
      <c r="D829" s="47">
        <v>67.44</v>
      </c>
      <c r="E829" s="47">
        <v>294346</v>
      </c>
      <c r="F829" s="47" t="s">
        <v>752</v>
      </c>
      <c r="G829" s="25">
        <f t="shared" si="12"/>
        <v>-6.8208778173189932E-3</v>
      </c>
    </row>
    <row r="830" spans="1:7">
      <c r="A830" s="47">
        <v>68.38</v>
      </c>
      <c r="B830" s="47">
        <v>70.77</v>
      </c>
      <c r="C830" s="47">
        <v>66.569999999999993</v>
      </c>
      <c r="D830" s="47">
        <v>69.099999999999994</v>
      </c>
      <c r="E830" s="47">
        <v>208075</v>
      </c>
      <c r="F830" s="47" t="s">
        <v>751</v>
      </c>
      <c r="G830" s="25">
        <f t="shared" si="12"/>
        <v>-1.0419681620839394E-2</v>
      </c>
    </row>
    <row r="831" spans="1:7">
      <c r="A831" s="47">
        <v>68.59</v>
      </c>
      <c r="B831" s="47">
        <v>68.784999999999997</v>
      </c>
      <c r="C831" s="47">
        <v>66.16</v>
      </c>
      <c r="D831" s="47">
        <v>68.33</v>
      </c>
      <c r="E831" s="47">
        <v>270726</v>
      </c>
      <c r="F831" s="47" t="s">
        <v>750</v>
      </c>
      <c r="G831" s="25">
        <f t="shared" si="12"/>
        <v>3.8050636616420164E-3</v>
      </c>
    </row>
    <row r="832" spans="1:7">
      <c r="A832" s="47">
        <v>68.06</v>
      </c>
      <c r="B832" s="47">
        <v>71.510000000000005</v>
      </c>
      <c r="C832" s="47">
        <v>66.11</v>
      </c>
      <c r="D832" s="47">
        <v>71.489999999999995</v>
      </c>
      <c r="E832" s="47">
        <v>490062</v>
      </c>
      <c r="F832" s="47" t="s">
        <v>749</v>
      </c>
      <c r="G832" s="25">
        <f t="shared" si="12"/>
        <v>-4.7978738285074707E-2</v>
      </c>
    </row>
    <row r="833" spans="1:7">
      <c r="A833" s="47">
        <v>69.31</v>
      </c>
      <c r="B833" s="47">
        <v>70.099999999999994</v>
      </c>
      <c r="C833" s="47">
        <v>62.58</v>
      </c>
      <c r="D833" s="47">
        <v>65.2</v>
      </c>
      <c r="E833" s="47">
        <v>736484</v>
      </c>
      <c r="F833" s="47" t="s">
        <v>748</v>
      </c>
      <c r="G833" s="25">
        <f t="shared" si="12"/>
        <v>6.3036809815950834E-2</v>
      </c>
    </row>
    <row r="834" spans="1:7">
      <c r="A834" s="47">
        <v>67.81</v>
      </c>
      <c r="B834" s="47">
        <v>74.25</v>
      </c>
      <c r="C834" s="47">
        <v>67.37</v>
      </c>
      <c r="D834" s="47">
        <v>74.25</v>
      </c>
      <c r="E834" s="47">
        <v>619250</v>
      </c>
      <c r="F834" s="47" t="s">
        <v>747</v>
      </c>
      <c r="G834" s="25">
        <f t="shared" si="12"/>
        <v>-8.6734006734006663E-2</v>
      </c>
    </row>
    <row r="835" spans="1:7">
      <c r="A835" s="47">
        <v>74.44</v>
      </c>
      <c r="B835" s="47">
        <v>79.62</v>
      </c>
      <c r="C835" s="47">
        <v>74.44</v>
      </c>
      <c r="D835" s="47">
        <v>79.62</v>
      </c>
      <c r="E835" s="47">
        <v>281506</v>
      </c>
      <c r="F835" s="47" t="s">
        <v>746</v>
      </c>
      <c r="G835" s="25">
        <f t="shared" si="12"/>
        <v>-6.5059030394373329E-2</v>
      </c>
    </row>
    <row r="836" spans="1:7">
      <c r="A836" s="47">
        <v>77.81</v>
      </c>
      <c r="B836" s="47">
        <v>79.099999999999994</v>
      </c>
      <c r="C836" s="47">
        <v>76.84</v>
      </c>
      <c r="D836" s="47">
        <v>77.52</v>
      </c>
      <c r="E836" s="47">
        <v>262822</v>
      </c>
      <c r="F836" s="47" t="s">
        <v>745</v>
      </c>
      <c r="G836" s="25">
        <f t="shared" si="12"/>
        <v>3.7409700722395023E-3</v>
      </c>
    </row>
    <row r="837" spans="1:7">
      <c r="A837" s="47">
        <v>77.86</v>
      </c>
      <c r="B837" s="47">
        <v>77.91</v>
      </c>
      <c r="C837" s="47">
        <v>74.7</v>
      </c>
      <c r="D837" s="47">
        <v>75.48</v>
      </c>
      <c r="E837" s="47">
        <v>291733</v>
      </c>
      <c r="F837" s="47" t="s">
        <v>744</v>
      </c>
      <c r="G837" s="25">
        <f t="shared" si="12"/>
        <v>3.1531531531531432E-2</v>
      </c>
    </row>
    <row r="838" spans="1:7">
      <c r="A838" s="47">
        <v>75.78</v>
      </c>
      <c r="B838" s="47">
        <v>78.06</v>
      </c>
      <c r="C838" s="47">
        <v>75.680000000000007</v>
      </c>
      <c r="D838" s="47">
        <v>76.13</v>
      </c>
      <c r="E838" s="47">
        <v>277304</v>
      </c>
      <c r="F838" s="47" t="s">
        <v>743</v>
      </c>
      <c r="G838" s="25">
        <f t="shared" si="12"/>
        <v>-4.5973991856035346E-3</v>
      </c>
    </row>
    <row r="839" spans="1:7">
      <c r="A839" s="47">
        <v>75.63</v>
      </c>
      <c r="B839" s="47">
        <v>78.94</v>
      </c>
      <c r="C839" s="47">
        <v>74.39</v>
      </c>
      <c r="D839" s="47">
        <v>75.48</v>
      </c>
      <c r="E839" s="47">
        <v>252280</v>
      </c>
      <c r="F839" s="47" t="s">
        <v>742</v>
      </c>
      <c r="G839" s="25">
        <f t="shared" si="12"/>
        <v>1.9872813990460259E-3</v>
      </c>
    </row>
    <row r="840" spans="1:7">
      <c r="A840" s="47">
        <v>76.89</v>
      </c>
      <c r="B840" s="47">
        <v>78.97</v>
      </c>
      <c r="C840" s="47">
        <v>75.13</v>
      </c>
      <c r="D840" s="47">
        <v>75.599999999999994</v>
      </c>
      <c r="E840" s="47">
        <v>423496</v>
      </c>
      <c r="F840" s="47" t="s">
        <v>741</v>
      </c>
      <c r="G840" s="25">
        <f t="shared" si="12"/>
        <v>1.7063492063492225E-2</v>
      </c>
    </row>
    <row r="841" spans="1:7">
      <c r="A841" s="47">
        <v>75.09</v>
      </c>
      <c r="B841" s="47">
        <v>75.37</v>
      </c>
      <c r="C841" s="47">
        <v>72.989999999999995</v>
      </c>
      <c r="D841" s="47">
        <v>75.37</v>
      </c>
      <c r="E841" s="47">
        <v>196899</v>
      </c>
      <c r="F841" s="47" t="s">
        <v>740</v>
      </c>
      <c r="G841" s="25">
        <f t="shared" si="12"/>
        <v>-3.7150059705453042E-3</v>
      </c>
    </row>
    <row r="842" spans="1:7">
      <c r="A842" s="47">
        <v>75.37</v>
      </c>
      <c r="B842" s="47">
        <v>75.89</v>
      </c>
      <c r="C842" s="47">
        <v>71.760000000000005</v>
      </c>
      <c r="D842" s="47">
        <v>73.06</v>
      </c>
      <c r="E842" s="47">
        <v>322869</v>
      </c>
      <c r="F842" s="47" t="s">
        <v>739</v>
      </c>
      <c r="G842" s="25">
        <f t="shared" si="12"/>
        <v>3.1617848343826971E-2</v>
      </c>
    </row>
    <row r="843" spans="1:7">
      <c r="A843" s="47">
        <v>72.91</v>
      </c>
      <c r="B843" s="47">
        <v>76.290000000000006</v>
      </c>
      <c r="C843" s="47">
        <v>72.010000000000005</v>
      </c>
      <c r="D843" s="47">
        <v>73.64</v>
      </c>
      <c r="E843" s="47">
        <v>212159</v>
      </c>
      <c r="F843" s="47" t="s">
        <v>738</v>
      </c>
      <c r="G843" s="25">
        <f t="shared" si="12"/>
        <v>-9.9130907115698719E-3</v>
      </c>
    </row>
    <row r="844" spans="1:7">
      <c r="A844" s="47">
        <v>73.930000000000007</v>
      </c>
      <c r="B844" s="47">
        <v>77.569999999999993</v>
      </c>
      <c r="C844" s="47">
        <v>73.36</v>
      </c>
      <c r="D844" s="47">
        <v>76.930000000000007</v>
      </c>
      <c r="E844" s="47">
        <v>381434</v>
      </c>
      <c r="F844" s="47" t="s">
        <v>737</v>
      </c>
      <c r="G844" s="25">
        <f t="shared" si="12"/>
        <v>-3.8996490315871601E-2</v>
      </c>
    </row>
    <row r="845" spans="1:7">
      <c r="A845" s="47">
        <v>78.819999999999993</v>
      </c>
      <c r="B845" s="47">
        <v>80.25</v>
      </c>
      <c r="C845" s="47">
        <v>76.239999999999995</v>
      </c>
      <c r="D845" s="47">
        <v>78.98</v>
      </c>
      <c r="E845" s="47">
        <v>420761</v>
      </c>
      <c r="F845" s="47" t="s">
        <v>736</v>
      </c>
      <c r="G845" s="25">
        <f t="shared" si="12"/>
        <v>-2.0258293238796243E-3</v>
      </c>
    </row>
    <row r="846" spans="1:7">
      <c r="A846" s="47">
        <v>76.48</v>
      </c>
      <c r="B846" s="47">
        <v>78.09</v>
      </c>
      <c r="C846" s="47">
        <v>74.7</v>
      </c>
      <c r="D846" s="47">
        <v>75.47</v>
      </c>
      <c r="E846" s="47">
        <v>304483</v>
      </c>
      <c r="F846" s="47" t="s">
        <v>735</v>
      </c>
      <c r="G846" s="25">
        <f t="shared" si="12"/>
        <v>1.3382801113025034E-2</v>
      </c>
    </row>
    <row r="847" spans="1:7">
      <c r="A847" s="47">
        <v>72.569999999999993</v>
      </c>
      <c r="B847" s="47">
        <v>76.105000000000004</v>
      </c>
      <c r="C847" s="47">
        <v>72.48</v>
      </c>
      <c r="D847" s="47">
        <v>75.489999999999995</v>
      </c>
      <c r="E847" s="47">
        <v>304062</v>
      </c>
      <c r="F847" s="47" t="s">
        <v>734</v>
      </c>
      <c r="G847" s="25">
        <f t="shared" si="12"/>
        <v>-3.8680619949662209E-2</v>
      </c>
    </row>
    <row r="848" spans="1:7">
      <c r="A848" s="47">
        <v>74.290000000000006</v>
      </c>
      <c r="B848" s="47">
        <v>74.89</v>
      </c>
      <c r="C848" s="47">
        <v>67.64</v>
      </c>
      <c r="D848" s="47">
        <v>69.69</v>
      </c>
      <c r="E848" s="47">
        <v>483147</v>
      </c>
      <c r="F848" s="47" t="s">
        <v>733</v>
      </c>
      <c r="G848" s="25">
        <f t="shared" si="12"/>
        <v>6.6006600660066139E-2</v>
      </c>
    </row>
    <row r="849" spans="1:7">
      <c r="A849" s="47">
        <v>72.569999999999993</v>
      </c>
      <c r="B849" s="47">
        <v>73.540000000000006</v>
      </c>
      <c r="C849" s="47">
        <v>71.510000000000005</v>
      </c>
      <c r="D849" s="47">
        <v>73.03</v>
      </c>
      <c r="E849" s="47">
        <v>355427</v>
      </c>
      <c r="F849" s="47" t="s">
        <v>732</v>
      </c>
      <c r="G849" s="25">
        <f t="shared" si="12"/>
        <v>-6.2987813227441958E-3</v>
      </c>
    </row>
    <row r="850" spans="1:7">
      <c r="A850" s="47">
        <v>72.69</v>
      </c>
      <c r="B850" s="47">
        <v>74.06</v>
      </c>
      <c r="C850" s="47">
        <v>70.37</v>
      </c>
      <c r="D850" s="47">
        <v>72.86</v>
      </c>
      <c r="E850" s="47">
        <v>346023</v>
      </c>
      <c r="F850" s="47" t="s">
        <v>731</v>
      </c>
      <c r="G850" s="25">
        <f t="shared" si="12"/>
        <v>-2.3332418336535765E-3</v>
      </c>
    </row>
    <row r="851" spans="1:7">
      <c r="A851" s="47">
        <v>73.05</v>
      </c>
      <c r="B851" s="47">
        <v>75.484999999999999</v>
      </c>
      <c r="C851" s="47">
        <v>70.489999999999995</v>
      </c>
      <c r="D851" s="47">
        <v>75.430000000000007</v>
      </c>
      <c r="E851" s="47">
        <v>518747</v>
      </c>
      <c r="F851" s="47" t="s">
        <v>730</v>
      </c>
      <c r="G851" s="25">
        <f t="shared" si="12"/>
        <v>-3.1552432719077372E-2</v>
      </c>
    </row>
    <row r="852" spans="1:7">
      <c r="A852" s="47">
        <v>75.489999999999995</v>
      </c>
      <c r="B852" s="47">
        <v>78.989999999999995</v>
      </c>
      <c r="C852" s="47">
        <v>74.36</v>
      </c>
      <c r="D852" s="47">
        <v>78.989999999999995</v>
      </c>
      <c r="E852" s="47">
        <v>351540</v>
      </c>
      <c r="F852" s="47" t="s">
        <v>729</v>
      </c>
      <c r="G852" s="25">
        <f t="shared" si="12"/>
        <v>-4.4309406253956185E-2</v>
      </c>
    </row>
    <row r="853" spans="1:7">
      <c r="A853" s="47">
        <v>80.78</v>
      </c>
      <c r="B853" s="47">
        <v>81.17</v>
      </c>
      <c r="C853" s="47">
        <v>78.88</v>
      </c>
      <c r="D853" s="47">
        <v>78.88</v>
      </c>
      <c r="E853" s="47">
        <v>412723</v>
      </c>
      <c r="F853" s="47" t="s">
        <v>728</v>
      </c>
      <c r="G853" s="25">
        <f t="shared" si="12"/>
        <v>2.4087221095334677E-2</v>
      </c>
    </row>
    <row r="854" spans="1:7">
      <c r="A854" s="47">
        <v>79.709999999999994</v>
      </c>
      <c r="B854" s="47">
        <v>81.42</v>
      </c>
      <c r="C854" s="47">
        <v>78.63</v>
      </c>
      <c r="D854" s="47">
        <v>79.59</v>
      </c>
      <c r="E854" s="47">
        <v>360700</v>
      </c>
      <c r="F854" s="47" t="s">
        <v>727</v>
      </c>
      <c r="G854" s="25">
        <f t="shared" si="12"/>
        <v>1.5077271013945737E-3</v>
      </c>
    </row>
    <row r="855" spans="1:7">
      <c r="A855" s="47">
        <v>80.86</v>
      </c>
      <c r="B855" s="47">
        <v>81.75</v>
      </c>
      <c r="C855" s="47">
        <v>78.090400000000002</v>
      </c>
      <c r="D855" s="47">
        <v>78.75</v>
      </c>
      <c r="E855" s="47">
        <v>448150</v>
      </c>
      <c r="F855" s="47" t="s">
        <v>726</v>
      </c>
      <c r="G855" s="25">
        <f t="shared" si="12"/>
        <v>2.6793650793650814E-2</v>
      </c>
    </row>
    <row r="856" spans="1:7">
      <c r="A856" s="47">
        <v>77.14</v>
      </c>
      <c r="B856" s="47">
        <v>79.36</v>
      </c>
      <c r="C856" s="47">
        <v>74.62</v>
      </c>
      <c r="D856" s="47">
        <v>78</v>
      </c>
      <c r="E856" s="47">
        <v>567258</v>
      </c>
      <c r="F856" s="47" t="s">
        <v>725</v>
      </c>
      <c r="G856" s="25">
        <f t="shared" si="12"/>
        <v>-1.1025641025640964E-2</v>
      </c>
    </row>
    <row r="857" spans="1:7">
      <c r="A857" s="47">
        <v>77.8</v>
      </c>
      <c r="B857" s="47">
        <v>80.44</v>
      </c>
      <c r="C857" s="47">
        <v>76.17</v>
      </c>
      <c r="D857" s="47">
        <v>76.17</v>
      </c>
      <c r="E857" s="47">
        <v>791914</v>
      </c>
      <c r="F857" s="47" t="s">
        <v>724</v>
      </c>
      <c r="G857" s="25">
        <f t="shared" si="12"/>
        <v>2.1399501115924924E-2</v>
      </c>
    </row>
    <row r="858" spans="1:7">
      <c r="A858" s="47">
        <v>76.760000000000005</v>
      </c>
      <c r="B858" s="47">
        <v>77.319000000000003</v>
      </c>
      <c r="C858" s="47">
        <v>74.180300000000003</v>
      </c>
      <c r="D858" s="47">
        <v>74.89</v>
      </c>
      <c r="E858" s="47">
        <v>1194392</v>
      </c>
      <c r="F858" s="47" t="s">
        <v>723</v>
      </c>
      <c r="G858" s="25">
        <f t="shared" si="12"/>
        <v>2.496995593537199E-2</v>
      </c>
    </row>
    <row r="859" spans="1:7">
      <c r="A859" s="47">
        <v>76.150000000000006</v>
      </c>
      <c r="B859" s="47">
        <v>79.679699999999997</v>
      </c>
      <c r="C859" s="47">
        <v>64.400000000000006</v>
      </c>
      <c r="D859" s="47">
        <v>65.260000000000005</v>
      </c>
      <c r="E859" s="47">
        <v>1635425</v>
      </c>
      <c r="F859" s="47" t="s">
        <v>722</v>
      </c>
      <c r="G859" s="25">
        <f t="shared" si="12"/>
        <v>0.16687097762794978</v>
      </c>
    </row>
    <row r="860" spans="1:7">
      <c r="A860" s="47">
        <v>64.73</v>
      </c>
      <c r="B860" s="47">
        <v>65.08</v>
      </c>
      <c r="C860" s="47">
        <v>62.884999999999998</v>
      </c>
      <c r="D860" s="47">
        <v>64</v>
      </c>
      <c r="E860" s="47">
        <v>444188</v>
      </c>
      <c r="F860" s="47" t="s">
        <v>721</v>
      </c>
      <c r="G860" s="25">
        <f t="shared" si="12"/>
        <v>1.1406250000000062E-2</v>
      </c>
    </row>
    <row r="861" spans="1:7">
      <c r="A861" s="47">
        <v>62.61</v>
      </c>
      <c r="B861" s="47">
        <v>65.5</v>
      </c>
      <c r="C861" s="47">
        <v>61.95</v>
      </c>
      <c r="D861" s="47">
        <v>62.93</v>
      </c>
      <c r="E861" s="47">
        <v>369550</v>
      </c>
      <c r="F861" s="47" t="s">
        <v>720</v>
      </c>
      <c r="G861" s="25">
        <f t="shared" si="12"/>
        <v>-5.0850150961385676E-3</v>
      </c>
    </row>
    <row r="862" spans="1:7">
      <c r="A862" s="47">
        <v>63.46</v>
      </c>
      <c r="B862" s="47">
        <v>63.52</v>
      </c>
      <c r="C862" s="47">
        <v>60.28</v>
      </c>
      <c r="D862" s="47">
        <v>61.38</v>
      </c>
      <c r="E862" s="47">
        <v>444070</v>
      </c>
      <c r="F862" s="47" t="s">
        <v>719</v>
      </c>
      <c r="G862" s="25">
        <f t="shared" si="12"/>
        <v>3.3887259693711203E-2</v>
      </c>
    </row>
    <row r="863" spans="1:7">
      <c r="A863" s="47">
        <v>62.29</v>
      </c>
      <c r="B863" s="47">
        <v>65.31</v>
      </c>
      <c r="C863" s="47">
        <v>62.083399999999997</v>
      </c>
      <c r="D863" s="47">
        <v>64.680000000000007</v>
      </c>
      <c r="E863" s="47">
        <v>301698</v>
      </c>
      <c r="F863" s="47" t="s">
        <v>718</v>
      </c>
      <c r="G863" s="25">
        <f t="shared" si="12"/>
        <v>-3.6951144094001354E-2</v>
      </c>
    </row>
    <row r="864" spans="1:7">
      <c r="A864" s="47">
        <v>65.48</v>
      </c>
      <c r="B864" s="47">
        <v>68.59</v>
      </c>
      <c r="C864" s="47">
        <v>65.28</v>
      </c>
      <c r="D864" s="47">
        <v>67.14</v>
      </c>
      <c r="E864" s="47">
        <v>249758</v>
      </c>
      <c r="F864" s="47" t="s">
        <v>717</v>
      </c>
      <c r="G864" s="25">
        <f t="shared" si="12"/>
        <v>-2.4724456359845104E-2</v>
      </c>
    </row>
    <row r="865" spans="1:7">
      <c r="A865" s="47">
        <v>66.47</v>
      </c>
      <c r="B865" s="47">
        <v>68.08</v>
      </c>
      <c r="C865" s="47">
        <v>66.34</v>
      </c>
      <c r="D865" s="47">
        <v>67.19</v>
      </c>
      <c r="E865" s="47">
        <v>227804</v>
      </c>
      <c r="F865" s="47" t="s">
        <v>716</v>
      </c>
      <c r="G865" s="25">
        <f t="shared" si="12"/>
        <v>-1.0715880339336237E-2</v>
      </c>
    </row>
    <row r="866" spans="1:7">
      <c r="A866" s="47">
        <v>67.91</v>
      </c>
      <c r="B866" s="47">
        <v>68.239999999999995</v>
      </c>
      <c r="C866" s="47">
        <v>65.234999999999999</v>
      </c>
      <c r="D866" s="47">
        <v>65.900000000000006</v>
      </c>
      <c r="E866" s="47">
        <v>236012</v>
      </c>
      <c r="F866" s="47" t="s">
        <v>715</v>
      </c>
      <c r="G866" s="25">
        <f t="shared" si="12"/>
        <v>3.0500758725341193E-2</v>
      </c>
    </row>
    <row r="867" spans="1:7">
      <c r="A867" s="47">
        <v>66.599999999999994</v>
      </c>
      <c r="B867" s="47">
        <v>68.56</v>
      </c>
      <c r="C867" s="47">
        <v>65.8</v>
      </c>
      <c r="D867" s="47">
        <v>67.8</v>
      </c>
      <c r="E867" s="47">
        <v>569537</v>
      </c>
      <c r="F867" s="47" t="s">
        <v>714</v>
      </c>
      <c r="G867" s="25">
        <f t="shared" si="12"/>
        <v>-1.7699115044247815E-2</v>
      </c>
    </row>
    <row r="868" spans="1:7">
      <c r="A868" s="47">
        <v>69.25</v>
      </c>
      <c r="B868" s="47">
        <v>69.349999999999994</v>
      </c>
      <c r="C868" s="47">
        <v>67.010000000000005</v>
      </c>
      <c r="D868" s="47">
        <v>67.22</v>
      </c>
      <c r="E868" s="47">
        <v>392559</v>
      </c>
      <c r="F868" s="47" t="s">
        <v>713</v>
      </c>
      <c r="G868" s="25">
        <f t="shared" si="12"/>
        <v>3.019934543290681E-2</v>
      </c>
    </row>
    <row r="869" spans="1:7">
      <c r="A869" s="47">
        <v>67.91</v>
      </c>
      <c r="B869" s="47">
        <v>68.89</v>
      </c>
      <c r="C869" s="47">
        <v>66.41</v>
      </c>
      <c r="D869" s="47">
        <v>68.8</v>
      </c>
      <c r="E869" s="47">
        <v>390017</v>
      </c>
      <c r="F869" s="47" t="s">
        <v>712</v>
      </c>
      <c r="G869" s="25">
        <f t="shared" si="12"/>
        <v>-1.2936046511627941E-2</v>
      </c>
    </row>
    <row r="870" spans="1:7">
      <c r="A870" s="47">
        <v>69.08</v>
      </c>
      <c r="B870" s="47">
        <v>70.34</v>
      </c>
      <c r="C870" s="47">
        <v>67.92</v>
      </c>
      <c r="D870" s="47">
        <v>69.03</v>
      </c>
      <c r="E870" s="47">
        <v>347250</v>
      </c>
      <c r="F870" s="47" t="s">
        <v>711</v>
      </c>
      <c r="G870" s="25">
        <f t="shared" si="12"/>
        <v>7.2432275822098546E-4</v>
      </c>
    </row>
    <row r="871" spans="1:7">
      <c r="A871" s="47">
        <v>71.92</v>
      </c>
      <c r="B871" s="47">
        <v>73.284999999999997</v>
      </c>
      <c r="C871" s="47">
        <v>71.37</v>
      </c>
      <c r="D871" s="47">
        <v>71.5</v>
      </c>
      <c r="E871" s="47">
        <v>390009</v>
      </c>
      <c r="F871" s="47" t="s">
        <v>710</v>
      </c>
      <c r="G871" s="25">
        <f t="shared" si="12"/>
        <v>5.8741258741259461E-3</v>
      </c>
    </row>
    <row r="872" spans="1:7">
      <c r="A872" s="47">
        <v>71.930000000000007</v>
      </c>
      <c r="B872" s="47">
        <v>72.81</v>
      </c>
      <c r="C872" s="47">
        <v>71.31</v>
      </c>
      <c r="D872" s="47">
        <v>71.31</v>
      </c>
      <c r="E872" s="47">
        <v>291200</v>
      </c>
      <c r="F872" s="47" t="s">
        <v>709</v>
      </c>
      <c r="G872" s="25">
        <f t="shared" si="12"/>
        <v>8.6944327583788894E-3</v>
      </c>
    </row>
    <row r="873" spans="1:7">
      <c r="A873" s="47">
        <v>70.260000000000005</v>
      </c>
      <c r="B873" s="47">
        <v>70.290000000000006</v>
      </c>
      <c r="C873" s="47">
        <v>65.91</v>
      </c>
      <c r="D873" s="47">
        <v>66.33</v>
      </c>
      <c r="E873" s="47">
        <v>416467</v>
      </c>
      <c r="F873" s="47" t="s">
        <v>708</v>
      </c>
      <c r="G873" s="25">
        <f t="shared" si="12"/>
        <v>5.924920850293991E-2</v>
      </c>
    </row>
    <row r="874" spans="1:7">
      <c r="A874" s="47">
        <v>67.47</v>
      </c>
      <c r="B874" s="47">
        <v>67.790000000000006</v>
      </c>
      <c r="C874" s="47">
        <v>64.659400000000005</v>
      </c>
      <c r="D874" s="47">
        <v>65.069999999999993</v>
      </c>
      <c r="E874" s="47">
        <v>193020</v>
      </c>
      <c r="F874" s="47" t="s">
        <v>707</v>
      </c>
      <c r="G874" s="25">
        <f t="shared" si="12"/>
        <v>3.6883356385431165E-2</v>
      </c>
    </row>
    <row r="875" spans="1:7">
      <c r="A875" s="47">
        <v>64.95</v>
      </c>
      <c r="B875" s="47">
        <v>66.47</v>
      </c>
      <c r="C875" s="47">
        <v>64.39</v>
      </c>
      <c r="D875" s="47">
        <v>66.459999999999994</v>
      </c>
      <c r="E875" s="47">
        <v>425086</v>
      </c>
      <c r="F875" s="47" t="s">
        <v>706</v>
      </c>
      <c r="G875" s="25">
        <f t="shared" si="12"/>
        <v>-2.2720433343364266E-2</v>
      </c>
    </row>
    <row r="876" spans="1:7">
      <c r="A876" s="47">
        <v>66.41</v>
      </c>
      <c r="B876" s="47">
        <v>67.42</v>
      </c>
      <c r="C876" s="47">
        <v>64.454999999999998</v>
      </c>
      <c r="D876" s="47">
        <v>66.239999999999995</v>
      </c>
      <c r="E876" s="47">
        <v>352256</v>
      </c>
      <c r="F876" s="47" t="s">
        <v>705</v>
      </c>
      <c r="G876" s="25">
        <f t="shared" si="12"/>
        <v>2.566425120772875E-3</v>
      </c>
    </row>
    <row r="877" spans="1:7">
      <c r="A877" s="47">
        <v>64.92</v>
      </c>
      <c r="B877" s="47">
        <v>67.63</v>
      </c>
      <c r="C877" s="47">
        <v>63.06</v>
      </c>
      <c r="D877" s="47">
        <v>67.63</v>
      </c>
      <c r="E877" s="47">
        <v>246567</v>
      </c>
      <c r="F877" s="47" t="s">
        <v>704</v>
      </c>
      <c r="G877" s="25">
        <f t="shared" si="12"/>
        <v>-4.0070974419636141E-2</v>
      </c>
    </row>
    <row r="878" spans="1:7">
      <c r="A878" s="47">
        <v>67.89</v>
      </c>
      <c r="B878" s="47">
        <v>69.36</v>
      </c>
      <c r="C878" s="47">
        <v>67.760000000000005</v>
      </c>
      <c r="D878" s="47">
        <v>69.069999999999993</v>
      </c>
      <c r="E878" s="47">
        <v>329290</v>
      </c>
      <c r="F878" s="47" t="s">
        <v>703</v>
      </c>
      <c r="G878" s="25">
        <f t="shared" si="12"/>
        <v>-1.7084117561893652E-2</v>
      </c>
    </row>
    <row r="879" spans="1:7">
      <c r="A879" s="47">
        <v>67.98</v>
      </c>
      <c r="B879" s="47">
        <v>69.59</v>
      </c>
      <c r="C879" s="47">
        <v>67.56</v>
      </c>
      <c r="D879" s="47">
        <v>68.849999999999994</v>
      </c>
      <c r="E879" s="47">
        <v>298689</v>
      </c>
      <c r="F879" s="47" t="s">
        <v>702</v>
      </c>
      <c r="G879" s="25">
        <f t="shared" si="12"/>
        <v>-1.2636165577341929E-2</v>
      </c>
    </row>
    <row r="880" spans="1:7">
      <c r="A880" s="47">
        <v>67.930000000000007</v>
      </c>
      <c r="B880" s="47">
        <v>68.98</v>
      </c>
      <c r="C880" s="47">
        <v>67.12</v>
      </c>
      <c r="D880" s="47">
        <v>67.290000000000006</v>
      </c>
      <c r="E880" s="47">
        <v>168884</v>
      </c>
      <c r="F880" s="47" t="s">
        <v>701</v>
      </c>
      <c r="G880" s="25">
        <f t="shared" si="12"/>
        <v>9.5110714816466491E-3</v>
      </c>
    </row>
    <row r="881" spans="1:7">
      <c r="A881" s="47">
        <v>68.19</v>
      </c>
      <c r="B881" s="47">
        <v>72.484999999999999</v>
      </c>
      <c r="C881" s="47">
        <v>68.02</v>
      </c>
      <c r="D881" s="47">
        <v>72.47</v>
      </c>
      <c r="E881" s="47">
        <v>207486</v>
      </c>
      <c r="F881" s="47" t="s">
        <v>700</v>
      </c>
      <c r="G881" s="25">
        <f t="shared" si="12"/>
        <v>-5.9058920932799741E-2</v>
      </c>
    </row>
    <row r="882" spans="1:7">
      <c r="A882" s="47">
        <v>72.510000000000005</v>
      </c>
      <c r="B882" s="47">
        <v>73.28</v>
      </c>
      <c r="C882" s="47">
        <v>71.1374</v>
      </c>
      <c r="D882" s="47">
        <v>72.19</v>
      </c>
      <c r="E882" s="47">
        <v>339098</v>
      </c>
      <c r="F882" s="47" t="s">
        <v>699</v>
      </c>
      <c r="G882" s="25">
        <f t="shared" si="12"/>
        <v>4.4327469178557788E-3</v>
      </c>
    </row>
    <row r="883" spans="1:7">
      <c r="A883" s="47">
        <v>71.27</v>
      </c>
      <c r="B883" s="47">
        <v>71.69</v>
      </c>
      <c r="C883" s="47">
        <v>68.87</v>
      </c>
      <c r="D883" s="47">
        <v>69.349999999999994</v>
      </c>
      <c r="E883" s="47">
        <v>176009</v>
      </c>
      <c r="F883" s="47" t="s">
        <v>698</v>
      </c>
      <c r="G883" s="25">
        <f t="shared" si="12"/>
        <v>2.7685652487382972E-2</v>
      </c>
    </row>
    <row r="884" spans="1:7">
      <c r="A884" s="47">
        <v>69.09</v>
      </c>
      <c r="B884" s="47">
        <v>71.650000000000006</v>
      </c>
      <c r="C884" s="47">
        <v>68.97</v>
      </c>
      <c r="D884" s="47">
        <v>70.88</v>
      </c>
      <c r="E884" s="47">
        <v>277997</v>
      </c>
      <c r="F884" s="47" t="s">
        <v>697</v>
      </c>
      <c r="G884" s="25">
        <f t="shared" si="12"/>
        <v>-2.5253950338600339E-2</v>
      </c>
    </row>
    <row r="885" spans="1:7">
      <c r="A885" s="47">
        <v>70.72</v>
      </c>
      <c r="B885" s="47">
        <v>70.72</v>
      </c>
      <c r="C885" s="47">
        <v>68.209999999999994</v>
      </c>
      <c r="D885" s="47">
        <v>69.33</v>
      </c>
      <c r="E885" s="47">
        <v>430872</v>
      </c>
      <c r="F885" s="47" t="s">
        <v>696</v>
      </c>
      <c r="G885" s="25">
        <f t="shared" si="12"/>
        <v>2.004904081927017E-2</v>
      </c>
    </row>
    <row r="886" spans="1:7">
      <c r="A886" s="47">
        <v>70.849999999999994</v>
      </c>
      <c r="B886" s="47">
        <v>72.89</v>
      </c>
      <c r="C886" s="47">
        <v>69.47</v>
      </c>
      <c r="D886" s="47">
        <v>72.89</v>
      </c>
      <c r="E886" s="47">
        <v>244293</v>
      </c>
      <c r="F886" s="47" t="s">
        <v>695</v>
      </c>
      <c r="G886" s="25">
        <f t="shared" si="12"/>
        <v>-2.7987378241185468E-2</v>
      </c>
    </row>
    <row r="887" spans="1:7">
      <c r="A887" s="47">
        <v>73.790000000000006</v>
      </c>
      <c r="B887" s="47">
        <v>74.069999999999993</v>
      </c>
      <c r="C887" s="47">
        <v>71.25</v>
      </c>
      <c r="D887" s="47">
        <v>72.12</v>
      </c>
      <c r="E887" s="47">
        <v>343041</v>
      </c>
      <c r="F887" s="47" t="s">
        <v>694</v>
      </c>
      <c r="G887" s="25">
        <f t="shared" ref="G887:G950" si="13">A887/D887-1</f>
        <v>2.3155851358846347E-2</v>
      </c>
    </row>
    <row r="888" spans="1:7">
      <c r="A888" s="47">
        <v>72.06</v>
      </c>
      <c r="B888" s="47">
        <v>72.150000000000006</v>
      </c>
      <c r="C888" s="47">
        <v>70.58</v>
      </c>
      <c r="D888" s="47">
        <v>71.48</v>
      </c>
      <c r="E888" s="47">
        <v>287906</v>
      </c>
      <c r="F888" s="47" t="s">
        <v>693</v>
      </c>
      <c r="G888" s="25">
        <f t="shared" si="13"/>
        <v>8.1141578063794739E-3</v>
      </c>
    </row>
    <row r="889" spans="1:7">
      <c r="A889" s="47">
        <v>72.92</v>
      </c>
      <c r="B889" s="47">
        <v>73.954999999999998</v>
      </c>
      <c r="C889" s="47">
        <v>71.75</v>
      </c>
      <c r="D889" s="47">
        <v>73.13</v>
      </c>
      <c r="E889" s="47">
        <v>272252</v>
      </c>
      <c r="F889" s="47" t="s">
        <v>692</v>
      </c>
      <c r="G889" s="25">
        <f t="shared" si="13"/>
        <v>-2.8715985231778651E-3</v>
      </c>
    </row>
    <row r="890" spans="1:7">
      <c r="A890" s="47">
        <v>74.3</v>
      </c>
      <c r="B890" s="47">
        <v>75.69</v>
      </c>
      <c r="C890" s="47">
        <v>73.91</v>
      </c>
      <c r="D890" s="47">
        <v>74.2</v>
      </c>
      <c r="E890" s="47">
        <v>322162</v>
      </c>
      <c r="F890" s="47" t="s">
        <v>691</v>
      </c>
      <c r="G890" s="25">
        <f t="shared" si="13"/>
        <v>1.3477088948785632E-3</v>
      </c>
    </row>
    <row r="891" spans="1:7">
      <c r="A891" s="47">
        <v>74.97</v>
      </c>
      <c r="B891" s="47">
        <v>76.040000000000006</v>
      </c>
      <c r="C891" s="47">
        <v>73.84</v>
      </c>
      <c r="D891" s="47">
        <v>75.239999999999995</v>
      </c>
      <c r="E891" s="47">
        <v>332668</v>
      </c>
      <c r="F891" s="47" t="s">
        <v>690</v>
      </c>
      <c r="G891" s="25">
        <f t="shared" si="13"/>
        <v>-3.5885167464114742E-3</v>
      </c>
    </row>
    <row r="892" spans="1:7">
      <c r="A892" s="47">
        <v>74.150000000000006</v>
      </c>
      <c r="B892" s="47">
        <v>76.834999999999994</v>
      </c>
      <c r="C892" s="47">
        <v>72.97</v>
      </c>
      <c r="D892" s="47">
        <v>76.510000000000005</v>
      </c>
      <c r="E892" s="47">
        <v>491138</v>
      </c>
      <c r="F892" s="47" t="s">
        <v>689</v>
      </c>
      <c r="G892" s="25">
        <f t="shared" si="13"/>
        <v>-3.0845641092667631E-2</v>
      </c>
    </row>
    <row r="893" spans="1:7">
      <c r="A893" s="47">
        <v>75.75</v>
      </c>
      <c r="B893" s="47">
        <v>79.23</v>
      </c>
      <c r="C893" s="47">
        <v>75</v>
      </c>
      <c r="D893" s="47">
        <v>79.23</v>
      </c>
      <c r="E893" s="47">
        <v>863334</v>
      </c>
      <c r="F893" s="47" t="s">
        <v>688</v>
      </c>
      <c r="G893" s="25">
        <f t="shared" si="13"/>
        <v>-4.3922756531616813E-2</v>
      </c>
    </row>
    <row r="894" spans="1:7">
      <c r="A894" s="47">
        <v>68.52</v>
      </c>
      <c r="B894" s="47">
        <v>71.819999999999993</v>
      </c>
      <c r="C894" s="47">
        <v>67.510000000000005</v>
      </c>
      <c r="D894" s="47">
        <v>71.19</v>
      </c>
      <c r="E894" s="47">
        <v>396473</v>
      </c>
      <c r="F894" s="47" t="s">
        <v>687</v>
      </c>
      <c r="G894" s="25">
        <f t="shared" si="13"/>
        <v>-3.7505267593763159E-2</v>
      </c>
    </row>
    <row r="895" spans="1:7">
      <c r="A895" s="47">
        <v>72.010000000000005</v>
      </c>
      <c r="B895" s="47">
        <v>74.69</v>
      </c>
      <c r="C895" s="47">
        <v>70.81</v>
      </c>
      <c r="D895" s="47">
        <v>71.650000000000006</v>
      </c>
      <c r="E895" s="47">
        <v>306216</v>
      </c>
      <c r="F895" s="47" t="s">
        <v>686</v>
      </c>
      <c r="G895" s="25">
        <f t="shared" si="13"/>
        <v>5.0244242847172771E-3</v>
      </c>
    </row>
    <row r="896" spans="1:7">
      <c r="A896" s="47">
        <v>71.650000000000006</v>
      </c>
      <c r="B896" s="47">
        <v>73.709999999999994</v>
      </c>
      <c r="C896" s="47">
        <v>70.734999999999999</v>
      </c>
      <c r="D896" s="47">
        <v>70.739999999999995</v>
      </c>
      <c r="E896" s="47">
        <v>268456</v>
      </c>
      <c r="F896" s="47" t="s">
        <v>685</v>
      </c>
      <c r="G896" s="25">
        <f t="shared" si="13"/>
        <v>1.2864009047215408E-2</v>
      </c>
    </row>
    <row r="897" spans="1:7">
      <c r="A897" s="47">
        <v>72.349999999999994</v>
      </c>
      <c r="B897" s="47">
        <v>72.94</v>
      </c>
      <c r="C897" s="47">
        <v>69.819999999999993</v>
      </c>
      <c r="D897" s="47">
        <v>71.05</v>
      </c>
      <c r="E897" s="47">
        <v>359448</v>
      </c>
      <c r="F897" s="47" t="s">
        <v>684</v>
      </c>
      <c r="G897" s="25">
        <f t="shared" si="13"/>
        <v>1.8296973961998475E-2</v>
      </c>
    </row>
    <row r="898" spans="1:7">
      <c r="A898" s="47">
        <v>71.22</v>
      </c>
      <c r="B898" s="47">
        <v>71.430000000000007</v>
      </c>
      <c r="C898" s="47">
        <v>68.92</v>
      </c>
      <c r="D898" s="47">
        <v>68.92</v>
      </c>
      <c r="E898" s="47">
        <v>168528</v>
      </c>
      <c r="F898" s="47" t="s">
        <v>683</v>
      </c>
      <c r="G898" s="25">
        <f t="shared" si="13"/>
        <v>3.3372025536854366E-2</v>
      </c>
    </row>
    <row r="899" spans="1:7">
      <c r="A899" s="47">
        <v>67.989999999999995</v>
      </c>
      <c r="B899" s="47">
        <v>68.825000000000003</v>
      </c>
      <c r="C899" s="47">
        <v>66.260000000000005</v>
      </c>
      <c r="D899" s="47">
        <v>66.260000000000005</v>
      </c>
      <c r="E899" s="47">
        <v>231165</v>
      </c>
      <c r="F899" s="47" t="s">
        <v>682</v>
      </c>
      <c r="G899" s="25">
        <f t="shared" si="13"/>
        <v>2.6109266525807362E-2</v>
      </c>
    </row>
    <row r="900" spans="1:7">
      <c r="A900" s="47">
        <v>67</v>
      </c>
      <c r="B900" s="47">
        <v>67.564999999999998</v>
      </c>
      <c r="C900" s="47">
        <v>63.33</v>
      </c>
      <c r="D900" s="47">
        <v>64.540000000000006</v>
      </c>
      <c r="E900" s="47">
        <v>265201</v>
      </c>
      <c r="F900" s="47" t="s">
        <v>681</v>
      </c>
      <c r="G900" s="25">
        <f t="shared" si="13"/>
        <v>3.8115897118066178E-2</v>
      </c>
    </row>
    <row r="901" spans="1:7">
      <c r="A901" s="47">
        <v>65.5</v>
      </c>
      <c r="B901" s="47">
        <v>65.7</v>
      </c>
      <c r="C901" s="47">
        <v>63.5</v>
      </c>
      <c r="D901" s="47">
        <v>64.569999999999993</v>
      </c>
      <c r="E901" s="47">
        <v>261215</v>
      </c>
      <c r="F901" s="47" t="s">
        <v>680</v>
      </c>
      <c r="G901" s="25">
        <f t="shared" si="13"/>
        <v>1.4402973517113393E-2</v>
      </c>
    </row>
    <row r="902" spans="1:7">
      <c r="A902" s="47">
        <v>65.040000000000006</v>
      </c>
      <c r="B902" s="47">
        <v>65.05</v>
      </c>
      <c r="C902" s="47">
        <v>61.7</v>
      </c>
      <c r="D902" s="47">
        <v>62.84</v>
      </c>
      <c r="E902" s="47">
        <v>628178</v>
      </c>
      <c r="F902" s="47" t="s">
        <v>679</v>
      </c>
      <c r="G902" s="25">
        <f t="shared" si="13"/>
        <v>3.500954805856149E-2</v>
      </c>
    </row>
    <row r="903" spans="1:7">
      <c r="A903" s="47">
        <v>63.22</v>
      </c>
      <c r="B903" s="47">
        <v>64.27</v>
      </c>
      <c r="C903" s="47">
        <v>60.83</v>
      </c>
      <c r="D903" s="47">
        <v>61.3</v>
      </c>
      <c r="E903" s="47">
        <v>320089</v>
      </c>
      <c r="F903" s="47" t="s">
        <v>678</v>
      </c>
      <c r="G903" s="25">
        <f t="shared" si="13"/>
        <v>3.132137030995108E-2</v>
      </c>
    </row>
    <row r="904" spans="1:7">
      <c r="A904" s="47">
        <v>60.09</v>
      </c>
      <c r="B904" s="47">
        <v>62.93</v>
      </c>
      <c r="C904" s="47">
        <v>59.66</v>
      </c>
      <c r="D904" s="47">
        <v>62.87</v>
      </c>
      <c r="E904" s="47">
        <v>206797</v>
      </c>
      <c r="F904" s="47" t="s">
        <v>677</v>
      </c>
      <c r="G904" s="25">
        <f t="shared" si="13"/>
        <v>-4.4218228089708878E-2</v>
      </c>
    </row>
    <row r="905" spans="1:7">
      <c r="A905" s="47">
        <v>63.49</v>
      </c>
      <c r="B905" s="47">
        <v>65.819999999999993</v>
      </c>
      <c r="C905" s="47">
        <v>63.17</v>
      </c>
      <c r="D905" s="47">
        <v>65.819999999999993</v>
      </c>
      <c r="E905" s="47">
        <v>149165</v>
      </c>
      <c r="F905" s="47" t="s">
        <v>676</v>
      </c>
      <c r="G905" s="25">
        <f t="shared" si="13"/>
        <v>-3.5399574597386629E-2</v>
      </c>
    </row>
    <row r="906" spans="1:7">
      <c r="A906" s="47">
        <v>65.58</v>
      </c>
      <c r="B906" s="47">
        <v>68.655000000000001</v>
      </c>
      <c r="C906" s="47">
        <v>64.28</v>
      </c>
      <c r="D906" s="47">
        <v>68.17</v>
      </c>
      <c r="E906" s="47">
        <v>207573</v>
      </c>
      <c r="F906" s="47" t="s">
        <v>675</v>
      </c>
      <c r="G906" s="25">
        <f t="shared" si="13"/>
        <v>-3.7993252163708413E-2</v>
      </c>
    </row>
    <row r="907" spans="1:7">
      <c r="A907" s="47">
        <v>68.09</v>
      </c>
      <c r="B907" s="47">
        <v>68.099999999999994</v>
      </c>
      <c r="C907" s="47">
        <v>65.11</v>
      </c>
      <c r="D907" s="47">
        <v>65.55</v>
      </c>
      <c r="E907" s="47">
        <v>275531</v>
      </c>
      <c r="F907" s="47" t="s">
        <v>674</v>
      </c>
      <c r="G907" s="25">
        <f t="shared" si="13"/>
        <v>3.8749046529366948E-2</v>
      </c>
    </row>
    <row r="908" spans="1:7">
      <c r="A908" s="47">
        <v>66.180000000000007</v>
      </c>
      <c r="B908" s="47">
        <v>67.010000000000005</v>
      </c>
      <c r="C908" s="47">
        <v>61.53</v>
      </c>
      <c r="D908" s="47">
        <v>61.53</v>
      </c>
      <c r="E908" s="47">
        <v>401776</v>
      </c>
      <c r="F908" s="47" t="s">
        <v>673</v>
      </c>
      <c r="G908" s="25">
        <f t="shared" si="13"/>
        <v>7.5572891272549958E-2</v>
      </c>
    </row>
    <row r="909" spans="1:7">
      <c r="A909" s="47">
        <v>60.8</v>
      </c>
      <c r="B909" s="47">
        <v>61.4</v>
      </c>
      <c r="C909" s="47">
        <v>59.43</v>
      </c>
      <c r="D909" s="47">
        <v>60.98</v>
      </c>
      <c r="E909" s="47">
        <v>654940</v>
      </c>
      <c r="F909" s="47" t="s">
        <v>672</v>
      </c>
      <c r="G909" s="25">
        <f t="shared" si="13"/>
        <v>-2.951787471302092E-3</v>
      </c>
    </row>
    <row r="910" spans="1:7">
      <c r="A910" s="47">
        <v>59.95</v>
      </c>
      <c r="B910" s="47">
        <v>63.02</v>
      </c>
      <c r="C910" s="47">
        <v>59.58</v>
      </c>
      <c r="D910" s="47">
        <v>62</v>
      </c>
      <c r="E910" s="47">
        <v>456401</v>
      </c>
      <c r="F910" s="47" t="s">
        <v>671</v>
      </c>
      <c r="G910" s="25">
        <f t="shared" si="13"/>
        <v>-3.3064516129032162E-2</v>
      </c>
    </row>
    <row r="911" spans="1:7">
      <c r="A911" s="47">
        <v>60.9</v>
      </c>
      <c r="B911" s="47">
        <v>61.93</v>
      </c>
      <c r="C911" s="47">
        <v>60.02</v>
      </c>
      <c r="D911" s="47">
        <v>61.03</v>
      </c>
      <c r="E911" s="47">
        <v>461766</v>
      </c>
      <c r="F911" s="47" t="s">
        <v>670</v>
      </c>
      <c r="G911" s="25">
        <f t="shared" si="13"/>
        <v>-2.1300999508439E-3</v>
      </c>
    </row>
    <row r="912" spans="1:7">
      <c r="A912" s="47">
        <v>60.2</v>
      </c>
      <c r="B912" s="47">
        <v>62.14</v>
      </c>
      <c r="C912" s="47">
        <v>59.524999999999999</v>
      </c>
      <c r="D912" s="47">
        <v>61.88</v>
      </c>
      <c r="E912" s="47">
        <v>358574</v>
      </c>
      <c r="F912" s="47" t="s">
        <v>669</v>
      </c>
      <c r="G912" s="25">
        <f t="shared" si="13"/>
        <v>-2.714932126696834E-2</v>
      </c>
    </row>
    <row r="913" spans="1:7">
      <c r="A913" s="47">
        <v>62.49</v>
      </c>
      <c r="B913" s="47">
        <v>62.98</v>
      </c>
      <c r="C913" s="47">
        <v>60.79</v>
      </c>
      <c r="D913" s="47">
        <v>62.01</v>
      </c>
      <c r="E913" s="47">
        <v>350916</v>
      </c>
      <c r="F913" s="47" t="s">
        <v>668</v>
      </c>
      <c r="G913" s="25">
        <f t="shared" si="13"/>
        <v>7.740686985969969E-3</v>
      </c>
    </row>
    <row r="914" spans="1:7">
      <c r="A914" s="47">
        <v>63.65</v>
      </c>
      <c r="B914" s="47">
        <v>70.290000000000006</v>
      </c>
      <c r="C914" s="47">
        <v>63.45</v>
      </c>
      <c r="D914" s="47">
        <v>69.12</v>
      </c>
      <c r="E914" s="47">
        <v>270105</v>
      </c>
      <c r="F914" s="47" t="s">
        <v>667</v>
      </c>
      <c r="G914" s="25">
        <f t="shared" si="13"/>
        <v>-7.913773148148151E-2</v>
      </c>
    </row>
    <row r="915" spans="1:7">
      <c r="A915" s="47">
        <v>69.319999999999993</v>
      </c>
      <c r="B915" s="47">
        <v>72.209999999999994</v>
      </c>
      <c r="C915" s="47">
        <v>69.3</v>
      </c>
      <c r="D915" s="47">
        <v>72.209999999999994</v>
      </c>
      <c r="E915" s="47">
        <v>348077</v>
      </c>
      <c r="F915" s="47" t="s">
        <v>666</v>
      </c>
      <c r="G915" s="25">
        <f t="shared" si="13"/>
        <v>-4.0022157595900887E-2</v>
      </c>
    </row>
    <row r="916" spans="1:7">
      <c r="A916" s="47">
        <v>72.58</v>
      </c>
      <c r="B916" s="47">
        <v>72.78</v>
      </c>
      <c r="C916" s="47">
        <v>69.798100000000005</v>
      </c>
      <c r="D916" s="47">
        <v>70.8</v>
      </c>
      <c r="E916" s="47">
        <v>242745</v>
      </c>
      <c r="F916" s="47" t="s">
        <v>665</v>
      </c>
      <c r="G916" s="25">
        <f t="shared" si="13"/>
        <v>2.5141242937853026E-2</v>
      </c>
    </row>
    <row r="917" spans="1:7">
      <c r="A917" s="47">
        <v>71.819999999999993</v>
      </c>
      <c r="B917" s="47">
        <v>71.930000000000007</v>
      </c>
      <c r="C917" s="47">
        <v>67.819999999999993</v>
      </c>
      <c r="D917" s="47">
        <v>67.819999999999993</v>
      </c>
      <c r="E917" s="47">
        <v>465667</v>
      </c>
      <c r="F917" s="47" t="s">
        <v>664</v>
      </c>
      <c r="G917" s="25">
        <f t="shared" si="13"/>
        <v>5.8979652020053175E-2</v>
      </c>
    </row>
    <row r="918" spans="1:7">
      <c r="A918" s="47">
        <v>67.739999999999995</v>
      </c>
      <c r="B918" s="47">
        <v>68.97</v>
      </c>
      <c r="C918" s="47">
        <v>66.78</v>
      </c>
      <c r="D918" s="47">
        <v>67.92</v>
      </c>
      <c r="E918" s="47">
        <v>255351</v>
      </c>
      <c r="F918" s="47" t="s">
        <v>663</v>
      </c>
      <c r="G918" s="25">
        <f t="shared" si="13"/>
        <v>-2.6501766784453595E-3</v>
      </c>
    </row>
    <row r="919" spans="1:7">
      <c r="A919" s="47">
        <v>67.760000000000005</v>
      </c>
      <c r="B919" s="47">
        <v>68.010000000000005</v>
      </c>
      <c r="C919" s="47">
        <v>63.42</v>
      </c>
      <c r="D919" s="47">
        <v>64.790000000000006</v>
      </c>
      <c r="E919" s="47">
        <v>377042</v>
      </c>
      <c r="F919" s="47" t="s">
        <v>662</v>
      </c>
      <c r="G919" s="25">
        <f t="shared" si="13"/>
        <v>4.5840407470288502E-2</v>
      </c>
    </row>
    <row r="920" spans="1:7">
      <c r="A920" s="47">
        <v>65.84</v>
      </c>
      <c r="B920" s="47">
        <v>67.53</v>
      </c>
      <c r="C920" s="47">
        <v>64.78</v>
      </c>
      <c r="D920" s="47">
        <v>66.5</v>
      </c>
      <c r="E920" s="47">
        <v>330170</v>
      </c>
      <c r="F920" s="47" t="s">
        <v>661</v>
      </c>
      <c r="G920" s="25">
        <f t="shared" si="13"/>
        <v>-9.9248120300751141E-3</v>
      </c>
    </row>
    <row r="921" spans="1:7">
      <c r="A921" s="47">
        <v>65.989999999999995</v>
      </c>
      <c r="B921" s="47">
        <v>66.86</v>
      </c>
      <c r="C921" s="47">
        <v>63.91</v>
      </c>
      <c r="D921" s="47">
        <v>66.73</v>
      </c>
      <c r="E921" s="47">
        <v>224956</v>
      </c>
      <c r="F921" s="47" t="s">
        <v>660</v>
      </c>
      <c r="G921" s="25">
        <f t="shared" si="13"/>
        <v>-1.1089465008242261E-2</v>
      </c>
    </row>
    <row r="922" spans="1:7">
      <c r="A922" s="47">
        <v>67.819999999999993</v>
      </c>
      <c r="B922" s="47">
        <v>68.790000000000006</v>
      </c>
      <c r="C922" s="47">
        <v>66.69</v>
      </c>
      <c r="D922" s="47">
        <v>68.790000000000006</v>
      </c>
      <c r="E922" s="47">
        <v>194980</v>
      </c>
      <c r="F922" s="47" t="s">
        <v>659</v>
      </c>
      <c r="G922" s="25">
        <f t="shared" si="13"/>
        <v>-1.4100886756796216E-2</v>
      </c>
    </row>
    <row r="923" spans="1:7">
      <c r="A923" s="47">
        <v>68.400000000000006</v>
      </c>
      <c r="B923" s="47">
        <v>70.69</v>
      </c>
      <c r="C923" s="47">
        <v>67.2</v>
      </c>
      <c r="D923" s="47">
        <v>70.010000000000005</v>
      </c>
      <c r="E923" s="47">
        <v>300207</v>
      </c>
      <c r="F923" s="47" t="s">
        <v>658</v>
      </c>
      <c r="G923" s="25">
        <f t="shared" si="13"/>
        <v>-2.2996714755034953E-2</v>
      </c>
    </row>
    <row r="924" spans="1:7">
      <c r="A924" s="47">
        <v>70.88</v>
      </c>
      <c r="B924" s="47">
        <v>72.22</v>
      </c>
      <c r="C924" s="47">
        <v>70.260000000000005</v>
      </c>
      <c r="D924" s="47">
        <v>72.19</v>
      </c>
      <c r="E924" s="47">
        <v>347376</v>
      </c>
      <c r="F924" s="47" t="s">
        <v>657</v>
      </c>
      <c r="G924" s="25">
        <f t="shared" si="13"/>
        <v>-1.8146557694971643E-2</v>
      </c>
    </row>
    <row r="925" spans="1:7">
      <c r="A925" s="47">
        <v>72.099999999999994</v>
      </c>
      <c r="B925" s="47">
        <v>73.325000000000003</v>
      </c>
      <c r="C925" s="47">
        <v>70.97</v>
      </c>
      <c r="D925" s="47">
        <v>70.97</v>
      </c>
      <c r="E925" s="47">
        <v>902958</v>
      </c>
      <c r="F925" s="47" t="s">
        <v>656</v>
      </c>
      <c r="G925" s="25">
        <f t="shared" si="13"/>
        <v>1.5922220656615416E-2</v>
      </c>
    </row>
    <row r="926" spans="1:7">
      <c r="A926" s="47">
        <v>70.06</v>
      </c>
      <c r="B926" s="47">
        <v>70.39</v>
      </c>
      <c r="C926" s="47">
        <v>65.19</v>
      </c>
      <c r="D926" s="47">
        <v>65.489999999999995</v>
      </c>
      <c r="E926" s="47">
        <v>340312</v>
      </c>
      <c r="F926" s="47" t="s">
        <v>655</v>
      </c>
      <c r="G926" s="25">
        <f t="shared" si="13"/>
        <v>6.9781646052832658E-2</v>
      </c>
    </row>
    <row r="927" spans="1:7">
      <c r="A927" s="47">
        <v>64.84</v>
      </c>
      <c r="B927" s="47">
        <v>65.760000000000005</v>
      </c>
      <c r="C927" s="47">
        <v>63.08</v>
      </c>
      <c r="D927" s="47">
        <v>63.08</v>
      </c>
      <c r="E927" s="47">
        <v>362106</v>
      </c>
      <c r="F927" s="47" t="s">
        <v>654</v>
      </c>
      <c r="G927" s="25">
        <f t="shared" si="13"/>
        <v>2.7901077996195456E-2</v>
      </c>
    </row>
    <row r="928" spans="1:7">
      <c r="A928" s="47">
        <v>63.81</v>
      </c>
      <c r="B928" s="47">
        <v>66.53</v>
      </c>
      <c r="C928" s="47">
        <v>63.81</v>
      </c>
      <c r="D928" s="47">
        <v>64.959999999999994</v>
      </c>
      <c r="E928" s="47">
        <v>240379</v>
      </c>
      <c r="F928" s="47" t="s">
        <v>653</v>
      </c>
      <c r="G928" s="25">
        <f t="shared" si="13"/>
        <v>-1.7703201970443172E-2</v>
      </c>
    </row>
    <row r="929" spans="1:7">
      <c r="A929" s="47">
        <v>64.27</v>
      </c>
      <c r="B929" s="47">
        <v>65.63</v>
      </c>
      <c r="C929" s="47">
        <v>62.72</v>
      </c>
      <c r="D929" s="47">
        <v>62.72</v>
      </c>
      <c r="E929" s="47">
        <v>837133</v>
      </c>
      <c r="F929" s="47" t="s">
        <v>652</v>
      </c>
      <c r="G929" s="25">
        <f t="shared" si="13"/>
        <v>2.4713010204081565E-2</v>
      </c>
    </row>
    <row r="930" spans="1:7">
      <c r="A930" s="47">
        <v>62.01</v>
      </c>
      <c r="B930" s="47">
        <v>63.55</v>
      </c>
      <c r="C930" s="47">
        <v>60.59</v>
      </c>
      <c r="D930" s="47">
        <v>62.9</v>
      </c>
      <c r="E930" s="47">
        <v>352900</v>
      </c>
      <c r="F930" s="47" t="s">
        <v>651</v>
      </c>
      <c r="G930" s="25">
        <f t="shared" si="13"/>
        <v>-1.4149443561208286E-2</v>
      </c>
    </row>
    <row r="931" spans="1:7">
      <c r="A931" s="47">
        <v>64.84</v>
      </c>
      <c r="B931" s="47">
        <v>66.14</v>
      </c>
      <c r="C931" s="47">
        <v>62.69</v>
      </c>
      <c r="D931" s="47">
        <v>63.29</v>
      </c>
      <c r="E931" s="47">
        <v>383269</v>
      </c>
      <c r="F931" s="47" t="s">
        <v>650</v>
      </c>
      <c r="G931" s="25">
        <f t="shared" si="13"/>
        <v>2.4490440827934945E-2</v>
      </c>
    </row>
    <row r="932" spans="1:7">
      <c r="A932" s="47">
        <v>62.06</v>
      </c>
      <c r="B932" s="47">
        <v>63.337299999999999</v>
      </c>
      <c r="C932" s="47">
        <v>60.12</v>
      </c>
      <c r="D932" s="47">
        <v>62.67</v>
      </c>
      <c r="E932" s="47">
        <v>384874</v>
      </c>
      <c r="F932" s="47" t="s">
        <v>649</v>
      </c>
      <c r="G932" s="25">
        <f t="shared" si="13"/>
        <v>-9.7335248125099971E-3</v>
      </c>
    </row>
    <row r="933" spans="1:7">
      <c r="A933" s="47">
        <v>62.37</v>
      </c>
      <c r="B933" s="47">
        <v>65.349999999999994</v>
      </c>
      <c r="C933" s="47">
        <v>61.6</v>
      </c>
      <c r="D933" s="47">
        <v>64.78</v>
      </c>
      <c r="E933" s="47">
        <v>363030</v>
      </c>
      <c r="F933" s="47" t="s">
        <v>648</v>
      </c>
      <c r="G933" s="25">
        <f t="shared" si="13"/>
        <v>-3.7202840382834279E-2</v>
      </c>
    </row>
    <row r="934" spans="1:7">
      <c r="A934" s="47">
        <v>67.64</v>
      </c>
      <c r="B934" s="47">
        <v>69.39</v>
      </c>
      <c r="C934" s="47">
        <v>65.849999999999994</v>
      </c>
      <c r="D934" s="47">
        <v>69.180000000000007</v>
      </c>
      <c r="E934" s="47">
        <v>233600</v>
      </c>
      <c r="F934" s="47" t="s">
        <v>647</v>
      </c>
      <c r="G934" s="25">
        <f t="shared" si="13"/>
        <v>-2.2260769008384029E-2</v>
      </c>
    </row>
    <row r="935" spans="1:7">
      <c r="A935" s="47">
        <v>71</v>
      </c>
      <c r="B935" s="47">
        <v>74.23</v>
      </c>
      <c r="C935" s="47">
        <v>70.89</v>
      </c>
      <c r="D935" s="47">
        <v>73.58</v>
      </c>
      <c r="E935" s="47">
        <v>194930</v>
      </c>
      <c r="F935" s="47" t="s">
        <v>646</v>
      </c>
      <c r="G935" s="25">
        <f t="shared" si="13"/>
        <v>-3.5063876053275322E-2</v>
      </c>
    </row>
    <row r="936" spans="1:7">
      <c r="A936" s="47">
        <v>74.709999999999994</v>
      </c>
      <c r="B936" s="47">
        <v>76.77</v>
      </c>
      <c r="C936" s="47">
        <v>74.33</v>
      </c>
      <c r="D936" s="47">
        <v>74.33</v>
      </c>
      <c r="E936" s="47">
        <v>227147</v>
      </c>
      <c r="F936" s="47" t="s">
        <v>645</v>
      </c>
      <c r="G936" s="25">
        <f t="shared" si="13"/>
        <v>5.1123368760930266E-3</v>
      </c>
    </row>
    <row r="937" spans="1:7">
      <c r="A937" s="47">
        <v>75.17</v>
      </c>
      <c r="B937" s="47">
        <v>75.540000000000006</v>
      </c>
      <c r="C937" s="47">
        <v>72.94</v>
      </c>
      <c r="D937" s="47">
        <v>72.94</v>
      </c>
      <c r="E937" s="47">
        <v>213807</v>
      </c>
      <c r="F937" s="47" t="s">
        <v>644</v>
      </c>
      <c r="G937" s="25">
        <f t="shared" si="13"/>
        <v>3.0573073759254221E-2</v>
      </c>
    </row>
    <row r="938" spans="1:7">
      <c r="A938" s="47">
        <v>73.97</v>
      </c>
      <c r="B938" s="47">
        <v>74.989999999999995</v>
      </c>
      <c r="C938" s="47">
        <v>72.307199999999995</v>
      </c>
      <c r="D938" s="47">
        <v>74.8</v>
      </c>
      <c r="E938" s="47">
        <v>285202</v>
      </c>
      <c r="F938" s="47" t="s">
        <v>643</v>
      </c>
      <c r="G938" s="25">
        <f t="shared" si="13"/>
        <v>-1.109625668449199E-2</v>
      </c>
    </row>
    <row r="939" spans="1:7">
      <c r="A939" s="47">
        <v>73.099999999999994</v>
      </c>
      <c r="B939" s="47">
        <v>74.825000000000003</v>
      </c>
      <c r="C939" s="47">
        <v>72</v>
      </c>
      <c r="D939" s="47">
        <v>74.5</v>
      </c>
      <c r="E939" s="47">
        <v>282688</v>
      </c>
      <c r="F939" s="47" t="s">
        <v>642</v>
      </c>
      <c r="G939" s="25">
        <f t="shared" si="13"/>
        <v>-1.8791946308724938E-2</v>
      </c>
    </row>
    <row r="940" spans="1:7">
      <c r="A940" s="47">
        <v>75.89</v>
      </c>
      <c r="B940" s="47">
        <v>75.989999999999995</v>
      </c>
      <c r="C940" s="47">
        <v>73.12</v>
      </c>
      <c r="D940" s="47">
        <v>73.39</v>
      </c>
      <c r="E940" s="47">
        <v>395010</v>
      </c>
      <c r="F940" s="47" t="s">
        <v>641</v>
      </c>
      <c r="G940" s="25">
        <f t="shared" si="13"/>
        <v>3.4064586455920365E-2</v>
      </c>
    </row>
    <row r="941" spans="1:7">
      <c r="A941" s="47">
        <v>73.5</v>
      </c>
      <c r="B941" s="47">
        <v>76.17</v>
      </c>
      <c r="C941" s="47">
        <v>72.19</v>
      </c>
      <c r="D941" s="47">
        <v>73.8</v>
      </c>
      <c r="E941" s="47">
        <v>621988</v>
      </c>
      <c r="F941" s="47" t="s">
        <v>640</v>
      </c>
      <c r="G941" s="25">
        <f t="shared" si="13"/>
        <v>-4.0650406504064707E-3</v>
      </c>
    </row>
    <row r="942" spans="1:7">
      <c r="A942" s="47">
        <v>73.010000000000005</v>
      </c>
      <c r="B942" s="47">
        <v>74.48</v>
      </c>
      <c r="C942" s="47">
        <v>71.400000000000006</v>
      </c>
      <c r="D942" s="47">
        <v>73.47</v>
      </c>
      <c r="E942" s="47">
        <v>544127</v>
      </c>
      <c r="F942" s="47" t="s">
        <v>639</v>
      </c>
      <c r="G942" s="25">
        <f t="shared" si="13"/>
        <v>-6.2610589356199009E-3</v>
      </c>
    </row>
    <row r="943" spans="1:7">
      <c r="A943" s="47">
        <v>73.819999999999993</v>
      </c>
      <c r="B943" s="47">
        <v>74.53</v>
      </c>
      <c r="C943" s="47">
        <v>71.459999999999994</v>
      </c>
      <c r="D943" s="47">
        <v>71.459999999999994</v>
      </c>
      <c r="E943" s="47">
        <v>427208</v>
      </c>
      <c r="F943" s="47" t="s">
        <v>638</v>
      </c>
      <c r="G943" s="25">
        <f t="shared" si="13"/>
        <v>3.3025468793730806E-2</v>
      </c>
    </row>
    <row r="944" spans="1:7">
      <c r="A944" s="47">
        <v>70.430000000000007</v>
      </c>
      <c r="B944" s="47">
        <v>70.8</v>
      </c>
      <c r="C944" s="47">
        <v>67.209999999999994</v>
      </c>
      <c r="D944" s="47">
        <v>68.19</v>
      </c>
      <c r="E944" s="47">
        <v>290640</v>
      </c>
      <c r="F944" s="47" t="s">
        <v>637</v>
      </c>
      <c r="G944" s="25">
        <f t="shared" si="13"/>
        <v>3.2849391406364781E-2</v>
      </c>
    </row>
    <row r="945" spans="1:7">
      <c r="A945" s="47">
        <v>67.989999999999995</v>
      </c>
      <c r="B945" s="47">
        <v>68.704999999999998</v>
      </c>
      <c r="C945" s="47">
        <v>64.150000000000006</v>
      </c>
      <c r="D945" s="47">
        <v>64.38</v>
      </c>
      <c r="E945" s="47">
        <v>361102</v>
      </c>
      <c r="F945" s="47" t="s">
        <v>636</v>
      </c>
      <c r="G945" s="25">
        <f t="shared" si="13"/>
        <v>5.607331469400445E-2</v>
      </c>
    </row>
    <row r="946" spans="1:7">
      <c r="A946" s="47">
        <v>64.819999999999993</v>
      </c>
      <c r="B946" s="47">
        <v>69.83</v>
      </c>
      <c r="C946" s="47">
        <v>64.400000000000006</v>
      </c>
      <c r="D946" s="47">
        <v>69.459999999999994</v>
      </c>
      <c r="E946" s="47">
        <v>275688</v>
      </c>
      <c r="F946" s="47" t="s">
        <v>635</v>
      </c>
      <c r="G946" s="25">
        <f t="shared" si="13"/>
        <v>-6.680103656780878E-2</v>
      </c>
    </row>
    <row r="947" spans="1:7">
      <c r="A947" s="47">
        <v>70.430000000000007</v>
      </c>
      <c r="B947" s="47">
        <v>70.459999999999994</v>
      </c>
      <c r="C947" s="47">
        <v>67.040000000000006</v>
      </c>
      <c r="D947" s="47">
        <v>68.55</v>
      </c>
      <c r="E947" s="47">
        <v>471869</v>
      </c>
      <c r="F947" s="47" t="s">
        <v>634</v>
      </c>
      <c r="G947" s="25">
        <f t="shared" si="13"/>
        <v>2.7425237053245954E-2</v>
      </c>
    </row>
    <row r="948" spans="1:7">
      <c r="A948" s="47">
        <v>68.16</v>
      </c>
      <c r="B948" s="47">
        <v>70.14</v>
      </c>
      <c r="C948" s="47">
        <v>65.680099999999996</v>
      </c>
      <c r="D948" s="47">
        <v>69.540000000000006</v>
      </c>
      <c r="E948" s="47">
        <v>309933</v>
      </c>
      <c r="F948" s="47" t="s">
        <v>633</v>
      </c>
      <c r="G948" s="25">
        <f t="shared" si="13"/>
        <v>-1.9844693701466909E-2</v>
      </c>
    </row>
    <row r="949" spans="1:7">
      <c r="A949" s="47">
        <v>68.180000000000007</v>
      </c>
      <c r="B949" s="47">
        <v>69.55</v>
      </c>
      <c r="C949" s="47">
        <v>64.75</v>
      </c>
      <c r="D949" s="47">
        <v>64.75</v>
      </c>
      <c r="E949" s="47">
        <v>496333</v>
      </c>
      <c r="F949" s="47" t="s">
        <v>632</v>
      </c>
      <c r="G949" s="25">
        <f t="shared" si="13"/>
        <v>5.2972972972973098E-2</v>
      </c>
    </row>
    <row r="950" spans="1:7">
      <c r="A950" s="47">
        <v>64.81</v>
      </c>
      <c r="B950" s="47">
        <v>68.400000000000006</v>
      </c>
      <c r="C950" s="47">
        <v>64.3</v>
      </c>
      <c r="D950" s="47">
        <v>67.5</v>
      </c>
      <c r="E950" s="47">
        <v>324531</v>
      </c>
      <c r="F950" s="47" t="s">
        <v>631</v>
      </c>
      <c r="G950" s="25">
        <f t="shared" si="13"/>
        <v>-3.9851851851851805E-2</v>
      </c>
    </row>
    <row r="951" spans="1:7">
      <c r="A951" s="47">
        <v>68.739999999999995</v>
      </c>
      <c r="B951" s="47">
        <v>72.67</v>
      </c>
      <c r="C951" s="47">
        <v>66.867500000000007</v>
      </c>
      <c r="D951" s="47">
        <v>70.34</v>
      </c>
      <c r="E951" s="47">
        <v>316612</v>
      </c>
      <c r="F951" s="47" t="s">
        <v>630</v>
      </c>
      <c r="G951" s="25">
        <f t="shared" ref="G951:G1014" si="14">A951/D951-1</f>
        <v>-2.2746659084447063E-2</v>
      </c>
    </row>
    <row r="952" spans="1:7">
      <c r="A952" s="47">
        <v>68.58</v>
      </c>
      <c r="B952" s="47">
        <v>72.099999999999994</v>
      </c>
      <c r="C952" s="47">
        <v>67.97</v>
      </c>
      <c r="D952" s="47">
        <v>70.849999999999994</v>
      </c>
      <c r="E952" s="47">
        <v>320166</v>
      </c>
      <c r="F952" s="47" t="s">
        <v>629</v>
      </c>
      <c r="G952" s="25">
        <f t="shared" si="14"/>
        <v>-3.2039520112914555E-2</v>
      </c>
    </row>
    <row r="953" spans="1:7">
      <c r="A953" s="47">
        <v>71.75</v>
      </c>
      <c r="B953" s="47">
        <v>73.44</v>
      </c>
      <c r="C953" s="47">
        <v>69.28</v>
      </c>
      <c r="D953" s="47">
        <v>69.47</v>
      </c>
      <c r="E953" s="47">
        <v>509138</v>
      </c>
      <c r="F953" s="47" t="s">
        <v>628</v>
      </c>
      <c r="G953" s="25">
        <f t="shared" si="14"/>
        <v>3.2819922268605195E-2</v>
      </c>
    </row>
    <row r="954" spans="1:7">
      <c r="A954" s="47">
        <v>68.19</v>
      </c>
      <c r="B954" s="47">
        <v>71.010000000000005</v>
      </c>
      <c r="C954" s="47">
        <v>64.040000000000006</v>
      </c>
      <c r="D954" s="47">
        <v>65.12</v>
      </c>
      <c r="E954" s="47">
        <v>508717</v>
      </c>
      <c r="F954" s="47" t="s">
        <v>627</v>
      </c>
      <c r="G954" s="25">
        <f t="shared" si="14"/>
        <v>4.7143734643734447E-2</v>
      </c>
    </row>
    <row r="955" spans="1:7">
      <c r="A955" s="47">
        <v>66.819999999999993</v>
      </c>
      <c r="B955" s="47">
        <v>70.91</v>
      </c>
      <c r="C955" s="47">
        <v>66.5</v>
      </c>
      <c r="D955" s="47">
        <v>69.16</v>
      </c>
      <c r="E955" s="47">
        <v>660405</v>
      </c>
      <c r="F955" s="47" t="s">
        <v>626</v>
      </c>
      <c r="G955" s="25">
        <f t="shared" si="14"/>
        <v>-3.3834586466165439E-2</v>
      </c>
    </row>
    <row r="956" spans="1:7">
      <c r="A956" s="47">
        <v>70.010000000000005</v>
      </c>
      <c r="B956" s="47">
        <v>73.8</v>
      </c>
      <c r="C956" s="47">
        <v>67.06</v>
      </c>
      <c r="D956" s="47">
        <v>71.78</v>
      </c>
      <c r="E956" s="47">
        <v>623246</v>
      </c>
      <c r="F956" s="47" t="s">
        <v>625</v>
      </c>
      <c r="G956" s="25">
        <f t="shared" si="14"/>
        <v>-2.465867929785448E-2</v>
      </c>
    </row>
    <row r="957" spans="1:7">
      <c r="A957" s="47">
        <v>69.94</v>
      </c>
      <c r="B957" s="47">
        <v>76</v>
      </c>
      <c r="C957" s="47">
        <v>69.394999999999996</v>
      </c>
      <c r="D957" s="47">
        <v>75.52</v>
      </c>
      <c r="E957" s="47">
        <v>576364</v>
      </c>
      <c r="F957" s="47" t="s">
        <v>624</v>
      </c>
      <c r="G957" s="25">
        <f t="shared" si="14"/>
        <v>-7.3887711864406791E-2</v>
      </c>
    </row>
    <row r="958" spans="1:7">
      <c r="A958" s="47">
        <v>77.34</v>
      </c>
      <c r="B958" s="47">
        <v>82.6</v>
      </c>
      <c r="C958" s="47">
        <v>77.11</v>
      </c>
      <c r="D958" s="47">
        <v>81.239999999999995</v>
      </c>
      <c r="E958" s="47">
        <v>565382</v>
      </c>
      <c r="F958" s="47" t="s">
        <v>623</v>
      </c>
      <c r="G958" s="25">
        <f t="shared" si="14"/>
        <v>-4.80059084194977E-2</v>
      </c>
    </row>
    <row r="959" spans="1:7">
      <c r="A959" s="47">
        <v>82.35</v>
      </c>
      <c r="B959" s="47">
        <v>86.59</v>
      </c>
      <c r="C959" s="47">
        <v>78.66</v>
      </c>
      <c r="D959" s="47">
        <v>86.57</v>
      </c>
      <c r="E959" s="47">
        <v>813374</v>
      </c>
      <c r="F959" s="47" t="s">
        <v>622</v>
      </c>
      <c r="G959" s="25">
        <f t="shared" si="14"/>
        <v>-4.8746678988102143E-2</v>
      </c>
    </row>
    <row r="960" spans="1:7">
      <c r="A960" s="47">
        <v>87.77</v>
      </c>
      <c r="B960" s="47">
        <v>88.61</v>
      </c>
      <c r="C960" s="47">
        <v>77.06</v>
      </c>
      <c r="D960" s="47">
        <v>81.709999999999994</v>
      </c>
      <c r="E960" s="47">
        <v>1776323</v>
      </c>
      <c r="F960" s="47" t="s">
        <v>621</v>
      </c>
      <c r="G960" s="25">
        <f t="shared" si="14"/>
        <v>7.4164728919348999E-2</v>
      </c>
    </row>
    <row r="961" spans="1:7">
      <c r="A961" s="47">
        <v>94.08</v>
      </c>
      <c r="B961" s="47">
        <v>97.62</v>
      </c>
      <c r="C961" s="47">
        <v>93.46</v>
      </c>
      <c r="D961" s="47">
        <v>96.19</v>
      </c>
      <c r="E961" s="47">
        <v>373824</v>
      </c>
      <c r="F961" s="47" t="s">
        <v>620</v>
      </c>
      <c r="G961" s="25">
        <f t="shared" si="14"/>
        <v>-2.1935752157188904E-2</v>
      </c>
    </row>
    <row r="962" spans="1:7">
      <c r="A962" s="47">
        <v>96.66</v>
      </c>
      <c r="B962" s="47">
        <v>98.47</v>
      </c>
      <c r="C962" s="47">
        <v>94.34</v>
      </c>
      <c r="D962" s="47">
        <v>96.01</v>
      </c>
      <c r="E962" s="47">
        <v>455285</v>
      </c>
      <c r="F962" s="47" t="s">
        <v>619</v>
      </c>
      <c r="G962" s="25">
        <f t="shared" si="14"/>
        <v>6.7701281116550049E-3</v>
      </c>
    </row>
    <row r="963" spans="1:7">
      <c r="A963" s="47">
        <v>96.51</v>
      </c>
      <c r="B963" s="47">
        <v>103.75</v>
      </c>
      <c r="C963" s="47">
        <v>96.16</v>
      </c>
      <c r="D963" s="47">
        <v>102</v>
      </c>
      <c r="E963" s="47">
        <v>446601</v>
      </c>
      <c r="F963" s="47" t="s">
        <v>618</v>
      </c>
      <c r="G963" s="25">
        <f t="shared" si="14"/>
        <v>-5.3823529411764603E-2</v>
      </c>
    </row>
    <row r="964" spans="1:7">
      <c r="A964" s="47">
        <v>102.61</v>
      </c>
      <c r="B964" s="47">
        <v>103.23390000000001</v>
      </c>
      <c r="C964" s="47">
        <v>98.704999999999998</v>
      </c>
      <c r="D964" s="47">
        <v>102.48</v>
      </c>
      <c r="E964" s="47">
        <v>295329</v>
      </c>
      <c r="F964" s="47" t="s">
        <v>617</v>
      </c>
      <c r="G964" s="25">
        <f t="shared" si="14"/>
        <v>1.2685402029664061E-3</v>
      </c>
    </row>
    <row r="965" spans="1:7">
      <c r="A965" s="47">
        <v>100.61</v>
      </c>
      <c r="B965" s="47">
        <v>103.63</v>
      </c>
      <c r="C965" s="47">
        <v>99.96</v>
      </c>
      <c r="D965" s="47">
        <v>101.55</v>
      </c>
      <c r="E965" s="47">
        <v>461835</v>
      </c>
      <c r="F965" s="47" t="s">
        <v>616</v>
      </c>
      <c r="G965" s="25">
        <f t="shared" si="14"/>
        <v>-9.2565238798620886E-3</v>
      </c>
    </row>
    <row r="966" spans="1:7">
      <c r="A966" s="47">
        <v>101.55</v>
      </c>
      <c r="B966" s="47">
        <v>105.19</v>
      </c>
      <c r="C966" s="47">
        <v>100.14</v>
      </c>
      <c r="D966" s="47">
        <v>104.65</v>
      </c>
      <c r="E966" s="47">
        <v>427263</v>
      </c>
      <c r="F966" s="47" t="s">
        <v>615</v>
      </c>
      <c r="G966" s="25">
        <f t="shared" si="14"/>
        <v>-2.9622551361681904E-2</v>
      </c>
    </row>
    <row r="967" spans="1:7">
      <c r="A967" s="47">
        <v>105.87</v>
      </c>
      <c r="B967" s="47">
        <v>106.69499999999999</v>
      </c>
      <c r="C967" s="47">
        <v>102.71980000000001</v>
      </c>
      <c r="D967" s="47">
        <v>103.39</v>
      </c>
      <c r="E967" s="47">
        <v>366941</v>
      </c>
      <c r="F967" s="47" t="s">
        <v>614</v>
      </c>
      <c r="G967" s="25">
        <f t="shared" si="14"/>
        <v>2.3986845923203548E-2</v>
      </c>
    </row>
    <row r="968" spans="1:7">
      <c r="A968" s="47">
        <v>103.92</v>
      </c>
      <c r="B968" s="47">
        <v>105.315</v>
      </c>
      <c r="C968" s="47">
        <v>102.79</v>
      </c>
      <c r="D968" s="47">
        <v>103.38</v>
      </c>
      <c r="E968" s="47">
        <v>260551</v>
      </c>
      <c r="F968" s="47" t="s">
        <v>613</v>
      </c>
      <c r="G968" s="25">
        <f t="shared" si="14"/>
        <v>5.2234474753338755E-3</v>
      </c>
    </row>
    <row r="969" spans="1:7">
      <c r="A969" s="47">
        <v>104.5</v>
      </c>
      <c r="B969" s="47">
        <v>110.31</v>
      </c>
      <c r="C969" s="47">
        <v>103.66</v>
      </c>
      <c r="D969" s="47">
        <v>109.2</v>
      </c>
      <c r="E969" s="47">
        <v>267877</v>
      </c>
      <c r="F969" s="47" t="s">
        <v>612</v>
      </c>
      <c r="G969" s="25">
        <f t="shared" si="14"/>
        <v>-4.3040293040293109E-2</v>
      </c>
    </row>
    <row r="970" spans="1:7">
      <c r="A970" s="47">
        <v>107.63</v>
      </c>
      <c r="B970" s="47">
        <v>110.9</v>
      </c>
      <c r="C970" s="47">
        <v>106.57</v>
      </c>
      <c r="D970" s="47">
        <v>110.9</v>
      </c>
      <c r="E970" s="47">
        <v>235151</v>
      </c>
      <c r="F970" s="47" t="s">
        <v>611</v>
      </c>
      <c r="G970" s="25">
        <f t="shared" si="14"/>
        <v>-2.9486023444544762E-2</v>
      </c>
    </row>
    <row r="971" spans="1:7">
      <c r="A971" s="47">
        <v>109.78</v>
      </c>
      <c r="B971" s="47">
        <v>111.78</v>
      </c>
      <c r="C971" s="47">
        <v>106.46</v>
      </c>
      <c r="D971" s="47">
        <v>106.69</v>
      </c>
      <c r="E971" s="47">
        <v>185501</v>
      </c>
      <c r="F971" s="47" t="s">
        <v>610</v>
      </c>
      <c r="G971" s="25">
        <f t="shared" si="14"/>
        <v>2.8962414471834341E-2</v>
      </c>
    </row>
    <row r="972" spans="1:7">
      <c r="A972" s="47">
        <v>106.66</v>
      </c>
      <c r="B972" s="47">
        <v>107.65</v>
      </c>
      <c r="C972" s="47">
        <v>104.16</v>
      </c>
      <c r="D972" s="47">
        <v>107.65</v>
      </c>
      <c r="E972" s="47">
        <v>170156</v>
      </c>
      <c r="F972" s="47" t="s">
        <v>609</v>
      </c>
      <c r="G972" s="25">
        <f t="shared" si="14"/>
        <v>-9.1964700418022405E-3</v>
      </c>
    </row>
    <row r="973" spans="1:7">
      <c r="A973" s="47">
        <v>108.44</v>
      </c>
      <c r="B973" s="47">
        <v>112.41</v>
      </c>
      <c r="C973" s="47">
        <v>107.33</v>
      </c>
      <c r="D973" s="47">
        <v>112.41</v>
      </c>
      <c r="E973" s="47">
        <v>245288</v>
      </c>
      <c r="F973" s="47" t="s">
        <v>608</v>
      </c>
      <c r="G973" s="25">
        <f t="shared" si="14"/>
        <v>-3.5317142602971252E-2</v>
      </c>
    </row>
    <row r="974" spans="1:7">
      <c r="A974" s="47">
        <v>111.87</v>
      </c>
      <c r="B974" s="47">
        <v>112.63</v>
      </c>
      <c r="C974" s="47">
        <v>108.955</v>
      </c>
      <c r="D974" s="47">
        <v>110.71</v>
      </c>
      <c r="E974" s="47">
        <v>373664</v>
      </c>
      <c r="F974" s="47" t="s">
        <v>607</v>
      </c>
      <c r="G974" s="25">
        <f t="shared" si="14"/>
        <v>1.0477824948062597E-2</v>
      </c>
    </row>
    <row r="975" spans="1:7">
      <c r="A975" s="47">
        <v>109.97</v>
      </c>
      <c r="B975" s="47">
        <v>113.58</v>
      </c>
      <c r="C975" s="47">
        <v>109.07</v>
      </c>
      <c r="D975" s="47">
        <v>111.47</v>
      </c>
      <c r="E975" s="47">
        <v>229645</v>
      </c>
      <c r="F975" s="47" t="s">
        <v>606</v>
      </c>
      <c r="G975" s="25">
        <f t="shared" si="14"/>
        <v>-1.3456535390688029E-2</v>
      </c>
    </row>
    <row r="976" spans="1:7">
      <c r="A976" s="47">
        <v>108.94</v>
      </c>
      <c r="B976" s="47">
        <v>110.73</v>
      </c>
      <c r="C976" s="47">
        <v>106.49</v>
      </c>
      <c r="D976" s="47">
        <v>109</v>
      </c>
      <c r="E976" s="47">
        <v>305901</v>
      </c>
      <c r="F976" s="47" t="s">
        <v>605</v>
      </c>
      <c r="G976" s="25">
        <f t="shared" si="14"/>
        <v>-5.5045871559633586E-4</v>
      </c>
    </row>
    <row r="977" spans="1:7">
      <c r="A977" s="47">
        <v>110.03</v>
      </c>
      <c r="B977" s="47">
        <v>111.95</v>
      </c>
      <c r="C977" s="47">
        <v>109.12</v>
      </c>
      <c r="D977" s="47">
        <v>111.32</v>
      </c>
      <c r="E977" s="47">
        <v>169055</v>
      </c>
      <c r="F977" s="47" t="s">
        <v>604</v>
      </c>
      <c r="G977" s="25">
        <f t="shared" si="14"/>
        <v>-1.1588214157384091E-2</v>
      </c>
    </row>
    <row r="978" spans="1:7">
      <c r="A978" s="47">
        <v>112.49</v>
      </c>
      <c r="B978" s="47">
        <v>115.02</v>
      </c>
      <c r="C978" s="47">
        <v>110.71</v>
      </c>
      <c r="D978" s="47">
        <v>112.4</v>
      </c>
      <c r="E978" s="47">
        <v>251841</v>
      </c>
      <c r="F978" s="47" t="s">
        <v>603</v>
      </c>
      <c r="G978" s="25">
        <f t="shared" si="14"/>
        <v>8.0071174377205345E-4</v>
      </c>
    </row>
    <row r="979" spans="1:7">
      <c r="A979" s="47">
        <v>112.61</v>
      </c>
      <c r="B979" s="47">
        <v>115.32</v>
      </c>
      <c r="C979" s="47">
        <v>109.99</v>
      </c>
      <c r="D979" s="47">
        <v>113.92</v>
      </c>
      <c r="E979" s="47">
        <v>268132</v>
      </c>
      <c r="F979" s="47" t="s">
        <v>602</v>
      </c>
      <c r="G979" s="25">
        <f t="shared" si="14"/>
        <v>-1.1499297752809001E-2</v>
      </c>
    </row>
    <row r="980" spans="1:7">
      <c r="A980" s="47">
        <v>116.21</v>
      </c>
      <c r="B980" s="47">
        <v>120.96</v>
      </c>
      <c r="C980" s="47">
        <v>114.015</v>
      </c>
      <c r="D980" s="47">
        <v>120.07</v>
      </c>
      <c r="E980" s="47">
        <v>217616</v>
      </c>
      <c r="F980" s="47" t="s">
        <v>601</v>
      </c>
      <c r="G980" s="25">
        <f t="shared" si="14"/>
        <v>-3.2147913716998433E-2</v>
      </c>
    </row>
    <row r="981" spans="1:7">
      <c r="A981" s="47">
        <v>119.8</v>
      </c>
      <c r="B981" s="47">
        <v>124.76</v>
      </c>
      <c r="C981" s="47">
        <v>119.54</v>
      </c>
      <c r="D981" s="47">
        <v>123.15</v>
      </c>
      <c r="E981" s="47">
        <v>271473</v>
      </c>
      <c r="F981" s="47" t="s">
        <v>600</v>
      </c>
      <c r="G981" s="25">
        <f t="shared" si="14"/>
        <v>-2.7202598457166105E-2</v>
      </c>
    </row>
    <row r="982" spans="1:7">
      <c r="A982" s="47">
        <v>122.35</v>
      </c>
      <c r="B982" s="47">
        <v>122.51</v>
      </c>
      <c r="C982" s="47">
        <v>117.91</v>
      </c>
      <c r="D982" s="47">
        <v>117.91</v>
      </c>
      <c r="E982" s="47">
        <v>340396</v>
      </c>
      <c r="F982" s="47" t="s">
        <v>599</v>
      </c>
      <c r="G982" s="25">
        <f t="shared" si="14"/>
        <v>3.7655839199389307E-2</v>
      </c>
    </row>
    <row r="983" spans="1:7">
      <c r="A983" s="47">
        <v>118</v>
      </c>
      <c r="B983" s="47">
        <v>119.13</v>
      </c>
      <c r="C983" s="47">
        <v>115.28</v>
      </c>
      <c r="D983" s="47">
        <v>116.71</v>
      </c>
      <c r="E983" s="47">
        <v>330198</v>
      </c>
      <c r="F983" s="47" t="s">
        <v>598</v>
      </c>
      <c r="G983" s="25">
        <f t="shared" si="14"/>
        <v>1.1053037443235381E-2</v>
      </c>
    </row>
    <row r="984" spans="1:7">
      <c r="A984" s="47">
        <v>115.9</v>
      </c>
      <c r="B984" s="47">
        <v>119.36499999999999</v>
      </c>
      <c r="C984" s="47">
        <v>115.44</v>
      </c>
      <c r="D984" s="47">
        <v>118.08</v>
      </c>
      <c r="E984" s="47">
        <v>315840</v>
      </c>
      <c r="F984" s="47" t="s">
        <v>597</v>
      </c>
      <c r="G984" s="25">
        <f t="shared" si="14"/>
        <v>-1.8462059620596105E-2</v>
      </c>
    </row>
    <row r="985" spans="1:7">
      <c r="A985" s="47">
        <v>119.98</v>
      </c>
      <c r="B985" s="47">
        <v>121.15</v>
      </c>
      <c r="C985" s="47">
        <v>114.39</v>
      </c>
      <c r="D985" s="47">
        <v>116.61</v>
      </c>
      <c r="E985" s="47">
        <v>401708</v>
      </c>
      <c r="F985" s="47" t="s">
        <v>596</v>
      </c>
      <c r="G985" s="25">
        <f t="shared" si="14"/>
        <v>2.8899751307777999E-2</v>
      </c>
    </row>
    <row r="986" spans="1:7">
      <c r="A986" s="47">
        <v>114.26</v>
      </c>
      <c r="B986" s="47">
        <v>114.52</v>
      </c>
      <c r="C986" s="47">
        <v>109.54</v>
      </c>
      <c r="D986" s="47">
        <v>109.54</v>
      </c>
      <c r="E986" s="47">
        <v>468350</v>
      </c>
      <c r="F986" s="47" t="s">
        <v>595</v>
      </c>
      <c r="G986" s="25">
        <f t="shared" si="14"/>
        <v>4.3089282453898203E-2</v>
      </c>
    </row>
    <row r="987" spans="1:7">
      <c r="A987" s="47">
        <v>109.74</v>
      </c>
      <c r="B987" s="47">
        <v>113.07</v>
      </c>
      <c r="C987" s="47">
        <v>107.97</v>
      </c>
      <c r="D987" s="47">
        <v>112.42</v>
      </c>
      <c r="E987" s="47">
        <v>323863</v>
      </c>
      <c r="F987" s="47" t="s">
        <v>594</v>
      </c>
      <c r="G987" s="25">
        <f t="shared" si="14"/>
        <v>-2.383917452410611E-2</v>
      </c>
    </row>
    <row r="988" spans="1:7">
      <c r="A988" s="47">
        <v>112.02</v>
      </c>
      <c r="B988" s="47">
        <v>112.2</v>
      </c>
      <c r="C988" s="47">
        <v>109.01</v>
      </c>
      <c r="D988" s="47">
        <v>111</v>
      </c>
      <c r="E988" s="47">
        <v>294528</v>
      </c>
      <c r="F988" s="47" t="s">
        <v>593</v>
      </c>
      <c r="G988" s="25">
        <f t="shared" si="14"/>
        <v>9.1891891891890953E-3</v>
      </c>
    </row>
    <row r="989" spans="1:7">
      <c r="A989" s="47">
        <v>110.06</v>
      </c>
      <c r="B989" s="47">
        <v>112.52</v>
      </c>
      <c r="C989" s="47">
        <v>106.92</v>
      </c>
      <c r="D989" s="47">
        <v>110.29</v>
      </c>
      <c r="E989" s="47">
        <v>355776</v>
      </c>
      <c r="F989" s="47" t="s">
        <v>592</v>
      </c>
      <c r="G989" s="25">
        <f t="shared" si="14"/>
        <v>-2.0854111886844384E-3</v>
      </c>
    </row>
    <row r="990" spans="1:7">
      <c r="A990" s="47">
        <v>112.26</v>
      </c>
      <c r="B990" s="47">
        <v>113</v>
      </c>
      <c r="C990" s="47">
        <v>107.11499999999999</v>
      </c>
      <c r="D990" s="47">
        <v>107.13</v>
      </c>
      <c r="E990" s="47">
        <v>406543</v>
      </c>
      <c r="F990" s="47" t="s">
        <v>591</v>
      </c>
      <c r="G990" s="25">
        <f t="shared" si="14"/>
        <v>4.7885746289554776E-2</v>
      </c>
    </row>
    <row r="991" spans="1:7">
      <c r="A991" s="47">
        <v>107.5</v>
      </c>
      <c r="B991" s="47">
        <v>108.48</v>
      </c>
      <c r="C991" s="47">
        <v>104</v>
      </c>
      <c r="D991" s="47">
        <v>106.45</v>
      </c>
      <c r="E991" s="47">
        <v>837915</v>
      </c>
      <c r="F991" s="47" t="s">
        <v>590</v>
      </c>
      <c r="G991" s="25">
        <f t="shared" si="14"/>
        <v>9.863785814936632E-3</v>
      </c>
    </row>
    <row r="992" spans="1:7">
      <c r="A992" s="47">
        <v>107.76</v>
      </c>
      <c r="B992" s="47">
        <v>107.9</v>
      </c>
      <c r="C992" s="47">
        <v>102.47</v>
      </c>
      <c r="D992" s="47">
        <v>103.49</v>
      </c>
      <c r="E992" s="47">
        <v>544483</v>
      </c>
      <c r="F992" s="47" t="s">
        <v>589</v>
      </c>
      <c r="G992" s="25">
        <f t="shared" si="14"/>
        <v>4.1260025123200483E-2</v>
      </c>
    </row>
    <row r="993" spans="1:7">
      <c r="A993" s="47">
        <v>103.49</v>
      </c>
      <c r="B993" s="47">
        <v>104</v>
      </c>
      <c r="C993" s="47">
        <v>98.584999999999994</v>
      </c>
      <c r="D993" s="47">
        <v>98.7</v>
      </c>
      <c r="E993" s="47">
        <v>291767</v>
      </c>
      <c r="F993" s="47" t="s">
        <v>588</v>
      </c>
      <c r="G993" s="25">
        <f t="shared" si="14"/>
        <v>4.853090172239094E-2</v>
      </c>
    </row>
    <row r="994" spans="1:7">
      <c r="A994" s="47">
        <v>99.4</v>
      </c>
      <c r="B994" s="47">
        <v>100.25</v>
      </c>
      <c r="C994" s="47">
        <v>95.24</v>
      </c>
      <c r="D994" s="47">
        <v>96.12</v>
      </c>
      <c r="E994" s="47">
        <v>401245</v>
      </c>
      <c r="F994" s="47" t="s">
        <v>587</v>
      </c>
      <c r="G994" s="25">
        <f t="shared" si="14"/>
        <v>3.4124011652101549E-2</v>
      </c>
    </row>
    <row r="995" spans="1:7">
      <c r="A995" s="47">
        <v>95.19</v>
      </c>
      <c r="B995" s="47">
        <v>96.34</v>
      </c>
      <c r="C995" s="47">
        <v>93.02</v>
      </c>
      <c r="D995" s="47">
        <v>94.82</v>
      </c>
      <c r="E995" s="47">
        <v>327363</v>
      </c>
      <c r="F995" s="47" t="s">
        <v>586</v>
      </c>
      <c r="G995" s="25">
        <f t="shared" si="14"/>
        <v>3.9021303522464024E-3</v>
      </c>
    </row>
    <row r="996" spans="1:7">
      <c r="A996" s="47">
        <v>93.64</v>
      </c>
      <c r="B996" s="47">
        <v>97.11</v>
      </c>
      <c r="C996" s="47">
        <v>92.54</v>
      </c>
      <c r="D996" s="47">
        <v>95.33</v>
      </c>
      <c r="E996" s="47">
        <v>336103</v>
      </c>
      <c r="F996" s="47" t="s">
        <v>585</v>
      </c>
      <c r="G996" s="25">
        <f t="shared" si="14"/>
        <v>-1.7727892583656701E-2</v>
      </c>
    </row>
    <row r="997" spans="1:7">
      <c r="A997" s="47">
        <v>95.19</v>
      </c>
      <c r="B997" s="47">
        <v>100.94</v>
      </c>
      <c r="C997" s="47">
        <v>95.16</v>
      </c>
      <c r="D997" s="47">
        <v>100.94</v>
      </c>
      <c r="E997" s="47">
        <v>284559</v>
      </c>
      <c r="F997" s="47" t="s">
        <v>584</v>
      </c>
      <c r="G997" s="25">
        <f t="shared" si="14"/>
        <v>-5.6964533386170024E-2</v>
      </c>
    </row>
    <row r="998" spans="1:7">
      <c r="A998" s="47">
        <v>100.14</v>
      </c>
      <c r="B998" s="47">
        <v>101.85</v>
      </c>
      <c r="C998" s="47">
        <v>99.525000000000006</v>
      </c>
      <c r="D998" s="47">
        <v>100.13</v>
      </c>
      <c r="E998" s="47">
        <v>347732</v>
      </c>
      <c r="F998" s="47" t="s">
        <v>583</v>
      </c>
      <c r="G998" s="25">
        <f t="shared" si="14"/>
        <v>9.987016878065802E-5</v>
      </c>
    </row>
    <row r="999" spans="1:7">
      <c r="A999" s="47">
        <v>102.4</v>
      </c>
      <c r="B999" s="47">
        <v>103.16</v>
      </c>
      <c r="C999" s="47">
        <v>99.77</v>
      </c>
      <c r="D999" s="47">
        <v>100.04</v>
      </c>
      <c r="E999" s="47">
        <v>319795</v>
      </c>
      <c r="F999" s="47" t="s">
        <v>582</v>
      </c>
      <c r="G999" s="25">
        <f t="shared" si="14"/>
        <v>2.3590563774490203E-2</v>
      </c>
    </row>
    <row r="1000" spans="1:7">
      <c r="A1000" s="47">
        <v>97.09</v>
      </c>
      <c r="B1000" s="47">
        <v>98.89</v>
      </c>
      <c r="C1000" s="47">
        <v>92.93</v>
      </c>
      <c r="D1000" s="47">
        <v>93.32</v>
      </c>
      <c r="E1000" s="47">
        <v>508044</v>
      </c>
      <c r="F1000" s="47" t="s">
        <v>581</v>
      </c>
      <c r="G1000" s="25">
        <f t="shared" si="14"/>
        <v>4.0398628375482248E-2</v>
      </c>
    </row>
    <row r="1001" spans="1:7">
      <c r="A1001" s="47">
        <v>93.95</v>
      </c>
      <c r="B1001" s="47">
        <v>99.78</v>
      </c>
      <c r="C1001" s="47">
        <v>93.9</v>
      </c>
      <c r="D1001" s="47">
        <v>98.37</v>
      </c>
      <c r="E1001" s="47">
        <v>521451</v>
      </c>
      <c r="F1001" s="47" t="s">
        <v>580</v>
      </c>
      <c r="G1001" s="25">
        <f t="shared" si="14"/>
        <v>-4.4932398088848191E-2</v>
      </c>
    </row>
    <row r="1002" spans="1:7">
      <c r="A1002" s="47">
        <v>97.31</v>
      </c>
      <c r="B1002" s="47">
        <v>103.09</v>
      </c>
      <c r="C1002" s="47">
        <v>95.37</v>
      </c>
      <c r="D1002" s="47">
        <v>101.05</v>
      </c>
      <c r="E1002" s="47">
        <v>436142</v>
      </c>
      <c r="F1002" s="47" t="s">
        <v>579</v>
      </c>
      <c r="G1002" s="25">
        <f t="shared" si="14"/>
        <v>-3.7011380504700542E-2</v>
      </c>
    </row>
    <row r="1003" spans="1:7">
      <c r="A1003" s="47">
        <v>101.26</v>
      </c>
      <c r="B1003" s="47">
        <v>107.62</v>
      </c>
      <c r="C1003" s="47">
        <v>100.506</v>
      </c>
      <c r="D1003" s="47">
        <v>107.62</v>
      </c>
      <c r="E1003" s="47">
        <v>264623</v>
      </c>
      <c r="F1003" s="47" t="s">
        <v>578</v>
      </c>
      <c r="G1003" s="25">
        <f t="shared" si="14"/>
        <v>-5.9096822152016393E-2</v>
      </c>
    </row>
    <row r="1004" spans="1:7">
      <c r="A1004" s="47">
        <v>106.69</v>
      </c>
      <c r="B1004" s="47">
        <v>109.17</v>
      </c>
      <c r="C1004" s="47">
        <v>104.13500000000001</v>
      </c>
      <c r="D1004" s="47">
        <v>109.17</v>
      </c>
      <c r="E1004" s="47">
        <v>300831</v>
      </c>
      <c r="F1004" s="47" t="s">
        <v>577</v>
      </c>
      <c r="G1004" s="25">
        <f t="shared" si="14"/>
        <v>-2.2716863607218141E-2</v>
      </c>
    </row>
    <row r="1005" spans="1:7">
      <c r="A1005" s="47">
        <v>108.34</v>
      </c>
      <c r="B1005" s="47">
        <v>110.89</v>
      </c>
      <c r="C1005" s="47">
        <v>105.64</v>
      </c>
      <c r="D1005" s="47">
        <v>105.98</v>
      </c>
      <c r="E1005" s="47">
        <v>586052</v>
      </c>
      <c r="F1005" s="47" t="s">
        <v>576</v>
      </c>
      <c r="G1005" s="25">
        <f t="shared" si="14"/>
        <v>2.2268352519343226E-2</v>
      </c>
    </row>
    <row r="1006" spans="1:7">
      <c r="A1006" s="47">
        <v>105.3</v>
      </c>
      <c r="B1006" s="47">
        <v>106.31</v>
      </c>
      <c r="C1006" s="47">
        <v>101.3</v>
      </c>
      <c r="D1006" s="47">
        <v>101.3</v>
      </c>
      <c r="E1006" s="47">
        <v>520024</v>
      </c>
      <c r="F1006" s="47" t="s">
        <v>575</v>
      </c>
      <c r="G1006" s="25">
        <f t="shared" si="14"/>
        <v>3.948667324777877E-2</v>
      </c>
    </row>
    <row r="1007" spans="1:7">
      <c r="A1007" s="47">
        <v>101.84</v>
      </c>
      <c r="B1007" s="47">
        <v>101.96</v>
      </c>
      <c r="C1007" s="47">
        <v>96.09</v>
      </c>
      <c r="D1007" s="47">
        <v>99.5</v>
      </c>
      <c r="E1007" s="47">
        <v>414909</v>
      </c>
      <c r="F1007" s="47" t="s">
        <v>574</v>
      </c>
      <c r="G1007" s="25">
        <f t="shared" si="14"/>
        <v>2.3517587939698492E-2</v>
      </c>
    </row>
    <row r="1008" spans="1:7">
      <c r="A1008" s="47">
        <v>99.67</v>
      </c>
      <c r="B1008" s="47">
        <v>100.91</v>
      </c>
      <c r="C1008" s="47">
        <v>90.21</v>
      </c>
      <c r="D1008" s="47">
        <v>90.46</v>
      </c>
      <c r="E1008" s="47">
        <v>617498</v>
      </c>
      <c r="F1008" s="47" t="s">
        <v>573</v>
      </c>
      <c r="G1008" s="25">
        <f t="shared" si="14"/>
        <v>0.10181295600265328</v>
      </c>
    </row>
    <row r="1009" spans="1:7">
      <c r="A1009" s="47">
        <v>93.81</v>
      </c>
      <c r="B1009" s="47">
        <v>96.18</v>
      </c>
      <c r="C1009" s="47">
        <v>87.59</v>
      </c>
      <c r="D1009" s="47">
        <v>87.59</v>
      </c>
      <c r="E1009" s="47">
        <v>2042622</v>
      </c>
      <c r="F1009" s="47" t="s">
        <v>572</v>
      </c>
      <c r="G1009" s="25">
        <f t="shared" si="14"/>
        <v>7.1012672679529709E-2</v>
      </c>
    </row>
    <row r="1010" spans="1:7">
      <c r="A1010" s="47">
        <v>102.59</v>
      </c>
      <c r="B1010" s="47">
        <v>106.3</v>
      </c>
      <c r="C1010" s="47">
        <v>101.77</v>
      </c>
      <c r="D1010" s="47">
        <v>102.4</v>
      </c>
      <c r="E1010" s="47">
        <v>419933</v>
      </c>
      <c r="F1010" s="47" t="s">
        <v>571</v>
      </c>
      <c r="G1010" s="25">
        <f t="shared" si="14"/>
        <v>1.8554687499998668E-3</v>
      </c>
    </row>
    <row r="1011" spans="1:7">
      <c r="A1011" s="47">
        <v>104</v>
      </c>
      <c r="B1011" s="47">
        <v>108.79</v>
      </c>
      <c r="C1011" s="47">
        <v>104</v>
      </c>
      <c r="D1011" s="47">
        <v>108.26</v>
      </c>
      <c r="E1011" s="47">
        <v>464591</v>
      </c>
      <c r="F1011" s="47" t="s">
        <v>570</v>
      </c>
      <c r="G1011" s="25">
        <f t="shared" si="14"/>
        <v>-3.9349713652318541E-2</v>
      </c>
    </row>
    <row r="1012" spans="1:7">
      <c r="A1012" s="47">
        <v>108.2</v>
      </c>
      <c r="B1012" s="47">
        <v>115.15</v>
      </c>
      <c r="C1012" s="47">
        <v>107.9</v>
      </c>
      <c r="D1012" s="47">
        <v>114.83</v>
      </c>
      <c r="E1012" s="47">
        <v>359247</v>
      </c>
      <c r="F1012" s="47" t="s">
        <v>569</v>
      </c>
      <c r="G1012" s="25">
        <f t="shared" si="14"/>
        <v>-5.7737525037011239E-2</v>
      </c>
    </row>
    <row r="1013" spans="1:7">
      <c r="A1013" s="47">
        <v>116.79</v>
      </c>
      <c r="B1013" s="47">
        <v>117.42</v>
      </c>
      <c r="C1013" s="47">
        <v>112.21</v>
      </c>
      <c r="D1013" s="47">
        <v>115.65</v>
      </c>
      <c r="E1013" s="47">
        <v>220319</v>
      </c>
      <c r="F1013" s="47" t="s">
        <v>568</v>
      </c>
      <c r="G1013" s="25">
        <f t="shared" si="14"/>
        <v>9.8573281452658534E-3</v>
      </c>
    </row>
    <row r="1014" spans="1:7">
      <c r="A1014" s="47">
        <v>116.67</v>
      </c>
      <c r="B1014" s="47">
        <v>117.1523</v>
      </c>
      <c r="C1014" s="47">
        <v>114.35</v>
      </c>
      <c r="D1014" s="47">
        <v>116.3</v>
      </c>
      <c r="E1014" s="47">
        <v>259530</v>
      </c>
      <c r="F1014" s="47" t="s">
        <v>567</v>
      </c>
      <c r="G1014" s="25">
        <f t="shared" si="14"/>
        <v>3.1814273430783579E-3</v>
      </c>
    </row>
    <row r="1015" spans="1:7">
      <c r="A1015" s="47">
        <v>113.83</v>
      </c>
      <c r="B1015" s="47">
        <v>117.35</v>
      </c>
      <c r="C1015" s="47">
        <v>113.12</v>
      </c>
      <c r="D1015" s="47">
        <v>113.98</v>
      </c>
      <c r="E1015" s="47">
        <v>278221</v>
      </c>
      <c r="F1015" s="47" t="s">
        <v>566</v>
      </c>
      <c r="G1015" s="25">
        <f t="shared" ref="G1015:G1078" si="15">A1015/D1015-1</f>
        <v>-1.3160203544482219E-3</v>
      </c>
    </row>
    <row r="1016" spans="1:7">
      <c r="A1016" s="47">
        <v>115.18</v>
      </c>
      <c r="B1016" s="47">
        <v>121.68</v>
      </c>
      <c r="C1016" s="47">
        <v>114.04</v>
      </c>
      <c r="D1016" s="47">
        <v>119.57</v>
      </c>
      <c r="E1016" s="47">
        <v>275053</v>
      </c>
      <c r="F1016" s="47" t="s">
        <v>565</v>
      </c>
      <c r="G1016" s="25">
        <f t="shared" si="15"/>
        <v>-3.6714895040561912E-2</v>
      </c>
    </row>
    <row r="1017" spans="1:7">
      <c r="A1017" s="47">
        <v>119.48</v>
      </c>
      <c r="B1017" s="47">
        <v>122.52</v>
      </c>
      <c r="C1017" s="47">
        <v>114.9</v>
      </c>
      <c r="D1017" s="47">
        <v>114.9</v>
      </c>
      <c r="E1017" s="47">
        <v>279254</v>
      </c>
      <c r="F1017" s="47" t="s">
        <v>564</v>
      </c>
      <c r="G1017" s="25">
        <f t="shared" si="15"/>
        <v>3.9860748476936436E-2</v>
      </c>
    </row>
    <row r="1018" spans="1:7">
      <c r="A1018" s="47">
        <v>121.15</v>
      </c>
      <c r="B1018" s="47">
        <v>121.18</v>
      </c>
      <c r="C1018" s="47">
        <v>117.52</v>
      </c>
      <c r="D1018" s="47">
        <v>119.05</v>
      </c>
      <c r="E1018" s="47">
        <v>263368</v>
      </c>
      <c r="F1018" s="47" t="s">
        <v>563</v>
      </c>
      <c r="G1018" s="25">
        <f t="shared" si="15"/>
        <v>1.7639647207055908E-2</v>
      </c>
    </row>
    <row r="1019" spans="1:7">
      <c r="A1019" s="47">
        <v>117.32</v>
      </c>
      <c r="B1019" s="47">
        <v>117.89</v>
      </c>
      <c r="C1019" s="47">
        <v>111.9</v>
      </c>
      <c r="D1019" s="47">
        <v>111.9</v>
      </c>
      <c r="E1019" s="47">
        <v>225402</v>
      </c>
      <c r="F1019" s="47" t="s">
        <v>562</v>
      </c>
      <c r="G1019" s="25">
        <f t="shared" si="15"/>
        <v>4.8436103663985541E-2</v>
      </c>
    </row>
    <row r="1020" spans="1:7">
      <c r="A1020" s="47">
        <v>113.63</v>
      </c>
      <c r="B1020" s="47">
        <v>118.35</v>
      </c>
      <c r="C1020" s="47">
        <v>113.14</v>
      </c>
      <c r="D1020" s="47">
        <v>114.22</v>
      </c>
      <c r="E1020" s="47">
        <v>204259</v>
      </c>
      <c r="F1020" s="47" t="s">
        <v>561</v>
      </c>
      <c r="G1020" s="25">
        <f t="shared" si="15"/>
        <v>-5.1654701453336394E-3</v>
      </c>
    </row>
    <row r="1021" spans="1:7">
      <c r="A1021" s="47">
        <v>114.58</v>
      </c>
      <c r="B1021" s="47">
        <v>115.99</v>
      </c>
      <c r="C1021" s="47">
        <v>111.04</v>
      </c>
      <c r="D1021" s="47">
        <v>112.32</v>
      </c>
      <c r="E1021" s="47">
        <v>312061</v>
      </c>
      <c r="F1021" s="47" t="s">
        <v>560</v>
      </c>
      <c r="G1021" s="25">
        <f t="shared" si="15"/>
        <v>2.0121082621082698E-2</v>
      </c>
    </row>
    <row r="1022" spans="1:7">
      <c r="A1022" s="47">
        <v>111.85</v>
      </c>
      <c r="B1022" s="47">
        <v>115.68</v>
      </c>
      <c r="C1022" s="47">
        <v>110.79</v>
      </c>
      <c r="D1022" s="47">
        <v>112.11</v>
      </c>
      <c r="E1022" s="47">
        <v>243046</v>
      </c>
      <c r="F1022" s="47" t="s">
        <v>559</v>
      </c>
      <c r="G1022" s="25">
        <f t="shared" si="15"/>
        <v>-2.3191508340023592E-3</v>
      </c>
    </row>
    <row r="1023" spans="1:7">
      <c r="A1023" s="47">
        <v>116.52</v>
      </c>
      <c r="B1023" s="47">
        <v>119.78</v>
      </c>
      <c r="C1023" s="47">
        <v>114.55</v>
      </c>
      <c r="D1023" s="47">
        <v>119.78</v>
      </c>
      <c r="E1023" s="47">
        <v>291791</v>
      </c>
      <c r="F1023" s="47" t="s">
        <v>558</v>
      </c>
      <c r="G1023" s="25">
        <f t="shared" si="15"/>
        <v>-2.7216563700116936E-2</v>
      </c>
    </row>
    <row r="1024" spans="1:7">
      <c r="A1024" s="47">
        <v>119.68</v>
      </c>
      <c r="B1024" s="47">
        <v>120.96</v>
      </c>
      <c r="C1024" s="47">
        <v>116.08</v>
      </c>
      <c r="D1024" s="47">
        <v>120.96</v>
      </c>
      <c r="E1024" s="47">
        <v>291767</v>
      </c>
      <c r="F1024" s="47" t="s">
        <v>557</v>
      </c>
      <c r="G1024" s="25">
        <f t="shared" si="15"/>
        <v>-1.058201058201047E-2</v>
      </c>
    </row>
    <row r="1025" spans="1:7">
      <c r="A1025" s="47">
        <v>118.28</v>
      </c>
      <c r="B1025" s="47">
        <v>119</v>
      </c>
      <c r="C1025" s="47">
        <v>114.58</v>
      </c>
      <c r="D1025" s="47">
        <v>116.42</v>
      </c>
      <c r="E1025" s="47">
        <v>430110</v>
      </c>
      <c r="F1025" s="47" t="s">
        <v>556</v>
      </c>
      <c r="G1025" s="25">
        <f t="shared" si="15"/>
        <v>1.5976636316784143E-2</v>
      </c>
    </row>
    <row r="1026" spans="1:7">
      <c r="A1026" s="47">
        <v>115.65</v>
      </c>
      <c r="B1026" s="47">
        <v>115.82</v>
      </c>
      <c r="C1026" s="47">
        <v>109.17</v>
      </c>
      <c r="D1026" s="47">
        <v>112.07</v>
      </c>
      <c r="E1026" s="47">
        <v>264161</v>
      </c>
      <c r="F1026" s="47" t="s">
        <v>555</v>
      </c>
      <c r="G1026" s="25">
        <f t="shared" si="15"/>
        <v>3.1944320513964675E-2</v>
      </c>
    </row>
    <row r="1027" spans="1:7">
      <c r="A1027" s="47">
        <v>111.27</v>
      </c>
      <c r="B1027" s="47">
        <v>114.99</v>
      </c>
      <c r="C1027" s="47">
        <v>110.33499999999999</v>
      </c>
      <c r="D1027" s="47">
        <v>113.55</v>
      </c>
      <c r="E1027" s="47">
        <v>251057</v>
      </c>
      <c r="F1027" s="47" t="s">
        <v>554</v>
      </c>
      <c r="G1027" s="25">
        <f t="shared" si="15"/>
        <v>-2.0079260237780727E-2</v>
      </c>
    </row>
    <row r="1028" spans="1:7">
      <c r="A1028" s="47">
        <v>111.04</v>
      </c>
      <c r="B1028" s="47">
        <v>116.97</v>
      </c>
      <c r="C1028" s="47">
        <v>110.08</v>
      </c>
      <c r="D1028" s="47">
        <v>114.57</v>
      </c>
      <c r="E1028" s="47">
        <v>425625</v>
      </c>
      <c r="F1028" s="47" t="s">
        <v>553</v>
      </c>
      <c r="G1028" s="25">
        <f t="shared" si="15"/>
        <v>-3.0810857990747897E-2</v>
      </c>
    </row>
    <row r="1029" spans="1:7">
      <c r="A1029" s="47">
        <v>110.59</v>
      </c>
      <c r="B1029" s="47">
        <v>112.68</v>
      </c>
      <c r="C1029" s="47">
        <v>109.36</v>
      </c>
      <c r="D1029" s="47">
        <v>112.04</v>
      </c>
      <c r="E1029" s="47">
        <v>702789</v>
      </c>
      <c r="F1029" s="47" t="s">
        <v>552</v>
      </c>
      <c r="G1029" s="25">
        <f t="shared" si="15"/>
        <v>-1.2941806497679398E-2</v>
      </c>
    </row>
    <row r="1030" spans="1:7">
      <c r="A1030" s="47">
        <v>114</v>
      </c>
      <c r="B1030" s="47">
        <v>114.41</v>
      </c>
      <c r="C1030" s="47">
        <v>106.41</v>
      </c>
      <c r="D1030" s="47">
        <v>109</v>
      </c>
      <c r="E1030" s="47">
        <v>650927</v>
      </c>
      <c r="F1030" s="47" t="s">
        <v>551</v>
      </c>
      <c r="G1030" s="25">
        <f t="shared" si="15"/>
        <v>4.587155963302747E-2</v>
      </c>
    </row>
    <row r="1031" spans="1:7">
      <c r="A1031" s="47">
        <v>110.97</v>
      </c>
      <c r="B1031" s="47">
        <v>118.15</v>
      </c>
      <c r="C1031" s="47">
        <v>110.81</v>
      </c>
      <c r="D1031" s="47">
        <v>114.79</v>
      </c>
      <c r="E1031" s="47">
        <v>394959</v>
      </c>
      <c r="F1031" s="47" t="s">
        <v>550</v>
      </c>
      <c r="G1031" s="25">
        <f t="shared" si="15"/>
        <v>-3.3278160118477285E-2</v>
      </c>
    </row>
    <row r="1032" spans="1:7">
      <c r="A1032" s="47">
        <v>115.38</v>
      </c>
      <c r="B1032" s="47">
        <v>119.72499999999999</v>
      </c>
      <c r="C1032" s="47">
        <v>114.71</v>
      </c>
      <c r="D1032" s="47">
        <v>115.01</v>
      </c>
      <c r="E1032" s="47">
        <v>602195</v>
      </c>
      <c r="F1032" s="47" t="s">
        <v>549</v>
      </c>
      <c r="G1032" s="25">
        <f t="shared" si="15"/>
        <v>3.2171115555168495E-3</v>
      </c>
    </row>
    <row r="1033" spans="1:7">
      <c r="A1033" s="47">
        <v>113.74</v>
      </c>
      <c r="B1033" s="47">
        <v>116.1</v>
      </c>
      <c r="C1033" s="47">
        <v>112.4</v>
      </c>
      <c r="D1033" s="47">
        <v>113.06</v>
      </c>
      <c r="E1033" s="47">
        <v>660222</v>
      </c>
      <c r="F1033" s="47" t="s">
        <v>548</v>
      </c>
      <c r="G1033" s="25">
        <f t="shared" si="15"/>
        <v>6.014505572262463E-3</v>
      </c>
    </row>
    <row r="1034" spans="1:7">
      <c r="A1034" s="47">
        <v>112.46</v>
      </c>
      <c r="B1034" s="47">
        <v>115.42</v>
      </c>
      <c r="C1034" s="47">
        <v>110.5</v>
      </c>
      <c r="D1034" s="47">
        <v>113.5</v>
      </c>
      <c r="E1034" s="47">
        <v>515221</v>
      </c>
      <c r="F1034" s="47" t="s">
        <v>547</v>
      </c>
      <c r="G1034" s="25">
        <f t="shared" si="15"/>
        <v>-9.1629955947136743E-3</v>
      </c>
    </row>
    <row r="1035" spans="1:7">
      <c r="A1035" s="47">
        <v>116.82</v>
      </c>
      <c r="B1035" s="47">
        <v>119.54</v>
      </c>
      <c r="C1035" s="47">
        <v>111.98</v>
      </c>
      <c r="D1035" s="47">
        <v>115.37</v>
      </c>
      <c r="E1035" s="47">
        <v>358234</v>
      </c>
      <c r="F1035" s="47" t="s">
        <v>546</v>
      </c>
      <c r="G1035" s="25">
        <f t="shared" si="15"/>
        <v>1.2568258646095121E-2</v>
      </c>
    </row>
    <row r="1036" spans="1:7">
      <c r="A1036" s="47">
        <v>117.04</v>
      </c>
      <c r="B1036" s="47">
        <v>124.88</v>
      </c>
      <c r="C1036" s="47">
        <v>116.96</v>
      </c>
      <c r="D1036" s="47">
        <v>124.53</v>
      </c>
      <c r="E1036" s="47">
        <v>477529</v>
      </c>
      <c r="F1036" s="47" t="s">
        <v>545</v>
      </c>
      <c r="G1036" s="25">
        <f t="shared" si="15"/>
        <v>-6.0146149522203429E-2</v>
      </c>
    </row>
    <row r="1037" spans="1:7">
      <c r="A1037" s="47">
        <v>123.26</v>
      </c>
      <c r="B1037" s="47">
        <v>123.9233</v>
      </c>
      <c r="C1037" s="47">
        <v>120.11</v>
      </c>
      <c r="D1037" s="47">
        <v>123.43</v>
      </c>
      <c r="E1037" s="47">
        <v>445752</v>
      </c>
      <c r="F1037" s="47" t="s">
        <v>544</v>
      </c>
      <c r="G1037" s="25">
        <f t="shared" si="15"/>
        <v>-1.3772988738556258E-3</v>
      </c>
    </row>
    <row r="1038" spans="1:7">
      <c r="A1038" s="47">
        <v>121.94</v>
      </c>
      <c r="B1038" s="47">
        <v>121.97</v>
      </c>
      <c r="C1038" s="47">
        <v>116.76</v>
      </c>
      <c r="D1038" s="47">
        <v>117.58</v>
      </c>
      <c r="E1038" s="47">
        <v>373866</v>
      </c>
      <c r="F1038" s="47" t="s">
        <v>543</v>
      </c>
      <c r="G1038" s="25">
        <f t="shared" si="15"/>
        <v>3.7081136247661073E-2</v>
      </c>
    </row>
    <row r="1039" spans="1:7">
      <c r="A1039" s="47">
        <v>117.69</v>
      </c>
      <c r="B1039" s="47">
        <v>117.87</v>
      </c>
      <c r="C1039" s="47">
        <v>108.8</v>
      </c>
      <c r="D1039" s="47">
        <v>110.99</v>
      </c>
      <c r="E1039" s="47">
        <v>436648</v>
      </c>
      <c r="F1039" s="47" t="s">
        <v>542</v>
      </c>
      <c r="G1039" s="25">
        <f t="shared" si="15"/>
        <v>6.0365798720605435E-2</v>
      </c>
    </row>
    <row r="1040" spans="1:7">
      <c r="A1040" s="47">
        <v>114.64</v>
      </c>
      <c r="B1040" s="47">
        <v>117.07</v>
      </c>
      <c r="C1040" s="47">
        <v>112.11</v>
      </c>
      <c r="D1040" s="47">
        <v>113.73</v>
      </c>
      <c r="E1040" s="47">
        <v>349592</v>
      </c>
      <c r="F1040" s="47" t="s">
        <v>541</v>
      </c>
      <c r="G1040" s="25">
        <f t="shared" si="15"/>
        <v>8.0014068407632255E-3</v>
      </c>
    </row>
    <row r="1041" spans="1:7">
      <c r="A1041" s="47">
        <v>113.92</v>
      </c>
      <c r="B1041" s="47">
        <v>116.22</v>
      </c>
      <c r="C1041" s="47">
        <v>110.53</v>
      </c>
      <c r="D1041" s="47">
        <v>112.57</v>
      </c>
      <c r="E1041" s="47">
        <v>342254</v>
      </c>
      <c r="F1041" s="47" t="s">
        <v>540</v>
      </c>
      <c r="G1041" s="25">
        <f t="shared" si="15"/>
        <v>1.1992537976370343E-2</v>
      </c>
    </row>
    <row r="1042" spans="1:7">
      <c r="A1042" s="47">
        <v>113.32</v>
      </c>
      <c r="B1042" s="47">
        <v>118.9</v>
      </c>
      <c r="C1042" s="47">
        <v>112.5</v>
      </c>
      <c r="D1042" s="47">
        <v>117.98</v>
      </c>
      <c r="E1042" s="47">
        <v>480585</v>
      </c>
      <c r="F1042" s="47" t="s">
        <v>539</v>
      </c>
      <c r="G1042" s="25">
        <f t="shared" si="15"/>
        <v>-3.9498220037294529E-2</v>
      </c>
    </row>
    <row r="1043" spans="1:7">
      <c r="A1043" s="47">
        <v>119.92</v>
      </c>
      <c r="B1043" s="47">
        <v>127.76</v>
      </c>
      <c r="C1043" s="47">
        <v>116.65</v>
      </c>
      <c r="D1043" s="47">
        <v>127.76</v>
      </c>
      <c r="E1043" s="47">
        <v>584763</v>
      </c>
      <c r="F1043" s="47" t="s">
        <v>538</v>
      </c>
      <c r="G1043" s="25">
        <f t="shared" si="15"/>
        <v>-6.1365059486537255E-2</v>
      </c>
    </row>
    <row r="1044" spans="1:7">
      <c r="A1044" s="47">
        <v>128.13</v>
      </c>
      <c r="B1044" s="47">
        <v>131.91</v>
      </c>
      <c r="C1044" s="47">
        <v>125.82</v>
      </c>
      <c r="D1044" s="47">
        <v>131.01</v>
      </c>
      <c r="E1044" s="47">
        <v>239389</v>
      </c>
      <c r="F1044" s="47" t="s">
        <v>537</v>
      </c>
      <c r="G1044" s="25">
        <f t="shared" si="15"/>
        <v>-2.1983054728646589E-2</v>
      </c>
    </row>
    <row r="1045" spans="1:7">
      <c r="A1045" s="47">
        <v>130.49</v>
      </c>
      <c r="B1045" s="47">
        <v>133.185</v>
      </c>
      <c r="C1045" s="47">
        <v>129.35</v>
      </c>
      <c r="D1045" s="47">
        <v>131.68</v>
      </c>
      <c r="E1045" s="47">
        <v>478572</v>
      </c>
      <c r="F1045" s="47" t="s">
        <v>536</v>
      </c>
      <c r="G1045" s="25">
        <f t="shared" si="15"/>
        <v>-9.0370595382746055E-3</v>
      </c>
    </row>
    <row r="1046" spans="1:7">
      <c r="A1046" s="47">
        <v>132.18</v>
      </c>
      <c r="B1046" s="47">
        <v>135.18</v>
      </c>
      <c r="C1046" s="47">
        <v>131.54</v>
      </c>
      <c r="D1046" s="47">
        <v>132.47</v>
      </c>
      <c r="E1046" s="47">
        <v>193603</v>
      </c>
      <c r="F1046" s="47" t="s">
        <v>535</v>
      </c>
      <c r="G1046" s="25">
        <f t="shared" si="15"/>
        <v>-2.1891749075261258E-3</v>
      </c>
    </row>
    <row r="1047" spans="1:7">
      <c r="A1047" s="47">
        <v>131.94</v>
      </c>
      <c r="B1047" s="47">
        <v>133.1</v>
      </c>
      <c r="C1047" s="47">
        <v>129.51</v>
      </c>
      <c r="D1047" s="47">
        <v>132.4</v>
      </c>
      <c r="E1047" s="47">
        <v>152460</v>
      </c>
      <c r="F1047" s="47" t="s">
        <v>534</v>
      </c>
      <c r="G1047" s="25">
        <f t="shared" si="15"/>
        <v>-3.4743202416919194E-3</v>
      </c>
    </row>
    <row r="1048" spans="1:7">
      <c r="A1048" s="47">
        <v>132.83000000000001</v>
      </c>
      <c r="B1048" s="47">
        <v>137.19999999999999</v>
      </c>
      <c r="C1048" s="47">
        <v>132.74</v>
      </c>
      <c r="D1048" s="47">
        <v>137.19999999999999</v>
      </c>
      <c r="E1048" s="47">
        <v>189082</v>
      </c>
      <c r="F1048" s="47" t="s">
        <v>533</v>
      </c>
      <c r="G1048" s="25">
        <f t="shared" si="15"/>
        <v>-3.1851311953352557E-2</v>
      </c>
    </row>
    <row r="1049" spans="1:7">
      <c r="A1049" s="47">
        <v>136.99</v>
      </c>
      <c r="B1049" s="47">
        <v>137.08000000000001</v>
      </c>
      <c r="C1049" s="47">
        <v>132.57</v>
      </c>
      <c r="D1049" s="47">
        <v>133.33000000000001</v>
      </c>
      <c r="E1049" s="47">
        <v>210164</v>
      </c>
      <c r="F1049" s="47" t="s">
        <v>532</v>
      </c>
      <c r="G1049" s="25">
        <f t="shared" si="15"/>
        <v>2.7450686267156632E-2</v>
      </c>
    </row>
    <row r="1050" spans="1:7">
      <c r="A1050" s="47">
        <v>133.43</v>
      </c>
      <c r="B1050" s="47">
        <v>134.12</v>
      </c>
      <c r="C1050" s="47">
        <v>131.6601</v>
      </c>
      <c r="D1050" s="47">
        <v>134.12</v>
      </c>
      <c r="E1050" s="47">
        <v>165179</v>
      </c>
      <c r="F1050" s="47" t="s">
        <v>531</v>
      </c>
      <c r="G1050" s="25">
        <f t="shared" si="15"/>
        <v>-5.144646585147572E-3</v>
      </c>
    </row>
    <row r="1051" spans="1:7">
      <c r="A1051" s="47">
        <v>133.44999999999999</v>
      </c>
      <c r="B1051" s="47">
        <v>135.59</v>
      </c>
      <c r="C1051" s="47">
        <v>131.72999999999999</v>
      </c>
      <c r="D1051" s="47">
        <v>133.87</v>
      </c>
      <c r="E1051" s="47">
        <v>196404</v>
      </c>
      <c r="F1051" s="47" t="s">
        <v>530</v>
      </c>
      <c r="G1051" s="25">
        <f t="shared" si="15"/>
        <v>-3.1373720773886227E-3</v>
      </c>
    </row>
    <row r="1052" spans="1:7">
      <c r="A1052" s="47">
        <v>134.66999999999999</v>
      </c>
      <c r="B1052" s="47">
        <v>134.75</v>
      </c>
      <c r="C1052" s="47">
        <v>127.92</v>
      </c>
      <c r="D1052" s="47">
        <v>128.97999999999999</v>
      </c>
      <c r="E1052" s="47">
        <v>305041</v>
      </c>
      <c r="F1052" s="47" t="s">
        <v>529</v>
      </c>
      <c r="G1052" s="25">
        <f t="shared" si="15"/>
        <v>4.4115366723523008E-2</v>
      </c>
    </row>
    <row r="1053" spans="1:7">
      <c r="A1053" s="47">
        <v>127.24</v>
      </c>
      <c r="B1053" s="47">
        <v>130.5</v>
      </c>
      <c r="C1053" s="47">
        <v>125.1</v>
      </c>
      <c r="D1053" s="47">
        <v>126.44</v>
      </c>
      <c r="E1053" s="47">
        <v>275591</v>
      </c>
      <c r="F1053" s="47" t="s">
        <v>528</v>
      </c>
      <c r="G1053" s="25">
        <f t="shared" si="15"/>
        <v>6.3271116735210686E-3</v>
      </c>
    </row>
    <row r="1054" spans="1:7">
      <c r="A1054" s="47">
        <v>129.08000000000001</v>
      </c>
      <c r="B1054" s="47">
        <v>130.85</v>
      </c>
      <c r="C1054" s="47">
        <v>122.26</v>
      </c>
      <c r="D1054" s="47">
        <v>123.35</v>
      </c>
      <c r="E1054" s="47">
        <v>748492</v>
      </c>
      <c r="F1054" s="47" t="s">
        <v>527</v>
      </c>
      <c r="G1054" s="25">
        <f t="shared" si="15"/>
        <v>4.6453182002432314E-2</v>
      </c>
    </row>
    <row r="1055" spans="1:7">
      <c r="A1055" s="47">
        <v>125.96</v>
      </c>
      <c r="B1055" s="47">
        <v>135.06</v>
      </c>
      <c r="C1055" s="47">
        <v>124.96</v>
      </c>
      <c r="D1055" s="47">
        <v>134.99</v>
      </c>
      <c r="E1055" s="47">
        <v>387731</v>
      </c>
      <c r="F1055" s="47" t="s">
        <v>526</v>
      </c>
      <c r="G1055" s="25">
        <f t="shared" si="15"/>
        <v>-6.6893843988443669E-2</v>
      </c>
    </row>
    <row r="1056" spans="1:7">
      <c r="A1056" s="47">
        <v>134.22999999999999</v>
      </c>
      <c r="B1056" s="47">
        <v>134.72</v>
      </c>
      <c r="C1056" s="47">
        <v>127.92</v>
      </c>
      <c r="D1056" s="47">
        <v>131.93</v>
      </c>
      <c r="E1056" s="47">
        <v>413477</v>
      </c>
      <c r="F1056" s="47" t="s">
        <v>525</v>
      </c>
      <c r="G1056" s="25">
        <f t="shared" si="15"/>
        <v>1.7433487455468688E-2</v>
      </c>
    </row>
    <row r="1057" spans="1:7">
      <c r="A1057" s="47">
        <v>131.28</v>
      </c>
      <c r="B1057" s="47">
        <v>135.0943</v>
      </c>
      <c r="C1057" s="47">
        <v>127.67</v>
      </c>
      <c r="D1057" s="47">
        <v>133.38</v>
      </c>
      <c r="E1057" s="47">
        <v>330157</v>
      </c>
      <c r="F1057" s="47" t="s">
        <v>524</v>
      </c>
      <c r="G1057" s="25">
        <f t="shared" si="15"/>
        <v>-1.5744489428699882E-2</v>
      </c>
    </row>
    <row r="1058" spans="1:7">
      <c r="A1058" s="47">
        <v>135.58000000000001</v>
      </c>
      <c r="B1058" s="47">
        <v>139.51</v>
      </c>
      <c r="C1058" s="47">
        <v>133.53</v>
      </c>
      <c r="D1058" s="47">
        <v>133.97</v>
      </c>
      <c r="E1058" s="47">
        <v>336970</v>
      </c>
      <c r="F1058" s="47" t="s">
        <v>523</v>
      </c>
      <c r="G1058" s="25">
        <f t="shared" si="15"/>
        <v>1.2017615884153177E-2</v>
      </c>
    </row>
    <row r="1059" spans="1:7">
      <c r="A1059" s="47">
        <v>134.13999999999999</v>
      </c>
      <c r="B1059" s="47">
        <v>138.08000000000001</v>
      </c>
      <c r="C1059" s="47">
        <v>131.38999999999999</v>
      </c>
      <c r="D1059" s="47">
        <v>135.99</v>
      </c>
      <c r="E1059" s="47">
        <v>272617</v>
      </c>
      <c r="F1059" s="47" t="s">
        <v>522</v>
      </c>
      <c r="G1059" s="25">
        <f t="shared" si="15"/>
        <v>-1.3603941466284408E-2</v>
      </c>
    </row>
    <row r="1060" spans="1:7">
      <c r="A1060" s="47">
        <v>135.18</v>
      </c>
      <c r="B1060" s="47">
        <v>143.76</v>
      </c>
      <c r="C1060" s="47">
        <v>134.72999999999999</v>
      </c>
      <c r="D1060" s="47">
        <v>142.59</v>
      </c>
      <c r="E1060" s="47">
        <v>344257</v>
      </c>
      <c r="F1060" s="47" t="s">
        <v>521</v>
      </c>
      <c r="G1060" s="25">
        <f t="shared" si="15"/>
        <v>-5.1967178624026888E-2</v>
      </c>
    </row>
    <row r="1061" spans="1:7">
      <c r="A1061" s="47">
        <v>143.21</v>
      </c>
      <c r="B1061" s="47">
        <v>144.85</v>
      </c>
      <c r="C1061" s="47">
        <v>138.71</v>
      </c>
      <c r="D1061" s="47">
        <v>141.61000000000001</v>
      </c>
      <c r="E1061" s="47">
        <v>322612</v>
      </c>
      <c r="F1061" s="47" t="s">
        <v>520</v>
      </c>
      <c r="G1061" s="25">
        <f t="shared" si="15"/>
        <v>1.1298637101899489E-2</v>
      </c>
    </row>
    <row r="1062" spans="1:7">
      <c r="A1062" s="47">
        <v>142</v>
      </c>
      <c r="B1062" s="47">
        <v>143.37</v>
      </c>
      <c r="C1062" s="47">
        <v>136.59</v>
      </c>
      <c r="D1062" s="47">
        <v>136.59</v>
      </c>
      <c r="E1062" s="47">
        <v>358600</v>
      </c>
      <c r="F1062" s="47" t="s">
        <v>519</v>
      </c>
      <c r="G1062" s="25">
        <f t="shared" si="15"/>
        <v>3.9607584742660462E-2</v>
      </c>
    </row>
    <row r="1063" spans="1:7">
      <c r="A1063" s="47">
        <v>132.44999999999999</v>
      </c>
      <c r="B1063" s="47">
        <v>132.75</v>
      </c>
      <c r="C1063" s="47">
        <v>126.01</v>
      </c>
      <c r="D1063" s="47">
        <v>128.46</v>
      </c>
      <c r="E1063" s="47">
        <v>418371</v>
      </c>
      <c r="F1063" s="47" t="s">
        <v>518</v>
      </c>
      <c r="G1063" s="25">
        <f t="shared" si="15"/>
        <v>3.1060252218589213E-2</v>
      </c>
    </row>
    <row r="1064" spans="1:7">
      <c r="A1064" s="47">
        <v>128.83000000000001</v>
      </c>
      <c r="B1064" s="47">
        <v>134.74</v>
      </c>
      <c r="C1064" s="47">
        <v>127.36</v>
      </c>
      <c r="D1064" s="47">
        <v>134.74</v>
      </c>
      <c r="E1064" s="47">
        <v>432663</v>
      </c>
      <c r="F1064" s="47" t="s">
        <v>517</v>
      </c>
      <c r="G1064" s="25">
        <f t="shared" si="15"/>
        <v>-4.3862253228439951E-2</v>
      </c>
    </row>
    <row r="1065" spans="1:7">
      <c r="A1065" s="47">
        <v>133.22999999999999</v>
      </c>
      <c r="B1065" s="47">
        <v>134.04</v>
      </c>
      <c r="C1065" s="47">
        <v>126.34</v>
      </c>
      <c r="D1065" s="47">
        <v>127.24</v>
      </c>
      <c r="E1065" s="47">
        <v>406982</v>
      </c>
      <c r="F1065" s="47" t="s">
        <v>516</v>
      </c>
      <c r="G1065" s="25">
        <f t="shared" si="15"/>
        <v>4.7076391071989798E-2</v>
      </c>
    </row>
    <row r="1066" spans="1:7">
      <c r="A1066" s="47">
        <v>127.77</v>
      </c>
      <c r="B1066" s="47">
        <v>141.30000000000001</v>
      </c>
      <c r="C1066" s="47">
        <v>127.75</v>
      </c>
      <c r="D1066" s="47">
        <v>141.30000000000001</v>
      </c>
      <c r="E1066" s="47">
        <v>556459</v>
      </c>
      <c r="F1066" s="47" t="s">
        <v>515</v>
      </c>
      <c r="G1066" s="25">
        <f t="shared" si="15"/>
        <v>-9.5753715498938519E-2</v>
      </c>
    </row>
    <row r="1067" spans="1:7">
      <c r="A1067" s="47">
        <v>139.47</v>
      </c>
      <c r="B1067" s="47">
        <v>142.69</v>
      </c>
      <c r="C1067" s="47">
        <v>137.34</v>
      </c>
      <c r="D1067" s="47">
        <v>140.69999999999999</v>
      </c>
      <c r="E1067" s="47">
        <v>422136</v>
      </c>
      <c r="F1067" s="47" t="s">
        <v>514</v>
      </c>
      <c r="G1067" s="25">
        <f t="shared" si="15"/>
        <v>-8.7420042643922002E-3</v>
      </c>
    </row>
    <row r="1068" spans="1:7">
      <c r="A1068" s="47">
        <v>140.91</v>
      </c>
      <c r="B1068" s="47">
        <v>141.54499999999999</v>
      </c>
      <c r="C1068" s="47">
        <v>137.13</v>
      </c>
      <c r="D1068" s="47">
        <v>139.80000000000001</v>
      </c>
      <c r="E1068" s="47">
        <v>355204</v>
      </c>
      <c r="F1068" s="47" t="s">
        <v>513</v>
      </c>
      <c r="G1068" s="25">
        <f t="shared" si="15"/>
        <v>7.9399141630900338E-3</v>
      </c>
    </row>
    <row r="1069" spans="1:7">
      <c r="A1069" s="47">
        <v>137.22</v>
      </c>
      <c r="B1069" s="47">
        <v>141.01</v>
      </c>
      <c r="C1069" s="47">
        <v>135.13999999999999</v>
      </c>
      <c r="D1069" s="47">
        <v>135.77000000000001</v>
      </c>
      <c r="E1069" s="47">
        <v>213288</v>
      </c>
      <c r="F1069" s="47" t="s">
        <v>512</v>
      </c>
      <c r="G1069" s="25">
        <f t="shared" si="15"/>
        <v>1.0679826176622109E-2</v>
      </c>
    </row>
    <row r="1070" spans="1:7">
      <c r="A1070" s="47">
        <v>139.54</v>
      </c>
      <c r="B1070" s="47">
        <v>140.84</v>
      </c>
      <c r="C1070" s="47">
        <v>136.69999999999999</v>
      </c>
      <c r="D1070" s="47">
        <v>137.61000000000001</v>
      </c>
      <c r="E1070" s="47">
        <v>264550</v>
      </c>
      <c r="F1070" s="47" t="s">
        <v>511</v>
      </c>
      <c r="G1070" s="25">
        <f t="shared" si="15"/>
        <v>1.4025143521546157E-2</v>
      </c>
    </row>
    <row r="1071" spans="1:7">
      <c r="A1071" s="47">
        <v>139.53</v>
      </c>
      <c r="B1071" s="47">
        <v>140.57</v>
      </c>
      <c r="C1071" s="47">
        <v>136.4</v>
      </c>
      <c r="D1071" s="47">
        <v>139.26</v>
      </c>
      <c r="E1071" s="47">
        <v>428749</v>
      </c>
      <c r="F1071" s="47" t="s">
        <v>510</v>
      </c>
      <c r="G1071" s="25">
        <f t="shared" si="15"/>
        <v>1.9388194743645837E-3</v>
      </c>
    </row>
    <row r="1072" spans="1:7">
      <c r="A1072" s="47">
        <v>138.83000000000001</v>
      </c>
      <c r="B1072" s="47">
        <v>142.69</v>
      </c>
      <c r="C1072" s="47">
        <v>135.63</v>
      </c>
      <c r="D1072" s="47">
        <v>142.5</v>
      </c>
      <c r="E1072" s="47">
        <v>580505</v>
      </c>
      <c r="F1072" s="47" t="s">
        <v>509</v>
      </c>
      <c r="G1072" s="25">
        <f t="shared" si="15"/>
        <v>-2.5754385964912196E-2</v>
      </c>
    </row>
    <row r="1073" spans="1:7">
      <c r="A1073" s="47">
        <v>142.36000000000001</v>
      </c>
      <c r="B1073" s="47">
        <v>145</v>
      </c>
      <c r="C1073" s="47">
        <v>140.13999999999999</v>
      </c>
      <c r="D1073" s="47">
        <v>140.13999999999999</v>
      </c>
      <c r="E1073" s="47">
        <v>642711</v>
      </c>
      <c r="F1073" s="47" t="s">
        <v>508</v>
      </c>
      <c r="G1073" s="25">
        <f t="shared" si="15"/>
        <v>1.5841301555587384E-2</v>
      </c>
    </row>
    <row r="1074" spans="1:7">
      <c r="A1074" s="47">
        <v>140.13999999999999</v>
      </c>
      <c r="B1074" s="47">
        <v>140.47999999999999</v>
      </c>
      <c r="C1074" s="47">
        <v>132.6</v>
      </c>
      <c r="D1074" s="47">
        <v>137.36000000000001</v>
      </c>
      <c r="E1074" s="47">
        <v>697750</v>
      </c>
      <c r="F1074" s="47" t="s">
        <v>507</v>
      </c>
      <c r="G1074" s="25">
        <f t="shared" si="15"/>
        <v>2.0238788584740597E-2</v>
      </c>
    </row>
    <row r="1075" spans="1:7">
      <c r="A1075" s="47">
        <v>136.80000000000001</v>
      </c>
      <c r="B1075" s="47">
        <v>145.35</v>
      </c>
      <c r="C1075" s="47">
        <v>134.15</v>
      </c>
      <c r="D1075" s="47">
        <v>143</v>
      </c>
      <c r="E1075" s="47">
        <v>616152</v>
      </c>
      <c r="F1075" s="47" t="s">
        <v>506</v>
      </c>
      <c r="G1075" s="25">
        <f t="shared" si="15"/>
        <v>-4.3356643356643243E-2</v>
      </c>
    </row>
    <row r="1076" spans="1:7">
      <c r="A1076" s="47">
        <v>143.19999999999999</v>
      </c>
      <c r="B1076" s="47">
        <v>150</v>
      </c>
      <c r="C1076" s="47">
        <v>141.74</v>
      </c>
      <c r="D1076" s="47">
        <v>150</v>
      </c>
      <c r="E1076" s="47">
        <v>960896</v>
      </c>
      <c r="F1076" s="47" t="s">
        <v>505</v>
      </c>
      <c r="G1076" s="25">
        <f t="shared" si="15"/>
        <v>-4.5333333333333448E-2</v>
      </c>
    </row>
    <row r="1077" spans="1:7">
      <c r="A1077" s="47">
        <v>158.63999999999999</v>
      </c>
      <c r="B1077" s="47">
        <v>160.51</v>
      </c>
      <c r="C1077" s="47">
        <v>156.74</v>
      </c>
      <c r="D1077" s="47">
        <v>159.63999999999999</v>
      </c>
      <c r="E1077" s="47">
        <v>285456</v>
      </c>
      <c r="F1077" s="47" t="s">
        <v>504</v>
      </c>
      <c r="G1077" s="25">
        <f t="shared" si="15"/>
        <v>-6.2640942119769338E-3</v>
      </c>
    </row>
    <row r="1078" spans="1:7">
      <c r="A1078" s="47">
        <v>157.13999999999999</v>
      </c>
      <c r="B1078" s="47">
        <v>158.01</v>
      </c>
      <c r="C1078" s="47">
        <v>154.05000000000001</v>
      </c>
      <c r="D1078" s="47">
        <v>154.05000000000001</v>
      </c>
      <c r="E1078" s="47">
        <v>273210</v>
      </c>
      <c r="F1078" s="47" t="s">
        <v>503</v>
      </c>
      <c r="G1078" s="25">
        <f t="shared" si="15"/>
        <v>2.0058422590067959E-2</v>
      </c>
    </row>
    <row r="1079" spans="1:7">
      <c r="A1079" s="47">
        <v>153.37</v>
      </c>
      <c r="B1079" s="47">
        <v>155.11500000000001</v>
      </c>
      <c r="C1079" s="47">
        <v>151.88</v>
      </c>
      <c r="D1079" s="47">
        <v>153.63</v>
      </c>
      <c r="E1079" s="47">
        <v>183160</v>
      </c>
      <c r="F1079" s="47" t="s">
        <v>502</v>
      </c>
      <c r="G1079" s="25">
        <f t="shared" ref="G1079:G1142" si="16">A1079/D1079-1</f>
        <v>-1.6923777907960069E-3</v>
      </c>
    </row>
    <row r="1080" spans="1:7">
      <c r="A1080" s="47">
        <v>151.69</v>
      </c>
      <c r="B1080" s="47">
        <v>161.74</v>
      </c>
      <c r="C1080" s="47">
        <v>149.72</v>
      </c>
      <c r="D1080" s="47">
        <v>158.94999999999999</v>
      </c>
      <c r="E1080" s="47">
        <v>382958</v>
      </c>
      <c r="F1080" s="47" t="s">
        <v>501</v>
      </c>
      <c r="G1080" s="25">
        <f t="shared" si="16"/>
        <v>-4.5674740484428988E-2</v>
      </c>
    </row>
    <row r="1081" spans="1:7">
      <c r="A1081" s="47">
        <v>160.85</v>
      </c>
      <c r="B1081" s="47">
        <v>162.49</v>
      </c>
      <c r="C1081" s="47">
        <v>158.9298</v>
      </c>
      <c r="D1081" s="47">
        <v>160.75</v>
      </c>
      <c r="E1081" s="47">
        <v>269975</v>
      </c>
      <c r="F1081" s="47" t="s">
        <v>500</v>
      </c>
      <c r="G1081" s="25">
        <f t="shared" si="16"/>
        <v>6.2208398133734022E-4</v>
      </c>
    </row>
    <row r="1082" spans="1:7">
      <c r="A1082" s="47">
        <v>159.72999999999999</v>
      </c>
      <c r="B1082" s="47">
        <v>163.44</v>
      </c>
      <c r="C1082" s="47">
        <v>159.285</v>
      </c>
      <c r="D1082" s="47">
        <v>161.66</v>
      </c>
      <c r="E1082" s="47">
        <v>387100</v>
      </c>
      <c r="F1082" s="47" t="s">
        <v>499</v>
      </c>
      <c r="G1082" s="25">
        <f t="shared" si="16"/>
        <v>-1.1938636644810097E-2</v>
      </c>
    </row>
    <row r="1083" spans="1:7">
      <c r="A1083" s="47">
        <v>160.07</v>
      </c>
      <c r="B1083" s="47">
        <v>162.785</v>
      </c>
      <c r="C1083" s="47">
        <v>157.57</v>
      </c>
      <c r="D1083" s="47">
        <v>158.72999999999999</v>
      </c>
      <c r="E1083" s="47">
        <v>513772</v>
      </c>
      <c r="F1083" s="47" t="s">
        <v>498</v>
      </c>
      <c r="G1083" s="25">
        <f t="shared" si="16"/>
        <v>8.4420084420084862E-3</v>
      </c>
    </row>
    <row r="1084" spans="1:7">
      <c r="A1084" s="47">
        <v>157.97999999999999</v>
      </c>
      <c r="B1084" s="47">
        <v>173.24</v>
      </c>
      <c r="C1084" s="47">
        <v>157.36000000000001</v>
      </c>
      <c r="D1084" s="47">
        <v>160</v>
      </c>
      <c r="E1084" s="47">
        <v>1195443</v>
      </c>
      <c r="F1084" s="47" t="s">
        <v>497</v>
      </c>
      <c r="G1084" s="25">
        <f t="shared" si="16"/>
        <v>-1.2625000000000108E-2</v>
      </c>
    </row>
    <row r="1085" spans="1:7">
      <c r="A1085" s="47">
        <v>146.47</v>
      </c>
      <c r="B1085" s="47">
        <v>147.77000000000001</v>
      </c>
      <c r="C1085" s="47">
        <v>142.86000000000001</v>
      </c>
      <c r="D1085" s="47">
        <v>144.72999999999999</v>
      </c>
      <c r="E1085" s="47">
        <v>395082</v>
      </c>
      <c r="F1085" s="47" t="s">
        <v>496</v>
      </c>
      <c r="G1085" s="25">
        <f t="shared" si="16"/>
        <v>1.2022386512817063E-2</v>
      </c>
    </row>
    <row r="1086" spans="1:7">
      <c r="A1086" s="47">
        <v>145.38</v>
      </c>
      <c r="B1086" s="47">
        <v>152</v>
      </c>
      <c r="C1086" s="47">
        <v>144.54</v>
      </c>
      <c r="D1086" s="47">
        <v>152</v>
      </c>
      <c r="E1086" s="47">
        <v>301999</v>
      </c>
      <c r="F1086" s="47" t="s">
        <v>495</v>
      </c>
      <c r="G1086" s="25">
        <f t="shared" si="16"/>
        <v>-4.3552631578947398E-2</v>
      </c>
    </row>
    <row r="1087" spans="1:7">
      <c r="A1087" s="47">
        <v>152.53</v>
      </c>
      <c r="B1087" s="47">
        <v>153.22999999999999</v>
      </c>
      <c r="C1087" s="47">
        <v>150.285</v>
      </c>
      <c r="D1087" s="47">
        <v>151.06</v>
      </c>
      <c r="E1087" s="47">
        <v>407993</v>
      </c>
      <c r="F1087" s="47" t="s">
        <v>494</v>
      </c>
      <c r="G1087" s="25">
        <f t="shared" si="16"/>
        <v>9.7312326227989576E-3</v>
      </c>
    </row>
    <row r="1088" spans="1:7">
      <c r="A1088" s="47">
        <v>149.55000000000001</v>
      </c>
      <c r="B1088" s="47">
        <v>149.61500000000001</v>
      </c>
      <c r="C1088" s="47">
        <v>146.91</v>
      </c>
      <c r="D1088" s="47">
        <v>146.91</v>
      </c>
      <c r="E1088" s="47">
        <v>230856</v>
      </c>
      <c r="F1088" s="47" t="s">
        <v>493</v>
      </c>
      <c r="G1088" s="25">
        <f t="shared" si="16"/>
        <v>1.7970185828058094E-2</v>
      </c>
    </row>
    <row r="1089" spans="1:7">
      <c r="A1089" s="47">
        <v>147.62</v>
      </c>
      <c r="B1089" s="47">
        <v>150.72999999999999</v>
      </c>
      <c r="C1089" s="47">
        <v>146.43</v>
      </c>
      <c r="D1089" s="47">
        <v>146.71</v>
      </c>
      <c r="E1089" s="47">
        <v>639940</v>
      </c>
      <c r="F1089" s="47" t="s">
        <v>492</v>
      </c>
      <c r="G1089" s="25">
        <f t="shared" si="16"/>
        <v>6.2027128348443039E-3</v>
      </c>
    </row>
    <row r="1090" spans="1:7">
      <c r="A1090" s="47">
        <v>145.76</v>
      </c>
      <c r="B1090" s="47">
        <v>149.33000000000001</v>
      </c>
      <c r="C1090" s="47">
        <v>145.66</v>
      </c>
      <c r="D1090" s="47">
        <v>148.16999999999999</v>
      </c>
      <c r="E1090" s="47">
        <v>210317</v>
      </c>
      <c r="F1090" s="47" t="s">
        <v>491</v>
      </c>
      <c r="G1090" s="25">
        <f t="shared" si="16"/>
        <v>-1.6265100897617568E-2</v>
      </c>
    </row>
    <row r="1091" spans="1:7">
      <c r="A1091" s="47">
        <v>148.4</v>
      </c>
      <c r="B1091" s="47">
        <v>150.37</v>
      </c>
      <c r="C1091" s="47">
        <v>147.41999999999999</v>
      </c>
      <c r="D1091" s="47">
        <v>149.58000000000001</v>
      </c>
      <c r="E1091" s="47">
        <v>162879</v>
      </c>
      <c r="F1091" s="47" t="s">
        <v>490</v>
      </c>
      <c r="G1091" s="25">
        <f t="shared" si="16"/>
        <v>-7.8887551811740453E-3</v>
      </c>
    </row>
    <row r="1092" spans="1:7">
      <c r="A1092" s="47">
        <v>148.43</v>
      </c>
      <c r="B1092" s="47">
        <v>151.49</v>
      </c>
      <c r="C1092" s="47">
        <v>148.03</v>
      </c>
      <c r="D1092" s="47">
        <v>149.84</v>
      </c>
      <c r="E1092" s="47">
        <v>184383</v>
      </c>
      <c r="F1092" s="47" t="s">
        <v>489</v>
      </c>
      <c r="G1092" s="25">
        <f t="shared" si="16"/>
        <v>-9.4100373731980103E-3</v>
      </c>
    </row>
    <row r="1093" spans="1:7">
      <c r="A1093" s="47">
        <v>149.66</v>
      </c>
      <c r="B1093" s="47">
        <v>150.63</v>
      </c>
      <c r="C1093" s="47">
        <v>147.31</v>
      </c>
      <c r="D1093" s="47">
        <v>150.63</v>
      </c>
      <c r="E1093" s="47">
        <v>176172</v>
      </c>
      <c r="F1093" s="47" t="s">
        <v>488</v>
      </c>
      <c r="G1093" s="25">
        <f t="shared" si="16"/>
        <v>-6.4396202615680798E-3</v>
      </c>
    </row>
    <row r="1094" spans="1:7">
      <c r="A1094" s="47">
        <v>150.04</v>
      </c>
      <c r="B1094" s="47">
        <v>150.58000000000001</v>
      </c>
      <c r="C1094" s="47">
        <v>145.01</v>
      </c>
      <c r="D1094" s="47">
        <v>146.44</v>
      </c>
      <c r="E1094" s="47">
        <v>259553</v>
      </c>
      <c r="F1094" s="47" t="s">
        <v>487</v>
      </c>
      <c r="G1094" s="25">
        <f t="shared" si="16"/>
        <v>2.4583447145588577E-2</v>
      </c>
    </row>
    <row r="1095" spans="1:7">
      <c r="A1095" s="47">
        <v>147.46</v>
      </c>
      <c r="B1095" s="47">
        <v>148.94999999999999</v>
      </c>
      <c r="C1095" s="47">
        <v>145.63999999999999</v>
      </c>
      <c r="D1095" s="47">
        <v>148.53</v>
      </c>
      <c r="E1095" s="47">
        <v>176851</v>
      </c>
      <c r="F1095" s="47" t="s">
        <v>486</v>
      </c>
      <c r="G1095" s="25">
        <f t="shared" si="16"/>
        <v>-7.2039318656162976E-3</v>
      </c>
    </row>
    <row r="1096" spans="1:7">
      <c r="A1096" s="47">
        <v>147.32</v>
      </c>
      <c r="B1096" s="47">
        <v>148.72</v>
      </c>
      <c r="C1096" s="47">
        <v>143.34</v>
      </c>
      <c r="D1096" s="47">
        <v>144.1</v>
      </c>
      <c r="E1096" s="47">
        <v>260779</v>
      </c>
      <c r="F1096" s="47" t="s">
        <v>485</v>
      </c>
      <c r="G1096" s="25">
        <f t="shared" si="16"/>
        <v>2.2345593337959713E-2</v>
      </c>
    </row>
    <row r="1097" spans="1:7">
      <c r="A1097" s="47">
        <v>143.18</v>
      </c>
      <c r="B1097" s="47">
        <v>144.01</v>
      </c>
      <c r="C1097" s="47">
        <v>139.88</v>
      </c>
      <c r="D1097" s="47">
        <v>141.47</v>
      </c>
      <c r="E1097" s="47">
        <v>245193</v>
      </c>
      <c r="F1097" s="47" t="s">
        <v>484</v>
      </c>
      <c r="G1097" s="25">
        <f t="shared" si="16"/>
        <v>1.2087368346646032E-2</v>
      </c>
    </row>
    <row r="1098" spans="1:7">
      <c r="A1098" s="47">
        <v>142.29</v>
      </c>
      <c r="B1098" s="47">
        <v>143.82</v>
      </c>
      <c r="C1098" s="47">
        <v>140.16999999999999</v>
      </c>
      <c r="D1098" s="47">
        <v>140.63</v>
      </c>
      <c r="E1098" s="47">
        <v>242468</v>
      </c>
      <c r="F1098" s="47" t="s">
        <v>483</v>
      </c>
      <c r="G1098" s="25">
        <f t="shared" si="16"/>
        <v>1.1804024745786901E-2</v>
      </c>
    </row>
    <row r="1099" spans="1:7">
      <c r="A1099" s="47">
        <v>139.58000000000001</v>
      </c>
      <c r="B1099" s="47">
        <v>140.69</v>
      </c>
      <c r="C1099" s="47">
        <v>137.97499999999999</v>
      </c>
      <c r="D1099" s="47">
        <v>139.77000000000001</v>
      </c>
      <c r="E1099" s="47">
        <v>249413</v>
      </c>
      <c r="F1099" s="47" t="s">
        <v>482</v>
      </c>
      <c r="G1099" s="25">
        <f t="shared" si="16"/>
        <v>-1.3593761179079289E-3</v>
      </c>
    </row>
    <row r="1100" spans="1:7">
      <c r="A1100" s="47">
        <v>137.47999999999999</v>
      </c>
      <c r="B1100" s="47">
        <v>140.38</v>
      </c>
      <c r="C1100" s="47">
        <v>136.71</v>
      </c>
      <c r="D1100" s="47">
        <v>138.78</v>
      </c>
      <c r="E1100" s="47">
        <v>133125</v>
      </c>
      <c r="F1100" s="47" t="s">
        <v>481</v>
      </c>
      <c r="G1100" s="25">
        <f t="shared" si="16"/>
        <v>-9.367343997694233E-3</v>
      </c>
    </row>
    <row r="1101" spans="1:7">
      <c r="A1101" s="47">
        <v>136.96</v>
      </c>
      <c r="B1101" s="47">
        <v>138.06</v>
      </c>
      <c r="C1101" s="47">
        <v>133.54</v>
      </c>
      <c r="D1101" s="47">
        <v>135.41999999999999</v>
      </c>
      <c r="E1101" s="47">
        <v>149932</v>
      </c>
      <c r="F1101" s="47" t="s">
        <v>480</v>
      </c>
      <c r="G1101" s="25">
        <f t="shared" si="16"/>
        <v>1.1372027765470527E-2</v>
      </c>
    </row>
    <row r="1102" spans="1:7">
      <c r="A1102" s="47">
        <v>134.41999999999999</v>
      </c>
      <c r="B1102" s="47">
        <v>136.46</v>
      </c>
      <c r="C1102" s="47">
        <v>133.01</v>
      </c>
      <c r="D1102" s="47">
        <v>134.94</v>
      </c>
      <c r="E1102" s="47">
        <v>226750</v>
      </c>
      <c r="F1102" s="47" t="s">
        <v>479</v>
      </c>
      <c r="G1102" s="25">
        <f t="shared" si="16"/>
        <v>-3.8535645472062008E-3</v>
      </c>
    </row>
    <row r="1103" spans="1:7">
      <c r="A1103" s="47">
        <v>135.94</v>
      </c>
      <c r="B1103" s="47">
        <v>139.39830000000001</v>
      </c>
      <c r="C1103" s="47">
        <v>134.94999999999999</v>
      </c>
      <c r="D1103" s="47">
        <v>139.22999999999999</v>
      </c>
      <c r="E1103" s="47">
        <v>205253</v>
      </c>
      <c r="F1103" s="47" t="s">
        <v>478</v>
      </c>
      <c r="G1103" s="25">
        <f t="shared" si="16"/>
        <v>-2.3629964806435311E-2</v>
      </c>
    </row>
    <row r="1104" spans="1:7">
      <c r="A1104" s="47">
        <v>138.76</v>
      </c>
      <c r="B1104" s="47">
        <v>141.59</v>
      </c>
      <c r="C1104" s="47">
        <v>137.99</v>
      </c>
      <c r="D1104" s="47">
        <v>138.81</v>
      </c>
      <c r="E1104" s="47">
        <v>295432</v>
      </c>
      <c r="F1104" s="47" t="s">
        <v>477</v>
      </c>
      <c r="G1104" s="25">
        <f t="shared" si="16"/>
        <v>-3.6020459621077805E-4</v>
      </c>
    </row>
    <row r="1105" spans="1:7">
      <c r="A1105" s="47">
        <v>137.22999999999999</v>
      </c>
      <c r="B1105" s="47">
        <v>139.22</v>
      </c>
      <c r="C1105" s="47">
        <v>135.97</v>
      </c>
      <c r="D1105" s="47">
        <v>136.9</v>
      </c>
      <c r="E1105" s="47">
        <v>269142</v>
      </c>
      <c r="F1105" s="47" t="s">
        <v>476</v>
      </c>
      <c r="G1105" s="25">
        <f t="shared" si="16"/>
        <v>2.4105186267346923E-3</v>
      </c>
    </row>
    <row r="1106" spans="1:7">
      <c r="A1106" s="47">
        <v>138.94999999999999</v>
      </c>
      <c r="B1106" s="47">
        <v>141.4</v>
      </c>
      <c r="C1106" s="47">
        <v>136.91</v>
      </c>
      <c r="D1106" s="47">
        <v>137.96</v>
      </c>
      <c r="E1106" s="47">
        <v>275563</v>
      </c>
      <c r="F1106" s="47" t="s">
        <v>475</v>
      </c>
      <c r="G1106" s="25">
        <f t="shared" si="16"/>
        <v>7.175993041461215E-3</v>
      </c>
    </row>
    <row r="1107" spans="1:7">
      <c r="A1107" s="47">
        <v>136.85</v>
      </c>
      <c r="B1107" s="47">
        <v>141.26</v>
      </c>
      <c r="C1107" s="47">
        <v>133.91999999999999</v>
      </c>
      <c r="D1107" s="47">
        <v>141.26</v>
      </c>
      <c r="E1107" s="47">
        <v>258066</v>
      </c>
      <c r="F1107" s="47" t="s">
        <v>474</v>
      </c>
      <c r="G1107" s="25">
        <f t="shared" si="16"/>
        <v>-3.1219028741327981E-2</v>
      </c>
    </row>
    <row r="1108" spans="1:7">
      <c r="A1108" s="47">
        <v>142.35</v>
      </c>
      <c r="B1108" s="47">
        <v>142.88999999999999</v>
      </c>
      <c r="C1108" s="47">
        <v>137.57</v>
      </c>
      <c r="D1108" s="47">
        <v>141.91</v>
      </c>
      <c r="E1108" s="47">
        <v>245993</v>
      </c>
      <c r="F1108" s="47" t="s">
        <v>473</v>
      </c>
      <c r="G1108" s="25">
        <f t="shared" si="16"/>
        <v>3.100556690860401E-3</v>
      </c>
    </row>
    <row r="1109" spans="1:7">
      <c r="A1109" s="47">
        <v>140.96</v>
      </c>
      <c r="B1109" s="47">
        <v>141.25</v>
      </c>
      <c r="C1109" s="47">
        <v>138.55500000000001</v>
      </c>
      <c r="D1109" s="47">
        <v>138.63999999999999</v>
      </c>
      <c r="E1109" s="47">
        <v>451620</v>
      </c>
      <c r="F1109" s="47" t="s">
        <v>472</v>
      </c>
      <c r="G1109" s="25">
        <f t="shared" si="16"/>
        <v>1.6733987305251219E-2</v>
      </c>
    </row>
    <row r="1110" spans="1:7">
      <c r="A1110" s="47">
        <v>138.56</v>
      </c>
      <c r="B1110" s="47">
        <v>141.26499999999999</v>
      </c>
      <c r="C1110" s="47">
        <v>138.16</v>
      </c>
      <c r="D1110" s="47">
        <v>140.24</v>
      </c>
      <c r="E1110" s="47">
        <v>628532</v>
      </c>
      <c r="F1110" s="47" t="s">
        <v>471</v>
      </c>
      <c r="G1110" s="25">
        <f t="shared" si="16"/>
        <v>-1.197946377638337E-2</v>
      </c>
    </row>
    <row r="1111" spans="1:7">
      <c r="A1111" s="47">
        <v>138.63</v>
      </c>
      <c r="B1111" s="47">
        <v>144.12</v>
      </c>
      <c r="C1111" s="47">
        <v>138.3733</v>
      </c>
      <c r="D1111" s="47">
        <v>143.97</v>
      </c>
      <c r="E1111" s="47">
        <v>333618</v>
      </c>
      <c r="F1111" s="47" t="s">
        <v>470</v>
      </c>
      <c r="G1111" s="25">
        <f t="shared" si="16"/>
        <v>-3.70910606376329E-2</v>
      </c>
    </row>
    <row r="1112" spans="1:7">
      <c r="A1112" s="47">
        <v>146.72</v>
      </c>
      <c r="B1112" s="47">
        <v>149.33000000000001</v>
      </c>
      <c r="C1112" s="47">
        <v>145.34</v>
      </c>
      <c r="D1112" s="47">
        <v>149.31</v>
      </c>
      <c r="E1112" s="47">
        <v>244167</v>
      </c>
      <c r="F1112" s="47" t="s">
        <v>469</v>
      </c>
      <c r="G1112" s="25">
        <f t="shared" si="16"/>
        <v>-1.7346460384435103E-2</v>
      </c>
    </row>
    <row r="1113" spans="1:7">
      <c r="A1113" s="47">
        <v>151.01</v>
      </c>
      <c r="B1113" s="47">
        <v>152.35</v>
      </c>
      <c r="C1113" s="47">
        <v>148.66</v>
      </c>
      <c r="D1113" s="47">
        <v>151.38999999999999</v>
      </c>
      <c r="E1113" s="47">
        <v>168487</v>
      </c>
      <c r="F1113" s="47" t="s">
        <v>468</v>
      </c>
      <c r="G1113" s="25">
        <f t="shared" si="16"/>
        <v>-2.5100733205627446E-3</v>
      </c>
    </row>
    <row r="1114" spans="1:7">
      <c r="A1114" s="47">
        <v>152.26</v>
      </c>
      <c r="B1114" s="47">
        <v>152.75</v>
      </c>
      <c r="C1114" s="47">
        <v>147.82</v>
      </c>
      <c r="D1114" s="47">
        <v>148.94999999999999</v>
      </c>
      <c r="E1114" s="47">
        <v>223975</v>
      </c>
      <c r="F1114" s="47" t="s">
        <v>467</v>
      </c>
      <c r="G1114" s="25">
        <f t="shared" si="16"/>
        <v>2.2222222222222143E-2</v>
      </c>
    </row>
    <row r="1115" spans="1:7">
      <c r="A1115" s="47">
        <v>148.62</v>
      </c>
      <c r="B1115" s="47">
        <v>149.47999999999999</v>
      </c>
      <c r="C1115" s="47">
        <v>146.36000000000001</v>
      </c>
      <c r="D1115" s="47">
        <v>149.35</v>
      </c>
      <c r="E1115" s="47">
        <v>373142</v>
      </c>
      <c r="F1115" s="47" t="s">
        <v>466</v>
      </c>
      <c r="G1115" s="25">
        <f t="shared" si="16"/>
        <v>-4.8878473384665888E-3</v>
      </c>
    </row>
    <row r="1116" spans="1:7">
      <c r="A1116" s="47">
        <v>148.16</v>
      </c>
      <c r="B1116" s="47">
        <v>148.9999</v>
      </c>
      <c r="C1116" s="47">
        <v>146.67500000000001</v>
      </c>
      <c r="D1116" s="47">
        <v>147.43</v>
      </c>
      <c r="E1116" s="47">
        <v>269936</v>
      </c>
      <c r="F1116" s="47" t="s">
        <v>465</v>
      </c>
      <c r="G1116" s="25">
        <f t="shared" si="16"/>
        <v>4.9515024079223036E-3</v>
      </c>
    </row>
    <row r="1117" spans="1:7">
      <c r="A1117" s="47">
        <v>146.35</v>
      </c>
      <c r="B1117" s="47">
        <v>151.91</v>
      </c>
      <c r="C1117" s="47">
        <v>142.81819999999999</v>
      </c>
      <c r="D1117" s="47">
        <v>150.43</v>
      </c>
      <c r="E1117" s="47">
        <v>428523</v>
      </c>
      <c r="F1117" s="47" t="s">
        <v>464</v>
      </c>
      <c r="G1117" s="25">
        <f t="shared" si="16"/>
        <v>-2.7122249551286393E-2</v>
      </c>
    </row>
    <row r="1118" spans="1:7">
      <c r="A1118" s="47">
        <v>154.12</v>
      </c>
      <c r="B1118" s="47">
        <v>156.47999999999999</v>
      </c>
      <c r="C1118" s="47">
        <v>150.11000000000001</v>
      </c>
      <c r="D1118" s="47">
        <v>151.28</v>
      </c>
      <c r="E1118" s="47">
        <v>1341395</v>
      </c>
      <c r="F1118" s="47" t="s">
        <v>463</v>
      </c>
      <c r="G1118" s="25">
        <f t="shared" si="16"/>
        <v>1.877313590692764E-2</v>
      </c>
    </row>
    <row r="1119" spans="1:7">
      <c r="A1119" s="47">
        <v>150</v>
      </c>
      <c r="B1119" s="47">
        <v>151.88499999999999</v>
      </c>
      <c r="C1119" s="47">
        <v>149.685</v>
      </c>
      <c r="D1119" s="47">
        <v>150.94</v>
      </c>
      <c r="E1119" s="47">
        <v>348138</v>
      </c>
      <c r="F1119" s="47" t="s">
        <v>462</v>
      </c>
      <c r="G1119" s="25">
        <f t="shared" si="16"/>
        <v>-6.2276401219026889E-3</v>
      </c>
    </row>
    <row r="1120" spans="1:7">
      <c r="A1120" s="47">
        <v>150.69</v>
      </c>
      <c r="B1120" s="47">
        <v>151.69</v>
      </c>
      <c r="C1120" s="47">
        <v>148.54</v>
      </c>
      <c r="D1120" s="47">
        <v>150.52000000000001</v>
      </c>
      <c r="E1120" s="47">
        <v>447292</v>
      </c>
      <c r="F1120" s="47" t="s">
        <v>461</v>
      </c>
      <c r="G1120" s="25">
        <f t="shared" si="16"/>
        <v>1.1294180175391855E-3</v>
      </c>
    </row>
    <row r="1121" spans="1:7">
      <c r="A1121" s="47">
        <v>150.52000000000001</v>
      </c>
      <c r="B1121" s="47">
        <v>151.4</v>
      </c>
      <c r="C1121" s="47">
        <v>147.55000000000001</v>
      </c>
      <c r="D1121" s="47">
        <v>148.75</v>
      </c>
      <c r="E1121" s="47">
        <v>322945</v>
      </c>
      <c r="F1121" s="47" t="s">
        <v>460</v>
      </c>
      <c r="G1121" s="25">
        <f t="shared" si="16"/>
        <v>1.1899159663865566E-2</v>
      </c>
    </row>
    <row r="1122" spans="1:7">
      <c r="A1122" s="47">
        <v>147.38</v>
      </c>
      <c r="B1122" s="47">
        <v>147.72999999999999</v>
      </c>
      <c r="C1122" s="47">
        <v>143.47499999999999</v>
      </c>
      <c r="D1122" s="47">
        <v>144.5</v>
      </c>
      <c r="E1122" s="47">
        <v>516019</v>
      </c>
      <c r="F1122" s="47" t="s">
        <v>459</v>
      </c>
      <c r="G1122" s="25">
        <f t="shared" si="16"/>
        <v>1.9930795847750815E-2</v>
      </c>
    </row>
    <row r="1123" spans="1:7">
      <c r="A1123" s="47">
        <v>143.12</v>
      </c>
      <c r="B1123" s="47">
        <v>146.5</v>
      </c>
      <c r="C1123" s="47">
        <v>142.66999999999999</v>
      </c>
      <c r="D1123" s="47">
        <v>145.5</v>
      </c>
      <c r="E1123" s="47">
        <v>255692</v>
      </c>
      <c r="F1123" s="47" t="s">
        <v>458</v>
      </c>
      <c r="G1123" s="25">
        <f t="shared" si="16"/>
        <v>-1.6357388316151189E-2</v>
      </c>
    </row>
    <row r="1124" spans="1:7">
      <c r="A1124" s="47">
        <v>144.13</v>
      </c>
      <c r="B1124" s="47">
        <v>147.97999999999999</v>
      </c>
      <c r="C1124" s="47">
        <v>144.12</v>
      </c>
      <c r="D1124" s="47">
        <v>146.82</v>
      </c>
      <c r="E1124" s="47">
        <v>240254</v>
      </c>
      <c r="F1124" s="47" t="s">
        <v>457</v>
      </c>
      <c r="G1124" s="25">
        <f t="shared" si="16"/>
        <v>-1.8321754529355694E-2</v>
      </c>
    </row>
    <row r="1125" spans="1:7">
      <c r="A1125" s="47">
        <v>146.66999999999999</v>
      </c>
      <c r="B1125" s="47">
        <v>150</v>
      </c>
      <c r="C1125" s="47">
        <v>146.49</v>
      </c>
      <c r="D1125" s="47">
        <v>147.91</v>
      </c>
      <c r="E1125" s="47">
        <v>562573</v>
      </c>
      <c r="F1125" s="47" t="s">
        <v>456</v>
      </c>
      <c r="G1125" s="25">
        <f t="shared" si="16"/>
        <v>-8.3834764383747817E-3</v>
      </c>
    </row>
    <row r="1126" spans="1:7">
      <c r="A1126" s="47">
        <v>148.71</v>
      </c>
      <c r="B1126" s="47">
        <v>149.52000000000001</v>
      </c>
      <c r="C1126" s="47">
        <v>147.01</v>
      </c>
      <c r="D1126" s="47">
        <v>149.34</v>
      </c>
      <c r="E1126" s="47">
        <v>625673</v>
      </c>
      <c r="F1126" s="47" t="s">
        <v>455</v>
      </c>
      <c r="G1126" s="25">
        <f t="shared" si="16"/>
        <v>-4.2185616713539265E-3</v>
      </c>
    </row>
    <row r="1127" spans="1:7">
      <c r="A1127" s="47">
        <v>149</v>
      </c>
      <c r="B1127" s="47">
        <v>149.32</v>
      </c>
      <c r="C1127" s="47">
        <v>144.91</v>
      </c>
      <c r="D1127" s="47">
        <v>145.55000000000001</v>
      </c>
      <c r="E1127" s="47">
        <v>424772</v>
      </c>
      <c r="F1127" s="47" t="s">
        <v>454</v>
      </c>
      <c r="G1127" s="25">
        <f t="shared" si="16"/>
        <v>2.3703194778426528E-2</v>
      </c>
    </row>
    <row r="1128" spans="1:7">
      <c r="A1128" s="47">
        <v>145.37</v>
      </c>
      <c r="B1128" s="47">
        <v>146.13999999999999</v>
      </c>
      <c r="C1128" s="47">
        <v>142.1</v>
      </c>
      <c r="D1128" s="47">
        <v>143.47</v>
      </c>
      <c r="E1128" s="47">
        <v>237990</v>
      </c>
      <c r="F1128" s="47" t="s">
        <v>453</v>
      </c>
      <c r="G1128" s="25">
        <f t="shared" si="16"/>
        <v>1.3243186728932876E-2</v>
      </c>
    </row>
    <row r="1129" spans="1:7">
      <c r="A1129" s="47">
        <v>142.85</v>
      </c>
      <c r="B1129" s="47">
        <v>144.57</v>
      </c>
      <c r="C1129" s="47">
        <v>140.49</v>
      </c>
      <c r="D1129" s="47">
        <v>140.49</v>
      </c>
      <c r="E1129" s="47">
        <v>371040</v>
      </c>
      <c r="F1129" s="47" t="s">
        <v>452</v>
      </c>
      <c r="G1129" s="25">
        <f t="shared" si="16"/>
        <v>1.6798348636913651E-2</v>
      </c>
    </row>
    <row r="1130" spans="1:7">
      <c r="A1130" s="47">
        <v>140.27000000000001</v>
      </c>
      <c r="B1130" s="47">
        <v>144.54</v>
      </c>
      <c r="C1130" s="47">
        <v>139</v>
      </c>
      <c r="D1130" s="47">
        <v>144.54</v>
      </c>
      <c r="E1130" s="47">
        <v>451720</v>
      </c>
      <c r="F1130" s="47" t="s">
        <v>451</v>
      </c>
      <c r="G1130" s="25">
        <f t="shared" si="16"/>
        <v>-2.9541995295419787E-2</v>
      </c>
    </row>
    <row r="1131" spans="1:7">
      <c r="A1131" s="47">
        <v>143.93</v>
      </c>
      <c r="B1131" s="47">
        <v>144.38999999999999</v>
      </c>
      <c r="C1131" s="47">
        <v>141.31</v>
      </c>
      <c r="D1131" s="47">
        <v>142.9</v>
      </c>
      <c r="E1131" s="47">
        <v>365158</v>
      </c>
      <c r="F1131" s="47" t="s">
        <v>450</v>
      </c>
      <c r="G1131" s="25">
        <f t="shared" si="16"/>
        <v>7.2078376487054729E-3</v>
      </c>
    </row>
    <row r="1132" spans="1:7">
      <c r="A1132" s="47">
        <v>142.11000000000001</v>
      </c>
      <c r="B1132" s="47">
        <v>142.62</v>
      </c>
      <c r="C1132" s="47">
        <v>137.94</v>
      </c>
      <c r="D1132" s="47">
        <v>137.94</v>
      </c>
      <c r="E1132" s="47">
        <v>339216</v>
      </c>
      <c r="F1132" s="47" t="s">
        <v>449</v>
      </c>
      <c r="G1132" s="25">
        <f t="shared" si="16"/>
        <v>3.0230535015224103E-2</v>
      </c>
    </row>
    <row r="1133" spans="1:7">
      <c r="A1133" s="47">
        <v>137.93</v>
      </c>
      <c r="B1133" s="47">
        <v>141.50989999999999</v>
      </c>
      <c r="C1133" s="47">
        <v>137.54</v>
      </c>
      <c r="D1133" s="47">
        <v>140.79</v>
      </c>
      <c r="E1133" s="47">
        <v>240153</v>
      </c>
      <c r="F1133" s="47" t="s">
        <v>448</v>
      </c>
      <c r="G1133" s="25">
        <f t="shared" si="16"/>
        <v>-2.0313942751615799E-2</v>
      </c>
    </row>
    <row r="1134" spans="1:7">
      <c r="A1134" s="47">
        <v>140.01</v>
      </c>
      <c r="B1134" s="47">
        <v>142</v>
      </c>
      <c r="C1134" s="47">
        <v>137.91</v>
      </c>
      <c r="D1134" s="47">
        <v>140.6</v>
      </c>
      <c r="E1134" s="47">
        <v>467228</v>
      </c>
      <c r="F1134" s="47" t="s">
        <v>447</v>
      </c>
      <c r="G1134" s="25">
        <f t="shared" si="16"/>
        <v>-4.1963015647226154E-3</v>
      </c>
    </row>
    <row r="1135" spans="1:7">
      <c r="A1135" s="47">
        <v>140.63999999999999</v>
      </c>
      <c r="B1135" s="47">
        <v>141.01</v>
      </c>
      <c r="C1135" s="47">
        <v>135.41999999999999</v>
      </c>
      <c r="D1135" s="47">
        <v>136.34</v>
      </c>
      <c r="E1135" s="47">
        <v>1596110</v>
      </c>
      <c r="F1135" s="47" t="s">
        <v>446</v>
      </c>
      <c r="G1135" s="25">
        <f t="shared" si="16"/>
        <v>3.1538800058676708E-2</v>
      </c>
    </row>
    <row r="1136" spans="1:7">
      <c r="A1136" s="47">
        <v>137</v>
      </c>
      <c r="B1136" s="47">
        <v>138.15</v>
      </c>
      <c r="C1136" s="47">
        <v>136.5</v>
      </c>
      <c r="D1136" s="47">
        <v>137.35</v>
      </c>
      <c r="E1136" s="47">
        <v>193014</v>
      </c>
      <c r="F1136" s="47" t="s">
        <v>445</v>
      </c>
      <c r="G1136" s="25">
        <f t="shared" si="16"/>
        <v>-2.548234437568242E-3</v>
      </c>
    </row>
    <row r="1137" spans="1:7">
      <c r="A1137" s="47">
        <v>136.05000000000001</v>
      </c>
      <c r="B1137" s="47">
        <v>137.57</v>
      </c>
      <c r="C1137" s="47">
        <v>134.33000000000001</v>
      </c>
      <c r="D1137" s="47">
        <v>134.88</v>
      </c>
      <c r="E1137" s="47">
        <v>300797</v>
      </c>
      <c r="F1137" s="47" t="s">
        <v>444</v>
      </c>
      <c r="G1137" s="25">
        <f t="shared" si="16"/>
        <v>8.6743772241995032E-3</v>
      </c>
    </row>
    <row r="1138" spans="1:7">
      <c r="A1138" s="47">
        <v>134.88</v>
      </c>
      <c r="B1138" s="47">
        <v>136.15</v>
      </c>
      <c r="C1138" s="47">
        <v>131.995</v>
      </c>
      <c r="D1138" s="47">
        <v>132.36000000000001</v>
      </c>
      <c r="E1138" s="47">
        <v>519876</v>
      </c>
      <c r="F1138" s="47" t="s">
        <v>443</v>
      </c>
      <c r="G1138" s="25">
        <f t="shared" si="16"/>
        <v>1.9038984587488539E-2</v>
      </c>
    </row>
    <row r="1139" spans="1:7">
      <c r="A1139" s="47">
        <v>134.35</v>
      </c>
      <c r="B1139" s="47">
        <v>136.29</v>
      </c>
      <c r="C1139" s="47">
        <v>133.61000000000001</v>
      </c>
      <c r="D1139" s="47">
        <v>135.41999999999999</v>
      </c>
      <c r="E1139" s="47">
        <v>316135</v>
      </c>
      <c r="F1139" s="47" t="s">
        <v>442</v>
      </c>
      <c r="G1139" s="25">
        <f t="shared" si="16"/>
        <v>-7.9013439669176622E-3</v>
      </c>
    </row>
    <row r="1140" spans="1:7">
      <c r="A1140" s="47">
        <v>134.97</v>
      </c>
      <c r="B1140" s="47">
        <v>135.30000000000001</v>
      </c>
      <c r="C1140" s="47">
        <v>130.69</v>
      </c>
      <c r="D1140" s="47">
        <v>132.6</v>
      </c>
      <c r="E1140" s="47">
        <v>575746</v>
      </c>
      <c r="F1140" s="47" t="s">
        <v>441</v>
      </c>
      <c r="G1140" s="25">
        <f t="shared" si="16"/>
        <v>1.7873303167420751E-2</v>
      </c>
    </row>
    <row r="1141" spans="1:7">
      <c r="A1141" s="47">
        <v>134.55000000000001</v>
      </c>
      <c r="B1141" s="47">
        <v>134.7099</v>
      </c>
      <c r="C1141" s="47">
        <v>128.41999999999999</v>
      </c>
      <c r="D1141" s="47">
        <v>131.32</v>
      </c>
      <c r="E1141" s="47">
        <v>503636</v>
      </c>
      <c r="F1141" s="47" t="s">
        <v>440</v>
      </c>
      <c r="G1141" s="25">
        <f t="shared" si="16"/>
        <v>2.4596405726469817E-2</v>
      </c>
    </row>
    <row r="1142" spans="1:7">
      <c r="A1142" s="47">
        <v>132.44</v>
      </c>
      <c r="B1142" s="47">
        <v>132.74</v>
      </c>
      <c r="C1142" s="47">
        <v>130.30000000000001</v>
      </c>
      <c r="D1142" s="47">
        <v>132.19999999999999</v>
      </c>
      <c r="E1142" s="47">
        <v>175923</v>
      </c>
      <c r="F1142" s="47" t="s">
        <v>439</v>
      </c>
      <c r="G1142" s="25">
        <f t="shared" si="16"/>
        <v>1.8154311649016819E-3</v>
      </c>
    </row>
    <row r="1143" spans="1:7">
      <c r="A1143" s="47">
        <v>132.46</v>
      </c>
      <c r="B1143" s="47">
        <v>135.46</v>
      </c>
      <c r="C1143" s="47">
        <v>131.81</v>
      </c>
      <c r="D1143" s="47">
        <v>131.81</v>
      </c>
      <c r="E1143" s="47">
        <v>211045</v>
      </c>
      <c r="F1143" s="47" t="s">
        <v>438</v>
      </c>
      <c r="G1143" s="25">
        <f t="shared" ref="G1143:G1206" si="17">A1143/D1143-1</f>
        <v>4.9313405659661136E-3</v>
      </c>
    </row>
    <row r="1144" spans="1:7">
      <c r="A1144" s="47">
        <v>133.15</v>
      </c>
      <c r="B1144" s="47">
        <v>133.97</v>
      </c>
      <c r="C1144" s="47">
        <v>130.08000000000001</v>
      </c>
      <c r="D1144" s="47">
        <v>133.97</v>
      </c>
      <c r="E1144" s="47">
        <v>478316</v>
      </c>
      <c r="F1144" s="47" t="s">
        <v>437</v>
      </c>
      <c r="G1144" s="25">
        <f t="shared" si="17"/>
        <v>-6.1207733074568615E-3</v>
      </c>
    </row>
    <row r="1145" spans="1:7">
      <c r="A1145" s="47">
        <v>132.99</v>
      </c>
      <c r="B1145" s="47">
        <v>134.63999999999999</v>
      </c>
      <c r="C1145" s="47">
        <v>131.6018</v>
      </c>
      <c r="D1145" s="47">
        <v>132.13</v>
      </c>
      <c r="E1145" s="47">
        <v>472742</v>
      </c>
      <c r="F1145" s="47" t="s">
        <v>436</v>
      </c>
      <c r="G1145" s="25">
        <f t="shared" si="17"/>
        <v>6.5087413910542846E-3</v>
      </c>
    </row>
    <row r="1146" spans="1:7">
      <c r="A1146" s="47">
        <v>132.61000000000001</v>
      </c>
      <c r="B1146" s="47">
        <v>135.56</v>
      </c>
      <c r="C1146" s="47">
        <v>130.01</v>
      </c>
      <c r="D1146" s="47">
        <v>134</v>
      </c>
      <c r="E1146" s="47">
        <v>525196</v>
      </c>
      <c r="F1146" s="47" t="s">
        <v>435</v>
      </c>
      <c r="G1146" s="25">
        <f t="shared" si="17"/>
        <v>-1.0373134328358069E-2</v>
      </c>
    </row>
    <row r="1147" spans="1:7">
      <c r="A1147" s="47">
        <v>133.13999999999999</v>
      </c>
      <c r="B1147" s="47">
        <v>136</v>
      </c>
      <c r="C1147" s="47">
        <v>132</v>
      </c>
      <c r="D1147" s="47">
        <v>135.63999999999999</v>
      </c>
      <c r="E1147" s="47">
        <v>589282</v>
      </c>
      <c r="F1147" s="47" t="s">
        <v>434</v>
      </c>
      <c r="G1147" s="25">
        <f t="shared" si="17"/>
        <v>-1.8431141256266548E-2</v>
      </c>
    </row>
    <row r="1148" spans="1:7">
      <c r="A1148" s="47">
        <v>135.75</v>
      </c>
      <c r="B1148" s="47">
        <v>139.62</v>
      </c>
      <c r="C1148" s="47">
        <v>132.99</v>
      </c>
      <c r="D1148" s="47">
        <v>138.46</v>
      </c>
      <c r="E1148" s="47">
        <v>632146</v>
      </c>
      <c r="F1148" s="47" t="s">
        <v>433</v>
      </c>
      <c r="G1148" s="25">
        <f t="shared" si="17"/>
        <v>-1.9572439693774424E-2</v>
      </c>
    </row>
    <row r="1149" spans="1:7">
      <c r="A1149" s="47">
        <v>138.69999999999999</v>
      </c>
      <c r="B1149" s="47">
        <v>140.54</v>
      </c>
      <c r="C1149" s="47">
        <v>133.81</v>
      </c>
      <c r="D1149" s="47">
        <v>137.69999999999999</v>
      </c>
      <c r="E1149" s="47">
        <v>848225</v>
      </c>
      <c r="F1149" s="47" t="s">
        <v>432</v>
      </c>
      <c r="G1149" s="25">
        <f t="shared" si="17"/>
        <v>7.2621641249093205E-3</v>
      </c>
    </row>
    <row r="1150" spans="1:7">
      <c r="A1150" s="47">
        <v>128.66</v>
      </c>
      <c r="B1150" s="47">
        <v>130.31</v>
      </c>
      <c r="C1150" s="47">
        <v>126.84</v>
      </c>
      <c r="D1150" s="47">
        <v>128.96</v>
      </c>
      <c r="E1150" s="47">
        <v>229591</v>
      </c>
      <c r="F1150" s="47" t="s">
        <v>431</v>
      </c>
      <c r="G1150" s="25">
        <f t="shared" si="17"/>
        <v>-2.3263027295286065E-3</v>
      </c>
    </row>
    <row r="1151" spans="1:7">
      <c r="A1151" s="47">
        <v>129.07</v>
      </c>
      <c r="B1151" s="47">
        <v>131.86000000000001</v>
      </c>
      <c r="C1151" s="47">
        <v>128.35</v>
      </c>
      <c r="D1151" s="47">
        <v>131.86000000000001</v>
      </c>
      <c r="E1151" s="47">
        <v>233347</v>
      </c>
      <c r="F1151" s="47" t="s">
        <v>430</v>
      </c>
      <c r="G1151" s="25">
        <f t="shared" si="17"/>
        <v>-2.1158804792962393E-2</v>
      </c>
    </row>
    <row r="1152" spans="1:7">
      <c r="A1152" s="47">
        <v>129.77000000000001</v>
      </c>
      <c r="B1152" s="47">
        <v>132.05000000000001</v>
      </c>
      <c r="C1152" s="47">
        <v>128.61000000000001</v>
      </c>
      <c r="D1152" s="47">
        <v>131.08000000000001</v>
      </c>
      <c r="E1152" s="47">
        <v>282594</v>
      </c>
      <c r="F1152" s="47" t="s">
        <v>429</v>
      </c>
      <c r="G1152" s="25">
        <f t="shared" si="17"/>
        <v>-9.9938968568813458E-3</v>
      </c>
    </row>
    <row r="1153" spans="1:7">
      <c r="A1153" s="47">
        <v>131.41</v>
      </c>
      <c r="B1153" s="47">
        <v>132.38999999999999</v>
      </c>
      <c r="C1153" s="47">
        <v>128.815</v>
      </c>
      <c r="D1153" s="47">
        <v>129.81</v>
      </c>
      <c r="E1153" s="47">
        <v>155281</v>
      </c>
      <c r="F1153" s="47" t="s">
        <v>428</v>
      </c>
      <c r="G1153" s="25">
        <f t="shared" si="17"/>
        <v>1.2325706802249314E-2</v>
      </c>
    </row>
    <row r="1154" spans="1:7">
      <c r="A1154" s="47">
        <v>129.30000000000001</v>
      </c>
      <c r="B1154" s="47">
        <v>130.02500000000001</v>
      </c>
      <c r="C1154" s="47">
        <v>126.9</v>
      </c>
      <c r="D1154" s="47">
        <v>127.76</v>
      </c>
      <c r="E1154" s="47">
        <v>262303</v>
      </c>
      <c r="F1154" s="47" t="s">
        <v>427</v>
      </c>
      <c r="G1154" s="25">
        <f t="shared" si="17"/>
        <v>1.2053850970569879E-2</v>
      </c>
    </row>
    <row r="1155" spans="1:7">
      <c r="A1155" s="47">
        <v>127.17</v>
      </c>
      <c r="B1155" s="47">
        <v>131.81</v>
      </c>
      <c r="C1155" s="47">
        <v>124.32</v>
      </c>
      <c r="D1155" s="47">
        <v>130.79</v>
      </c>
      <c r="E1155" s="47">
        <v>359268</v>
      </c>
      <c r="F1155" s="47" t="s">
        <v>426</v>
      </c>
      <c r="G1155" s="25">
        <f t="shared" si="17"/>
        <v>-2.7677957030353917E-2</v>
      </c>
    </row>
    <row r="1156" spans="1:7">
      <c r="A1156" s="47">
        <v>131.82</v>
      </c>
      <c r="B1156" s="47">
        <v>132.16999999999999</v>
      </c>
      <c r="C1156" s="47">
        <v>128.94</v>
      </c>
      <c r="D1156" s="47">
        <v>130.9</v>
      </c>
      <c r="E1156" s="47">
        <v>270615</v>
      </c>
      <c r="F1156" s="47" t="s">
        <v>425</v>
      </c>
      <c r="G1156" s="25">
        <f t="shared" si="17"/>
        <v>7.0282658517950569E-3</v>
      </c>
    </row>
    <row r="1157" spans="1:7">
      <c r="A1157" s="47">
        <v>129.87</v>
      </c>
      <c r="B1157" s="47">
        <v>130.96</v>
      </c>
      <c r="C1157" s="47">
        <v>127.55</v>
      </c>
      <c r="D1157" s="47">
        <v>128.30000000000001</v>
      </c>
      <c r="E1157" s="47">
        <v>333988</v>
      </c>
      <c r="F1157" s="47" t="s">
        <v>424</v>
      </c>
      <c r="G1157" s="25">
        <f t="shared" si="17"/>
        <v>1.2236944660950932E-2</v>
      </c>
    </row>
    <row r="1158" spans="1:7">
      <c r="A1158" s="47">
        <v>127.69</v>
      </c>
      <c r="B1158" s="47">
        <v>129.38</v>
      </c>
      <c r="C1158" s="47">
        <v>127.3</v>
      </c>
      <c r="D1158" s="47">
        <v>127.49</v>
      </c>
      <c r="E1158" s="47">
        <v>321440</v>
      </c>
      <c r="F1158" s="47" t="s">
        <v>423</v>
      </c>
      <c r="G1158" s="25">
        <f t="shared" si="17"/>
        <v>1.5687504902346383E-3</v>
      </c>
    </row>
    <row r="1159" spans="1:7">
      <c r="A1159" s="47">
        <v>127.94</v>
      </c>
      <c r="B1159" s="47">
        <v>129.44220000000001</v>
      </c>
      <c r="C1159" s="47">
        <v>124.91</v>
      </c>
      <c r="D1159" s="47">
        <v>126</v>
      </c>
      <c r="E1159" s="47">
        <v>360317</v>
      </c>
      <c r="F1159" s="47" t="s">
        <v>422</v>
      </c>
      <c r="G1159" s="25">
        <f t="shared" si="17"/>
        <v>1.5396825396825298E-2</v>
      </c>
    </row>
    <row r="1160" spans="1:7">
      <c r="A1160" s="47">
        <v>126</v>
      </c>
      <c r="B1160" s="47">
        <v>127.35</v>
      </c>
      <c r="C1160" s="47">
        <v>121.54</v>
      </c>
      <c r="D1160" s="47">
        <v>122.55</v>
      </c>
      <c r="E1160" s="47">
        <v>406977</v>
      </c>
      <c r="F1160" s="47" t="s">
        <v>421</v>
      </c>
      <c r="G1160" s="25">
        <f t="shared" si="17"/>
        <v>2.8151774785801775E-2</v>
      </c>
    </row>
    <row r="1161" spans="1:7">
      <c r="A1161" s="47">
        <v>121.29</v>
      </c>
      <c r="B1161" s="47">
        <v>121.65</v>
      </c>
      <c r="C1161" s="47">
        <v>116.05</v>
      </c>
      <c r="D1161" s="47">
        <v>116.69</v>
      </c>
      <c r="E1161" s="47">
        <v>290565</v>
      </c>
      <c r="F1161" s="47" t="s">
        <v>420</v>
      </c>
      <c r="G1161" s="25">
        <f t="shared" si="17"/>
        <v>3.9420687291113365E-2</v>
      </c>
    </row>
    <row r="1162" spans="1:7">
      <c r="A1162" s="47">
        <v>119.56</v>
      </c>
      <c r="B1162" s="47">
        <v>121.29</v>
      </c>
      <c r="C1162" s="47">
        <v>118.09</v>
      </c>
      <c r="D1162" s="47">
        <v>118.63</v>
      </c>
      <c r="E1162" s="47">
        <v>247580</v>
      </c>
      <c r="F1162" s="47" t="s">
        <v>419</v>
      </c>
      <c r="G1162" s="25">
        <f t="shared" si="17"/>
        <v>7.8395009694007811E-3</v>
      </c>
    </row>
    <row r="1163" spans="1:7">
      <c r="A1163" s="47">
        <v>117.37</v>
      </c>
      <c r="B1163" s="47">
        <v>118.42</v>
      </c>
      <c r="C1163" s="47">
        <v>115.72</v>
      </c>
      <c r="D1163" s="47">
        <v>117.95</v>
      </c>
      <c r="E1163" s="47">
        <v>146613</v>
      </c>
      <c r="F1163" s="47" t="s">
        <v>418</v>
      </c>
      <c r="G1163" s="25">
        <f t="shared" si="17"/>
        <v>-4.9173378550233515E-3</v>
      </c>
    </row>
    <row r="1164" spans="1:7">
      <c r="A1164" s="47">
        <v>118.32</v>
      </c>
      <c r="B1164" s="47">
        <v>125</v>
      </c>
      <c r="C1164" s="47">
        <v>118.245</v>
      </c>
      <c r="D1164" s="47">
        <v>125</v>
      </c>
      <c r="E1164" s="47">
        <v>198119</v>
      </c>
      <c r="F1164" s="47" t="s">
        <v>417</v>
      </c>
      <c r="G1164" s="25">
        <f t="shared" si="17"/>
        <v>-5.3440000000000043E-2</v>
      </c>
    </row>
    <row r="1165" spans="1:7">
      <c r="A1165" s="47">
        <v>124.02</v>
      </c>
      <c r="B1165" s="47">
        <v>124.89</v>
      </c>
      <c r="C1165" s="47">
        <v>122.64</v>
      </c>
      <c r="D1165" s="47">
        <v>123.22</v>
      </c>
      <c r="E1165" s="47">
        <v>285091</v>
      </c>
      <c r="F1165" s="47" t="s">
        <v>416</v>
      </c>
      <c r="G1165" s="25">
        <f t="shared" si="17"/>
        <v>6.4924525239409281E-3</v>
      </c>
    </row>
    <row r="1166" spans="1:7">
      <c r="A1166" s="47">
        <v>123.79</v>
      </c>
      <c r="B1166" s="47">
        <v>124.6</v>
      </c>
      <c r="C1166" s="47">
        <v>120.87</v>
      </c>
      <c r="D1166" s="47">
        <v>124.6</v>
      </c>
      <c r="E1166" s="47">
        <v>252756</v>
      </c>
      <c r="F1166" s="47" t="s">
        <v>415</v>
      </c>
      <c r="G1166" s="25">
        <f t="shared" si="17"/>
        <v>-6.5008025682181669E-3</v>
      </c>
    </row>
    <row r="1167" spans="1:7">
      <c r="A1167" s="47">
        <v>123.43</v>
      </c>
      <c r="B1167" s="47">
        <v>123.605</v>
      </c>
      <c r="C1167" s="47">
        <v>119.72</v>
      </c>
      <c r="D1167" s="47">
        <v>121.22</v>
      </c>
      <c r="E1167" s="47">
        <v>166848</v>
      </c>
      <c r="F1167" s="47" t="s">
        <v>414</v>
      </c>
      <c r="G1167" s="25">
        <f t="shared" si="17"/>
        <v>1.8231314964527456E-2</v>
      </c>
    </row>
    <row r="1168" spans="1:7">
      <c r="A1168" s="47">
        <v>120.88</v>
      </c>
      <c r="B1168" s="47">
        <v>122.02</v>
      </c>
      <c r="C1168" s="47">
        <v>117.15</v>
      </c>
      <c r="D1168" s="47">
        <v>119.58</v>
      </c>
      <c r="E1168" s="47">
        <v>222643</v>
      </c>
      <c r="F1168" s="47" t="s">
        <v>413</v>
      </c>
      <c r="G1168" s="25">
        <f t="shared" si="17"/>
        <v>1.0871383174443805E-2</v>
      </c>
    </row>
    <row r="1169" spans="1:7">
      <c r="A1169" s="47">
        <v>122.94</v>
      </c>
      <c r="B1169" s="47">
        <v>123.16</v>
      </c>
      <c r="C1169" s="47">
        <v>119.06</v>
      </c>
      <c r="D1169" s="47">
        <v>121.27</v>
      </c>
      <c r="E1169" s="47">
        <v>385843</v>
      </c>
      <c r="F1169" s="47" t="s">
        <v>412</v>
      </c>
      <c r="G1169" s="25">
        <f t="shared" si="17"/>
        <v>1.3770924383606831E-2</v>
      </c>
    </row>
    <row r="1170" spans="1:7">
      <c r="A1170" s="47">
        <v>120.14</v>
      </c>
      <c r="B1170" s="47">
        <v>120.63</v>
      </c>
      <c r="C1170" s="47">
        <v>116</v>
      </c>
      <c r="D1170" s="47">
        <v>116</v>
      </c>
      <c r="E1170" s="47">
        <v>306546</v>
      </c>
      <c r="F1170" s="47" t="s">
        <v>411</v>
      </c>
      <c r="G1170" s="25">
        <f t="shared" si="17"/>
        <v>3.5689655172413737E-2</v>
      </c>
    </row>
    <row r="1171" spans="1:7">
      <c r="A1171" s="47">
        <v>115.66</v>
      </c>
      <c r="B1171" s="47">
        <v>115.72499999999999</v>
      </c>
      <c r="C1171" s="47">
        <v>113.86</v>
      </c>
      <c r="D1171" s="47">
        <v>114.2</v>
      </c>
      <c r="E1171" s="47">
        <v>208888</v>
      </c>
      <c r="F1171" s="47" t="s">
        <v>410</v>
      </c>
      <c r="G1171" s="25">
        <f t="shared" si="17"/>
        <v>1.2784588441330902E-2</v>
      </c>
    </row>
    <row r="1172" spans="1:7">
      <c r="A1172" s="47">
        <v>113.04</v>
      </c>
      <c r="B1172" s="47">
        <v>113.14</v>
      </c>
      <c r="C1172" s="47">
        <v>110.23</v>
      </c>
      <c r="D1172" s="47">
        <v>111.78</v>
      </c>
      <c r="E1172" s="47">
        <v>185614</v>
      </c>
      <c r="F1172" s="47" t="s">
        <v>409</v>
      </c>
      <c r="G1172" s="25">
        <f t="shared" si="17"/>
        <v>1.1272141706924366E-2</v>
      </c>
    </row>
    <row r="1173" spans="1:7">
      <c r="A1173" s="47">
        <v>111.33</v>
      </c>
      <c r="B1173" s="47">
        <v>112.72</v>
      </c>
      <c r="C1173" s="47">
        <v>110.91</v>
      </c>
      <c r="D1173" s="47">
        <v>112.63</v>
      </c>
      <c r="E1173" s="47">
        <v>280345</v>
      </c>
      <c r="F1173" s="47" t="s">
        <v>408</v>
      </c>
      <c r="G1173" s="25">
        <f t="shared" si="17"/>
        <v>-1.1542217881559069E-2</v>
      </c>
    </row>
    <row r="1174" spans="1:7">
      <c r="A1174" s="47">
        <v>113</v>
      </c>
      <c r="B1174" s="47">
        <v>114.75</v>
      </c>
      <c r="C1174" s="47">
        <v>112.76</v>
      </c>
      <c r="D1174" s="47">
        <v>113.86</v>
      </c>
      <c r="E1174" s="47">
        <v>317748</v>
      </c>
      <c r="F1174" s="47" t="s">
        <v>407</v>
      </c>
      <c r="G1174" s="25">
        <f t="shared" si="17"/>
        <v>-7.5531354294747777E-3</v>
      </c>
    </row>
    <row r="1175" spans="1:7">
      <c r="A1175" s="47">
        <v>114.26</v>
      </c>
      <c r="B1175" s="47">
        <v>115.21</v>
      </c>
      <c r="C1175" s="47">
        <v>112.83</v>
      </c>
      <c r="D1175" s="47">
        <v>114.21</v>
      </c>
      <c r="E1175" s="47">
        <v>269008</v>
      </c>
      <c r="F1175" s="47" t="s">
        <v>406</v>
      </c>
      <c r="G1175" s="25">
        <f t="shared" si="17"/>
        <v>4.3779003589894394E-4</v>
      </c>
    </row>
    <row r="1176" spans="1:7">
      <c r="A1176" s="47">
        <v>113.42</v>
      </c>
      <c r="B1176" s="47">
        <v>114.88</v>
      </c>
      <c r="C1176" s="47">
        <v>112.12</v>
      </c>
      <c r="D1176" s="47">
        <v>114.22</v>
      </c>
      <c r="E1176" s="47">
        <v>349008</v>
      </c>
      <c r="F1176" s="47" t="s">
        <v>405</v>
      </c>
      <c r="G1176" s="25">
        <f t="shared" si="17"/>
        <v>-7.0040273157064847E-3</v>
      </c>
    </row>
    <row r="1177" spans="1:7">
      <c r="A1177" s="47">
        <v>114.19</v>
      </c>
      <c r="B1177" s="47">
        <v>115.62</v>
      </c>
      <c r="C1177" s="47">
        <v>113.05</v>
      </c>
      <c r="D1177" s="47">
        <v>113.83</v>
      </c>
      <c r="E1177" s="47">
        <v>225185</v>
      </c>
      <c r="F1177" s="47" t="s">
        <v>404</v>
      </c>
      <c r="G1177" s="25">
        <f t="shared" si="17"/>
        <v>3.1626109110076683E-3</v>
      </c>
    </row>
    <row r="1178" spans="1:7">
      <c r="A1178" s="47">
        <v>112.93</v>
      </c>
      <c r="B1178" s="47">
        <v>113.56</v>
      </c>
      <c r="C1178" s="47">
        <v>110.67</v>
      </c>
      <c r="D1178" s="47">
        <v>112.72</v>
      </c>
      <c r="E1178" s="47">
        <v>200852</v>
      </c>
      <c r="F1178" s="47" t="s">
        <v>403</v>
      </c>
      <c r="G1178" s="25">
        <f t="shared" si="17"/>
        <v>1.8630234208658614E-3</v>
      </c>
    </row>
    <row r="1179" spans="1:7">
      <c r="A1179" s="47">
        <v>112.49</v>
      </c>
      <c r="B1179" s="47">
        <v>112.63</v>
      </c>
      <c r="C1179" s="47">
        <v>109.81</v>
      </c>
      <c r="D1179" s="47">
        <v>110.6</v>
      </c>
      <c r="E1179" s="47">
        <v>263546</v>
      </c>
      <c r="F1179" s="47" t="s">
        <v>402</v>
      </c>
      <c r="G1179" s="25">
        <f t="shared" si="17"/>
        <v>1.70886075949368E-2</v>
      </c>
    </row>
    <row r="1180" spans="1:7">
      <c r="A1180" s="47">
        <v>110.67</v>
      </c>
      <c r="B1180" s="47">
        <v>111.2</v>
      </c>
      <c r="C1180" s="47">
        <v>106.24</v>
      </c>
      <c r="D1180" s="47">
        <v>108.12</v>
      </c>
      <c r="E1180" s="47">
        <v>367218</v>
      </c>
      <c r="F1180" s="47" t="s">
        <v>401</v>
      </c>
      <c r="G1180" s="25">
        <f t="shared" si="17"/>
        <v>2.3584905660377409E-2</v>
      </c>
    </row>
    <row r="1181" spans="1:7">
      <c r="A1181" s="47">
        <v>107.52</v>
      </c>
      <c r="B1181" s="47">
        <v>108.14</v>
      </c>
      <c r="C1181" s="47">
        <v>105.55</v>
      </c>
      <c r="D1181" s="47">
        <v>106.8</v>
      </c>
      <c r="E1181" s="47">
        <v>465476</v>
      </c>
      <c r="F1181" s="47" t="s">
        <v>400</v>
      </c>
      <c r="G1181" s="25">
        <f t="shared" si="17"/>
        <v>6.741573033707926E-3</v>
      </c>
    </row>
    <row r="1182" spans="1:7">
      <c r="A1182" s="47">
        <v>107.13</v>
      </c>
      <c r="B1182" s="47">
        <v>107.245</v>
      </c>
      <c r="C1182" s="47">
        <v>104.39279999999999</v>
      </c>
      <c r="D1182" s="47">
        <v>104.4</v>
      </c>
      <c r="E1182" s="47">
        <v>360765</v>
      </c>
      <c r="F1182" s="47" t="s">
        <v>399</v>
      </c>
      <c r="G1182" s="25">
        <f t="shared" si="17"/>
        <v>2.6149425287356198E-2</v>
      </c>
    </row>
    <row r="1183" spans="1:7">
      <c r="A1183" s="47">
        <v>105.6</v>
      </c>
      <c r="B1183" s="47">
        <v>106.05</v>
      </c>
      <c r="C1183" s="47">
        <v>102.79</v>
      </c>
      <c r="D1183" s="47">
        <v>102.79</v>
      </c>
      <c r="E1183" s="47">
        <v>422558</v>
      </c>
      <c r="F1183" s="47" t="s">
        <v>398</v>
      </c>
      <c r="G1183" s="25">
        <f t="shared" si="17"/>
        <v>2.7337289619612681E-2</v>
      </c>
    </row>
    <row r="1184" spans="1:7">
      <c r="A1184" s="47">
        <v>102.46</v>
      </c>
      <c r="B1184" s="47">
        <v>104.17</v>
      </c>
      <c r="C1184" s="47">
        <v>100.96</v>
      </c>
      <c r="D1184" s="47">
        <v>103.47</v>
      </c>
      <c r="E1184" s="47">
        <v>199938</v>
      </c>
      <c r="F1184" s="47" t="s">
        <v>397</v>
      </c>
      <c r="G1184" s="25">
        <f t="shared" si="17"/>
        <v>-9.7612834638060031E-3</v>
      </c>
    </row>
    <row r="1185" spans="1:7">
      <c r="A1185" s="47">
        <v>103.62</v>
      </c>
      <c r="B1185" s="47">
        <v>103.77</v>
      </c>
      <c r="C1185" s="47">
        <v>100.955</v>
      </c>
      <c r="D1185" s="47">
        <v>101</v>
      </c>
      <c r="E1185" s="47">
        <v>261918</v>
      </c>
      <c r="F1185" s="47" t="s">
        <v>396</v>
      </c>
      <c r="G1185" s="25">
        <f t="shared" si="17"/>
        <v>2.5940594059405964E-2</v>
      </c>
    </row>
    <row r="1186" spans="1:7">
      <c r="A1186" s="47">
        <v>100.71</v>
      </c>
      <c r="B1186" s="47">
        <v>100.76</v>
      </c>
      <c r="C1186" s="47">
        <v>98.48</v>
      </c>
      <c r="D1186" s="47">
        <v>98.83</v>
      </c>
      <c r="E1186" s="47">
        <v>178257</v>
      </c>
      <c r="F1186" s="47" t="s">
        <v>395</v>
      </c>
      <c r="G1186" s="25">
        <f t="shared" si="17"/>
        <v>1.9022563998785769E-2</v>
      </c>
    </row>
    <row r="1187" spans="1:7">
      <c r="A1187" s="47">
        <v>98.66</v>
      </c>
      <c r="B1187" s="47">
        <v>98.82</v>
      </c>
      <c r="C1187" s="47">
        <v>96.39</v>
      </c>
      <c r="D1187" s="47">
        <v>96.69</v>
      </c>
      <c r="E1187" s="47">
        <v>145603</v>
      </c>
      <c r="F1187" s="47" t="s">
        <v>394</v>
      </c>
      <c r="G1187" s="25">
        <f t="shared" si="17"/>
        <v>2.0374392388044171E-2</v>
      </c>
    </row>
    <row r="1188" spans="1:7">
      <c r="A1188" s="47">
        <v>97.43</v>
      </c>
      <c r="B1188" s="47">
        <v>100.78</v>
      </c>
      <c r="C1188" s="47">
        <v>96.78</v>
      </c>
      <c r="D1188" s="47">
        <v>99</v>
      </c>
      <c r="E1188" s="47">
        <v>197108</v>
      </c>
      <c r="F1188" s="47" t="s">
        <v>393</v>
      </c>
      <c r="G1188" s="25">
        <f t="shared" si="17"/>
        <v>-1.5858585858585794E-2</v>
      </c>
    </row>
    <row r="1189" spans="1:7">
      <c r="A1189" s="47">
        <v>98.66</v>
      </c>
      <c r="B1189" s="47">
        <v>99</v>
      </c>
      <c r="C1189" s="47">
        <v>96.35</v>
      </c>
      <c r="D1189" s="47">
        <v>96.74</v>
      </c>
      <c r="E1189" s="47">
        <v>294727</v>
      </c>
      <c r="F1189" s="47" t="s">
        <v>392</v>
      </c>
      <c r="G1189" s="25">
        <f t="shared" si="17"/>
        <v>1.9847012611122539E-2</v>
      </c>
    </row>
    <row r="1190" spans="1:7">
      <c r="A1190" s="47">
        <v>95.91</v>
      </c>
      <c r="B1190" s="47">
        <v>95.98</v>
      </c>
      <c r="C1190" s="47">
        <v>91.85</v>
      </c>
      <c r="D1190" s="47">
        <v>91.85</v>
      </c>
      <c r="E1190" s="47">
        <v>211529</v>
      </c>
      <c r="F1190" s="47" t="s">
        <v>391</v>
      </c>
      <c r="G1190" s="25">
        <f t="shared" si="17"/>
        <v>4.4202504082743621E-2</v>
      </c>
    </row>
    <row r="1191" spans="1:7">
      <c r="A1191" s="47">
        <v>91.85</v>
      </c>
      <c r="B1191" s="47">
        <v>93.12</v>
      </c>
      <c r="C1191" s="47">
        <v>90.66</v>
      </c>
      <c r="D1191" s="47">
        <v>91.24</v>
      </c>
      <c r="E1191" s="47">
        <v>250137</v>
      </c>
      <c r="F1191" s="47" t="s">
        <v>390</v>
      </c>
      <c r="G1191" s="25">
        <f t="shared" si="17"/>
        <v>6.6856641823760388E-3</v>
      </c>
    </row>
    <row r="1192" spans="1:7">
      <c r="A1192" s="47">
        <v>90.65</v>
      </c>
      <c r="B1192" s="47">
        <v>94.47</v>
      </c>
      <c r="C1192" s="47">
        <v>90.59</v>
      </c>
      <c r="D1192" s="47">
        <v>93.94</v>
      </c>
      <c r="E1192" s="47">
        <v>186979</v>
      </c>
      <c r="F1192" s="47" t="s">
        <v>389</v>
      </c>
      <c r="G1192" s="25">
        <f t="shared" si="17"/>
        <v>-3.502235469448578E-2</v>
      </c>
    </row>
    <row r="1193" spans="1:7">
      <c r="A1193" s="47">
        <v>94.79</v>
      </c>
      <c r="B1193" s="47">
        <v>96.04</v>
      </c>
      <c r="C1193" s="47">
        <v>93.47</v>
      </c>
      <c r="D1193" s="47">
        <v>95.24</v>
      </c>
      <c r="E1193" s="47">
        <v>365848</v>
      </c>
      <c r="F1193" s="47" t="s">
        <v>388</v>
      </c>
      <c r="G1193" s="25">
        <f t="shared" si="17"/>
        <v>-4.7249055018898645E-3</v>
      </c>
    </row>
    <row r="1194" spans="1:7">
      <c r="A1194" s="47">
        <v>95.44</v>
      </c>
      <c r="B1194" s="47">
        <v>96.999499999999998</v>
      </c>
      <c r="C1194" s="47">
        <v>93.72</v>
      </c>
      <c r="D1194" s="47">
        <v>95.09</v>
      </c>
      <c r="E1194" s="47">
        <v>261822</v>
      </c>
      <c r="F1194" s="47" t="s">
        <v>387</v>
      </c>
      <c r="G1194" s="25">
        <f t="shared" si="17"/>
        <v>3.6807235250815307E-3</v>
      </c>
    </row>
    <row r="1195" spans="1:7">
      <c r="A1195" s="47">
        <v>94.9</v>
      </c>
      <c r="B1195" s="47">
        <v>98.01</v>
      </c>
      <c r="C1195" s="47">
        <v>94.76</v>
      </c>
      <c r="D1195" s="47">
        <v>95.69</v>
      </c>
      <c r="E1195" s="47">
        <v>211711</v>
      </c>
      <c r="F1195" s="47" t="s">
        <v>386</v>
      </c>
      <c r="G1195" s="25">
        <f t="shared" si="17"/>
        <v>-8.2558261051310922E-3</v>
      </c>
    </row>
    <row r="1196" spans="1:7">
      <c r="A1196" s="47">
        <v>95.44</v>
      </c>
      <c r="B1196" s="47">
        <v>95.94</v>
      </c>
      <c r="C1196" s="47">
        <v>93.49</v>
      </c>
      <c r="D1196" s="47">
        <v>95.59</v>
      </c>
      <c r="E1196" s="47">
        <v>161087</v>
      </c>
      <c r="F1196" s="47" t="s">
        <v>385</v>
      </c>
      <c r="G1196" s="25">
        <f t="shared" si="17"/>
        <v>-1.569201799351494E-3</v>
      </c>
    </row>
    <row r="1197" spans="1:7">
      <c r="A1197" s="47">
        <v>95.95</v>
      </c>
      <c r="B1197" s="47">
        <v>96.01</v>
      </c>
      <c r="C1197" s="47">
        <v>93.43</v>
      </c>
      <c r="D1197" s="47">
        <v>94.03</v>
      </c>
      <c r="E1197" s="47">
        <v>161422</v>
      </c>
      <c r="F1197" s="47" t="s">
        <v>384</v>
      </c>
      <c r="G1197" s="25">
        <f t="shared" si="17"/>
        <v>2.041901520791245E-2</v>
      </c>
    </row>
    <row r="1198" spans="1:7">
      <c r="A1198" s="47">
        <v>93.03</v>
      </c>
      <c r="B1198" s="47">
        <v>96.45</v>
      </c>
      <c r="C1198" s="47">
        <v>92.6</v>
      </c>
      <c r="D1198" s="47">
        <v>95.54</v>
      </c>
      <c r="E1198" s="47">
        <v>188929</v>
      </c>
      <c r="F1198" s="47" t="s">
        <v>383</v>
      </c>
      <c r="G1198" s="25">
        <f t="shared" si="17"/>
        <v>-2.627171865187361E-2</v>
      </c>
    </row>
    <row r="1199" spans="1:7">
      <c r="A1199" s="47">
        <v>95.3</v>
      </c>
      <c r="B1199" s="47">
        <v>96.09</v>
      </c>
      <c r="C1199" s="47">
        <v>93.84</v>
      </c>
      <c r="D1199" s="47">
        <v>94.89</v>
      </c>
      <c r="E1199" s="47">
        <v>217881</v>
      </c>
      <c r="F1199" s="47" t="s">
        <v>382</v>
      </c>
      <c r="G1199" s="25">
        <f t="shared" si="17"/>
        <v>4.32079249657491E-3</v>
      </c>
    </row>
    <row r="1200" spans="1:7">
      <c r="A1200" s="47">
        <v>93.57</v>
      </c>
      <c r="B1200" s="47">
        <v>94.5</v>
      </c>
      <c r="C1200" s="47">
        <v>91.6</v>
      </c>
      <c r="D1200" s="47">
        <v>93.27</v>
      </c>
      <c r="E1200" s="47">
        <v>265513</v>
      </c>
      <c r="F1200" s="47" t="s">
        <v>381</v>
      </c>
      <c r="G1200" s="25">
        <f t="shared" si="17"/>
        <v>3.2164683177871023E-3</v>
      </c>
    </row>
    <row r="1201" spans="1:7">
      <c r="A1201" s="47">
        <v>92.1</v>
      </c>
      <c r="B1201" s="47">
        <v>92.13</v>
      </c>
      <c r="C1201" s="47">
        <v>89.09</v>
      </c>
      <c r="D1201" s="47">
        <v>89.62</v>
      </c>
      <c r="E1201" s="47">
        <v>214066</v>
      </c>
      <c r="F1201" s="47" t="s">
        <v>380</v>
      </c>
      <c r="G1201" s="25">
        <f t="shared" si="17"/>
        <v>2.7672394554786761E-2</v>
      </c>
    </row>
    <row r="1202" spans="1:7">
      <c r="A1202" s="47">
        <v>88.51</v>
      </c>
      <c r="B1202" s="47">
        <v>89.63</v>
      </c>
      <c r="C1202" s="47">
        <v>87.21</v>
      </c>
      <c r="D1202" s="47">
        <v>88.43</v>
      </c>
      <c r="E1202" s="47">
        <v>208026</v>
      </c>
      <c r="F1202" s="47" t="s">
        <v>379</v>
      </c>
      <c r="G1202" s="25">
        <f t="shared" si="17"/>
        <v>9.0467036073738072E-4</v>
      </c>
    </row>
    <row r="1203" spans="1:7">
      <c r="A1203" s="47">
        <v>90.51</v>
      </c>
      <c r="B1203" s="47">
        <v>92.41</v>
      </c>
      <c r="C1203" s="47">
        <v>89.41</v>
      </c>
      <c r="D1203" s="47">
        <v>90.51</v>
      </c>
      <c r="E1203" s="47">
        <v>330094</v>
      </c>
      <c r="F1203" s="47" t="s">
        <v>378</v>
      </c>
      <c r="G1203" s="25">
        <f t="shared" si="17"/>
        <v>0</v>
      </c>
    </row>
    <row r="1204" spans="1:7">
      <c r="A1204" s="47">
        <v>89.9</v>
      </c>
      <c r="B1204" s="47">
        <v>90.334999999999994</v>
      </c>
      <c r="C1204" s="47">
        <v>87.74</v>
      </c>
      <c r="D1204" s="47">
        <v>89.42</v>
      </c>
      <c r="E1204" s="47">
        <v>344007</v>
      </c>
      <c r="F1204" s="47" t="s">
        <v>377</v>
      </c>
      <c r="G1204" s="25">
        <f t="shared" si="17"/>
        <v>5.3679266383359625E-3</v>
      </c>
    </row>
    <row r="1205" spans="1:7">
      <c r="A1205" s="47">
        <v>90.55</v>
      </c>
      <c r="B1205" s="47">
        <v>90.71</v>
      </c>
      <c r="C1205" s="47">
        <v>87.2</v>
      </c>
      <c r="D1205" s="47">
        <v>88.82</v>
      </c>
      <c r="E1205" s="47">
        <v>270974</v>
      </c>
      <c r="F1205" s="47" t="s">
        <v>376</v>
      </c>
      <c r="G1205" s="25">
        <f t="shared" si="17"/>
        <v>1.9477595136230708E-2</v>
      </c>
    </row>
    <row r="1206" spans="1:7">
      <c r="A1206" s="47">
        <v>87.36</v>
      </c>
      <c r="B1206" s="47">
        <v>93.24</v>
      </c>
      <c r="C1206" s="47">
        <v>86.69</v>
      </c>
      <c r="D1206" s="47">
        <v>90.66</v>
      </c>
      <c r="E1206" s="47">
        <v>415563</v>
      </c>
      <c r="F1206" s="47" t="s">
        <v>375</v>
      </c>
      <c r="G1206" s="25">
        <f t="shared" si="17"/>
        <v>-3.6399735274652567E-2</v>
      </c>
    </row>
    <row r="1207" spans="1:7">
      <c r="A1207" s="47">
        <v>89.03</v>
      </c>
      <c r="B1207" s="47">
        <v>89.49</v>
      </c>
      <c r="C1207" s="47">
        <v>87.07</v>
      </c>
      <c r="D1207" s="47">
        <v>88.6</v>
      </c>
      <c r="E1207" s="47">
        <v>437315</v>
      </c>
      <c r="F1207" s="47" t="s">
        <v>374</v>
      </c>
      <c r="G1207" s="25">
        <f t="shared" ref="G1207:G1270" si="18">A1207/D1207-1</f>
        <v>4.8532731376975669E-3</v>
      </c>
    </row>
    <row r="1208" spans="1:7">
      <c r="A1208" s="47">
        <v>90.99</v>
      </c>
      <c r="B1208" s="47">
        <v>92.11</v>
      </c>
      <c r="C1208" s="47">
        <v>85.91</v>
      </c>
      <c r="D1208" s="47">
        <v>86.09</v>
      </c>
      <c r="E1208" s="47">
        <v>306574</v>
      </c>
      <c r="F1208" s="47" t="s">
        <v>373</v>
      </c>
      <c r="G1208" s="25">
        <f t="shared" si="18"/>
        <v>5.6917179695667119E-2</v>
      </c>
    </row>
    <row r="1209" spans="1:7">
      <c r="A1209" s="47">
        <v>88.9</v>
      </c>
      <c r="B1209" s="47">
        <v>89.855000000000004</v>
      </c>
      <c r="C1209" s="47">
        <v>85.49</v>
      </c>
      <c r="D1209" s="47">
        <v>89.15</v>
      </c>
      <c r="E1209" s="47">
        <v>450166</v>
      </c>
      <c r="F1209" s="47" t="s">
        <v>372</v>
      </c>
      <c r="G1209" s="25">
        <f t="shared" si="18"/>
        <v>-2.8042624789680337E-3</v>
      </c>
    </row>
    <row r="1210" spans="1:7">
      <c r="A1210" s="47">
        <v>90.33</v>
      </c>
      <c r="B1210" s="47">
        <v>94.99</v>
      </c>
      <c r="C1210" s="47">
        <v>87.034999999999997</v>
      </c>
      <c r="D1210" s="47">
        <v>87.5</v>
      </c>
      <c r="E1210" s="47">
        <v>491780</v>
      </c>
      <c r="F1210" s="47" t="s">
        <v>371</v>
      </c>
      <c r="G1210" s="25">
        <f t="shared" si="18"/>
        <v>3.2342857142857229E-2</v>
      </c>
    </row>
    <row r="1211" spans="1:7">
      <c r="A1211" s="47">
        <v>86.14</v>
      </c>
      <c r="B1211" s="47">
        <v>90.22</v>
      </c>
      <c r="C1211" s="47">
        <v>83.65</v>
      </c>
      <c r="D1211" s="47">
        <v>89.75</v>
      </c>
      <c r="E1211" s="47">
        <v>467659</v>
      </c>
      <c r="F1211" s="47" t="s">
        <v>370</v>
      </c>
      <c r="G1211" s="25">
        <f t="shared" si="18"/>
        <v>-4.0222841225626693E-2</v>
      </c>
    </row>
    <row r="1212" spans="1:7">
      <c r="A1212" s="47">
        <v>90.5</v>
      </c>
      <c r="B1212" s="47">
        <v>93.08</v>
      </c>
      <c r="C1212" s="47">
        <v>89.42</v>
      </c>
      <c r="D1212" s="47">
        <v>91.81</v>
      </c>
      <c r="E1212" s="47">
        <v>443138</v>
      </c>
      <c r="F1212" s="47" t="s">
        <v>369</v>
      </c>
      <c r="G1212" s="25">
        <f t="shared" si="18"/>
        <v>-1.4268598191918169E-2</v>
      </c>
    </row>
    <row r="1213" spans="1:7">
      <c r="A1213" s="47">
        <v>88.31</v>
      </c>
      <c r="B1213" s="47">
        <v>90.334999999999994</v>
      </c>
      <c r="C1213" s="47">
        <v>86.82</v>
      </c>
      <c r="D1213" s="47">
        <v>89.77</v>
      </c>
      <c r="E1213" s="47">
        <v>355420</v>
      </c>
      <c r="F1213" s="47" t="s">
        <v>368</v>
      </c>
      <c r="G1213" s="25">
        <f t="shared" si="18"/>
        <v>-1.6263785228918248E-2</v>
      </c>
    </row>
    <row r="1214" spans="1:7">
      <c r="A1214" s="47">
        <v>90.96</v>
      </c>
      <c r="B1214" s="47">
        <v>95.37</v>
      </c>
      <c r="C1214" s="47">
        <v>90.69</v>
      </c>
      <c r="D1214" s="47">
        <v>94.83</v>
      </c>
      <c r="E1214" s="47">
        <v>239093</v>
      </c>
      <c r="F1214" s="47" t="s">
        <v>367</v>
      </c>
      <c r="G1214" s="25">
        <f t="shared" si="18"/>
        <v>-4.0809870294210793E-2</v>
      </c>
    </row>
    <row r="1215" spans="1:7">
      <c r="A1215" s="47">
        <v>94</v>
      </c>
      <c r="B1215" s="47">
        <v>97.14</v>
      </c>
      <c r="C1215" s="47">
        <v>93.32</v>
      </c>
      <c r="D1215" s="47">
        <v>94.22</v>
      </c>
      <c r="E1215" s="47">
        <v>337874</v>
      </c>
      <c r="F1215" s="47" t="s">
        <v>366</v>
      </c>
      <c r="G1215" s="25">
        <f t="shared" si="18"/>
        <v>-2.3349607302058928E-3</v>
      </c>
    </row>
    <row r="1216" spans="1:7">
      <c r="A1216" s="47">
        <v>95.8</v>
      </c>
      <c r="B1216" s="47">
        <v>97.88</v>
      </c>
      <c r="C1216" s="47">
        <v>93.33</v>
      </c>
      <c r="D1216" s="47">
        <v>97.88</v>
      </c>
      <c r="E1216" s="47">
        <v>249335</v>
      </c>
      <c r="F1216" s="47" t="s">
        <v>365</v>
      </c>
      <c r="G1216" s="25">
        <f t="shared" si="18"/>
        <v>-2.1250510829587288E-2</v>
      </c>
    </row>
    <row r="1217" spans="1:7">
      <c r="A1217" s="47">
        <v>97.1</v>
      </c>
      <c r="B1217" s="47">
        <v>97.97</v>
      </c>
      <c r="C1217" s="47">
        <v>94.85</v>
      </c>
      <c r="D1217" s="47">
        <v>95.96</v>
      </c>
      <c r="E1217" s="47">
        <v>257381</v>
      </c>
      <c r="F1217" s="47" t="s">
        <v>364</v>
      </c>
      <c r="G1217" s="25">
        <f t="shared" si="18"/>
        <v>1.1879949979157978E-2</v>
      </c>
    </row>
    <row r="1218" spans="1:7">
      <c r="A1218" s="47">
        <v>97.06</v>
      </c>
      <c r="B1218" s="47">
        <v>99.13</v>
      </c>
      <c r="C1218" s="47">
        <v>96.27</v>
      </c>
      <c r="D1218" s="47">
        <v>99.13</v>
      </c>
      <c r="E1218" s="47">
        <v>604687</v>
      </c>
      <c r="F1218" s="47" t="s">
        <v>363</v>
      </c>
      <c r="G1218" s="25">
        <f t="shared" si="18"/>
        <v>-2.0881670533642649E-2</v>
      </c>
    </row>
    <row r="1219" spans="1:7">
      <c r="A1219" s="47">
        <v>98.98</v>
      </c>
      <c r="B1219" s="47">
        <v>99.8</v>
      </c>
      <c r="C1219" s="47">
        <v>95.72</v>
      </c>
      <c r="D1219" s="47">
        <v>96.74</v>
      </c>
      <c r="E1219" s="47">
        <v>182764</v>
      </c>
      <c r="F1219" s="47" t="s">
        <v>362</v>
      </c>
      <c r="G1219" s="25">
        <f t="shared" si="18"/>
        <v>2.3154848046309739E-2</v>
      </c>
    </row>
    <row r="1220" spans="1:7">
      <c r="A1220" s="47">
        <v>95.99</v>
      </c>
      <c r="B1220" s="47">
        <v>97.09</v>
      </c>
      <c r="C1220" s="47">
        <v>95.59</v>
      </c>
      <c r="D1220" s="47">
        <v>95.78</v>
      </c>
      <c r="E1220" s="47">
        <v>187560</v>
      </c>
      <c r="F1220" s="47" t="s">
        <v>361</v>
      </c>
      <c r="G1220" s="25">
        <f t="shared" si="18"/>
        <v>2.1925245353935363E-3</v>
      </c>
    </row>
    <row r="1221" spans="1:7">
      <c r="A1221" s="47">
        <v>94.95</v>
      </c>
      <c r="B1221" s="47">
        <v>97.46</v>
      </c>
      <c r="C1221" s="47">
        <v>94.39</v>
      </c>
      <c r="D1221" s="47">
        <v>95.2</v>
      </c>
      <c r="E1221" s="47">
        <v>200865</v>
      </c>
      <c r="F1221" s="47" t="s">
        <v>360</v>
      </c>
      <c r="G1221" s="25">
        <f t="shared" si="18"/>
        <v>-2.6260504201680579E-3</v>
      </c>
    </row>
    <row r="1222" spans="1:7">
      <c r="A1222" s="47">
        <v>94.62</v>
      </c>
      <c r="B1222" s="47">
        <v>95.59</v>
      </c>
      <c r="C1222" s="47">
        <v>90.875</v>
      </c>
      <c r="D1222" s="47">
        <v>92.49</v>
      </c>
      <c r="E1222" s="47">
        <v>190352</v>
      </c>
      <c r="F1222" s="47" t="s">
        <v>359</v>
      </c>
      <c r="G1222" s="25">
        <f t="shared" si="18"/>
        <v>2.3029516704508701E-2</v>
      </c>
    </row>
    <row r="1223" spans="1:7">
      <c r="A1223" s="47">
        <v>92.83</v>
      </c>
      <c r="B1223" s="47">
        <v>96.973500000000001</v>
      </c>
      <c r="C1223" s="47">
        <v>92.01</v>
      </c>
      <c r="D1223" s="47">
        <v>95.74</v>
      </c>
      <c r="E1223" s="47">
        <v>268116</v>
      </c>
      <c r="F1223" s="47" t="s">
        <v>358</v>
      </c>
      <c r="G1223" s="25">
        <f t="shared" si="18"/>
        <v>-3.0394819302276943E-2</v>
      </c>
    </row>
    <row r="1224" spans="1:7">
      <c r="A1224" s="47">
        <v>95.83</v>
      </c>
      <c r="B1224" s="47">
        <v>97</v>
      </c>
      <c r="C1224" s="47">
        <v>94.35</v>
      </c>
      <c r="D1224" s="47">
        <v>96.64</v>
      </c>
      <c r="E1224" s="47">
        <v>330272</v>
      </c>
      <c r="F1224" s="47" t="s">
        <v>357</v>
      </c>
      <c r="G1224" s="25">
        <f t="shared" si="18"/>
        <v>-8.3816225165562752E-3</v>
      </c>
    </row>
    <row r="1225" spans="1:7">
      <c r="A1225" s="47">
        <v>97.47</v>
      </c>
      <c r="B1225" s="47">
        <v>97.93</v>
      </c>
      <c r="C1225" s="47">
        <v>94.04</v>
      </c>
      <c r="D1225" s="47">
        <v>97.93</v>
      </c>
      <c r="E1225" s="47">
        <v>271431</v>
      </c>
      <c r="F1225" s="47" t="s">
        <v>356</v>
      </c>
      <c r="G1225" s="25">
        <f t="shared" si="18"/>
        <v>-4.6972327172470907E-3</v>
      </c>
    </row>
    <row r="1226" spans="1:7">
      <c r="A1226" s="47">
        <v>97.93</v>
      </c>
      <c r="B1226" s="47">
        <v>98.999399999999994</v>
      </c>
      <c r="C1226" s="47">
        <v>95.52</v>
      </c>
      <c r="D1226" s="47">
        <v>97.57</v>
      </c>
      <c r="E1226" s="47">
        <v>462526</v>
      </c>
      <c r="F1226" s="47" t="s">
        <v>355</v>
      </c>
      <c r="G1226" s="25">
        <f t="shared" si="18"/>
        <v>3.6896587065697872E-3</v>
      </c>
    </row>
    <row r="1227" spans="1:7">
      <c r="A1227" s="47">
        <v>96.18</v>
      </c>
      <c r="B1227" s="47">
        <v>99.74</v>
      </c>
      <c r="C1227" s="47">
        <v>96.05</v>
      </c>
      <c r="D1227" s="47">
        <v>98.93</v>
      </c>
      <c r="E1227" s="47">
        <v>198702</v>
      </c>
      <c r="F1227" s="47" t="s">
        <v>354</v>
      </c>
      <c r="G1227" s="25">
        <f t="shared" si="18"/>
        <v>-2.7797432528050114E-2</v>
      </c>
    </row>
    <row r="1228" spans="1:7">
      <c r="A1228" s="47">
        <v>98.63</v>
      </c>
      <c r="B1228" s="47">
        <v>99.23</v>
      </c>
      <c r="C1228" s="47">
        <v>94.98</v>
      </c>
      <c r="D1228" s="47">
        <v>95.63</v>
      </c>
      <c r="E1228" s="47">
        <v>255941</v>
      </c>
      <c r="F1228" s="47" t="s">
        <v>353</v>
      </c>
      <c r="G1228" s="25">
        <f t="shared" si="18"/>
        <v>3.1370908710655732E-2</v>
      </c>
    </row>
    <row r="1229" spans="1:7">
      <c r="A1229" s="47">
        <v>94.64</v>
      </c>
      <c r="B1229" s="47">
        <v>95.545000000000002</v>
      </c>
      <c r="C1229" s="47">
        <v>91.89</v>
      </c>
      <c r="D1229" s="47">
        <v>93.57</v>
      </c>
      <c r="E1229" s="47">
        <v>161923</v>
      </c>
      <c r="F1229" s="47" t="s">
        <v>352</v>
      </c>
      <c r="G1229" s="25">
        <f t="shared" si="18"/>
        <v>1.1435289088383094E-2</v>
      </c>
    </row>
    <row r="1230" spans="1:7">
      <c r="A1230" s="47">
        <v>93.98</v>
      </c>
      <c r="B1230" s="47">
        <v>94.2</v>
      </c>
      <c r="C1230" s="47">
        <v>91.52</v>
      </c>
      <c r="D1230" s="47">
        <v>94</v>
      </c>
      <c r="E1230" s="47">
        <v>150850</v>
      </c>
      <c r="F1230" s="47" t="s">
        <v>351</v>
      </c>
      <c r="G1230" s="25">
        <f t="shared" si="18"/>
        <v>-2.1276595744679216E-4</v>
      </c>
    </row>
    <row r="1231" spans="1:7">
      <c r="A1231" s="47">
        <v>94.85</v>
      </c>
      <c r="B1231" s="47">
        <v>95.81</v>
      </c>
      <c r="C1231" s="47">
        <v>93.59</v>
      </c>
      <c r="D1231" s="47">
        <v>93.99</v>
      </c>
      <c r="E1231" s="47">
        <v>315184</v>
      </c>
      <c r="F1231" s="47" t="s">
        <v>350</v>
      </c>
      <c r="G1231" s="25">
        <f t="shared" si="18"/>
        <v>9.1499095648472917E-3</v>
      </c>
    </row>
    <row r="1232" spans="1:7">
      <c r="A1232" s="47">
        <v>92.66</v>
      </c>
      <c r="B1232" s="47">
        <v>93.44</v>
      </c>
      <c r="C1232" s="47">
        <v>91.444999999999993</v>
      </c>
      <c r="D1232" s="47">
        <v>92.67</v>
      </c>
      <c r="E1232" s="47">
        <v>318867</v>
      </c>
      <c r="F1232" s="47" t="s">
        <v>349</v>
      </c>
      <c r="G1232" s="25">
        <f t="shared" si="18"/>
        <v>-1.0790978741781476E-4</v>
      </c>
    </row>
    <row r="1233" spans="1:7">
      <c r="A1233" s="47">
        <v>93.45</v>
      </c>
      <c r="B1233" s="47">
        <v>94.97</v>
      </c>
      <c r="C1233" s="47">
        <v>92.26</v>
      </c>
      <c r="D1233" s="47">
        <v>92.93</v>
      </c>
      <c r="E1233" s="47">
        <v>223375</v>
      </c>
      <c r="F1233" s="47" t="s">
        <v>348</v>
      </c>
      <c r="G1233" s="25">
        <f t="shared" si="18"/>
        <v>5.5956095986224863E-3</v>
      </c>
    </row>
    <row r="1234" spans="1:7">
      <c r="A1234" s="47">
        <v>93.17</v>
      </c>
      <c r="B1234" s="47">
        <v>93.2</v>
      </c>
      <c r="C1234" s="47">
        <v>90.49</v>
      </c>
      <c r="D1234" s="47">
        <v>93.2</v>
      </c>
      <c r="E1234" s="47">
        <v>222750</v>
      </c>
      <c r="F1234" s="47" t="s">
        <v>347</v>
      </c>
      <c r="G1234" s="25">
        <f t="shared" si="18"/>
        <v>-3.2188841201719054E-4</v>
      </c>
    </row>
    <row r="1235" spans="1:7">
      <c r="A1235" s="47">
        <v>92.29</v>
      </c>
      <c r="B1235" s="47">
        <v>92.534999999999997</v>
      </c>
      <c r="C1235" s="47">
        <v>89.974999999999994</v>
      </c>
      <c r="D1235" s="47">
        <v>90</v>
      </c>
      <c r="E1235" s="47">
        <v>311399</v>
      </c>
      <c r="F1235" s="47" t="s">
        <v>346</v>
      </c>
      <c r="G1235" s="25">
        <f t="shared" si="18"/>
        <v>2.5444444444444603E-2</v>
      </c>
    </row>
    <row r="1236" spans="1:7">
      <c r="A1236" s="47">
        <v>88.26</v>
      </c>
      <c r="B1236" s="47">
        <v>89.28</v>
      </c>
      <c r="C1236" s="47">
        <v>85.72</v>
      </c>
      <c r="D1236" s="47">
        <v>85.79</v>
      </c>
      <c r="E1236" s="47">
        <v>317158</v>
      </c>
      <c r="F1236" s="47" t="s">
        <v>345</v>
      </c>
      <c r="G1236" s="25">
        <f t="shared" si="18"/>
        <v>2.8791234409604849E-2</v>
      </c>
    </row>
    <row r="1237" spans="1:7">
      <c r="A1237" s="47">
        <v>84.56</v>
      </c>
      <c r="B1237" s="47">
        <v>85.02</v>
      </c>
      <c r="C1237" s="47">
        <v>80</v>
      </c>
      <c r="D1237" s="47">
        <v>81.78</v>
      </c>
      <c r="E1237" s="47">
        <v>483498</v>
      </c>
      <c r="F1237" s="47" t="s">
        <v>344</v>
      </c>
      <c r="G1237" s="25">
        <f t="shared" si="18"/>
        <v>3.3993641477133796E-2</v>
      </c>
    </row>
    <row r="1238" spans="1:7">
      <c r="A1238" s="47">
        <v>82.51</v>
      </c>
      <c r="B1238" s="47">
        <v>88.640299999999996</v>
      </c>
      <c r="C1238" s="47">
        <v>81.92</v>
      </c>
      <c r="D1238" s="47">
        <v>88.23</v>
      </c>
      <c r="E1238" s="47">
        <v>519588</v>
      </c>
      <c r="F1238" s="47" t="s">
        <v>343</v>
      </c>
      <c r="G1238" s="25">
        <f t="shared" si="18"/>
        <v>-6.4830556500056646E-2</v>
      </c>
    </row>
    <row r="1239" spans="1:7">
      <c r="A1239" s="47">
        <v>89.45</v>
      </c>
      <c r="B1239" s="47">
        <v>91.32</v>
      </c>
      <c r="C1239" s="47">
        <v>86.62</v>
      </c>
      <c r="D1239" s="47">
        <v>89.81</v>
      </c>
      <c r="E1239" s="47">
        <v>344529</v>
      </c>
      <c r="F1239" s="47" t="s">
        <v>342</v>
      </c>
      <c r="G1239" s="25">
        <f t="shared" si="18"/>
        <v>-4.0084623093196159E-3</v>
      </c>
    </row>
    <row r="1240" spans="1:7">
      <c r="A1240" s="47">
        <v>89.36</v>
      </c>
      <c r="B1240" s="47">
        <v>90.219899999999996</v>
      </c>
      <c r="C1240" s="47">
        <v>86.36</v>
      </c>
      <c r="D1240" s="47">
        <v>88.42</v>
      </c>
      <c r="E1240" s="47">
        <v>428527</v>
      </c>
      <c r="F1240" s="47" t="s">
        <v>341</v>
      </c>
      <c r="G1240" s="25">
        <f t="shared" si="18"/>
        <v>1.0631078941415906E-2</v>
      </c>
    </row>
    <row r="1241" spans="1:7">
      <c r="A1241" s="47">
        <v>89.84</v>
      </c>
      <c r="B1241" s="47">
        <v>94.3</v>
      </c>
      <c r="C1241" s="47">
        <v>89.66</v>
      </c>
      <c r="D1241" s="47">
        <v>94.3</v>
      </c>
      <c r="E1241" s="47">
        <v>320914</v>
      </c>
      <c r="F1241" s="47" t="s">
        <v>340</v>
      </c>
      <c r="G1241" s="25">
        <f t="shared" si="18"/>
        <v>-4.7295864262990372E-2</v>
      </c>
    </row>
    <row r="1242" spans="1:7">
      <c r="A1242" s="47">
        <v>93.33</v>
      </c>
      <c r="B1242" s="47">
        <v>96.11</v>
      </c>
      <c r="C1242" s="47">
        <v>92.75</v>
      </c>
      <c r="D1242" s="47">
        <v>94.66</v>
      </c>
      <c r="E1242" s="47">
        <v>278661</v>
      </c>
      <c r="F1242" s="47" t="s">
        <v>339</v>
      </c>
      <c r="G1242" s="25">
        <f t="shared" si="18"/>
        <v>-1.405028523135432E-2</v>
      </c>
    </row>
    <row r="1243" spans="1:7">
      <c r="A1243" s="47">
        <v>94.86</v>
      </c>
      <c r="B1243" s="47">
        <v>96.375</v>
      </c>
      <c r="C1243" s="47">
        <v>94.04</v>
      </c>
      <c r="D1243" s="47">
        <v>94.97</v>
      </c>
      <c r="E1243" s="47">
        <v>275492</v>
      </c>
      <c r="F1243" s="47" t="s">
        <v>338</v>
      </c>
      <c r="G1243" s="25">
        <f t="shared" si="18"/>
        <v>-1.1582605033167992E-3</v>
      </c>
    </row>
    <row r="1244" spans="1:7">
      <c r="A1244" s="47">
        <v>93.63</v>
      </c>
      <c r="B1244" s="47">
        <v>94.38</v>
      </c>
      <c r="C1244" s="47">
        <v>90.73</v>
      </c>
      <c r="D1244" s="47">
        <v>91.84</v>
      </c>
      <c r="E1244" s="47">
        <v>808932</v>
      </c>
      <c r="F1244" s="47" t="s">
        <v>337</v>
      </c>
      <c r="G1244" s="25">
        <f t="shared" si="18"/>
        <v>1.9490418118466746E-2</v>
      </c>
    </row>
    <row r="1245" spans="1:7">
      <c r="A1245" s="47">
        <v>91.09</v>
      </c>
      <c r="B1245" s="47">
        <v>95.05</v>
      </c>
      <c r="C1245" s="47">
        <v>90.915000000000006</v>
      </c>
      <c r="D1245" s="47">
        <v>95.02</v>
      </c>
      <c r="E1245" s="47">
        <v>231054</v>
      </c>
      <c r="F1245" s="47" t="s">
        <v>336</v>
      </c>
      <c r="G1245" s="25">
        <f t="shared" si="18"/>
        <v>-4.135971374447478E-2</v>
      </c>
    </row>
    <row r="1246" spans="1:7">
      <c r="A1246" s="47">
        <v>96.81</v>
      </c>
      <c r="B1246" s="47">
        <v>98.26</v>
      </c>
      <c r="C1246" s="47">
        <v>92.68</v>
      </c>
      <c r="D1246" s="47">
        <v>94.12</v>
      </c>
      <c r="E1246" s="47">
        <v>394463</v>
      </c>
      <c r="F1246" s="47" t="s">
        <v>335</v>
      </c>
      <c r="G1246" s="25">
        <f t="shared" si="18"/>
        <v>2.8580535486612879E-2</v>
      </c>
    </row>
    <row r="1247" spans="1:7">
      <c r="A1247" s="47">
        <v>95.86</v>
      </c>
      <c r="B1247" s="47">
        <v>97.63</v>
      </c>
      <c r="C1247" s="47">
        <v>94.36</v>
      </c>
      <c r="D1247" s="47">
        <v>97.08</v>
      </c>
      <c r="E1247" s="47">
        <v>373539</v>
      </c>
      <c r="F1247" s="47" t="s">
        <v>334</v>
      </c>
      <c r="G1247" s="25">
        <f t="shared" si="18"/>
        <v>-1.256695508858674E-2</v>
      </c>
    </row>
    <row r="1248" spans="1:7">
      <c r="A1248" s="47">
        <v>96.16</v>
      </c>
      <c r="B1248" s="47">
        <v>97.62</v>
      </c>
      <c r="C1248" s="47">
        <v>95.4</v>
      </c>
      <c r="D1248" s="47">
        <v>96.85</v>
      </c>
      <c r="E1248" s="47">
        <v>392741</v>
      </c>
      <c r="F1248" s="47" t="s">
        <v>333</v>
      </c>
      <c r="G1248" s="25">
        <f t="shared" si="18"/>
        <v>-7.1244192049561006E-3</v>
      </c>
    </row>
    <row r="1249" spans="1:7">
      <c r="A1249" s="47">
        <v>98.11</v>
      </c>
      <c r="B1249" s="47">
        <v>101.31</v>
      </c>
      <c r="C1249" s="47">
        <v>97.59</v>
      </c>
      <c r="D1249" s="47">
        <v>101.31</v>
      </c>
      <c r="E1249" s="47">
        <v>339409</v>
      </c>
      <c r="F1249" s="47" t="s">
        <v>332</v>
      </c>
      <c r="G1249" s="25">
        <f t="shared" si="18"/>
        <v>-3.1586220511301999E-2</v>
      </c>
    </row>
    <row r="1250" spans="1:7">
      <c r="A1250" s="47">
        <v>102.73</v>
      </c>
      <c r="B1250" s="47">
        <v>102.98</v>
      </c>
      <c r="C1250" s="47">
        <v>100</v>
      </c>
      <c r="D1250" s="47">
        <v>100</v>
      </c>
      <c r="E1250" s="47">
        <v>365286</v>
      </c>
      <c r="F1250" s="47" t="s">
        <v>331</v>
      </c>
      <c r="G1250" s="25">
        <f t="shared" si="18"/>
        <v>2.7300000000000102E-2</v>
      </c>
    </row>
    <row r="1251" spans="1:7">
      <c r="A1251" s="47">
        <v>99.56</v>
      </c>
      <c r="B1251" s="47">
        <v>104</v>
      </c>
      <c r="C1251" s="47">
        <v>99.55</v>
      </c>
      <c r="D1251" s="47">
        <v>101.77</v>
      </c>
      <c r="E1251" s="47">
        <v>259498</v>
      </c>
      <c r="F1251" s="47" t="s">
        <v>330</v>
      </c>
      <c r="G1251" s="25">
        <f t="shared" si="18"/>
        <v>-2.1715633290753544E-2</v>
      </c>
    </row>
    <row r="1252" spans="1:7">
      <c r="A1252" s="47">
        <v>99.98</v>
      </c>
      <c r="B1252" s="47">
        <v>100.71</v>
      </c>
      <c r="C1252" s="47">
        <v>97.95</v>
      </c>
      <c r="D1252" s="47">
        <v>98.67</v>
      </c>
      <c r="E1252" s="47">
        <v>519759</v>
      </c>
      <c r="F1252" s="47" t="s">
        <v>329</v>
      </c>
      <c r="G1252" s="25">
        <f t="shared" si="18"/>
        <v>1.3276578493969904E-2</v>
      </c>
    </row>
    <row r="1253" spans="1:7">
      <c r="A1253" s="47">
        <v>94.59</v>
      </c>
      <c r="B1253" s="47">
        <v>99.484999999999999</v>
      </c>
      <c r="C1253" s="47">
        <v>93.97</v>
      </c>
      <c r="D1253" s="47">
        <v>97.26</v>
      </c>
      <c r="E1253" s="47">
        <v>813348</v>
      </c>
      <c r="F1253" s="47" t="s">
        <v>328</v>
      </c>
      <c r="G1253" s="25">
        <f t="shared" si="18"/>
        <v>-2.7452190006169053E-2</v>
      </c>
    </row>
    <row r="1254" spans="1:7">
      <c r="A1254" s="47">
        <v>97.66</v>
      </c>
      <c r="B1254" s="47">
        <v>98.44</v>
      </c>
      <c r="C1254" s="47">
        <v>92.38</v>
      </c>
      <c r="D1254" s="47">
        <v>96.41</v>
      </c>
      <c r="E1254" s="47">
        <v>777606</v>
      </c>
      <c r="F1254" s="47" t="s">
        <v>327</v>
      </c>
      <c r="G1254" s="25">
        <f t="shared" si="18"/>
        <v>1.2965460014521257E-2</v>
      </c>
    </row>
    <row r="1255" spans="1:7">
      <c r="A1255" s="47">
        <v>95.5</v>
      </c>
      <c r="B1255" s="47">
        <v>100.33</v>
      </c>
      <c r="C1255" s="47">
        <v>92.58</v>
      </c>
      <c r="D1255" s="47">
        <v>98.27</v>
      </c>
      <c r="E1255" s="47">
        <v>443348</v>
      </c>
      <c r="F1255" s="47" t="s">
        <v>326</v>
      </c>
      <c r="G1255" s="25">
        <f t="shared" si="18"/>
        <v>-2.8187646280655287E-2</v>
      </c>
    </row>
    <row r="1256" spans="1:7">
      <c r="A1256" s="47">
        <v>98.47</v>
      </c>
      <c r="B1256" s="47">
        <v>102.06</v>
      </c>
      <c r="C1256" s="47">
        <v>97.04</v>
      </c>
      <c r="D1256" s="47">
        <v>101.78</v>
      </c>
      <c r="E1256" s="47">
        <v>421348</v>
      </c>
      <c r="F1256" s="47" t="s">
        <v>325</v>
      </c>
      <c r="G1256" s="25">
        <f t="shared" si="18"/>
        <v>-3.2521123992925949E-2</v>
      </c>
    </row>
    <row r="1257" spans="1:7">
      <c r="A1257" s="47">
        <v>102.12</v>
      </c>
      <c r="B1257" s="47">
        <v>105.45</v>
      </c>
      <c r="C1257" s="47">
        <v>101.63</v>
      </c>
      <c r="D1257" s="47">
        <v>105.22</v>
      </c>
      <c r="E1257" s="47">
        <v>441841</v>
      </c>
      <c r="F1257" s="47" t="s">
        <v>324</v>
      </c>
      <c r="G1257" s="25">
        <f t="shared" si="18"/>
        <v>-2.9462079452575507E-2</v>
      </c>
    </row>
    <row r="1258" spans="1:7">
      <c r="A1258" s="47">
        <v>104.38</v>
      </c>
      <c r="B1258" s="47">
        <v>104.61</v>
      </c>
      <c r="C1258" s="47">
        <v>102</v>
      </c>
      <c r="D1258" s="47">
        <v>102.51</v>
      </c>
      <c r="E1258" s="47">
        <v>383430</v>
      </c>
      <c r="F1258" s="47" t="s">
        <v>323</v>
      </c>
      <c r="G1258" s="25">
        <f t="shared" si="18"/>
        <v>1.8242122719734466E-2</v>
      </c>
    </row>
    <row r="1259" spans="1:7">
      <c r="A1259" s="47">
        <v>101.15</v>
      </c>
      <c r="B1259" s="47">
        <v>103.65</v>
      </c>
      <c r="C1259" s="47">
        <v>99.3</v>
      </c>
      <c r="D1259" s="47">
        <v>101.61</v>
      </c>
      <c r="E1259" s="47">
        <v>399512</v>
      </c>
      <c r="F1259" s="47" t="s">
        <v>322</v>
      </c>
      <c r="G1259" s="25">
        <f t="shared" si="18"/>
        <v>-4.5271134730833218E-3</v>
      </c>
    </row>
    <row r="1260" spans="1:7">
      <c r="A1260" s="47">
        <v>100.45</v>
      </c>
      <c r="B1260" s="47">
        <v>107.34</v>
      </c>
      <c r="C1260" s="47">
        <v>98.83</v>
      </c>
      <c r="D1260" s="47">
        <v>105.53</v>
      </c>
      <c r="E1260" s="47">
        <v>528588</v>
      </c>
      <c r="F1260" s="47" t="s">
        <v>321</v>
      </c>
      <c r="G1260" s="25">
        <f t="shared" si="18"/>
        <v>-4.8137970245427875E-2</v>
      </c>
    </row>
    <row r="1261" spans="1:7">
      <c r="A1261" s="47">
        <v>105.97</v>
      </c>
      <c r="B1261" s="47">
        <v>107.69</v>
      </c>
      <c r="C1261" s="47">
        <v>100.8</v>
      </c>
      <c r="D1261" s="47">
        <v>103.23</v>
      </c>
      <c r="E1261" s="47">
        <v>372163</v>
      </c>
      <c r="F1261" s="47" t="s">
        <v>320</v>
      </c>
      <c r="G1261" s="25">
        <f t="shared" si="18"/>
        <v>2.6542671703962073E-2</v>
      </c>
    </row>
    <row r="1262" spans="1:7">
      <c r="A1262" s="47">
        <v>102.91</v>
      </c>
      <c r="B1262" s="47">
        <v>104.76</v>
      </c>
      <c r="C1262" s="47">
        <v>98.73</v>
      </c>
      <c r="D1262" s="47">
        <v>104.08</v>
      </c>
      <c r="E1262" s="47">
        <v>564638</v>
      </c>
      <c r="F1262" s="47" t="s">
        <v>319</v>
      </c>
      <c r="G1262" s="25">
        <f t="shared" si="18"/>
        <v>-1.1241352805534177E-2</v>
      </c>
    </row>
    <row r="1263" spans="1:7">
      <c r="A1263" s="47">
        <v>107.17</v>
      </c>
      <c r="B1263" s="47">
        <v>112.59</v>
      </c>
      <c r="C1263" s="47">
        <v>106.78</v>
      </c>
      <c r="D1263" s="47">
        <v>112.33</v>
      </c>
      <c r="E1263" s="47">
        <v>622193</v>
      </c>
      <c r="F1263" s="47" t="s">
        <v>318</v>
      </c>
      <c r="G1263" s="25">
        <f t="shared" si="18"/>
        <v>-4.5936081189352773E-2</v>
      </c>
    </row>
    <row r="1264" spans="1:7">
      <c r="A1264" s="47">
        <v>114.68</v>
      </c>
      <c r="B1264" s="47">
        <v>114.68</v>
      </c>
      <c r="C1264" s="47">
        <v>110.3601</v>
      </c>
      <c r="D1264" s="47">
        <v>111.79</v>
      </c>
      <c r="E1264" s="47">
        <v>710587</v>
      </c>
      <c r="F1264" s="47" t="s">
        <v>317</v>
      </c>
      <c r="G1264" s="25">
        <f t="shared" si="18"/>
        <v>2.5852044011092312E-2</v>
      </c>
    </row>
    <row r="1265" spans="1:7">
      <c r="A1265" s="47">
        <v>111.12</v>
      </c>
      <c r="B1265" s="47">
        <v>114.2</v>
      </c>
      <c r="C1265" s="47">
        <v>106.59</v>
      </c>
      <c r="D1265" s="47">
        <v>110.92</v>
      </c>
      <c r="E1265" s="47">
        <v>717709</v>
      </c>
      <c r="F1265" s="47" t="s">
        <v>316</v>
      </c>
      <c r="G1265" s="25">
        <f t="shared" si="18"/>
        <v>1.8031013342949542E-3</v>
      </c>
    </row>
    <row r="1266" spans="1:7">
      <c r="A1266" s="47">
        <v>108.12</v>
      </c>
      <c r="B1266" s="47">
        <v>108.32</v>
      </c>
      <c r="C1266" s="47">
        <v>105.45</v>
      </c>
      <c r="D1266" s="47">
        <v>106.4</v>
      </c>
      <c r="E1266" s="47">
        <v>362594</v>
      </c>
      <c r="F1266" s="47" t="s">
        <v>315</v>
      </c>
      <c r="G1266" s="25">
        <f t="shared" si="18"/>
        <v>1.6165413533834494E-2</v>
      </c>
    </row>
    <row r="1267" spans="1:7">
      <c r="A1267" s="47">
        <v>107.91</v>
      </c>
      <c r="B1267" s="47">
        <v>110.35</v>
      </c>
      <c r="C1267" s="47">
        <v>106.19</v>
      </c>
      <c r="D1267" s="47">
        <v>110.35</v>
      </c>
      <c r="E1267" s="47">
        <v>538784</v>
      </c>
      <c r="F1267" s="47" t="s">
        <v>314</v>
      </c>
      <c r="G1267" s="25">
        <f t="shared" si="18"/>
        <v>-2.2111463525147257E-2</v>
      </c>
    </row>
    <row r="1268" spans="1:7">
      <c r="A1268" s="47">
        <v>108.59</v>
      </c>
      <c r="B1268" s="47">
        <v>109.81</v>
      </c>
      <c r="C1268" s="47">
        <v>107.42</v>
      </c>
      <c r="D1268" s="47">
        <v>109.1</v>
      </c>
      <c r="E1268" s="47">
        <v>200935</v>
      </c>
      <c r="F1268" s="47" t="s">
        <v>313</v>
      </c>
      <c r="G1268" s="25">
        <f t="shared" si="18"/>
        <v>-4.6746104491292018E-3</v>
      </c>
    </row>
    <row r="1269" spans="1:7">
      <c r="A1269" s="47">
        <v>109.47</v>
      </c>
      <c r="B1269" s="47">
        <v>111.15</v>
      </c>
      <c r="C1269" s="47">
        <v>108.22</v>
      </c>
      <c r="D1269" s="47">
        <v>108.49</v>
      </c>
      <c r="E1269" s="47">
        <v>557781</v>
      </c>
      <c r="F1269" s="47" t="s">
        <v>312</v>
      </c>
      <c r="G1269" s="25">
        <f t="shared" si="18"/>
        <v>9.0330906074291839E-3</v>
      </c>
    </row>
    <row r="1270" spans="1:7">
      <c r="A1270" s="47">
        <v>107.14</v>
      </c>
      <c r="B1270" s="47">
        <v>110</v>
      </c>
      <c r="C1270" s="47">
        <v>106.45010000000001</v>
      </c>
      <c r="D1270" s="47">
        <v>107.43</v>
      </c>
      <c r="E1270" s="47">
        <v>415574</v>
      </c>
      <c r="F1270" s="47" t="s">
        <v>311</v>
      </c>
      <c r="G1270" s="25">
        <f t="shared" si="18"/>
        <v>-2.6994321884018513E-3</v>
      </c>
    </row>
    <row r="1271" spans="1:7">
      <c r="A1271" s="47">
        <v>106.3</v>
      </c>
      <c r="B1271" s="47">
        <v>107.37</v>
      </c>
      <c r="C1271" s="47">
        <v>105.43</v>
      </c>
      <c r="D1271" s="47">
        <v>105.68</v>
      </c>
      <c r="E1271" s="47">
        <v>405317</v>
      </c>
      <c r="F1271" s="47" t="s">
        <v>310</v>
      </c>
      <c r="G1271" s="25">
        <f t="shared" ref="G1271:G1334" si="19">A1271/D1271-1</f>
        <v>5.8667676003028024E-3</v>
      </c>
    </row>
    <row r="1272" spans="1:7">
      <c r="A1272" s="47">
        <v>105.88</v>
      </c>
      <c r="B1272" s="47">
        <v>110.2</v>
      </c>
      <c r="C1272" s="47">
        <v>105.5</v>
      </c>
      <c r="D1272" s="47">
        <v>109.33</v>
      </c>
      <c r="E1272" s="47">
        <v>322399</v>
      </c>
      <c r="F1272" s="47" t="s">
        <v>309</v>
      </c>
      <c r="G1272" s="25">
        <f t="shared" si="19"/>
        <v>-3.1555840117076794E-2</v>
      </c>
    </row>
    <row r="1273" spans="1:7">
      <c r="A1273" s="47">
        <v>108.33</v>
      </c>
      <c r="B1273" s="47">
        <v>109.255</v>
      </c>
      <c r="C1273" s="47">
        <v>106.11</v>
      </c>
      <c r="D1273" s="47">
        <v>106.65</v>
      </c>
      <c r="E1273" s="47">
        <v>364419</v>
      </c>
      <c r="F1273" s="47" t="s">
        <v>308</v>
      </c>
      <c r="G1273" s="25">
        <f t="shared" si="19"/>
        <v>1.5752461322081412E-2</v>
      </c>
    </row>
    <row r="1274" spans="1:7">
      <c r="A1274" s="47">
        <v>106.65</v>
      </c>
      <c r="B1274" s="47">
        <v>106.93</v>
      </c>
      <c r="C1274" s="47">
        <v>102.47</v>
      </c>
      <c r="D1274" s="47">
        <v>103.42</v>
      </c>
      <c r="E1274" s="47">
        <v>413023</v>
      </c>
      <c r="F1274" s="47" t="s">
        <v>307</v>
      </c>
      <c r="G1274" s="25">
        <f t="shared" si="19"/>
        <v>3.1231870044478915E-2</v>
      </c>
    </row>
    <row r="1275" spans="1:7">
      <c r="A1275" s="47">
        <v>102.91</v>
      </c>
      <c r="B1275" s="47">
        <v>103.89</v>
      </c>
      <c r="C1275" s="47">
        <v>98.57</v>
      </c>
      <c r="D1275" s="47">
        <v>101</v>
      </c>
      <c r="E1275" s="47">
        <v>513453</v>
      </c>
      <c r="F1275" s="47" t="s">
        <v>306</v>
      </c>
      <c r="G1275" s="25">
        <f t="shared" si="19"/>
        <v>1.8910891089108928E-2</v>
      </c>
    </row>
    <row r="1276" spans="1:7">
      <c r="A1276" s="47">
        <v>100.08</v>
      </c>
      <c r="B1276" s="47">
        <v>101.83</v>
      </c>
      <c r="C1276" s="47">
        <v>98.89</v>
      </c>
      <c r="D1276" s="47">
        <v>101.29</v>
      </c>
      <c r="E1276" s="47">
        <v>395789</v>
      </c>
      <c r="F1276" s="47" t="s">
        <v>305</v>
      </c>
      <c r="G1276" s="25">
        <f t="shared" si="19"/>
        <v>-1.1945897916872394E-2</v>
      </c>
    </row>
    <row r="1277" spans="1:7">
      <c r="A1277" s="47">
        <v>101.25</v>
      </c>
      <c r="B1277" s="47">
        <v>101.46</v>
      </c>
      <c r="C1277" s="47">
        <v>96.72</v>
      </c>
      <c r="D1277" s="47">
        <v>98.07</v>
      </c>
      <c r="E1277" s="47">
        <v>526796</v>
      </c>
      <c r="F1277" s="47" t="s">
        <v>304</v>
      </c>
      <c r="G1277" s="25">
        <f t="shared" si="19"/>
        <v>3.242581829305613E-2</v>
      </c>
    </row>
    <row r="1278" spans="1:7">
      <c r="A1278" s="47">
        <v>97.47</v>
      </c>
      <c r="B1278" s="47">
        <v>99</v>
      </c>
      <c r="C1278" s="47">
        <v>96.36</v>
      </c>
      <c r="D1278" s="47">
        <v>98.71</v>
      </c>
      <c r="E1278" s="47">
        <v>207913</v>
      </c>
      <c r="F1278" s="47" t="s">
        <v>303</v>
      </c>
      <c r="G1278" s="25">
        <f t="shared" si="19"/>
        <v>-1.2562050450815487E-2</v>
      </c>
    </row>
    <row r="1279" spans="1:7">
      <c r="A1279" s="47">
        <v>98.86</v>
      </c>
      <c r="B1279" s="47">
        <v>99.84</v>
      </c>
      <c r="C1279" s="47">
        <v>96.27</v>
      </c>
      <c r="D1279" s="47">
        <v>97.1</v>
      </c>
      <c r="E1279" s="47">
        <v>264483</v>
      </c>
      <c r="F1279" s="47" t="s">
        <v>302</v>
      </c>
      <c r="G1279" s="25">
        <f t="shared" si="19"/>
        <v>1.8125643666323521E-2</v>
      </c>
    </row>
    <row r="1280" spans="1:7">
      <c r="A1280" s="47">
        <v>95.9</v>
      </c>
      <c r="B1280" s="47">
        <v>97.61</v>
      </c>
      <c r="C1280" s="47">
        <v>91.66</v>
      </c>
      <c r="D1280" s="47">
        <v>96.43</v>
      </c>
      <c r="E1280" s="47">
        <v>381397</v>
      </c>
      <c r="F1280" s="47" t="s">
        <v>301</v>
      </c>
      <c r="G1280" s="25">
        <f t="shared" si="19"/>
        <v>-5.4962148708908032E-3</v>
      </c>
    </row>
    <row r="1281" spans="1:7">
      <c r="A1281" s="47">
        <v>98.22</v>
      </c>
      <c r="B1281" s="47">
        <v>101.03</v>
      </c>
      <c r="C1281" s="47">
        <v>97.61</v>
      </c>
      <c r="D1281" s="47">
        <v>101.03</v>
      </c>
      <c r="E1281" s="47">
        <v>199446</v>
      </c>
      <c r="F1281" s="47" t="s">
        <v>300</v>
      </c>
      <c r="G1281" s="25">
        <f t="shared" si="19"/>
        <v>-2.7813520736414965E-2</v>
      </c>
    </row>
    <row r="1282" spans="1:7">
      <c r="A1282" s="47">
        <v>100.28</v>
      </c>
      <c r="B1282" s="47">
        <v>101.31</v>
      </c>
      <c r="C1282" s="47">
        <v>96.41</v>
      </c>
      <c r="D1282" s="47">
        <v>99.64</v>
      </c>
      <c r="E1282" s="47">
        <v>357830</v>
      </c>
      <c r="F1282" s="47" t="s">
        <v>299</v>
      </c>
      <c r="G1282" s="25">
        <f t="shared" si="19"/>
        <v>6.4231232436773311E-3</v>
      </c>
    </row>
    <row r="1283" spans="1:7">
      <c r="A1283" s="47">
        <v>99.4</v>
      </c>
      <c r="B1283" s="47">
        <v>101.97</v>
      </c>
      <c r="C1283" s="47">
        <v>97.49</v>
      </c>
      <c r="D1283" s="47">
        <v>99.78</v>
      </c>
      <c r="E1283" s="47">
        <v>324643</v>
      </c>
      <c r="F1283" s="47" t="s">
        <v>298</v>
      </c>
      <c r="G1283" s="25">
        <f t="shared" si="19"/>
        <v>-3.8083784325515513E-3</v>
      </c>
    </row>
    <row r="1284" spans="1:7">
      <c r="A1284" s="47">
        <v>100.89</v>
      </c>
      <c r="B1284" s="47">
        <v>102.14</v>
      </c>
      <c r="C1284" s="47">
        <v>98.840100000000007</v>
      </c>
      <c r="D1284" s="47">
        <v>101.09</v>
      </c>
      <c r="E1284" s="47">
        <v>323368</v>
      </c>
      <c r="F1284" s="47" t="s">
        <v>297</v>
      </c>
      <c r="G1284" s="25">
        <f t="shared" si="19"/>
        <v>-1.97843505786921E-3</v>
      </c>
    </row>
    <row r="1285" spans="1:7">
      <c r="A1285" s="47">
        <v>100.59</v>
      </c>
      <c r="B1285" s="47">
        <v>102.33</v>
      </c>
      <c r="C1285" s="47">
        <v>99.84</v>
      </c>
      <c r="D1285" s="47">
        <v>101.57</v>
      </c>
      <c r="E1285" s="47">
        <v>404909</v>
      </c>
      <c r="F1285" s="47" t="s">
        <v>296</v>
      </c>
      <c r="G1285" s="25">
        <f t="shared" si="19"/>
        <v>-9.6485182632666255E-3</v>
      </c>
    </row>
    <row r="1286" spans="1:7">
      <c r="A1286" s="47">
        <v>100.57</v>
      </c>
      <c r="B1286" s="47">
        <v>100.74</v>
      </c>
      <c r="C1286" s="47">
        <v>97.74</v>
      </c>
      <c r="D1286" s="47">
        <v>98.62</v>
      </c>
      <c r="E1286" s="47">
        <v>463093</v>
      </c>
      <c r="F1286" s="47" t="s">
        <v>295</v>
      </c>
      <c r="G1286" s="25">
        <f t="shared" si="19"/>
        <v>1.9772865544514184E-2</v>
      </c>
    </row>
    <row r="1287" spans="1:7">
      <c r="A1287" s="47">
        <v>97.11</v>
      </c>
      <c r="B1287" s="47">
        <v>99.74</v>
      </c>
      <c r="C1287" s="47">
        <v>95.46</v>
      </c>
      <c r="D1287" s="47">
        <v>98.25</v>
      </c>
      <c r="E1287" s="47">
        <v>262034</v>
      </c>
      <c r="F1287" s="47" t="s">
        <v>294</v>
      </c>
      <c r="G1287" s="25">
        <f t="shared" si="19"/>
        <v>-1.1603053435114474E-2</v>
      </c>
    </row>
    <row r="1288" spans="1:7">
      <c r="A1288" s="47">
        <v>98.13</v>
      </c>
      <c r="B1288" s="47">
        <v>99.606200000000001</v>
      </c>
      <c r="C1288" s="47">
        <v>96.95</v>
      </c>
      <c r="D1288" s="47">
        <v>97.04</v>
      </c>
      <c r="E1288" s="47">
        <v>319988</v>
      </c>
      <c r="F1288" s="47" t="s">
        <v>293</v>
      </c>
      <c r="G1288" s="25">
        <f t="shared" si="19"/>
        <v>1.1232481450947907E-2</v>
      </c>
    </row>
    <row r="1289" spans="1:7">
      <c r="A1289" s="47">
        <v>96.78</v>
      </c>
      <c r="B1289" s="47">
        <v>97.694999999999993</v>
      </c>
      <c r="C1289" s="47">
        <v>96.08</v>
      </c>
      <c r="D1289" s="47">
        <v>96.49</v>
      </c>
      <c r="E1289" s="47">
        <v>283760</v>
      </c>
      <c r="F1289" s="47" t="s">
        <v>292</v>
      </c>
      <c r="G1289" s="25">
        <f t="shared" si="19"/>
        <v>3.0054927971812084E-3</v>
      </c>
    </row>
    <row r="1290" spans="1:7">
      <c r="A1290" s="47">
        <v>96.82</v>
      </c>
      <c r="B1290" s="47">
        <v>97.83</v>
      </c>
      <c r="C1290" s="47">
        <v>94.36</v>
      </c>
      <c r="D1290" s="47">
        <v>95.53</v>
      </c>
      <c r="E1290" s="47">
        <v>437432</v>
      </c>
      <c r="F1290" s="47" t="s">
        <v>291</v>
      </c>
      <c r="G1290" s="25">
        <f t="shared" si="19"/>
        <v>1.3503611430963902E-2</v>
      </c>
    </row>
    <row r="1291" spans="1:7">
      <c r="A1291" s="47">
        <v>94.53</v>
      </c>
      <c r="B1291" s="47">
        <v>95.685000000000002</v>
      </c>
      <c r="C1291" s="47">
        <v>92.97</v>
      </c>
      <c r="D1291" s="47">
        <v>94.06</v>
      </c>
      <c r="E1291" s="47">
        <v>224461</v>
      </c>
      <c r="F1291" s="47" t="s">
        <v>290</v>
      </c>
      <c r="G1291" s="25">
        <f t="shared" si="19"/>
        <v>4.996810546459729E-3</v>
      </c>
    </row>
    <row r="1292" spans="1:7">
      <c r="A1292" s="47">
        <v>95.34</v>
      </c>
      <c r="B1292" s="47">
        <v>96.54</v>
      </c>
      <c r="C1292" s="47">
        <v>94.8</v>
      </c>
      <c r="D1292" s="47">
        <v>95.04</v>
      </c>
      <c r="E1292" s="47">
        <v>604544</v>
      </c>
      <c r="F1292" s="47" t="s">
        <v>289</v>
      </c>
      <c r="G1292" s="25">
        <f t="shared" si="19"/>
        <v>3.1565656565655242E-3</v>
      </c>
    </row>
    <row r="1293" spans="1:7">
      <c r="A1293" s="47">
        <v>95.04</v>
      </c>
      <c r="B1293" s="47">
        <v>96.12</v>
      </c>
      <c r="C1293" s="47">
        <v>93.21</v>
      </c>
      <c r="D1293" s="47">
        <v>93.21</v>
      </c>
      <c r="E1293" s="47">
        <v>376011</v>
      </c>
      <c r="F1293" s="47" t="s">
        <v>288</v>
      </c>
      <c r="G1293" s="25">
        <f t="shared" si="19"/>
        <v>1.9633086578693337E-2</v>
      </c>
    </row>
    <row r="1294" spans="1:7">
      <c r="A1294" s="47">
        <v>92.92</v>
      </c>
      <c r="B1294" s="47">
        <v>93.038300000000007</v>
      </c>
      <c r="C1294" s="47">
        <v>90.97</v>
      </c>
      <c r="D1294" s="47">
        <v>92.39</v>
      </c>
      <c r="E1294" s="47">
        <v>510904</v>
      </c>
      <c r="F1294" s="47" t="s">
        <v>287</v>
      </c>
      <c r="G1294" s="25">
        <f t="shared" si="19"/>
        <v>5.7365515748457607E-3</v>
      </c>
    </row>
    <row r="1295" spans="1:7">
      <c r="A1295" s="47">
        <v>93</v>
      </c>
      <c r="B1295" s="47">
        <v>93.18</v>
      </c>
      <c r="C1295" s="47">
        <v>90.31</v>
      </c>
      <c r="D1295" s="47">
        <v>90.31</v>
      </c>
      <c r="E1295" s="47">
        <v>666521</v>
      </c>
      <c r="F1295" s="47" t="s">
        <v>286</v>
      </c>
      <c r="G1295" s="25">
        <f t="shared" si="19"/>
        <v>2.9786291662052822E-2</v>
      </c>
    </row>
    <row r="1296" spans="1:7">
      <c r="A1296" s="47">
        <v>91.07</v>
      </c>
      <c r="B1296" s="47">
        <v>92.76</v>
      </c>
      <c r="C1296" s="47">
        <v>88.47</v>
      </c>
      <c r="D1296" s="47">
        <v>92.76</v>
      </c>
      <c r="E1296" s="47">
        <v>1801933</v>
      </c>
      <c r="F1296" s="47" t="s">
        <v>285</v>
      </c>
      <c r="G1296" s="25">
        <f t="shared" si="19"/>
        <v>-1.8219059939629245E-2</v>
      </c>
    </row>
    <row r="1297" spans="1:7">
      <c r="A1297" s="47">
        <v>91.62</v>
      </c>
      <c r="B1297" s="47">
        <v>91.66</v>
      </c>
      <c r="C1297" s="47">
        <v>90</v>
      </c>
      <c r="D1297" s="47">
        <v>91.4</v>
      </c>
      <c r="E1297" s="47">
        <v>363317</v>
      </c>
      <c r="F1297" s="47" t="s">
        <v>284</v>
      </c>
      <c r="G1297" s="25">
        <f t="shared" si="19"/>
        <v>2.4070021881839043E-3</v>
      </c>
    </row>
    <row r="1298" spans="1:7">
      <c r="A1298" s="47">
        <v>91.16</v>
      </c>
      <c r="B1298" s="47">
        <v>91.98</v>
      </c>
      <c r="C1298" s="47">
        <v>90.194999999999993</v>
      </c>
      <c r="D1298" s="47">
        <v>90.75</v>
      </c>
      <c r="E1298" s="47">
        <v>232755</v>
      </c>
      <c r="F1298" s="47" t="s">
        <v>283</v>
      </c>
      <c r="G1298" s="25">
        <f t="shared" si="19"/>
        <v>4.5179063360880622E-3</v>
      </c>
    </row>
    <row r="1299" spans="1:7">
      <c r="A1299" s="47">
        <v>90.77</v>
      </c>
      <c r="B1299" s="47">
        <v>92.724999999999994</v>
      </c>
      <c r="C1299" s="47">
        <v>89.6</v>
      </c>
      <c r="D1299" s="47">
        <v>91.71</v>
      </c>
      <c r="E1299" s="47">
        <v>406372</v>
      </c>
      <c r="F1299" s="47" t="s">
        <v>282</v>
      </c>
      <c r="G1299" s="25">
        <f t="shared" si="19"/>
        <v>-1.0249700141751195E-2</v>
      </c>
    </row>
    <row r="1300" spans="1:7">
      <c r="A1300" s="47">
        <v>91.23</v>
      </c>
      <c r="B1300" s="47">
        <v>93.37</v>
      </c>
      <c r="C1300" s="47">
        <v>90.83</v>
      </c>
      <c r="D1300" s="47">
        <v>93.37</v>
      </c>
      <c r="E1300" s="47">
        <v>366763</v>
      </c>
      <c r="F1300" s="47" t="s">
        <v>281</v>
      </c>
      <c r="G1300" s="25">
        <f t="shared" si="19"/>
        <v>-2.2919567312841393E-2</v>
      </c>
    </row>
    <row r="1301" spans="1:7">
      <c r="A1301" s="47">
        <v>92.66</v>
      </c>
      <c r="B1301" s="47">
        <v>93.02</v>
      </c>
      <c r="C1301" s="47">
        <v>91.775000000000006</v>
      </c>
      <c r="D1301" s="47">
        <v>91.99</v>
      </c>
      <c r="E1301" s="47">
        <v>163716</v>
      </c>
      <c r="F1301" s="47" t="s">
        <v>280</v>
      </c>
      <c r="G1301" s="25">
        <f t="shared" si="19"/>
        <v>7.2834003696053973E-3</v>
      </c>
    </row>
    <row r="1302" spans="1:7">
      <c r="A1302" s="47">
        <v>92.53</v>
      </c>
      <c r="B1302" s="47">
        <v>93.74</v>
      </c>
      <c r="C1302" s="47">
        <v>91.56</v>
      </c>
      <c r="D1302" s="47">
        <v>93.1</v>
      </c>
      <c r="E1302" s="47">
        <v>303790</v>
      </c>
      <c r="F1302" s="47" t="s">
        <v>279</v>
      </c>
      <c r="G1302" s="25">
        <f t="shared" si="19"/>
        <v>-6.1224489795917991E-3</v>
      </c>
    </row>
    <row r="1303" spans="1:7">
      <c r="A1303" s="47">
        <v>93.34</v>
      </c>
      <c r="B1303" s="47">
        <v>93.69</v>
      </c>
      <c r="C1303" s="47">
        <v>90.5</v>
      </c>
      <c r="D1303" s="47">
        <v>90.5</v>
      </c>
      <c r="E1303" s="47">
        <v>354912</v>
      </c>
      <c r="F1303" s="47" t="s">
        <v>278</v>
      </c>
      <c r="G1303" s="25">
        <f t="shared" si="19"/>
        <v>3.1381215469613366E-2</v>
      </c>
    </row>
    <row r="1304" spans="1:7">
      <c r="A1304" s="47">
        <v>89.82</v>
      </c>
      <c r="B1304" s="47">
        <v>90.34</v>
      </c>
      <c r="C1304" s="47">
        <v>86.46</v>
      </c>
      <c r="D1304" s="47">
        <v>87</v>
      </c>
      <c r="E1304" s="47">
        <v>356450</v>
      </c>
      <c r="F1304" s="47" t="s">
        <v>277</v>
      </c>
      <c r="G1304" s="25">
        <f t="shared" si="19"/>
        <v>3.2413793103448274E-2</v>
      </c>
    </row>
    <row r="1305" spans="1:7">
      <c r="A1305" s="47">
        <v>88.52</v>
      </c>
      <c r="B1305" s="47">
        <v>91.814999999999998</v>
      </c>
      <c r="C1305" s="47">
        <v>87.6</v>
      </c>
      <c r="D1305" s="47">
        <v>91.2</v>
      </c>
      <c r="E1305" s="47">
        <v>697741</v>
      </c>
      <c r="F1305" s="47" t="s">
        <v>276</v>
      </c>
      <c r="G1305" s="25">
        <f t="shared" si="19"/>
        <v>-2.9385964912280738E-2</v>
      </c>
    </row>
    <row r="1306" spans="1:7">
      <c r="A1306" s="47">
        <v>90.79</v>
      </c>
      <c r="B1306" s="47">
        <v>91.13</v>
      </c>
      <c r="C1306" s="47">
        <v>82.85</v>
      </c>
      <c r="D1306" s="47">
        <v>84.12</v>
      </c>
      <c r="E1306" s="47">
        <v>859059</v>
      </c>
      <c r="F1306" s="47" t="s">
        <v>275</v>
      </c>
      <c r="G1306" s="25">
        <f t="shared" si="19"/>
        <v>7.9291488349976236E-2</v>
      </c>
    </row>
    <row r="1307" spans="1:7">
      <c r="A1307" s="47">
        <v>81.81</v>
      </c>
      <c r="B1307" s="47">
        <v>82.090400000000002</v>
      </c>
      <c r="C1307" s="47">
        <v>79.88</v>
      </c>
      <c r="D1307" s="47">
        <v>80.8</v>
      </c>
      <c r="E1307" s="47">
        <v>237002</v>
      </c>
      <c r="F1307" s="47" t="s">
        <v>274</v>
      </c>
      <c r="G1307" s="25">
        <f t="shared" si="19"/>
        <v>1.2499999999999956E-2</v>
      </c>
    </row>
    <row r="1308" spans="1:7">
      <c r="A1308" s="47">
        <v>80.42</v>
      </c>
      <c r="B1308" s="47">
        <v>81.14</v>
      </c>
      <c r="C1308" s="47">
        <v>78.805000000000007</v>
      </c>
      <c r="D1308" s="47">
        <v>79.06</v>
      </c>
      <c r="E1308" s="47">
        <v>354818</v>
      </c>
      <c r="F1308" s="47" t="s">
        <v>273</v>
      </c>
      <c r="G1308" s="25">
        <f t="shared" si="19"/>
        <v>1.7202124968378474E-2</v>
      </c>
    </row>
    <row r="1309" spans="1:7">
      <c r="A1309" s="47">
        <v>79.44</v>
      </c>
      <c r="B1309" s="47">
        <v>80.599999999999994</v>
      </c>
      <c r="C1309" s="47">
        <v>79.3</v>
      </c>
      <c r="D1309" s="47">
        <v>79.75</v>
      </c>
      <c r="E1309" s="47">
        <v>341814</v>
      </c>
      <c r="F1309" s="47" t="s">
        <v>272</v>
      </c>
      <c r="G1309" s="25">
        <f t="shared" si="19"/>
        <v>-3.8871473354232799E-3</v>
      </c>
    </row>
    <row r="1310" spans="1:7">
      <c r="A1310" s="47">
        <v>79.53</v>
      </c>
      <c r="B1310" s="47">
        <v>80.180000000000007</v>
      </c>
      <c r="C1310" s="47">
        <v>77.84</v>
      </c>
      <c r="D1310" s="47">
        <v>79.42</v>
      </c>
      <c r="E1310" s="47">
        <v>361013</v>
      </c>
      <c r="F1310" s="47" t="s">
        <v>271</v>
      </c>
      <c r="G1310" s="25">
        <f t="shared" si="19"/>
        <v>1.3850415512466352E-3</v>
      </c>
    </row>
    <row r="1311" spans="1:7">
      <c r="A1311" s="47">
        <v>79.81</v>
      </c>
      <c r="B1311" s="47">
        <v>80.069999999999993</v>
      </c>
      <c r="C1311" s="47">
        <v>77.010000000000005</v>
      </c>
      <c r="D1311" s="47">
        <v>77.59</v>
      </c>
      <c r="E1311" s="47">
        <v>310232</v>
      </c>
      <c r="F1311" s="47" t="s">
        <v>270</v>
      </c>
      <c r="G1311" s="25">
        <f t="shared" si="19"/>
        <v>2.8611934527645211E-2</v>
      </c>
    </row>
    <row r="1312" spans="1:7">
      <c r="A1312" s="47">
        <v>78.180000000000007</v>
      </c>
      <c r="B1312" s="47">
        <v>79.28</v>
      </c>
      <c r="C1312" s="47">
        <v>77.33</v>
      </c>
      <c r="D1312" s="47">
        <v>78.709999999999994</v>
      </c>
      <c r="E1312" s="47">
        <v>396820</v>
      </c>
      <c r="F1312" s="47" t="s">
        <v>269</v>
      </c>
      <c r="G1312" s="25">
        <f t="shared" si="19"/>
        <v>-6.7335789607417817E-3</v>
      </c>
    </row>
    <row r="1313" spans="1:7">
      <c r="A1313" s="47">
        <v>78.95</v>
      </c>
      <c r="B1313" s="47">
        <v>79.745000000000005</v>
      </c>
      <c r="C1313" s="47">
        <v>77.290000000000006</v>
      </c>
      <c r="D1313" s="47">
        <v>77.989999999999995</v>
      </c>
      <c r="E1313" s="47">
        <v>399273</v>
      </c>
      <c r="F1313" s="47" t="s">
        <v>268</v>
      </c>
      <c r="G1313" s="25">
        <f t="shared" si="19"/>
        <v>1.2309270419284646E-2</v>
      </c>
    </row>
    <row r="1314" spans="1:7">
      <c r="A1314" s="47">
        <v>77.88</v>
      </c>
      <c r="B1314" s="47">
        <v>77.97</v>
      </c>
      <c r="C1314" s="47">
        <v>76.319999999999993</v>
      </c>
      <c r="D1314" s="47">
        <v>76.319999999999993</v>
      </c>
      <c r="E1314" s="47">
        <v>260944</v>
      </c>
      <c r="F1314" s="47" t="s">
        <v>267</v>
      </c>
      <c r="G1314" s="25">
        <f t="shared" si="19"/>
        <v>2.0440251572326984E-2</v>
      </c>
    </row>
    <row r="1315" spans="1:7">
      <c r="A1315" s="47">
        <v>76.92</v>
      </c>
      <c r="B1315" s="47">
        <v>77.03</v>
      </c>
      <c r="C1315" s="47">
        <v>74.56</v>
      </c>
      <c r="D1315" s="47">
        <v>75.92</v>
      </c>
      <c r="E1315" s="47">
        <v>214333</v>
      </c>
      <c r="F1315" s="47" t="s">
        <v>266</v>
      </c>
      <c r="G1315" s="25">
        <f t="shared" si="19"/>
        <v>1.3171759747102163E-2</v>
      </c>
    </row>
    <row r="1316" spans="1:7">
      <c r="A1316" s="47">
        <v>75.180000000000007</v>
      </c>
      <c r="B1316" s="47">
        <v>76.33</v>
      </c>
      <c r="C1316" s="47">
        <v>73.61</v>
      </c>
      <c r="D1316" s="47">
        <v>74.459999999999994</v>
      </c>
      <c r="E1316" s="47">
        <v>416132</v>
      </c>
      <c r="F1316" s="47" t="s">
        <v>265</v>
      </c>
      <c r="G1316" s="25">
        <f t="shared" si="19"/>
        <v>9.6696212731670617E-3</v>
      </c>
    </row>
    <row r="1317" spans="1:7">
      <c r="A1317" s="47">
        <v>74.150000000000006</v>
      </c>
      <c r="B1317" s="47">
        <v>74.66</v>
      </c>
      <c r="C1317" s="47">
        <v>72.459999999999994</v>
      </c>
      <c r="D1317" s="47">
        <v>74.66</v>
      </c>
      <c r="E1317" s="47">
        <v>216387</v>
      </c>
      <c r="F1317" s="47" t="s">
        <v>264</v>
      </c>
      <c r="G1317" s="25">
        <f t="shared" si="19"/>
        <v>-6.8309670506293552E-3</v>
      </c>
    </row>
    <row r="1318" spans="1:7">
      <c r="A1318" s="47">
        <v>75.150000000000006</v>
      </c>
      <c r="B1318" s="47">
        <v>75.98</v>
      </c>
      <c r="C1318" s="47">
        <v>74.12</v>
      </c>
      <c r="D1318" s="47">
        <v>75.569999999999993</v>
      </c>
      <c r="E1318" s="47">
        <v>515715</v>
      </c>
      <c r="F1318" s="47" t="s">
        <v>263</v>
      </c>
      <c r="G1318" s="25">
        <f t="shared" si="19"/>
        <v>-5.5577610162761415E-3</v>
      </c>
    </row>
    <row r="1319" spans="1:7">
      <c r="A1319" s="47">
        <v>74.989999999999995</v>
      </c>
      <c r="B1319" s="47">
        <v>75.59</v>
      </c>
      <c r="C1319" s="47">
        <v>73.599999999999994</v>
      </c>
      <c r="D1319" s="47">
        <v>75.58</v>
      </c>
      <c r="E1319" s="47">
        <v>302730</v>
      </c>
      <c r="F1319" s="47" t="s">
        <v>262</v>
      </c>
      <c r="G1319" s="25">
        <f t="shared" si="19"/>
        <v>-7.8062979624239359E-3</v>
      </c>
    </row>
    <row r="1320" spans="1:7">
      <c r="A1320" s="47">
        <v>75.69</v>
      </c>
      <c r="B1320" s="47">
        <v>76.760000000000005</v>
      </c>
      <c r="C1320" s="47">
        <v>75.34</v>
      </c>
      <c r="D1320" s="47">
        <v>76.13</v>
      </c>
      <c r="E1320" s="47">
        <v>194808</v>
      </c>
      <c r="F1320" s="47" t="s">
        <v>261</v>
      </c>
      <c r="G1320" s="25">
        <f t="shared" si="19"/>
        <v>-5.779587547615872E-3</v>
      </c>
    </row>
    <row r="1321" spans="1:7">
      <c r="A1321" s="47">
        <v>76.11</v>
      </c>
      <c r="B1321" s="47">
        <v>76.22</v>
      </c>
      <c r="C1321" s="47">
        <v>73.959999999999994</v>
      </c>
      <c r="D1321" s="47">
        <v>74</v>
      </c>
      <c r="E1321" s="47">
        <v>523706</v>
      </c>
      <c r="F1321" s="47" t="s">
        <v>260</v>
      </c>
      <c r="G1321" s="25">
        <f t="shared" si="19"/>
        <v>2.85135135135135E-2</v>
      </c>
    </row>
    <row r="1322" spans="1:7">
      <c r="A1322" s="47">
        <v>73.959999999999994</v>
      </c>
      <c r="B1322" s="47">
        <v>74.88</v>
      </c>
      <c r="C1322" s="47">
        <v>72.94</v>
      </c>
      <c r="D1322" s="47">
        <v>74.27</v>
      </c>
      <c r="E1322" s="47">
        <v>297255</v>
      </c>
      <c r="F1322" s="47" t="s">
        <v>259</v>
      </c>
      <c r="G1322" s="25">
        <f t="shared" si="19"/>
        <v>-4.1739598761276753E-3</v>
      </c>
    </row>
    <row r="1323" spans="1:7">
      <c r="A1323" s="47">
        <v>73.569999999999993</v>
      </c>
      <c r="B1323" s="47">
        <v>74.73</v>
      </c>
      <c r="C1323" s="47">
        <v>71.72</v>
      </c>
      <c r="D1323" s="47">
        <v>72.2</v>
      </c>
      <c r="E1323" s="47">
        <v>300280</v>
      </c>
      <c r="F1323" s="47" t="s">
        <v>258</v>
      </c>
      <c r="G1323" s="25">
        <f t="shared" si="19"/>
        <v>1.897506925207737E-2</v>
      </c>
    </row>
    <row r="1324" spans="1:7">
      <c r="A1324" s="47">
        <v>72.11</v>
      </c>
      <c r="B1324" s="47">
        <v>72.66</v>
      </c>
      <c r="C1324" s="47">
        <v>70.27</v>
      </c>
      <c r="D1324" s="47">
        <v>71.23</v>
      </c>
      <c r="E1324" s="47">
        <v>297719</v>
      </c>
      <c r="F1324" s="47" t="s">
        <v>257</v>
      </c>
      <c r="G1324" s="25">
        <f t="shared" si="19"/>
        <v>1.2354345079320428E-2</v>
      </c>
    </row>
    <row r="1325" spans="1:7">
      <c r="A1325" s="47">
        <v>71.02</v>
      </c>
      <c r="B1325" s="47">
        <v>72.599999999999994</v>
      </c>
      <c r="C1325" s="47">
        <v>70.69</v>
      </c>
      <c r="D1325" s="47">
        <v>70.900000000000006</v>
      </c>
      <c r="E1325" s="47">
        <v>135123</v>
      </c>
      <c r="F1325" s="47" t="s">
        <v>256</v>
      </c>
      <c r="G1325" s="25">
        <f t="shared" si="19"/>
        <v>1.692524682651575E-3</v>
      </c>
    </row>
    <row r="1326" spans="1:7">
      <c r="A1326" s="47">
        <v>71.23</v>
      </c>
      <c r="B1326" s="47">
        <v>73.319999999999993</v>
      </c>
      <c r="C1326" s="47">
        <v>71.23</v>
      </c>
      <c r="D1326" s="47">
        <v>72.11</v>
      </c>
      <c r="E1326" s="47">
        <v>243380</v>
      </c>
      <c r="F1326" s="47" t="s">
        <v>255</v>
      </c>
      <c r="G1326" s="25">
        <f t="shared" si="19"/>
        <v>-1.2203577867147319E-2</v>
      </c>
    </row>
    <row r="1327" spans="1:7">
      <c r="A1327" s="47">
        <v>72.12</v>
      </c>
      <c r="B1327" s="47">
        <v>72.36</v>
      </c>
      <c r="C1327" s="47">
        <v>69.33</v>
      </c>
      <c r="D1327" s="47">
        <v>70.05</v>
      </c>
      <c r="E1327" s="47">
        <v>213499</v>
      </c>
      <c r="F1327" s="47" t="s">
        <v>254</v>
      </c>
      <c r="G1327" s="25">
        <f t="shared" si="19"/>
        <v>2.955032119914347E-2</v>
      </c>
    </row>
    <row r="1328" spans="1:7">
      <c r="A1328" s="47">
        <v>70.03</v>
      </c>
      <c r="B1328" s="47">
        <v>70.12</v>
      </c>
      <c r="C1328" s="47">
        <v>67.760000000000005</v>
      </c>
      <c r="D1328" s="47">
        <v>69.599999999999994</v>
      </c>
      <c r="E1328" s="47">
        <v>180584</v>
      </c>
      <c r="F1328" s="47" t="s">
        <v>253</v>
      </c>
      <c r="G1328" s="25">
        <f t="shared" si="19"/>
        <v>6.1781609195403764E-3</v>
      </c>
    </row>
    <row r="1329" spans="1:7">
      <c r="A1329" s="47">
        <v>69.72</v>
      </c>
      <c r="B1329" s="47">
        <v>71.45</v>
      </c>
      <c r="C1329" s="47">
        <v>68.53</v>
      </c>
      <c r="D1329" s="47">
        <v>70.31</v>
      </c>
      <c r="E1329" s="47">
        <v>313774</v>
      </c>
      <c r="F1329" s="47" t="s">
        <v>252</v>
      </c>
      <c r="G1329" s="25">
        <f t="shared" si="19"/>
        <v>-8.3914094723368526E-3</v>
      </c>
    </row>
    <row r="1330" spans="1:7">
      <c r="A1330" s="47">
        <v>70.08</v>
      </c>
      <c r="B1330" s="47">
        <v>70.8</v>
      </c>
      <c r="C1330" s="47">
        <v>68.2</v>
      </c>
      <c r="D1330" s="47">
        <v>69.2</v>
      </c>
      <c r="E1330" s="47">
        <v>216825</v>
      </c>
      <c r="F1330" s="47" t="s">
        <v>251</v>
      </c>
      <c r="G1330" s="25">
        <f t="shared" si="19"/>
        <v>1.2716763005780285E-2</v>
      </c>
    </row>
    <row r="1331" spans="1:7">
      <c r="A1331" s="47">
        <v>68.959999999999994</v>
      </c>
      <c r="B1331" s="47">
        <v>70.3</v>
      </c>
      <c r="C1331" s="47">
        <v>68.17</v>
      </c>
      <c r="D1331" s="47">
        <v>68.489999999999995</v>
      </c>
      <c r="E1331" s="47">
        <v>233000</v>
      </c>
      <c r="F1331" s="47" t="s">
        <v>250</v>
      </c>
      <c r="G1331" s="25">
        <f t="shared" si="19"/>
        <v>6.8623156665206242E-3</v>
      </c>
    </row>
    <row r="1332" spans="1:7">
      <c r="A1332" s="47">
        <v>68.260000000000005</v>
      </c>
      <c r="B1332" s="47">
        <v>69.41</v>
      </c>
      <c r="C1332" s="47">
        <v>66.150000000000006</v>
      </c>
      <c r="D1332" s="47">
        <v>68.38</v>
      </c>
      <c r="E1332" s="47">
        <v>413078</v>
      </c>
      <c r="F1332" s="47" t="s">
        <v>249</v>
      </c>
      <c r="G1332" s="25">
        <f t="shared" si="19"/>
        <v>-1.7548990933019537E-3</v>
      </c>
    </row>
    <row r="1333" spans="1:7">
      <c r="A1333" s="47">
        <v>68</v>
      </c>
      <c r="B1333" s="47">
        <v>74.02</v>
      </c>
      <c r="C1333" s="47">
        <v>67.89</v>
      </c>
      <c r="D1333" s="47">
        <v>71.849999999999994</v>
      </c>
      <c r="E1333" s="47">
        <v>504206</v>
      </c>
      <c r="F1333" s="47" t="s">
        <v>248</v>
      </c>
      <c r="G1333" s="25">
        <f t="shared" si="19"/>
        <v>-5.3583855254001334E-2</v>
      </c>
    </row>
    <row r="1334" spans="1:7">
      <c r="A1334" s="47">
        <v>72.63</v>
      </c>
      <c r="B1334" s="47">
        <v>73.37</v>
      </c>
      <c r="C1334" s="47">
        <v>68.39</v>
      </c>
      <c r="D1334" s="47">
        <v>68.53</v>
      </c>
      <c r="E1334" s="47">
        <v>720924</v>
      </c>
      <c r="F1334" s="47" t="s">
        <v>247</v>
      </c>
      <c r="G1334" s="25">
        <f t="shared" si="19"/>
        <v>5.9827812636801259E-2</v>
      </c>
    </row>
    <row r="1335" spans="1:7">
      <c r="A1335" s="47">
        <v>68.77</v>
      </c>
      <c r="B1335" s="47">
        <v>69.099999999999994</v>
      </c>
      <c r="C1335" s="47">
        <v>63</v>
      </c>
      <c r="D1335" s="47">
        <v>63</v>
      </c>
      <c r="E1335" s="47">
        <v>1516488</v>
      </c>
      <c r="F1335" s="47" t="s">
        <v>246</v>
      </c>
      <c r="G1335" s="25">
        <f t="shared" ref="G1335:G1398" si="20">A1335/D1335-1</f>
        <v>9.158730158730144E-2</v>
      </c>
    </row>
    <row r="1336" spans="1:7">
      <c r="A1336" s="47">
        <v>57.41</v>
      </c>
      <c r="B1336" s="47">
        <v>59.67</v>
      </c>
      <c r="C1336" s="47">
        <v>57.11</v>
      </c>
      <c r="D1336" s="47">
        <v>57.78</v>
      </c>
      <c r="E1336" s="47">
        <v>345558</v>
      </c>
      <c r="F1336" s="47" t="s">
        <v>245</v>
      </c>
      <c r="G1336" s="25">
        <f t="shared" si="20"/>
        <v>-6.4035998615438183E-3</v>
      </c>
    </row>
    <row r="1337" spans="1:7">
      <c r="A1337" s="47">
        <v>56.78</v>
      </c>
      <c r="B1337" s="47">
        <v>57.695</v>
      </c>
      <c r="C1337" s="47">
        <v>55.96</v>
      </c>
      <c r="D1337" s="47">
        <v>56.68</v>
      </c>
      <c r="E1337" s="47">
        <v>349564</v>
      </c>
      <c r="F1337" s="47" t="s">
        <v>244</v>
      </c>
      <c r="G1337" s="25">
        <f t="shared" si="20"/>
        <v>1.7642907551165266E-3</v>
      </c>
    </row>
    <row r="1338" spans="1:7">
      <c r="A1338" s="47">
        <v>56.08</v>
      </c>
      <c r="B1338" s="47">
        <v>56.825000000000003</v>
      </c>
      <c r="C1338" s="47">
        <v>54.85</v>
      </c>
      <c r="D1338" s="47">
        <v>55.85</v>
      </c>
      <c r="E1338" s="47">
        <v>230738</v>
      </c>
      <c r="F1338" s="47" t="s">
        <v>243</v>
      </c>
      <c r="G1338" s="25">
        <f t="shared" si="20"/>
        <v>4.1181736794986268E-3</v>
      </c>
    </row>
    <row r="1339" spans="1:7">
      <c r="A1339" s="47">
        <v>55.31</v>
      </c>
      <c r="B1339" s="47">
        <v>55.37</v>
      </c>
      <c r="C1339" s="47">
        <v>53</v>
      </c>
      <c r="D1339" s="47">
        <v>53.31</v>
      </c>
      <c r="E1339" s="47">
        <v>333640</v>
      </c>
      <c r="F1339" s="47" t="s">
        <v>242</v>
      </c>
      <c r="G1339" s="25">
        <f t="shared" si="20"/>
        <v>3.7516413430876083E-2</v>
      </c>
    </row>
    <row r="1340" spans="1:7">
      <c r="A1340" s="47">
        <v>53.83</v>
      </c>
      <c r="B1340" s="47">
        <v>54.534199999999998</v>
      </c>
      <c r="C1340" s="47">
        <v>52.86</v>
      </c>
      <c r="D1340" s="47">
        <v>54.28</v>
      </c>
      <c r="E1340" s="47">
        <v>178796</v>
      </c>
      <c r="F1340" s="47" t="s">
        <v>241</v>
      </c>
      <c r="G1340" s="25">
        <f t="shared" si="20"/>
        <v>-8.2903463522476795E-3</v>
      </c>
    </row>
    <row r="1341" spans="1:7">
      <c r="A1341" s="47">
        <v>54.06</v>
      </c>
      <c r="B1341" s="47">
        <v>55.47</v>
      </c>
      <c r="C1341" s="47">
        <v>53.39</v>
      </c>
      <c r="D1341" s="47">
        <v>55.01</v>
      </c>
      <c r="E1341" s="47">
        <v>161179</v>
      </c>
      <c r="F1341" s="47" t="s">
        <v>240</v>
      </c>
      <c r="G1341" s="25">
        <f t="shared" si="20"/>
        <v>-1.7269587347754856E-2</v>
      </c>
    </row>
    <row r="1342" spans="1:7">
      <c r="A1342" s="47">
        <v>55.95</v>
      </c>
      <c r="B1342" s="47">
        <v>56.64</v>
      </c>
      <c r="C1342" s="47">
        <v>55.29</v>
      </c>
      <c r="D1342" s="47">
        <v>55.29</v>
      </c>
      <c r="E1342" s="47">
        <v>195327</v>
      </c>
      <c r="F1342" s="47" t="s">
        <v>239</v>
      </c>
      <c r="G1342" s="25">
        <f t="shared" si="20"/>
        <v>1.1937059142702156E-2</v>
      </c>
    </row>
    <row r="1343" spans="1:7">
      <c r="A1343" s="47">
        <v>54.9</v>
      </c>
      <c r="B1343" s="47">
        <v>56.38</v>
      </c>
      <c r="C1343" s="47">
        <v>54.11</v>
      </c>
      <c r="D1343" s="47">
        <v>55.91</v>
      </c>
      <c r="E1343" s="47">
        <v>218216</v>
      </c>
      <c r="F1343" s="47" t="s">
        <v>238</v>
      </c>
      <c r="G1343" s="25">
        <f t="shared" si="20"/>
        <v>-1.8064746914684293E-2</v>
      </c>
    </row>
    <row r="1344" spans="1:7">
      <c r="A1344" s="47">
        <v>56.61</v>
      </c>
      <c r="B1344" s="47">
        <v>56.68</v>
      </c>
      <c r="C1344" s="47">
        <v>54.79</v>
      </c>
      <c r="D1344" s="47">
        <v>55.69</v>
      </c>
      <c r="E1344" s="47">
        <v>214824</v>
      </c>
      <c r="F1344" s="47" t="s">
        <v>237</v>
      </c>
      <c r="G1344" s="25">
        <f t="shared" si="20"/>
        <v>1.6520021547854258E-2</v>
      </c>
    </row>
    <row r="1345" spans="1:7">
      <c r="A1345" s="47">
        <v>55.52</v>
      </c>
      <c r="B1345" s="47">
        <v>56</v>
      </c>
      <c r="C1345" s="47">
        <v>53.69</v>
      </c>
      <c r="D1345" s="47">
        <v>55.12</v>
      </c>
      <c r="E1345" s="47">
        <v>208460</v>
      </c>
      <c r="F1345" s="47" t="s">
        <v>236</v>
      </c>
      <c r="G1345" s="25">
        <f t="shared" si="20"/>
        <v>7.2568940493469292E-3</v>
      </c>
    </row>
    <row r="1346" spans="1:7">
      <c r="A1346" s="47">
        <v>54.89</v>
      </c>
      <c r="B1346" s="47">
        <v>57.17</v>
      </c>
      <c r="C1346" s="47">
        <v>54.82</v>
      </c>
      <c r="D1346" s="47">
        <v>56.64</v>
      </c>
      <c r="E1346" s="47">
        <v>180248</v>
      </c>
      <c r="F1346" s="47" t="s">
        <v>235</v>
      </c>
      <c r="G1346" s="25">
        <f t="shared" si="20"/>
        <v>-3.0896892655367214E-2</v>
      </c>
    </row>
    <row r="1347" spans="1:7">
      <c r="A1347" s="47">
        <v>56.68</v>
      </c>
      <c r="B1347" s="47">
        <v>57.585000000000001</v>
      </c>
      <c r="C1347" s="47">
        <v>56.2</v>
      </c>
      <c r="D1347" s="47">
        <v>57.35</v>
      </c>
      <c r="E1347" s="47">
        <v>190091</v>
      </c>
      <c r="F1347" s="47" t="s">
        <v>234</v>
      </c>
      <c r="G1347" s="25">
        <f t="shared" si="20"/>
        <v>-1.1682650392327854E-2</v>
      </c>
    </row>
    <row r="1348" spans="1:7">
      <c r="A1348" s="47">
        <v>57.33</v>
      </c>
      <c r="B1348" s="47">
        <v>59.475000000000001</v>
      </c>
      <c r="C1348" s="47">
        <v>56.94</v>
      </c>
      <c r="D1348" s="47">
        <v>59.28</v>
      </c>
      <c r="E1348" s="47">
        <v>148495</v>
      </c>
      <c r="F1348" s="47" t="s">
        <v>233</v>
      </c>
      <c r="G1348" s="25">
        <f t="shared" si="20"/>
        <v>-3.289473684210531E-2</v>
      </c>
    </row>
    <row r="1349" spans="1:7">
      <c r="A1349" s="47">
        <v>58.65</v>
      </c>
      <c r="B1349" s="47">
        <v>59.7</v>
      </c>
      <c r="C1349" s="47">
        <v>58.225000000000001</v>
      </c>
      <c r="D1349" s="47">
        <v>59.17</v>
      </c>
      <c r="E1349" s="47">
        <v>120276</v>
      </c>
      <c r="F1349" s="47" t="s">
        <v>232</v>
      </c>
      <c r="G1349" s="25">
        <f t="shared" si="20"/>
        <v>-8.7882372824066302E-3</v>
      </c>
    </row>
    <row r="1350" spans="1:7">
      <c r="A1350" s="47">
        <v>59.07</v>
      </c>
      <c r="B1350" s="47">
        <v>59.26</v>
      </c>
      <c r="C1350" s="47">
        <v>57.13</v>
      </c>
      <c r="D1350" s="47">
        <v>57.85</v>
      </c>
      <c r="E1350" s="47">
        <v>109744</v>
      </c>
      <c r="F1350" s="47" t="s">
        <v>231</v>
      </c>
      <c r="G1350" s="25">
        <f t="shared" si="20"/>
        <v>2.108902333621443E-2</v>
      </c>
    </row>
    <row r="1351" spans="1:7">
      <c r="A1351" s="47">
        <v>58.83</v>
      </c>
      <c r="B1351" s="47">
        <v>60.28</v>
      </c>
      <c r="C1351" s="47">
        <v>58.33</v>
      </c>
      <c r="D1351" s="47">
        <v>60.28</v>
      </c>
      <c r="E1351" s="47">
        <v>113066</v>
      </c>
      <c r="F1351" s="47" t="s">
        <v>230</v>
      </c>
      <c r="G1351" s="25">
        <f t="shared" si="20"/>
        <v>-2.4054412740544207E-2</v>
      </c>
    </row>
    <row r="1352" spans="1:7">
      <c r="A1352" s="47">
        <v>59.93</v>
      </c>
      <c r="B1352" s="47">
        <v>60.5</v>
      </c>
      <c r="C1352" s="47">
        <v>58.895000000000003</v>
      </c>
      <c r="D1352" s="47">
        <v>60.35</v>
      </c>
      <c r="E1352" s="47">
        <v>268885</v>
      </c>
      <c r="F1352" s="47" t="s">
        <v>229</v>
      </c>
      <c r="G1352" s="25">
        <f t="shared" si="20"/>
        <v>-6.9594034797018089E-3</v>
      </c>
    </row>
    <row r="1353" spans="1:7">
      <c r="A1353" s="47">
        <v>60.52</v>
      </c>
      <c r="B1353" s="47">
        <v>61.43</v>
      </c>
      <c r="C1353" s="47">
        <v>60.07</v>
      </c>
      <c r="D1353" s="47">
        <v>61</v>
      </c>
      <c r="E1353" s="47">
        <v>233313</v>
      </c>
      <c r="F1353" s="47" t="s">
        <v>228</v>
      </c>
      <c r="G1353" s="25">
        <f t="shared" si="20"/>
        <v>-7.8688524590163622E-3</v>
      </c>
    </row>
    <row r="1354" spans="1:7">
      <c r="A1354" s="47">
        <v>60.45</v>
      </c>
      <c r="B1354" s="47">
        <v>60.92</v>
      </c>
      <c r="C1354" s="47">
        <v>59.3</v>
      </c>
      <c r="D1354" s="47">
        <v>59.88</v>
      </c>
      <c r="E1354" s="47">
        <v>167849</v>
      </c>
      <c r="F1354" s="47" t="s">
        <v>227</v>
      </c>
      <c r="G1354" s="25">
        <f t="shared" si="20"/>
        <v>9.5190380761522864E-3</v>
      </c>
    </row>
    <row r="1355" spans="1:7">
      <c r="A1355" s="47">
        <v>59.33</v>
      </c>
      <c r="B1355" s="47">
        <v>59.78</v>
      </c>
      <c r="C1355" s="47">
        <v>58.81</v>
      </c>
      <c r="D1355" s="47">
        <v>59.78</v>
      </c>
      <c r="E1355" s="47">
        <v>158707</v>
      </c>
      <c r="F1355" s="47" t="s">
        <v>226</v>
      </c>
      <c r="G1355" s="25">
        <f t="shared" si="20"/>
        <v>-7.5276012044162011E-3</v>
      </c>
    </row>
    <row r="1356" spans="1:7">
      <c r="A1356" s="47">
        <v>59.11</v>
      </c>
      <c r="B1356" s="47">
        <v>59.61</v>
      </c>
      <c r="C1356" s="47">
        <v>57.93</v>
      </c>
      <c r="D1356" s="47">
        <v>57.93</v>
      </c>
      <c r="E1356" s="47">
        <v>187990</v>
      </c>
      <c r="F1356" s="47" t="s">
        <v>225</v>
      </c>
      <c r="G1356" s="25">
        <f t="shared" si="20"/>
        <v>2.0369411358536205E-2</v>
      </c>
    </row>
    <row r="1357" spans="1:7">
      <c r="A1357" s="47">
        <v>57.57</v>
      </c>
      <c r="B1357" s="47">
        <v>58.72</v>
      </c>
      <c r="C1357" s="47">
        <v>56.69</v>
      </c>
      <c r="D1357" s="47">
        <v>56.69</v>
      </c>
      <c r="E1357" s="47">
        <v>201092</v>
      </c>
      <c r="F1357" s="47" t="s">
        <v>224</v>
      </c>
      <c r="G1357" s="25">
        <f t="shared" si="20"/>
        <v>1.5523019932968785E-2</v>
      </c>
    </row>
    <row r="1358" spans="1:7">
      <c r="A1358" s="47">
        <v>56.51</v>
      </c>
      <c r="B1358" s="47">
        <v>56.73</v>
      </c>
      <c r="C1358" s="47">
        <v>55.64</v>
      </c>
      <c r="D1358" s="47">
        <v>55.85</v>
      </c>
      <c r="E1358" s="47">
        <v>131129</v>
      </c>
      <c r="F1358" s="47" t="s">
        <v>223</v>
      </c>
      <c r="G1358" s="25">
        <f t="shared" si="20"/>
        <v>1.1817367949865654E-2</v>
      </c>
    </row>
    <row r="1359" spans="1:7">
      <c r="A1359" s="47">
        <v>55.52</v>
      </c>
      <c r="B1359" s="47">
        <v>56.9</v>
      </c>
      <c r="C1359" s="47">
        <v>55.09</v>
      </c>
      <c r="D1359" s="47">
        <v>55.51</v>
      </c>
      <c r="E1359" s="47">
        <v>149547</v>
      </c>
      <c r="F1359" s="47" t="s">
        <v>222</v>
      </c>
      <c r="G1359" s="25">
        <f t="shared" si="20"/>
        <v>1.8014772113139621E-4</v>
      </c>
    </row>
    <row r="1360" spans="1:7">
      <c r="A1360" s="47">
        <v>56.65</v>
      </c>
      <c r="B1360" s="47">
        <v>56.765000000000001</v>
      </c>
      <c r="C1360" s="47">
        <v>55.53</v>
      </c>
      <c r="D1360" s="47">
        <v>56.29</v>
      </c>
      <c r="E1360" s="47">
        <v>206066</v>
      </c>
      <c r="F1360" s="47" t="s">
        <v>221</v>
      </c>
      <c r="G1360" s="25">
        <f t="shared" si="20"/>
        <v>6.3954521229347971E-3</v>
      </c>
    </row>
    <row r="1361" spans="1:7">
      <c r="A1361" s="47">
        <v>55.76</v>
      </c>
      <c r="B1361" s="47">
        <v>57.59</v>
      </c>
      <c r="C1361" s="47">
        <v>55.505000000000003</v>
      </c>
      <c r="D1361" s="47">
        <v>56.92</v>
      </c>
      <c r="E1361" s="47">
        <v>336054</v>
      </c>
      <c r="F1361" s="47" t="s">
        <v>220</v>
      </c>
      <c r="G1361" s="25">
        <f t="shared" si="20"/>
        <v>-2.0379479971890491E-2</v>
      </c>
    </row>
    <row r="1362" spans="1:7">
      <c r="A1362" s="47">
        <v>56.93</v>
      </c>
      <c r="B1362" s="47">
        <v>58.27</v>
      </c>
      <c r="C1362" s="47">
        <v>56.67</v>
      </c>
      <c r="D1362" s="47">
        <v>57.53</v>
      </c>
      <c r="E1362" s="47">
        <v>161230</v>
      </c>
      <c r="F1362" s="47" t="s">
        <v>219</v>
      </c>
      <c r="G1362" s="25">
        <f t="shared" si="20"/>
        <v>-1.0429341213280097E-2</v>
      </c>
    </row>
    <row r="1363" spans="1:7">
      <c r="A1363" s="47">
        <v>57.53</v>
      </c>
      <c r="B1363" s="47">
        <v>58.32</v>
      </c>
      <c r="C1363" s="47">
        <v>55.990099999999998</v>
      </c>
      <c r="D1363" s="47">
        <v>56.9</v>
      </c>
      <c r="E1363" s="47">
        <v>144431</v>
      </c>
      <c r="F1363" s="47" t="s">
        <v>218</v>
      </c>
      <c r="G1363" s="25">
        <f t="shared" si="20"/>
        <v>1.1072056239015859E-2</v>
      </c>
    </row>
    <row r="1364" spans="1:7">
      <c r="A1364" s="47">
        <v>56.13</v>
      </c>
      <c r="B1364" s="47">
        <v>56.15</v>
      </c>
      <c r="C1364" s="47">
        <v>53.58</v>
      </c>
      <c r="D1364" s="47">
        <v>53.61</v>
      </c>
      <c r="E1364" s="47">
        <v>333214</v>
      </c>
      <c r="F1364" s="47" t="s">
        <v>217</v>
      </c>
      <c r="G1364" s="25">
        <f t="shared" si="20"/>
        <v>4.7006155567991037E-2</v>
      </c>
    </row>
    <row r="1365" spans="1:7">
      <c r="A1365" s="47">
        <v>54.08</v>
      </c>
      <c r="B1365" s="47">
        <v>54.81</v>
      </c>
      <c r="C1365" s="47">
        <v>53.51</v>
      </c>
      <c r="D1365" s="47">
        <v>54.35</v>
      </c>
      <c r="E1365" s="47">
        <v>243453</v>
      </c>
      <c r="F1365" s="47" t="s">
        <v>216</v>
      </c>
      <c r="G1365" s="25">
        <f t="shared" si="20"/>
        <v>-4.9678012879484923E-3</v>
      </c>
    </row>
    <row r="1366" spans="1:7">
      <c r="A1366" s="47">
        <v>54.98</v>
      </c>
      <c r="B1366" s="47">
        <v>57.26</v>
      </c>
      <c r="C1366" s="47">
        <v>54.89</v>
      </c>
      <c r="D1366" s="47">
        <v>56.22</v>
      </c>
      <c r="E1366" s="47">
        <v>165940</v>
      </c>
      <c r="F1366" s="47" t="s">
        <v>215</v>
      </c>
      <c r="G1366" s="25">
        <f t="shared" si="20"/>
        <v>-2.2056207755247303E-2</v>
      </c>
    </row>
    <row r="1367" spans="1:7">
      <c r="A1367" s="47">
        <v>56.65</v>
      </c>
      <c r="B1367" s="47">
        <v>58.26</v>
      </c>
      <c r="C1367" s="47">
        <v>55.14</v>
      </c>
      <c r="D1367" s="47">
        <v>58.22</v>
      </c>
      <c r="E1367" s="47">
        <v>248091</v>
      </c>
      <c r="F1367" s="47" t="s">
        <v>214</v>
      </c>
      <c r="G1367" s="25">
        <f t="shared" si="20"/>
        <v>-2.6966678117485432E-2</v>
      </c>
    </row>
    <row r="1368" spans="1:7">
      <c r="A1368" s="47">
        <v>57.63</v>
      </c>
      <c r="B1368" s="47">
        <v>57.64</v>
      </c>
      <c r="C1368" s="47">
        <v>55.25</v>
      </c>
      <c r="D1368" s="47">
        <v>56.03</v>
      </c>
      <c r="E1368" s="47">
        <v>307231</v>
      </c>
      <c r="F1368" s="47" t="s">
        <v>213</v>
      </c>
      <c r="G1368" s="25">
        <f t="shared" si="20"/>
        <v>2.8556130644297628E-2</v>
      </c>
    </row>
    <row r="1369" spans="1:7">
      <c r="A1369" s="47">
        <v>56.89</v>
      </c>
      <c r="B1369" s="47">
        <v>57.024999999999999</v>
      </c>
      <c r="C1369" s="47">
        <v>54.67</v>
      </c>
      <c r="D1369" s="47">
        <v>55.4</v>
      </c>
      <c r="E1369" s="47">
        <v>740851</v>
      </c>
      <c r="F1369" s="47" t="s">
        <v>212</v>
      </c>
      <c r="G1369" s="25">
        <f t="shared" si="20"/>
        <v>2.6895306859205714E-2</v>
      </c>
    </row>
    <row r="1370" spans="1:7">
      <c r="A1370" s="47">
        <v>54.72</v>
      </c>
      <c r="B1370" s="47">
        <v>54.77</v>
      </c>
      <c r="C1370" s="47">
        <v>52.814999999999998</v>
      </c>
      <c r="D1370" s="47">
        <v>53.52</v>
      </c>
      <c r="E1370" s="47">
        <v>243960</v>
      </c>
      <c r="F1370" s="47" t="s">
        <v>211</v>
      </c>
      <c r="G1370" s="25">
        <f t="shared" si="20"/>
        <v>2.2421524663676973E-2</v>
      </c>
    </row>
    <row r="1371" spans="1:7">
      <c r="A1371" s="47">
        <v>54.39</v>
      </c>
      <c r="B1371" s="47">
        <v>54.92</v>
      </c>
      <c r="C1371" s="47">
        <v>53.09</v>
      </c>
      <c r="D1371" s="47">
        <v>53.19</v>
      </c>
      <c r="E1371" s="47">
        <v>231586</v>
      </c>
      <c r="F1371" s="47" t="s">
        <v>210</v>
      </c>
      <c r="G1371" s="25">
        <f t="shared" si="20"/>
        <v>2.2560631697687628E-2</v>
      </c>
    </row>
    <row r="1372" spans="1:7">
      <c r="A1372" s="47">
        <v>53.07</v>
      </c>
      <c r="B1372" s="47">
        <v>55.29</v>
      </c>
      <c r="C1372" s="47">
        <v>52.82</v>
      </c>
      <c r="D1372" s="47">
        <v>54.67</v>
      </c>
      <c r="E1372" s="47">
        <v>291344</v>
      </c>
      <c r="F1372" s="47" t="s">
        <v>209</v>
      </c>
      <c r="G1372" s="25">
        <f t="shared" si="20"/>
        <v>-2.9266508139747627E-2</v>
      </c>
    </row>
    <row r="1373" spans="1:7">
      <c r="A1373" s="47">
        <v>53.74</v>
      </c>
      <c r="B1373" s="47">
        <v>54.573500000000003</v>
      </c>
      <c r="C1373" s="47">
        <v>52.87</v>
      </c>
      <c r="D1373" s="47">
        <v>53.42</v>
      </c>
      <c r="E1373" s="47">
        <v>183449</v>
      </c>
      <c r="F1373" s="47" t="s">
        <v>208</v>
      </c>
      <c r="G1373" s="25">
        <f t="shared" si="20"/>
        <v>5.9902658180457369E-3</v>
      </c>
    </row>
    <row r="1374" spans="1:7">
      <c r="A1374" s="47">
        <v>53.01</v>
      </c>
      <c r="B1374" s="47">
        <v>55.49</v>
      </c>
      <c r="C1374" s="47">
        <v>52.39</v>
      </c>
      <c r="D1374" s="47">
        <v>55.49</v>
      </c>
      <c r="E1374" s="47">
        <v>221265</v>
      </c>
      <c r="F1374" s="47" t="s">
        <v>207</v>
      </c>
      <c r="G1374" s="25">
        <f t="shared" si="20"/>
        <v>-4.4692737430167662E-2</v>
      </c>
    </row>
    <row r="1375" spans="1:7">
      <c r="A1375" s="47">
        <v>55.06</v>
      </c>
      <c r="B1375" s="47">
        <v>57.1</v>
      </c>
      <c r="C1375" s="47">
        <v>54.63</v>
      </c>
      <c r="D1375" s="47">
        <v>56.19</v>
      </c>
      <c r="E1375" s="47">
        <v>210677</v>
      </c>
      <c r="F1375" s="47" t="s">
        <v>206</v>
      </c>
      <c r="G1375" s="25">
        <f t="shared" si="20"/>
        <v>-2.0110339918134823E-2</v>
      </c>
    </row>
    <row r="1376" spans="1:7">
      <c r="A1376" s="47">
        <v>55.61</v>
      </c>
      <c r="B1376" s="47">
        <v>56.18</v>
      </c>
      <c r="C1376" s="47">
        <v>54.54</v>
      </c>
      <c r="D1376" s="47">
        <v>54.82</v>
      </c>
      <c r="E1376" s="47">
        <v>187726</v>
      </c>
      <c r="F1376" s="47" t="s">
        <v>205</v>
      </c>
      <c r="G1376" s="25">
        <f t="shared" si="20"/>
        <v>1.441079897847497E-2</v>
      </c>
    </row>
    <row r="1377" spans="1:7">
      <c r="A1377" s="47">
        <v>53.89</v>
      </c>
      <c r="B1377" s="47">
        <v>55.29</v>
      </c>
      <c r="C1377" s="47">
        <v>53.085000000000001</v>
      </c>
      <c r="D1377" s="47">
        <v>53.44</v>
      </c>
      <c r="E1377" s="47">
        <v>279721</v>
      </c>
      <c r="F1377" s="47" t="s">
        <v>204</v>
      </c>
      <c r="G1377" s="25">
        <f t="shared" si="20"/>
        <v>8.4206586826347518E-3</v>
      </c>
    </row>
    <row r="1378" spans="1:7">
      <c r="A1378" s="47">
        <v>55.15</v>
      </c>
      <c r="B1378" s="47">
        <v>56.06</v>
      </c>
      <c r="C1378" s="47">
        <v>52.5</v>
      </c>
      <c r="D1378" s="47">
        <v>55.89</v>
      </c>
      <c r="E1378" s="47">
        <v>411263</v>
      </c>
      <c r="F1378" s="47" t="s">
        <v>203</v>
      </c>
      <c r="G1378" s="25">
        <f t="shared" si="20"/>
        <v>-1.324029343353017E-2</v>
      </c>
    </row>
    <row r="1379" spans="1:7">
      <c r="A1379" s="47">
        <v>56.23</v>
      </c>
      <c r="B1379" s="47">
        <v>60.45</v>
      </c>
      <c r="C1379" s="47">
        <v>55.84</v>
      </c>
      <c r="D1379" s="47">
        <v>60.45</v>
      </c>
      <c r="E1379" s="47">
        <v>312656</v>
      </c>
      <c r="F1379" s="47" t="s">
        <v>202</v>
      </c>
      <c r="G1379" s="25">
        <f t="shared" si="20"/>
        <v>-6.9809760132340859E-2</v>
      </c>
    </row>
    <row r="1380" spans="1:7">
      <c r="A1380" s="47">
        <v>61.28</v>
      </c>
      <c r="B1380" s="47">
        <v>61.5</v>
      </c>
      <c r="C1380" s="47">
        <v>59.69</v>
      </c>
      <c r="D1380" s="47">
        <v>61.29</v>
      </c>
      <c r="E1380" s="47">
        <v>385424</v>
      </c>
      <c r="F1380" s="47" t="s">
        <v>201</v>
      </c>
      <c r="G1380" s="25">
        <f t="shared" si="20"/>
        <v>-1.631587534670631E-4</v>
      </c>
    </row>
    <row r="1381" spans="1:7">
      <c r="A1381" s="47">
        <v>60.99</v>
      </c>
      <c r="B1381" s="47">
        <v>61.174999999999997</v>
      </c>
      <c r="C1381" s="47">
        <v>58.7</v>
      </c>
      <c r="D1381" s="47">
        <v>58.7</v>
      </c>
      <c r="E1381" s="47">
        <v>425590</v>
      </c>
      <c r="F1381" s="47" t="s">
        <v>200</v>
      </c>
      <c r="G1381" s="25">
        <f t="shared" si="20"/>
        <v>3.9011925042589324E-2</v>
      </c>
    </row>
    <row r="1382" spans="1:7">
      <c r="A1382" s="47">
        <v>59</v>
      </c>
      <c r="B1382" s="47">
        <v>59.984999999999999</v>
      </c>
      <c r="C1382" s="47">
        <v>58.97</v>
      </c>
      <c r="D1382" s="47">
        <v>59.63</v>
      </c>
      <c r="E1382" s="47">
        <v>198340</v>
      </c>
      <c r="F1382" s="47" t="s">
        <v>199</v>
      </c>
      <c r="G1382" s="25">
        <f t="shared" si="20"/>
        <v>-1.0565151769243664E-2</v>
      </c>
    </row>
    <row r="1383" spans="1:7">
      <c r="A1383" s="47">
        <v>59.52</v>
      </c>
      <c r="B1383" s="47">
        <v>60.1</v>
      </c>
      <c r="C1383" s="47">
        <v>58.64</v>
      </c>
      <c r="D1383" s="47">
        <v>59.03</v>
      </c>
      <c r="E1383" s="47">
        <v>317304</v>
      </c>
      <c r="F1383" s="47" t="s">
        <v>198</v>
      </c>
      <c r="G1383" s="25">
        <f t="shared" si="20"/>
        <v>8.3008639674742035E-3</v>
      </c>
    </row>
    <row r="1384" spans="1:7">
      <c r="A1384" s="47">
        <v>58.71</v>
      </c>
      <c r="B1384" s="47">
        <v>59.31</v>
      </c>
      <c r="C1384" s="47">
        <v>57.87</v>
      </c>
      <c r="D1384" s="47">
        <v>58.52</v>
      </c>
      <c r="E1384" s="47">
        <v>451734</v>
      </c>
      <c r="F1384" s="47" t="s">
        <v>197</v>
      </c>
      <c r="G1384" s="25">
        <f t="shared" si="20"/>
        <v>3.2467532467532756E-3</v>
      </c>
    </row>
    <row r="1385" spans="1:7">
      <c r="A1385" s="47">
        <v>58.26</v>
      </c>
      <c r="B1385" s="47">
        <v>58.51</v>
      </c>
      <c r="C1385" s="47">
        <v>56.98</v>
      </c>
      <c r="D1385" s="47">
        <v>56.98</v>
      </c>
      <c r="E1385" s="47">
        <v>223379</v>
      </c>
      <c r="F1385" s="47" t="s">
        <v>196</v>
      </c>
      <c r="G1385" s="25">
        <f t="shared" si="20"/>
        <v>2.246402246402246E-2</v>
      </c>
    </row>
    <row r="1386" spans="1:7">
      <c r="A1386" s="47">
        <v>56.69</v>
      </c>
      <c r="B1386" s="47">
        <v>56.954999999999998</v>
      </c>
      <c r="C1386" s="47">
        <v>54.82</v>
      </c>
      <c r="D1386" s="47">
        <v>55.13</v>
      </c>
      <c r="E1386" s="47">
        <v>413967</v>
      </c>
      <c r="F1386" s="47" t="s">
        <v>195</v>
      </c>
      <c r="G1386" s="25">
        <f t="shared" si="20"/>
        <v>2.8296753128967733E-2</v>
      </c>
    </row>
    <row r="1387" spans="1:7">
      <c r="A1387" s="47">
        <v>55.33</v>
      </c>
      <c r="B1387" s="47">
        <v>56.08</v>
      </c>
      <c r="C1387" s="47">
        <v>54.77</v>
      </c>
      <c r="D1387" s="47">
        <v>55.99</v>
      </c>
      <c r="E1387" s="47">
        <v>209781</v>
      </c>
      <c r="F1387" s="47" t="s">
        <v>194</v>
      </c>
      <c r="G1387" s="25">
        <f t="shared" si="20"/>
        <v>-1.1787819253438192E-2</v>
      </c>
    </row>
    <row r="1388" spans="1:7">
      <c r="A1388" s="47">
        <v>55.32</v>
      </c>
      <c r="B1388" s="47">
        <v>55.53</v>
      </c>
      <c r="C1388" s="47">
        <v>54.72</v>
      </c>
      <c r="D1388" s="47">
        <v>55.53</v>
      </c>
      <c r="E1388" s="47">
        <v>250490</v>
      </c>
      <c r="F1388" s="47" t="s">
        <v>193</v>
      </c>
      <c r="G1388" s="25">
        <f t="shared" si="20"/>
        <v>-3.7817396002161052E-3</v>
      </c>
    </row>
    <row r="1389" spans="1:7">
      <c r="A1389" s="47">
        <v>55.75</v>
      </c>
      <c r="B1389" s="47">
        <v>56.19</v>
      </c>
      <c r="C1389" s="47">
        <v>54.65</v>
      </c>
      <c r="D1389" s="47">
        <v>54.78</v>
      </c>
      <c r="E1389" s="47">
        <v>289654</v>
      </c>
      <c r="F1389" s="47" t="s">
        <v>192</v>
      </c>
      <c r="G1389" s="25">
        <f t="shared" si="20"/>
        <v>1.7707192405987504E-2</v>
      </c>
    </row>
    <row r="1390" spans="1:7">
      <c r="A1390" s="47">
        <v>55.14</v>
      </c>
      <c r="B1390" s="47">
        <v>55.8</v>
      </c>
      <c r="C1390" s="47">
        <v>54.6</v>
      </c>
      <c r="D1390" s="47">
        <v>55.4</v>
      </c>
      <c r="E1390" s="47">
        <v>177328</v>
      </c>
      <c r="F1390" s="47" t="s">
        <v>191</v>
      </c>
      <c r="G1390" s="25">
        <f t="shared" si="20"/>
        <v>-4.6931407942237824E-3</v>
      </c>
    </row>
    <row r="1391" spans="1:7">
      <c r="A1391" s="47">
        <v>55.14</v>
      </c>
      <c r="B1391" s="47">
        <v>55.67</v>
      </c>
      <c r="C1391" s="47">
        <v>54.59</v>
      </c>
      <c r="D1391" s="47">
        <v>55.15</v>
      </c>
      <c r="E1391" s="47">
        <v>223640</v>
      </c>
      <c r="F1391" s="47" t="s">
        <v>190</v>
      </c>
      <c r="G1391" s="25">
        <f t="shared" si="20"/>
        <v>-1.813236627379311E-4</v>
      </c>
    </row>
    <row r="1392" spans="1:7">
      <c r="A1392" s="47">
        <v>55.24</v>
      </c>
      <c r="B1392" s="47">
        <v>55.51</v>
      </c>
      <c r="C1392" s="47">
        <v>54.07</v>
      </c>
      <c r="D1392" s="47">
        <v>54.82</v>
      </c>
      <c r="E1392" s="47">
        <v>446174</v>
      </c>
      <c r="F1392" s="47" t="s">
        <v>189</v>
      </c>
      <c r="G1392" s="25">
        <f t="shared" si="20"/>
        <v>7.66143743159442E-3</v>
      </c>
    </row>
    <row r="1393" spans="1:7">
      <c r="A1393" s="47">
        <v>54.37</v>
      </c>
      <c r="B1393" s="47">
        <v>56</v>
      </c>
      <c r="C1393" s="47">
        <v>53.784999999999997</v>
      </c>
      <c r="D1393" s="47">
        <v>56</v>
      </c>
      <c r="E1393" s="47">
        <v>221135</v>
      </c>
      <c r="F1393" s="47" t="s">
        <v>188</v>
      </c>
      <c r="G1393" s="25">
        <f t="shared" si="20"/>
        <v>-2.9107142857142887E-2</v>
      </c>
    </row>
    <row r="1394" spans="1:7">
      <c r="A1394" s="47">
        <v>56.12</v>
      </c>
      <c r="B1394" s="47">
        <v>57.2348</v>
      </c>
      <c r="C1394" s="47">
        <v>54.48</v>
      </c>
      <c r="D1394" s="47">
        <v>54.48</v>
      </c>
      <c r="E1394" s="47">
        <v>291817</v>
      </c>
      <c r="F1394" s="47" t="s">
        <v>187</v>
      </c>
      <c r="G1394" s="25">
        <f t="shared" si="20"/>
        <v>3.0102790014684411E-2</v>
      </c>
    </row>
    <row r="1395" spans="1:7">
      <c r="A1395" s="47">
        <v>54.62</v>
      </c>
      <c r="B1395" s="47">
        <v>54.71</v>
      </c>
      <c r="C1395" s="47">
        <v>52.945</v>
      </c>
      <c r="D1395" s="47">
        <v>53.19</v>
      </c>
      <c r="E1395" s="47">
        <v>261779</v>
      </c>
      <c r="F1395" s="47" t="s">
        <v>186</v>
      </c>
      <c r="G1395" s="25">
        <f t="shared" si="20"/>
        <v>2.6884752773077558E-2</v>
      </c>
    </row>
    <row r="1396" spans="1:7">
      <c r="A1396" s="47">
        <v>52.68</v>
      </c>
      <c r="B1396" s="47">
        <v>53.59</v>
      </c>
      <c r="C1396" s="47">
        <v>51.44</v>
      </c>
      <c r="D1396" s="47">
        <v>52.66</v>
      </c>
      <c r="E1396" s="47">
        <v>345329</v>
      </c>
      <c r="F1396" s="47" t="s">
        <v>185</v>
      </c>
      <c r="G1396" s="25">
        <f t="shared" si="20"/>
        <v>3.7979491074824345E-4</v>
      </c>
    </row>
    <row r="1397" spans="1:7">
      <c r="A1397" s="47">
        <v>52.6</v>
      </c>
      <c r="B1397" s="47">
        <v>56.305</v>
      </c>
      <c r="C1397" s="47">
        <v>52.43</v>
      </c>
      <c r="D1397" s="47">
        <v>56.23</v>
      </c>
      <c r="E1397" s="47">
        <v>392046</v>
      </c>
      <c r="F1397" s="47" t="s">
        <v>184</v>
      </c>
      <c r="G1397" s="25">
        <f t="shared" si="20"/>
        <v>-6.4556286679708252E-2</v>
      </c>
    </row>
    <row r="1398" spans="1:7">
      <c r="A1398" s="47">
        <v>56.24</v>
      </c>
      <c r="B1398" s="47">
        <v>57.31</v>
      </c>
      <c r="C1398" s="47">
        <v>55.29</v>
      </c>
      <c r="D1398" s="47">
        <v>56.73</v>
      </c>
      <c r="E1398" s="47">
        <v>386876</v>
      </c>
      <c r="F1398" s="47" t="s">
        <v>183</v>
      </c>
      <c r="G1398" s="25">
        <f t="shared" si="20"/>
        <v>-8.6374052529525347E-3</v>
      </c>
    </row>
    <row r="1399" spans="1:7">
      <c r="A1399" s="47">
        <v>56.86</v>
      </c>
      <c r="B1399" s="47">
        <v>59.01</v>
      </c>
      <c r="C1399" s="47">
        <v>56.02</v>
      </c>
      <c r="D1399" s="47">
        <v>58.63</v>
      </c>
      <c r="E1399" s="47">
        <v>397685</v>
      </c>
      <c r="F1399" s="47" t="s">
        <v>182</v>
      </c>
      <c r="G1399" s="25">
        <f t="shared" ref="G1399:G1437" si="21">A1399/D1399-1</f>
        <v>-3.0189322872249735E-2</v>
      </c>
    </row>
    <row r="1400" spans="1:7">
      <c r="A1400" s="47">
        <v>58.09</v>
      </c>
      <c r="B1400" s="47">
        <v>60.51</v>
      </c>
      <c r="C1400" s="47">
        <v>58.01</v>
      </c>
      <c r="D1400" s="47">
        <v>60</v>
      </c>
      <c r="E1400" s="47">
        <v>558271</v>
      </c>
      <c r="F1400" s="47" t="s">
        <v>181</v>
      </c>
      <c r="G1400" s="25">
        <f t="shared" si="21"/>
        <v>-3.1833333333333269E-2</v>
      </c>
    </row>
    <row r="1401" spans="1:7">
      <c r="A1401" s="47">
        <v>58.41</v>
      </c>
      <c r="B1401" s="47">
        <v>58.83</v>
      </c>
      <c r="C1401" s="47">
        <v>56.65</v>
      </c>
      <c r="D1401" s="47">
        <v>57.92</v>
      </c>
      <c r="E1401" s="47">
        <v>307693</v>
      </c>
      <c r="F1401" s="47" t="s">
        <v>180</v>
      </c>
      <c r="G1401" s="25">
        <f t="shared" si="21"/>
        <v>8.459944751381121E-3</v>
      </c>
    </row>
    <row r="1402" spans="1:7">
      <c r="A1402" s="47">
        <v>57.73</v>
      </c>
      <c r="B1402" s="47">
        <v>57.91</v>
      </c>
      <c r="C1402" s="47">
        <v>55.7</v>
      </c>
      <c r="D1402" s="47">
        <v>56.25</v>
      </c>
      <c r="E1402" s="47">
        <v>307939</v>
      </c>
      <c r="F1402" s="47" t="s">
        <v>179</v>
      </c>
      <c r="G1402" s="25">
        <f t="shared" si="21"/>
        <v>2.6311111111110952E-2</v>
      </c>
    </row>
    <row r="1403" spans="1:7">
      <c r="A1403" s="47">
        <v>55.9</v>
      </c>
      <c r="B1403" s="47">
        <v>56.25</v>
      </c>
      <c r="C1403" s="47">
        <v>54.36</v>
      </c>
      <c r="D1403" s="47">
        <v>56.06</v>
      </c>
      <c r="E1403" s="47">
        <v>201530</v>
      </c>
      <c r="F1403" s="47" t="s">
        <v>178</v>
      </c>
      <c r="G1403" s="25">
        <f t="shared" si="21"/>
        <v>-2.8540849090260556E-3</v>
      </c>
    </row>
    <row r="1404" spans="1:7">
      <c r="A1404" s="47">
        <v>55.69</v>
      </c>
      <c r="B1404" s="47">
        <v>56</v>
      </c>
      <c r="C1404" s="47">
        <v>54.51</v>
      </c>
      <c r="D1404" s="47">
        <v>54.94</v>
      </c>
      <c r="E1404" s="47">
        <v>141753</v>
      </c>
      <c r="F1404" s="47" t="s">
        <v>177</v>
      </c>
      <c r="G1404" s="25">
        <f t="shared" si="21"/>
        <v>1.3651255915544169E-2</v>
      </c>
    </row>
    <row r="1405" spans="1:7">
      <c r="A1405" s="47">
        <v>55.76</v>
      </c>
      <c r="B1405" s="47">
        <v>56.06</v>
      </c>
      <c r="C1405" s="47">
        <v>54.78</v>
      </c>
      <c r="D1405" s="47">
        <v>54.78</v>
      </c>
      <c r="E1405" s="47">
        <v>223112</v>
      </c>
      <c r="F1405" s="47" t="s">
        <v>176</v>
      </c>
      <c r="G1405" s="25">
        <f t="shared" si="21"/>
        <v>1.7889740781307006E-2</v>
      </c>
    </row>
    <row r="1406" spans="1:7">
      <c r="A1406" s="47">
        <v>54.33</v>
      </c>
      <c r="B1406" s="47">
        <v>55.23</v>
      </c>
      <c r="C1406" s="47">
        <v>54.29</v>
      </c>
      <c r="D1406" s="47">
        <v>54.58</v>
      </c>
      <c r="E1406" s="47">
        <v>167299</v>
      </c>
      <c r="F1406" s="47" t="s">
        <v>175</v>
      </c>
      <c r="G1406" s="25">
        <f t="shared" si="21"/>
        <v>-4.5804323928179125E-3</v>
      </c>
    </row>
    <row r="1407" spans="1:7">
      <c r="A1407" s="47">
        <v>54.86</v>
      </c>
      <c r="B1407" s="47">
        <v>54.9</v>
      </c>
      <c r="C1407" s="47">
        <v>53.075000000000003</v>
      </c>
      <c r="D1407" s="47">
        <v>53.31</v>
      </c>
      <c r="E1407" s="47">
        <v>207892</v>
      </c>
      <c r="F1407" s="47" t="s">
        <v>174</v>
      </c>
      <c r="G1407" s="25">
        <f t="shared" si="21"/>
        <v>2.9075220408928848E-2</v>
      </c>
    </row>
    <row r="1408" spans="1:7">
      <c r="A1408" s="47">
        <v>53.3</v>
      </c>
      <c r="B1408" s="47">
        <v>54.414999999999999</v>
      </c>
      <c r="C1408" s="47">
        <v>52.591000000000001</v>
      </c>
      <c r="D1408" s="47">
        <v>53.88</v>
      </c>
      <c r="E1408" s="47">
        <v>194576</v>
      </c>
      <c r="F1408" s="47" t="s">
        <v>173</v>
      </c>
      <c r="G1408" s="25">
        <f t="shared" si="21"/>
        <v>-1.076466221232375E-2</v>
      </c>
    </row>
    <row r="1409" spans="1:7">
      <c r="A1409" s="47">
        <v>54.2</v>
      </c>
      <c r="B1409" s="47">
        <v>56.27</v>
      </c>
      <c r="C1409" s="47">
        <v>53.76</v>
      </c>
      <c r="D1409" s="47">
        <v>54.64</v>
      </c>
      <c r="E1409" s="47">
        <v>198014</v>
      </c>
      <c r="F1409" s="47" t="s">
        <v>172</v>
      </c>
      <c r="G1409" s="25">
        <f t="shared" si="21"/>
        <v>-8.052708638360162E-3</v>
      </c>
    </row>
    <row r="1410" spans="1:7">
      <c r="A1410" s="47">
        <v>54.89</v>
      </c>
      <c r="B1410" s="47">
        <v>56.02</v>
      </c>
      <c r="C1410" s="47">
        <v>54.734999999999999</v>
      </c>
      <c r="D1410" s="47">
        <v>55.2</v>
      </c>
      <c r="E1410" s="47">
        <v>125785</v>
      </c>
      <c r="F1410" s="47" t="s">
        <v>171</v>
      </c>
      <c r="G1410" s="25">
        <f t="shared" si="21"/>
        <v>-5.6159420289855211E-3</v>
      </c>
    </row>
    <row r="1411" spans="1:7">
      <c r="A1411" s="47">
        <v>55.54</v>
      </c>
      <c r="B1411" s="47">
        <v>56.31</v>
      </c>
      <c r="C1411" s="47">
        <v>55.11</v>
      </c>
      <c r="D1411" s="47">
        <v>56.25</v>
      </c>
      <c r="E1411" s="47">
        <v>170192</v>
      </c>
      <c r="F1411" s="47" t="s">
        <v>170</v>
      </c>
      <c r="G1411" s="25">
        <f t="shared" si="21"/>
        <v>-1.2622222222222201E-2</v>
      </c>
    </row>
    <row r="1412" spans="1:7">
      <c r="A1412" s="47">
        <v>55.93</v>
      </c>
      <c r="B1412" s="47">
        <v>56.11</v>
      </c>
      <c r="C1412" s="47">
        <v>53.4</v>
      </c>
      <c r="D1412" s="47">
        <v>53.4</v>
      </c>
      <c r="E1412" s="47">
        <v>177266</v>
      </c>
      <c r="F1412" s="47" t="s">
        <v>169</v>
      </c>
      <c r="G1412" s="25">
        <f t="shared" si="21"/>
        <v>4.7378277153558024E-2</v>
      </c>
    </row>
    <row r="1413" spans="1:7">
      <c r="A1413" s="47">
        <v>53.39</v>
      </c>
      <c r="B1413" s="47">
        <v>53.91</v>
      </c>
      <c r="C1413" s="47">
        <v>52.79</v>
      </c>
      <c r="D1413" s="47">
        <v>53.31</v>
      </c>
      <c r="E1413" s="47">
        <v>246444</v>
      </c>
      <c r="F1413" s="47" t="s">
        <v>168</v>
      </c>
      <c r="G1413" s="25">
        <f t="shared" si="21"/>
        <v>1.5006565372350789E-3</v>
      </c>
    </row>
    <row r="1414" spans="1:7">
      <c r="A1414" s="47">
        <v>53.34</v>
      </c>
      <c r="B1414" s="47">
        <v>53.86</v>
      </c>
      <c r="C1414" s="47">
        <v>52.88</v>
      </c>
      <c r="D1414" s="47">
        <v>53.55</v>
      </c>
      <c r="E1414" s="47">
        <v>341470</v>
      </c>
      <c r="F1414" s="47" t="s">
        <v>167</v>
      </c>
      <c r="G1414" s="25">
        <f t="shared" si="21"/>
        <v>-3.9215686274508554E-3</v>
      </c>
    </row>
    <row r="1415" spans="1:7">
      <c r="A1415" s="47">
        <v>53.68</v>
      </c>
      <c r="B1415" s="47">
        <v>54.78</v>
      </c>
      <c r="C1415" s="47">
        <v>52.88</v>
      </c>
      <c r="D1415" s="47">
        <v>54.73</v>
      </c>
      <c r="E1415" s="47">
        <v>371183</v>
      </c>
      <c r="F1415" s="47" t="s">
        <v>166</v>
      </c>
      <c r="G1415" s="25">
        <f t="shared" si="21"/>
        <v>-1.9185090443997743E-2</v>
      </c>
    </row>
    <row r="1416" spans="1:7">
      <c r="A1416" s="47">
        <v>53.93</v>
      </c>
      <c r="B1416" s="47">
        <v>54.18</v>
      </c>
      <c r="C1416" s="47">
        <v>51.45</v>
      </c>
      <c r="D1416" s="47">
        <v>53.4</v>
      </c>
      <c r="E1416" s="47">
        <v>385126</v>
      </c>
      <c r="F1416" s="47" t="s">
        <v>165</v>
      </c>
      <c r="G1416" s="25">
        <f t="shared" si="21"/>
        <v>9.9250936329589035E-3</v>
      </c>
    </row>
    <row r="1417" spans="1:7">
      <c r="A1417" s="47">
        <v>53.48</v>
      </c>
      <c r="B1417" s="47">
        <v>56.05</v>
      </c>
      <c r="C1417" s="47">
        <v>53.4</v>
      </c>
      <c r="D1417" s="47">
        <v>55.5</v>
      </c>
      <c r="E1417" s="47">
        <v>477397</v>
      </c>
      <c r="F1417" s="47" t="s">
        <v>164</v>
      </c>
      <c r="G1417" s="25">
        <f t="shared" si="21"/>
        <v>-3.6396396396396469E-2</v>
      </c>
    </row>
    <row r="1418" spans="1:7">
      <c r="A1418" s="47">
        <v>55.07</v>
      </c>
      <c r="B1418" s="47">
        <v>55.93</v>
      </c>
      <c r="C1418" s="47">
        <v>54.71</v>
      </c>
      <c r="D1418" s="47">
        <v>55.93</v>
      </c>
      <c r="E1418" s="47">
        <v>432992</v>
      </c>
      <c r="F1418" s="47" t="s">
        <v>163</v>
      </c>
      <c r="G1418" s="25">
        <f t="shared" si="21"/>
        <v>-1.5376363311282004E-2</v>
      </c>
    </row>
    <row r="1419" spans="1:7">
      <c r="A1419" s="47">
        <v>55.67</v>
      </c>
      <c r="B1419" s="47">
        <v>56.215000000000003</v>
      </c>
      <c r="C1419" s="47">
        <v>55.02</v>
      </c>
      <c r="D1419" s="47">
        <v>55.82</v>
      </c>
      <c r="E1419" s="47">
        <v>412817</v>
      </c>
      <c r="F1419" s="47" t="s">
        <v>162</v>
      </c>
      <c r="G1419" s="25">
        <f t="shared" si="21"/>
        <v>-2.6872088857040621E-3</v>
      </c>
    </row>
    <row r="1420" spans="1:7">
      <c r="A1420" s="47">
        <v>55.76</v>
      </c>
      <c r="B1420" s="47">
        <v>55.8</v>
      </c>
      <c r="C1420" s="47">
        <v>54.814399999999999</v>
      </c>
      <c r="D1420" s="47">
        <v>54.95</v>
      </c>
      <c r="E1420" s="47">
        <v>256984</v>
      </c>
      <c r="F1420" s="47" t="s">
        <v>161</v>
      </c>
      <c r="G1420" s="25">
        <f t="shared" si="21"/>
        <v>1.4740673339399324E-2</v>
      </c>
    </row>
    <row r="1421" spans="1:7">
      <c r="A1421" s="47">
        <v>55.05</v>
      </c>
      <c r="B1421" s="47">
        <v>55.95</v>
      </c>
      <c r="C1421" s="47">
        <v>54.93</v>
      </c>
      <c r="D1421" s="47">
        <v>55.26</v>
      </c>
      <c r="E1421" s="47">
        <v>325586</v>
      </c>
      <c r="F1421" s="47" t="s">
        <v>160</v>
      </c>
      <c r="G1421" s="25">
        <f t="shared" si="21"/>
        <v>-3.8002171552660169E-3</v>
      </c>
    </row>
    <row r="1422" spans="1:7">
      <c r="A1422" s="47">
        <v>55.35</v>
      </c>
      <c r="B1422" s="47">
        <v>56.33</v>
      </c>
      <c r="C1422" s="47">
        <v>55.17</v>
      </c>
      <c r="D1422" s="47">
        <v>55.92</v>
      </c>
      <c r="E1422" s="47">
        <v>284210</v>
      </c>
      <c r="F1422" s="47" t="s">
        <v>159</v>
      </c>
      <c r="G1422" s="25">
        <f t="shared" si="21"/>
        <v>-1.0193133047210257E-2</v>
      </c>
    </row>
    <row r="1423" spans="1:7">
      <c r="A1423" s="47">
        <v>55.1</v>
      </c>
      <c r="B1423" s="47">
        <v>56.56</v>
      </c>
      <c r="C1423" s="47">
        <v>54.91</v>
      </c>
      <c r="D1423" s="47">
        <v>56.15</v>
      </c>
      <c r="E1423" s="47">
        <v>310434</v>
      </c>
      <c r="F1423" s="47" t="s">
        <v>158</v>
      </c>
      <c r="G1423" s="25">
        <f t="shared" si="21"/>
        <v>-1.8699910952804988E-2</v>
      </c>
    </row>
    <row r="1424" spans="1:7">
      <c r="A1424" s="47">
        <v>55.48</v>
      </c>
      <c r="B1424" s="47">
        <v>55.6</v>
      </c>
      <c r="C1424" s="47">
        <v>53.38</v>
      </c>
      <c r="D1424" s="47">
        <v>53.38</v>
      </c>
      <c r="E1424" s="47">
        <v>351097</v>
      </c>
      <c r="F1424" s="47" t="s">
        <v>157</v>
      </c>
      <c r="G1424" s="25">
        <f t="shared" si="21"/>
        <v>3.9340576995129162E-2</v>
      </c>
    </row>
    <row r="1425" spans="1:7">
      <c r="A1425" s="47">
        <v>53.49</v>
      </c>
      <c r="B1425" s="47">
        <v>54.54</v>
      </c>
      <c r="C1425" s="47">
        <v>53.365000000000002</v>
      </c>
      <c r="D1425" s="47">
        <v>54.44</v>
      </c>
      <c r="E1425" s="47">
        <v>664556</v>
      </c>
      <c r="F1425" s="47" t="s">
        <v>156</v>
      </c>
      <c r="G1425" s="25">
        <f t="shared" si="21"/>
        <v>-1.7450404114621509E-2</v>
      </c>
    </row>
    <row r="1426" spans="1:7">
      <c r="A1426" s="47">
        <v>54.67</v>
      </c>
      <c r="B1426" s="47">
        <v>56.05</v>
      </c>
      <c r="C1426" s="47">
        <v>54.14</v>
      </c>
      <c r="D1426" s="47">
        <v>56.05</v>
      </c>
      <c r="E1426" s="47">
        <v>564070</v>
      </c>
      <c r="F1426" s="47" t="s">
        <v>155</v>
      </c>
      <c r="G1426" s="25">
        <f t="shared" si="21"/>
        <v>-2.4620874219446809E-2</v>
      </c>
    </row>
    <row r="1427" spans="1:7">
      <c r="A1427" s="47">
        <v>55.5</v>
      </c>
      <c r="B1427" s="47">
        <v>55.75</v>
      </c>
      <c r="C1427" s="47">
        <v>53.68</v>
      </c>
      <c r="D1427" s="47">
        <v>55.46</v>
      </c>
      <c r="E1427" s="47">
        <v>999500</v>
      </c>
      <c r="F1427" s="47" t="s">
        <v>154</v>
      </c>
      <c r="G1427" s="25">
        <f t="shared" si="21"/>
        <v>7.212405337180261E-4</v>
      </c>
    </row>
    <row r="1428" spans="1:7">
      <c r="A1428" s="47">
        <v>55.45</v>
      </c>
      <c r="B1428" s="47">
        <v>55.5</v>
      </c>
      <c r="C1428" s="47">
        <v>52.41</v>
      </c>
      <c r="D1428" s="47">
        <v>52.75</v>
      </c>
      <c r="E1428" s="47">
        <v>499732</v>
      </c>
      <c r="F1428" s="47" t="s">
        <v>153</v>
      </c>
      <c r="G1428" s="25">
        <f t="shared" si="21"/>
        <v>5.1184834123222833E-2</v>
      </c>
    </row>
    <row r="1429" spans="1:7">
      <c r="A1429" s="47">
        <v>52.74</v>
      </c>
      <c r="B1429" s="47">
        <v>52.95</v>
      </c>
      <c r="C1429" s="47">
        <v>51.1</v>
      </c>
      <c r="D1429" s="47">
        <v>52.26</v>
      </c>
      <c r="E1429" s="47">
        <v>424936</v>
      </c>
      <c r="F1429" s="47" t="s">
        <v>152</v>
      </c>
      <c r="G1429" s="25">
        <f t="shared" si="21"/>
        <v>9.1848450057405717E-3</v>
      </c>
    </row>
    <row r="1430" spans="1:7">
      <c r="A1430" s="47">
        <v>52.66</v>
      </c>
      <c r="B1430" s="47">
        <v>54.4</v>
      </c>
      <c r="C1430" s="47">
        <v>51.835000000000001</v>
      </c>
      <c r="D1430" s="47">
        <v>52.14</v>
      </c>
      <c r="E1430" s="47">
        <v>501268</v>
      </c>
      <c r="F1430" s="47" t="s">
        <v>151</v>
      </c>
      <c r="G1430" s="25">
        <f t="shared" si="21"/>
        <v>9.9731492136554412E-3</v>
      </c>
    </row>
    <row r="1431" spans="1:7">
      <c r="A1431" s="47">
        <v>51.6</v>
      </c>
      <c r="B1431" s="47">
        <v>51.8827</v>
      </c>
      <c r="C1431" s="47">
        <v>50.45</v>
      </c>
      <c r="D1431" s="47">
        <v>51</v>
      </c>
      <c r="E1431" s="47">
        <v>344770</v>
      </c>
      <c r="F1431" s="47" t="s">
        <v>150</v>
      </c>
      <c r="G1431" s="25">
        <f t="shared" si="21"/>
        <v>1.1764705882352899E-2</v>
      </c>
    </row>
    <row r="1432" spans="1:7">
      <c r="A1432" s="47">
        <v>50.95</v>
      </c>
      <c r="B1432" s="47">
        <v>51.17</v>
      </c>
      <c r="C1432" s="47">
        <v>50</v>
      </c>
      <c r="D1432" s="47">
        <v>50</v>
      </c>
      <c r="E1432" s="47">
        <v>765907</v>
      </c>
      <c r="F1432" s="47" t="s">
        <v>149</v>
      </c>
      <c r="G1432" s="25">
        <f t="shared" si="21"/>
        <v>1.9000000000000128E-2</v>
      </c>
    </row>
    <row r="1433" spans="1:7">
      <c r="A1433" s="47">
        <v>49.6</v>
      </c>
      <c r="B1433" s="47">
        <v>49.65</v>
      </c>
      <c r="C1433" s="47">
        <v>47.08</v>
      </c>
      <c r="D1433" s="47">
        <v>47.44</v>
      </c>
      <c r="E1433" s="47">
        <v>499733</v>
      </c>
      <c r="F1433" s="47" t="s">
        <v>148</v>
      </c>
      <c r="G1433" s="25">
        <f t="shared" si="21"/>
        <v>4.5531197301855064E-2</v>
      </c>
    </row>
    <row r="1434" spans="1:7">
      <c r="A1434" s="47">
        <v>47.5</v>
      </c>
      <c r="B1434" s="47">
        <v>48.51</v>
      </c>
      <c r="C1434" s="47">
        <v>47.11</v>
      </c>
      <c r="D1434" s="47">
        <v>48.4</v>
      </c>
      <c r="E1434" s="47">
        <v>345940</v>
      </c>
      <c r="F1434" s="47" t="s">
        <v>147</v>
      </c>
      <c r="G1434" s="25">
        <f t="shared" si="21"/>
        <v>-1.8595041322314043E-2</v>
      </c>
    </row>
    <row r="1435" spans="1:7">
      <c r="A1435" s="47">
        <v>48.18</v>
      </c>
      <c r="B1435" s="47">
        <v>48.599899999999998</v>
      </c>
      <c r="C1435" s="47">
        <v>46.45</v>
      </c>
      <c r="D1435" s="47">
        <v>47.49</v>
      </c>
      <c r="E1435" s="47">
        <v>604758</v>
      </c>
      <c r="F1435" s="47" t="s">
        <v>146</v>
      </c>
      <c r="G1435" s="25">
        <f t="shared" si="21"/>
        <v>1.4529374605180001E-2</v>
      </c>
    </row>
    <row r="1436" spans="1:7">
      <c r="A1436" s="47">
        <v>46.3</v>
      </c>
      <c r="B1436" s="47">
        <v>46.37</v>
      </c>
      <c r="C1436" s="47">
        <v>43.84</v>
      </c>
      <c r="D1436" s="47">
        <v>44.43</v>
      </c>
      <c r="E1436" s="47">
        <v>705161</v>
      </c>
      <c r="F1436" s="47" t="s">
        <v>145</v>
      </c>
      <c r="G1436" s="25">
        <f t="shared" si="21"/>
        <v>4.2088678820616732E-2</v>
      </c>
    </row>
    <row r="1437" spans="1:7">
      <c r="A1437" s="47">
        <v>45.4</v>
      </c>
      <c r="B1437" s="47">
        <v>45.48</v>
      </c>
      <c r="C1437" s="47">
        <v>43.79</v>
      </c>
      <c r="D1437" s="47">
        <v>44.65</v>
      </c>
      <c r="E1437" s="47">
        <v>544633</v>
      </c>
      <c r="F1437" s="47" t="s">
        <v>144</v>
      </c>
      <c r="G1437" s="25">
        <f t="shared" si="21"/>
        <v>1.6797312430011146E-2</v>
      </c>
    </row>
    <row r="1438" spans="1:7">
      <c r="G1438" s="25"/>
    </row>
    <row r="1439" spans="1:7">
      <c r="G1439" s="25"/>
    </row>
    <row r="1440" spans="1:7">
      <c r="G1440" s="25"/>
    </row>
    <row r="1441" spans="7:7">
      <c r="G1441" s="25"/>
    </row>
    <row r="1442" spans="7:7">
      <c r="G1442" s="25"/>
    </row>
    <row r="1443" spans="7:7">
      <c r="G1443" s="25"/>
    </row>
    <row r="1444" spans="7:7">
      <c r="G1444" s="25"/>
    </row>
    <row r="1445" spans="7:7">
      <c r="G1445" s="25"/>
    </row>
    <row r="1446" spans="7:7">
      <c r="G1446" s="25"/>
    </row>
    <row r="1447" spans="7:7">
      <c r="G1447" s="25"/>
    </row>
    <row r="1448" spans="7:7">
      <c r="G1448" s="25"/>
    </row>
    <row r="1449" spans="7:7">
      <c r="G1449" s="25"/>
    </row>
    <row r="1450" spans="7:7">
      <c r="G1450" s="25"/>
    </row>
    <row r="1451" spans="7:7">
      <c r="G1451" s="25"/>
    </row>
    <row r="1452" spans="7:7">
      <c r="G1452" s="25"/>
    </row>
    <row r="1453" spans="7:7">
      <c r="G1453" s="25"/>
    </row>
    <row r="1454" spans="7:7">
      <c r="G1454" s="25"/>
    </row>
    <row r="1455" spans="7:7">
      <c r="G1455" s="25"/>
    </row>
    <row r="1456" spans="7:7">
      <c r="G1456" s="25"/>
    </row>
    <row r="1457" spans="7:7">
      <c r="G1457" s="25"/>
    </row>
    <row r="1458" spans="7:7">
      <c r="G1458" s="25"/>
    </row>
    <row r="1459" spans="7:7">
      <c r="G1459" s="25"/>
    </row>
    <row r="1460" spans="7:7">
      <c r="G1460" s="25"/>
    </row>
    <row r="1461" spans="7:7">
      <c r="G1461" s="25"/>
    </row>
    <row r="1462" spans="7:7">
      <c r="G1462" s="25"/>
    </row>
    <row r="1463" spans="7:7">
      <c r="G1463" s="25"/>
    </row>
    <row r="1464" spans="7:7">
      <c r="G1464" s="25"/>
    </row>
    <row r="1465" spans="7:7">
      <c r="G1465" s="25"/>
    </row>
    <row r="1466" spans="7:7">
      <c r="G1466" s="25"/>
    </row>
    <row r="1467" spans="7:7">
      <c r="G1467" s="25"/>
    </row>
    <row r="1468" spans="7:7">
      <c r="G1468" s="25"/>
    </row>
    <row r="1469" spans="7:7">
      <c r="G1469" s="25"/>
    </row>
    <row r="1470" spans="7:7">
      <c r="G1470" s="25"/>
    </row>
    <row r="1471" spans="7:7">
      <c r="G1471" s="25"/>
    </row>
    <row r="1472" spans="7:7">
      <c r="G1472" s="25"/>
    </row>
    <row r="1473" spans="7:7">
      <c r="G1473" s="25"/>
    </row>
    <row r="1474" spans="7:7">
      <c r="G1474" s="25"/>
    </row>
    <row r="1475" spans="7:7">
      <c r="G1475" s="25"/>
    </row>
    <row r="1476" spans="7:7">
      <c r="G1476" s="25"/>
    </row>
    <row r="1477" spans="7:7">
      <c r="G1477" s="25"/>
    </row>
    <row r="1478" spans="7:7">
      <c r="G1478" s="25"/>
    </row>
    <row r="1479" spans="7:7">
      <c r="G1479" s="25"/>
    </row>
    <row r="1480" spans="7:7">
      <c r="G1480" s="25"/>
    </row>
    <row r="1481" spans="7:7">
      <c r="G1481" s="25"/>
    </row>
    <row r="1482" spans="7:7">
      <c r="G1482" s="25"/>
    </row>
    <row r="1483" spans="7:7">
      <c r="G1483" s="25"/>
    </row>
    <row r="1484" spans="7:7">
      <c r="G1484" s="25"/>
    </row>
    <row r="1485" spans="7:7">
      <c r="G1485" s="25"/>
    </row>
    <row r="1486" spans="7:7">
      <c r="G1486" s="25"/>
    </row>
    <row r="1487" spans="7:7">
      <c r="G1487" s="25"/>
    </row>
    <row r="1488" spans="7:7">
      <c r="G1488" s="25"/>
    </row>
    <row r="1489" spans="7:7">
      <c r="G1489" s="25"/>
    </row>
    <row r="1490" spans="7:7">
      <c r="G1490" s="25"/>
    </row>
    <row r="1491" spans="7:7">
      <c r="G1491" s="25"/>
    </row>
    <row r="1492" spans="7:7">
      <c r="G1492" s="25"/>
    </row>
    <row r="1493" spans="7:7">
      <c r="G1493" s="25"/>
    </row>
    <row r="1494" spans="7:7">
      <c r="G1494" s="25"/>
    </row>
    <row r="1495" spans="7:7">
      <c r="G1495" s="25"/>
    </row>
    <row r="1496" spans="7:7">
      <c r="G1496" s="25"/>
    </row>
    <row r="1497" spans="7:7">
      <c r="G1497" s="25"/>
    </row>
    <row r="1498" spans="7:7">
      <c r="G1498" s="25"/>
    </row>
    <row r="1499" spans="7:7">
      <c r="G1499" s="25"/>
    </row>
    <row r="1500" spans="7:7">
      <c r="G1500" s="25"/>
    </row>
    <row r="1501" spans="7:7">
      <c r="G1501" s="25"/>
    </row>
    <row r="1502" spans="7:7">
      <c r="G1502" s="25"/>
    </row>
    <row r="1503" spans="7:7">
      <c r="G1503" s="25"/>
    </row>
    <row r="1504" spans="7:7">
      <c r="G1504" s="25"/>
    </row>
    <row r="1505" spans="7:7">
      <c r="G1505" s="25"/>
    </row>
    <row r="1506" spans="7:7">
      <c r="G1506" s="25"/>
    </row>
    <row r="1507" spans="7:7">
      <c r="G1507" s="25"/>
    </row>
    <row r="1508" spans="7:7">
      <c r="G1508" s="25"/>
    </row>
    <row r="1509" spans="7:7">
      <c r="G1509" s="25"/>
    </row>
    <row r="1510" spans="7:7">
      <c r="G1510" s="25"/>
    </row>
    <row r="1511" spans="7:7">
      <c r="G1511" s="25"/>
    </row>
    <row r="1512" spans="7:7">
      <c r="G1512" s="25"/>
    </row>
    <row r="1513" spans="7:7">
      <c r="G1513" s="25"/>
    </row>
    <row r="1514" spans="7:7">
      <c r="G1514" s="25"/>
    </row>
    <row r="1515" spans="7:7">
      <c r="G1515" s="25"/>
    </row>
    <row r="1516" spans="7:7">
      <c r="G1516" s="25"/>
    </row>
    <row r="1517" spans="7:7">
      <c r="G1517" s="25"/>
    </row>
    <row r="1518" spans="7:7">
      <c r="G1518" s="25"/>
    </row>
    <row r="1519" spans="7:7">
      <c r="G1519" s="25"/>
    </row>
    <row r="1520" spans="7:7">
      <c r="G1520" s="25"/>
    </row>
    <row r="1521" spans="7:7">
      <c r="G1521" s="25"/>
    </row>
    <row r="1522" spans="7:7">
      <c r="G1522" s="25"/>
    </row>
    <row r="1523" spans="7:7">
      <c r="G1523" s="25"/>
    </row>
    <row r="1524" spans="7:7">
      <c r="G1524" s="25"/>
    </row>
    <row r="1525" spans="7:7">
      <c r="G1525" s="25"/>
    </row>
    <row r="1526" spans="7:7">
      <c r="G1526" s="25"/>
    </row>
    <row r="1527" spans="7:7">
      <c r="G1527" s="25"/>
    </row>
    <row r="1528" spans="7:7">
      <c r="G1528" s="25"/>
    </row>
    <row r="1529" spans="7:7">
      <c r="G1529" s="25"/>
    </row>
    <row r="1530" spans="7:7">
      <c r="G1530" s="25"/>
    </row>
    <row r="1531" spans="7:7">
      <c r="G1531" s="25"/>
    </row>
    <row r="1532" spans="7:7">
      <c r="G1532" s="25"/>
    </row>
    <row r="1533" spans="7:7">
      <c r="G1533" s="25"/>
    </row>
    <row r="1534" spans="7:7">
      <c r="G1534" s="25"/>
    </row>
    <row r="1535" spans="7:7">
      <c r="G1535" s="25"/>
    </row>
    <row r="1536" spans="7:7">
      <c r="G1536" s="25"/>
    </row>
    <row r="1537" spans="7:7">
      <c r="G1537" s="25"/>
    </row>
    <row r="1538" spans="7:7">
      <c r="G1538" s="25"/>
    </row>
    <row r="1539" spans="7:7">
      <c r="G1539" s="25"/>
    </row>
    <row r="1540" spans="7:7">
      <c r="G1540" s="25"/>
    </row>
    <row r="1541" spans="7:7">
      <c r="G1541" s="25"/>
    </row>
    <row r="1542" spans="7:7">
      <c r="G1542" s="25"/>
    </row>
    <row r="1543" spans="7:7">
      <c r="G1543" s="25"/>
    </row>
    <row r="1544" spans="7:7">
      <c r="G1544" s="25"/>
    </row>
    <row r="1545" spans="7:7">
      <c r="G1545" s="25"/>
    </row>
    <row r="1546" spans="7:7">
      <c r="G1546" s="25"/>
    </row>
    <row r="1547" spans="7:7">
      <c r="G1547" s="25"/>
    </row>
    <row r="1548" spans="7:7">
      <c r="G1548" s="25"/>
    </row>
  </sheetData>
  <sortState xmlns:xlrd2="http://schemas.microsoft.com/office/spreadsheetml/2017/richdata2" ref="I208:I268">
    <sortCondition ref="I208"/>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36E60-677E-467E-9C59-7853ADE8E695}">
  <dimension ref="B27"/>
  <sheetViews>
    <sheetView workbookViewId="0">
      <selection activeCell="Q25" sqref="Q25"/>
    </sheetView>
  </sheetViews>
  <sheetFormatPr defaultRowHeight="14.25"/>
  <cols>
    <col min="1" max="1" width="3" style="1" customWidth="1"/>
    <col min="2" max="16384" width="9.140625" style="1"/>
  </cols>
  <sheetData>
    <row r="27" spans="2:2">
      <c r="B27" s="1" t="s">
        <v>1486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3E96C-B1AC-4770-900F-AA3F35FF76A4}">
  <dimension ref="A1"/>
  <sheetViews>
    <sheetView workbookViewId="0"/>
  </sheetViews>
  <sheetFormatPr defaultRowHeight="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63948-7FD9-4D33-AAA7-BDE5D55568DA}">
  <dimension ref="A1"/>
  <sheetViews>
    <sheetView workbookViewId="0">
      <selection sqref="A1:XFD1048576"/>
    </sheetView>
  </sheetViews>
  <sheetFormatPr defaultRowHeight="14.25"/>
  <cols>
    <col min="1" max="1" width="3" style="1" customWidth="1"/>
    <col min="2" max="16384" width="9.140625" style="1"/>
  </cols>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C31F-8910-447E-89B3-28B6120F3B0A}">
  <dimension ref="B2:Z8"/>
  <sheetViews>
    <sheetView workbookViewId="0">
      <selection activeCell="D5" sqref="D5"/>
    </sheetView>
  </sheetViews>
  <sheetFormatPr defaultRowHeight="14.25"/>
  <cols>
    <col min="1" max="1" width="3.140625" style="1" customWidth="1"/>
    <col min="2" max="16384" width="9.140625" style="1"/>
  </cols>
  <sheetData>
    <row r="2" spans="2:26" ht="15">
      <c r="B2" s="3" t="s">
        <v>9</v>
      </c>
      <c r="C2" s="4"/>
      <c r="D2" s="4"/>
      <c r="E2" s="4"/>
      <c r="F2" s="4"/>
      <c r="G2" s="3" t="s">
        <v>9</v>
      </c>
      <c r="H2" s="5"/>
      <c r="I2" s="5"/>
      <c r="J2" s="5"/>
      <c r="K2" s="5"/>
      <c r="L2" s="5"/>
      <c r="M2" s="5"/>
      <c r="N2" s="5"/>
      <c r="O2" s="5"/>
      <c r="P2" s="5"/>
      <c r="Q2" s="5"/>
      <c r="R2" s="5"/>
      <c r="S2" s="5"/>
      <c r="T2" s="5"/>
      <c r="U2" s="5"/>
      <c r="V2" s="5"/>
      <c r="W2" s="5"/>
      <c r="X2" s="5"/>
      <c r="Y2" s="5"/>
      <c r="Z2" s="6"/>
    </row>
    <row r="3" spans="2:26" ht="15">
      <c r="B3" s="7" t="s">
        <v>10</v>
      </c>
      <c r="C3" s="8"/>
      <c r="D3" s="8"/>
      <c r="E3" s="8"/>
      <c r="F3" s="9"/>
      <c r="G3" s="10" t="s">
        <v>11</v>
      </c>
      <c r="H3" s="10"/>
      <c r="I3" s="10"/>
      <c r="J3" s="10"/>
      <c r="K3" s="10"/>
      <c r="L3" s="10"/>
      <c r="M3" s="10"/>
      <c r="N3" s="10"/>
      <c r="O3" s="10"/>
      <c r="P3" s="10"/>
      <c r="Q3" s="10"/>
      <c r="R3" s="10"/>
      <c r="S3" s="10"/>
      <c r="T3" s="10"/>
      <c r="U3" s="10"/>
      <c r="V3" s="10"/>
      <c r="W3" s="10"/>
      <c r="X3" s="10"/>
      <c r="Y3" s="10"/>
      <c r="Z3" s="11"/>
    </row>
    <row r="4" spans="2:26" ht="15">
      <c r="B4" s="12" t="s">
        <v>10</v>
      </c>
      <c r="C4" s="13"/>
      <c r="D4" s="13"/>
      <c r="E4" s="13"/>
      <c r="F4" s="14"/>
      <c r="G4" s="15" t="s">
        <v>12</v>
      </c>
      <c r="H4" s="15"/>
      <c r="I4" s="15"/>
      <c r="J4" s="15"/>
      <c r="K4" s="15"/>
      <c r="L4" s="15"/>
      <c r="M4" s="15"/>
      <c r="N4" s="15"/>
      <c r="O4" s="15"/>
      <c r="P4" s="15"/>
      <c r="Q4" s="15"/>
      <c r="R4" s="15"/>
      <c r="S4" s="15"/>
      <c r="T4" s="15"/>
      <c r="U4" s="15"/>
      <c r="V4" s="15"/>
      <c r="W4" s="15"/>
      <c r="X4" s="15"/>
      <c r="Y4" s="15"/>
      <c r="Z4" s="16"/>
    </row>
    <row r="5" spans="2:26" ht="15">
      <c r="B5" s="12" t="s">
        <v>10</v>
      </c>
      <c r="C5" s="13"/>
      <c r="D5" s="13"/>
      <c r="E5" s="13"/>
      <c r="F5" s="14"/>
      <c r="G5" s="17" t="s">
        <v>11</v>
      </c>
      <c r="H5" s="17"/>
      <c r="I5" s="17"/>
      <c r="J5" s="17"/>
      <c r="K5" s="17"/>
      <c r="L5" s="17"/>
      <c r="M5" s="17"/>
      <c r="N5" s="17"/>
      <c r="O5" s="17"/>
      <c r="P5" s="17"/>
      <c r="Q5" s="17"/>
      <c r="R5" s="17"/>
      <c r="S5" s="17"/>
      <c r="T5" s="17"/>
      <c r="U5" s="17"/>
      <c r="V5" s="17"/>
      <c r="W5" s="17"/>
      <c r="X5" s="17"/>
      <c r="Y5" s="17"/>
      <c r="Z5" s="18"/>
    </row>
    <row r="6" spans="2:26" ht="15">
      <c r="B6" s="12" t="s">
        <v>10</v>
      </c>
      <c r="C6" s="13"/>
      <c r="D6" s="13"/>
      <c r="E6" s="13"/>
      <c r="F6" s="14"/>
      <c r="G6" s="15" t="s">
        <v>12</v>
      </c>
      <c r="H6" s="15"/>
      <c r="I6" s="15"/>
      <c r="J6" s="15"/>
      <c r="K6" s="15"/>
      <c r="L6" s="15"/>
      <c r="M6" s="15"/>
      <c r="N6" s="15"/>
      <c r="O6" s="15"/>
      <c r="P6" s="15"/>
      <c r="Q6" s="15"/>
      <c r="R6" s="15"/>
      <c r="S6" s="15"/>
      <c r="T6" s="15"/>
      <c r="U6" s="15"/>
      <c r="V6" s="15"/>
      <c r="W6" s="15"/>
      <c r="X6" s="15"/>
      <c r="Y6" s="15"/>
      <c r="Z6" s="16"/>
    </row>
    <row r="7" spans="2:26" ht="15">
      <c r="B7" s="12" t="s">
        <v>10</v>
      </c>
      <c r="C7" s="13"/>
      <c r="D7" s="13"/>
      <c r="E7" s="13"/>
      <c r="F7" s="14"/>
      <c r="G7" s="17" t="s">
        <v>11</v>
      </c>
      <c r="H7" s="17"/>
      <c r="I7" s="17"/>
      <c r="J7" s="17"/>
      <c r="K7" s="17"/>
      <c r="L7" s="17"/>
      <c r="M7" s="17"/>
      <c r="N7" s="17"/>
      <c r="O7" s="17"/>
      <c r="P7" s="17"/>
      <c r="Q7" s="17"/>
      <c r="R7" s="17"/>
      <c r="S7" s="17"/>
      <c r="T7" s="17"/>
      <c r="U7" s="17"/>
      <c r="V7" s="17"/>
      <c r="W7" s="17"/>
      <c r="X7" s="17"/>
      <c r="Y7" s="17"/>
      <c r="Z7" s="18"/>
    </row>
    <row r="8" spans="2:26" ht="15">
      <c r="B8" s="19" t="s">
        <v>10</v>
      </c>
      <c r="C8" s="20"/>
      <c r="D8" s="20"/>
      <c r="E8" s="20"/>
      <c r="F8" s="21"/>
      <c r="G8" s="22" t="s">
        <v>12</v>
      </c>
      <c r="H8" s="22"/>
      <c r="I8" s="22"/>
      <c r="J8" s="22"/>
      <c r="K8" s="22"/>
      <c r="L8" s="22"/>
      <c r="M8" s="22"/>
      <c r="N8" s="22"/>
      <c r="O8" s="22"/>
      <c r="P8" s="22"/>
      <c r="Q8" s="22"/>
      <c r="R8" s="22"/>
      <c r="S8" s="22"/>
      <c r="T8" s="22"/>
      <c r="U8" s="22"/>
      <c r="V8" s="22"/>
      <c r="W8" s="22"/>
      <c r="X8" s="22"/>
      <c r="Y8" s="22"/>
      <c r="Z8"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Main</vt:lpstr>
      <vt:lpstr>Model</vt:lpstr>
      <vt:lpstr>Notes | Quant Analysis</vt:lpstr>
      <vt:lpstr>Management</vt:lpstr>
      <vt:lpstr>Acquisitions</vt:lpstr>
      <vt:lpstr>Product Lines</vt:lpstr>
      <vt:lpstr>Table 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Jacob H</cp:lastModifiedBy>
  <dcterms:created xsi:type="dcterms:W3CDTF">2015-06-05T18:17:20Z</dcterms:created>
  <dcterms:modified xsi:type="dcterms:W3CDTF">2026-01-12T09:51:24Z</dcterms:modified>
</cp:coreProperties>
</file>