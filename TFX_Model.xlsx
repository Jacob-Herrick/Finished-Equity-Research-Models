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A06FE21E-6B92-4EA1-AE90-579365CE05B4}" xr6:coauthVersionLast="47" xr6:coauthVersionMax="47" xr10:uidLastSave="{00000000-0000-0000-0000-000000000000}"/>
  <bookViews>
    <workbookView xWindow="-120" yWindow="-120" windowWidth="29040" windowHeight="15720" activeTab="2" xr2:uid="{00000000-000D-0000-FFFF-FFFF00000000}"/>
  </bookViews>
  <sheets>
    <sheet name="Main" sheetId="1" r:id="rId1"/>
    <sheet name="Bull Case" sheetId="8" r:id="rId2"/>
    <sheet name="Base Case" sheetId="2" r:id="rId3"/>
    <sheet name="Notes | Quant Analysis" sheetId="3" r:id="rId4"/>
    <sheet name="Product Lines" sheetId="5" r:id="rId5"/>
    <sheet name="CVC" sheetId="7" r:id="rId6"/>
    <sheet name="Management" sheetId="6" r:id="rId7"/>
    <sheet name="Table Formatting" sheetId="4"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BN50" i="2"/>
  <c r="BH116" i="2"/>
  <c r="BC116" i="2"/>
  <c r="AZ116" i="2"/>
  <c r="AU116" i="2"/>
  <c r="AR116" i="2"/>
  <c r="AM116" i="2"/>
  <c r="AJ116" i="2"/>
  <c r="AE116" i="2"/>
  <c r="AB116" i="2"/>
  <c r="W116" i="2"/>
  <c r="T116" i="2"/>
  <c r="O116" i="2"/>
  <c r="L116" i="2"/>
  <c r="G116" i="2"/>
  <c r="D116" i="2"/>
  <c r="BP115" i="2"/>
  <c r="BO115" i="2"/>
  <c r="BN115" i="2"/>
  <c r="BM115" i="2"/>
  <c r="BL115" i="2"/>
  <c r="BK115" i="2"/>
  <c r="BK116" i="2" s="1"/>
  <c r="BJ115" i="2"/>
  <c r="BI115" i="2"/>
  <c r="BH115" i="2"/>
  <c r="BG115" i="2"/>
  <c r="BF115" i="2"/>
  <c r="BF116" i="2" s="1"/>
  <c r="BE115" i="2"/>
  <c r="BE116" i="2" s="1"/>
  <c r="BD115" i="2"/>
  <c r="BC115" i="2"/>
  <c r="BB115" i="2"/>
  <c r="BA115" i="2"/>
  <c r="AZ115" i="2"/>
  <c r="AY115" i="2"/>
  <c r="AX115" i="2"/>
  <c r="AX116" i="2" s="1"/>
  <c r="AW115" i="2"/>
  <c r="AW116" i="2" s="1"/>
  <c r="AV115" i="2"/>
  <c r="AU115" i="2"/>
  <c r="AT115" i="2"/>
  <c r="AS115" i="2"/>
  <c r="AR115" i="2"/>
  <c r="AQ115" i="2"/>
  <c r="AP115" i="2"/>
  <c r="AP116" i="2" s="1"/>
  <c r="AO115" i="2"/>
  <c r="AO116" i="2" s="1"/>
  <c r="AN115" i="2"/>
  <c r="AM115" i="2"/>
  <c r="AL115" i="2"/>
  <c r="AK115" i="2"/>
  <c r="AJ115" i="2"/>
  <c r="AI115" i="2"/>
  <c r="AH115" i="2"/>
  <c r="AH116" i="2" s="1"/>
  <c r="AG115" i="2"/>
  <c r="AG116" i="2" s="1"/>
  <c r="AF115" i="2"/>
  <c r="AE115" i="2"/>
  <c r="AD115" i="2"/>
  <c r="AC115" i="2"/>
  <c r="AB115" i="2"/>
  <c r="AA115" i="2"/>
  <c r="Z115" i="2"/>
  <c r="Z116" i="2" s="1"/>
  <c r="Y115" i="2"/>
  <c r="Y116" i="2" s="1"/>
  <c r="X115" i="2"/>
  <c r="W115" i="2"/>
  <c r="V115" i="2"/>
  <c r="U115" i="2"/>
  <c r="T115" i="2"/>
  <c r="S115" i="2"/>
  <c r="R115" i="2"/>
  <c r="R116" i="2" s="1"/>
  <c r="Q115" i="2"/>
  <c r="Q116" i="2" s="1"/>
  <c r="P115" i="2"/>
  <c r="O115" i="2"/>
  <c r="N115" i="2"/>
  <c r="M115" i="2"/>
  <c r="L115" i="2"/>
  <c r="K115" i="2"/>
  <c r="J115" i="2"/>
  <c r="J116" i="2" s="1"/>
  <c r="I115" i="2"/>
  <c r="I116" i="2" s="1"/>
  <c r="H115" i="2"/>
  <c r="G115" i="2"/>
  <c r="F115" i="2"/>
  <c r="E115" i="2"/>
  <c r="D115" i="2"/>
  <c r="C115" i="2"/>
  <c r="BO114" i="2"/>
  <c r="BO116" i="2" s="1"/>
  <c r="BN114" i="2"/>
  <c r="BN116" i="2" s="1"/>
  <c r="BM114" i="2"/>
  <c r="BL114" i="2"/>
  <c r="BL116" i="2" s="1"/>
  <c r="BK114" i="2"/>
  <c r="BJ114" i="2"/>
  <c r="BJ116" i="2" s="1"/>
  <c r="BI114" i="2"/>
  <c r="BI116" i="2" s="1"/>
  <c r="BH114" i="2"/>
  <c r="BG114" i="2"/>
  <c r="BG116" i="2" s="1"/>
  <c r="BF114" i="2"/>
  <c r="BE114" i="2"/>
  <c r="BD114" i="2"/>
  <c r="BD116" i="2" s="1"/>
  <c r="BC114" i="2"/>
  <c r="BB114" i="2"/>
  <c r="BB116" i="2" s="1"/>
  <c r="BA114" i="2"/>
  <c r="BA116" i="2" s="1"/>
  <c r="AZ114" i="2"/>
  <c r="AY114" i="2"/>
  <c r="AY116" i="2" s="1"/>
  <c r="AX114" i="2"/>
  <c r="AW114" i="2"/>
  <c r="AV114" i="2"/>
  <c r="AV116" i="2" s="1"/>
  <c r="AU114" i="2"/>
  <c r="AT114" i="2"/>
  <c r="AT116" i="2" s="1"/>
  <c r="AS114" i="2"/>
  <c r="AS116" i="2" s="1"/>
  <c r="AR114" i="2"/>
  <c r="AQ114" i="2"/>
  <c r="AQ116" i="2" s="1"/>
  <c r="AP114" i="2"/>
  <c r="AO114" i="2"/>
  <c r="AN114" i="2"/>
  <c r="AN116" i="2" s="1"/>
  <c r="AM114" i="2"/>
  <c r="AL114" i="2"/>
  <c r="AL116" i="2" s="1"/>
  <c r="AK114" i="2"/>
  <c r="AK116" i="2" s="1"/>
  <c r="AJ114" i="2"/>
  <c r="AI114" i="2"/>
  <c r="AI116" i="2" s="1"/>
  <c r="AH114" i="2"/>
  <c r="AG114" i="2"/>
  <c r="AF114" i="2"/>
  <c r="AF116" i="2" s="1"/>
  <c r="AE114" i="2"/>
  <c r="AD114" i="2"/>
  <c r="AD116" i="2" s="1"/>
  <c r="AC114" i="2"/>
  <c r="AC116" i="2" s="1"/>
  <c r="AB114" i="2"/>
  <c r="AA114" i="2"/>
  <c r="AA116" i="2" s="1"/>
  <c r="Z114" i="2"/>
  <c r="Y114" i="2"/>
  <c r="X114" i="2"/>
  <c r="X116" i="2" s="1"/>
  <c r="W114" i="2"/>
  <c r="V114" i="2"/>
  <c r="V116" i="2" s="1"/>
  <c r="U114" i="2"/>
  <c r="U116" i="2" s="1"/>
  <c r="T114" i="2"/>
  <c r="S114" i="2"/>
  <c r="S116" i="2" s="1"/>
  <c r="R114" i="2"/>
  <c r="Q114" i="2"/>
  <c r="P114" i="2"/>
  <c r="P116" i="2" s="1"/>
  <c r="O114" i="2"/>
  <c r="N114" i="2"/>
  <c r="N116" i="2" s="1"/>
  <c r="M114" i="2"/>
  <c r="M116" i="2" s="1"/>
  <c r="L114" i="2"/>
  <c r="K114" i="2"/>
  <c r="J114" i="2"/>
  <c r="I114" i="2"/>
  <c r="H114" i="2"/>
  <c r="H116" i="2" s="1"/>
  <c r="G114" i="2"/>
  <c r="F114" i="2"/>
  <c r="F116" i="2" s="1"/>
  <c r="E114" i="2"/>
  <c r="E116" i="2" s="1"/>
  <c r="D114" i="2"/>
  <c r="C114" i="2"/>
  <c r="C116" i="2" s="1"/>
  <c r="BP113" i="2"/>
  <c r="BP112" i="2"/>
  <c r="BP114" i="2" s="1"/>
  <c r="BP116" i="2" s="1"/>
  <c r="BP107" i="2"/>
  <c r="BO107" i="2"/>
  <c r="BM107" i="2"/>
  <c r="BL107" i="2"/>
  <c r="BK107" i="2"/>
  <c r="BI107" i="2"/>
  <c r="BH107" i="2"/>
  <c r="BG107" i="2"/>
  <c r="BE107" i="2"/>
  <c r="BD107" i="2"/>
  <c r="BC107" i="2"/>
  <c r="BA107" i="2"/>
  <c r="AZ107" i="2"/>
  <c r="AY107" i="2"/>
  <c r="AW107" i="2"/>
  <c r="AV107" i="2"/>
  <c r="AU107" i="2"/>
  <c r="BP105" i="2"/>
  <c r="BO105" i="2"/>
  <c r="BN105" i="2"/>
  <c r="BM105" i="2"/>
  <c r="BL105" i="2"/>
  <c r="BK105" i="2"/>
  <c r="BJ105" i="2"/>
  <c r="BI105" i="2"/>
  <c r="BH105" i="2"/>
  <c r="BG105" i="2"/>
  <c r="BF105" i="2"/>
  <c r="BE105" i="2"/>
  <c r="BD105" i="2"/>
  <c r="BC105" i="2"/>
  <c r="BB105" i="2"/>
  <c r="BA105" i="2"/>
  <c r="AZ105" i="2"/>
  <c r="AY105" i="2"/>
  <c r="AX105" i="2"/>
  <c r="AW105" i="2"/>
  <c r="AV105" i="2"/>
  <c r="AU105" i="2"/>
  <c r="AT105" i="2"/>
  <c r="BP104" i="2"/>
  <c r="BN104" i="2"/>
  <c r="BM104" i="2"/>
  <c r="BL104" i="2"/>
  <c r="BK104" i="2"/>
  <c r="BJ104" i="2"/>
  <c r="BI104" i="2"/>
  <c r="BH104" i="2"/>
  <c r="BG104" i="2"/>
  <c r="BF104" i="2"/>
  <c r="BE104" i="2"/>
  <c r="BD104" i="2"/>
  <c r="BC104" i="2"/>
  <c r="BB104" i="2"/>
  <c r="BA104" i="2"/>
  <c r="AZ104" i="2"/>
  <c r="AY104" i="2"/>
  <c r="AX104" i="2"/>
  <c r="AW104" i="2"/>
  <c r="AV104" i="2"/>
  <c r="AU104" i="2"/>
  <c r="AT104" i="2"/>
  <c r="BP103" i="2"/>
  <c r="BN103" i="2"/>
  <c r="BM103" i="2"/>
  <c r="BL103" i="2"/>
  <c r="BK103" i="2"/>
  <c r="BJ103" i="2"/>
  <c r="BI103" i="2"/>
  <c r="BH103" i="2"/>
  <c r="BG103" i="2"/>
  <c r="BF103" i="2"/>
  <c r="BE103" i="2"/>
  <c r="BD103" i="2"/>
  <c r="BC103" i="2"/>
  <c r="BB103" i="2"/>
  <c r="BA103" i="2"/>
  <c r="AZ103" i="2"/>
  <c r="AY103" i="2"/>
  <c r="AX103" i="2"/>
  <c r="AW103" i="2"/>
  <c r="AV103" i="2"/>
  <c r="AU103" i="2"/>
  <c r="AT103" i="2"/>
  <c r="BP101" i="2"/>
  <c r="BN101" i="2"/>
  <c r="BL101" i="2"/>
  <c r="BH101" i="2"/>
  <c r="BF101" i="2"/>
  <c r="BD101" i="2"/>
  <c r="AZ101" i="2"/>
  <c r="AX101" i="2"/>
  <c r="AV101" i="2"/>
  <c r="AU101" i="2"/>
  <c r="BP99" i="2"/>
  <c r="BO99" i="2"/>
  <c r="BO101" i="2" s="1"/>
  <c r="BN99" i="2"/>
  <c r="BM99" i="2"/>
  <c r="BM101" i="2" s="1"/>
  <c r="BL99" i="2"/>
  <c r="BK99" i="2"/>
  <c r="BK101" i="2" s="1"/>
  <c r="BJ99" i="2"/>
  <c r="BJ101" i="2" s="1"/>
  <c r="BI99" i="2"/>
  <c r="BI101" i="2" s="1"/>
  <c r="BH99" i="2"/>
  <c r="BG99" i="2"/>
  <c r="BG101" i="2" s="1"/>
  <c r="BF99" i="2"/>
  <c r="BE99" i="2"/>
  <c r="BE101" i="2" s="1"/>
  <c r="BD99" i="2"/>
  <c r="BC99" i="2"/>
  <c r="BC101" i="2" s="1"/>
  <c r="BB99" i="2"/>
  <c r="BB101" i="2" s="1"/>
  <c r="BA99" i="2"/>
  <c r="BA101" i="2" s="1"/>
  <c r="AZ99" i="2"/>
  <c r="AY99" i="2"/>
  <c r="AY101" i="2" s="1"/>
  <c r="AX99" i="2"/>
  <c r="AW99" i="2"/>
  <c r="AW101" i="2" s="1"/>
  <c r="AV99" i="2"/>
  <c r="AU99" i="2"/>
  <c r="AT99" i="2"/>
  <c r="AT101" i="2" s="1"/>
  <c r="BO91" i="2"/>
  <c r="BO104" i="2" s="1"/>
  <c r="BP83" i="2"/>
  <c r="BO83" i="2"/>
  <c r="BN83" i="2"/>
  <c r="BM83" i="2"/>
  <c r="BL83" i="2"/>
  <c r="BK83" i="2"/>
  <c r="BJ83" i="2"/>
  <c r="BI83" i="2"/>
  <c r="BH83" i="2"/>
  <c r="BG83" i="2"/>
  <c r="BF83" i="2"/>
  <c r="BE83" i="2"/>
  <c r="BD83" i="2"/>
  <c r="BC83" i="2"/>
  <c r="BB83" i="2"/>
  <c r="BA83" i="2"/>
  <c r="AZ83" i="2"/>
  <c r="AY83" i="2"/>
  <c r="AX83" i="2"/>
  <c r="AW83" i="2"/>
  <c r="AV83" i="2"/>
  <c r="AU83" i="2"/>
  <c r="AT83" i="2"/>
  <c r="AL67" i="2"/>
  <c r="F67" i="2"/>
  <c r="AD66"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AP63" i="2"/>
  <c r="AE63" i="2"/>
  <c r="AD63" i="2"/>
  <c r="V63" i="2"/>
  <c r="T63" i="2"/>
  <c r="S63" i="2"/>
  <c r="J63" i="2"/>
  <c r="H63" i="2"/>
  <c r="BN58" i="2"/>
  <c r="BK58" i="2"/>
  <c r="BJ58" i="2"/>
  <c r="BF58" i="2"/>
  <c r="BB58" i="2"/>
  <c r="AX58" i="2"/>
  <c r="AT58" i="2"/>
  <c r="AM57" i="2"/>
  <c r="AM59" i="2" s="1"/>
  <c r="AL57" i="2"/>
  <c r="AL59" i="2" s="1"/>
  <c r="AD57" i="2"/>
  <c r="V57" i="2"/>
  <c r="S57" i="2"/>
  <c r="O57" i="2"/>
  <c r="N57" i="2"/>
  <c r="N67" i="2" s="1"/>
  <c r="F57" i="2"/>
  <c r="F59" i="2" s="1"/>
  <c r="BN56" i="2"/>
  <c r="BJ56" i="2"/>
  <c r="BF56" i="2"/>
  <c r="BB56" i="2"/>
  <c r="AX56" i="2"/>
  <c r="AT56" i="2"/>
  <c r="BN55" i="2"/>
  <c r="BJ55" i="2"/>
  <c r="BF55" i="2"/>
  <c r="BB55" i="2"/>
  <c r="AX55" i="2"/>
  <c r="AT55" i="2"/>
  <c r="BN54" i="2"/>
  <c r="BJ54" i="2"/>
  <c r="BF54" i="2"/>
  <c r="BB54" i="2"/>
  <c r="AX54" i="2"/>
  <c r="AT54" i="2"/>
  <c r="AM53" i="2"/>
  <c r="AM66" i="2" s="1"/>
  <c r="AL53" i="2"/>
  <c r="AL66" i="2" s="1"/>
  <c r="AI53" i="2"/>
  <c r="AE53" i="2"/>
  <c r="AE66" i="2" s="1"/>
  <c r="AD53" i="2"/>
  <c r="AA53" i="2"/>
  <c r="W53" i="2"/>
  <c r="W66" i="2" s="1"/>
  <c r="V53" i="2"/>
  <c r="V66" i="2" s="1"/>
  <c r="S53" i="2"/>
  <c r="S66" i="2" s="1"/>
  <c r="O53" i="2"/>
  <c r="O66" i="2" s="1"/>
  <c r="N53" i="2"/>
  <c r="N66" i="2" s="1"/>
  <c r="K53" i="2"/>
  <c r="K66" i="2" s="1"/>
  <c r="G53" i="2"/>
  <c r="G66" i="2" s="1"/>
  <c r="F53" i="2"/>
  <c r="F66" i="2" s="1"/>
  <c r="C53" i="2"/>
  <c r="C66" i="2" s="1"/>
  <c r="BN52" i="2"/>
  <c r="BJ52" i="2"/>
  <c r="BF52" i="2"/>
  <c r="BB52" i="2"/>
  <c r="AX52" i="2"/>
  <c r="AT52" i="2"/>
  <c r="BN51" i="2"/>
  <c r="BJ51" i="2"/>
  <c r="BF51" i="2"/>
  <c r="BB51" i="2"/>
  <c r="AX51" i="2"/>
  <c r="AT51" i="2"/>
  <c r="BJ50" i="2"/>
  <c r="BF50" i="2"/>
  <c r="BB50" i="2"/>
  <c r="AX50" i="2"/>
  <c r="AT50" i="2"/>
  <c r="BN49" i="2"/>
  <c r="BJ49" i="2"/>
  <c r="BF49" i="2"/>
  <c r="BB49" i="2"/>
  <c r="AX49" i="2"/>
  <c r="AT49" i="2"/>
  <c r="BN48" i="2"/>
  <c r="BJ48" i="2"/>
  <c r="BF48" i="2"/>
  <c r="BB48" i="2"/>
  <c r="AX48" i="2"/>
  <c r="AT48" i="2"/>
  <c r="BN47" i="2"/>
  <c r="BJ47" i="2"/>
  <c r="BF47" i="2"/>
  <c r="BB47" i="2"/>
  <c r="AX47" i="2"/>
  <c r="AT47" i="2"/>
  <c r="AP46" i="2"/>
  <c r="AP53" i="2" s="1"/>
  <c r="AO46" i="2"/>
  <c r="AN46" i="2"/>
  <c r="AN53" i="2" s="1"/>
  <c r="AN57" i="2" s="1"/>
  <c r="AM46" i="2"/>
  <c r="AM63" i="2" s="1"/>
  <c r="AL46" i="2"/>
  <c r="AL63" i="2" s="1"/>
  <c r="AK46" i="2"/>
  <c r="AJ46" i="2"/>
  <c r="AJ63" i="2" s="1"/>
  <c r="AI46" i="2"/>
  <c r="AI63" i="2" s="1"/>
  <c r="AH46" i="2"/>
  <c r="AH63" i="2" s="1"/>
  <c r="AG46" i="2"/>
  <c r="AF46" i="2"/>
  <c r="AE46" i="2"/>
  <c r="AD46" i="2"/>
  <c r="AC46" i="2"/>
  <c r="AB46" i="2"/>
  <c r="AB63" i="2" s="1"/>
  <c r="AA46" i="2"/>
  <c r="AA63" i="2" s="1"/>
  <c r="Z46" i="2"/>
  <c r="Z63" i="2" s="1"/>
  <c r="Y46" i="2"/>
  <c r="X46" i="2"/>
  <c r="W46" i="2"/>
  <c r="W63" i="2" s="1"/>
  <c r="V46" i="2"/>
  <c r="U46" i="2"/>
  <c r="T46" i="2"/>
  <c r="T53" i="2" s="1"/>
  <c r="T57" i="2" s="1"/>
  <c r="S46" i="2"/>
  <c r="R46" i="2"/>
  <c r="R63" i="2" s="1"/>
  <c r="Q46" i="2"/>
  <c r="P46" i="2"/>
  <c r="O46" i="2"/>
  <c r="O63" i="2" s="1"/>
  <c r="N46" i="2"/>
  <c r="N63" i="2" s="1"/>
  <c r="M46" i="2"/>
  <c r="L46" i="2"/>
  <c r="L63" i="2" s="1"/>
  <c r="K46" i="2"/>
  <c r="K63" i="2" s="1"/>
  <c r="J46" i="2"/>
  <c r="J53" i="2" s="1"/>
  <c r="I46" i="2"/>
  <c r="H46" i="2"/>
  <c r="H53" i="2" s="1"/>
  <c r="H57" i="2" s="1"/>
  <c r="G46" i="2"/>
  <c r="G63" i="2" s="1"/>
  <c r="F46" i="2"/>
  <c r="F63" i="2" s="1"/>
  <c r="E46" i="2"/>
  <c r="D46" i="2"/>
  <c r="D63" i="2" s="1"/>
  <c r="C46" i="2"/>
  <c r="C63" i="2" s="1"/>
  <c r="BN107" i="2"/>
  <c r="BJ45" i="2"/>
  <c r="BJ107" i="2" s="1"/>
  <c r="BF45" i="2"/>
  <c r="BF107" i="2" s="1"/>
  <c r="BB45" i="2"/>
  <c r="BB107" i="2" s="1"/>
  <c r="AX45" i="2"/>
  <c r="AX107" i="2" s="1"/>
  <c r="AT45" i="2"/>
  <c r="AT107" i="2" s="1"/>
  <c r="AW44" i="2"/>
  <c r="AV44" i="2"/>
  <c r="BK42" i="2"/>
  <c r="BH42" i="2"/>
  <c r="BP41" i="2"/>
  <c r="BK41" i="2"/>
  <c r="BO40" i="2"/>
  <c r="BL40" i="2"/>
  <c r="BK40" i="2"/>
  <c r="BC40" i="2"/>
  <c r="BO38" i="2"/>
  <c r="BG38" i="2"/>
  <c r="BP37" i="2"/>
  <c r="BO37" i="2"/>
  <c r="BM37" i="2"/>
  <c r="BL37" i="2"/>
  <c r="BK37" i="2"/>
  <c r="BJ37" i="2"/>
  <c r="BI37" i="2"/>
  <c r="BH37" i="2"/>
  <c r="BG37" i="2"/>
  <c r="BP36" i="2"/>
  <c r="BO36" i="2"/>
  <c r="BM36" i="2"/>
  <c r="BL36" i="2"/>
  <c r="BK36" i="2"/>
  <c r="BI36" i="2"/>
  <c r="BH36" i="2"/>
  <c r="BG36" i="2"/>
  <c r="BP35" i="2"/>
  <c r="BO35" i="2"/>
  <c r="BL35" i="2"/>
  <c r="BK35" i="2"/>
  <c r="BP33" i="2"/>
  <c r="BP40" i="2" s="1"/>
  <c r="BO33" i="2"/>
  <c r="BM33" i="2"/>
  <c r="BL33" i="2"/>
  <c r="BL42" i="2" s="1"/>
  <c r="BK33" i="2"/>
  <c r="BK38" i="2" s="1"/>
  <c r="BH33" i="2"/>
  <c r="BH40" i="2" s="1"/>
  <c r="BG33" i="2"/>
  <c r="BG41" i="2" s="1"/>
  <c r="BE33" i="2"/>
  <c r="BE42" i="2" s="1"/>
  <c r="BD33" i="2"/>
  <c r="BD42" i="2" s="1"/>
  <c r="BN32" i="2"/>
  <c r="BN37" i="2" s="1"/>
  <c r="BJ32" i="2"/>
  <c r="BF32" i="2"/>
  <c r="BN31" i="2"/>
  <c r="BN36" i="2" s="1"/>
  <c r="BJ31" i="2"/>
  <c r="BF31" i="2"/>
  <c r="BN30" i="2"/>
  <c r="BI30" i="2"/>
  <c r="BM35" i="2" s="1"/>
  <c r="BF30" i="2"/>
  <c r="BE30" i="2"/>
  <c r="BD30" i="2"/>
  <c r="BH35" i="2" s="1"/>
  <c r="BC30" i="2"/>
  <c r="BC33" i="2" s="1"/>
  <c r="BC41" i="2" s="1"/>
  <c r="BK28" i="2"/>
  <c r="BA28" i="2"/>
  <c r="AS28" i="2"/>
  <c r="BK27" i="2"/>
  <c r="BC27" i="2"/>
  <c r="AU27" i="2"/>
  <c r="BL26" i="2"/>
  <c r="BK26" i="2"/>
  <c r="BD26" i="2"/>
  <c r="BC26" i="2"/>
  <c r="AV26" i="2"/>
  <c r="AU26" i="2"/>
  <c r="BP25" i="2"/>
  <c r="BM25" i="2"/>
  <c r="BL25" i="2"/>
  <c r="BG25" i="2"/>
  <c r="BE25" i="2"/>
  <c r="BD25" i="2"/>
  <c r="AY25" i="2"/>
  <c r="AW25" i="2"/>
  <c r="AV25" i="2"/>
  <c r="AQ25" i="2"/>
  <c r="BP24" i="2"/>
  <c r="BO24" i="2"/>
  <c r="BM24" i="2"/>
  <c r="BG24" i="2"/>
  <c r="BE24" i="2"/>
  <c r="AY24" i="2"/>
  <c r="AW24" i="2"/>
  <c r="AQ24" i="2"/>
  <c r="BP23" i="2"/>
  <c r="BO23" i="2"/>
  <c r="BG23" i="2"/>
  <c r="AY23" i="2"/>
  <c r="AQ23" i="2"/>
  <c r="BP22" i="2"/>
  <c r="BG22" i="2"/>
  <c r="AY22" i="2"/>
  <c r="AQ22" i="2"/>
  <c r="BP19" i="2"/>
  <c r="BO19" i="2"/>
  <c r="BM19" i="2"/>
  <c r="BL19" i="2"/>
  <c r="BK19" i="2"/>
  <c r="BI19" i="2"/>
  <c r="BH19" i="2"/>
  <c r="BG19" i="2"/>
  <c r="BF19" i="2"/>
  <c r="BE19" i="2"/>
  <c r="BD19" i="2"/>
  <c r="BC19" i="2"/>
  <c r="BA19" i="2"/>
  <c r="AZ19" i="2"/>
  <c r="AY19" i="2"/>
  <c r="AX19" i="2"/>
  <c r="AW19" i="2"/>
  <c r="AV19" i="2"/>
  <c r="AU19" i="2"/>
  <c r="BP18" i="2"/>
  <c r="BO18" i="2"/>
  <c r="BM18" i="2"/>
  <c r="BL18" i="2"/>
  <c r="BK18" i="2"/>
  <c r="BI18" i="2"/>
  <c r="BH18" i="2"/>
  <c r="BG18" i="2"/>
  <c r="BE18" i="2"/>
  <c r="BD18" i="2"/>
  <c r="BC18" i="2"/>
  <c r="BB18" i="2"/>
  <c r="BA18" i="2"/>
  <c r="AZ18" i="2"/>
  <c r="AY18" i="2"/>
  <c r="AW18" i="2"/>
  <c r="AV18" i="2"/>
  <c r="AU18" i="2"/>
  <c r="BP17" i="2"/>
  <c r="BO17" i="2"/>
  <c r="BM17" i="2"/>
  <c r="BL17" i="2"/>
  <c r="BK17" i="2"/>
  <c r="BI17" i="2"/>
  <c r="BH17" i="2"/>
  <c r="BG17" i="2"/>
  <c r="BE17" i="2"/>
  <c r="BD17" i="2"/>
  <c r="BC17" i="2"/>
  <c r="BA17" i="2"/>
  <c r="AZ17" i="2"/>
  <c r="AY17" i="2"/>
  <c r="AW17" i="2"/>
  <c r="AV17" i="2"/>
  <c r="AU17" i="2"/>
  <c r="BP16" i="2"/>
  <c r="BO16" i="2"/>
  <c r="BM16" i="2"/>
  <c r="BL16" i="2"/>
  <c r="BK16" i="2"/>
  <c r="BI16" i="2"/>
  <c r="BH16" i="2"/>
  <c r="BG16" i="2"/>
  <c r="BF16" i="2"/>
  <c r="BE16" i="2"/>
  <c r="BD16" i="2"/>
  <c r="BC16" i="2"/>
  <c r="BA16" i="2"/>
  <c r="AZ16" i="2"/>
  <c r="AY16" i="2"/>
  <c r="AW16" i="2"/>
  <c r="AV16" i="2"/>
  <c r="AU16" i="2"/>
  <c r="BP15" i="2"/>
  <c r="BO15" i="2"/>
  <c r="BM15" i="2"/>
  <c r="BL15" i="2"/>
  <c r="BK15" i="2"/>
  <c r="BI15" i="2"/>
  <c r="BH15" i="2"/>
  <c r="BG15" i="2"/>
  <c r="BE15" i="2"/>
  <c r="BD15" i="2"/>
  <c r="BC15" i="2"/>
  <c r="BA15" i="2"/>
  <c r="AZ15" i="2"/>
  <c r="AY15" i="2"/>
  <c r="AW15" i="2"/>
  <c r="AV15" i="2"/>
  <c r="AU15" i="2"/>
  <c r="BP14" i="2"/>
  <c r="BO14" i="2"/>
  <c r="BM14" i="2"/>
  <c r="BL14" i="2"/>
  <c r="BK14" i="2"/>
  <c r="BI14" i="2"/>
  <c r="BH14" i="2"/>
  <c r="BG14" i="2"/>
  <c r="BF14" i="2"/>
  <c r="BE14" i="2"/>
  <c r="BD14" i="2"/>
  <c r="BC14" i="2"/>
  <c r="BA14" i="2"/>
  <c r="AZ14" i="2"/>
  <c r="AY14" i="2"/>
  <c r="AX14" i="2"/>
  <c r="AW14" i="2"/>
  <c r="AV14" i="2"/>
  <c r="AU14" i="2"/>
  <c r="BP13" i="2"/>
  <c r="BO13" i="2"/>
  <c r="BM13" i="2"/>
  <c r="BL13" i="2"/>
  <c r="BK13" i="2"/>
  <c r="BI13" i="2"/>
  <c r="BH13" i="2"/>
  <c r="BG13" i="2"/>
  <c r="BF13" i="2"/>
  <c r="BE13" i="2"/>
  <c r="BD13" i="2"/>
  <c r="BC13" i="2"/>
  <c r="BA13" i="2"/>
  <c r="AZ13" i="2"/>
  <c r="AY13" i="2"/>
  <c r="AX13" i="2"/>
  <c r="AW13" i="2"/>
  <c r="AV13" i="2"/>
  <c r="AU13" i="2"/>
  <c r="BP11" i="2"/>
  <c r="BP20" i="2" s="1"/>
  <c r="BO11" i="2"/>
  <c r="BO22" i="2" s="1"/>
  <c r="BM11" i="2"/>
  <c r="BM28" i="2" s="1"/>
  <c r="BL11" i="2"/>
  <c r="BL24" i="2" s="1"/>
  <c r="BK11" i="2"/>
  <c r="BK44" i="2" s="1"/>
  <c r="BK65" i="2" s="1"/>
  <c r="BI11" i="2"/>
  <c r="BI28" i="2" s="1"/>
  <c r="BH11" i="2"/>
  <c r="BH28" i="2" s="1"/>
  <c r="BG11" i="2"/>
  <c r="BG44" i="2" s="1"/>
  <c r="BE11" i="2"/>
  <c r="BE28" i="2" s="1"/>
  <c r="BD11" i="2"/>
  <c r="BD24" i="2" s="1"/>
  <c r="BC11" i="2"/>
  <c r="BC44" i="2" s="1"/>
  <c r="BA11" i="2"/>
  <c r="BA27" i="2" s="1"/>
  <c r="AZ11" i="2"/>
  <c r="AZ28" i="2" s="1"/>
  <c r="AY11" i="2"/>
  <c r="AY44" i="2" s="1"/>
  <c r="AW11" i="2"/>
  <c r="AW23" i="2" s="1"/>
  <c r="AV11" i="2"/>
  <c r="AV24" i="2" s="1"/>
  <c r="AU11" i="2"/>
  <c r="AU44" i="2" s="1"/>
  <c r="AS11" i="2"/>
  <c r="AS44" i="2" s="1"/>
  <c r="AR11" i="2"/>
  <c r="AR28" i="2" s="1"/>
  <c r="AQ11" i="2"/>
  <c r="AQ44" i="2" s="1"/>
  <c r="AQ65" i="2" s="1"/>
  <c r="BJ10" i="2"/>
  <c r="BJ19" i="2" s="1"/>
  <c r="BF10" i="2"/>
  <c r="BB10" i="2"/>
  <c r="BB19" i="2" s="1"/>
  <c r="AX10" i="2"/>
  <c r="AT10" i="2"/>
  <c r="BJ9" i="2"/>
  <c r="BF9" i="2"/>
  <c r="BJ18" i="2" s="1"/>
  <c r="BB9" i="2"/>
  <c r="AX9" i="2"/>
  <c r="AT9" i="2"/>
  <c r="BJ8" i="2"/>
  <c r="BF8" i="2"/>
  <c r="BF17" i="2" s="1"/>
  <c r="BB8" i="2"/>
  <c r="AX8" i="2"/>
  <c r="AX17" i="2" s="1"/>
  <c r="AT8" i="2"/>
  <c r="BJ7" i="2"/>
  <c r="BF7" i="2"/>
  <c r="BB7" i="2"/>
  <c r="AX7" i="2"/>
  <c r="AT7" i="2"/>
  <c r="BJ6" i="2"/>
  <c r="BF6" i="2"/>
  <c r="BF15" i="2" s="1"/>
  <c r="BB6" i="2"/>
  <c r="BB15" i="2" s="1"/>
  <c r="AX6" i="2"/>
  <c r="AX15" i="2" s="1"/>
  <c r="AT6" i="2"/>
  <c r="BJ5" i="2"/>
  <c r="BF5" i="2"/>
  <c r="BF11" i="2" s="1"/>
  <c r="BB5" i="2"/>
  <c r="AX5" i="2"/>
  <c r="AT5" i="2"/>
  <c r="BJ4" i="2"/>
  <c r="BJ13" i="2" s="1"/>
  <c r="BF4" i="2"/>
  <c r="BB4" i="2"/>
  <c r="BB13" i="2" s="1"/>
  <c r="AX4" i="2"/>
  <c r="AT4" i="2"/>
  <c r="CU75" i="8"/>
  <c r="CP84" i="8"/>
  <c r="CP80" i="8"/>
  <c r="CP91" i="8"/>
  <c r="CP86" i="8"/>
  <c r="BP19" i="8"/>
  <c r="BO19" i="8"/>
  <c r="BP18" i="8"/>
  <c r="BO18" i="8"/>
  <c r="BP17" i="8"/>
  <c r="BO17" i="8"/>
  <c r="BP16" i="8"/>
  <c r="BO16" i="8"/>
  <c r="BP15" i="8"/>
  <c r="BO15" i="8"/>
  <c r="BP14" i="8"/>
  <c r="BO14" i="8"/>
  <c r="BP13" i="8"/>
  <c r="BO13" i="8"/>
  <c r="BO11" i="8"/>
  <c r="BO28" i="8" s="1"/>
  <c r="BP11" i="8"/>
  <c r="BP28" i="8" s="1"/>
  <c r="BP113" i="8"/>
  <c r="BP112" i="8"/>
  <c r="BN50" i="8"/>
  <c r="BN49" i="8"/>
  <c r="BN48" i="8"/>
  <c r="BN47" i="8"/>
  <c r="BN45" i="8"/>
  <c r="BN105" i="8"/>
  <c r="BP83" i="8"/>
  <c r="BO83" i="8"/>
  <c r="BN83" i="8"/>
  <c r="BO91" i="8"/>
  <c r="BO99" i="8" s="1"/>
  <c r="BO101" i="8" s="1"/>
  <c r="BN107" i="8"/>
  <c r="BN32" i="8"/>
  <c r="BN31" i="8"/>
  <c r="BN30" i="8"/>
  <c r="BP115" i="8"/>
  <c r="BP107" i="8"/>
  <c r="BP105" i="8"/>
  <c r="BP104" i="8"/>
  <c r="BP103" i="8"/>
  <c r="BP99" i="8"/>
  <c r="BP101" i="8" s="1"/>
  <c r="BP37" i="8"/>
  <c r="BP36" i="8"/>
  <c r="BP35" i="8"/>
  <c r="BP33" i="8"/>
  <c r="BP42" i="8" s="1"/>
  <c r="BN115" i="8"/>
  <c r="BN116" i="8" s="1"/>
  <c r="BN114" i="8"/>
  <c r="BN104" i="8"/>
  <c r="BN103" i="8"/>
  <c r="BN99" i="8"/>
  <c r="BN101" i="8" s="1"/>
  <c r="BN56" i="8"/>
  <c r="BN55" i="8"/>
  <c r="BN54" i="8"/>
  <c r="BN52" i="8"/>
  <c r="BN51" i="8"/>
  <c r="BO115" i="8"/>
  <c r="BO114" i="8"/>
  <c r="BO107" i="8"/>
  <c r="BO105" i="8"/>
  <c r="BO104" i="8"/>
  <c r="BO103" i="8"/>
  <c r="BO37" i="8"/>
  <c r="BO36" i="8"/>
  <c r="BO35" i="8"/>
  <c r="BO33" i="8"/>
  <c r="BO40" i="8" s="1"/>
  <c r="BM115" i="8"/>
  <c r="BM114" i="8"/>
  <c r="BM116" i="8" s="1"/>
  <c r="BM107" i="8"/>
  <c r="BM105" i="8"/>
  <c r="BM104" i="8"/>
  <c r="BM103" i="8"/>
  <c r="BM99" i="8"/>
  <c r="BM101" i="8" s="1"/>
  <c r="BM83" i="8"/>
  <c r="BM37" i="8"/>
  <c r="BM36" i="8"/>
  <c r="BM33" i="8"/>
  <c r="BM19" i="8"/>
  <c r="BM18" i="8"/>
  <c r="BM17" i="8"/>
  <c r="BM16" i="8"/>
  <c r="BM15" i="8"/>
  <c r="BM14" i="8"/>
  <c r="BM13" i="8"/>
  <c r="BM11" i="8"/>
  <c r="BF44" i="2" l="1"/>
  <c r="BF23" i="2"/>
  <c r="J57" i="2"/>
  <c r="J66" i="2"/>
  <c r="BF25" i="2"/>
  <c r="AT22" i="2"/>
  <c r="BF40" i="2"/>
  <c r="BF28" i="2"/>
  <c r="AT24" i="2"/>
  <c r="BF22" i="2"/>
  <c r="AT26" i="2"/>
  <c r="BF42" i="2"/>
  <c r="F111" i="2"/>
  <c r="F61" i="2"/>
  <c r="F68" i="2"/>
  <c r="AS65" i="2"/>
  <c r="AS64" i="2"/>
  <c r="AS46" i="2"/>
  <c r="AT25" i="2"/>
  <c r="AX28" i="2"/>
  <c r="AP57" i="2"/>
  <c r="AP66" i="2"/>
  <c r="AT11" i="2"/>
  <c r="BB11" i="2"/>
  <c r="BJ11" i="2"/>
  <c r="AX16" i="2"/>
  <c r="AS22" i="2"/>
  <c r="BA22" i="2"/>
  <c r="BI22" i="2"/>
  <c r="AR23" i="2"/>
  <c r="AZ23" i="2"/>
  <c r="BH23" i="2"/>
  <c r="BO25" i="2"/>
  <c r="AW26" i="2"/>
  <c r="BE26" i="2"/>
  <c r="BM26" i="2"/>
  <c r="AV27" i="2"/>
  <c r="BD27" i="2"/>
  <c r="BL27" i="2"/>
  <c r="AU28" i="2"/>
  <c r="BC28" i="2"/>
  <c r="BL28" i="2"/>
  <c r="BM42" i="2"/>
  <c r="BM40" i="2"/>
  <c r="BM41" i="2"/>
  <c r="BL44" i="2"/>
  <c r="I63" i="2"/>
  <c r="I53" i="2"/>
  <c r="Q63" i="2"/>
  <c r="Q53" i="2"/>
  <c r="Y63" i="2"/>
  <c r="Y53" i="2"/>
  <c r="AG63" i="2"/>
  <c r="AG53" i="2"/>
  <c r="AO63" i="2"/>
  <c r="AO53" i="2"/>
  <c r="S59" i="2"/>
  <c r="S67" i="2"/>
  <c r="T66" i="2"/>
  <c r="AM67" i="2"/>
  <c r="AV65" i="2"/>
  <c r="AV106" i="2"/>
  <c r="BI20" i="2"/>
  <c r="BP38" i="2"/>
  <c r="BL41" i="2"/>
  <c r="BI44" i="2"/>
  <c r="X53" i="2"/>
  <c r="X63" i="2"/>
  <c r="BC106" i="2"/>
  <c r="BC64" i="2"/>
  <c r="BC46" i="2"/>
  <c r="BC65" i="2"/>
  <c r="BB17" i="2"/>
  <c r="BJ17" i="2"/>
  <c r="AU20" i="2"/>
  <c r="BC20" i="2"/>
  <c r="BK20" i="2"/>
  <c r="BB22" i="2"/>
  <c r="AS23" i="2"/>
  <c r="BA23" i="2"/>
  <c r="BI23" i="2"/>
  <c r="AR24" i="2"/>
  <c r="AZ24" i="2"/>
  <c r="BH24" i="2"/>
  <c r="AX26" i="2"/>
  <c r="BF26" i="2"/>
  <c r="BO26" i="2"/>
  <c r="AW27" i="2"/>
  <c r="BE27" i="2"/>
  <c r="BM27" i="2"/>
  <c r="AV28" i="2"/>
  <c r="BD28" i="2"/>
  <c r="BO28" i="2"/>
  <c r="BF33" i="2"/>
  <c r="BF41" i="2" s="1"/>
  <c r="BN33" i="2"/>
  <c r="BH38" i="2"/>
  <c r="BD40" i="2"/>
  <c r="BD41" i="2"/>
  <c r="BN42" i="2"/>
  <c r="AZ44" i="2"/>
  <c r="BM44" i="2"/>
  <c r="R53" i="2"/>
  <c r="AH53" i="2"/>
  <c r="V59" i="2"/>
  <c r="V67" i="2"/>
  <c r="BJ15" i="2"/>
  <c r="BH22" i="2"/>
  <c r="BF24" i="2"/>
  <c r="BI35" i="2"/>
  <c r="BJ30" i="2"/>
  <c r="AW106" i="2"/>
  <c r="AW65" i="2"/>
  <c r="AW64" i="2"/>
  <c r="P63" i="2"/>
  <c r="P53" i="2"/>
  <c r="BB14" i="2"/>
  <c r="BJ14" i="2"/>
  <c r="AX18" i="2"/>
  <c r="BF18" i="2"/>
  <c r="AV20" i="2"/>
  <c r="BD20" i="2"/>
  <c r="BL20" i="2"/>
  <c r="AU22" i="2"/>
  <c r="BC22" i="2"/>
  <c r="BK22" i="2"/>
  <c r="AS24" i="2"/>
  <c r="BA24" i="2"/>
  <c r="BI24" i="2"/>
  <c r="AR25" i="2"/>
  <c r="AZ25" i="2"/>
  <c r="BH25" i="2"/>
  <c r="AQ26" i="2"/>
  <c r="AY26" i="2"/>
  <c r="BG26" i="2"/>
  <c r="BP26" i="2"/>
  <c r="BF27" i="2"/>
  <c r="BO27" i="2"/>
  <c r="AW28" i="2"/>
  <c r="BP28" i="2"/>
  <c r="BJ36" i="2"/>
  <c r="BO44" i="2"/>
  <c r="BO41" i="2"/>
  <c r="BE41" i="2"/>
  <c r="BO42" i="2"/>
  <c r="BA44" i="2"/>
  <c r="AI66" i="2"/>
  <c r="AI57" i="2"/>
  <c r="C57" i="2"/>
  <c r="W57" i="2"/>
  <c r="AZ20" i="2"/>
  <c r="BH44" i="2"/>
  <c r="AR22" i="2"/>
  <c r="H59" i="2"/>
  <c r="H67" i="2"/>
  <c r="N59" i="2"/>
  <c r="AW20" i="2"/>
  <c r="BE20" i="2"/>
  <c r="BM20" i="2"/>
  <c r="AV22" i="2"/>
  <c r="BD22" i="2"/>
  <c r="BL22" i="2"/>
  <c r="AU23" i="2"/>
  <c r="BC23" i="2"/>
  <c r="BK23" i="2"/>
  <c r="BB24" i="2"/>
  <c r="AS25" i="2"/>
  <c r="BA25" i="2"/>
  <c r="BI25" i="2"/>
  <c r="AR26" i="2"/>
  <c r="AZ26" i="2"/>
  <c r="BH26" i="2"/>
  <c r="AQ27" i="2"/>
  <c r="AY27" i="2"/>
  <c r="BG27" i="2"/>
  <c r="BP27" i="2"/>
  <c r="BG28" i="2"/>
  <c r="BG40" i="2"/>
  <c r="BC42" i="2"/>
  <c r="BP42" i="2"/>
  <c r="BD44" i="2"/>
  <c r="BP44" i="2"/>
  <c r="T59" i="2"/>
  <c r="T67" i="2"/>
  <c r="AV46" i="2"/>
  <c r="AD59" i="2"/>
  <c r="AD67" i="2"/>
  <c r="AN66" i="2"/>
  <c r="BH20" i="2"/>
  <c r="AA66" i="2"/>
  <c r="AA57" i="2"/>
  <c r="AM61" i="2"/>
  <c r="AM68" i="2"/>
  <c r="AZ22" i="2"/>
  <c r="AF53" i="2"/>
  <c r="AF63" i="2"/>
  <c r="BK106" i="2"/>
  <c r="BK64" i="2"/>
  <c r="BK46" i="2"/>
  <c r="AX11" i="2"/>
  <c r="AX22" i="2" s="1"/>
  <c r="BB16" i="2"/>
  <c r="BJ16" i="2"/>
  <c r="BO20" i="2"/>
  <c r="AW22" i="2"/>
  <c r="BE22" i="2"/>
  <c r="BM22" i="2"/>
  <c r="AV23" i="2"/>
  <c r="BD23" i="2"/>
  <c r="BL23" i="2"/>
  <c r="AU24" i="2"/>
  <c r="BC24" i="2"/>
  <c r="BK24" i="2"/>
  <c r="AS26" i="2"/>
  <c r="BA26" i="2"/>
  <c r="BI26" i="2"/>
  <c r="AR27" i="2"/>
  <c r="AZ27" i="2"/>
  <c r="BH27" i="2"/>
  <c r="AQ28" i="2"/>
  <c r="AY28" i="2"/>
  <c r="BI33" i="2"/>
  <c r="BG35" i="2"/>
  <c r="BL38" i="2"/>
  <c r="BH41" i="2"/>
  <c r="AR44" i="2"/>
  <c r="BE44" i="2"/>
  <c r="E63" i="2"/>
  <c r="E53" i="2"/>
  <c r="M63" i="2"/>
  <c r="M53" i="2"/>
  <c r="U63" i="2"/>
  <c r="U53" i="2"/>
  <c r="AC63" i="2"/>
  <c r="AC53" i="2"/>
  <c r="AK63" i="2"/>
  <c r="AK53" i="2"/>
  <c r="AW46" i="2"/>
  <c r="G57" i="2"/>
  <c r="AE57" i="2"/>
  <c r="AV64" i="2"/>
  <c r="AM111" i="2"/>
  <c r="BA20" i="2"/>
  <c r="AN59" i="2"/>
  <c r="AN67" i="2"/>
  <c r="O67" i="2"/>
  <c r="O59" i="2"/>
  <c r="AU106" i="2"/>
  <c r="AU64" i="2"/>
  <c r="AU46" i="2"/>
  <c r="AU65" i="2"/>
  <c r="AQ64" i="2"/>
  <c r="AQ46" i="2"/>
  <c r="AY64" i="2"/>
  <c r="AY65" i="2"/>
  <c r="AY106" i="2"/>
  <c r="AY46" i="2"/>
  <c r="BG64" i="2"/>
  <c r="BG65" i="2"/>
  <c r="BG46" i="2"/>
  <c r="BG106" i="2"/>
  <c r="AY20" i="2"/>
  <c r="BG20" i="2"/>
  <c r="BE23" i="2"/>
  <c r="BM23" i="2"/>
  <c r="AU25" i="2"/>
  <c r="BC25" i="2"/>
  <c r="BK25" i="2"/>
  <c r="AS27" i="2"/>
  <c r="BI27" i="2"/>
  <c r="BE40" i="2"/>
  <c r="BG42" i="2"/>
  <c r="Z53" i="2"/>
  <c r="K57" i="2"/>
  <c r="AL111" i="2"/>
  <c r="AL68" i="2"/>
  <c r="AL61" i="2"/>
  <c r="AN63" i="2"/>
  <c r="H66" i="2"/>
  <c r="D53" i="2"/>
  <c r="L53" i="2"/>
  <c r="AB53" i="2"/>
  <c r="AJ53" i="2"/>
  <c r="BO103" i="2"/>
  <c r="BM116" i="2"/>
  <c r="K116" i="2"/>
  <c r="BO23" i="8"/>
  <c r="BO25" i="8"/>
  <c r="BO26" i="8"/>
  <c r="BO27" i="8"/>
  <c r="BO22" i="8"/>
  <c r="BP25" i="8"/>
  <c r="BP22" i="8"/>
  <c r="BP26" i="8"/>
  <c r="BP23" i="8"/>
  <c r="BP27" i="8"/>
  <c r="BO24" i="8"/>
  <c r="BP24" i="8"/>
  <c r="BP114" i="8"/>
  <c r="BP116" i="8" s="1"/>
  <c r="BP44" i="8"/>
  <c r="BP46" i="8" s="1"/>
  <c r="BP40" i="8"/>
  <c r="BP41" i="8"/>
  <c r="BO116" i="8"/>
  <c r="BO44" i="8"/>
  <c r="BN33" i="8"/>
  <c r="BP106" i="8"/>
  <c r="BP65" i="8"/>
  <c r="BP64" i="8"/>
  <c r="BO42" i="8"/>
  <c r="BO41" i="8"/>
  <c r="BM44" i="8"/>
  <c r="BM28" i="8"/>
  <c r="BM27" i="8"/>
  <c r="BM26" i="8"/>
  <c r="BM25" i="8"/>
  <c r="BM24" i="8"/>
  <c r="BM23" i="8"/>
  <c r="BM22" i="8"/>
  <c r="BM46" i="8"/>
  <c r="BM106" i="8"/>
  <c r="BM65" i="8"/>
  <c r="BM64" i="8"/>
  <c r="BM42" i="8"/>
  <c r="BM41" i="8"/>
  <c r="BM40" i="8"/>
  <c r="L57" i="2" l="1"/>
  <c r="L66" i="2"/>
  <c r="E57" i="2"/>
  <c r="E66" i="2"/>
  <c r="BP65" i="2"/>
  <c r="BP46" i="2"/>
  <c r="BP106" i="2"/>
  <c r="BP64" i="2"/>
  <c r="AZ106" i="2"/>
  <c r="AZ64" i="2"/>
  <c r="AZ46" i="2"/>
  <c r="AZ65" i="2"/>
  <c r="AO57" i="2"/>
  <c r="AO66" i="2"/>
  <c r="I57" i="2"/>
  <c r="I66" i="2"/>
  <c r="BB44" i="2"/>
  <c r="BB27" i="2"/>
  <c r="BB28" i="2"/>
  <c r="BB20" i="2"/>
  <c r="BB25" i="2"/>
  <c r="D57" i="2"/>
  <c r="D66" i="2"/>
  <c r="Z66" i="2"/>
  <c r="Z57" i="2"/>
  <c r="AF66" i="2"/>
  <c r="AF57" i="2"/>
  <c r="BD64" i="2"/>
  <c r="BD65" i="2"/>
  <c r="BD106" i="2"/>
  <c r="BD46" i="2"/>
  <c r="AT44" i="2"/>
  <c r="AT28" i="2"/>
  <c r="AT27" i="2"/>
  <c r="BB23" i="2"/>
  <c r="BI42" i="2"/>
  <c r="BI41" i="2"/>
  <c r="BI38" i="2"/>
  <c r="T61" i="2"/>
  <c r="T111" i="2"/>
  <c r="T68" i="2"/>
  <c r="BH65" i="2"/>
  <c r="BH46" i="2"/>
  <c r="BH106" i="2"/>
  <c r="BH64" i="2"/>
  <c r="BA106" i="2"/>
  <c r="BA65" i="2"/>
  <c r="BA64" i="2"/>
  <c r="BA46" i="2"/>
  <c r="BM106" i="2"/>
  <c r="BM65" i="2"/>
  <c r="BM64" i="2"/>
  <c r="BM46" i="2"/>
  <c r="BJ44" i="2"/>
  <c r="BJ28" i="2"/>
  <c r="BJ27" i="2"/>
  <c r="BJ20" i="2"/>
  <c r="BF106" i="2"/>
  <c r="BF46" i="2"/>
  <c r="BF64" i="2"/>
  <c r="K59" i="2"/>
  <c r="K67" i="2"/>
  <c r="BG63" i="2"/>
  <c r="BG53" i="2"/>
  <c r="AN111" i="2"/>
  <c r="AN68" i="2"/>
  <c r="AN61" i="2"/>
  <c r="AK57" i="2"/>
  <c r="AK66" i="2"/>
  <c r="AU63" i="2"/>
  <c r="AU53" i="2"/>
  <c r="AC57" i="2"/>
  <c r="AC66" i="2"/>
  <c r="BE106" i="2"/>
  <c r="BE65" i="2"/>
  <c r="BE64" i="2"/>
  <c r="BE46" i="2"/>
  <c r="N111" i="2"/>
  <c r="N68" i="2"/>
  <c r="N61" i="2"/>
  <c r="W67" i="2"/>
  <c r="W59" i="2"/>
  <c r="V111" i="2"/>
  <c r="V68" i="2"/>
  <c r="V61" i="2"/>
  <c r="AG66" i="2"/>
  <c r="AG57" i="2"/>
  <c r="BL106" i="2"/>
  <c r="BL64" i="2"/>
  <c r="BL65" i="2"/>
  <c r="BL46" i="2"/>
  <c r="AS63" i="2"/>
  <c r="AS53" i="2"/>
  <c r="BB26" i="2"/>
  <c r="BJ23" i="2"/>
  <c r="AQ63" i="2"/>
  <c r="AQ53" i="2"/>
  <c r="AY53" i="2"/>
  <c r="AY63" i="2"/>
  <c r="AR64" i="2"/>
  <c r="AR46" i="2"/>
  <c r="AR65" i="2"/>
  <c r="AD111" i="2"/>
  <c r="AD61" i="2"/>
  <c r="AD68" i="2"/>
  <c r="BO64" i="2"/>
  <c r="BO106" i="2"/>
  <c r="BO65" i="2"/>
  <c r="BO46" i="2"/>
  <c r="BJ33" i="2"/>
  <c r="BJ35" i="2"/>
  <c r="BJ40" i="2"/>
  <c r="BM38" i="2"/>
  <c r="AX24" i="2"/>
  <c r="AX20" i="2"/>
  <c r="AX23" i="2"/>
  <c r="AX44" i="2"/>
  <c r="R57" i="2"/>
  <c r="R66" i="2"/>
  <c r="O61" i="2"/>
  <c r="O68" i="2"/>
  <c r="O111" i="2"/>
  <c r="AE59" i="2"/>
  <c r="AE67" i="2"/>
  <c r="BK53" i="2"/>
  <c r="BK63" i="2"/>
  <c r="AA59" i="2"/>
  <c r="AA67" i="2"/>
  <c r="AV63" i="2"/>
  <c r="AV53" i="2"/>
  <c r="H111" i="2"/>
  <c r="H61" i="2"/>
  <c r="H68" i="2"/>
  <c r="BI40" i="2"/>
  <c r="BN38" i="2"/>
  <c r="BN40" i="2"/>
  <c r="BN41" i="2"/>
  <c r="AX25" i="2"/>
  <c r="AT23" i="2"/>
  <c r="BN35" i="2"/>
  <c r="AB66" i="2"/>
  <c r="AB57" i="2"/>
  <c r="AW63" i="2"/>
  <c r="AW53" i="2"/>
  <c r="C67" i="2"/>
  <c r="C59" i="2"/>
  <c r="AH66" i="2"/>
  <c r="AH57" i="2"/>
  <c r="X66" i="2"/>
  <c r="X57" i="2"/>
  <c r="BJ24" i="2"/>
  <c r="J59" i="2"/>
  <c r="J67" i="2"/>
  <c r="U57" i="2"/>
  <c r="U66" i="2"/>
  <c r="AI67" i="2"/>
  <c r="AI59" i="2"/>
  <c r="BI106" i="2"/>
  <c r="BI65" i="2"/>
  <c r="BI64" i="2"/>
  <c r="BI46" i="2"/>
  <c r="Y66" i="2"/>
  <c r="Y57" i="2"/>
  <c r="AP59" i="2"/>
  <c r="AP67" i="2"/>
  <c r="BJ26" i="2"/>
  <c r="AJ57" i="2"/>
  <c r="AJ66" i="2"/>
  <c r="G59" i="2"/>
  <c r="G67" i="2"/>
  <c r="M57" i="2"/>
  <c r="M66" i="2"/>
  <c r="P66" i="2"/>
  <c r="P57" i="2"/>
  <c r="BF65" i="2"/>
  <c r="BJ22" i="2"/>
  <c r="BC63" i="2"/>
  <c r="BC53" i="2"/>
  <c r="S111" i="2"/>
  <c r="S68" i="2"/>
  <c r="S61" i="2"/>
  <c r="Q66" i="2"/>
  <c r="Q57" i="2"/>
  <c r="BJ25" i="2"/>
  <c r="AX27" i="2"/>
  <c r="BF20" i="2"/>
  <c r="BN41" i="8"/>
  <c r="BN42" i="8"/>
  <c r="BN40" i="8"/>
  <c r="BP63" i="8"/>
  <c r="BP53" i="8"/>
  <c r="BN64" i="8"/>
  <c r="BN46" i="8"/>
  <c r="BO46" i="8"/>
  <c r="BO65" i="8"/>
  <c r="BO106" i="8"/>
  <c r="BO64" i="8"/>
  <c r="BM63" i="8"/>
  <c r="BM53" i="8"/>
  <c r="BL115" i="8"/>
  <c r="BK115" i="8"/>
  <c r="BJ115" i="8"/>
  <c r="BI115" i="8"/>
  <c r="BH115" i="8"/>
  <c r="BG115" i="8"/>
  <c r="BF115" i="8"/>
  <c r="BE115" i="8"/>
  <c r="BD115" i="8"/>
  <c r="BC115" i="8"/>
  <c r="BB115" i="8"/>
  <c r="BA115" i="8"/>
  <c r="AZ115" i="8"/>
  <c r="AY115" i="8"/>
  <c r="AX115" i="8"/>
  <c r="AW115" i="8"/>
  <c r="AV115" i="8"/>
  <c r="AU115" i="8"/>
  <c r="AT115" i="8"/>
  <c r="AS115" i="8"/>
  <c r="AR115" i="8"/>
  <c r="AQ115" i="8"/>
  <c r="AP115" i="8"/>
  <c r="AO115" i="8"/>
  <c r="AN115" i="8"/>
  <c r="AM115" i="8"/>
  <c r="AL115" i="8"/>
  <c r="AK115"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C115" i="8"/>
  <c r="BL114" i="8"/>
  <c r="BL116" i="8" s="1"/>
  <c r="BK114" i="8"/>
  <c r="BJ114" i="8"/>
  <c r="BI114" i="8"/>
  <c r="BH114" i="8"/>
  <c r="BH116" i="8" s="1"/>
  <c r="BG114" i="8"/>
  <c r="BG116" i="8" s="1"/>
  <c r="BF114" i="8"/>
  <c r="BF116" i="8" s="1"/>
  <c r="BE114" i="8"/>
  <c r="BD114" i="8"/>
  <c r="BD116" i="8" s="1"/>
  <c r="BC114" i="8"/>
  <c r="BB114" i="8"/>
  <c r="BA114" i="8"/>
  <c r="AZ114" i="8"/>
  <c r="AZ116" i="8" s="1"/>
  <c r="AY114" i="8"/>
  <c r="AX114" i="8"/>
  <c r="AX116" i="8" s="1"/>
  <c r="AW114" i="8"/>
  <c r="AV114" i="8"/>
  <c r="AV116" i="8" s="1"/>
  <c r="AU114" i="8"/>
  <c r="AT114" i="8"/>
  <c r="AS114" i="8"/>
  <c r="AR114" i="8"/>
  <c r="AR116" i="8" s="1"/>
  <c r="AQ114" i="8"/>
  <c r="AQ116" i="8" s="1"/>
  <c r="AP114" i="8"/>
  <c r="AO114" i="8"/>
  <c r="AO116" i="8" s="1"/>
  <c r="AN114" i="8"/>
  <c r="AN116" i="8" s="1"/>
  <c r="AM114" i="8"/>
  <c r="AL114" i="8"/>
  <c r="AK114" i="8"/>
  <c r="AJ114" i="8"/>
  <c r="AJ116" i="8" s="1"/>
  <c r="AI114" i="8"/>
  <c r="AH114" i="8"/>
  <c r="AH116" i="8" s="1"/>
  <c r="AG114" i="8"/>
  <c r="AF114" i="8"/>
  <c r="AF116" i="8" s="1"/>
  <c r="AE114" i="8"/>
  <c r="AD114" i="8"/>
  <c r="AC114" i="8"/>
  <c r="AB114" i="8"/>
  <c r="AB116" i="8" s="1"/>
  <c r="AA114" i="8"/>
  <c r="AA116" i="8" s="1"/>
  <c r="Z114" i="8"/>
  <c r="Y114" i="8"/>
  <c r="X114" i="8"/>
  <c r="X116" i="8" s="1"/>
  <c r="W114" i="8"/>
  <c r="V114" i="8"/>
  <c r="U114" i="8"/>
  <c r="T114" i="8"/>
  <c r="T116" i="8" s="1"/>
  <c r="S114" i="8"/>
  <c r="R114" i="8"/>
  <c r="Q114" i="8"/>
  <c r="P114" i="8"/>
  <c r="P116" i="8" s="1"/>
  <c r="O114" i="8"/>
  <c r="N114" i="8"/>
  <c r="M114" i="8"/>
  <c r="L114" i="8"/>
  <c r="K114" i="8"/>
  <c r="K116" i="8" s="1"/>
  <c r="J114" i="8"/>
  <c r="J116" i="8" s="1"/>
  <c r="I114" i="8"/>
  <c r="I116" i="8" s="1"/>
  <c r="H114" i="8"/>
  <c r="H116" i="8" s="1"/>
  <c r="G114" i="8"/>
  <c r="F114" i="8"/>
  <c r="E114" i="8"/>
  <c r="D114" i="8"/>
  <c r="D116" i="8" s="1"/>
  <c r="C114" i="8"/>
  <c r="CK113" i="8"/>
  <c r="CJ113" i="8"/>
  <c r="CI113" i="8"/>
  <c r="CH113" i="8"/>
  <c r="CG113" i="8"/>
  <c r="CF113" i="8"/>
  <c r="CE113" i="8"/>
  <c r="CD113" i="8"/>
  <c r="CC113" i="8"/>
  <c r="CB113" i="8"/>
  <c r="CA113" i="8"/>
  <c r="BZ113" i="8"/>
  <c r="BY113" i="8"/>
  <c r="BX113" i="8"/>
  <c r="BW113" i="8"/>
  <c r="CK112" i="8"/>
  <c r="CK114" i="8" s="1"/>
  <c r="CJ112" i="8"/>
  <c r="CJ114" i="8" s="1"/>
  <c r="CI112" i="8"/>
  <c r="CH112" i="8"/>
  <c r="CH114" i="8" s="1"/>
  <c r="CG112" i="8"/>
  <c r="CF112" i="8"/>
  <c r="CE112" i="8"/>
  <c r="CD112" i="8"/>
  <c r="CC112" i="8"/>
  <c r="CC114" i="8" s="1"/>
  <c r="CB112" i="8"/>
  <c r="CB114" i="8" s="1"/>
  <c r="CA112" i="8"/>
  <c r="BZ112" i="8"/>
  <c r="BZ114" i="8" s="1"/>
  <c r="BY112" i="8"/>
  <c r="BX112" i="8"/>
  <c r="BW112" i="8"/>
  <c r="BL107" i="8"/>
  <c r="BK107" i="8"/>
  <c r="BI107" i="8"/>
  <c r="BH107" i="8"/>
  <c r="BG107" i="8"/>
  <c r="BE107" i="8"/>
  <c r="BD107" i="8"/>
  <c r="BC107" i="8"/>
  <c r="BA107" i="8"/>
  <c r="AZ107" i="8"/>
  <c r="AY107" i="8"/>
  <c r="AW107" i="8"/>
  <c r="AV107" i="8"/>
  <c r="AU107" i="8"/>
  <c r="BL105" i="8"/>
  <c r="BK105" i="8"/>
  <c r="BJ105" i="8"/>
  <c r="BI105" i="8"/>
  <c r="BH105" i="8"/>
  <c r="BG105" i="8"/>
  <c r="BF105" i="8"/>
  <c r="BE105" i="8"/>
  <c r="BD105" i="8"/>
  <c r="BC105" i="8"/>
  <c r="BB105" i="8"/>
  <c r="BA105" i="8"/>
  <c r="AZ105" i="8"/>
  <c r="AY105" i="8"/>
  <c r="AX105" i="8"/>
  <c r="AW105" i="8"/>
  <c r="AV105" i="8"/>
  <c r="AU105" i="8"/>
  <c r="AT105" i="8"/>
  <c r="BL104" i="8"/>
  <c r="BK104" i="8"/>
  <c r="BJ104" i="8"/>
  <c r="BI104" i="8"/>
  <c r="BH104" i="8"/>
  <c r="BG104" i="8"/>
  <c r="BF104" i="8"/>
  <c r="BE104" i="8"/>
  <c r="BD104" i="8"/>
  <c r="BC104" i="8"/>
  <c r="BB104" i="8"/>
  <c r="BA104" i="8"/>
  <c r="AZ104" i="8"/>
  <c r="AY104" i="8"/>
  <c r="AX104" i="8"/>
  <c r="AW104" i="8"/>
  <c r="AV104" i="8"/>
  <c r="AU104" i="8"/>
  <c r="AT104" i="8"/>
  <c r="BL103" i="8"/>
  <c r="BK103" i="8"/>
  <c r="BJ103" i="8"/>
  <c r="BI103" i="8"/>
  <c r="BH103" i="8"/>
  <c r="BG103" i="8"/>
  <c r="BF103" i="8"/>
  <c r="BE103" i="8"/>
  <c r="BD103" i="8"/>
  <c r="BC103" i="8"/>
  <c r="BB103" i="8"/>
  <c r="BA103" i="8"/>
  <c r="AZ103" i="8"/>
  <c r="AY103" i="8"/>
  <c r="AX103" i="8"/>
  <c r="AW103" i="8"/>
  <c r="AV103" i="8"/>
  <c r="AU103" i="8"/>
  <c r="AT103" i="8"/>
  <c r="CK100" i="8"/>
  <c r="CJ100" i="8"/>
  <c r="CI100" i="8"/>
  <c r="CH100" i="8"/>
  <c r="CG100" i="8"/>
  <c r="BL99" i="8"/>
  <c r="BL101" i="8" s="1"/>
  <c r="BK99" i="8"/>
  <c r="BK101" i="8" s="1"/>
  <c r="BJ99" i="8"/>
  <c r="BI99" i="8"/>
  <c r="BI101" i="8" s="1"/>
  <c r="BH99" i="8"/>
  <c r="BH101" i="8" s="1"/>
  <c r="BG99" i="8"/>
  <c r="BG101" i="8" s="1"/>
  <c r="BF99" i="8"/>
  <c r="BE99" i="8"/>
  <c r="BE101" i="8" s="1"/>
  <c r="BD99" i="8"/>
  <c r="BD101" i="8" s="1"/>
  <c r="BC99" i="8"/>
  <c r="BC101" i="8" s="1"/>
  <c r="BB99" i="8"/>
  <c r="BA99" i="8"/>
  <c r="BA101" i="8" s="1"/>
  <c r="AZ99" i="8"/>
  <c r="AZ101" i="8" s="1"/>
  <c r="AY99" i="8"/>
  <c r="AY101" i="8" s="1"/>
  <c r="AX99" i="8"/>
  <c r="AW99" i="8"/>
  <c r="AW101" i="8" s="1"/>
  <c r="AV99" i="8"/>
  <c r="AV101" i="8" s="1"/>
  <c r="AU99" i="8"/>
  <c r="AU101" i="8" s="1"/>
  <c r="AT99" i="8"/>
  <c r="CK98" i="8"/>
  <c r="CJ98" i="8"/>
  <c r="CI98" i="8"/>
  <c r="CH98" i="8"/>
  <c r="CG98" i="8"/>
  <c r="CK97" i="8"/>
  <c r="CJ97" i="8"/>
  <c r="CI97" i="8"/>
  <c r="CH97" i="8"/>
  <c r="CG97" i="8"/>
  <c r="CK96" i="8"/>
  <c r="CJ96" i="8"/>
  <c r="CI96" i="8"/>
  <c r="CH96" i="8"/>
  <c r="CG96" i="8"/>
  <c r="CK95" i="8"/>
  <c r="CJ95" i="8"/>
  <c r="CI95" i="8"/>
  <c r="CH95" i="8"/>
  <c r="CG95" i="8"/>
  <c r="CK94" i="8"/>
  <c r="CJ94" i="8"/>
  <c r="CI94" i="8"/>
  <c r="CH94" i="8"/>
  <c r="CG94" i="8"/>
  <c r="CK93" i="8"/>
  <c r="CJ93" i="8"/>
  <c r="CI93" i="8"/>
  <c r="CH93" i="8"/>
  <c r="CG93" i="8"/>
  <c r="CK92" i="8"/>
  <c r="CJ92" i="8"/>
  <c r="CI92" i="8"/>
  <c r="CH92" i="8"/>
  <c r="CG92" i="8"/>
  <c r="CK91" i="8"/>
  <c r="CJ91" i="8"/>
  <c r="CI91" i="8"/>
  <c r="CH91" i="8"/>
  <c r="CG91" i="8"/>
  <c r="CK90" i="8"/>
  <c r="CJ90" i="8"/>
  <c r="CI90" i="8"/>
  <c r="CH90" i="8"/>
  <c r="CG90" i="8"/>
  <c r="CK89" i="8"/>
  <c r="CJ89" i="8"/>
  <c r="CI89" i="8"/>
  <c r="CH89" i="8"/>
  <c r="CG89" i="8"/>
  <c r="CK88" i="8"/>
  <c r="CJ88" i="8"/>
  <c r="CI88" i="8"/>
  <c r="CH88" i="8"/>
  <c r="CG88" i="8"/>
  <c r="CK87" i="8"/>
  <c r="CJ87" i="8"/>
  <c r="CI87" i="8"/>
  <c r="CH87" i="8"/>
  <c r="CG87" i="8"/>
  <c r="CK86" i="8"/>
  <c r="CJ86" i="8"/>
  <c r="CI86" i="8"/>
  <c r="CH86" i="8"/>
  <c r="CG86" i="8"/>
  <c r="CK85" i="8"/>
  <c r="CJ85" i="8"/>
  <c r="CI85" i="8"/>
  <c r="CH85" i="8"/>
  <c r="CG85" i="8"/>
  <c r="BL83" i="8"/>
  <c r="BK83" i="8"/>
  <c r="BJ83" i="8"/>
  <c r="CK83" i="8" s="1"/>
  <c r="BI83" i="8"/>
  <c r="BH83" i="8"/>
  <c r="BG83" i="8"/>
  <c r="BF83" i="8"/>
  <c r="CJ83" i="8" s="1"/>
  <c r="BE83" i="8"/>
  <c r="BD83" i="8"/>
  <c r="BC83" i="8"/>
  <c r="BB83" i="8"/>
  <c r="CI83" i="8" s="1"/>
  <c r="BA83" i="8"/>
  <c r="AZ83" i="8"/>
  <c r="AY83" i="8"/>
  <c r="AX83" i="8"/>
  <c r="CH83" i="8" s="1"/>
  <c r="AW83" i="8"/>
  <c r="AV83" i="8"/>
  <c r="AU83" i="8"/>
  <c r="AT83" i="8"/>
  <c r="CG83" i="8" s="1"/>
  <c r="CU82" i="8"/>
  <c r="CK82" i="8"/>
  <c r="CJ82" i="8"/>
  <c r="CI82" i="8"/>
  <c r="CH82" i="8"/>
  <c r="CG82" i="8"/>
  <c r="CK81" i="8"/>
  <c r="CJ81" i="8"/>
  <c r="CI81" i="8"/>
  <c r="CH81" i="8"/>
  <c r="CG81" i="8"/>
  <c r="CU80" i="8"/>
  <c r="CK80" i="8"/>
  <c r="CJ80" i="8"/>
  <c r="CI80" i="8"/>
  <c r="CH80" i="8"/>
  <c r="CG80" i="8"/>
  <c r="CK79" i="8"/>
  <c r="CJ79" i="8"/>
  <c r="CI79" i="8"/>
  <c r="CH79" i="8"/>
  <c r="CG79" i="8"/>
  <c r="CK78" i="8"/>
  <c r="CJ78" i="8"/>
  <c r="CI78" i="8"/>
  <c r="CH78" i="8"/>
  <c r="CG78" i="8"/>
  <c r="CK77" i="8"/>
  <c r="CJ77" i="8"/>
  <c r="CI77" i="8"/>
  <c r="CH77" i="8"/>
  <c r="CG77" i="8"/>
  <c r="CU76" i="8"/>
  <c r="CK76" i="8"/>
  <c r="CJ76" i="8"/>
  <c r="CI76" i="8"/>
  <c r="CH76" i="8"/>
  <c r="CG76" i="8"/>
  <c r="CK75" i="8"/>
  <c r="CJ75" i="8"/>
  <c r="CI75" i="8"/>
  <c r="CH75" i="8"/>
  <c r="CG75" i="8"/>
  <c r="CK74" i="8"/>
  <c r="CJ74" i="8"/>
  <c r="CI74" i="8"/>
  <c r="CH74" i="8"/>
  <c r="CG74" i="8"/>
  <c r="CK73" i="8"/>
  <c r="CJ73" i="8"/>
  <c r="CI73" i="8"/>
  <c r="CH73" i="8"/>
  <c r="CG73" i="8"/>
  <c r="CK72" i="8"/>
  <c r="CJ72" i="8"/>
  <c r="CI72" i="8"/>
  <c r="CH72" i="8"/>
  <c r="CG72" i="8"/>
  <c r="CK71" i="8"/>
  <c r="CJ71" i="8"/>
  <c r="CI71" i="8"/>
  <c r="CH71" i="8"/>
  <c r="CG71" i="8"/>
  <c r="CK70" i="8"/>
  <c r="CL55" i="8" s="1"/>
  <c r="CM55" i="8" s="1"/>
  <c r="CN55" i="8" s="1"/>
  <c r="CO55" i="8" s="1"/>
  <c r="CP55" i="8" s="1"/>
  <c r="CQ55" i="8" s="1"/>
  <c r="CR55" i="8" s="1"/>
  <c r="CS55" i="8" s="1"/>
  <c r="CT55" i="8" s="1"/>
  <c r="CU55" i="8" s="1"/>
  <c r="CJ70" i="8"/>
  <c r="CI70" i="8"/>
  <c r="CH70" i="8"/>
  <c r="CG70" i="8"/>
  <c r="AP65" i="8"/>
  <c r="AO65" i="8"/>
  <c r="AN65" i="8"/>
  <c r="AM65" i="8"/>
  <c r="AL65" i="8"/>
  <c r="AK65" i="8"/>
  <c r="AJ65" i="8"/>
  <c r="AI65" i="8"/>
  <c r="AH65" i="8"/>
  <c r="AG65" i="8"/>
  <c r="AF65" i="8"/>
  <c r="AE65" i="8"/>
  <c r="AD65" i="8"/>
  <c r="AC65" i="8"/>
  <c r="AB65" i="8"/>
  <c r="AA65" i="8"/>
  <c r="Z65" i="8"/>
  <c r="Y65" i="8"/>
  <c r="X65" i="8"/>
  <c r="W65" i="8"/>
  <c r="V65" i="8"/>
  <c r="U65" i="8"/>
  <c r="T65" i="8"/>
  <c r="S65" i="8"/>
  <c r="R65" i="8"/>
  <c r="Q65" i="8"/>
  <c r="P65" i="8"/>
  <c r="O65" i="8"/>
  <c r="N65" i="8"/>
  <c r="M65" i="8"/>
  <c r="L65" i="8"/>
  <c r="K65" i="8"/>
  <c r="J65" i="8"/>
  <c r="I65" i="8"/>
  <c r="H65" i="8"/>
  <c r="G65" i="8"/>
  <c r="F65" i="8"/>
  <c r="E65" i="8"/>
  <c r="D65" i="8"/>
  <c r="C65" i="8"/>
  <c r="AP64" i="8"/>
  <c r="AO64" i="8"/>
  <c r="AN64" i="8"/>
  <c r="AM64" i="8"/>
  <c r="AL64" i="8"/>
  <c r="AK64" i="8"/>
  <c r="AJ64" i="8"/>
  <c r="AI64" i="8"/>
  <c r="AH64" i="8"/>
  <c r="AG64" i="8"/>
  <c r="AF64" i="8"/>
  <c r="AE64" i="8"/>
  <c r="AD64" i="8"/>
  <c r="AC64" i="8"/>
  <c r="AB64" i="8"/>
  <c r="AA64" i="8"/>
  <c r="Z64" i="8"/>
  <c r="Y64" i="8"/>
  <c r="X64" i="8"/>
  <c r="W64" i="8"/>
  <c r="V64" i="8"/>
  <c r="U64" i="8"/>
  <c r="T64" i="8"/>
  <c r="S64" i="8"/>
  <c r="R64" i="8"/>
  <c r="Q64" i="8"/>
  <c r="P64" i="8"/>
  <c r="O64" i="8"/>
  <c r="N64" i="8"/>
  <c r="M64" i="8"/>
  <c r="L64" i="8"/>
  <c r="K64" i="8"/>
  <c r="J64" i="8"/>
  <c r="I64" i="8"/>
  <c r="H64" i="8"/>
  <c r="G64" i="8"/>
  <c r="F64" i="8"/>
  <c r="E64" i="8"/>
  <c r="D64" i="8"/>
  <c r="C64" i="8"/>
  <c r="L63" i="8"/>
  <c r="K63" i="8"/>
  <c r="CK60" i="8"/>
  <c r="CK115" i="8" s="1"/>
  <c r="CJ60" i="8"/>
  <c r="CJ115" i="8" s="1"/>
  <c r="CI60" i="8"/>
  <c r="CI115" i="8" s="1"/>
  <c r="CH60" i="8"/>
  <c r="CH115" i="8" s="1"/>
  <c r="CG60" i="8"/>
  <c r="CG115" i="8" s="1"/>
  <c r="CF60" i="8"/>
  <c r="CF115" i="8" s="1"/>
  <c r="CE60" i="8"/>
  <c r="CE115" i="8" s="1"/>
  <c r="CD60" i="8"/>
  <c r="CD115" i="8" s="1"/>
  <c r="CC60" i="8"/>
  <c r="CC115" i="8" s="1"/>
  <c r="CB60" i="8"/>
  <c r="CB115" i="8" s="1"/>
  <c r="CA60" i="8"/>
  <c r="CA115" i="8" s="1"/>
  <c r="BZ60" i="8"/>
  <c r="BZ115" i="8" s="1"/>
  <c r="BY60" i="8"/>
  <c r="BY115" i="8" s="1"/>
  <c r="BX60" i="8"/>
  <c r="BX115" i="8" s="1"/>
  <c r="BW60" i="8"/>
  <c r="BW115" i="8" s="1"/>
  <c r="N59" i="8"/>
  <c r="CF58" i="8"/>
  <c r="CE58" i="8"/>
  <c r="CD58" i="8"/>
  <c r="CC58" i="8"/>
  <c r="CB58" i="8"/>
  <c r="CA58" i="8"/>
  <c r="BZ58" i="8"/>
  <c r="BY58" i="8"/>
  <c r="BX58" i="8"/>
  <c r="BW58" i="8"/>
  <c r="BK58" i="8"/>
  <c r="BN58" i="8" s="1"/>
  <c r="BJ58" i="8"/>
  <c r="CK58" i="8" s="1"/>
  <c r="BF58" i="8"/>
  <c r="CJ58" i="8" s="1"/>
  <c r="BB58" i="8"/>
  <c r="CI58" i="8" s="1"/>
  <c r="AX58" i="8"/>
  <c r="CH58" i="8" s="1"/>
  <c r="AT58" i="8"/>
  <c r="CF56" i="8"/>
  <c r="CE56" i="8"/>
  <c r="CD56" i="8"/>
  <c r="CC56" i="8"/>
  <c r="CB56" i="8"/>
  <c r="CA56" i="8"/>
  <c r="BZ56" i="8"/>
  <c r="BY56" i="8"/>
  <c r="BX56" i="8"/>
  <c r="BW56" i="8"/>
  <c r="BJ56" i="8"/>
  <c r="CK56" i="8" s="1"/>
  <c r="BF56" i="8"/>
  <c r="CJ56" i="8" s="1"/>
  <c r="BB56" i="8"/>
  <c r="CI56" i="8" s="1"/>
  <c r="AX56" i="8"/>
  <c r="CH56" i="8" s="1"/>
  <c r="AT56" i="8"/>
  <c r="CG56" i="8" s="1"/>
  <c r="CF55" i="8"/>
  <c r="CE55" i="8"/>
  <c r="CD55" i="8"/>
  <c r="CC55" i="8"/>
  <c r="CB55" i="8"/>
  <c r="CA55" i="8"/>
  <c r="BZ55" i="8"/>
  <c r="BY55" i="8"/>
  <c r="BX55" i="8"/>
  <c r="BW55" i="8"/>
  <c r="BJ55" i="8"/>
  <c r="CK55" i="8" s="1"/>
  <c r="BF55" i="8"/>
  <c r="CJ55" i="8" s="1"/>
  <c r="BB55" i="8"/>
  <c r="CI55" i="8" s="1"/>
  <c r="AX55" i="8"/>
  <c r="CH55" i="8" s="1"/>
  <c r="AT55" i="8"/>
  <c r="CG55" i="8" s="1"/>
  <c r="CI54" i="8"/>
  <c r="CF54" i="8"/>
  <c r="CE54" i="8"/>
  <c r="CD54" i="8"/>
  <c r="CC54" i="8"/>
  <c r="CB54" i="8"/>
  <c r="CA54" i="8"/>
  <c r="BZ54" i="8"/>
  <c r="BY54" i="8"/>
  <c r="BX54" i="8"/>
  <c r="BW54" i="8"/>
  <c r="BJ54" i="8"/>
  <c r="CK54" i="8" s="1"/>
  <c r="BF54" i="8"/>
  <c r="CJ54" i="8" s="1"/>
  <c r="BB54" i="8"/>
  <c r="AX54" i="8"/>
  <c r="CH54" i="8" s="1"/>
  <c r="AT54" i="8"/>
  <c r="CG54" i="8" s="1"/>
  <c r="CF52" i="8"/>
  <c r="CE52" i="8"/>
  <c r="CD52" i="8"/>
  <c r="CC52" i="8"/>
  <c r="CB52" i="8"/>
  <c r="CA52" i="8"/>
  <c r="BZ52" i="8"/>
  <c r="BY52" i="8"/>
  <c r="BX52" i="8"/>
  <c r="BW52" i="8"/>
  <c r="BJ52" i="8"/>
  <c r="CK52" i="8" s="1"/>
  <c r="BF52" i="8"/>
  <c r="CJ52" i="8" s="1"/>
  <c r="BB52" i="8"/>
  <c r="CI52" i="8" s="1"/>
  <c r="AX52" i="8"/>
  <c r="CH52" i="8" s="1"/>
  <c r="AT52" i="8"/>
  <c r="CG52" i="8" s="1"/>
  <c r="CF51" i="8"/>
  <c r="CE51" i="8"/>
  <c r="CD51" i="8"/>
  <c r="CC51" i="8"/>
  <c r="CB51" i="8"/>
  <c r="CA51" i="8"/>
  <c r="BZ51" i="8"/>
  <c r="BY51" i="8"/>
  <c r="BX51" i="8"/>
  <c r="BW51" i="8"/>
  <c r="BJ51" i="8"/>
  <c r="CK51" i="8" s="1"/>
  <c r="BF51" i="8"/>
  <c r="CJ51" i="8" s="1"/>
  <c r="BB51" i="8"/>
  <c r="CI51" i="8" s="1"/>
  <c r="AX51" i="8"/>
  <c r="CH51" i="8" s="1"/>
  <c r="AT51" i="8"/>
  <c r="CG51" i="8" s="1"/>
  <c r="CF50" i="8"/>
  <c r="CE50" i="8"/>
  <c r="CD50" i="8"/>
  <c r="CC50" i="8"/>
  <c r="CB50" i="8"/>
  <c r="CA50" i="8"/>
  <c r="BZ50" i="8"/>
  <c r="BY50" i="8"/>
  <c r="BX50" i="8"/>
  <c r="BW50" i="8"/>
  <c r="BJ50" i="8"/>
  <c r="CK50" i="8" s="1"/>
  <c r="BF50" i="8"/>
  <c r="CJ50" i="8" s="1"/>
  <c r="BB50" i="8"/>
  <c r="CI50" i="8" s="1"/>
  <c r="AX50" i="8"/>
  <c r="CH50" i="8" s="1"/>
  <c r="AT50" i="8"/>
  <c r="CG50" i="8" s="1"/>
  <c r="CF49" i="8"/>
  <c r="CE49" i="8"/>
  <c r="CD49" i="8"/>
  <c r="CC49" i="8"/>
  <c r="CB49" i="8"/>
  <c r="CA49" i="8"/>
  <c r="BZ49" i="8"/>
  <c r="BY49" i="8"/>
  <c r="BX49" i="8"/>
  <c r="BW49" i="8"/>
  <c r="BJ49" i="8"/>
  <c r="CK49" i="8" s="1"/>
  <c r="BF49" i="8"/>
  <c r="CJ49" i="8" s="1"/>
  <c r="BB49" i="8"/>
  <c r="CI49" i="8" s="1"/>
  <c r="AX49" i="8"/>
  <c r="CH49" i="8" s="1"/>
  <c r="AT49" i="8"/>
  <c r="CG49" i="8" s="1"/>
  <c r="CF48" i="8"/>
  <c r="CE48" i="8"/>
  <c r="CD48" i="8"/>
  <c r="CC48" i="8"/>
  <c r="CB48" i="8"/>
  <c r="CA48" i="8"/>
  <c r="BZ48" i="8"/>
  <c r="BY48" i="8"/>
  <c r="BX48" i="8"/>
  <c r="BW48" i="8"/>
  <c r="BJ48" i="8"/>
  <c r="CK48" i="8" s="1"/>
  <c r="BF48" i="8"/>
  <c r="CJ48" i="8" s="1"/>
  <c r="BB48" i="8"/>
  <c r="CI48" i="8" s="1"/>
  <c r="AX48" i="8"/>
  <c r="CH48" i="8" s="1"/>
  <c r="AT48" i="8"/>
  <c r="CG48" i="8" s="1"/>
  <c r="CF47" i="8"/>
  <c r="CE47" i="8"/>
  <c r="CD47" i="8"/>
  <c r="CC47" i="8"/>
  <c r="CB47" i="8"/>
  <c r="CA47" i="8"/>
  <c r="BZ47" i="8"/>
  <c r="BY47" i="8"/>
  <c r="BX47" i="8"/>
  <c r="BW47" i="8"/>
  <c r="BJ47" i="8"/>
  <c r="CK47" i="8" s="1"/>
  <c r="BF47" i="8"/>
  <c r="BB47" i="8"/>
  <c r="CI47" i="8" s="1"/>
  <c r="AX47" i="8"/>
  <c r="AT47" i="8"/>
  <c r="CG47" i="8" s="1"/>
  <c r="AP46" i="8"/>
  <c r="AP53" i="8" s="1"/>
  <c r="AO46" i="8"/>
  <c r="AN46" i="8"/>
  <c r="AN53" i="8" s="1"/>
  <c r="AN57" i="8" s="1"/>
  <c r="AM46" i="8"/>
  <c r="AL46" i="8"/>
  <c r="AK46" i="8"/>
  <c r="AJ46" i="8"/>
  <c r="AI46" i="8"/>
  <c r="AH46" i="8"/>
  <c r="AH63" i="8" s="1"/>
  <c r="AG46" i="8"/>
  <c r="AF46" i="8"/>
  <c r="AE46" i="8"/>
  <c r="AD46" i="8"/>
  <c r="AC46" i="8"/>
  <c r="AB46" i="8"/>
  <c r="AA46" i="8"/>
  <c r="Z46" i="8"/>
  <c r="Y46" i="8"/>
  <c r="X46" i="8"/>
  <c r="W46" i="8"/>
  <c r="V46" i="8"/>
  <c r="U46" i="8"/>
  <c r="T46" i="8"/>
  <c r="T53" i="8" s="1"/>
  <c r="T66" i="8" s="1"/>
  <c r="S46" i="8"/>
  <c r="S63" i="8" s="1"/>
  <c r="R46" i="8"/>
  <c r="R63" i="8" s="1"/>
  <c r="Q46" i="8"/>
  <c r="Q53" i="8" s="1"/>
  <c r="P46" i="8"/>
  <c r="P63" i="8" s="1"/>
  <c r="O46" i="8"/>
  <c r="O53" i="8" s="1"/>
  <c r="O57" i="8" s="1"/>
  <c r="N46" i="8"/>
  <c r="N53" i="8" s="1"/>
  <c r="N57" i="8" s="1"/>
  <c r="N67" i="8" s="1"/>
  <c r="M46" i="8"/>
  <c r="M53" i="8" s="1"/>
  <c r="L46" i="8"/>
  <c r="L53" i="8" s="1"/>
  <c r="K46" i="8"/>
  <c r="K53" i="8" s="1"/>
  <c r="J46" i="8"/>
  <c r="J63" i="8" s="1"/>
  <c r="I46" i="8"/>
  <c r="H46" i="8"/>
  <c r="G46" i="8"/>
  <c r="F46" i="8"/>
  <c r="E46" i="8"/>
  <c r="D46" i="8"/>
  <c r="C46" i="8"/>
  <c r="BW46" i="8" s="1"/>
  <c r="BW63" i="8" s="1"/>
  <c r="CF45" i="8"/>
  <c r="CE45" i="8"/>
  <c r="CD45" i="8"/>
  <c r="CC45" i="8"/>
  <c r="CB45" i="8"/>
  <c r="CA45" i="8"/>
  <c r="BZ45" i="8"/>
  <c r="BY45" i="8"/>
  <c r="BX45" i="8"/>
  <c r="BW45" i="8"/>
  <c r="BJ45" i="8"/>
  <c r="BF45" i="8"/>
  <c r="BB45" i="8"/>
  <c r="AX45" i="8"/>
  <c r="AT45" i="8"/>
  <c r="CF44" i="8"/>
  <c r="CE44" i="8"/>
  <c r="CD44" i="8"/>
  <c r="CC44" i="8"/>
  <c r="CB44" i="8"/>
  <c r="CB65" i="8" s="1"/>
  <c r="CA44" i="8"/>
  <c r="BZ44" i="8"/>
  <c r="BY44" i="8"/>
  <c r="BX44" i="8"/>
  <c r="BW44" i="8"/>
  <c r="BL37" i="8"/>
  <c r="BK37" i="8"/>
  <c r="BI37" i="8"/>
  <c r="BH37" i="8"/>
  <c r="BG37" i="8"/>
  <c r="BL36" i="8"/>
  <c r="BK36" i="8"/>
  <c r="BI36" i="8"/>
  <c r="BH36" i="8"/>
  <c r="BG36" i="8"/>
  <c r="BL35" i="8"/>
  <c r="BK35" i="8"/>
  <c r="BL33" i="8"/>
  <c r="BP38" i="8" s="1"/>
  <c r="BK33" i="8"/>
  <c r="BO38" i="8" s="1"/>
  <c r="BH33" i="8"/>
  <c r="BG33" i="8"/>
  <c r="BJ32" i="8"/>
  <c r="BN37" i="8" s="1"/>
  <c r="BF32" i="8"/>
  <c r="CJ32" i="8" s="1"/>
  <c r="BJ31" i="8"/>
  <c r="BN36" i="8" s="1"/>
  <c r="BF31" i="8"/>
  <c r="CJ31" i="8" s="1"/>
  <c r="BI30" i="8"/>
  <c r="BM35" i="8" s="1"/>
  <c r="BE30" i="8"/>
  <c r="BD30" i="8"/>
  <c r="BC30" i="8"/>
  <c r="BL19" i="8"/>
  <c r="BK19" i="8"/>
  <c r="BI19" i="8"/>
  <c r="BH19" i="8"/>
  <c r="BG19" i="8"/>
  <c r="BE19" i="8"/>
  <c r="BD19" i="8"/>
  <c r="BC19" i="8"/>
  <c r="BA19" i="8"/>
  <c r="AZ19" i="8"/>
  <c r="AY19" i="8"/>
  <c r="AW19" i="8"/>
  <c r="AV19" i="8"/>
  <c r="AU19" i="8"/>
  <c r="BL18" i="8"/>
  <c r="BK18" i="8"/>
  <c r="BI18" i="8"/>
  <c r="BH18" i="8"/>
  <c r="BG18" i="8"/>
  <c r="BE18" i="8"/>
  <c r="BD18" i="8"/>
  <c r="BC18" i="8"/>
  <c r="BA18" i="8"/>
  <c r="AZ18" i="8"/>
  <c r="AY18" i="8"/>
  <c r="AW18" i="8"/>
  <c r="AV18" i="8"/>
  <c r="AU18" i="8"/>
  <c r="BL17" i="8"/>
  <c r="BK17" i="8"/>
  <c r="BI17" i="8"/>
  <c r="BH17" i="8"/>
  <c r="BG17" i="8"/>
  <c r="BE17" i="8"/>
  <c r="BD17" i="8"/>
  <c r="BC17" i="8"/>
  <c r="BA17" i="8"/>
  <c r="AZ17" i="8"/>
  <c r="AY17" i="8"/>
  <c r="AW17" i="8"/>
  <c r="AV17" i="8"/>
  <c r="AU17" i="8"/>
  <c r="BL16" i="8"/>
  <c r="BK16" i="8"/>
  <c r="BI16" i="8"/>
  <c r="BH16" i="8"/>
  <c r="BG16" i="8"/>
  <c r="BE16" i="8"/>
  <c r="BD16" i="8"/>
  <c r="BC16" i="8"/>
  <c r="BA16" i="8"/>
  <c r="AZ16" i="8"/>
  <c r="AY16" i="8"/>
  <c r="AW16" i="8"/>
  <c r="AV16" i="8"/>
  <c r="AU16" i="8"/>
  <c r="BL15" i="8"/>
  <c r="BK15" i="8"/>
  <c r="BI15" i="8"/>
  <c r="BH15" i="8"/>
  <c r="BG15" i="8"/>
  <c r="BE15" i="8"/>
  <c r="BD15" i="8"/>
  <c r="BC15" i="8"/>
  <c r="BA15" i="8"/>
  <c r="AZ15" i="8"/>
  <c r="AY15" i="8"/>
  <c r="AW15" i="8"/>
  <c r="AV15" i="8"/>
  <c r="AU15" i="8"/>
  <c r="BL14" i="8"/>
  <c r="BK14" i="8"/>
  <c r="BI14" i="8"/>
  <c r="BH14" i="8"/>
  <c r="BG14" i="8"/>
  <c r="BE14" i="8"/>
  <c r="BD14" i="8"/>
  <c r="BC14" i="8"/>
  <c r="BA14" i="8"/>
  <c r="AZ14" i="8"/>
  <c r="AY14" i="8"/>
  <c r="AW14" i="8"/>
  <c r="AV14" i="8"/>
  <c r="AU14" i="8"/>
  <c r="BL13" i="8"/>
  <c r="BK13" i="8"/>
  <c r="BI13" i="8"/>
  <c r="BH13" i="8"/>
  <c r="BG13" i="8"/>
  <c r="BE13" i="8"/>
  <c r="BD13" i="8"/>
  <c r="BC13" i="8"/>
  <c r="BA13" i="8"/>
  <c r="AZ13" i="8"/>
  <c r="AY13" i="8"/>
  <c r="AW13" i="8"/>
  <c r="AV13" i="8"/>
  <c r="AU13" i="8"/>
  <c r="BL11" i="8"/>
  <c r="BP20" i="8" s="1"/>
  <c r="BK11" i="8"/>
  <c r="BO20" i="8" s="1"/>
  <c r="BI11" i="8"/>
  <c r="BH11" i="8"/>
  <c r="BG11" i="8"/>
  <c r="BE11" i="8"/>
  <c r="BD11" i="8"/>
  <c r="BC11" i="8"/>
  <c r="BA11" i="8"/>
  <c r="AZ11" i="8"/>
  <c r="AY11" i="8"/>
  <c r="AW11" i="8"/>
  <c r="AV11" i="8"/>
  <c r="AU11" i="8"/>
  <c r="AS11" i="8"/>
  <c r="AR11" i="8"/>
  <c r="AQ11" i="8"/>
  <c r="BJ10" i="8"/>
  <c r="BF10" i="8"/>
  <c r="BB10" i="8"/>
  <c r="CI10" i="8" s="1"/>
  <c r="AX10" i="8"/>
  <c r="AT10" i="8"/>
  <c r="BJ9" i="8"/>
  <c r="BF9" i="8"/>
  <c r="BB9" i="8"/>
  <c r="AX9" i="8"/>
  <c r="AT9" i="8"/>
  <c r="CG9" i="8" s="1"/>
  <c r="BJ8" i="8"/>
  <c r="BF8" i="8"/>
  <c r="BF17" i="8" s="1"/>
  <c r="BB8" i="8"/>
  <c r="AX8" i="8"/>
  <c r="AT8" i="8"/>
  <c r="CG8" i="8" s="1"/>
  <c r="BJ7" i="8"/>
  <c r="CK7" i="8" s="1"/>
  <c r="BF7" i="8"/>
  <c r="BB7" i="8"/>
  <c r="CI7" i="8" s="1"/>
  <c r="AX7" i="8"/>
  <c r="CH7" i="8" s="1"/>
  <c r="AT7" i="8"/>
  <c r="CG7" i="8" s="1"/>
  <c r="BJ6" i="8"/>
  <c r="BF6" i="8"/>
  <c r="BB6" i="8"/>
  <c r="BB15" i="8" s="1"/>
  <c r="AX6" i="8"/>
  <c r="AT6" i="8"/>
  <c r="BJ5" i="8"/>
  <c r="BF5" i="8"/>
  <c r="BF14" i="8" s="1"/>
  <c r="BB5" i="8"/>
  <c r="AX5" i="8"/>
  <c r="AX14" i="8" s="1"/>
  <c r="AT5" i="8"/>
  <c r="BJ4" i="8"/>
  <c r="BF4" i="8"/>
  <c r="BB4" i="8"/>
  <c r="AX4" i="8"/>
  <c r="AT4" i="8"/>
  <c r="CG4" i="8" s="1"/>
  <c r="BX3" i="8"/>
  <c r="BY3" i="8" s="1"/>
  <c r="BZ3" i="8" s="1"/>
  <c r="CA3" i="8" s="1"/>
  <c r="CB3" i="8" s="1"/>
  <c r="CC3" i="8" s="1"/>
  <c r="CD3" i="8" s="1"/>
  <c r="CE3" i="8" s="1"/>
  <c r="CF3" i="8" s="1"/>
  <c r="CG3" i="8" s="1"/>
  <c r="CH3" i="8" s="1"/>
  <c r="CI3" i="8" s="1"/>
  <c r="CJ3" i="8" s="1"/>
  <c r="CK3" i="8" s="1"/>
  <c r="CL3" i="8" s="1"/>
  <c r="CM3" i="8" s="1"/>
  <c r="CN3" i="8" s="1"/>
  <c r="CO3" i="8" s="1"/>
  <c r="CP3" i="8" s="1"/>
  <c r="CQ3" i="8" s="1"/>
  <c r="CR3" i="8" s="1"/>
  <c r="CS3" i="8" s="1"/>
  <c r="CT3" i="8" s="1"/>
  <c r="CU3" i="8" s="1"/>
  <c r="CV3" i="8" s="1"/>
  <c r="CW3" i="8" s="1"/>
  <c r="CX3" i="8" s="1"/>
  <c r="CY3" i="8" s="1"/>
  <c r="CZ3" i="8" s="1"/>
  <c r="DA3" i="8" s="1"/>
  <c r="DB3" i="8" s="1"/>
  <c r="DC3" i="8" s="1"/>
  <c r="DD3" i="8" s="1"/>
  <c r="DE3" i="8" s="1"/>
  <c r="DF3" i="8" s="1"/>
  <c r="DG3" i="8" s="1"/>
  <c r="DH3" i="8" s="1"/>
  <c r="DI3" i="8" s="1"/>
  <c r="DJ3" i="8" s="1"/>
  <c r="DK3" i="8" s="1"/>
  <c r="DL3" i="8" s="1"/>
  <c r="DM3" i="8" s="1"/>
  <c r="DN3" i="8" s="1"/>
  <c r="DO3" i="8" s="1"/>
  <c r="DP3" i="8" s="1"/>
  <c r="DQ3" i="8" s="1"/>
  <c r="DR3" i="8" s="1"/>
  <c r="DS3" i="8" s="1"/>
  <c r="DT3" i="8" s="1"/>
  <c r="DU3" i="8" s="1"/>
  <c r="DV3" i="8" s="1"/>
  <c r="DW3" i="8" s="1"/>
  <c r="DX3" i="8" s="1"/>
  <c r="DY3" i="8" s="1"/>
  <c r="DZ3" i="8" s="1"/>
  <c r="EA3" i="8" s="1"/>
  <c r="EB3" i="8" s="1"/>
  <c r="EC3" i="8" s="1"/>
  <c r="ED3" i="8" s="1"/>
  <c r="EE3" i="8" s="1"/>
  <c r="EF3" i="8" s="1"/>
  <c r="EG3" i="8" s="1"/>
  <c r="EH3" i="8" s="1"/>
  <c r="EI3" i="8" s="1"/>
  <c r="EJ3" i="8" s="1"/>
  <c r="EK3" i="8" s="1"/>
  <c r="EL3" i="8" s="1"/>
  <c r="EM3" i="8" s="1"/>
  <c r="EN3" i="8" s="1"/>
  <c r="EO3" i="8" s="1"/>
  <c r="EP3" i="8" s="1"/>
  <c r="EQ3" i="8" s="1"/>
  <c r="ER3" i="8" s="1"/>
  <c r="ES3" i="8" s="1"/>
  <c r="X67" i="2" l="1"/>
  <c r="X59" i="2"/>
  <c r="AI111" i="2"/>
  <c r="AI68" i="2"/>
  <c r="AI61" i="2"/>
  <c r="R59" i="2"/>
  <c r="R67" i="2"/>
  <c r="BJ42" i="2"/>
  <c r="BJ38" i="2"/>
  <c r="BJ41" i="2"/>
  <c r="BJ46" i="2"/>
  <c r="BJ106" i="2"/>
  <c r="BJ65" i="2"/>
  <c r="BJ64" i="2"/>
  <c r="D67" i="2"/>
  <c r="D59" i="2"/>
  <c r="BP63" i="2"/>
  <c r="BP53" i="2"/>
  <c r="BN106" i="2"/>
  <c r="BN46" i="2"/>
  <c r="BN64" i="2"/>
  <c r="BN65" i="2"/>
  <c r="AB59" i="2"/>
  <c r="AB67" i="2"/>
  <c r="AG59" i="2"/>
  <c r="AG67" i="2"/>
  <c r="I67" i="2"/>
  <c r="I59" i="2"/>
  <c r="AP111" i="2"/>
  <c r="AP68" i="2"/>
  <c r="AP61" i="2"/>
  <c r="AH67" i="2"/>
  <c r="AH59" i="2"/>
  <c r="BK66" i="2"/>
  <c r="BK57" i="2"/>
  <c r="AX106" i="2"/>
  <c r="AX46" i="2"/>
  <c r="AX65" i="2"/>
  <c r="AX64" i="2"/>
  <c r="BO63" i="2"/>
  <c r="BO53" i="2"/>
  <c r="AR63" i="2"/>
  <c r="AR53" i="2"/>
  <c r="AS57" i="2"/>
  <c r="AS66" i="2"/>
  <c r="BE63" i="2"/>
  <c r="BE53" i="2"/>
  <c r="K111" i="2"/>
  <c r="K68" i="2"/>
  <c r="K61" i="2"/>
  <c r="BM63" i="2"/>
  <c r="BM53" i="2"/>
  <c r="AO59" i="2"/>
  <c r="AO67" i="2"/>
  <c r="Q59" i="2"/>
  <c r="Q67" i="2"/>
  <c r="BG66" i="2"/>
  <c r="BG57" i="2"/>
  <c r="AU66" i="2"/>
  <c r="AU57" i="2"/>
  <c r="M67" i="2"/>
  <c r="M59" i="2"/>
  <c r="Y59" i="2"/>
  <c r="Y67" i="2"/>
  <c r="AK67" i="2"/>
  <c r="AK59" i="2"/>
  <c r="AC67" i="2"/>
  <c r="AC59" i="2"/>
  <c r="AT46" i="2"/>
  <c r="AT106" i="2"/>
  <c r="AT64" i="2"/>
  <c r="AT65" i="2"/>
  <c r="P59" i="2"/>
  <c r="P67" i="2"/>
  <c r="BC66" i="2"/>
  <c r="BC57" i="2"/>
  <c r="U67" i="2"/>
  <c r="U59" i="2"/>
  <c r="C111" i="2"/>
  <c r="C68" i="2"/>
  <c r="C61" i="2"/>
  <c r="AE61" i="2"/>
  <c r="AE68" i="2"/>
  <c r="AE111" i="2"/>
  <c r="BL53" i="2"/>
  <c r="BL63" i="2"/>
  <c r="BF63" i="2"/>
  <c r="BF53" i="2"/>
  <c r="BH63" i="2"/>
  <c r="BH53" i="2"/>
  <c r="AF59" i="2"/>
  <c r="AF67" i="2"/>
  <c r="AZ53" i="2"/>
  <c r="AZ63" i="2"/>
  <c r="E67" i="2"/>
  <c r="E59" i="2"/>
  <c r="BD53" i="2"/>
  <c r="BD63" i="2"/>
  <c r="G61" i="2"/>
  <c r="G68" i="2"/>
  <c r="G111" i="2"/>
  <c r="BI63" i="2"/>
  <c r="BI53" i="2"/>
  <c r="AV66" i="2"/>
  <c r="AV57" i="2"/>
  <c r="AY66" i="2"/>
  <c r="AY57" i="2"/>
  <c r="W61" i="2"/>
  <c r="W68" i="2"/>
  <c r="W111" i="2"/>
  <c r="AJ67" i="2"/>
  <c r="AJ59" i="2"/>
  <c r="AA111" i="2"/>
  <c r="AA68" i="2"/>
  <c r="AA61" i="2"/>
  <c r="J111" i="2"/>
  <c r="J68" i="2"/>
  <c r="J61" i="2"/>
  <c r="AW66" i="2"/>
  <c r="AW57" i="2"/>
  <c r="AQ66" i="2"/>
  <c r="AQ57" i="2"/>
  <c r="BA63" i="2"/>
  <c r="BA53" i="2"/>
  <c r="Z67" i="2"/>
  <c r="Z59" i="2"/>
  <c r="BB106" i="2"/>
  <c r="BB46" i="2"/>
  <c r="BB65" i="2"/>
  <c r="BB64" i="2"/>
  <c r="L59" i="2"/>
  <c r="L67" i="2"/>
  <c r="CD114" i="8"/>
  <c r="BY46" i="8"/>
  <c r="BZ64" i="8"/>
  <c r="N63" i="8"/>
  <c r="E116" i="8"/>
  <c r="U116" i="8"/>
  <c r="AC116" i="8"/>
  <c r="CC116" i="8" s="1"/>
  <c r="AK116" i="8"/>
  <c r="AS116" i="8"/>
  <c r="BA116" i="8"/>
  <c r="BI116" i="8"/>
  <c r="BF19" i="8"/>
  <c r="CJ10" i="8"/>
  <c r="CA64" i="8"/>
  <c r="T63" i="8"/>
  <c r="F116" i="8"/>
  <c r="V116" i="8"/>
  <c r="AD116" i="8"/>
  <c r="AL116" i="8"/>
  <c r="AT116" i="8"/>
  <c r="BB116" i="8"/>
  <c r="BJ116" i="8"/>
  <c r="CE65" i="8"/>
  <c r="CB64" i="8"/>
  <c r="N66" i="8"/>
  <c r="BY114" i="8"/>
  <c r="CG114" i="8"/>
  <c r="CM74" i="8"/>
  <c r="S53" i="8"/>
  <c r="CN74" i="8"/>
  <c r="CK32" i="8"/>
  <c r="CK37" i="8" s="1"/>
  <c r="CD64" i="8"/>
  <c r="CD65" i="8"/>
  <c r="BP66" i="8"/>
  <c r="BP57" i="8"/>
  <c r="BN106" i="8"/>
  <c r="BN65" i="8"/>
  <c r="BN63" i="8"/>
  <c r="BN53" i="8"/>
  <c r="BO63" i="8"/>
  <c r="BO53" i="8"/>
  <c r="AW116" i="8"/>
  <c r="AI116" i="8"/>
  <c r="R116" i="8"/>
  <c r="C116" i="8"/>
  <c r="BX114" i="8"/>
  <c r="N116" i="8"/>
  <c r="M116" i="8"/>
  <c r="L116" i="8"/>
  <c r="CI114" i="8"/>
  <c r="CA114" i="8"/>
  <c r="CH104" i="8"/>
  <c r="CE64" i="8"/>
  <c r="BW64" i="8"/>
  <c r="CC65" i="8"/>
  <c r="CA65" i="8"/>
  <c r="BZ65" i="8"/>
  <c r="BW65" i="8"/>
  <c r="BB16" i="8"/>
  <c r="BE116" i="8"/>
  <c r="AG116" i="8"/>
  <c r="Y116" i="8"/>
  <c r="S116" i="8"/>
  <c r="CA116" i="8" s="1"/>
  <c r="Q116" i="8"/>
  <c r="BJ101" i="8"/>
  <c r="CK101" i="8" s="1"/>
  <c r="CK99" i="8"/>
  <c r="CJ99" i="8"/>
  <c r="BF101" i="8"/>
  <c r="CJ101" i="8" s="1"/>
  <c r="BB101" i="8"/>
  <c r="CI101" i="8" s="1"/>
  <c r="CI99" i="8"/>
  <c r="AX101" i="8"/>
  <c r="CH101" i="8" s="1"/>
  <c r="CH99" i="8"/>
  <c r="CG99" i="8"/>
  <c r="AT101" i="8"/>
  <c r="CG101" i="8" s="1"/>
  <c r="CS54" i="8"/>
  <c r="CQ54" i="8"/>
  <c r="CR54" i="8"/>
  <c r="CN54" i="8"/>
  <c r="CO54" i="8"/>
  <c r="CP54" i="8"/>
  <c r="CT54" i="8"/>
  <c r="CU54" i="8"/>
  <c r="CL54" i="8"/>
  <c r="CM54" i="8"/>
  <c r="AL63" i="8"/>
  <c r="AL53" i="8"/>
  <c r="AK63" i="8"/>
  <c r="AK53" i="8"/>
  <c r="AJ63" i="8"/>
  <c r="AJ53" i="8"/>
  <c r="AI63" i="8"/>
  <c r="AI53" i="8"/>
  <c r="AD63" i="8"/>
  <c r="AD53" i="8"/>
  <c r="AD57" i="8" s="1"/>
  <c r="AC63" i="8"/>
  <c r="AC53" i="8"/>
  <c r="AB63" i="8"/>
  <c r="AB53" i="8"/>
  <c r="AA63" i="8"/>
  <c r="AA53" i="8"/>
  <c r="Z63" i="8"/>
  <c r="Z53" i="8"/>
  <c r="V53" i="8"/>
  <c r="V66" i="8" s="1"/>
  <c r="V63" i="8"/>
  <c r="U53" i="8"/>
  <c r="U63" i="8"/>
  <c r="CA46" i="8"/>
  <c r="CA63" i="8" s="1"/>
  <c r="K57" i="8"/>
  <c r="K66" i="8"/>
  <c r="F63" i="8"/>
  <c r="F53" i="8"/>
  <c r="F66" i="8" s="1"/>
  <c r="E53" i="8"/>
  <c r="E66" i="8" s="1"/>
  <c r="E63" i="8"/>
  <c r="D53" i="8"/>
  <c r="D63" i="8"/>
  <c r="C53" i="8"/>
  <c r="C63" i="8"/>
  <c r="BJ107" i="8"/>
  <c r="CK45" i="8"/>
  <c r="CK107" i="8" s="1"/>
  <c r="CJ45" i="8"/>
  <c r="CJ107" i="8" s="1"/>
  <c r="BF107" i="8"/>
  <c r="BB107" i="8"/>
  <c r="CI45" i="8"/>
  <c r="CI107" i="8" s="1"/>
  <c r="CH45" i="8"/>
  <c r="CH107" i="8" s="1"/>
  <c r="AX107" i="8"/>
  <c r="BH40" i="8"/>
  <c r="BH42" i="8"/>
  <c r="BG40" i="8"/>
  <c r="BG42" i="8"/>
  <c r="BG41" i="8"/>
  <c r="BH35" i="8"/>
  <c r="BD33" i="8"/>
  <c r="BG35" i="8"/>
  <c r="BC33" i="8"/>
  <c r="BL28" i="8"/>
  <c r="BL22" i="8"/>
  <c r="BL23" i="8"/>
  <c r="BL24" i="8"/>
  <c r="BL26" i="8"/>
  <c r="BL27" i="8"/>
  <c r="BL44" i="8"/>
  <c r="BK44" i="8"/>
  <c r="BK23" i="8"/>
  <c r="BK25" i="8"/>
  <c r="BK24" i="8"/>
  <c r="BK22" i="8"/>
  <c r="BI23" i="8"/>
  <c r="BI22" i="8"/>
  <c r="BM20" i="8"/>
  <c r="BI24" i="8"/>
  <c r="BI27" i="8"/>
  <c r="BI25" i="8"/>
  <c r="BH44" i="8"/>
  <c r="BH65" i="8" s="1"/>
  <c r="BH23" i="8"/>
  <c r="BH27" i="8"/>
  <c r="BH22" i="8"/>
  <c r="BH20" i="8"/>
  <c r="BE28" i="8"/>
  <c r="BE27" i="8"/>
  <c r="BD28" i="8"/>
  <c r="BD24" i="8"/>
  <c r="BD26" i="8"/>
  <c r="BD44" i="8"/>
  <c r="BD27" i="8"/>
  <c r="BD23" i="8"/>
  <c r="BD22" i="8"/>
  <c r="BC27" i="8"/>
  <c r="BC28" i="8"/>
  <c r="BC25" i="8"/>
  <c r="BC44" i="8"/>
  <c r="BC23" i="8"/>
  <c r="BC22" i="8"/>
  <c r="BC24" i="8"/>
  <c r="BC26" i="8"/>
  <c r="BA23" i="8"/>
  <c r="BA25" i="8"/>
  <c r="BA24" i="8"/>
  <c r="BA22" i="8"/>
  <c r="AZ44" i="8"/>
  <c r="AZ106" i="8" s="1"/>
  <c r="AZ26" i="8"/>
  <c r="AZ22" i="8"/>
  <c r="AZ20" i="8"/>
  <c r="AZ23" i="8"/>
  <c r="AZ28" i="8"/>
  <c r="AZ25" i="8"/>
  <c r="AZ24" i="8"/>
  <c r="AV28" i="8"/>
  <c r="AV24" i="8"/>
  <c r="AV23" i="8"/>
  <c r="AV44" i="8"/>
  <c r="AV27" i="8"/>
  <c r="AV26" i="8"/>
  <c r="AV22" i="8"/>
  <c r="AU24" i="8"/>
  <c r="AU26" i="8"/>
  <c r="AU23" i="8"/>
  <c r="AU22" i="8"/>
  <c r="AU44" i="8"/>
  <c r="AU28" i="8"/>
  <c r="AU27" i="8"/>
  <c r="AU25" i="8"/>
  <c r="AS23" i="8"/>
  <c r="AS25" i="8"/>
  <c r="AS24" i="8"/>
  <c r="AS44" i="8"/>
  <c r="AS22" i="8"/>
  <c r="AR28" i="8"/>
  <c r="AR24" i="8"/>
  <c r="AR22" i="8"/>
  <c r="AR25" i="8"/>
  <c r="AR23" i="8"/>
  <c r="AR26" i="8"/>
  <c r="AR44" i="8"/>
  <c r="AQ28" i="8"/>
  <c r="AQ23" i="8"/>
  <c r="AQ22" i="8"/>
  <c r="AX19" i="8"/>
  <c r="CH10" i="8"/>
  <c r="CI19" i="8" s="1"/>
  <c r="CI8" i="8"/>
  <c r="BB17" i="8"/>
  <c r="AX17" i="8"/>
  <c r="CH8" i="8"/>
  <c r="BJ16" i="8"/>
  <c r="CJ7" i="8"/>
  <c r="CJ16" i="8" s="1"/>
  <c r="BF16" i="8"/>
  <c r="CK6" i="8"/>
  <c r="CL6" i="8" s="1"/>
  <c r="CM6" i="8" s="1"/>
  <c r="CN6" i="8" s="1"/>
  <c r="CO6" i="8" s="1"/>
  <c r="CP6" i="8" s="1"/>
  <c r="CQ6" i="8" s="1"/>
  <c r="CR6" i="8" s="1"/>
  <c r="CS6" i="8" s="1"/>
  <c r="CT6" i="8" s="1"/>
  <c r="CU6" i="8" s="1"/>
  <c r="BJ15" i="8"/>
  <c r="CJ6" i="8"/>
  <c r="CJ15" i="8" s="1"/>
  <c r="CI6" i="8"/>
  <c r="CH6" i="8"/>
  <c r="BB13" i="8"/>
  <c r="CI4" i="8"/>
  <c r="CI13" i="8" s="1"/>
  <c r="AX11" i="8"/>
  <c r="CH4" i="8"/>
  <c r="AX13" i="8"/>
  <c r="BY53" i="8"/>
  <c r="BY66" i="8" s="1"/>
  <c r="BM57" i="8"/>
  <c r="BM66" i="8"/>
  <c r="CI104" i="8"/>
  <c r="CK104" i="8"/>
  <c r="AX24" i="8"/>
  <c r="AX22" i="8"/>
  <c r="AX28" i="8"/>
  <c r="AX26" i="8"/>
  <c r="AX44" i="8"/>
  <c r="AX64" i="8" s="1"/>
  <c r="BG27" i="8"/>
  <c r="BG24" i="8"/>
  <c r="BG23" i="8"/>
  <c r="BG22" i="8"/>
  <c r="BG25" i="8"/>
  <c r="BG26" i="8"/>
  <c r="BG28" i="8"/>
  <c r="BG44" i="8"/>
  <c r="H53" i="8"/>
  <c r="H63" i="8"/>
  <c r="X53" i="8"/>
  <c r="X63" i="8"/>
  <c r="AF53" i="8"/>
  <c r="AF63" i="8"/>
  <c r="AN67" i="8"/>
  <c r="AN59" i="8"/>
  <c r="BX46" i="8"/>
  <c r="BX63" i="8" s="1"/>
  <c r="O67" i="8"/>
  <c r="O59" i="8"/>
  <c r="AN63" i="8"/>
  <c r="AY27" i="8"/>
  <c r="AY24" i="8"/>
  <c r="AY44" i="8"/>
  <c r="AY28" i="8"/>
  <c r="AY26" i="8"/>
  <c r="AY25" i="8"/>
  <c r="BC20" i="8"/>
  <c r="BK40" i="8"/>
  <c r="BK42" i="8"/>
  <c r="BK38" i="8"/>
  <c r="BK41" i="8"/>
  <c r="I53" i="8"/>
  <c r="I63" i="8"/>
  <c r="Q66" i="8"/>
  <c r="Q57" i="8"/>
  <c r="Y53" i="8"/>
  <c r="Y63" i="8"/>
  <c r="AG53" i="8"/>
  <c r="AG63" i="8"/>
  <c r="AO53" i="8"/>
  <c r="AO63" i="8"/>
  <c r="BW114" i="8"/>
  <c r="CE114" i="8"/>
  <c r="CJ4" i="8"/>
  <c r="CL7" i="8"/>
  <c r="CM7" i="8" s="1"/>
  <c r="CN7" i="8" s="1"/>
  <c r="CO7" i="8" s="1"/>
  <c r="CP7" i="8" s="1"/>
  <c r="CQ7" i="8" s="1"/>
  <c r="CR7" i="8" s="1"/>
  <c r="CS7" i="8" s="1"/>
  <c r="CT7" i="8" s="1"/>
  <c r="CU7" i="8" s="1"/>
  <c r="CJ8" i="8"/>
  <c r="AQ27" i="8"/>
  <c r="AQ44" i="8"/>
  <c r="AQ24" i="8"/>
  <c r="AU20" i="8"/>
  <c r="CH16" i="8"/>
  <c r="BK20" i="8"/>
  <c r="AQ26" i="8"/>
  <c r="BL38" i="8"/>
  <c r="BL42" i="8"/>
  <c r="BL41" i="8"/>
  <c r="BL40" i="8"/>
  <c r="O66" i="8"/>
  <c r="CF114" i="8"/>
  <c r="CK4" i="8"/>
  <c r="BJ13" i="8"/>
  <c r="BJ11" i="8"/>
  <c r="CK11" i="8" s="1"/>
  <c r="CK8" i="8"/>
  <c r="BJ17" i="8"/>
  <c r="CI16" i="8"/>
  <c r="BX64" i="8"/>
  <c r="CF64" i="8"/>
  <c r="P53" i="8"/>
  <c r="CH5" i="8"/>
  <c r="AX18" i="8"/>
  <c r="CH9" i="8"/>
  <c r="CJ19" i="8"/>
  <c r="AY20" i="8"/>
  <c r="BI33" i="8"/>
  <c r="BM38" i="8" s="1"/>
  <c r="BI40" i="8"/>
  <c r="BI35" i="8"/>
  <c r="BY64" i="8"/>
  <c r="CH105" i="8"/>
  <c r="BB11" i="8"/>
  <c r="CI5" i="8"/>
  <c r="BB14" i="8"/>
  <c r="CG6" i="8"/>
  <c r="AX15" i="8"/>
  <c r="CH17" i="8"/>
  <c r="CI9" i="8"/>
  <c r="CG10" i="8"/>
  <c r="AX16" i="8"/>
  <c r="AY22" i="8"/>
  <c r="BJ22" i="8"/>
  <c r="BJ30" i="8"/>
  <c r="BN35" i="8" s="1"/>
  <c r="CG45" i="8"/>
  <c r="CG107" i="8" s="1"/>
  <c r="AT107" i="8"/>
  <c r="U66" i="8"/>
  <c r="U57" i="8"/>
  <c r="Q63" i="8"/>
  <c r="AN66" i="8"/>
  <c r="CI105" i="8"/>
  <c r="CG116" i="8"/>
  <c r="CJ5" i="8"/>
  <c r="BF18" i="8"/>
  <c r="CJ9" i="8"/>
  <c r="BE44" i="8"/>
  <c r="BE22" i="8"/>
  <c r="BE20" i="8"/>
  <c r="BE24" i="8"/>
  <c r="BE23" i="8"/>
  <c r="BE25" i="8"/>
  <c r="BE26" i="8"/>
  <c r="CH11" i="8"/>
  <c r="CI17" i="8"/>
  <c r="BJ18" i="8"/>
  <c r="AY23" i="8"/>
  <c r="AQ25" i="8"/>
  <c r="AS46" i="8"/>
  <c r="AS65" i="8"/>
  <c r="AS64" i="8"/>
  <c r="BX65" i="8"/>
  <c r="CF65" i="8"/>
  <c r="L66" i="8"/>
  <c r="CJ105" i="8"/>
  <c r="CG105" i="8"/>
  <c r="AT11" i="8"/>
  <c r="AT23" i="8" s="1"/>
  <c r="BJ23" i="8"/>
  <c r="CK5" i="8"/>
  <c r="BJ14" i="8"/>
  <c r="CH25" i="8"/>
  <c r="CK9" i="8"/>
  <c r="BJ27" i="8"/>
  <c r="BB19" i="8"/>
  <c r="AW44" i="8"/>
  <c r="AW22" i="8"/>
  <c r="AW20" i="8"/>
  <c r="AW24" i="8"/>
  <c r="AW23" i="8"/>
  <c r="AW28" i="8"/>
  <c r="AW26" i="8"/>
  <c r="AW25" i="8"/>
  <c r="BF11" i="8"/>
  <c r="BF13" i="8"/>
  <c r="BB18" i="8"/>
  <c r="BG20" i="8"/>
  <c r="AW27" i="8"/>
  <c r="G63" i="8"/>
  <c r="G53" i="8"/>
  <c r="O63" i="8"/>
  <c r="BZ46" i="8"/>
  <c r="BZ63" i="8" s="1"/>
  <c r="W63" i="8"/>
  <c r="W53" i="8"/>
  <c r="CB46" i="8"/>
  <c r="CB63" i="8" s="1"/>
  <c r="AE63" i="8"/>
  <c r="CD46" i="8"/>
  <c r="CD63" i="8" s="1"/>
  <c r="AE53" i="8"/>
  <c r="AM63" i="8"/>
  <c r="CF46" i="8"/>
  <c r="CF63" i="8" s="1"/>
  <c r="BY65" i="8"/>
  <c r="AM53" i="8"/>
  <c r="L57" i="8"/>
  <c r="CG104" i="8"/>
  <c r="CP74" i="8"/>
  <c r="CK103" i="8"/>
  <c r="CK105" i="8"/>
  <c r="AU106" i="8"/>
  <c r="AU64" i="8"/>
  <c r="AU65" i="8"/>
  <c r="CH44" i="8"/>
  <c r="CH106" i="8" s="1"/>
  <c r="AP57" i="8"/>
  <c r="AP66" i="8"/>
  <c r="BY63" i="8"/>
  <c r="CH47" i="8"/>
  <c r="R53" i="8"/>
  <c r="AZ46" i="8"/>
  <c r="AZ64" i="8"/>
  <c r="BH46" i="8"/>
  <c r="BH106" i="8"/>
  <c r="BL20" i="8"/>
  <c r="AZ27" i="8"/>
  <c r="N111" i="8"/>
  <c r="N68" i="8"/>
  <c r="N61" i="8"/>
  <c r="AP63" i="8"/>
  <c r="BH64" i="8"/>
  <c r="AZ65" i="8"/>
  <c r="AD66" i="8"/>
  <c r="CG103" i="8"/>
  <c r="CK10" i="8"/>
  <c r="BJ28" i="8"/>
  <c r="AS28" i="8"/>
  <c r="AS27" i="8"/>
  <c r="AS26" i="8"/>
  <c r="BA26" i="8"/>
  <c r="BA20" i="8"/>
  <c r="BA28" i="8"/>
  <c r="BI44" i="8"/>
  <c r="BI20" i="8"/>
  <c r="BF15" i="8"/>
  <c r="BD20" i="8"/>
  <c r="BA27" i="8"/>
  <c r="BH28" i="8"/>
  <c r="BJ36" i="8"/>
  <c r="BH41" i="8"/>
  <c r="AU46" i="8"/>
  <c r="CJ47" i="8"/>
  <c r="AH53" i="8"/>
  <c r="S57" i="8"/>
  <c r="CU77" i="8"/>
  <c r="CH103" i="8"/>
  <c r="CK116" i="8"/>
  <c r="CK15" i="8"/>
  <c r="AV20" i="8"/>
  <c r="BH26" i="8"/>
  <c r="AR27" i="8"/>
  <c r="BI28" i="8"/>
  <c r="BA44" i="8"/>
  <c r="M66" i="8"/>
  <c r="M57" i="8"/>
  <c r="AV46" i="8"/>
  <c r="CE46" i="8"/>
  <c r="CE63" i="8" s="1"/>
  <c r="J53" i="8"/>
  <c r="T57" i="8"/>
  <c r="S66" i="8"/>
  <c r="CI103" i="8"/>
  <c r="Z116" i="8"/>
  <c r="AP116" i="8"/>
  <c r="CG5" i="8"/>
  <c r="BK28" i="8"/>
  <c r="BK27" i="8"/>
  <c r="BK26" i="8"/>
  <c r="BJ19" i="8"/>
  <c r="BH24" i="8"/>
  <c r="BH25" i="8"/>
  <c r="BI26" i="8"/>
  <c r="AT27" i="8"/>
  <c r="BF30" i="8"/>
  <c r="BJ37" i="8"/>
  <c r="M63" i="8"/>
  <c r="CJ103" i="8"/>
  <c r="CJ104" i="8"/>
  <c r="AY116" i="8"/>
  <c r="CI116" i="8" s="1"/>
  <c r="CC46" i="8"/>
  <c r="CC63" i="8" s="1"/>
  <c r="CC64" i="8"/>
  <c r="AV25" i="8"/>
  <c r="BD25" i="8"/>
  <c r="BL25" i="8"/>
  <c r="CK31" i="8"/>
  <c r="G116" i="8"/>
  <c r="BX116" i="8" s="1"/>
  <c r="O116" i="8"/>
  <c r="W116" i="8"/>
  <c r="CB116" i="8" s="1"/>
  <c r="AE116" i="8"/>
  <c r="CD116" i="8" s="1"/>
  <c r="AM116" i="8"/>
  <c r="AU116" i="8"/>
  <c r="CH116" i="8" s="1"/>
  <c r="BC116" i="8"/>
  <c r="CJ116" i="8" s="1"/>
  <c r="BK116" i="8"/>
  <c r="BE33" i="8"/>
  <c r="CG58" i="8"/>
  <c r="AV59" i="2" l="1"/>
  <c r="AV67" i="2"/>
  <c r="P111" i="2"/>
  <c r="P68" i="2"/>
  <c r="P61" i="2"/>
  <c r="BO66" i="2"/>
  <c r="BO57" i="2"/>
  <c r="BB53" i="2"/>
  <c r="BB63" i="2"/>
  <c r="AJ111" i="2"/>
  <c r="AJ68" i="2"/>
  <c r="AJ61" i="2"/>
  <c r="BF66" i="2"/>
  <c r="BF57" i="2"/>
  <c r="BI57" i="2"/>
  <c r="BI66" i="2"/>
  <c r="Y68" i="2"/>
  <c r="Y111" i="2"/>
  <c r="Y61" i="2"/>
  <c r="Q68" i="2"/>
  <c r="Q61" i="2"/>
  <c r="Q111" i="2"/>
  <c r="BE66" i="2"/>
  <c r="BE57" i="2"/>
  <c r="AB68" i="2"/>
  <c r="AB61" i="2"/>
  <c r="AB111" i="2"/>
  <c r="BD66" i="2"/>
  <c r="BD57" i="2"/>
  <c r="AH111" i="2"/>
  <c r="AH68" i="2"/>
  <c r="AH61" i="2"/>
  <c r="AG68" i="2"/>
  <c r="AG111" i="2"/>
  <c r="AG61" i="2"/>
  <c r="AW59" i="2"/>
  <c r="AW67" i="2"/>
  <c r="E111" i="2"/>
  <c r="E61" i="2"/>
  <c r="E68" i="2"/>
  <c r="D68" i="2"/>
  <c r="D111" i="2"/>
  <c r="D61" i="2"/>
  <c r="Z111" i="2"/>
  <c r="Z68" i="2"/>
  <c r="Z61" i="2"/>
  <c r="U111" i="2"/>
  <c r="U68" i="2"/>
  <c r="U61" i="2"/>
  <c r="M111" i="2"/>
  <c r="M68" i="2"/>
  <c r="M61" i="2"/>
  <c r="R111" i="2"/>
  <c r="R61" i="2"/>
  <c r="R68" i="2"/>
  <c r="AZ57" i="2"/>
  <c r="AZ66" i="2"/>
  <c r="AO68" i="2"/>
  <c r="AO61" i="2"/>
  <c r="AO111" i="2"/>
  <c r="AX63" i="2"/>
  <c r="AX53" i="2"/>
  <c r="BA57" i="2"/>
  <c r="BA66" i="2"/>
  <c r="BC67" i="2"/>
  <c r="BC59" i="2"/>
  <c r="AU67" i="2"/>
  <c r="AU59" i="2"/>
  <c r="AS67" i="2"/>
  <c r="AS59" i="2"/>
  <c r="I68" i="2"/>
  <c r="I61" i="2"/>
  <c r="I111" i="2"/>
  <c r="L111" i="2"/>
  <c r="L68" i="2"/>
  <c r="L61" i="2"/>
  <c r="AY59" i="2"/>
  <c r="AY67" i="2"/>
  <c r="AF111" i="2"/>
  <c r="AF61" i="2"/>
  <c r="AF68" i="2"/>
  <c r="AR57" i="2"/>
  <c r="AR66" i="2"/>
  <c r="BK59" i="2"/>
  <c r="BK67" i="2"/>
  <c r="BJ53" i="2"/>
  <c r="BJ63" i="2"/>
  <c r="BL66" i="2"/>
  <c r="BL57" i="2"/>
  <c r="AT63" i="2"/>
  <c r="AT53" i="2"/>
  <c r="AC111" i="2"/>
  <c r="AC68" i="2"/>
  <c r="AC61" i="2"/>
  <c r="BM66" i="2"/>
  <c r="BM57" i="2"/>
  <c r="BN63" i="2"/>
  <c r="BN53" i="2"/>
  <c r="AQ59" i="2"/>
  <c r="AQ67" i="2"/>
  <c r="BH66" i="2"/>
  <c r="BH57" i="2"/>
  <c r="AK111" i="2"/>
  <c r="AK68" i="2"/>
  <c r="AK61" i="2"/>
  <c r="BG59" i="2"/>
  <c r="BG67" i="2"/>
  <c r="BP57" i="2"/>
  <c r="BP66" i="2"/>
  <c r="X111" i="2"/>
  <c r="X68" i="2"/>
  <c r="X61" i="2"/>
  <c r="CK25" i="8"/>
  <c r="CK24" i="8"/>
  <c r="BZ116" i="8"/>
  <c r="BJ26" i="8"/>
  <c r="CI15" i="8"/>
  <c r="BW116" i="8"/>
  <c r="CC53" i="8"/>
  <c r="CC66" i="8" s="1"/>
  <c r="F57" i="8"/>
  <c r="BW57" i="8" s="1"/>
  <c r="BW67" i="8" s="1"/>
  <c r="CE116" i="8"/>
  <c r="V57" i="8"/>
  <c r="E57" i="8"/>
  <c r="CK16" i="8"/>
  <c r="CA53" i="8"/>
  <c r="CA66" i="8" s="1"/>
  <c r="CF116" i="8"/>
  <c r="BY116" i="8"/>
  <c r="BP59" i="8"/>
  <c r="BP67" i="8"/>
  <c r="BN57" i="8"/>
  <c r="BN66" i="8"/>
  <c r="BO57" i="8"/>
  <c r="BO59" i="8" s="1"/>
  <c r="BO66" i="8"/>
  <c r="AL66" i="8"/>
  <c r="AL57" i="8"/>
  <c r="AJ57" i="8"/>
  <c r="AJ66" i="8"/>
  <c r="AA57" i="8"/>
  <c r="AA66" i="8"/>
  <c r="Z66" i="8"/>
  <c r="Z57" i="8"/>
  <c r="D66" i="8"/>
  <c r="D57" i="8"/>
  <c r="BD41" i="8"/>
  <c r="BD42" i="8"/>
  <c r="BL106" i="8"/>
  <c r="BL46" i="8"/>
  <c r="BL64" i="8"/>
  <c r="BL65" i="8"/>
  <c r="AV106" i="8"/>
  <c r="AV65" i="8"/>
  <c r="AV64" i="8"/>
  <c r="AR64" i="8"/>
  <c r="AR65" i="8"/>
  <c r="AR46" i="8"/>
  <c r="AK66" i="8"/>
  <c r="AK57" i="8"/>
  <c r="AI57" i="8"/>
  <c r="AI66" i="8"/>
  <c r="CE53" i="8"/>
  <c r="CE66" i="8" s="1"/>
  <c r="AD67" i="8"/>
  <c r="AD59" i="8"/>
  <c r="AC66" i="8"/>
  <c r="AC57" i="8"/>
  <c r="AB66" i="8"/>
  <c r="AB57" i="8"/>
  <c r="K67" i="8"/>
  <c r="K59" i="8"/>
  <c r="K111" i="8" s="1"/>
  <c r="C57" i="8"/>
  <c r="C66" i="8"/>
  <c r="BW53" i="8"/>
  <c r="BW66" i="8" s="1"/>
  <c r="BH38" i="8"/>
  <c r="BD40" i="8"/>
  <c r="BC42" i="8"/>
  <c r="BC40" i="8"/>
  <c r="BG38" i="8"/>
  <c r="BC41" i="8"/>
  <c r="BK65" i="8"/>
  <c r="BK64" i="8"/>
  <c r="BK106" i="8"/>
  <c r="BK46" i="8"/>
  <c r="BD64" i="8"/>
  <c r="BD46" i="8"/>
  <c r="BD63" i="8" s="1"/>
  <c r="BD65" i="8"/>
  <c r="BD106" i="8"/>
  <c r="BC46" i="8"/>
  <c r="BC65" i="8"/>
  <c r="BC64" i="8"/>
  <c r="BC106" i="8"/>
  <c r="AX27" i="8"/>
  <c r="AX23" i="8"/>
  <c r="AX25" i="8"/>
  <c r="CH22" i="8"/>
  <c r="CH13" i="8"/>
  <c r="BF23" i="8"/>
  <c r="BF24" i="8"/>
  <c r="BM59" i="8"/>
  <c r="BM67" i="8"/>
  <c r="BH63" i="8"/>
  <c r="BH53" i="8"/>
  <c r="CJ14" i="8"/>
  <c r="U59" i="8"/>
  <c r="U67" i="8"/>
  <c r="CH19" i="8"/>
  <c r="BB44" i="8"/>
  <c r="CI44" i="8" s="1"/>
  <c r="BB20" i="8"/>
  <c r="BB25" i="8"/>
  <c r="BB22" i="8"/>
  <c r="CH14" i="8"/>
  <c r="CH23" i="8"/>
  <c r="CL4" i="8"/>
  <c r="CK13" i="8"/>
  <c r="CK22" i="8"/>
  <c r="Q67" i="8"/>
  <c r="Q59" i="8"/>
  <c r="X57" i="8"/>
  <c r="X66" i="8"/>
  <c r="BF33" i="8"/>
  <c r="CJ30" i="8"/>
  <c r="BF40" i="8"/>
  <c r="AV63" i="8"/>
  <c r="AV53" i="8"/>
  <c r="CA57" i="8"/>
  <c r="CA67" i="8" s="1"/>
  <c r="S67" i="8"/>
  <c r="S59" i="8"/>
  <c r="BI64" i="8"/>
  <c r="BI46" i="8"/>
  <c r="BI65" i="8"/>
  <c r="BI106" i="8"/>
  <c r="CK19" i="8"/>
  <c r="CK28" i="8"/>
  <c r="CL10" i="8"/>
  <c r="CM10" i="8" s="1"/>
  <c r="CN10" i="8" s="1"/>
  <c r="CO10" i="8" s="1"/>
  <c r="CP10" i="8" s="1"/>
  <c r="CQ10" i="8" s="1"/>
  <c r="CR10" i="8" s="1"/>
  <c r="CS10" i="8" s="1"/>
  <c r="CT10" i="8" s="1"/>
  <c r="CU10" i="8" s="1"/>
  <c r="AP59" i="8"/>
  <c r="AP67" i="8"/>
  <c r="W57" i="8"/>
  <c r="W66" i="8"/>
  <c r="CB53" i="8"/>
  <c r="CB66" i="8" s="1"/>
  <c r="CK18" i="8"/>
  <c r="CK27" i="8"/>
  <c r="CL9" i="8"/>
  <c r="CM9" i="8" s="1"/>
  <c r="CN9" i="8" s="1"/>
  <c r="CO9" i="8" s="1"/>
  <c r="CP9" i="8" s="1"/>
  <c r="CQ9" i="8" s="1"/>
  <c r="CR9" i="8" s="1"/>
  <c r="CS9" i="8" s="1"/>
  <c r="CT9" i="8" s="1"/>
  <c r="CU9" i="8" s="1"/>
  <c r="BJ33" i="8"/>
  <c r="BJ35" i="8"/>
  <c r="CI18" i="8"/>
  <c r="BB23" i="8"/>
  <c r="CL8" i="8"/>
  <c r="CM8" i="8" s="1"/>
  <c r="CN8" i="8" s="1"/>
  <c r="CO8" i="8" s="1"/>
  <c r="CP8" i="8" s="1"/>
  <c r="CQ8" i="8" s="1"/>
  <c r="CR8" i="8" s="1"/>
  <c r="CS8" i="8" s="1"/>
  <c r="CT8" i="8" s="1"/>
  <c r="CU8" i="8" s="1"/>
  <c r="CK26" i="8"/>
  <c r="CK17" i="8"/>
  <c r="BB26" i="8"/>
  <c r="M59" i="8"/>
  <c r="M67" i="8"/>
  <c r="AH66" i="8"/>
  <c r="AH57" i="8"/>
  <c r="AC67" i="8"/>
  <c r="AC59" i="8"/>
  <c r="AZ63" i="8"/>
  <c r="AZ53" i="8"/>
  <c r="BY57" i="8"/>
  <c r="BY67" i="8" s="1"/>
  <c r="C59" i="8"/>
  <c r="C67" i="8"/>
  <c r="BB27" i="8"/>
  <c r="H66" i="8"/>
  <c r="H57" i="8"/>
  <c r="K61" i="8"/>
  <c r="AD111" i="8"/>
  <c r="AD68" i="8"/>
  <c r="AD61" i="8"/>
  <c r="AO57" i="8"/>
  <c r="AO66" i="8"/>
  <c r="I57" i="8"/>
  <c r="I66" i="8"/>
  <c r="O61" i="8"/>
  <c r="O111" i="8"/>
  <c r="O68" i="8"/>
  <c r="AN111" i="8"/>
  <c r="AN61" i="8"/>
  <c r="AN68" i="8"/>
  <c r="BG106" i="8"/>
  <c r="BG65" i="8"/>
  <c r="BG46" i="8"/>
  <c r="BG64" i="8"/>
  <c r="BB24" i="8"/>
  <c r="BE42" i="8"/>
  <c r="BE41" i="8"/>
  <c r="AI59" i="8"/>
  <c r="AI67" i="8"/>
  <c r="CE57" i="8"/>
  <c r="CE67" i="8" s="1"/>
  <c r="E59" i="8"/>
  <c r="E67" i="8"/>
  <c r="R57" i="8"/>
  <c r="R66" i="8"/>
  <c r="CI11" i="8"/>
  <c r="CI27" i="8" s="1"/>
  <c r="CK23" i="8"/>
  <c r="CK14" i="8"/>
  <c r="CL5" i="8"/>
  <c r="CM5" i="8" s="1"/>
  <c r="CN5" i="8" s="1"/>
  <c r="CO5" i="8" s="1"/>
  <c r="CP5" i="8" s="1"/>
  <c r="CQ5" i="8" s="1"/>
  <c r="CR5" i="8" s="1"/>
  <c r="CS5" i="8" s="1"/>
  <c r="CT5" i="8" s="1"/>
  <c r="CU5" i="8" s="1"/>
  <c r="CK30" i="8"/>
  <c r="CH18" i="8"/>
  <c r="CH27" i="8"/>
  <c r="AQ46" i="8"/>
  <c r="AQ65" i="8"/>
  <c r="AQ64" i="8"/>
  <c r="CJ22" i="8"/>
  <c r="CJ13" i="8"/>
  <c r="AY64" i="8"/>
  <c r="AY65" i="8"/>
  <c r="AY46" i="8"/>
  <c r="AY106" i="8"/>
  <c r="AX106" i="8"/>
  <c r="AX46" i="8"/>
  <c r="CK36" i="8"/>
  <c r="V67" i="8"/>
  <c r="V59" i="8"/>
  <c r="T67" i="8"/>
  <c r="T59" i="8"/>
  <c r="AU63" i="8"/>
  <c r="AU53" i="8"/>
  <c r="CH65" i="8"/>
  <c r="AE66" i="8"/>
  <c r="AE57" i="8"/>
  <c r="CD53" i="8"/>
  <c r="CD66" i="8" s="1"/>
  <c r="G66" i="8"/>
  <c r="G57" i="8"/>
  <c r="BX53" i="8"/>
  <c r="BX66" i="8" s="1"/>
  <c r="BF20" i="8"/>
  <c r="BF25" i="8"/>
  <c r="BF28" i="8"/>
  <c r="BF44" i="8"/>
  <c r="BF27" i="8"/>
  <c r="AW106" i="8"/>
  <c r="AW46" i="8"/>
  <c r="AW64" i="8"/>
  <c r="AW65" i="8"/>
  <c r="CH24" i="8"/>
  <c r="CH28" i="8"/>
  <c r="CH26" i="8"/>
  <c r="BE64" i="8"/>
  <c r="BE65" i="8"/>
  <c r="BE106" i="8"/>
  <c r="BE46" i="8"/>
  <c r="CH64" i="8"/>
  <c r="CH15" i="8"/>
  <c r="CC57" i="8"/>
  <c r="CC67" i="8" s="1"/>
  <c r="BF22" i="8"/>
  <c r="AG57" i="8"/>
  <c r="AG66" i="8"/>
  <c r="CK20" i="8"/>
  <c r="BE40" i="8"/>
  <c r="BA46" i="8"/>
  <c r="BA64" i="8"/>
  <c r="BA65" i="8"/>
  <c r="BA106" i="8"/>
  <c r="BK63" i="8"/>
  <c r="BK53" i="8"/>
  <c r="AX65" i="8"/>
  <c r="L59" i="8"/>
  <c r="L67" i="8"/>
  <c r="AT22" i="8"/>
  <c r="AT44" i="8"/>
  <c r="AT26" i="8"/>
  <c r="AT24" i="8"/>
  <c r="AT25" i="8"/>
  <c r="CJ18" i="8"/>
  <c r="CJ27" i="8"/>
  <c r="CG11" i="8"/>
  <c r="CG23" i="8" s="1"/>
  <c r="AX20" i="8"/>
  <c r="BJ44" i="8"/>
  <c r="CK44" i="8" s="1"/>
  <c r="BJ24" i="8"/>
  <c r="BJ20" i="8"/>
  <c r="BJ25" i="8"/>
  <c r="BZ53" i="8"/>
  <c r="BZ66" i="8" s="1"/>
  <c r="BF26" i="8"/>
  <c r="AB59" i="8"/>
  <c r="AB67" i="8"/>
  <c r="AF66" i="8"/>
  <c r="AF57" i="8"/>
  <c r="J57" i="8"/>
  <c r="J66" i="8"/>
  <c r="AM57" i="8"/>
  <c r="CF53" i="8"/>
  <c r="CF66" i="8" s="1"/>
  <c r="AM66" i="8"/>
  <c r="BB28" i="8"/>
  <c r="AS63" i="8"/>
  <c r="AS53" i="8"/>
  <c r="CJ11" i="8"/>
  <c r="CJ23" i="8" s="1"/>
  <c r="AT28" i="8"/>
  <c r="CI14" i="8"/>
  <c r="BI41" i="8"/>
  <c r="BI42" i="8"/>
  <c r="BI38" i="8"/>
  <c r="P66" i="8"/>
  <c r="P57" i="8"/>
  <c r="CJ26" i="8"/>
  <c r="CJ17" i="8"/>
  <c r="Y66" i="8"/>
  <c r="Y57" i="8"/>
  <c r="BB66" i="2" l="1"/>
  <c r="BB57" i="2"/>
  <c r="BA67" i="2"/>
  <c r="BA59" i="2"/>
  <c r="BI67" i="2"/>
  <c r="BI59" i="2"/>
  <c r="BO67" i="2"/>
  <c r="BO59" i="2"/>
  <c r="BH59" i="2"/>
  <c r="BH67" i="2"/>
  <c r="BJ57" i="2"/>
  <c r="BJ66" i="2"/>
  <c r="AS111" i="2"/>
  <c r="AS61" i="2"/>
  <c r="AS68" i="2"/>
  <c r="AX57" i="2"/>
  <c r="AX66" i="2"/>
  <c r="BF59" i="2"/>
  <c r="BF67" i="2"/>
  <c r="BD67" i="2"/>
  <c r="BD59" i="2"/>
  <c r="BE59" i="2"/>
  <c r="BE67" i="2"/>
  <c r="BP67" i="2"/>
  <c r="BP59" i="2"/>
  <c r="BK61" i="2"/>
  <c r="BK108" i="2"/>
  <c r="BK68" i="2"/>
  <c r="BK109" i="2"/>
  <c r="BK111" i="2"/>
  <c r="AU61" i="2"/>
  <c r="AU108" i="2"/>
  <c r="AU68" i="2"/>
  <c r="AU109" i="2"/>
  <c r="AU111" i="2"/>
  <c r="AW108" i="2"/>
  <c r="AW68" i="2"/>
  <c r="AW61" i="2"/>
  <c r="AW111" i="2"/>
  <c r="AW109" i="2"/>
  <c r="AZ59" i="2"/>
  <c r="AZ67" i="2"/>
  <c r="AQ111" i="2"/>
  <c r="AQ68" i="2"/>
  <c r="AQ61" i="2"/>
  <c r="AT66" i="2"/>
  <c r="AT57" i="2"/>
  <c r="BG111" i="2"/>
  <c r="BG108" i="2"/>
  <c r="BG68" i="2"/>
  <c r="BG61" i="2"/>
  <c r="BG109" i="2"/>
  <c r="BN66" i="2"/>
  <c r="BN57" i="2"/>
  <c r="AR67" i="2"/>
  <c r="AR59" i="2"/>
  <c r="BC61" i="2"/>
  <c r="BC108" i="2"/>
  <c r="BC68" i="2"/>
  <c r="BC109" i="2"/>
  <c r="BC111" i="2"/>
  <c r="BM59" i="2"/>
  <c r="BM67" i="2"/>
  <c r="AY111" i="2"/>
  <c r="AY108" i="2"/>
  <c r="AY68" i="2"/>
  <c r="AY61" i="2"/>
  <c r="AY109" i="2"/>
  <c r="BL59" i="2"/>
  <c r="BL67" i="2"/>
  <c r="AV111" i="2"/>
  <c r="AV109" i="2"/>
  <c r="AV61" i="2"/>
  <c r="AV68" i="2"/>
  <c r="AV108" i="2"/>
  <c r="F59" i="8"/>
  <c r="F67" i="8"/>
  <c r="K68" i="8"/>
  <c r="CK33" i="8"/>
  <c r="BN38" i="8"/>
  <c r="BD53" i="8"/>
  <c r="BD66" i="8" s="1"/>
  <c r="BP109" i="8"/>
  <c r="BP61" i="8"/>
  <c r="BP108" i="8"/>
  <c r="BP68" i="8"/>
  <c r="BP111" i="8"/>
  <c r="BN59" i="8"/>
  <c r="BN67" i="8"/>
  <c r="BO67" i="8"/>
  <c r="AL59" i="8"/>
  <c r="AL67" i="8"/>
  <c r="AJ67" i="8"/>
  <c r="AJ59" i="8"/>
  <c r="AA59" i="8"/>
  <c r="AA67" i="8"/>
  <c r="Z67" i="8"/>
  <c r="Z59" i="8"/>
  <c r="D67" i="8"/>
  <c r="D59" i="8"/>
  <c r="BW59" i="8" s="1"/>
  <c r="BL53" i="8"/>
  <c r="BL63" i="8"/>
  <c r="AR53" i="8"/>
  <c r="AR63" i="8"/>
  <c r="AK67" i="8"/>
  <c r="AK59" i="8"/>
  <c r="AK111" i="8" s="1"/>
  <c r="BC63" i="8"/>
  <c r="BC53" i="8"/>
  <c r="BC57" i="8" s="1"/>
  <c r="BM68" i="8"/>
  <c r="BM111" i="8"/>
  <c r="BM109" i="8"/>
  <c r="BM61" i="8"/>
  <c r="BM108" i="8"/>
  <c r="P67" i="8"/>
  <c r="P59" i="8"/>
  <c r="BZ57" i="8"/>
  <c r="BZ67" i="8" s="1"/>
  <c r="AF67" i="8"/>
  <c r="AF59" i="8"/>
  <c r="BE63" i="8"/>
  <c r="BE53" i="8"/>
  <c r="AU66" i="8"/>
  <c r="AU57" i="8"/>
  <c r="AQ63" i="8"/>
  <c r="AQ53" i="8"/>
  <c r="CK106" i="8"/>
  <c r="CK64" i="8"/>
  <c r="CK65" i="8"/>
  <c r="AH67" i="8"/>
  <c r="AH59" i="8"/>
  <c r="Q68" i="8"/>
  <c r="Q61" i="8"/>
  <c r="Q111" i="8"/>
  <c r="BJ64" i="8"/>
  <c r="BJ46" i="8"/>
  <c r="BJ65" i="8"/>
  <c r="BJ106" i="8"/>
  <c r="BK66" i="8"/>
  <c r="BK57" i="8"/>
  <c r="E111" i="8"/>
  <c r="E61" i="8"/>
  <c r="E68" i="8"/>
  <c r="AV66" i="8"/>
  <c r="AV57" i="8"/>
  <c r="CK42" i="8"/>
  <c r="BC66" i="8"/>
  <c r="AG67" i="8"/>
  <c r="AG59" i="8"/>
  <c r="AW53" i="8"/>
  <c r="AW63" i="8"/>
  <c r="BX57" i="8"/>
  <c r="BX67" i="8" s="1"/>
  <c r="G67" i="8"/>
  <c r="G59" i="8"/>
  <c r="CH46" i="8"/>
  <c r="CH63" i="8" s="1"/>
  <c r="CI106" i="8"/>
  <c r="CI64" i="8"/>
  <c r="CI65" i="8"/>
  <c r="BG53" i="8"/>
  <c r="BG63" i="8"/>
  <c r="CK46" i="8"/>
  <c r="CK63" i="8" s="1"/>
  <c r="C68" i="8"/>
  <c r="C61" i="8"/>
  <c r="C111" i="8"/>
  <c r="BB46" i="8"/>
  <c r="BB65" i="8"/>
  <c r="BB106" i="8"/>
  <c r="BB64" i="8"/>
  <c r="Y59" i="8"/>
  <c r="Y67" i="8"/>
  <c r="AB111" i="8"/>
  <c r="AB61" i="8"/>
  <c r="AB68" i="8"/>
  <c r="CG27" i="8"/>
  <c r="CG26" i="8"/>
  <c r="CG25" i="8"/>
  <c r="CG22" i="8"/>
  <c r="T111" i="8"/>
  <c r="T61" i="8"/>
  <c r="T68" i="8"/>
  <c r="H67" i="8"/>
  <c r="H59" i="8"/>
  <c r="M68" i="8"/>
  <c r="M61" i="8"/>
  <c r="M111" i="8"/>
  <c r="AK68" i="8"/>
  <c r="AK61" i="8"/>
  <c r="AM67" i="8"/>
  <c r="CF57" i="8"/>
  <c r="CF67" i="8" s="1"/>
  <c r="AM59" i="8"/>
  <c r="AT106" i="8"/>
  <c r="AT46" i="8"/>
  <c r="AT64" i="8"/>
  <c r="AT65" i="8"/>
  <c r="AX53" i="8"/>
  <c r="AX63" i="8"/>
  <c r="AI68" i="8"/>
  <c r="AI111" i="8"/>
  <c r="AI61" i="8"/>
  <c r="AZ66" i="8"/>
  <c r="AZ57" i="8"/>
  <c r="CB57" i="8"/>
  <c r="CB67" i="8" s="1"/>
  <c r="W67" i="8"/>
  <c r="W59" i="8"/>
  <c r="BI53" i="8"/>
  <c r="BI63" i="8"/>
  <c r="CM4" i="8"/>
  <c r="CL11" i="8"/>
  <c r="CG28" i="8"/>
  <c r="BF106" i="8"/>
  <c r="BF46" i="8"/>
  <c r="BF64" i="8"/>
  <c r="BF65" i="8"/>
  <c r="AE59" i="8"/>
  <c r="AE67" i="8"/>
  <c r="CD57" i="8"/>
  <c r="CD67" i="8" s="1"/>
  <c r="V61" i="8"/>
  <c r="V111" i="8"/>
  <c r="V68" i="8"/>
  <c r="CI20" i="8"/>
  <c r="CI26" i="8"/>
  <c r="CI28" i="8"/>
  <c r="CI24" i="8"/>
  <c r="CI22" i="8"/>
  <c r="CI25" i="8"/>
  <c r="I59" i="8"/>
  <c r="I67" i="8"/>
  <c r="BJ42" i="8"/>
  <c r="BJ38" i="8"/>
  <c r="BJ41" i="8"/>
  <c r="BF41" i="8"/>
  <c r="BF42" i="8"/>
  <c r="CJ33" i="8"/>
  <c r="CI23" i="8"/>
  <c r="CJ20" i="8"/>
  <c r="CJ28" i="8"/>
  <c r="CJ25" i="8"/>
  <c r="CJ24" i="8"/>
  <c r="BA63" i="8"/>
  <c r="BA53" i="8"/>
  <c r="CG24" i="8"/>
  <c r="CH20" i="8"/>
  <c r="CG44" i="8"/>
  <c r="BY59" i="8"/>
  <c r="AC111" i="8"/>
  <c r="AC61" i="8"/>
  <c r="AC68" i="8"/>
  <c r="BJ40" i="8"/>
  <c r="AP61" i="8"/>
  <c r="AP111" i="8"/>
  <c r="AP68" i="8"/>
  <c r="S111" i="8"/>
  <c r="S68" i="8"/>
  <c r="S61" i="8"/>
  <c r="CA59" i="8"/>
  <c r="U111" i="8"/>
  <c r="U68" i="8"/>
  <c r="U61" i="8"/>
  <c r="BH57" i="8"/>
  <c r="BH66" i="8"/>
  <c r="CJ44" i="8"/>
  <c r="AS66" i="8"/>
  <c r="AS57" i="8"/>
  <c r="J59" i="8"/>
  <c r="J67" i="8"/>
  <c r="L111" i="8"/>
  <c r="L61" i="8"/>
  <c r="L68" i="8"/>
  <c r="CK41" i="8"/>
  <c r="AY53" i="8"/>
  <c r="CI46" i="8"/>
  <c r="CI63" i="8" s="1"/>
  <c r="AY63" i="8"/>
  <c r="CK35" i="8"/>
  <c r="CK40" i="8"/>
  <c r="R67" i="8"/>
  <c r="R59" i="8"/>
  <c r="AO59" i="8"/>
  <c r="AO67" i="8"/>
  <c r="F61" i="8"/>
  <c r="F111" i="8"/>
  <c r="F68" i="8"/>
  <c r="X59" i="8"/>
  <c r="X67" i="8"/>
  <c r="BO111" i="2" l="1"/>
  <c r="BO108" i="2"/>
  <c r="BO68" i="2"/>
  <c r="BO61" i="2"/>
  <c r="BO109" i="2"/>
  <c r="AT59" i="2"/>
  <c r="AT67" i="2"/>
  <c r="BM108" i="2"/>
  <c r="BM68" i="2"/>
  <c r="BM111" i="2"/>
  <c r="BM61" i="2"/>
  <c r="BM109" i="2"/>
  <c r="BN59" i="2"/>
  <c r="BN67" i="2"/>
  <c r="BE108" i="2"/>
  <c r="BE68" i="2"/>
  <c r="BE111" i="2"/>
  <c r="BE109" i="2"/>
  <c r="BE61" i="2"/>
  <c r="BI109" i="2"/>
  <c r="BI111" i="2"/>
  <c r="BI108" i="2"/>
  <c r="BI61" i="2"/>
  <c r="BI68" i="2"/>
  <c r="BP108" i="2"/>
  <c r="BP109" i="2"/>
  <c r="BP68" i="2"/>
  <c r="BP111" i="2"/>
  <c r="BP61" i="2"/>
  <c r="BA109" i="2"/>
  <c r="BA111" i="2"/>
  <c r="BA68" i="2"/>
  <c r="BA108" i="2"/>
  <c r="BA61" i="2"/>
  <c r="AZ108" i="2"/>
  <c r="AZ109" i="2"/>
  <c r="AZ61" i="2"/>
  <c r="AZ111" i="2"/>
  <c r="AZ68" i="2"/>
  <c r="BH108" i="2"/>
  <c r="BH109" i="2"/>
  <c r="BH61" i="2"/>
  <c r="BH68" i="2"/>
  <c r="BH111" i="2"/>
  <c r="AX59" i="2"/>
  <c r="AX67" i="2"/>
  <c r="BD111" i="2"/>
  <c r="BD109" i="2"/>
  <c r="BD108" i="2"/>
  <c r="BD61" i="2"/>
  <c r="BD68" i="2"/>
  <c r="BJ59" i="2"/>
  <c r="BJ67" i="2"/>
  <c r="AR111" i="2"/>
  <c r="AR68" i="2"/>
  <c r="AR61" i="2"/>
  <c r="BL111" i="2"/>
  <c r="BL109" i="2"/>
  <c r="BL68" i="2"/>
  <c r="BL61" i="2"/>
  <c r="BL108" i="2"/>
  <c r="BF111" i="2"/>
  <c r="BF109" i="2"/>
  <c r="BF108" i="2"/>
  <c r="BF61" i="2"/>
  <c r="BF68" i="2"/>
  <c r="BB59" i="2"/>
  <c r="BB67" i="2"/>
  <c r="CE59" i="8"/>
  <c r="BD57" i="8"/>
  <c r="BY61" i="8"/>
  <c r="BN111" i="8"/>
  <c r="BN109" i="8"/>
  <c r="BN61" i="8"/>
  <c r="BN108" i="8"/>
  <c r="BN68" i="8"/>
  <c r="BO111" i="8"/>
  <c r="BO109" i="8"/>
  <c r="BO61" i="8"/>
  <c r="BO108" i="8"/>
  <c r="BO68" i="8"/>
  <c r="AL111" i="8"/>
  <c r="AL61" i="8"/>
  <c r="AL68" i="8"/>
  <c r="AJ68" i="8"/>
  <c r="AJ61" i="8"/>
  <c r="AJ111" i="8"/>
  <c r="CC59" i="8"/>
  <c r="AA111" i="8"/>
  <c r="AA61" i="8"/>
  <c r="CC61" i="8" s="1"/>
  <c r="AA68" i="8"/>
  <c r="Z61" i="8"/>
  <c r="Z111" i="8"/>
  <c r="Z68" i="8"/>
  <c r="D68" i="8"/>
  <c r="D61" i="8"/>
  <c r="BW61" i="8" s="1"/>
  <c r="D111" i="8"/>
  <c r="BL57" i="8"/>
  <c r="BL66" i="8"/>
  <c r="AR57" i="8"/>
  <c r="AR66" i="8"/>
  <c r="BH59" i="8"/>
  <c r="BH67" i="8"/>
  <c r="CG106" i="8"/>
  <c r="CG65" i="8"/>
  <c r="CG64" i="8"/>
  <c r="AT63" i="8"/>
  <c r="AT53" i="8"/>
  <c r="X68" i="8"/>
  <c r="X61" i="8"/>
  <c r="X111" i="8"/>
  <c r="BD67" i="8"/>
  <c r="BD59" i="8"/>
  <c r="BI66" i="8"/>
  <c r="BI57" i="8"/>
  <c r="CE68" i="8"/>
  <c r="CE111" i="8"/>
  <c r="Y68" i="8"/>
  <c r="Y61" i="8"/>
  <c r="Y111" i="8"/>
  <c r="BE57" i="8"/>
  <c r="BE66" i="8"/>
  <c r="CJ41" i="8"/>
  <c r="CJ42" i="8"/>
  <c r="BF63" i="8"/>
  <c r="BF53" i="8"/>
  <c r="W111" i="8"/>
  <c r="W61" i="8"/>
  <c r="CB61" i="8" s="1"/>
  <c r="W68" i="8"/>
  <c r="CB59" i="8"/>
  <c r="AM111" i="8"/>
  <c r="AM68" i="8"/>
  <c r="AM61" i="8"/>
  <c r="CF59" i="8"/>
  <c r="G68" i="8"/>
  <c r="BX59" i="8"/>
  <c r="G111" i="8"/>
  <c r="G61" i="8"/>
  <c r="BC67" i="8"/>
  <c r="BC59" i="8"/>
  <c r="J68" i="8"/>
  <c r="J61" i="8"/>
  <c r="J111" i="8"/>
  <c r="BA66" i="8"/>
  <c r="BA57" i="8"/>
  <c r="I68" i="8"/>
  <c r="I111" i="8"/>
  <c r="I61" i="8"/>
  <c r="H111" i="8"/>
  <c r="H68" i="8"/>
  <c r="H61" i="8"/>
  <c r="CJ53" i="8"/>
  <c r="CJ66" i="8" s="1"/>
  <c r="BJ63" i="8"/>
  <c r="BJ53" i="8"/>
  <c r="CG46" i="8"/>
  <c r="CG63" i="8" s="1"/>
  <c r="AF111" i="8"/>
  <c r="AF61" i="8"/>
  <c r="AF68" i="8"/>
  <c r="AS67" i="8"/>
  <c r="AS59" i="8"/>
  <c r="CA111" i="8"/>
  <c r="CA68" i="8"/>
  <c r="AQ66" i="8"/>
  <c r="AQ57" i="8"/>
  <c r="AY57" i="8"/>
  <c r="AY66" i="8"/>
  <c r="CA61" i="8"/>
  <c r="CL20" i="8"/>
  <c r="CL44" i="8"/>
  <c r="AZ59" i="8"/>
  <c r="AZ67" i="8"/>
  <c r="AX57" i="8"/>
  <c r="AX66" i="8"/>
  <c r="BB63" i="8"/>
  <c r="BB53" i="8"/>
  <c r="BG57" i="8"/>
  <c r="BG66" i="8"/>
  <c r="CK38" i="8"/>
  <c r="CJ46" i="8"/>
  <c r="CJ63" i="8" s="1"/>
  <c r="AO68" i="8"/>
  <c r="AO111" i="8"/>
  <c r="AO61" i="8"/>
  <c r="CJ106" i="8"/>
  <c r="CJ64" i="8"/>
  <c r="CJ65" i="8"/>
  <c r="CM11" i="8"/>
  <c r="CN4" i="8"/>
  <c r="AW57" i="8"/>
  <c r="AW66" i="8"/>
  <c r="AV67" i="8"/>
  <c r="AV59" i="8"/>
  <c r="AH68" i="8"/>
  <c r="AH111" i="8"/>
  <c r="AH61" i="8"/>
  <c r="CH53" i="8"/>
  <c r="CH66" i="8" s="1"/>
  <c r="P68" i="8"/>
  <c r="P61" i="8"/>
  <c r="P111" i="8"/>
  <c r="BZ59" i="8"/>
  <c r="R111" i="8"/>
  <c r="R61" i="8"/>
  <c r="R68" i="8"/>
  <c r="BY68" i="8"/>
  <c r="BY111" i="8"/>
  <c r="AE61" i="8"/>
  <c r="AE111" i="8"/>
  <c r="AE68" i="8"/>
  <c r="CD59" i="8"/>
  <c r="CJ40" i="8"/>
  <c r="BW68" i="8"/>
  <c r="BW111" i="8"/>
  <c r="AG68" i="8"/>
  <c r="AG111" i="8"/>
  <c r="AG61" i="8"/>
  <c r="BK59" i="8"/>
  <c r="BK67" i="8"/>
  <c r="AU59" i="8"/>
  <c r="AU67" i="8"/>
  <c r="AT111" i="2" l="1"/>
  <c r="AT108" i="2"/>
  <c r="AT61" i="2"/>
  <c r="AT109" i="2"/>
  <c r="AT68" i="2"/>
  <c r="BJ111" i="2"/>
  <c r="BJ108" i="2"/>
  <c r="BJ61" i="2"/>
  <c r="BJ68" i="2"/>
  <c r="BJ109" i="2"/>
  <c r="AX111" i="2"/>
  <c r="AX109" i="2"/>
  <c r="AX61" i="2"/>
  <c r="AX68" i="2"/>
  <c r="AX108" i="2"/>
  <c r="BB111" i="2"/>
  <c r="BB108" i="2"/>
  <c r="BB68" i="2"/>
  <c r="BB109" i="2"/>
  <c r="BB61" i="2"/>
  <c r="BN111" i="2"/>
  <c r="BN109" i="2"/>
  <c r="BN68" i="2"/>
  <c r="BN61" i="2"/>
  <c r="BN108" i="2"/>
  <c r="CE61" i="8"/>
  <c r="CC111" i="8"/>
  <c r="CC68" i="8"/>
  <c r="BL67" i="8"/>
  <c r="BL59" i="8"/>
  <c r="AR67" i="8"/>
  <c r="AR59" i="8"/>
  <c r="BZ61" i="8"/>
  <c r="BB66" i="8"/>
  <c r="BB57" i="8"/>
  <c r="CI57" i="8" s="1"/>
  <c r="CI67" i="8" s="1"/>
  <c r="BC109" i="8"/>
  <c r="BC108" i="8"/>
  <c r="BC68" i="8"/>
  <c r="BC61" i="8"/>
  <c r="BC111" i="8"/>
  <c r="CF61" i="8"/>
  <c r="CD61" i="8"/>
  <c r="CI53" i="8"/>
  <c r="CI66" i="8" s="1"/>
  <c r="AT57" i="8"/>
  <c r="AT66" i="8"/>
  <c r="AW59" i="8"/>
  <c r="AW67" i="8"/>
  <c r="BJ66" i="8"/>
  <c r="BJ57" i="8"/>
  <c r="CK57" i="8" s="1"/>
  <c r="CK67" i="8" s="1"/>
  <c r="BI67" i="8"/>
  <c r="BI59" i="8"/>
  <c r="CN11" i="8"/>
  <c r="CO4" i="8"/>
  <c r="AX59" i="8"/>
  <c r="AX67" i="8"/>
  <c r="AY59" i="8"/>
  <c r="AY67" i="8"/>
  <c r="BA59" i="8"/>
  <c r="BA67" i="8"/>
  <c r="BX61" i="8"/>
  <c r="CB111" i="8"/>
  <c r="CB68" i="8"/>
  <c r="CH57" i="8"/>
  <c r="CH67" i="8" s="1"/>
  <c r="CM44" i="8"/>
  <c r="CM20" i="8"/>
  <c r="CG53" i="8"/>
  <c r="CG66" i="8" s="1"/>
  <c r="AS68" i="8"/>
  <c r="AS111" i="8"/>
  <c r="AS61" i="8"/>
  <c r="BE67" i="8"/>
  <c r="BE59" i="8"/>
  <c r="BD109" i="8"/>
  <c r="BD68" i="8"/>
  <c r="BD108" i="8"/>
  <c r="BD111" i="8"/>
  <c r="BD61" i="8"/>
  <c r="AU109" i="8"/>
  <c r="AU108" i="8"/>
  <c r="CH59" i="8"/>
  <c r="AU111" i="8"/>
  <c r="AU68" i="8"/>
  <c r="AU61" i="8"/>
  <c r="CK53" i="8"/>
  <c r="CK66" i="8" s="1"/>
  <c r="AZ111" i="8"/>
  <c r="AZ61" i="8"/>
  <c r="AZ68" i="8"/>
  <c r="AZ108" i="8"/>
  <c r="AZ109" i="8"/>
  <c r="AQ67" i="8"/>
  <c r="AQ59" i="8"/>
  <c r="BX68" i="8"/>
  <c r="BX111" i="8"/>
  <c r="CD111" i="8"/>
  <c r="CD68" i="8"/>
  <c r="CL48" i="8"/>
  <c r="CL45" i="8"/>
  <c r="CL46" i="8" s="1"/>
  <c r="CL47" i="8"/>
  <c r="BK109" i="8"/>
  <c r="BK108" i="8"/>
  <c r="BK111" i="8"/>
  <c r="BK68" i="8"/>
  <c r="BK61" i="8"/>
  <c r="BZ111" i="8"/>
  <c r="BZ68" i="8"/>
  <c r="AV108" i="8"/>
  <c r="AV111" i="8"/>
  <c r="AV109" i="8"/>
  <c r="AV68" i="8"/>
  <c r="AV61" i="8"/>
  <c r="BG67" i="8"/>
  <c r="BG59" i="8"/>
  <c r="CF111" i="8"/>
  <c r="CF68" i="8"/>
  <c r="BF57" i="8"/>
  <c r="BF66" i="8"/>
  <c r="BH111" i="8"/>
  <c r="BH61" i="8"/>
  <c r="BH109" i="8"/>
  <c r="BH68" i="8"/>
  <c r="BH108" i="8"/>
  <c r="BL108" i="8" l="1"/>
  <c r="BL68" i="8"/>
  <c r="BL109" i="8"/>
  <c r="BL61" i="8"/>
  <c r="BL111" i="8"/>
  <c r="AR61" i="8"/>
  <c r="AR68" i="8"/>
  <c r="AR111" i="8"/>
  <c r="CL53" i="8"/>
  <c r="CR74" i="8"/>
  <c r="CR75" i="8" s="1"/>
  <c r="CH111" i="8"/>
  <c r="CH109" i="8"/>
  <c r="CH68" i="8"/>
  <c r="CH108" i="8"/>
  <c r="BE68" i="8"/>
  <c r="BE108" i="8"/>
  <c r="BE111" i="8"/>
  <c r="BE109" i="8"/>
  <c r="BE61" i="8"/>
  <c r="BF59" i="8"/>
  <c r="BF67" i="8"/>
  <c r="CJ57" i="8"/>
  <c r="CJ67" i="8" s="1"/>
  <c r="AX111" i="8"/>
  <c r="AX108" i="8"/>
  <c r="AX61" i="8"/>
  <c r="AX68" i="8"/>
  <c r="AX109" i="8"/>
  <c r="AW68" i="8"/>
  <c r="AW111" i="8"/>
  <c r="AW61" i="8"/>
  <c r="CH61" i="8" s="1"/>
  <c r="AW108" i="8"/>
  <c r="AW109" i="8"/>
  <c r="CP4" i="8"/>
  <c r="CO11" i="8"/>
  <c r="AQ111" i="8"/>
  <c r="AQ61" i="8"/>
  <c r="AQ68" i="8"/>
  <c r="CN44" i="8"/>
  <c r="CN20" i="8"/>
  <c r="AT59" i="8"/>
  <c r="CG59" i="8" s="1"/>
  <c r="AT67" i="8"/>
  <c r="BG111" i="8"/>
  <c r="BG108" i="8"/>
  <c r="BG61" i="8"/>
  <c r="BG109" i="8"/>
  <c r="BG68" i="8"/>
  <c r="CG57" i="8"/>
  <c r="CG67" i="8" s="1"/>
  <c r="BA109" i="8"/>
  <c r="BA68" i="8"/>
  <c r="BA61" i="8"/>
  <c r="BA108" i="8"/>
  <c r="BA111" i="8"/>
  <c r="BI111" i="8"/>
  <c r="BI68" i="8"/>
  <c r="BI61" i="8"/>
  <c r="BI109" i="8"/>
  <c r="BI108" i="8"/>
  <c r="BB59" i="8"/>
  <c r="BB67" i="8"/>
  <c r="CM48" i="8"/>
  <c r="CM45" i="8"/>
  <c r="CM46" i="8" s="1"/>
  <c r="CM47" i="8"/>
  <c r="AY111" i="8"/>
  <c r="AY68" i="8"/>
  <c r="AY61" i="8"/>
  <c r="AY108" i="8"/>
  <c r="AY109" i="8"/>
  <c r="BJ59" i="8"/>
  <c r="BJ67" i="8"/>
  <c r="CL66" i="8" l="1"/>
  <c r="CL57" i="8"/>
  <c r="CL58" i="8" s="1"/>
  <c r="CL59" i="8" s="1"/>
  <c r="CM53" i="8"/>
  <c r="CM57" i="8" s="1"/>
  <c r="BB109" i="8"/>
  <c r="BB61" i="8"/>
  <c r="CI61" i="8" s="1"/>
  <c r="BB108" i="8"/>
  <c r="BB111" i="8"/>
  <c r="BB68" i="8"/>
  <c r="CI59" i="8"/>
  <c r="CG109" i="8"/>
  <c r="CG111" i="8"/>
  <c r="CG108" i="8"/>
  <c r="CG68" i="8"/>
  <c r="BF108" i="8"/>
  <c r="BF61" i="8"/>
  <c r="CJ61" i="8" s="1"/>
  <c r="BF111" i="8"/>
  <c r="BF109" i="8"/>
  <c r="BF68" i="8"/>
  <c r="CO44" i="8"/>
  <c r="CO20" i="8"/>
  <c r="BJ109" i="8"/>
  <c r="BJ68" i="8"/>
  <c r="BJ111" i="8"/>
  <c r="BJ61" i="8"/>
  <c r="CK61" i="8" s="1"/>
  <c r="BJ108" i="8"/>
  <c r="AT68" i="8"/>
  <c r="AT108" i="8"/>
  <c r="AT109" i="8"/>
  <c r="AT111" i="8"/>
  <c r="AT61" i="8"/>
  <c r="CG61" i="8" s="1"/>
  <c r="CQ4" i="8"/>
  <c r="CP11" i="8"/>
  <c r="CJ59" i="8"/>
  <c r="CN45" i="8"/>
  <c r="CN46" i="8" s="1"/>
  <c r="CN48" i="8"/>
  <c r="CN47" i="8"/>
  <c r="CK59" i="8"/>
  <c r="CM66" i="8" l="1"/>
  <c r="CN53" i="8"/>
  <c r="CL68" i="8"/>
  <c r="CL70" i="8"/>
  <c r="CR4" i="8"/>
  <c r="CQ11" i="8"/>
  <c r="CO45" i="8"/>
  <c r="CO46" i="8" s="1"/>
  <c r="CO47" i="8"/>
  <c r="CO48" i="8"/>
  <c r="CK108" i="8"/>
  <c r="CK68" i="8"/>
  <c r="CK109" i="8"/>
  <c r="CK111" i="8"/>
  <c r="CJ111" i="8"/>
  <c r="CJ108" i="8"/>
  <c r="CJ68" i="8"/>
  <c r="CJ109" i="8"/>
  <c r="CI68" i="8"/>
  <c r="CI108" i="8"/>
  <c r="CI111" i="8"/>
  <c r="CI109" i="8"/>
  <c r="CP44" i="8"/>
  <c r="CP20" i="8"/>
  <c r="CM58" i="8"/>
  <c r="CM59" i="8" s="1"/>
  <c r="CM68" i="8" s="1"/>
  <c r="CN66" i="8" l="1"/>
  <c r="CN57" i="8"/>
  <c r="CO53" i="8"/>
  <c r="CO66" i="8" s="1"/>
  <c r="CP47" i="8"/>
  <c r="CP45" i="8"/>
  <c r="CP46" i="8" s="1"/>
  <c r="CP48" i="8"/>
  <c r="CN58" i="8"/>
  <c r="CN59" i="8" s="1"/>
  <c r="CQ44" i="8"/>
  <c r="CQ20" i="8"/>
  <c r="CS4" i="8"/>
  <c r="CR11" i="8"/>
  <c r="CM70" i="8"/>
  <c r="CP53" i="8" l="1"/>
  <c r="CO57" i="8"/>
  <c r="CO58" i="8" s="1"/>
  <c r="CO59" i="8" s="1"/>
  <c r="CO68" i="8" s="1"/>
  <c r="CN68" i="8"/>
  <c r="CN70" i="8"/>
  <c r="CR44" i="8"/>
  <c r="CR20" i="8"/>
  <c r="CT4" i="8"/>
  <c r="CS11" i="8"/>
  <c r="CQ47" i="8"/>
  <c r="CQ45" i="8"/>
  <c r="CQ46" i="8" s="1"/>
  <c r="CQ48" i="8"/>
  <c r="CP66" i="8" l="1"/>
  <c r="CP57" i="8"/>
  <c r="CP58" i="8" s="1"/>
  <c r="CP59" i="8" s="1"/>
  <c r="CO70" i="8"/>
  <c r="CU4" i="8"/>
  <c r="CU11" i="8" s="1"/>
  <c r="CT11" i="8"/>
  <c r="CR47" i="8"/>
  <c r="CR48" i="8"/>
  <c r="CR45" i="8"/>
  <c r="CR46" i="8" s="1"/>
  <c r="CQ53" i="8"/>
  <c r="CS20" i="8"/>
  <c r="CS44" i="8"/>
  <c r="CR53" i="8" l="1"/>
  <c r="CP68" i="8"/>
  <c r="CP70" i="8"/>
  <c r="CR57" i="8"/>
  <c r="CR66" i="8"/>
  <c r="CQ66" i="8"/>
  <c r="CQ57" i="8"/>
  <c r="CS48" i="8"/>
  <c r="CS47" i="8"/>
  <c r="CS45" i="8"/>
  <c r="CS46" i="8" s="1"/>
  <c r="CT20" i="8"/>
  <c r="CT44" i="8"/>
  <c r="CU44" i="8"/>
  <c r="CU20" i="8"/>
  <c r="CS53" i="8" l="1"/>
  <c r="CS57" i="8" s="1"/>
  <c r="CQ58" i="8"/>
  <c r="CQ59" i="8" s="1"/>
  <c r="CU48" i="8"/>
  <c r="CU45" i="8"/>
  <c r="CU46" i="8" s="1"/>
  <c r="CU47" i="8"/>
  <c r="CT48" i="8"/>
  <c r="CT47" i="8"/>
  <c r="CT45" i="8"/>
  <c r="CT46" i="8" s="1"/>
  <c r="CR58" i="8"/>
  <c r="CR59" i="8" s="1"/>
  <c r="CR68" i="8" s="1"/>
  <c r="CU53" i="8" l="1"/>
  <c r="CU66" i="8" s="1"/>
  <c r="CS66" i="8"/>
  <c r="CT53" i="8"/>
  <c r="CT57" i="8" s="1"/>
  <c r="CQ68" i="8"/>
  <c r="CQ70" i="8"/>
  <c r="CR70" i="8" s="1"/>
  <c r="CS58" i="8"/>
  <c r="CS59" i="8" s="1"/>
  <c r="CS68" i="8" s="1"/>
  <c r="CT66" i="8" l="1"/>
  <c r="CU57" i="8"/>
  <c r="CU58" i="8" s="1"/>
  <c r="CU59" i="8" s="1"/>
  <c r="CT58" i="8"/>
  <c r="CT59" i="8" s="1"/>
  <c r="CT68" i="8" s="1"/>
  <c r="CS70" i="8"/>
  <c r="CT70" i="8" l="1"/>
  <c r="CU68" i="8"/>
  <c r="CV59" i="8"/>
  <c r="CW59" i="8" s="1"/>
  <c r="CX59" i="8" l="1"/>
  <c r="CY59" i="8" s="1"/>
  <c r="CZ59" i="8" s="1"/>
  <c r="DA59" i="8" s="1"/>
  <c r="DB59" i="8" s="1"/>
  <c r="DC59" i="8" s="1"/>
  <c r="DD59" i="8" s="1"/>
  <c r="DE59" i="8" s="1"/>
  <c r="DF59" i="8" s="1"/>
  <c r="DG59" i="8" s="1"/>
  <c r="DH59" i="8" s="1"/>
  <c r="DI59" i="8" s="1"/>
  <c r="DJ59" i="8" s="1"/>
  <c r="DK59" i="8" s="1"/>
  <c r="DL59" i="8" s="1"/>
  <c r="DM59" i="8" s="1"/>
  <c r="DN59" i="8" s="1"/>
  <c r="DO59" i="8" s="1"/>
  <c r="DP59" i="8" s="1"/>
  <c r="DQ59" i="8" s="1"/>
  <c r="DR59" i="8" s="1"/>
  <c r="DS59" i="8" s="1"/>
  <c r="DT59" i="8" s="1"/>
  <c r="DU59" i="8" s="1"/>
  <c r="DV59" i="8" s="1"/>
  <c r="DW59" i="8" s="1"/>
  <c r="DX59" i="8" s="1"/>
  <c r="DY59" i="8" s="1"/>
  <c r="DZ59" i="8" s="1"/>
  <c r="EA59" i="8" s="1"/>
  <c r="EB59" i="8" s="1"/>
  <c r="EC59" i="8" s="1"/>
  <c r="ED59" i="8" s="1"/>
  <c r="EE59" i="8" s="1"/>
  <c r="EF59" i="8" s="1"/>
  <c r="EG59" i="8" s="1"/>
  <c r="EH59" i="8" s="1"/>
  <c r="EI59" i="8" s="1"/>
  <c r="EJ59" i="8" s="1"/>
  <c r="EK59" i="8" s="1"/>
  <c r="EL59" i="8" s="1"/>
  <c r="EM59" i="8" s="1"/>
  <c r="EN59" i="8" s="1"/>
  <c r="EO59" i="8" s="1"/>
  <c r="EP59" i="8" s="1"/>
  <c r="EQ59" i="8" s="1"/>
  <c r="ER59" i="8" s="1"/>
  <c r="ES59" i="8" s="1"/>
  <c r="CU70" i="8"/>
  <c r="CU79" i="8" l="1"/>
  <c r="CU81" i="8" s="1"/>
  <c r="CU83" i="8" s="1"/>
  <c r="CT84" i="8" s="1" a="1"/>
  <c r="CV83" i="8" l="1"/>
  <c r="CY75" i="2"/>
  <c r="CY76" i="2" l="1"/>
  <c r="CN52" i="2"/>
  <c r="CM52" i="2"/>
  <c r="CY80" i="2" l="1"/>
  <c r="CY82" i="2"/>
  <c r="CN116" i="2"/>
  <c r="CJ116" i="2"/>
  <c r="CH116" i="2"/>
  <c r="CF116" i="2"/>
  <c r="CB116" i="2"/>
  <c r="CJ50" i="2"/>
  <c r="CH50" i="2"/>
  <c r="CF50" i="2"/>
  <c r="CE50" i="2"/>
  <c r="CC50" i="2"/>
  <c r="CB50" i="2"/>
  <c r="CJ58" i="2"/>
  <c r="CI58" i="2"/>
  <c r="CH58" i="2"/>
  <c r="CG58" i="2"/>
  <c r="CF58" i="2"/>
  <c r="CE58" i="2"/>
  <c r="CD58" i="2"/>
  <c r="CC58" i="2"/>
  <c r="CB58" i="2"/>
  <c r="CA58" i="2"/>
  <c r="CJ56" i="2"/>
  <c r="CI56" i="2"/>
  <c r="CH56" i="2"/>
  <c r="CG56" i="2"/>
  <c r="CF56" i="2"/>
  <c r="CE56" i="2"/>
  <c r="CD56" i="2"/>
  <c r="CC56" i="2"/>
  <c r="CB56" i="2"/>
  <c r="CA56" i="2"/>
  <c r="CJ55" i="2"/>
  <c r="CI55" i="2"/>
  <c r="CH55" i="2"/>
  <c r="CG55" i="2"/>
  <c r="CF55" i="2"/>
  <c r="CE55" i="2"/>
  <c r="CD55" i="2"/>
  <c r="CC55" i="2"/>
  <c r="CB55" i="2"/>
  <c r="CA55" i="2"/>
  <c r="CJ54" i="2"/>
  <c r="CI54" i="2"/>
  <c r="CH54" i="2"/>
  <c r="CG54" i="2"/>
  <c r="CF54" i="2"/>
  <c r="CE54" i="2"/>
  <c r="CD54" i="2"/>
  <c r="CC54" i="2"/>
  <c r="CB54" i="2"/>
  <c r="CA54" i="2"/>
  <c r="CJ52" i="2"/>
  <c r="CI52" i="2"/>
  <c r="CH52" i="2"/>
  <c r="CG52" i="2"/>
  <c r="CF52" i="2"/>
  <c r="CE52" i="2"/>
  <c r="CD52" i="2"/>
  <c r="CC52" i="2"/>
  <c r="CB52" i="2"/>
  <c r="CA52" i="2"/>
  <c r="CJ51" i="2"/>
  <c r="CI51" i="2"/>
  <c r="CH51" i="2"/>
  <c r="CG51" i="2"/>
  <c r="CF51" i="2"/>
  <c r="CE51" i="2"/>
  <c r="CD51" i="2"/>
  <c r="CC51" i="2"/>
  <c r="CB51" i="2"/>
  <c r="CA51" i="2"/>
  <c r="CI50" i="2"/>
  <c r="CG50" i="2"/>
  <c r="CD50" i="2"/>
  <c r="CA50" i="2"/>
  <c r="CO116" i="2"/>
  <c r="CM116" i="2"/>
  <c r="CL116" i="2"/>
  <c r="CK116" i="2"/>
  <c r="CI116" i="2"/>
  <c r="CG116" i="2"/>
  <c r="CE116" i="2"/>
  <c r="CD116" i="2"/>
  <c r="CC116" i="2"/>
  <c r="CA116" i="2"/>
  <c r="CO113" i="2"/>
  <c r="CN113" i="2"/>
  <c r="CM113" i="2"/>
  <c r="CL113" i="2"/>
  <c r="CK113" i="2"/>
  <c r="CJ113" i="2"/>
  <c r="CI113" i="2"/>
  <c r="CH113" i="2"/>
  <c r="CH114" i="2" s="1"/>
  <c r="CG113" i="2"/>
  <c r="CF113" i="2"/>
  <c r="CE113" i="2"/>
  <c r="CD113" i="2"/>
  <c r="CC113" i="2"/>
  <c r="CB113" i="2"/>
  <c r="CA113" i="2"/>
  <c r="CO112" i="2"/>
  <c r="CO114" i="2" s="1"/>
  <c r="CN112" i="2"/>
  <c r="CM112" i="2"/>
  <c r="CL112" i="2"/>
  <c r="CL114" i="2" s="1"/>
  <c r="CK112" i="2"/>
  <c r="CK114" i="2" s="1"/>
  <c r="CJ112" i="2"/>
  <c r="CI112" i="2"/>
  <c r="CH112" i="2"/>
  <c r="CG112" i="2"/>
  <c r="CF112" i="2"/>
  <c r="CE112" i="2"/>
  <c r="CD112" i="2"/>
  <c r="CC112" i="2"/>
  <c r="CB112" i="2"/>
  <c r="CA112" i="2"/>
  <c r="CN101" i="2"/>
  <c r="CL101" i="2"/>
  <c r="CO100" i="2"/>
  <c r="CN100" i="2"/>
  <c r="CM100" i="2"/>
  <c r="CL100" i="2"/>
  <c r="CK100" i="2"/>
  <c r="CN99" i="2"/>
  <c r="CO98" i="2"/>
  <c r="CN98" i="2"/>
  <c r="CM98" i="2"/>
  <c r="CL98" i="2"/>
  <c r="CK98" i="2"/>
  <c r="CO97" i="2"/>
  <c r="CN97" i="2"/>
  <c r="CM97" i="2"/>
  <c r="CL97" i="2"/>
  <c r="CK97" i="2"/>
  <c r="CO96" i="2"/>
  <c r="CN96" i="2"/>
  <c r="CM96" i="2"/>
  <c r="CL96" i="2"/>
  <c r="CK96" i="2"/>
  <c r="CO95" i="2"/>
  <c r="CN95" i="2"/>
  <c r="CM95" i="2"/>
  <c r="CL95" i="2"/>
  <c r="CK95" i="2"/>
  <c r="CO94" i="2"/>
  <c r="CN94" i="2"/>
  <c r="CM94" i="2"/>
  <c r="CL94" i="2"/>
  <c r="CK94" i="2"/>
  <c r="CO93" i="2"/>
  <c r="CN93" i="2"/>
  <c r="CM93" i="2"/>
  <c r="CL93" i="2"/>
  <c r="CK93" i="2"/>
  <c r="CO92" i="2"/>
  <c r="CN92" i="2"/>
  <c r="CM92" i="2"/>
  <c r="CL92" i="2"/>
  <c r="CK92" i="2"/>
  <c r="CO91" i="2"/>
  <c r="CN91" i="2"/>
  <c r="CM91" i="2"/>
  <c r="CL91" i="2"/>
  <c r="CK91" i="2"/>
  <c r="CO90" i="2"/>
  <c r="CN90" i="2"/>
  <c r="CM90" i="2"/>
  <c r="CL90" i="2"/>
  <c r="CK90" i="2"/>
  <c r="CO89" i="2"/>
  <c r="CN89" i="2"/>
  <c r="CM89" i="2"/>
  <c r="CL89" i="2"/>
  <c r="CK89" i="2"/>
  <c r="CO88" i="2"/>
  <c r="CN88" i="2"/>
  <c r="CM88" i="2"/>
  <c r="CL88" i="2"/>
  <c r="CK88" i="2"/>
  <c r="CO87" i="2"/>
  <c r="CN87" i="2"/>
  <c r="CM87" i="2"/>
  <c r="CL87" i="2"/>
  <c r="CK87" i="2"/>
  <c r="CO86" i="2"/>
  <c r="CN86" i="2"/>
  <c r="CM86" i="2"/>
  <c r="CL86" i="2"/>
  <c r="CK86" i="2"/>
  <c r="CO85" i="2"/>
  <c r="CN85" i="2"/>
  <c r="CM85" i="2"/>
  <c r="CL85" i="2"/>
  <c r="CK85" i="2"/>
  <c r="CL83" i="2"/>
  <c r="CK83" i="2"/>
  <c r="CO82" i="2"/>
  <c r="CN82" i="2"/>
  <c r="CM82" i="2"/>
  <c r="CL82" i="2"/>
  <c r="CK82" i="2"/>
  <c r="CO81" i="2"/>
  <c r="CN81" i="2"/>
  <c r="CM81" i="2"/>
  <c r="CL81" i="2"/>
  <c r="CK81" i="2"/>
  <c r="CO80" i="2"/>
  <c r="CN80" i="2"/>
  <c r="CM80" i="2"/>
  <c r="CL80" i="2"/>
  <c r="CK80" i="2"/>
  <c r="CO79" i="2"/>
  <c r="CN79" i="2"/>
  <c r="CM79" i="2"/>
  <c r="CL79" i="2"/>
  <c r="CK79" i="2"/>
  <c r="CO78" i="2"/>
  <c r="CN78" i="2"/>
  <c r="CM78" i="2"/>
  <c r="CL78" i="2"/>
  <c r="CK78" i="2"/>
  <c r="CO77" i="2"/>
  <c r="CN77" i="2"/>
  <c r="CM77" i="2"/>
  <c r="CL77" i="2"/>
  <c r="CK77" i="2"/>
  <c r="CO76" i="2"/>
  <c r="CN76" i="2"/>
  <c r="CM76" i="2"/>
  <c r="CL76" i="2"/>
  <c r="CK76" i="2"/>
  <c r="CO75" i="2"/>
  <c r="CN75" i="2"/>
  <c r="CM75" i="2"/>
  <c r="CL75" i="2"/>
  <c r="CK75" i="2"/>
  <c r="CO73" i="2"/>
  <c r="CN73" i="2"/>
  <c r="CM73" i="2"/>
  <c r="CL73" i="2"/>
  <c r="CK73" i="2"/>
  <c r="CO72" i="2"/>
  <c r="CN72" i="2"/>
  <c r="CM72" i="2"/>
  <c r="CL72" i="2"/>
  <c r="CK72" i="2"/>
  <c r="CO71" i="2"/>
  <c r="CN71" i="2"/>
  <c r="CM71" i="2"/>
  <c r="CL71" i="2"/>
  <c r="CK71" i="2"/>
  <c r="CO70" i="2"/>
  <c r="CP55" i="2" s="1"/>
  <c r="CQ55" i="2" s="1"/>
  <c r="CR55" i="2" s="1"/>
  <c r="CS55" i="2" s="1"/>
  <c r="CT55" i="2" s="1"/>
  <c r="CU55" i="2" s="1"/>
  <c r="CV55" i="2" s="1"/>
  <c r="CW55" i="2" s="1"/>
  <c r="CX55" i="2" s="1"/>
  <c r="CY55" i="2" s="1"/>
  <c r="CN70" i="2"/>
  <c r="CM70" i="2"/>
  <c r="CL70" i="2"/>
  <c r="CK70" i="2"/>
  <c r="CK101" i="2"/>
  <c r="CO101" i="2"/>
  <c r="CM101" i="2"/>
  <c r="CO83" i="2"/>
  <c r="CN83" i="2"/>
  <c r="CM83" i="2"/>
  <c r="CL105" i="2" l="1"/>
  <c r="CN114" i="2"/>
  <c r="CG114" i="2"/>
  <c r="CI114" i="2"/>
  <c r="CN105" i="2"/>
  <c r="CM105" i="2"/>
  <c r="CR54" i="2"/>
  <c r="CY54" i="2"/>
  <c r="CQ54" i="2"/>
  <c r="CT54" i="2"/>
  <c r="CS54" i="2"/>
  <c r="CX54" i="2"/>
  <c r="CP54" i="2"/>
  <c r="CW54" i="2"/>
  <c r="CV54" i="2"/>
  <c r="CU54" i="2"/>
  <c r="CA114" i="2"/>
  <c r="CB114" i="2"/>
  <c r="CC114" i="2"/>
  <c r="CD114" i="2"/>
  <c r="CE114" i="2"/>
  <c r="CF114" i="2"/>
  <c r="CJ114" i="2"/>
  <c r="CM114" i="2"/>
  <c r="CA57" i="2"/>
  <c r="CA67" i="2" s="1"/>
  <c r="CG53" i="2"/>
  <c r="CI53" i="2"/>
  <c r="CC57" i="2"/>
  <c r="CC67" i="2" s="1"/>
  <c r="CE57" i="2"/>
  <c r="CE67" i="2" s="1"/>
  <c r="CB57" i="2"/>
  <c r="CB67" i="2" s="1"/>
  <c r="CF57" i="2"/>
  <c r="CF67" i="2" s="1"/>
  <c r="CJ57" i="2"/>
  <c r="CJ67" i="2" s="1"/>
  <c r="CH53" i="2"/>
  <c r="CD53" i="2"/>
  <c r="CJ53" i="2"/>
  <c r="CF53" i="2"/>
  <c r="CE53" i="2"/>
  <c r="CC53" i="2"/>
  <c r="CA53" i="2"/>
  <c r="CB53" i="2"/>
  <c r="CK99" i="2"/>
  <c r="CO105" i="2"/>
  <c r="CL99" i="2"/>
  <c r="CK105" i="2"/>
  <c r="CM99" i="2"/>
  <c r="CO99" i="2"/>
  <c r="CK50" i="2"/>
  <c r="CK49" i="2"/>
  <c r="CL52" i="2"/>
  <c r="CK56" i="2"/>
  <c r="CK55" i="2"/>
  <c r="CK54" i="2"/>
  <c r="CK52" i="2"/>
  <c r="CK51" i="2"/>
  <c r="CM56" i="2"/>
  <c r="CM55" i="2"/>
  <c r="CM54" i="2"/>
  <c r="CL56" i="2"/>
  <c r="CL55" i="2"/>
  <c r="CL54" i="2"/>
  <c r="CL51" i="2"/>
  <c r="CL50" i="2"/>
  <c r="CL49" i="2"/>
  <c r="CM51" i="2"/>
  <c r="CM50" i="2"/>
  <c r="CM49" i="2"/>
  <c r="CN56" i="2"/>
  <c r="CN55" i="2"/>
  <c r="CN54" i="2"/>
  <c r="CO56" i="2"/>
  <c r="CN51" i="2"/>
  <c r="CN50" i="2"/>
  <c r="CN49" i="2"/>
  <c r="CO55" i="2"/>
  <c r="CO54" i="2"/>
  <c r="CO51" i="2"/>
  <c r="CO50" i="2"/>
  <c r="CO52" i="2"/>
  <c r="CO49" i="2"/>
  <c r="CJ60" i="2"/>
  <c r="CJ115" i="2" s="1"/>
  <c r="CI60" i="2"/>
  <c r="CI115" i="2" s="1"/>
  <c r="CH60" i="2"/>
  <c r="CH115" i="2" s="1"/>
  <c r="CG60" i="2"/>
  <c r="CG115" i="2" s="1"/>
  <c r="CF60" i="2"/>
  <c r="CF115" i="2" s="1"/>
  <c r="CE60" i="2"/>
  <c r="CE115" i="2" s="1"/>
  <c r="CD60" i="2"/>
  <c r="CD115" i="2" s="1"/>
  <c r="CC60" i="2"/>
  <c r="CC115" i="2" s="1"/>
  <c r="CB60" i="2"/>
  <c r="CB115" i="2" s="1"/>
  <c r="CA60" i="2"/>
  <c r="CA115" i="2" s="1"/>
  <c r="CO60" i="2"/>
  <c r="CO115" i="2" s="1"/>
  <c r="CJ61" i="2"/>
  <c r="CI61" i="2"/>
  <c r="CH61" i="2"/>
  <c r="CG61" i="2"/>
  <c r="CF61" i="2"/>
  <c r="CE61" i="2"/>
  <c r="CD61" i="2"/>
  <c r="CC61" i="2"/>
  <c r="CB61" i="2"/>
  <c r="CA61" i="2"/>
  <c r="CG59" i="2"/>
  <c r="CG111" i="2" s="1"/>
  <c r="CE59" i="2"/>
  <c r="CE111" i="2" s="1"/>
  <c r="CB59" i="2"/>
  <c r="CB111" i="2" s="1"/>
  <c r="CA59" i="2"/>
  <c r="CA111" i="2" s="1"/>
  <c r="CJ49" i="2"/>
  <c r="CI49" i="2"/>
  <c r="CH49" i="2"/>
  <c r="CG49" i="2"/>
  <c r="CF49" i="2"/>
  <c r="CE49" i="2"/>
  <c r="CD49" i="2"/>
  <c r="CC49" i="2"/>
  <c r="CB49" i="2"/>
  <c r="CA49" i="2"/>
  <c r="CJ48" i="2"/>
  <c r="CI48" i="2"/>
  <c r="CH48" i="2"/>
  <c r="CG48" i="2"/>
  <c r="CF48" i="2"/>
  <c r="CE48" i="2"/>
  <c r="CD48" i="2"/>
  <c r="CC48" i="2"/>
  <c r="CB48" i="2"/>
  <c r="CA48" i="2"/>
  <c r="CJ47" i="2"/>
  <c r="CI47" i="2"/>
  <c r="CH47" i="2"/>
  <c r="CG47" i="2"/>
  <c r="CF47" i="2"/>
  <c r="CE47" i="2"/>
  <c r="CD47" i="2"/>
  <c r="CC47" i="2"/>
  <c r="CB47" i="2"/>
  <c r="CA47" i="2"/>
  <c r="CJ46" i="2"/>
  <c r="CI46" i="2"/>
  <c r="CH46" i="2"/>
  <c r="CG46" i="2"/>
  <c r="CF46" i="2"/>
  <c r="CE46" i="2"/>
  <c r="CD46" i="2"/>
  <c r="CC46" i="2"/>
  <c r="CB46" i="2"/>
  <c r="CA46" i="2"/>
  <c r="CJ45" i="2"/>
  <c r="CI45" i="2"/>
  <c r="CH45" i="2"/>
  <c r="CG45" i="2"/>
  <c r="CF45" i="2"/>
  <c r="CE45" i="2"/>
  <c r="CD45" i="2"/>
  <c r="CC45" i="2"/>
  <c r="CB45" i="2"/>
  <c r="CA45" i="2"/>
  <c r="CN60" i="2"/>
  <c r="CN115" i="2" s="1"/>
  <c r="CM60" i="2"/>
  <c r="CM115" i="2" s="1"/>
  <c r="CL60" i="2"/>
  <c r="CL115" i="2" s="1"/>
  <c r="CK60" i="2"/>
  <c r="CK115" i="2" s="1"/>
  <c r="CO47" i="2"/>
  <c r="CF59" i="2" l="1"/>
  <c r="CF111" i="2" s="1"/>
  <c r="CD59" i="2"/>
  <c r="CD111" i="2" s="1"/>
  <c r="CD57" i="2"/>
  <c r="CD67" i="2" s="1"/>
  <c r="CC59" i="2"/>
  <c r="CC111" i="2" s="1"/>
  <c r="CG57" i="2"/>
  <c r="CG67" i="2" s="1"/>
  <c r="CH57" i="2"/>
  <c r="CH67" i="2" s="1"/>
  <c r="CI57" i="2"/>
  <c r="CI67" i="2" s="1"/>
  <c r="CJ59" i="2"/>
  <c r="CJ111" i="2" s="1"/>
  <c r="CN45" i="2"/>
  <c r="CN107" i="2" s="1"/>
  <c r="CK45" i="2"/>
  <c r="CK107" i="2" s="1"/>
  <c r="CL45" i="2"/>
  <c r="CL107" i="2" s="1"/>
  <c r="CM45" i="2"/>
  <c r="CM107" i="2" s="1"/>
  <c r="CO45" i="2"/>
  <c r="CO107" i="2" s="1"/>
  <c r="CM48" i="2"/>
  <c r="CL48" i="2"/>
  <c r="CO48" i="2"/>
  <c r="CM58" i="2"/>
  <c r="CM47" i="2"/>
  <c r="CN47" i="2"/>
  <c r="CK58" i="2"/>
  <c r="CO58" i="2"/>
  <c r="CN48" i="2"/>
  <c r="CK47" i="2"/>
  <c r="CN58" i="2"/>
  <c r="CK48" i="2"/>
  <c r="CL47" i="2"/>
  <c r="CL58" i="2"/>
  <c r="CI59" i="2" l="1"/>
  <c r="CI111" i="2" s="1"/>
  <c r="CH59" i="2"/>
  <c r="CH111" i="2" s="1"/>
  <c r="CN33" i="2" l="1"/>
  <c r="CO33" i="2"/>
  <c r="CO38" i="2" l="1"/>
  <c r="CY77" i="2"/>
  <c r="M211" i="3" l="1"/>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10" i="3"/>
  <c r="K202" i="3" l="1"/>
  <c r="K201" i="3"/>
  <c r="K200" i="3"/>
  <c r="K199" i="3"/>
  <c r="K198"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CK46" i="2" l="1"/>
  <c r="CK53" i="2"/>
  <c r="CL46" i="2"/>
  <c r="CM46" i="2"/>
  <c r="CK74" i="2"/>
  <c r="CL74" i="2"/>
  <c r="CM74" i="2"/>
  <c r="CN74" i="2"/>
  <c r="CS74" i="2" s="1"/>
  <c r="CO74" i="2"/>
  <c r="CT74" i="2" s="1"/>
  <c r="CO44" i="2"/>
  <c r="CN44" i="2"/>
  <c r="CM44" i="2"/>
  <c r="CL44" i="2"/>
  <c r="CK44" i="2"/>
  <c r="CJ44" i="2"/>
  <c r="CI44" i="2"/>
  <c r="CH44" i="2"/>
  <c r="CG44" i="2"/>
  <c r="CF44" i="2"/>
  <c r="CE44" i="2"/>
  <c r="CD44" i="2"/>
  <c r="CC44" i="2"/>
  <c r="CB44" i="2"/>
  <c r="CA44" i="2"/>
  <c r="CO32" i="2"/>
  <c r="CN32" i="2"/>
  <c r="CN42" i="2" s="1"/>
  <c r="CO31" i="2"/>
  <c r="CN31" i="2"/>
  <c r="CN41" i="2" s="1"/>
  <c r="CO30" i="2"/>
  <c r="CN30" i="2"/>
  <c r="CN40" i="2" s="1"/>
  <c r="CO11" i="2"/>
  <c r="CN11" i="2"/>
  <c r="CM11" i="2"/>
  <c r="CL11" i="2"/>
  <c r="CK11" i="2"/>
  <c r="CO10" i="2"/>
  <c r="CP10" i="2" s="1"/>
  <c r="CQ10" i="2" s="1"/>
  <c r="CR10" i="2" s="1"/>
  <c r="CS10" i="2" s="1"/>
  <c r="CT10" i="2" s="1"/>
  <c r="CU10" i="2" s="1"/>
  <c r="CV10" i="2" s="1"/>
  <c r="CW10" i="2" s="1"/>
  <c r="CX10" i="2" s="1"/>
  <c r="CY10" i="2" s="1"/>
  <c r="CN10" i="2"/>
  <c r="CM10" i="2"/>
  <c r="CL10" i="2"/>
  <c r="CK10" i="2"/>
  <c r="CO9" i="2"/>
  <c r="CP9" i="2" s="1"/>
  <c r="CQ9" i="2" s="1"/>
  <c r="CR9" i="2" s="1"/>
  <c r="CS9" i="2" s="1"/>
  <c r="CT9" i="2" s="1"/>
  <c r="CU9" i="2" s="1"/>
  <c r="CV9" i="2" s="1"/>
  <c r="CW9" i="2" s="1"/>
  <c r="CX9" i="2" s="1"/>
  <c r="CY9" i="2" s="1"/>
  <c r="CN9" i="2"/>
  <c r="CM9" i="2"/>
  <c r="CL9" i="2"/>
  <c r="CK9" i="2"/>
  <c r="CO8" i="2"/>
  <c r="CP8" i="2" s="1"/>
  <c r="CQ8" i="2" s="1"/>
  <c r="CR8" i="2" s="1"/>
  <c r="CS8" i="2" s="1"/>
  <c r="CT8" i="2" s="1"/>
  <c r="CU8" i="2" s="1"/>
  <c r="CV8" i="2" s="1"/>
  <c r="CW8" i="2" s="1"/>
  <c r="CX8" i="2" s="1"/>
  <c r="CY8" i="2" s="1"/>
  <c r="CN8" i="2"/>
  <c r="CM8" i="2"/>
  <c r="CL8" i="2"/>
  <c r="CK8" i="2"/>
  <c r="CO7" i="2"/>
  <c r="CP7" i="2" s="1"/>
  <c r="CQ7" i="2" s="1"/>
  <c r="CR7" i="2" s="1"/>
  <c r="CS7" i="2" s="1"/>
  <c r="CT7" i="2" s="1"/>
  <c r="CU7" i="2" s="1"/>
  <c r="CV7" i="2" s="1"/>
  <c r="CW7" i="2" s="1"/>
  <c r="CX7" i="2" s="1"/>
  <c r="CY7" i="2" s="1"/>
  <c r="CN7" i="2"/>
  <c r="CM7" i="2"/>
  <c r="CL7" i="2"/>
  <c r="CK7" i="2"/>
  <c r="CO6" i="2"/>
  <c r="CP6" i="2" s="1"/>
  <c r="CQ6" i="2" s="1"/>
  <c r="CR6" i="2" s="1"/>
  <c r="CS6" i="2" s="1"/>
  <c r="CT6" i="2" s="1"/>
  <c r="CU6" i="2" s="1"/>
  <c r="CV6" i="2" s="1"/>
  <c r="CW6" i="2" s="1"/>
  <c r="CX6" i="2" s="1"/>
  <c r="CY6" i="2" s="1"/>
  <c r="CN6" i="2"/>
  <c r="CM6" i="2"/>
  <c r="CL6" i="2"/>
  <c r="CK6" i="2"/>
  <c r="CO5" i="2"/>
  <c r="CP5" i="2" s="1"/>
  <c r="CQ5" i="2" s="1"/>
  <c r="CR5" i="2" s="1"/>
  <c r="CS5" i="2" s="1"/>
  <c r="CT5" i="2" s="1"/>
  <c r="CU5" i="2" s="1"/>
  <c r="CV5" i="2" s="1"/>
  <c r="CW5" i="2" s="1"/>
  <c r="CX5" i="2" s="1"/>
  <c r="CY5" i="2" s="1"/>
  <c r="CN5" i="2"/>
  <c r="CM5" i="2"/>
  <c r="CL5" i="2"/>
  <c r="CK5" i="2"/>
  <c r="CL4" i="2"/>
  <c r="CN4" i="2"/>
  <c r="CO4" i="2"/>
  <c r="CP4" i="2" s="1"/>
  <c r="CM4" i="2"/>
  <c r="CK4" i="2"/>
  <c r="CB3" i="2"/>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G185" i="3"/>
  <c r="K203" i="3" s="1"/>
  <c r="C7" i="1"/>
  <c r="C10" i="1" l="1"/>
  <c r="CP77" i="8"/>
  <c r="CQ4" i="2"/>
  <c r="CP11" i="2"/>
  <c r="CM63" i="2"/>
  <c r="CO40" i="2"/>
  <c r="CO35" i="2"/>
  <c r="CK104" i="2"/>
  <c r="CK103" i="2"/>
  <c r="CK66" i="2"/>
  <c r="CM106" i="2"/>
  <c r="CM65" i="2"/>
  <c r="CM64" i="2"/>
  <c r="CO41" i="2"/>
  <c r="CO36" i="2"/>
  <c r="CN106" i="2"/>
  <c r="CN64" i="2"/>
  <c r="CN65" i="2"/>
  <c r="CO106" i="2"/>
  <c r="CO65" i="2"/>
  <c r="CO64" i="2"/>
  <c r="CK106" i="2"/>
  <c r="CK65" i="2"/>
  <c r="CK64" i="2"/>
  <c r="CL106" i="2"/>
  <c r="CL65" i="2"/>
  <c r="CL64" i="2"/>
  <c r="CO42" i="2"/>
  <c r="CO37" i="2"/>
  <c r="CV74" i="2"/>
  <c r="CO103" i="2"/>
  <c r="CO104" i="2"/>
  <c r="CN103" i="2"/>
  <c r="CN104" i="2"/>
  <c r="CL63" i="2"/>
  <c r="CK63" i="2"/>
  <c r="CL104" i="2"/>
  <c r="CL103" i="2"/>
  <c r="CM104" i="2"/>
  <c r="CM103" i="2"/>
  <c r="CD63" i="2"/>
  <c r="CD64" i="2"/>
  <c r="CD65" i="2"/>
  <c r="CD66" i="2"/>
  <c r="CD68" i="2"/>
  <c r="CG64" i="2"/>
  <c r="CG66" i="2"/>
  <c r="CG65" i="2"/>
  <c r="CG68" i="2"/>
  <c r="CG63" i="2"/>
  <c r="CF63" i="2"/>
  <c r="CF65" i="2"/>
  <c r="CF64" i="2"/>
  <c r="CF66" i="2"/>
  <c r="CF68" i="2"/>
  <c r="CH65" i="2"/>
  <c r="CH66" i="2"/>
  <c r="CH68" i="2"/>
  <c r="CH63" i="2"/>
  <c r="CH64" i="2"/>
  <c r="CA66" i="2"/>
  <c r="CA68" i="2"/>
  <c r="CA63" i="2"/>
  <c r="CA64" i="2"/>
  <c r="CA65" i="2"/>
  <c r="CI66" i="2"/>
  <c r="CI68" i="2"/>
  <c r="CI63" i="2"/>
  <c r="CI64" i="2"/>
  <c r="CI65" i="2"/>
  <c r="CB68" i="2"/>
  <c r="CB63" i="2"/>
  <c r="CB64" i="2"/>
  <c r="CB65" i="2"/>
  <c r="CB66" i="2"/>
  <c r="CJ68" i="2"/>
  <c r="CJ64" i="2"/>
  <c r="CJ63" i="2"/>
  <c r="CJ65" i="2"/>
  <c r="CJ66" i="2"/>
  <c r="CE64" i="2"/>
  <c r="CE63" i="2"/>
  <c r="CE65" i="2"/>
  <c r="CE66" i="2"/>
  <c r="CE68" i="2"/>
  <c r="CC68" i="2"/>
  <c r="CC63" i="2"/>
  <c r="CC64" i="2"/>
  <c r="CC65" i="2"/>
  <c r="CC66" i="2"/>
  <c r="CL53" i="2"/>
  <c r="CL66" i="2" s="1"/>
  <c r="CN18" i="2"/>
  <c r="CM20" i="2"/>
  <c r="CN15" i="2"/>
  <c r="CM17" i="2"/>
  <c r="CO15" i="2"/>
  <c r="CM13" i="2"/>
  <c r="CL14" i="2"/>
  <c r="CN20" i="2"/>
  <c r="CL19" i="2"/>
  <c r="CN14" i="2"/>
  <c r="CM14" i="2"/>
  <c r="CL16" i="2"/>
  <c r="CM16" i="2"/>
  <c r="CO17" i="2"/>
  <c r="CO14" i="2"/>
  <c r="CN16" i="2"/>
  <c r="CL18" i="2"/>
  <c r="CO19" i="2"/>
  <c r="CL15" i="2"/>
  <c r="CO16" i="2"/>
  <c r="CM18" i="2"/>
  <c r="CN17" i="2"/>
  <c r="CM19" i="2"/>
  <c r="CN13" i="2"/>
  <c r="CL13" i="2"/>
  <c r="CM15" i="2"/>
  <c r="CL20" i="2"/>
  <c r="CO20" i="2"/>
  <c r="CN19" i="2"/>
  <c r="CO22" i="2"/>
  <c r="CO13" i="2"/>
  <c r="CL17" i="2"/>
  <c r="CO18" i="2"/>
  <c r="CO46" i="2"/>
  <c r="CO63" i="2" s="1"/>
  <c r="CN46" i="2"/>
  <c r="CN63" i="2" s="1"/>
  <c r="CM53" i="2"/>
  <c r="CM66" i="2" s="1"/>
  <c r="CK22" i="2"/>
  <c r="CK24" i="2"/>
  <c r="CK28" i="2"/>
  <c r="CK25" i="2"/>
  <c r="CK27" i="2"/>
  <c r="CK26" i="2"/>
  <c r="CK23" i="2"/>
  <c r="CL28" i="2"/>
  <c r="CL25" i="2"/>
  <c r="CL24" i="2"/>
  <c r="CL23" i="2"/>
  <c r="CL27" i="2"/>
  <c r="CL22" i="2"/>
  <c r="CL26" i="2"/>
  <c r="CM26" i="2"/>
  <c r="CM23" i="2"/>
  <c r="CM25" i="2"/>
  <c r="CM27" i="2"/>
  <c r="CM28" i="2"/>
  <c r="CM24" i="2"/>
  <c r="CM22" i="2"/>
  <c r="CN26" i="2"/>
  <c r="CN23" i="2"/>
  <c r="CN28" i="2"/>
  <c r="CN25" i="2"/>
  <c r="CN22" i="2"/>
  <c r="CN27" i="2"/>
  <c r="CN24" i="2"/>
  <c r="CO24" i="2"/>
  <c r="CO26" i="2"/>
  <c r="CO23" i="2"/>
  <c r="CO28" i="2"/>
  <c r="CO27" i="2"/>
  <c r="CO25" i="2"/>
  <c r="P221" i="3"/>
  <c r="CP78" i="8" l="1"/>
  <c r="CP79" i="8"/>
  <c r="CP93" i="8" s="1"/>
  <c r="CP20" i="2"/>
  <c r="CP44" i="2"/>
  <c r="CR4" i="2"/>
  <c r="CQ11" i="2"/>
  <c r="CM57" i="2"/>
  <c r="CM67" i="2" s="1"/>
  <c r="CL57" i="2"/>
  <c r="CL67" i="2" s="1"/>
  <c r="CN53" i="2"/>
  <c r="CN66" i="2" s="1"/>
  <c r="CO53" i="2"/>
  <c r="CO66" i="2" s="1"/>
  <c r="CK57" i="2"/>
  <c r="CK67" i="2" s="1"/>
  <c r="P211" i="3"/>
  <c r="P210" i="3"/>
  <c r="P213" i="3"/>
  <c r="P220" i="3"/>
  <c r="P212" i="3"/>
  <c r="P223" i="3"/>
  <c r="P219" i="3"/>
  <c r="P215" i="3"/>
  <c r="P218" i="3"/>
  <c r="P222" i="3"/>
  <c r="P217" i="3"/>
  <c r="P214" i="3"/>
  <c r="P216" i="3"/>
  <c r="CS4" i="2" l="1"/>
  <c r="CR11" i="2"/>
  <c r="CP45" i="2"/>
  <c r="CP46" i="2" s="1"/>
  <c r="CP48" i="2"/>
  <c r="CP47" i="2"/>
  <c r="CQ20" i="2"/>
  <c r="CQ44" i="2"/>
  <c r="CN57" i="2"/>
  <c r="CN67" i="2" s="1"/>
  <c r="CM59" i="2"/>
  <c r="CK61" i="2"/>
  <c r="CK59" i="2"/>
  <c r="CO57" i="2"/>
  <c r="CO67" i="2" s="1"/>
  <c r="CL59" i="2"/>
  <c r="CQ48" i="2" l="1"/>
  <c r="CQ45" i="2"/>
  <c r="CQ46" i="2" s="1"/>
  <c r="CQ47" i="2"/>
  <c r="CP53" i="2"/>
  <c r="CR20" i="2"/>
  <c r="CR44" i="2"/>
  <c r="CS11" i="2"/>
  <c r="CT4" i="2"/>
  <c r="CK68" i="2"/>
  <c r="CK109" i="2"/>
  <c r="CK108" i="2"/>
  <c r="CK111" i="2"/>
  <c r="CL68" i="2"/>
  <c r="CL109" i="2"/>
  <c r="CL108" i="2"/>
  <c r="CL111" i="2"/>
  <c r="CM108" i="2"/>
  <c r="CM111" i="2"/>
  <c r="CM68" i="2"/>
  <c r="CM109" i="2"/>
  <c r="CL61" i="2"/>
  <c r="CM61" i="2"/>
  <c r="CO61" i="2"/>
  <c r="CO59" i="2"/>
  <c r="CN59" i="2"/>
  <c r="CQ53" i="2" l="1"/>
  <c r="CQ57" i="2" s="1"/>
  <c r="CQ58" i="2" s="1"/>
  <c r="CQ59" i="2" s="1"/>
  <c r="CQ68" i="2" s="1"/>
  <c r="CQ74" i="2"/>
  <c r="CQ75" i="2" s="1"/>
  <c r="CP66" i="2"/>
  <c r="CP57" i="2"/>
  <c r="CP58" i="2" s="1"/>
  <c r="CP59" i="2" s="1"/>
  <c r="CU4" i="2"/>
  <c r="CT11" i="2"/>
  <c r="CS20" i="2"/>
  <c r="CS44" i="2"/>
  <c r="CR48" i="2"/>
  <c r="CR45" i="2"/>
  <c r="CR46" i="2" s="1"/>
  <c r="CR47" i="2"/>
  <c r="CO108" i="2"/>
  <c r="CO111" i="2"/>
  <c r="CO109" i="2"/>
  <c r="CO68" i="2"/>
  <c r="CN108" i="2"/>
  <c r="CN111" i="2"/>
  <c r="CN68" i="2"/>
  <c r="CN109" i="2"/>
  <c r="CN61" i="2"/>
  <c r="CQ66" i="2" l="1"/>
  <c r="CT20" i="2"/>
  <c r="CT44" i="2"/>
  <c r="CP68" i="2"/>
  <c r="CP70" i="2"/>
  <c r="CQ70" i="2" s="1"/>
  <c r="CS47" i="2"/>
  <c r="CS48" i="2"/>
  <c r="CS45" i="2"/>
  <c r="CS46" i="2" s="1"/>
  <c r="CU11" i="2"/>
  <c r="CV4" i="2"/>
  <c r="CR53" i="2"/>
  <c r="CS53" i="2" l="1"/>
  <c r="CS66" i="2" s="1"/>
  <c r="CU20" i="2"/>
  <c r="CU44" i="2"/>
  <c r="CR66" i="2"/>
  <c r="CR57" i="2"/>
  <c r="CR58" i="2" s="1"/>
  <c r="CR59" i="2" s="1"/>
  <c r="CR68" i="2" s="1"/>
  <c r="CT48" i="2"/>
  <c r="CT45" i="2"/>
  <c r="CT46" i="2" s="1"/>
  <c r="CT47" i="2"/>
  <c r="CW4" i="2"/>
  <c r="CV11" i="2"/>
  <c r="CT53" i="2" l="1"/>
  <c r="CT66" i="2" s="1"/>
  <c r="CR70" i="2"/>
  <c r="CU48" i="2"/>
  <c r="CU47" i="2"/>
  <c r="CU45" i="2"/>
  <c r="CU46" i="2" s="1"/>
  <c r="CU53" i="2" s="1"/>
  <c r="CV20" i="2"/>
  <c r="CV44" i="2"/>
  <c r="CX4" i="2"/>
  <c r="CW11" i="2"/>
  <c r="CT57" i="2" l="1"/>
  <c r="CT58" i="2" s="1"/>
  <c r="CT59" i="2" s="1"/>
  <c r="CT68" i="2" s="1"/>
  <c r="CV48" i="2"/>
  <c r="CV45" i="2"/>
  <c r="CV46" i="2" s="1"/>
  <c r="CV47" i="2"/>
  <c r="CS57" i="2"/>
  <c r="CS58" i="2" s="1"/>
  <c r="CS59" i="2" s="1"/>
  <c r="CS68" i="2" s="1"/>
  <c r="CX11" i="2"/>
  <c r="CY4" i="2"/>
  <c r="CY11" i="2" s="1"/>
  <c r="CU66" i="2"/>
  <c r="CU57" i="2"/>
  <c r="CU58" i="2" s="1"/>
  <c r="CU59" i="2" s="1"/>
  <c r="CU68" i="2" s="1"/>
  <c r="CW20" i="2"/>
  <c r="CW44" i="2"/>
  <c r="CS70" i="2" l="1"/>
  <c r="CT70" i="2" s="1"/>
  <c r="CV53" i="2"/>
  <c r="CV57" i="2" s="1"/>
  <c r="CV58" i="2" s="1"/>
  <c r="CV59" i="2" s="1"/>
  <c r="CV68" i="2" s="1"/>
  <c r="CY44" i="2"/>
  <c r="CY20" i="2"/>
  <c r="CX20" i="2"/>
  <c r="CX44" i="2"/>
  <c r="CU70" i="2"/>
  <c r="CW45" i="2"/>
  <c r="CW46" i="2" s="1"/>
  <c r="CW47" i="2"/>
  <c r="CW48" i="2"/>
  <c r="CV66" i="2"/>
  <c r="CW53" i="2" l="1"/>
  <c r="CW66" i="2" s="1"/>
  <c r="CY45" i="2"/>
  <c r="CY46" i="2" s="1"/>
  <c r="CY48" i="2"/>
  <c r="CY47" i="2"/>
  <c r="CV70" i="2"/>
  <c r="CX47" i="2"/>
  <c r="CX48" i="2"/>
  <c r="CX45" i="2"/>
  <c r="CX46" i="2" s="1"/>
  <c r="CX53" i="2" s="1"/>
  <c r="CX66" i="2" s="1"/>
  <c r="CW57" i="2"/>
  <c r="CW58" i="2" s="1"/>
  <c r="CW59" i="2" s="1"/>
  <c r="CW68" i="2" s="1"/>
  <c r="CY53" i="2" l="1"/>
  <c r="CY66" i="2" s="1"/>
  <c r="CW70" i="2"/>
  <c r="CX57" i="2" l="1"/>
  <c r="CX58" i="2" l="1"/>
  <c r="CX59" i="2" s="1"/>
  <c r="CX68" i="2" s="1"/>
  <c r="CX70" i="2" l="1"/>
  <c r="CY57" i="2" l="1"/>
  <c r="CY58" i="2" l="1"/>
  <c r="CY59" i="2" s="1"/>
  <c r="CY68" i="2" s="1"/>
  <c r="CZ59" i="2" l="1"/>
  <c r="DA59" i="2" s="1"/>
  <c r="DB59" i="2" s="1"/>
  <c r="DC59" i="2" s="1"/>
  <c r="DD59" i="2" s="1"/>
  <c r="DE59" i="2" s="1"/>
  <c r="DF59" i="2" s="1"/>
  <c r="DG59" i="2" s="1"/>
  <c r="DH59" i="2" s="1"/>
  <c r="DI59" i="2" s="1"/>
  <c r="DJ59" i="2" s="1"/>
  <c r="DK59" i="2" s="1"/>
  <c r="DL59" i="2" s="1"/>
  <c r="DM59" i="2" s="1"/>
  <c r="DN59" i="2" s="1"/>
  <c r="DO59" i="2" s="1"/>
  <c r="DP59" i="2" s="1"/>
  <c r="DQ59" i="2" s="1"/>
  <c r="DR59" i="2" s="1"/>
  <c r="DS59" i="2" s="1"/>
  <c r="DT59" i="2" s="1"/>
  <c r="DU59" i="2" s="1"/>
  <c r="DV59" i="2" s="1"/>
  <c r="DW59" i="2" s="1"/>
  <c r="DX59" i="2" s="1"/>
  <c r="DY59" i="2" s="1"/>
  <c r="DZ59" i="2" s="1"/>
  <c r="EA59" i="2" s="1"/>
  <c r="EB59" i="2" s="1"/>
  <c r="EC59" i="2" s="1"/>
  <c r="ED59" i="2" s="1"/>
  <c r="EE59" i="2" s="1"/>
  <c r="EF59" i="2" s="1"/>
  <c r="EG59" i="2" s="1"/>
  <c r="EH59" i="2" s="1"/>
  <c r="EI59" i="2" s="1"/>
  <c r="EJ59" i="2" s="1"/>
  <c r="EK59" i="2" s="1"/>
  <c r="EL59" i="2" s="1"/>
  <c r="EM59" i="2" s="1"/>
  <c r="EN59" i="2" s="1"/>
  <c r="EO59" i="2" s="1"/>
  <c r="EP59" i="2" s="1"/>
  <c r="EQ59" i="2" s="1"/>
  <c r="ER59" i="2" s="1"/>
  <c r="ES59" i="2" s="1"/>
  <c r="ET59" i="2" s="1"/>
  <c r="EU59" i="2" s="1"/>
  <c r="EV59" i="2" s="1"/>
  <c r="EW59" i="2" s="1"/>
  <c r="CY70" i="2"/>
  <c r="CY79" i="2" l="1"/>
  <c r="CY81" i="2" l="1"/>
  <c r="CY83" i="2" l="1"/>
  <c r="CX84" i="2" l="1" a="1"/>
  <c r="CZ8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<sst xmlns="http://schemas.openxmlformats.org/spreadsheetml/2006/main" count="1598" uniqueCount="1288">
  <si>
    <t>Master</t>
  </si>
  <si>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</si>
  <si>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</si>
  <si>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</si>
  <si>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</si>
  <si>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</si>
  <si>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</si>
  <si>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</si>
  <si>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</si>
  <si>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</si>
  <si>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</si>
  <si>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</si>
  <si>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</si>
  <si>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</si>
  <si>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</si>
  <si>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</si>
  <si>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</si>
  <si>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</si>
  <si>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</si>
  <si>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</si>
  <si>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</si>
  <si>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</si>
  <si>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</si>
  <si>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</si>
  <si>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</si>
  <si>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</si>
  <si>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</si>
  <si>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</si>
  <si>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</si>
  <si>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</si>
  <si>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</si>
  <si>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</si>
  <si>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</si>
  <si>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</si>
  <si>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</si>
  <si>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</si>
  <si>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</si>
  <si>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</si>
  <si>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</si>
  <si>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</si>
  <si>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</si>
  <si>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</si>
  <si>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</si>
  <si>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</si>
  <si>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</si>
  <si>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</si>
  <si>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</si>
  <si>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</si>
  <si>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</si>
  <si>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</si>
  <si>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</si>
  <si>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</si>
  <si>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</si>
  <si>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</si>
  <si>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</si>
  <si>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</si>
  <si>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</si>
  <si>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</si>
  <si>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</si>
  <si>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</si>
  <si>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</si>
  <si>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</si>
  <si>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</si>
  <si>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</si>
  <si>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</si>
  <si>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</si>
  <si>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</si>
  <si>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</si>
  <si>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</si>
  <si>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</si>
  <si>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</si>
  <si>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</si>
  <si>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</si>
  <si>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</si>
  <si>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</si>
  <si>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</si>
  <si>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</si>
  <si>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</si>
  <si>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</si>
  <si>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</si>
  <si>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</si>
  <si>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</si>
  <si>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</si>
  <si>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</si>
  <si>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</si>
  <si>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</si>
  <si>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</si>
  <si>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</si>
  <si>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</si>
  <si>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</si>
  <si>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</si>
  <si>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</si>
  <si>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</si>
  <si>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</si>
  <si>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</si>
  <si>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</si>
  <si>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</si>
  <si>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</si>
  <si>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</si>
  <si>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</si>
  <si>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</si>
  <si>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</si>
  <si>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</si>
  <si>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</si>
  <si>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</si>
  <si>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</si>
  <si>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</si>
  <si>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</si>
  <si>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</si>
  <si>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</si>
  <si>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</si>
  <si>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</si>
  <si>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</si>
  <si>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</si>
  <si>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</si>
  <si>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</si>
  <si>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Revenues</t>
  </si>
  <si>
    <t>COGS</t>
  </si>
  <si>
    <t>GP</t>
  </si>
  <si>
    <t>Gross Profit Margin</t>
  </si>
  <si>
    <t>R&amp;D as % of Revenue</t>
  </si>
  <si>
    <t>SG&amp;A as % of Revenue</t>
  </si>
  <si>
    <t>Operating Profit Margin</t>
  </si>
  <si>
    <t>Effective Tax Rate</t>
  </si>
  <si>
    <t>Net Profit Margin</t>
  </si>
  <si>
    <t xml:space="preserve">Cash &amp; CEs </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</si>
  <si>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</si>
  <si>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</si>
  <si>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</si>
  <si>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</si>
  <si>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</si>
  <si>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</si>
  <si>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</si>
  <si>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</si>
  <si>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</si>
  <si>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</si>
  <si>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</si>
  <si>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</si>
  <si>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</si>
  <si>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</si>
  <si>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</si>
  <si>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</si>
  <si>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Earnings Scope:</t>
  </si>
  <si>
    <t>Balance Sheet Scope:</t>
  </si>
  <si>
    <t>[Equity Preformance Compared to Peers]</t>
  </si>
  <si>
    <t>Use Godel CMS command</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</si>
  <si>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</si>
  <si>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</si>
  <si>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</si>
  <si>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</si>
  <si>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</si>
  <si>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</si>
  <si>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</si>
  <si>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</si>
  <si>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</si>
  <si>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</si>
  <si>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</si>
  <si>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</si>
  <si>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</si>
  <si>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</si>
  <si>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</si>
  <si>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</si>
  <si>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</si>
  <si>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Capital Structure Snapshot:</t>
  </si>
  <si>
    <t>Y/y Total Revenues, Net Income, FCF</t>
  </si>
  <si>
    <t>Q/q Total Revenues, Net Income, FCF</t>
  </si>
  <si>
    <t>TFX</t>
  </si>
  <si>
    <t>https://seekingalpha.com/symbol/TFX/earnings/transcripts</t>
  </si>
  <si>
    <t>Teleflex IR Page</t>
  </si>
  <si>
    <t>Teleflex Homepage</t>
  </si>
  <si>
    <t>https://stockanalysis.com/stocks/tfx/company/</t>
  </si>
  <si>
    <t>https://www.teleflex.com/usa/en/</t>
  </si>
  <si>
    <t>https://investors.teleflex.com/home/default.aspx</t>
  </si>
  <si>
    <t>https://www.macrotrends.net/stocks/charts/ISRG/intuitive-surgical/cash-flow-statement?q=</t>
  </si>
  <si>
    <t>MacroTrends</t>
  </si>
  <si>
    <t>ROIC, WACC</t>
  </si>
  <si>
    <t>https://www.gurufocus.com/term/wacc/TFX</t>
  </si>
  <si>
    <t>Registered Exchange: NYSE</t>
  </si>
  <si>
    <t>Address:  550 East Swedesford Rd. Wayne, PA</t>
  </si>
  <si>
    <t>Headquarters: Wayne, PA</t>
  </si>
  <si>
    <t>Current CEO: Liam Kelly</t>
  </si>
  <si>
    <t>Founder(s): Morse Smith</t>
  </si>
  <si>
    <t>Founded: 1943</t>
  </si>
  <si>
    <t>Employees: 14,100</t>
  </si>
  <si>
    <t>Industry: Med-Tech and Supplies</t>
  </si>
  <si>
    <t>Sector: Healthcare</t>
  </si>
  <si>
    <t xml:space="preserve">IPO: Feb. 18, 1988 </t>
  </si>
  <si>
    <t>Institutional Ownership Snapshot (7/30/2025)</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</si>
  <si>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</si>
  <si>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</si>
  <si>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</si>
  <si>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</si>
  <si>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</si>
  <si>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</si>
  <si>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</si>
  <si>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</si>
  <si>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</si>
  <si>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</si>
  <si>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</si>
  <si>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</si>
  <si>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</si>
  <si>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</si>
  <si>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</si>
  <si>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</si>
  <si>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</si>
  <si>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</si>
  <si>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</si>
  <si>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</si>
  <si>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</si>
  <si>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</si>
  <si>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</si>
  <si>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</si>
  <si>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</si>
  <si>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</si>
  <si>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</si>
  <si>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</si>
  <si>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</si>
  <si>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</si>
  <si>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</si>
  <si>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</si>
  <si>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</si>
  <si>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</si>
  <si>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</si>
  <si>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</si>
  <si>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</si>
  <si>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</si>
  <si>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</si>
  <si>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</si>
  <si>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</si>
  <si>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</si>
  <si>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</si>
  <si>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</si>
  <si>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</si>
  <si>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</si>
  <si>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</si>
  <si>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</si>
  <si>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</si>
  <si>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</si>
  <si>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</si>
  <si>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</si>
  <si>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</si>
  <si>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</si>
  <si>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</si>
  <si>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</si>
  <si>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</si>
  <si>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</si>
  <si>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</si>
  <si>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</si>
  <si>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</si>
  <si>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</si>
  <si>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</si>
  <si>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</si>
  <si>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</si>
  <si>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</si>
  <si>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</si>
  <si>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</si>
  <si>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</si>
  <si>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</si>
  <si>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</si>
  <si>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</si>
  <si>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</si>
  <si>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</si>
  <si>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</si>
  <si>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</si>
  <si>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</si>
  <si>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</si>
  <si>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</si>
  <si>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</si>
  <si>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</si>
  <si>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</si>
  <si>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</si>
  <si>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</si>
  <si>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</si>
  <si>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</si>
  <si>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</si>
  <si>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</si>
  <si>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</si>
  <si>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</si>
  <si>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</si>
  <si>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</si>
  <si>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</si>
  <si>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</si>
  <si>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</si>
  <si>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</si>
  <si>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</si>
  <si>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</si>
  <si>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</si>
  <si>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</si>
  <si>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</si>
  <si>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</si>
  <si>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</si>
  <si>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</si>
  <si>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</si>
  <si>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</si>
  <si>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</si>
  <si>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</si>
  <si>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</si>
  <si>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</si>
  <si>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</si>
  <si>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</si>
  <si>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</si>
  <si>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</si>
  <si>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</si>
  <si>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</si>
  <si>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</si>
  <si>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</si>
  <si>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</si>
  <si>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</si>
  <si>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</si>
  <si>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</si>
  <si>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</si>
  <si>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</si>
  <si>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</si>
  <si>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</si>
  <si>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</si>
  <si>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</si>
  <si>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</si>
  <si>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</si>
  <si>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</si>
  <si>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</si>
  <si>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</si>
  <si>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</si>
  <si>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</si>
  <si>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</si>
  <si>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</si>
  <si>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</si>
  <si>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</si>
  <si>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</si>
  <si>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</si>
  <si>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</si>
  <si>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</si>
  <si>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</si>
  <si>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</si>
  <si>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</si>
  <si>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</si>
  <si>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</si>
  <si>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</si>
  <si>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</si>
  <si>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</si>
  <si>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</si>
  <si>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</si>
  <si>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</si>
  <si>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</si>
  <si>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</si>
  <si>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</si>
  <si>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</si>
  <si>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</si>
  <si>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</si>
  <si>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</si>
  <si>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</si>
  <si>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</si>
  <si>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</si>
  <si>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</si>
  <si>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</si>
  <si>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</si>
  <si>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</si>
  <si>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</si>
  <si>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</si>
  <si>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</si>
  <si>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</si>
  <si>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</si>
  <si>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</si>
  <si>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</si>
  <si>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</si>
  <si>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</si>
  <si>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</si>
  <si>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</si>
  <si>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</si>
  <si>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</si>
  <si>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</si>
  <si>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</si>
  <si>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</si>
  <si>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</si>
  <si>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</si>
  <si>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</si>
  <si>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</si>
  <si>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</si>
  <si>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</si>
  <si>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</si>
  <si>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</si>
  <si>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</si>
  <si>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</si>
  <si>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</si>
  <si>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</si>
  <si>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</si>
  <si>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</si>
  <si>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</si>
  <si>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</si>
  <si>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</si>
  <si>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</si>
  <si>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</si>
  <si>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</si>
  <si>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</si>
  <si>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</si>
  <si>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</si>
  <si>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</si>
  <si>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</si>
  <si>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</si>
  <si>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</si>
  <si>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</si>
  <si>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</si>
  <si>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</si>
  <si>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</si>
  <si>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</si>
  <si>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</si>
  <si>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</si>
  <si>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</si>
  <si>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</si>
  <si>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</si>
  <si>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</si>
  <si>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</si>
  <si>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</si>
  <si>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</si>
  <si>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</si>
  <si>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</si>
  <si>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</si>
  <si>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</si>
  <si>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</si>
  <si>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</si>
  <si>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</si>
  <si>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</si>
  <si>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</si>
  <si>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</si>
  <si>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</si>
  <si>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</si>
  <si>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</si>
  <si>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</si>
  <si>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</si>
  <si>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</si>
  <si>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</si>
  <si>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</si>
  <si>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</si>
  <si>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</si>
  <si>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</si>
  <si>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</si>
  <si>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</si>
  <si>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</si>
  <si>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</si>
  <si>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</si>
  <si>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</si>
  <si>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</si>
  <si>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</si>
  <si>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</si>
  <si>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</si>
  <si>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</si>
  <si>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</si>
  <si>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</si>
  <si>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</si>
  <si>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</si>
  <si>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</si>
  <si>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</si>
  <si>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</si>
  <si>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</si>
  <si>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</si>
  <si>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</si>
  <si>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</si>
  <si>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</si>
  <si>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</si>
  <si>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</si>
  <si>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</si>
  <si>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</si>
  <si>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</si>
  <si>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</si>
  <si>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</si>
  <si>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</si>
  <si>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</si>
  <si>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</si>
  <si>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</si>
  <si>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</si>
  <si>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</si>
  <si>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</si>
  <si>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</si>
  <si>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</si>
  <si>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</si>
  <si>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</si>
  <si>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</si>
  <si>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</si>
  <si>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</si>
  <si>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</si>
  <si>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</si>
  <si>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</si>
  <si>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</si>
  <si>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</si>
  <si>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</si>
  <si>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</si>
  <si>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</si>
  <si>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</si>
  <si>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</si>
  <si>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</si>
  <si>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</si>
  <si>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</si>
  <si>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</si>
  <si>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</si>
  <si>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</si>
  <si>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</si>
  <si>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</si>
  <si>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</si>
  <si>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</si>
  <si>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</si>
  <si>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</si>
  <si>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</si>
  <si>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</si>
  <si>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</si>
  <si>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</si>
  <si>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</si>
  <si>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</si>
  <si>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</si>
  <si>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</si>
  <si>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</si>
  <si>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</si>
  <si>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</si>
  <si>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</si>
  <si>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</si>
  <si>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</si>
  <si>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</si>
  <si>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</si>
  <si>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</si>
  <si>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</si>
  <si>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</si>
  <si>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</si>
  <si>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</si>
  <si>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</si>
  <si>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</si>
  <si>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</si>
  <si>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</si>
  <si>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</si>
  <si>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</si>
  <si>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</si>
  <si>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</si>
  <si>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</si>
  <si>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</si>
  <si>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</si>
  <si>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</si>
  <si>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</si>
  <si>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</si>
  <si>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</si>
  <si>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</si>
  <si>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</si>
  <si>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</si>
  <si>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</si>
  <si>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</si>
  <si>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</si>
  <si>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</si>
  <si>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</si>
  <si>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</si>
  <si>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</si>
  <si>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</si>
  <si>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</si>
  <si>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</si>
  <si>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</si>
  <si>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</si>
  <si>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</si>
  <si>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</si>
  <si>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</si>
  <si>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</si>
  <si>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</si>
  <si>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</si>
  <si>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</si>
  <si>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</si>
  <si>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</si>
  <si>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</si>
  <si>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</si>
  <si>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</si>
  <si>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</si>
  <si>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</si>
  <si>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</si>
  <si>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</si>
  <si>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</si>
  <si>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</si>
  <si>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</si>
  <si>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</si>
  <si>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</si>
  <si>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</si>
  <si>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</si>
  <si>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</si>
  <si>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</si>
  <si>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</si>
  <si>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</si>
  <si>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</si>
  <si>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</si>
  <si>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</si>
  <si>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</si>
  <si>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</si>
  <si>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</si>
  <si>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</si>
  <si>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</si>
  <si>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</si>
  <si>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</si>
  <si>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</si>
  <si>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</si>
  <si>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</si>
  <si>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</si>
  <si>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</si>
  <si>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</si>
  <si>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</si>
  <si>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</si>
  <si>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</si>
  <si>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</si>
  <si>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</si>
  <si>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</si>
  <si>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</si>
  <si>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</si>
  <si>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</si>
  <si>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</si>
  <si>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</si>
  <si>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</si>
  <si>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</si>
  <si>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</si>
  <si>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</si>
  <si>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</si>
  <si>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</si>
  <si>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</si>
  <si>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</si>
  <si>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</si>
  <si>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</si>
  <si>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</si>
  <si>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</si>
  <si>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</si>
  <si>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</si>
  <si>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</si>
  <si>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</si>
  <si>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</si>
  <si>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</si>
  <si>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</si>
  <si>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</si>
  <si>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</si>
  <si>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</si>
  <si>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</si>
  <si>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</si>
  <si>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</si>
  <si>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</si>
  <si>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</si>
  <si>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</si>
  <si>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</si>
  <si>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</si>
  <si>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</si>
  <si>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</si>
  <si>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</si>
  <si>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</si>
  <si>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</si>
  <si>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</si>
  <si>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</si>
  <si>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</si>
  <si>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</si>
  <si>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</si>
  <si>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</si>
  <si>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</si>
  <si>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</si>
  <si>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</si>
  <si>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</si>
  <si>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</si>
  <si>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</si>
  <si>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</si>
  <si>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</si>
  <si>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</si>
  <si>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</si>
  <si>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</si>
  <si>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</si>
  <si>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</si>
  <si>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</si>
  <si>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</si>
  <si>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</si>
  <si>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</si>
  <si>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</si>
  <si>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</si>
  <si>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</si>
  <si>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</si>
  <si>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</si>
  <si>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</si>
  <si>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</si>
  <si>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</si>
  <si>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</si>
  <si>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</si>
  <si>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</si>
  <si>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</si>
  <si>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</si>
  <si>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</si>
  <si>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</si>
  <si>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</si>
  <si>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</si>
  <si>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</si>
  <si>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</si>
  <si>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</si>
  <si>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</si>
  <si>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</si>
  <si>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</si>
  <si>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</si>
  <si>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</si>
  <si>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</si>
  <si>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</si>
  <si>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</si>
  <si>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</si>
  <si>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</si>
  <si>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</si>
  <si>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</si>
  <si>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</si>
  <si>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</si>
  <si>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</si>
  <si>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</si>
  <si>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</si>
  <si>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</si>
  <si>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</si>
  <si>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</si>
  <si>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</si>
  <si>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</si>
  <si>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</si>
  <si>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</si>
  <si>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</si>
  <si>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</si>
  <si>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</si>
  <si>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</si>
  <si>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</si>
  <si>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</si>
  <si>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</si>
  <si>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</si>
  <si>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</si>
  <si>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</si>
  <si>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</si>
  <si>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</si>
  <si>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</si>
  <si>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</si>
  <si>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</si>
  <si>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</si>
  <si>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</si>
  <si>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</si>
  <si>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</si>
  <si>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</si>
  <si>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</si>
  <si>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</si>
  <si>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</si>
  <si>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</si>
  <si>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</si>
  <si>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</si>
  <si>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</si>
  <si>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</si>
  <si>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</si>
  <si>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</si>
  <si>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</si>
  <si>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</si>
  <si>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</si>
  <si>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</si>
  <si>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</si>
  <si>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</si>
  <si>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</si>
  <si>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</si>
  <si>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</si>
  <si>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</si>
  <si>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</si>
  <si>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</si>
  <si>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</si>
  <si>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</si>
  <si>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</si>
  <si>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</si>
  <si>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</si>
  <si>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</si>
  <si>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</si>
  <si>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</si>
  <si>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</si>
  <si>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</si>
  <si>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</si>
  <si>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</si>
  <si>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</si>
  <si>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</si>
  <si>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</si>
  <si>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</si>
  <si>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</si>
  <si>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</si>
  <si>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</si>
  <si>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</si>
  <si>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</si>
  <si>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</si>
  <si>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</si>
  <si>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</si>
  <si>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</si>
  <si>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</si>
  <si>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</si>
  <si>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</si>
  <si>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</si>
  <si>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</si>
  <si>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</si>
  <si>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</si>
  <si>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</si>
  <si>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</si>
  <si>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</si>
  <si>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</si>
  <si>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</si>
  <si>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</si>
  <si>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</si>
  <si>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</si>
  <si>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</si>
  <si>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</si>
  <si>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</si>
  <si>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</si>
  <si>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</si>
  <si>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</si>
  <si>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</si>
  <si>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</si>
  <si>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</si>
  <si>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</si>
  <si>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</si>
  <si>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</si>
  <si>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</si>
  <si>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</si>
  <si>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</si>
  <si>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</si>
  <si>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</si>
  <si>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</si>
  <si>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</si>
  <si>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</si>
  <si>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</si>
  <si>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</si>
  <si>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</si>
  <si>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</si>
  <si>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</si>
  <si>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</si>
  <si>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</si>
  <si>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</si>
  <si>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</si>
  <si>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</si>
  <si>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</si>
  <si>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</si>
  <si>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</si>
  <si>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</si>
  <si>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</si>
  <si>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</si>
  <si>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</si>
  <si>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</si>
  <si>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</si>
  <si>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</si>
  <si>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</si>
  <si>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</si>
  <si>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</si>
  <si>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</si>
  <si>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</si>
  <si>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</si>
  <si>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</si>
  <si>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</si>
  <si>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</si>
  <si>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</si>
  <si>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</si>
  <si>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</si>
  <si>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</si>
  <si>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</si>
  <si>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</si>
  <si>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</si>
  <si>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</si>
  <si>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</si>
  <si>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</si>
  <si>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</si>
  <si>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</si>
  <si>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</si>
  <si>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</si>
  <si>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</si>
  <si>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</si>
  <si>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</si>
  <si>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</si>
  <si>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</si>
  <si>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</si>
  <si>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</si>
  <si>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</si>
  <si>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</si>
  <si>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</si>
  <si>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</si>
  <si>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</si>
  <si>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</si>
  <si>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</si>
  <si>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</si>
  <si>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</si>
  <si>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</si>
  <si>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</si>
  <si>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</si>
  <si>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</si>
  <si>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</si>
  <si>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</si>
  <si>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</si>
  <si>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</si>
  <si>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</si>
  <si>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</si>
  <si>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</si>
  <si>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</si>
  <si>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</si>
  <si>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</si>
  <si>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</si>
  <si>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</si>
  <si>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</si>
  <si>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</si>
  <si>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</si>
  <si>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</si>
  <si>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</si>
  <si>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</si>
  <si>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</si>
  <si>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</si>
  <si>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</si>
  <si>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</si>
  <si>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</si>
  <si>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</si>
  <si>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</si>
  <si>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</si>
  <si>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</si>
  <si>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</si>
  <si>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</si>
  <si>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</si>
  <si>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</si>
  <si>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</si>
  <si>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</si>
  <si>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</si>
  <si>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</si>
  <si>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</si>
  <si>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</si>
  <si>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</si>
  <si>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</si>
  <si>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</si>
  <si>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</si>
  <si>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</si>
  <si>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</si>
  <si>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</si>
  <si>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</si>
  <si>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</si>
  <si>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</si>
  <si>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</si>
  <si>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</si>
  <si>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</si>
  <si>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</si>
  <si>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</si>
  <si>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</si>
  <si>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</si>
  <si>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</si>
  <si>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</si>
  <si>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</si>
  <si>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</si>
  <si>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</si>
  <si>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</si>
  <si>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</si>
  <si>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</si>
  <si>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</si>
  <si>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</si>
  <si>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</si>
  <si>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</si>
  <si>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</si>
  <si>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</si>
  <si>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r>
      <rPr>
        <i/>
        <sz val="11"/>
        <color theme="1"/>
        <rFont val="Calibre"/>
      </rPr>
      <t>752</t>
    </r>
    <r>
      <rPr>
        <sz val="11"/>
        <color theme="1"/>
        <rFont val="Calibre"/>
      </rPr>
      <t xml:space="preserve"> Trading Days? (From: </t>
    </r>
    <r>
      <rPr>
        <i/>
        <sz val="11"/>
        <color theme="1"/>
        <rFont val="Calibre"/>
      </rPr>
      <t xml:space="preserve">7/30/2021 </t>
    </r>
    <r>
      <rPr>
        <sz val="11"/>
        <color theme="1"/>
        <rFont val="Calibre"/>
      </rPr>
      <t>- 7/30/2025)</t>
    </r>
  </si>
  <si>
    <t>More</t>
  </si>
  <si>
    <t>Q2'25</t>
  </si>
  <si>
    <t>Teleflex Inc. (TFX)</t>
  </si>
  <si>
    <t>1 (610) 948-2836</t>
  </si>
  <si>
    <t>investor.relations@teleflex.com</t>
  </si>
  <si>
    <t>Teleflex Q2'25 Earnings Scope</t>
  </si>
  <si>
    <t>Vascular Access</t>
  </si>
  <si>
    <t>Anesthesia</t>
  </si>
  <si>
    <t>Surgical</t>
  </si>
  <si>
    <t>Interventional Urology</t>
  </si>
  <si>
    <t>OEM</t>
  </si>
  <si>
    <t>Other</t>
  </si>
  <si>
    <t>Vascular Access Growth Y/y</t>
  </si>
  <si>
    <t>Anesthesia Growth Y/y</t>
  </si>
  <si>
    <t>Surgical Growth Y/y</t>
  </si>
  <si>
    <t>Interventional Urology Growth Y/y</t>
  </si>
  <si>
    <t>OEM Growth Y/y</t>
  </si>
  <si>
    <t>Other Growth Y/y</t>
  </si>
  <si>
    <t>Ttl Revenues Growth Y/y</t>
  </si>
  <si>
    <t>Vascular Access % of Ttl Revenues</t>
  </si>
  <si>
    <t>Interventional % of Ttl Revenues</t>
  </si>
  <si>
    <t>Anesthesia % of Ttl Revenues</t>
  </si>
  <si>
    <t>Surgical % of Ttl Revenues</t>
  </si>
  <si>
    <t>Interventional Urology % of Ttl Revenues</t>
  </si>
  <si>
    <t>OEM % of Ttl Revenues</t>
  </si>
  <si>
    <t>Other % of Ttl Revenues</t>
  </si>
  <si>
    <t>Projected ROIC:</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</si>
  <si>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</si>
  <si>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</si>
  <si>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</si>
  <si>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</si>
  <si>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</si>
  <si>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</si>
  <si>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</si>
  <si>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</si>
  <si>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</si>
  <si>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</si>
  <si>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</si>
  <si>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</si>
  <si>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</si>
  <si>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EMEA Revenues</t>
  </si>
  <si>
    <t>Asia Revenues</t>
  </si>
  <si>
    <t>U.S. Revenues Growth Y/y</t>
  </si>
  <si>
    <t>EMEA Revenues Growth Y/y</t>
  </si>
  <si>
    <t>Asia Revenues Growth Y/y</t>
  </si>
  <si>
    <t>U.S. Revenues % of Revenues</t>
  </si>
  <si>
    <t>EMEA Revenues % of Revenues</t>
  </si>
  <si>
    <t>Asia Revenues % of Revenues</t>
  </si>
  <si>
    <t>SG&amp;A</t>
  </si>
  <si>
    <t>R&amp;D</t>
  </si>
  <si>
    <t>Pension Settlement Charge</t>
  </si>
  <si>
    <t>Restructuring Charge</t>
  </si>
  <si>
    <t>Interest Income</t>
  </si>
  <si>
    <t>Interest Expense</t>
  </si>
  <si>
    <t>Pretax Income</t>
  </si>
  <si>
    <t>Taxes</t>
  </si>
  <si>
    <t>NI</t>
  </si>
  <si>
    <t>OI</t>
  </si>
  <si>
    <t>EPS</t>
  </si>
  <si>
    <t>Gain of Sale of Assets</t>
  </si>
  <si>
    <t>Goodwill Impairment</t>
  </si>
  <si>
    <t>Loss on Extinguishment of Debt</t>
  </si>
  <si>
    <t>A/R</t>
  </si>
  <si>
    <t>Inventories</t>
  </si>
  <si>
    <t>PP&amp;E</t>
  </si>
  <si>
    <t>Operating Lease Assets</t>
  </si>
  <si>
    <t>Goodwill</t>
  </si>
  <si>
    <t>Intangible Assets</t>
  </si>
  <si>
    <t>Deffered Tax Assets</t>
  </si>
  <si>
    <t>Other LT Assets</t>
  </si>
  <si>
    <t>Ttl Assets</t>
  </si>
  <si>
    <t>Current Debt</t>
  </si>
  <si>
    <t>A/P</t>
  </si>
  <si>
    <t>Payroll &amp; Benefit Liabilities</t>
  </si>
  <si>
    <t>Accrued ST Expenses</t>
  </si>
  <si>
    <t>Accrued Interest Liabilities</t>
  </si>
  <si>
    <t>Taxes Payable</t>
  </si>
  <si>
    <t>Other ST Liabilities</t>
  </si>
  <si>
    <t>ST Prepaid Taxes</t>
  </si>
  <si>
    <t>ST Prepaid Expenses</t>
  </si>
  <si>
    <t>LT Debt</t>
  </si>
  <si>
    <t>LT Tax Liabilities</t>
  </si>
  <si>
    <t>Pension Benefits</t>
  </si>
  <si>
    <t>LT Liability for Uncertain Taxes</t>
  </si>
  <si>
    <t>LT Operating Lease Liabilities</t>
  </si>
  <si>
    <t>Other LT Liabilities</t>
  </si>
  <si>
    <t>Ttl Liabilities</t>
  </si>
  <si>
    <t>SE</t>
  </si>
  <si>
    <t>Ttl L + SE</t>
  </si>
  <si>
    <t>Current Assets Held-For-Sale</t>
  </si>
  <si>
    <t>LT Assets Held-For-Sale</t>
  </si>
  <si>
    <t>ST Liabilities Held-For-Sale</t>
  </si>
  <si>
    <t>Vascular Intervention Growth Y/y</t>
  </si>
  <si>
    <t>8/25/2025</t>
  </si>
  <si>
    <t>Its products are marketed worldwide to hospitals and healthcare providers through a direct sales force and distributors</t>
  </si>
  <si>
    <t>The Company is currently focused on restructuring through the separation of its Urology, Acute Care, and OEM businesses into a new publicly traded company, referred to by management as "NewCo."</t>
  </si>
  <si>
    <t>The Company’s portfolio consists mainly of Class I and II medical devices, many of which require FDA 510(k) clearance, allowing for quicker and less costly market entry compared to Class III devices</t>
  </si>
  <si>
    <t>The Company focuses on achieving sustainable and profitable growth by expanding its product portfolio through new product development, technology investments, geographic expansion, operational efficiencies, and strategic acquisitions or partnerships</t>
  </si>
  <si>
    <t>The remaining company (RemainCo) will integrate the recently acquired Biotronik Vascular Intervention business and concentrate on high-growth hospital-focused markets such as vascular access, interventional, and surgical procedures performed in critical care settings like intensive care units and catheter labs</t>
  </si>
  <si>
    <t>Teleflex’s operational strategy emphasizes innovation, low-cost manufacturing, and broad market reach to enhance patient outcomes and provider efficiencies globally</t>
  </si>
  <si>
    <t>This strategic move aims to streamline operations and enhance management focus … “RemainCo” will concentrate on high-growth hospital-focused markets</t>
  </si>
  <si>
    <t>This restructuring aims to streamline operations, sharpen management focus, and drive profitability and innovation in core categories such as vascular access, interventional cardiology, and surgical products</t>
  </si>
  <si>
    <t>Teleflex is a global medical technology company specializing in the design, development, manufacturing, and supply of single-use medical devices primarily used by hospitals and healthcare providers for diagnostic and therapeutic procedures in critical care and surgical settings worldwide</t>
  </si>
  <si>
    <t>Additionally, The Company offers Arrow branded intra-aortic balloon pumps and catheters, Guideliner, Turnpike, and Trapliner catheters, the Manta Vascular Closure, and Arrow Oncontrol devices</t>
  </si>
  <si>
    <t>Teleflex was incorporated in 1943 and is headquartered in Wayne, Pennsylvania</t>
  </si>
  <si>
    <t>History:</t>
  </si>
  <si>
    <t>Teleflex was founded in 1943 as a manufacturer of precision mechanical push/pull controls for military aircraft</t>
  </si>
  <si>
    <t xml:space="preserve">From this original single market, single product orientation, The Company expanded and evolved through entries into new businesses, development of new products, introduction of products into new geographic or end-markets and acquisitions and dispositions of businesses </t>
  </si>
  <si>
    <t>Throughout The Company's history, management has continually focused on providing innovative, technology-driven, specialty-engineered products that help customers meet their business requirements</t>
  </si>
  <si>
    <t>Beginning in 2007, Managers significantly restructured the composition of The Company's portfolio of businesses, expanding its presence in the medical device industry, while spinning off all all other businesses, which served the aerospace, automotive, industrial and marine markets</t>
  </si>
  <si>
    <t>Following the divestitures of the marine business and cargo container and systems businesses in 2011, The Company became exclusively a medical device business</t>
  </si>
  <si>
    <t>In 2017, The Company completed two large scale acquisitions: NeoTract, Inc. ("NeoTract") and Vascular Solutions, Inc. (“Vascular Solutions”)</t>
  </si>
  <si>
    <t>NeoTract was a medical device company that developed and commercialized the UroLift System, a minimally invasive medical device for treating lower urinary tract symptoms due to benign prostatic hyperplasia, or BPH</t>
  </si>
  <si>
    <t>Vascular Solutions was a medical device company that developed and marketed clinical products for use in minimally invasive coronary and peripheral vascular procedures</t>
  </si>
  <si>
    <t>In 2021, The Company divested certain product lines within the global respiratory product portfolio to Medline Industries, Inc. (“Medline”) (the "Respiratory business divestiture")</t>
  </si>
  <si>
    <t>The initial phase of the Respiratory business divestiture was completed on June 28, 2021</t>
  </si>
  <si>
    <t>The second and final phase of the Respiratory business divestiture was completed in December 2023 with the transfer of certain additional manufacturing assets to Medline</t>
  </si>
  <si>
    <t>On February 27, 2025, Managers announced an intention to create a new, independently traded public company … "NewCo"</t>
  </si>
  <si>
    <t>"NewCo" will comprise of the Urology (consisting of our Interventional Urology and Urology product categories), Acute Care (consisting of Respiratory product category, the majority of the Anesthesia segment certain products within the Interventional Access and Surgical product categories) and OEM business segments</t>
  </si>
  <si>
    <t>While Teleflex is proceeding with the spin-off of certain segments into a new publicly traded entity (“NewCo”), The Company's Vascular Access product category, most products within the Interventional Access and Surgical businesses and the Vascular Intervention business expected to be acquired from BIOTRONIK will remain with Teleflex</t>
  </si>
  <si>
    <t>Managers continue to execute a footprint realignment and other restructuring programs designed to improve efficiencies in The Company's manufacturing and distribution facilities and, to a lesser extent, our sales and marketing and research and development organizations</t>
  </si>
  <si>
    <r>
      <t xml:space="preserve">The Company's </t>
    </r>
    <r>
      <rPr>
        <b/>
        <sz val="11"/>
        <color theme="1"/>
        <rFont val="Calibre"/>
      </rPr>
      <t>Vascular Access</t>
    </r>
    <r>
      <rPr>
        <sz val="11"/>
        <color theme="1"/>
        <rFont val="Calibre"/>
      </rPr>
      <t xml:space="preserve"> product portfolio encompasses devices designed to support a variety of critical care therapies and other medical applications, with an emphasis on reducing vascular-related complications</t>
    </r>
  </si>
  <si>
    <t>The Company's catheters are designed to support a wide array of clinical procedures, including the administration of intravenous therapies, the measurement of blood pressure, and the collection of blood samples, all through a single puncture site</t>
  </si>
  <si>
    <t>Many of these catheters are equipped with antimicrobial and anti-thrombogenic protection technologies, which have been demonstrated to reduce the risk of catheter related bloodstream infections, microbial colonization, and thrombus formation on catheter surfaces</t>
  </si>
  <si>
    <t>The Company's intraosseous access systems are designed for the delivery of medications and fluids in situations where intravenous access is challenging or not feasible</t>
  </si>
  <si>
    <r>
      <t>Vascular Access products are comprised of</t>
    </r>
    <r>
      <rPr>
        <b/>
        <sz val="11"/>
        <color theme="1"/>
        <rFont val="Calibre"/>
      </rPr>
      <t xml:space="preserve"> Arrow branded catheters</t>
    </r>
    <r>
      <rPr>
        <sz val="11"/>
        <color theme="1"/>
        <rFont val="Calibre"/>
      </rPr>
      <t>,</t>
    </r>
    <r>
      <rPr>
        <b/>
        <sz val="11"/>
        <color theme="1"/>
        <rFont val="Calibre"/>
      </rPr>
      <t xml:space="preserve"> catheter navigation</t>
    </r>
    <r>
      <rPr>
        <sz val="11"/>
        <color theme="1"/>
        <rFont val="Calibre"/>
      </rPr>
      <t xml:space="preserve"> and </t>
    </r>
    <r>
      <rPr>
        <b/>
        <sz val="11"/>
        <color theme="1"/>
        <rFont val="Calibre"/>
      </rPr>
      <t>tip positioning systems</t>
    </r>
    <r>
      <rPr>
        <sz val="11"/>
        <color theme="1"/>
        <rFont val="Calibre"/>
      </rPr>
      <t xml:space="preserve">, and </t>
    </r>
    <r>
      <rPr>
        <b/>
        <sz val="11"/>
        <color theme="1"/>
        <rFont val="Calibre"/>
      </rPr>
      <t>intraosseous bone access systems</t>
    </r>
    <r>
      <rPr>
        <sz val="11"/>
        <color theme="1"/>
        <rFont val="Calibre"/>
      </rPr>
      <t xml:space="preserve"> </t>
    </r>
  </si>
  <si>
    <t>These systems are particularly effective in emergency, urgent or medically critical scenarios and are suitable for use in both hospital and pre-hospital settings. Key products in this line include the EZ-IO Intraosseous Vascular Access System and the Arrow FAST1 Sternal Intraosseous Infusion System</t>
  </si>
  <si>
    <r>
      <t xml:space="preserve">The Company also offers </t>
    </r>
    <r>
      <rPr>
        <b/>
        <sz val="11"/>
        <color theme="1"/>
        <rFont val="Calibre"/>
      </rPr>
      <t>Vascular Intervention</t>
    </r>
    <r>
      <rPr>
        <sz val="11"/>
        <color theme="1"/>
        <rFont val="Calibre"/>
      </rPr>
      <t xml:space="preserve"> products that facilitate a variety of applications to diagnose and deliver treatment of coronary and peripheral vascular disease</t>
    </r>
  </si>
  <si>
    <t>These products primarily consist of a diverse portfolio of coronary catheters, structural heart support devices, peripheral intervention products, and mechanical circulatory support platforms used by interventional cardiologists, interventional radiologists and vascular surgeons</t>
  </si>
  <si>
    <t>Clinical benefits of our products include increased vein and artery access, post-procedure closure, and increased support during complex medical procedures</t>
  </si>
  <si>
    <r>
      <t xml:space="preserve">The Company provides </t>
    </r>
    <r>
      <rPr>
        <b/>
        <sz val="11"/>
        <color theme="1"/>
        <rFont val="Calibre"/>
      </rPr>
      <t>Anesthesia</t>
    </r>
    <r>
      <rPr>
        <sz val="11"/>
        <color theme="1"/>
        <rFont val="Calibre"/>
      </rPr>
      <t xml:space="preserve"> products, such as airway, pain management and hemostatic product lines that support hospital, emergency medicine and military channels</t>
    </r>
  </si>
  <si>
    <t>The airway management products and related devices are designed to enable use of standard and advanced anesthesia techniques in both pre-hospital emergency and hospital settings</t>
  </si>
  <si>
    <t>key products include laryngoscopes, supraglottic airways, endotracheal tubes and atomization devices, which are branded under our LMA, Rusch and MAD trade names</t>
  </si>
  <si>
    <t>Pain management product line includes epidurals, catheters and disposable pain pumps for regional anesthesia, designed to improve patients’ post-operative pain experience, which are branded under our Arrow trade name</t>
  </si>
  <si>
    <t>Hemostatic products accelerate the body's natural clotting cascade and are used in trauma situations where bleeding is difficult to control</t>
  </si>
  <si>
    <t>The portfolio consists of external hemostats used by first responders, interventional products used in the catheter lab, and trauma products used by trauma surgeons, which are branded under our QuikClot trade name</t>
  </si>
  <si>
    <r>
      <t xml:space="preserve">The Company offers </t>
    </r>
    <r>
      <rPr>
        <b/>
        <sz val="11"/>
        <color theme="1"/>
        <rFont val="Calibre"/>
      </rPr>
      <t>Surgical</t>
    </r>
    <r>
      <rPr>
        <sz val="11"/>
        <color theme="1"/>
        <rFont val="Calibre"/>
      </rPr>
      <t xml:space="preserve"> products consists of single-use and reusable devices designed for use in a variety of surgical procedures</t>
    </r>
  </si>
  <si>
    <t>These products primarily consist of metal and polymer ligating clips, and fascial closure surgical systems that are used in laparoscopic surgical procedures, percutaneous surgical systems, a powered bariatric stapler, and other surgical instruments used in Ear, Nose and Throat and Cardio-Vascular and Thoracic procedures</t>
  </si>
  <si>
    <t>Significant surgical brands include Weck, MiniLap, Pleur-Evac, Deknatel, KMedic, Pilling and Titan SGS</t>
  </si>
  <si>
    <r>
      <t xml:space="preserve">The Company also offers </t>
    </r>
    <r>
      <rPr>
        <b/>
        <sz val="11"/>
        <color theme="1"/>
        <rFont val="Calibre"/>
      </rPr>
      <t>Interventional Urology</t>
    </r>
    <r>
      <rPr>
        <sz val="11"/>
        <color theme="1"/>
        <rFont val="Calibre"/>
      </rPr>
      <t xml:space="preserve"> products includes the UroLift System, a minimally invasive technology for treating lower urinary tract symptoms due to benign prostatic hyperplasia, or BPH</t>
    </r>
  </si>
  <si>
    <t>The UroLift System involves the placement of permanent implants, typically through a transurethral outpatient procedure, that holds the prostate lobes apart to relieve compression on the urethra without cutting, heating or removing prostate tissue</t>
  </si>
  <si>
    <t>The Company's Interventional Urology product portfolio is most heavily weighted in the Americas segment</t>
  </si>
  <si>
    <t>In 2023, Managers expanded the Interventional Urology portfolio with the acquisition of Palette Life Sciences AB (“Palette”), which adds a portfolio of hyaluronic acid gel-based products primarily utilized in the treatment of urological diseases, including Barrigel, a rectal spacing product used in connection with radiation therapy treatment of prostate cancer</t>
  </si>
  <si>
    <t>Respiratory products are used in a variety of care settings and primarily consist of humidification and oxygen therapy products</t>
  </si>
  <si>
    <t>This product category previously included aerosol therapy, spirometry and ventilation management products, as well as certain other oxygen therapy products, all of which were included in the Respiratory business divestiture</t>
  </si>
  <si>
    <t>Respiratory business will be spun off in "NewCo"</t>
  </si>
  <si>
    <t>Interventional Urology business will be spun off in "NewCo"</t>
  </si>
  <si>
    <t>Urology business will be spun off in "NewCo"</t>
  </si>
  <si>
    <t>A majority of the Anesthesia business will be spun off in "NewCo"</t>
  </si>
  <si>
    <t>Urology products provides bladder management for patients in the hospital and individuals in the home care markets</t>
  </si>
  <si>
    <t>The product portfolio consists principally of a wide range of catheters (including Foley and intermittent), urine collectors, bladder management services, catheterization accessories, and products for operative endourology, which are marketed under the Teleflex and Rusch brand names</t>
  </si>
  <si>
    <t>The Company's Urology product portfolio is most heavily weighted in our EMEA segment</t>
  </si>
  <si>
    <t xml:space="preserve">The OEM product category designs, manufactures and supplies devices and instruments for other medical device manufacturers </t>
  </si>
  <si>
    <t>The Company's OEM portfolio includes the TFX Medical OEM, TFX OEM, Deknatel and HPC Medical brands, provides custom extrusions, micro-diameter film-cast tubing, diagnostic and interventional catheters, balloons and balloon catheters, film-insulated fine wire, coated mandrel wire, conductors, sheath/dilator introducers, specialized sutures and performance fibers, bioabsorbable sutures, yarns and resins</t>
  </si>
  <si>
    <t>The Company's OEM product portfolio is presented within the Americas segment</t>
  </si>
  <si>
    <t>The Company generally serves three end-markets: hospitals and healthcare providers, medical device manufacturers and home care</t>
  </si>
  <si>
    <t>These markets are affected by a number of factors, including demographics, utilization and reimbursement patterns</t>
  </si>
  <si>
    <t>Competition</t>
  </si>
  <si>
    <t>The medical device industry is highly competitive</t>
  </si>
  <si>
    <t>Teleflex competes with many companies, ranging from small start-up enterprises to companies that are larger and more established than us and have access to significantly greater financial resources</t>
  </si>
  <si>
    <t>Furthermore, extensive product research and development and rapid technological advances characterize the market in which we compete</t>
  </si>
  <si>
    <t>The Company must continue to develop and acquire new products and technologies for our businesses to remain competitive</t>
  </si>
  <si>
    <t>Managers believe that The Company competes primarily on the basis of clinical superiority and innovative features that enhance patient benefit, product reliability, performance, customer and sales support, and cost-effectiveness</t>
  </si>
  <si>
    <t>Sales and Marketing:</t>
  </si>
  <si>
    <t>The Company's product sales are made directly to hospitals, healthcare providers, distributors and to original equipment manufacturers of medical devices through our own sales forces, independent representatives and independent distributor networks</t>
  </si>
  <si>
    <t>Most of The Company's products are sold to hospitals or healthcare providers on orders calling for delivery within a few days or weeks, with longer order times for products sold to medical device manufacturers</t>
  </si>
  <si>
    <t>A backlog of orders is not indicative of revenues to be anticipated in any future 12-month period</t>
  </si>
  <si>
    <t>Patents and Trademarks:</t>
  </si>
  <si>
    <t>The Company owns a portfolio of patents, patents pending and trademarks … The Company also licenses various patents and trademarks</t>
  </si>
  <si>
    <t>Patents for individual products extend for varying periods based upon the date of patent filing or grant and the legal term of patents in the various countries where patent protection is obtained</t>
  </si>
  <si>
    <t>Trademark rights may potentially extend for longer periods of time and are dependent upon national laws and use of the marks</t>
  </si>
  <si>
    <t>All product names throughout this document are trademarks owned by, or licensed to, The Company or its subsidiaries</t>
  </si>
  <si>
    <t>Although these have been of value and are expected to continue to be of value in the future, Managers do not consider any single patent or trademark, except for the Teleflex name and the Arrow brand, to be essential to the operation of The Business</t>
  </si>
  <si>
    <t>Suppliers and Materials:</t>
  </si>
  <si>
    <t>Materials used in the manufacture and sterilization of our products are purchased from a large number of suppliers in diverse geographic locations</t>
  </si>
  <si>
    <t>Additional risk to tariff risk??? Investigate management commentary and track guidance figures for tariff impact</t>
  </si>
  <si>
    <t>Volatility in commodity prices, and freight costs, can have a significant impact on the cost of producing and supplying certain of our products</t>
  </si>
  <si>
    <t>The Company is not dependent on any single supplier for a substantial amount of the materials used, the components supplied and the sterilization services provided for overall operations</t>
  </si>
  <si>
    <t>Most of the materials, components and sterilization services The Company utilizes are available from multiple sources, and where practical, managers attempt to identify alternative suppliers</t>
  </si>
  <si>
    <t>However, the ability to establish alternate sources of supply of materials and sterilization services may be delayed due to FDA and other regulatory authority requirements regarding the manufacture and sterilization of The Company's products</t>
  </si>
  <si>
    <t>Research and Development:</t>
  </si>
  <si>
    <t>The Commpany is engaged in both internal and external research and development efforts</t>
  </si>
  <si>
    <t>Research and Development initiatives support The Company's strategic objectives to provide innovative new, safe and effective products that enhance clinical value by reducing infections, improving patient and clinician safety, enhancing patient outcomes and enabling less invasive procedures</t>
  </si>
  <si>
    <t>The Company also acquires or licenses products and technologies that are consistent with strategic objectives and enhance The Company's ability to provide a full range of product and service options to customers</t>
  </si>
  <si>
    <t>Seasonality:</t>
  </si>
  <si>
    <t>Portions of The Company's revenues are subject to seasonal fluctuations</t>
  </si>
  <si>
    <t>The incidence of flu and other disease patterns and, to a lesser extent, the frequency of elective medical procedures affect revenues related to single-use products</t>
  </si>
  <si>
    <t>Historically, The Company has experienced higher sales in the fourth quarter as a result of these factors</t>
  </si>
  <si>
    <t>Human Capital:</t>
  </si>
  <si>
    <r>
      <t xml:space="preserve">As of December 31, 2024, The Company employed </t>
    </r>
    <r>
      <rPr>
        <b/>
        <sz val="11"/>
        <color theme="1"/>
        <rFont val="Calibre"/>
      </rPr>
      <t>approximately 14,100 employees</t>
    </r>
    <r>
      <rPr>
        <sz val="11"/>
        <color theme="1"/>
        <rFont val="Calibre"/>
      </rPr>
      <t xml:space="preserve">, including </t>
    </r>
    <r>
      <rPr>
        <b/>
        <sz val="11"/>
        <color theme="1"/>
        <rFont val="Calibre"/>
      </rPr>
      <t xml:space="preserve">4,000 employees in the U.S. </t>
    </r>
    <r>
      <rPr>
        <sz val="11"/>
        <color theme="1"/>
        <rFont val="Calibre"/>
      </rPr>
      <t xml:space="preserve">and </t>
    </r>
    <r>
      <rPr>
        <b/>
        <sz val="11"/>
        <color theme="1"/>
        <rFont val="Calibre"/>
      </rPr>
      <t xml:space="preserve">10,100 employees in 35 other countries </t>
    </r>
    <r>
      <rPr>
        <sz val="11"/>
        <color theme="1"/>
        <rFont val="Calibre"/>
      </rPr>
      <t>around the world</t>
    </r>
  </si>
  <si>
    <t>The Company's global supply chain employees make up 60% of the total employee population and are located primarily in Mexico, Malaysia, the U.S. and the Czech Republic</t>
  </si>
  <si>
    <t>The Company's commercial organization comprises 20% of the global employee base  … The remaining 20% of employees work in various corporate functions, based in each of The Company's locations</t>
  </si>
  <si>
    <t>Managers believe The Company's employees are a significant differentiating factor and play a critical role in The Company's ability to deliver on commitments to patients and execute mangements strategy to customers and shareholders</t>
  </si>
  <si>
    <t>This was reinforced in 2024 with the roll-out of our new employer brand and its tagline: "Empowering your future in healthcare"</t>
  </si>
  <si>
    <t>Name</t>
  </si>
  <si>
    <t>Age</t>
  </si>
  <si>
    <t>Positions and Offices with Company</t>
  </si>
  <si>
    <t>Liam J. Kelly</t>
  </si>
  <si>
    <t>Chairman, President and Chief Executive Officer</t>
  </si>
  <si>
    <t>Thomas E. Powell</t>
  </si>
  <si>
    <t>Executive Vice President and Chief Financial Officer</t>
  </si>
  <si>
    <t>Cameron P. Hicks</t>
  </si>
  <si>
    <t>Corporate Vice President, Human Resources and Communications</t>
  </si>
  <si>
    <t>Daniel V. Logue</t>
  </si>
  <si>
    <t>Corporate Vice President, General Counsel and Secretary</t>
  </si>
  <si>
    <t>Jay White</t>
  </si>
  <si>
    <t>Corporate Vice President and President, Global Commercial</t>
  </si>
  <si>
    <t>James Winters</t>
  </si>
  <si>
    <t>Corporate Vice President, Manufacturing and Supply Chain</t>
  </si>
  <si>
    <t>Mr. Kelly has been our President and Chief Executive Officer since January 2018 and has been Chairman of our Board of Directors since May 2020</t>
  </si>
  <si>
    <t>Facilities and Properties:</t>
  </si>
  <si>
    <t>The Company owns or leases approximately 86 properties consisting of manufacturing plants, engineering and research centers, distribution warehouses, offices and other facilities</t>
  </si>
  <si>
    <t>Managers believe that the properties are maintained in good operating condition and are suitable for their intended use</t>
  </si>
  <si>
    <t>In general, The Company's facilities meet current operating requirements for the activities currently conducted within the facilities</t>
  </si>
  <si>
    <t>Major facilities (those with 50,000 or greater square feet) at December 31, 2024 are as follows:</t>
  </si>
  <si>
    <t>Location</t>
  </si>
  <si>
    <t>Primary use</t>
  </si>
  <si>
    <t>Square Footage</t>
  </si>
  <si>
    <t>Owned or Leased</t>
  </si>
  <si>
    <t>Olive Branch, MS</t>
  </si>
  <si>
    <t>Distribution warehouse</t>
  </si>
  <si>
    <t>Leased</t>
  </si>
  <si>
    <t>Kamunting, Malaysia</t>
  </si>
  <si>
    <t>Manufacturing</t>
  </si>
  <si>
    <t>Owned</t>
  </si>
  <si>
    <t>Tecate Mexico</t>
  </si>
  <si>
    <t>Chihuahua, Mexico</t>
  </si>
  <si>
    <t>Morrisville, NC</t>
  </si>
  <si>
    <t>Office administration</t>
  </si>
  <si>
    <t>Maple Grove, MN</t>
  </si>
  <si>
    <t>Zdar Nad Sazauou, Czech Republic</t>
  </si>
  <si>
    <t>Trenton, GA</t>
  </si>
  <si>
    <t>Hradec Kralove, Czech Republic</t>
  </si>
  <si>
    <t>Chelmsford, MA</t>
  </si>
  <si>
    <t>Kulim, Malaysia</t>
  </si>
  <si>
    <t>Jaffrey, NH</t>
  </si>
  <si>
    <t>Pleasanton, CA</t>
  </si>
  <si>
    <t>Nuevo Laredo, Mexico</t>
  </si>
  <si>
    <t>Reading, PA</t>
  </si>
  <si>
    <t>Engineering and research</t>
  </si>
  <si>
    <t>Limerick, Ireland</t>
  </si>
  <si>
    <t>Wayne, PA</t>
  </si>
  <si>
    <t>Mansfield, MA</t>
  </si>
  <si>
    <t>Plymouth, MN</t>
  </si>
  <si>
    <t>Operations in each of our business segments are conducted at locations both in and outside of the U.S. Of the facilities listed above, with the exception of Plymouth, MN, Jaffrey, NH, Mansfield, MA, Trenton, GA, and Limerick, Ireland, which are used solely for the OEM product category within our Americas segment, our facilities generally serve more than one business segment and are often used for multiple purposes, such as administrative/sales, manufacturing and warehousing/distribution</t>
  </si>
  <si>
    <t>In addition to the properties listed above, The Company owns or leases approximately 600,000 square feet of additional warehousing, manufacturing and office space worldwide</t>
  </si>
  <si>
    <t>On February 24, 2025, Managers executed a definitive agreement to acquire substantially all of the Vascular Intervention business (the “VI Business”) of BIOTRONIK SE &amp; Co. KG ("BIOTRONIK")</t>
  </si>
  <si>
    <t>The acquisition will include a broad suite of coronary and peripheral medical devices, such as drug-coated balloons, stents, and balloon catheters, which will complement our interventional product portfolio</t>
  </si>
  <si>
    <t>Under the terms of the agreement, we will acquire the VI Business for an initial cash payment of €760 million reduced by certain adjustments as provided in the purchase agreement including certain working capital not transferring and other customary adjustments</t>
  </si>
  <si>
    <t>The acquisition is subject to customary closing conditions, including receipt of certain regulatory approvals, and is expected to be completed in the third quarter of 2025</t>
  </si>
  <si>
    <t>Concurrent with the execution of the agreement to acquire the VI Business, we entered into an amendment to our Third Amended and Restated Credit Agreement (the “Credit Agreement”), which, among other things, (a) provides for a delayed draw term loan facility in an aggregate principal amount of $500 million, which will be available to be drawn on the date on which we consummate the VI Business acquisition and (b) permits us to borrow up to $550 million under the revolving facility provided for under the Credit Agreement on a limited condition basis on the date on which the VI Business acquisition is consummated</t>
  </si>
  <si>
    <t>Borrowings under the delayed draw term loan will bear interest at a rate per annum equal to the applicable margin plus, at our option, either (1) the highest of (i) the “Prime Rate” in the U.S. last quoted by The Wall Street Journal, (ii) 0.50% above the greater of the federal funds rate and the rate comprised of both overnight federal funds and overnight eurodollar transactions denominated in dollars and (iii) 1.00% above the Term SOFR Rate for a one month interest period, plus an applicable margin ranging from 0.125% to 1.00%, in each case subject to adjustments based on our total net leverage ratio or (2) a Term Secured Overnight Financing Rate (“SOFR”) rate (which includes a credit spread adjustment of 10 basis points)</t>
  </si>
  <si>
    <t>The applicable margin for borrowings under the delayed draw term loan range from 1.125% to 2.00% for SOFR borrowings and from 0.125% to 1.00% for base-rate borrowings, in each case, depending on, at our election, either (x) our public corporate family rating or (y) our consolidated total net leverage ratio, in each case, based on the most recently ended fiscal quarter. The obligations under the delayed draw term loan will be guaranteed and secured on the same basis as the facilities provided for under the Credit Agreement</t>
  </si>
  <si>
    <t>The delayed draw term loan will not amortize and will mature on the earlier of (x) the date that is two years after the date on which such loans are funded and (y) the maturity date for the revolving facility provided for under the Credit Agreement</t>
  </si>
  <si>
    <t>In addition to amending our Credit Agreement, we also entered into foreign exchange derivative contracts with an aggregate notional value of €700 million to economically hedge against the foreign currency exposure associated with the cash consideration needed to complete the VI Business acquisition</t>
  </si>
  <si>
    <t>We anticipate using the new delayed draw term loan along with revolving credit borrowings under the Credit Agreement and cash on hand to finance the VI Business acquisition</t>
  </si>
  <si>
    <t>For the year ended December 31, 2024, The Company incurred transaction costs of $11.5 million in connection with the acquisition, which was recognized in selling, general and administrative expenses in the Consolidated Statement of Income</t>
  </si>
  <si>
    <t>The majority of the transaction costs were recognized in the fourth quarter of 2024</t>
  </si>
  <si>
    <t>Recently Announced Strategic Actions</t>
  </si>
  <si>
    <t>On February 27, 2025, Managers announced intentions to create a new, independently traded public company comprising Urology (consisting of our Interventional Urology and Urology product categories), Acute Care (consisting of our Respiratory product category, the majority of our Anesthesia product category and certain products within our Interventional Access and Surgical product categories) and the OEM businesses</t>
  </si>
  <si>
    <t>The Vascular Access product category, most of our products within our Interventional Access and Surgical product categories and the expected acquisition of the VI business will remain with Teleflex</t>
  </si>
  <si>
    <t>Managers intend to target the completion of the transaction in the middle of 2026 via a distribution of newly issued shares of the new company to shareholders that is tax-free for U.S. tax purposes</t>
  </si>
  <si>
    <t>There can be no guarantees that the proposed separation will be completed on the terms and within the timeframe we announced, or at all</t>
  </si>
  <si>
    <r>
      <rPr>
        <b/>
        <sz val="11"/>
        <color theme="1"/>
        <rFont val="Calibre"/>
      </rPr>
      <t xml:space="preserve">Acquisition of BIOTRONIK </t>
    </r>
    <r>
      <rPr>
        <sz val="11"/>
        <color theme="1"/>
        <rFont val="Calibre"/>
      </rPr>
      <t>Vascular Intervention business</t>
    </r>
  </si>
  <si>
    <t>Product Families</t>
  </si>
  <si>
    <t>Key Product Brands</t>
  </si>
  <si>
    <t>Interventional Cardiology</t>
  </si>
  <si>
    <t xml:space="preserve">Surgical </t>
  </si>
  <si>
    <t>Emergency Medicine</t>
  </si>
  <si>
    <t>Military / Federal</t>
  </si>
  <si>
    <t>Urology</t>
  </si>
  <si>
    <t>Centeral Venous Catheters</t>
  </si>
  <si>
    <t>Arterial</t>
  </si>
  <si>
    <t>PICC</t>
  </si>
  <si>
    <t>Midline and Peripheral IV</t>
  </si>
  <si>
    <t>Tip Positioning Systems</t>
  </si>
  <si>
    <t>Accessory</t>
  </si>
  <si>
    <t>Arrowg+ard Blue Large-Bore Three-Lumen CVC Catheter</t>
  </si>
  <si>
    <t>Arrowg+ard Blue Plus Four-Lumen CVC Catheter</t>
  </si>
  <si>
    <t>Arrowg+ard Blue Three-Lumen CVC Catheter</t>
  </si>
  <si>
    <t>Four-Lumen CVC Catheter</t>
  </si>
  <si>
    <t>Jugular Puncture Catheter</t>
  </si>
  <si>
    <t>One-Lumen CVC Catheter</t>
  </si>
  <si>
    <t>One-Lumen PICC Set</t>
  </si>
  <si>
    <t>Pressure Injectable Arrowg+ard Blue Plus Four-Lumen CVC Catheter</t>
  </si>
  <si>
    <t>Pressure Injectable Arrowg+ard Blue Plus Three-Lumen CVC Catheter</t>
  </si>
  <si>
    <t>Pressure Injectable Arrowg+ard Blue Plus Two-Lumen CVC Catheter</t>
  </si>
  <si>
    <t>Small Vein Arrowg+ard Blue Three-Lumen CVC Catheter</t>
  </si>
  <si>
    <t>Small Vein Arrowg+ard Blue Two-Lumen CVC Catheter</t>
  </si>
  <si>
    <t>Three-Lumen CVC Catheter</t>
  </si>
  <si>
    <t>Three-Lumen CVC Catheter for Femoral Vein Insertion</t>
  </si>
  <si>
    <t>Two-Lumen CVC Catheter</t>
  </si>
  <si>
    <t>Two-Lumen CVC Catheter for Femoral Vein Insertion</t>
  </si>
  <si>
    <t>Arrowg+ard Blue One-Lumen CVC Catheter</t>
  </si>
  <si>
    <t>Central Venous Catheterization Set with Blue FlexTip Catheter</t>
  </si>
  <si>
    <t>Vessel Catheterization Set</t>
  </si>
  <si>
    <t>Four-Lumen Catheters:</t>
  </si>
  <si>
    <t>Three-Lumen Catheters:</t>
  </si>
  <si>
    <t>Two-Lumen Catheters:</t>
  </si>
  <si>
    <t>One-Lumen Catheters:</t>
  </si>
  <si>
    <t>Specialty &amp; Related Sets:</t>
  </si>
  <si>
    <t>Arrowg+ard Blue Two-Lumen Hemodialysis Catheter</t>
  </si>
  <si>
    <t>Pediatric Two-Lumen Hemodialysis Catheterization</t>
  </si>
  <si>
    <t>Two-Lumen Hemodialysis Catheter</t>
  </si>
  <si>
    <t>Two-Lumen Hemodialysis Curved Catheter Catheter</t>
  </si>
  <si>
    <t>You-Bend Two-Lumen Hemodialysis Catheter</t>
  </si>
  <si>
    <t>Pressure Injectable Arrowg+ard Blue Advance One-Lumen JACC</t>
  </si>
  <si>
    <t>Two-Lumen Hemodialysis Curved Catheter</t>
  </si>
  <si>
    <t>Pediatric Two-Lumen Hemodialysis Catheter</t>
  </si>
  <si>
    <t>Arterial/Venous Catheterization Set</t>
  </si>
  <si>
    <t>Arterial Catheterization Set</t>
  </si>
  <si>
    <t>QuickFlash Radial Artery Catheterization Set</t>
  </si>
  <si>
    <t>Radial Artery Catheterization Set</t>
  </si>
  <si>
    <t>Radial Artery Catheterization Set with Integral Needle Protection</t>
  </si>
  <si>
    <t>Twin-Cath 18/20 Two-Lumen Peripheral Catheter</t>
  </si>
  <si>
    <t>Twin-Cath 20/22 Two-Lumen Peripheral Catheter</t>
  </si>
  <si>
    <t>One-Lumen Midline</t>
  </si>
  <si>
    <t>Pressure Injectable Arrowg+ard Vlue Advance One-Lumen Midline</t>
  </si>
  <si>
    <t>Pressure Injectable One-Lumen Midline</t>
  </si>
  <si>
    <t>Vasonova VPS G4 Service/Warranty</t>
  </si>
  <si>
    <t>Vasonova VPS G4 Cart GCX</t>
  </si>
  <si>
    <t>Arrow VPS Stylet Bedside Procedure Kit</t>
  </si>
  <si>
    <t>VPS G4 Device Remote Control</t>
  </si>
  <si>
    <t>VPS G4 Device Stylet Extention Cable</t>
  </si>
  <si>
    <t>VPS G4 Interface Case</t>
  </si>
  <si>
    <t>VPS Device ECG Lead Set (3 Lead) RoHS</t>
  </si>
  <si>
    <t>Interventional      Cardiology / Radiology</t>
  </si>
  <si>
    <t>Teleflex Product Page</t>
  </si>
  <si>
    <t>https://www.teleflexvascular.com/</t>
  </si>
  <si>
    <t xml:space="preserve">Revenue Breakdown by Segment </t>
  </si>
  <si>
    <t>Fiscal Year: [January - December]</t>
  </si>
  <si>
    <t>2/20/2026</t>
  </si>
  <si>
    <t>https://www.sec.gov/edgar/browse/?CIK=96943&amp;owner=exclude</t>
  </si>
  <si>
    <t>Capital Structure</t>
  </si>
  <si>
    <t>Mkt Cap</t>
  </si>
  <si>
    <t>Debt to Ttl Mkt Cap</t>
  </si>
  <si>
    <t>Mkt Equity to Ttl Mkt Cap</t>
  </si>
  <si>
    <t>LT Debt / Equity</t>
  </si>
  <si>
    <t>Cost of Equity</t>
  </si>
  <si>
    <t>Market Return(1-year avg.)</t>
  </si>
  <si>
    <t xml:space="preserve">Cost of Equity </t>
  </si>
  <si>
    <t>Cost of Debt</t>
  </si>
  <si>
    <t>Tax Rate</t>
  </si>
  <si>
    <t>After Tax Cost of Debt</t>
  </si>
  <si>
    <t>WACC</t>
  </si>
  <si>
    <r>
      <rPr>
        <b/>
        <sz val="11"/>
        <color rgb="FF0070C0"/>
        <rFont val="Calibre"/>
      </rPr>
      <t>Avg.</t>
    </r>
    <r>
      <rPr>
        <sz val="11"/>
        <color rgb="FF0070C0"/>
        <rFont val="Calibre"/>
      </rPr>
      <t xml:space="preserve"> (2023-2024)</t>
    </r>
  </si>
  <si>
    <t>Q2'26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</si>
</sst>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0.0%"/>
    <numFmt numFmtId="166" formatCode="_(* #,##0.0_);_(* \(#,##0.0\);_(* &quot;-&quot;??_);_(@_)"/>
    <numFmt numFmtId="167" formatCode="_(* #,##0_);_(* \(#,##0\);_(*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
      <b/>
      <sz val="8"/>
      <color rgb="FF000000"/>
      <name val="Arial"/>
      <family val="2"/>
    </font>
    <font>
      <sz val="10"/>
      <color rgb="FF000000"/>
      <name val="Arial"/>
      <family val="2"/>
    </font>
    <font>
      <sz val="11"/>
      <color rgb="FF00B0F0"/>
      <name val="Calibre"/>
    </font>
  </fonts>
  <fills count="9">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CCEEFF"/>
        <bgColor indexed="64"/>
      </patternFill>
    </fill>
    <fill>
      <patternFill patternType="solid">
        <fgColor rgb="FFFFFFFF"/>
        <bgColor indexed="64"/>
      </patternFill>
    </fill>
    <fill>
      <patternFill patternType="solid">
        <fgColor theme="4" tint="0.7999816888943144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170">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3" applyFont="1"/>
    <xf numFmtId="10" fontId="0" fillId="0" borderId="0" xfId="0" applyNumberFormat="1"/>
    <xf numFmtId="0" fontId="17" fillId="0" borderId="0" xfId="0" applyFont="1"/>
    <xf numFmtId="0" fontId="0" fillId="0" borderId="18" xfId="0" applyBorder="1"/>
    <xf numFmtId="0" fontId="9" fillId="0" borderId="17" xfId="0" applyFont="1" applyBorder="1" applyAlignment="1">
      <alignment horizontal="center"/>
    </xf>
    <xf numFmtId="0" fontId="13" fillId="0" borderId="0" xfId="0" applyFont="1" applyAlignment="1">
      <alignment vertical="top"/>
    </xf>
    <xf numFmtId="0" fontId="13" fillId="0" borderId="0" xfId="0" applyFont="1" applyAlignment="1">
      <alignment horizontal="righ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2" fontId="13" fillId="0" borderId="0" xfId="0" applyNumberFormat="1" applyFont="1" applyAlignment="1">
      <alignment vertical="top"/>
    </xf>
    <xf numFmtId="164" fontId="2" fillId="0" borderId="0" xfId="0" applyNumberFormat="1" applyFont="1"/>
    <xf numFmtId="164" fontId="3" fillId="0" borderId="0" xfId="0" applyNumberFormat="1" applyFont="1"/>
    <xf numFmtId="165" fontId="2" fillId="0" borderId="0" xfId="1" applyNumberFormat="1" applyFont="1"/>
    <xf numFmtId="165" fontId="3" fillId="0" borderId="0" xfId="1" applyNumberFormat="1" applyFont="1"/>
    <xf numFmtId="0" fontId="12" fillId="0" borderId="0" xfId="0" applyFont="1" applyAlignment="1">
      <alignment vertical="top"/>
    </xf>
    <xf numFmtId="2" fontId="2" fillId="0" borderId="0" xfId="2" applyNumberFormat="1" applyFont="1"/>
    <xf numFmtId="165" fontId="13" fillId="0" borderId="0" xfId="1" applyNumberFormat="1" applyFont="1"/>
    <xf numFmtId="0" fontId="13" fillId="0" borderId="0" xfId="0" applyFont="1" applyAlignment="1">
      <alignment horizontal="left" vertical="top"/>
    </xf>
    <xf numFmtId="14" fontId="13" fillId="0" borderId="0" xfId="0" applyNumberFormat="1" applyFont="1" applyAlignment="1">
      <alignment horizontal="left" vertical="top"/>
    </xf>
    <xf numFmtId="165" fontId="12" fillId="0" borderId="0" xfId="1" applyNumberFormat="1" applyFont="1"/>
    <xf numFmtId="164" fontId="13" fillId="0" borderId="0" xfId="0" applyNumberFormat="1" applyFont="1"/>
    <xf numFmtId="164" fontId="12" fillId="0" borderId="0" xfId="0" applyNumberFormat="1" applyFont="1"/>
    <xf numFmtId="49" fontId="13" fillId="0" borderId="0" xfId="0" applyNumberFormat="1" applyFont="1"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14" fillId="8" borderId="8" xfId="0" applyFont="1" applyFill="1" applyBorder="1" applyAlignment="1">
      <alignment vertical="top"/>
    </xf>
    <xf numFmtId="0" fontId="16" fillId="8" borderId="1" xfId="3" applyFont="1" applyFill="1" applyBorder="1" applyAlignment="1">
      <alignment vertical="top"/>
    </xf>
    <xf numFmtId="0" fontId="21" fillId="8" borderId="2" xfId="0" applyFont="1" applyFill="1" applyBorder="1" applyAlignment="1">
      <alignment vertical="top"/>
    </xf>
    <xf numFmtId="0" fontId="14" fillId="8" borderId="2" xfId="0" applyFont="1" applyFill="1" applyBorder="1" applyAlignment="1">
      <alignment vertical="top"/>
    </xf>
    <xf numFmtId="0" fontId="14" fillId="8" borderId="5" xfId="0" applyFont="1" applyFill="1" applyBorder="1" applyAlignment="1">
      <alignment vertical="top"/>
    </xf>
    <xf numFmtId="0" fontId="11" fillId="8" borderId="8" xfId="0" applyFont="1" applyFill="1" applyBorder="1" applyAlignment="1">
      <alignment vertical="top"/>
    </xf>
    <xf numFmtId="0" fontId="16" fillId="8" borderId="8" xfId="3" applyFont="1" applyFill="1" applyBorder="1" applyAlignment="1">
      <alignment vertical="top"/>
    </xf>
    <xf numFmtId="0" fontId="14" fillId="8" borderId="9" xfId="0" applyFont="1" applyFill="1" applyBorder="1" applyAlignment="1">
      <alignment vertical="top"/>
    </xf>
    <xf numFmtId="0" fontId="14" fillId="8" borderId="12" xfId="0" applyFont="1" applyFill="1" applyBorder="1" applyAlignment="1">
      <alignment vertical="top"/>
    </xf>
    <xf numFmtId="0" fontId="14" fillId="8" borderId="13" xfId="0" applyFont="1" applyFill="1" applyBorder="1" applyAlignment="1">
      <alignment horizontal="center" vertical="top"/>
    </xf>
    <xf numFmtId="0" fontId="14" fillId="8" borderId="13" xfId="0" applyFont="1" applyFill="1" applyBorder="1" applyAlignment="1">
      <alignment vertical="top"/>
    </xf>
    <xf numFmtId="0" fontId="21" fillId="8" borderId="13" xfId="0" applyFont="1" applyFill="1" applyBorder="1" applyAlignment="1">
      <alignment vertical="top"/>
    </xf>
    <xf numFmtId="0" fontId="14" fillId="8" borderId="14" xfId="0" applyFont="1" applyFill="1" applyBorder="1" applyAlignment="1">
      <alignment vertical="top"/>
    </xf>
    <xf numFmtId="0" fontId="14" fillId="8" borderId="1" xfId="0" applyFont="1" applyFill="1" applyBorder="1" applyAlignment="1">
      <alignment vertical="top"/>
    </xf>
    <xf numFmtId="0" fontId="14" fillId="8" borderId="2" xfId="0" applyFont="1" applyFill="1" applyBorder="1" applyAlignment="1">
      <alignment horizontal="center" vertical="top"/>
    </xf>
    <xf numFmtId="0" fontId="16" fillId="8" borderId="12" xfId="3" applyFont="1" applyFill="1" applyBorder="1" applyAlignment="1">
      <alignment vertical="top"/>
    </xf>
    <xf numFmtId="0" fontId="11" fillId="8" borderId="13" xfId="0" applyFont="1" applyFill="1" applyBorder="1" applyAlignment="1">
      <alignment horizontal="center" vertical="top"/>
    </xf>
    <xf numFmtId="0" fontId="14" fillId="8" borderId="0" xfId="0" applyFont="1" applyFill="1" applyAlignment="1">
      <alignment horizontal="center" vertical="top"/>
    </xf>
    <xf numFmtId="0" fontId="14" fillId="8" borderId="0" xfId="0" applyFont="1" applyFill="1" applyAlignment="1">
      <alignment vertical="top"/>
    </xf>
    <xf numFmtId="0" fontId="21" fillId="8" borderId="0" xfId="0" applyFont="1" applyFill="1" applyAlignment="1">
      <alignment vertical="top"/>
    </xf>
    <xf numFmtId="0" fontId="16" fillId="8" borderId="0" xfId="3" applyFont="1" applyFill="1" applyBorder="1" applyAlignment="1">
      <alignment vertical="top"/>
    </xf>
    <xf numFmtId="0" fontId="11" fillId="8" borderId="0" xfId="0" applyFont="1" applyFill="1" applyAlignment="1">
      <alignment vertical="top"/>
    </xf>
    <xf numFmtId="0" fontId="11" fillId="8" borderId="0" xfId="0" applyFont="1" applyFill="1" applyAlignment="1">
      <alignment horizontal="center" vertical="top"/>
    </xf>
    <xf numFmtId="0" fontId="11" fillId="8" borderId="0" xfId="0" applyFont="1" applyFill="1" applyAlignment="1">
      <alignment horizontal="right" vertical="top"/>
    </xf>
    <xf numFmtId="0" fontId="11" fillId="8" borderId="0" xfId="0" applyFont="1" applyFill="1" applyAlignment="1">
      <alignment horizontal="left" vertical="top"/>
    </xf>
    <xf numFmtId="0" fontId="14" fillId="8" borderId="0" xfId="0" applyFont="1" applyFill="1" applyAlignment="1">
      <alignment horizontal="left" vertical="top"/>
    </xf>
    <xf numFmtId="0" fontId="4" fillId="3" borderId="23" xfId="0" applyFont="1" applyFill="1" applyBorder="1" applyAlignment="1">
      <alignment horizontal="center" vertical="top"/>
    </xf>
    <xf numFmtId="0" fontId="5" fillId="3" borderId="23" xfId="0" applyFont="1" applyFill="1" applyBorder="1" applyAlignment="1">
      <alignment horizontal="center" vertical="top"/>
    </xf>
    <xf numFmtId="0" fontId="5" fillId="3" borderId="24" xfId="0" applyFont="1" applyFill="1" applyBorder="1" applyAlignment="1">
      <alignment horizontal="center" vertical="top"/>
    </xf>
    <xf numFmtId="0" fontId="11" fillId="8" borderId="1" xfId="0" applyFont="1" applyFill="1" applyBorder="1" applyAlignment="1">
      <alignment vertical="top"/>
    </xf>
    <xf numFmtId="0" fontId="11" fillId="8" borderId="2" xfId="0" applyFont="1" applyFill="1" applyBorder="1" applyAlignment="1">
      <alignment horizontal="center" vertical="top"/>
    </xf>
    <xf numFmtId="0" fontId="2" fillId="8" borderId="1" xfId="3" applyFont="1" applyFill="1" applyBorder="1" applyAlignment="1">
      <alignment vertical="top"/>
    </xf>
    <xf numFmtId="0" fontId="21" fillId="8" borderId="8" xfId="3" applyFont="1" applyFill="1" applyBorder="1" applyAlignment="1">
      <alignment vertical="top"/>
    </xf>
    <xf numFmtId="0" fontId="2" fillId="8" borderId="8" xfId="3" applyFont="1" applyFill="1" applyBorder="1" applyAlignment="1">
      <alignment vertical="top"/>
    </xf>
    <xf numFmtId="0" fontId="21" fillId="8" borderId="12" xfId="3" applyFont="1" applyFill="1" applyBorder="1" applyAlignment="1">
      <alignment horizontal="left" vertical="top"/>
    </xf>
    <xf numFmtId="0" fontId="21" fillId="8" borderId="12" xfId="3" applyFont="1" applyFill="1" applyBorder="1" applyAlignment="1">
      <alignment vertical="top"/>
    </xf>
    <xf numFmtId="10" fontId="2" fillId="0" borderId="0" xfId="1" applyNumberFormat="1" applyFont="1"/>
    <xf numFmtId="43" fontId="2" fillId="0" borderId="0" xfId="4" applyFont="1" applyAlignment="1">
      <alignment horizontal="left"/>
    </xf>
    <xf numFmtId="166" fontId="2" fillId="0" borderId="0" xfId="4" applyNumberFormat="1" applyFont="1" applyAlignment="1">
      <alignment horizontal="left"/>
    </xf>
    <xf numFmtId="167" fontId="2" fillId="0" borderId="0" xfId="4" applyNumberFormat="1" applyFont="1" applyAlignment="1">
      <alignment horizontal="left"/>
    </xf>
    <xf numFmtId="0" fontId="12" fillId="0" borderId="0" xfId="0" applyFont="1" applyAlignment="1">
      <alignment horizontal="left" vertical="top" indent="1"/>
    </xf>
    <xf numFmtId="0" fontId="13" fillId="0" borderId="0" xfId="0" applyFont="1" applyAlignment="1">
      <alignment horizontal="right" vertical="center"/>
    </xf>
    <xf numFmtId="0" fontId="12" fillId="0" borderId="0" xfId="0" applyFont="1" applyAlignment="1">
      <alignment horizontal="right" vertical="center"/>
    </xf>
    <xf numFmtId="10" fontId="13" fillId="0" borderId="0" xfId="0" applyNumberFormat="1" applyFont="1"/>
    <xf numFmtId="0" fontId="13" fillId="0" borderId="0" xfId="0" applyFont="1" applyAlignment="1">
      <alignment horizontal="left" indent="1"/>
    </xf>
    <xf numFmtId="10" fontId="13" fillId="0" borderId="0" xfId="1" applyNumberFormat="1" applyFont="1"/>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1" fontId="13" fillId="0" borderId="0" xfId="0" applyNumberFormat="1" applyFont="1"/>
    <xf numFmtId="2" fontId="13" fillId="0" borderId="0" xfId="0" applyNumberFormat="1" applyFont="1"/>
    <xf numFmtId="49" fontId="13" fillId="0" borderId="0" xfId="0" applyNumberFormat="1" applyFont="1" applyAlignment="1">
      <alignment horizontal="right" vertical="top"/>
    </xf>
    <xf numFmtId="0" fontId="13" fillId="0" borderId="0" xfId="0" applyFont="1" applyAlignment="1">
      <alignment horizontal="left" vertical="top" indent="1"/>
    </xf>
    <xf numFmtId="0" fontId="12" fillId="0" borderId="0" xfId="0" applyFont="1" applyAlignment="1">
      <alignment horizontal="center"/>
    </xf>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1" fontId="12" fillId="0" borderId="0" xfId="0" applyNumberFormat="1" applyFont="1" applyAlignment="1">
      <alignment horizontal="left" indent="1"/>
    </xf>
    <xf numFmtId="0" fontId="18" fillId="0" borderId="0" xfId="0" applyFont="1" applyAlignment="1">
      <alignment horizontal="center"/>
    </xf>
    <xf numFmtId="0" fontId="19" fillId="0" borderId="20" xfId="0" applyFont="1" applyBorder="1" applyAlignment="1">
      <alignment horizontal="center" wrapText="1"/>
    </xf>
    <xf numFmtId="0" fontId="20" fillId="6" borderId="19" xfId="0" applyFont="1" applyFill="1" applyBorder="1" applyAlignment="1">
      <alignment horizontal="left" wrapText="1"/>
    </xf>
    <xf numFmtId="3" fontId="20" fillId="6" borderId="19" xfId="0" applyNumberFormat="1" applyFont="1" applyFill="1" applyBorder="1" applyAlignment="1">
      <alignment horizontal="center" wrapText="1"/>
    </xf>
    <xf numFmtId="0" fontId="20" fillId="6" borderId="19" xfId="0" applyFont="1" applyFill="1" applyBorder="1" applyAlignment="1">
      <alignment horizontal="center" wrapText="1"/>
    </xf>
    <xf numFmtId="0" fontId="19" fillId="0" borderId="20" xfId="0" applyFont="1" applyBorder="1" applyAlignment="1">
      <alignment horizontal="left" wrapText="1"/>
    </xf>
    <xf numFmtId="0" fontId="20" fillId="7" borderId="0" xfId="0" applyFont="1" applyFill="1" applyAlignment="1">
      <alignment horizontal="center" wrapText="1"/>
    </xf>
    <xf numFmtId="0" fontId="20" fillId="6" borderId="0" xfId="0" applyFont="1" applyFill="1" applyAlignment="1">
      <alignment horizontal="left" wrapText="1"/>
    </xf>
    <xf numFmtId="3" fontId="20" fillId="6" borderId="0" xfId="0" applyNumberFormat="1" applyFont="1" applyFill="1" applyAlignment="1">
      <alignment horizontal="center" wrapText="1"/>
    </xf>
    <xf numFmtId="0" fontId="20" fillId="6" borderId="0" xfId="0" applyFont="1" applyFill="1" applyAlignment="1">
      <alignment horizontal="center" wrapText="1"/>
    </xf>
    <xf numFmtId="0" fontId="20" fillId="7" borderId="0" xfId="0" applyFont="1" applyFill="1" applyAlignment="1">
      <alignment horizontal="left" wrapText="1"/>
    </xf>
    <xf numFmtId="3" fontId="20" fillId="7" borderId="0" xfId="0" applyNumberFormat="1" applyFont="1" applyFill="1" applyAlignment="1">
      <alignment horizontal="center" wrapText="1"/>
    </xf>
    <xf numFmtId="0" fontId="20" fillId="6" borderId="0" xfId="0" applyFont="1" applyFill="1" applyAlignment="1">
      <alignment horizontal="left" vertical="center" wrapText="1"/>
    </xf>
    <xf numFmtId="0" fontId="20" fillId="7" borderId="0" xfId="0" applyFont="1" applyFill="1" applyAlignment="1">
      <alignment horizontal="left" vertical="center" wrapText="1"/>
    </xf>
    <xf numFmtId="0" fontId="2" fillId="0" borderId="0" xfId="0" applyFont="1" applyAlignment="1">
      <alignment horizontal="left" vertical="top"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2" borderId="21"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14" fillId="8" borderId="1" xfId="0" applyFont="1" applyFill="1" applyBorder="1" applyAlignment="1">
      <alignment horizontal="center" vertical="center"/>
    </xf>
    <xf numFmtId="0" fontId="14" fillId="8" borderId="2"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8" xfId="0" applyFont="1" applyFill="1" applyBorder="1" applyAlignment="1">
      <alignment horizontal="center" vertical="center"/>
    </xf>
    <xf numFmtId="0" fontId="14" fillId="8" borderId="0" xfId="0" applyFont="1" applyFill="1" applyAlignment="1">
      <alignment horizontal="center" vertical="center"/>
    </xf>
    <xf numFmtId="0" fontId="14" fillId="8" borderId="9" xfId="0" applyFont="1" applyFill="1" applyBorder="1" applyAlignment="1">
      <alignment horizontal="center" vertical="center"/>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14"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0" fontId="19" fillId="0" borderId="20" xfId="0" applyFont="1" applyBorder="1" applyAlignment="1">
      <alignment horizontal="center" vertical="top" wrapText="1"/>
    </xf>
    <xf numFmtId="0" fontId="20" fillId="6" borderId="19" xfId="0" applyFont="1" applyFill="1" applyBorder="1" applyAlignment="1">
      <alignment horizontal="left" vertical="top" wrapText="1"/>
    </xf>
    <xf numFmtId="0" fontId="20" fillId="6" borderId="19" xfId="0" applyFont="1" applyFill="1" applyBorder="1" applyAlignment="1">
      <alignment horizontal="center" vertical="top" wrapText="1"/>
    </xf>
    <xf numFmtId="0" fontId="20" fillId="7" borderId="0" xfId="0" applyFont="1" applyFill="1" applyAlignment="1">
      <alignment horizontal="left" vertical="top" wrapText="1"/>
    </xf>
    <xf numFmtId="0" fontId="20" fillId="7" borderId="0" xfId="0" applyFont="1" applyFill="1" applyAlignment="1">
      <alignment horizontal="center" vertical="top" wrapText="1"/>
    </xf>
    <xf numFmtId="0" fontId="20" fillId="6" borderId="0" xfId="0" applyFont="1" applyFill="1" applyAlignment="1">
      <alignment horizontal="left" vertical="top" wrapText="1"/>
    </xf>
    <xf numFmtId="0" fontId="20" fillId="6" borderId="0" xfId="0" applyFont="1" applyFill="1" applyAlignment="1">
      <alignment horizontal="center" vertical="top" wrapText="1"/>
    </xf>
  </cellXfs>
  <cellStyles count="5">
    <cellStyle name="Comma" xfId="4" builtinId="3"/>
    <cellStyle name="Currency" xfId="2" builtinId="4"/>
    <cellStyle name="Hyperlink" xfId="3" builtinId="8"/>
    <cellStyle name="Normal" xfId="0" builtinId="0"/>
    <cellStyle name="Percent" xfId="1" builtinId="5"/>
  </cellStyles>
  <dxfs count="10">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7C80"/>
      <color rgb="FF3366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(TFX)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Q3 2020</c:v>
                </c:pt>
                <c:pt idx="1">
                  <c:v>Q4 2020</c:v>
                </c:pt>
                <c:pt idx="2">
                  <c:v>Q1 2021</c:v>
                </c:pt>
                <c:pt idx="3">
                  <c:v>Q2 2021</c:v>
                </c:pt>
                <c:pt idx="4">
                  <c:v>Q3 2021</c:v>
                </c:pt>
                <c:pt idx="5">
                  <c:v>Q4 2021</c:v>
                </c:pt>
                <c:pt idx="6">
                  <c:v>Q1 2022</c:v>
                </c:pt>
                <c:pt idx="7">
                  <c:v>Q2 2022</c:v>
                </c:pt>
                <c:pt idx="8">
                  <c:v>Q3 2022</c:v>
                </c:pt>
                <c:pt idx="9">
                  <c:v>Q4 2022</c:v>
                </c:pt>
                <c:pt idx="10">
                  <c:v>Q1 2023</c:v>
                </c:pt>
                <c:pt idx="11">
                  <c:v>Q2 2023</c:v>
                </c:pt>
                <c:pt idx="12">
                  <c:v>Q3 2023</c:v>
                </c:pt>
                <c:pt idx="13">
                  <c:v>Q4 2023</c:v>
                </c:pt>
                <c:pt idx="14">
                  <c:v>Q1 2024</c:v>
                </c:pt>
                <c:pt idx="15">
                  <c:v>Q2 2024</c:v>
                </c:pt>
                <c:pt idx="16">
                  <c:v>Q3 2024</c:v>
                </c:pt>
                <c:pt idx="17">
                  <c:v>Q4 2024</c:v>
                </c:pt>
                <c:pt idx="18">
                  <c:v>Q1 2025</c:v>
                </c:pt>
                <c:pt idx="19">
                  <c:v>Q2 2025</c:v>
                </c:pt>
                <c:pt idx="20">
                  <c:v>Q3 2025</c:v>
                </c:pt>
              </c:strCache>
            </c:strRef>
          </c:cat>
          <c:val>
            <c:numRef>
              <c:f>'Base Case'!$AQ$59:$BP$59</c:f>
              <c:numCache>
                <c:formatCode>0.0</c:formatCode>
                <c:ptCount val="26"/>
                <c:pt idx="0">
                  <c:v>131.13099999999997</c:v>
                </c:pt>
                <c:pt idx="1">
                  <c:v>11.457999999999956</c:v>
                </c:pt>
                <c:pt idx="2">
                  <c:v>116.578</c:v>
                </c:pt>
                <c:pt idx="3">
                  <c:v>17.121000000000056</c:v>
                </c:pt>
                <c:pt idx="4">
                  <c:v>74.851000000000042</c:v>
                </c:pt>
                <c:pt idx="5">
                  <c:v>83.374000000000052</c:v>
                </c:pt>
                <c:pt idx="6">
                  <c:v>199.166</c:v>
                </c:pt>
                <c:pt idx="7">
                  <c:v>153.33900000000011</c:v>
                </c:pt>
                <c:pt idx="8">
                  <c:v>77.113999999999891</c:v>
                </c:pt>
                <c:pt idx="9">
                  <c:v>105.49099999999999</c:v>
                </c:pt>
                <c:pt idx="10">
                  <c:v>101.5919999999999</c:v>
                </c:pt>
                <c:pt idx="11">
                  <c:v>78.438000000000031</c:v>
                </c:pt>
                <c:pt idx="12">
                  <c:v>76.718999999999937</c:v>
                </c:pt>
                <c:pt idx="13">
                  <c:v>111.32500000000002</c:v>
                </c:pt>
                <c:pt idx="14">
                  <c:v>137.13199999999995</c:v>
                </c:pt>
                <c:pt idx="15">
                  <c:v>30.001999999999963</c:v>
                </c:pt>
                <c:pt idx="16">
                  <c:v>15.270000000000019</c:v>
                </c:pt>
                <c:pt idx="17">
                  <c:v>80.137000000000029</c:v>
                </c:pt>
                <c:pt idx="18">
                  <c:v>110.88899999999988</c:v>
                </c:pt>
                <c:pt idx="19">
                  <c:v>-136.59600000000012</c:v>
                </c:pt>
                <c:pt idx="20">
                  <c:v>95.063999999999993</c:v>
                </c:pt>
                <c:pt idx="21">
                  <c:v>122.50499999999991</c:v>
                </c:pt>
                <c:pt idx="22">
                  <c:v>-408.8900000000001</c:v>
                </c:pt>
                <c:pt idx="23">
                  <c:v>366.685</c:v>
                </c:pt>
                <c:pt idx="24">
                  <c:v>-8.1550000000000988</c:v>
                </c:pt>
                <c:pt idx="25">
                  <c:v>41.762000000000015</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Q3 2020</c:v>
                </c:pt>
                <c:pt idx="1">
                  <c:v>Q4 2020</c:v>
                </c:pt>
                <c:pt idx="2">
                  <c:v>Q1 2021</c:v>
                </c:pt>
                <c:pt idx="3">
                  <c:v>Q2 2021</c:v>
                </c:pt>
                <c:pt idx="4">
                  <c:v>Q3 2021</c:v>
                </c:pt>
                <c:pt idx="5">
                  <c:v>Q4 2021</c:v>
                </c:pt>
                <c:pt idx="6">
                  <c:v>Q1 2022</c:v>
                </c:pt>
                <c:pt idx="7">
                  <c:v>Q2 2022</c:v>
                </c:pt>
                <c:pt idx="8">
                  <c:v>Q3 2022</c:v>
                </c:pt>
                <c:pt idx="9">
                  <c:v>Q4 2022</c:v>
                </c:pt>
                <c:pt idx="10">
                  <c:v>Q1 2023</c:v>
                </c:pt>
                <c:pt idx="11">
                  <c:v>Q2 2023</c:v>
                </c:pt>
                <c:pt idx="12">
                  <c:v>Q3 2023</c:v>
                </c:pt>
                <c:pt idx="13">
                  <c:v>Q4 2023</c:v>
                </c:pt>
                <c:pt idx="14">
                  <c:v>Q1 2024</c:v>
                </c:pt>
                <c:pt idx="15">
                  <c:v>Q2 2024</c:v>
                </c:pt>
                <c:pt idx="16">
                  <c:v>Q3 2024</c:v>
                </c:pt>
                <c:pt idx="17">
                  <c:v>Q4 2024</c:v>
                </c:pt>
                <c:pt idx="18">
                  <c:v>Q1 2025</c:v>
                </c:pt>
                <c:pt idx="19">
                  <c:v>Q2 2025</c:v>
                </c:pt>
                <c:pt idx="20">
                  <c:v>Q3 2025</c:v>
                </c:pt>
              </c:strCache>
            </c:strRef>
          </c:cat>
          <c:val>
            <c:numRef>
              <c:f>'Base Case'!$AQ$114:$BP$114</c:f>
              <c:numCache>
                <c:formatCode>0.0</c:formatCode>
                <c:ptCount val="26"/>
                <c:pt idx="0">
                  <c:v>-31.2</c:v>
                </c:pt>
                <c:pt idx="1">
                  <c:v>126.1</c:v>
                </c:pt>
                <c:pt idx="2">
                  <c:v>84.2</c:v>
                </c:pt>
                <c:pt idx="3">
                  <c:v>167.39999999999998</c:v>
                </c:pt>
                <c:pt idx="4">
                  <c:v>91.5</c:v>
                </c:pt>
                <c:pt idx="5">
                  <c:v>136.9</c:v>
                </c:pt>
                <c:pt idx="6">
                  <c:v>170</c:v>
                </c:pt>
                <c:pt idx="7">
                  <c:v>182.2</c:v>
                </c:pt>
                <c:pt idx="8">
                  <c:v>49</c:v>
                </c:pt>
                <c:pt idx="9">
                  <c:v>20.439999999999998</c:v>
                </c:pt>
                <c:pt idx="10">
                  <c:v>134.84</c:v>
                </c:pt>
                <c:pt idx="11">
                  <c:v>59.430000000000007</c:v>
                </c:pt>
                <c:pt idx="12">
                  <c:v>62.5</c:v>
                </c:pt>
                <c:pt idx="13">
                  <c:v>68.8</c:v>
                </c:pt>
                <c:pt idx="14">
                  <c:v>177.29999999999998</c:v>
                </c:pt>
                <c:pt idx="15">
                  <c:v>111.60000000000001</c:v>
                </c:pt>
                <c:pt idx="16">
                  <c:v>74.400000000000006</c:v>
                </c:pt>
                <c:pt idx="17">
                  <c:v>56.900000000000006</c:v>
                </c:pt>
                <c:pt idx="18">
                  <c:v>209.9</c:v>
                </c:pt>
                <c:pt idx="19">
                  <c:v>170.6</c:v>
                </c:pt>
                <c:pt idx="20">
                  <c:v>43.3</c:v>
                </c:pt>
                <c:pt idx="21">
                  <c:v>-26.8</c:v>
                </c:pt>
                <c:pt idx="22">
                  <c:v>77.900000000000006</c:v>
                </c:pt>
                <c:pt idx="23">
                  <c:v>170.6</c:v>
                </c:pt>
                <c:pt idx="24">
                  <c:v>77.900000000000006</c:v>
                </c:pt>
                <c:pt idx="25">
                  <c:v>27.838999999999999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a:solidFill>
                <a:srgbClr val="00B0F0"/>
              </a:solidFill>
            </a:ln>
          </c:spPr>
          <c:marker>
            <c:symbol val="none"/>
          </c:marker>
          <c:cat>
            <c:strRef>
              <c:f>'Base Case'!$AQ$1:$BL$1</c:f>
              <c:strCache>
                <c:ptCount val="21"/>
                <c:pt idx="0">
                  <c:v>Q1 2020</c:v>
                </c:pt>
                <c:pt idx="4">
                  <c:v>Q1 2021</c:v>
                </c:pt>
                <c:pt idx="8">
                  <c:v>Q1 2022</c:v>
                </c:pt>
                <c:pt idx="12">
                  <c:v>Q1 2023</c:v>
                </c:pt>
                <c:pt idx="16">
                  <c:v>Q1 2024</c:v>
                </c:pt>
                <c:pt idx="20">
                  <c:v>Q1 2025</c:v>
                </c:pt>
              </c:strCache>
            </c:strRef>
          </c:cat>
          <c:val>
            <c:numRef>
              <c:f>'Base Case'!$AQ$44:$BP$44</c:f>
              <c:numCache>
                <c:formatCode>0.0</c:formatCode>
                <c:ptCount val="26"/>
                <c:pt idx="0">
                  <c:v>630.62099999999998</c:v>
                </c:pt>
                <c:pt idx="1">
                  <c:v>567.03</c:v>
                </c:pt>
                <c:pt idx="2">
                  <c:v>628.279</c:v>
                </c:pt>
                <c:pt idx="3">
                  <c:v>651.71500000000003</c:v>
                </c:pt>
                <c:pt idx="4">
                  <c:v>633.90200000000004</c:v>
                </c:pt>
                <c:pt idx="5">
                  <c:v>713.44</c:v>
                </c:pt>
                <c:pt idx="6">
                  <c:v>700.23099999999999</c:v>
                </c:pt>
                <c:pt idx="7">
                  <c:v>761.98300000000017</c:v>
                </c:pt>
                <c:pt idx="8">
                  <c:v>641.68799999999987</c:v>
                </c:pt>
                <c:pt idx="9">
                  <c:v>704.51499999999999</c:v>
                </c:pt>
                <c:pt idx="10">
                  <c:v>686.73899999999992</c:v>
                </c:pt>
                <c:pt idx="11">
                  <c:v>758.08199999999999</c:v>
                </c:pt>
                <c:pt idx="12">
                  <c:v>710.9</c:v>
                </c:pt>
                <c:pt idx="13">
                  <c:v>743.23500000000001</c:v>
                </c:pt>
                <c:pt idx="14">
                  <c:v>746.37299999999993</c:v>
                </c:pt>
                <c:pt idx="15">
                  <c:v>773.97699999999986</c:v>
                </c:pt>
                <c:pt idx="16">
                  <c:v>737.827</c:v>
                </c:pt>
                <c:pt idx="17">
                  <c:v>749.66000000000008</c:v>
                </c:pt>
                <c:pt idx="18">
                  <c:v>764.34599999999989</c:v>
                </c:pt>
                <c:pt idx="19">
                  <c:v>795.471</c:v>
                </c:pt>
                <c:pt idx="20">
                  <c:v>700.72</c:v>
                </c:pt>
                <c:pt idx="21">
                  <c:v>780.84999999999991</c:v>
                </c:pt>
                <c:pt idx="22">
                  <c:v>912.99</c:v>
                </c:pt>
                <c:pt idx="23">
                  <c:v>500</c:v>
                </c:pt>
                <c:pt idx="24">
                  <c:v>548.26099999999997</c:v>
                </c:pt>
                <c:pt idx="25">
                  <c:v>570.33199999999999</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max val="1000"/>
          <c:min val="-15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majorUnit val="150"/>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(TFX)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Analysis'!$I$208</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77800" cap="flat" cmpd="sng" algn="ctr">
                <a:solidFill>
                  <a:srgbClr val="00B0F0"/>
                </a:solidFill>
                <a:round/>
              </a:ln>
              <a:effectLst/>
            </c:spPr>
          </c:errBars>
          <c:xVal>
            <c:numRef>
              <c:f>'Notes | Quant Analysis'!$I$210:$I$250</c:f>
              <c:numCache>
                <c:formatCode>0.00%</c:formatCode>
                <c:ptCount val="41"/>
                <c:pt idx="0">
                  <c:v>-0.05</c:v>
                </c:pt>
                <c:pt idx="1">
                  <c:v>-4.7500000000000001E-2</c:v>
                </c:pt>
                <c:pt idx="2">
                  <c:v>-4.4999999999999998E-2</c:v>
                </c:pt>
                <c:pt idx="3">
                  <c:v>-4.2500000000000003E-2</c:v>
                </c:pt>
                <c:pt idx="4">
                  <c:v>-0.04</c:v>
                </c:pt>
                <c:pt idx="5">
                  <c:v>-3.7499999999999999E-2</c:v>
                </c:pt>
                <c:pt idx="6">
                  <c:v>-3.5000000000000003E-2</c:v>
                </c:pt>
                <c:pt idx="7">
                  <c:v>-3.2500000000000001E-2</c:v>
                </c:pt>
                <c:pt idx="8">
                  <c:v>-0.03</c:v>
                </c:pt>
                <c:pt idx="9">
                  <c:v>-2.75E-2</c:v>
                </c:pt>
                <c:pt idx="10">
                  <c:v>-2.5000000000000001E-2</c:v>
                </c:pt>
                <c:pt idx="11">
                  <c:v>-2.2499999999999999E-2</c:v>
                </c:pt>
                <c:pt idx="12">
                  <c:v>-0.02</c:v>
                </c:pt>
                <c:pt idx="13">
                  <c:v>-1.7500000000000002E-2</c:v>
                </c:pt>
                <c:pt idx="14">
                  <c:v>-1.4999999999999999E-2</c:v>
                </c:pt>
                <c:pt idx="15">
                  <c:v>-1.2500000000000001E-2</c:v>
                </c:pt>
                <c:pt idx="16">
                  <c:v>-0.01</c:v>
                </c:pt>
                <c:pt idx="17">
                  <c:v>-7.4999999999999997E-3</c:v>
                </c:pt>
                <c:pt idx="18">
                  <c:v>-5.0000000000000001E-3</c:v>
                </c:pt>
                <c:pt idx="19">
                  <c:v>-2.5000000000000001E-3</c:v>
                </c:pt>
                <c:pt idx="20">
                  <c:v>0</c:v>
                </c:pt>
                <c:pt idx="21">
                  <c:v>2.5000000000000001E-3</c:v>
                </c:pt>
                <c:pt idx="22">
                  <c:v>5.0000000000000001E-3</c:v>
                </c:pt>
                <c:pt idx="23">
                  <c:v>7.4999999999999997E-3</c:v>
                </c:pt>
                <c:pt idx="24">
                  <c:v>0.01</c:v>
                </c:pt>
                <c:pt idx="25">
                  <c:v>1.2500000000000001E-2</c:v>
                </c:pt>
                <c:pt idx="26">
                  <c:v>1.4999999999999999E-2</c:v>
                </c:pt>
                <c:pt idx="27">
                  <c:v>1.7500000000000002E-2</c:v>
                </c:pt>
                <c:pt idx="28">
                  <c:v>0.02</c:v>
                </c:pt>
                <c:pt idx="29">
                  <c:v>2.2499999999999999E-2</c:v>
                </c:pt>
                <c:pt idx="30">
                  <c:v>2.5000000000000001E-2</c:v>
                </c:pt>
                <c:pt idx="31">
                  <c:v>2.75E-2</c:v>
                </c:pt>
                <c:pt idx="32">
                  <c:v>0.03</c:v>
                </c:pt>
                <c:pt idx="33">
                  <c:v>3.2500000000000001E-2</c:v>
                </c:pt>
                <c:pt idx="34">
                  <c:v>3.5000000000000003E-2</c:v>
                </c:pt>
                <c:pt idx="35">
                  <c:v>3.7499999999999999E-2</c:v>
                </c:pt>
                <c:pt idx="36">
                  <c:v>0.04</c:v>
                </c:pt>
                <c:pt idx="37">
                  <c:v>4.2500000000000003E-2</c:v>
                </c:pt>
                <c:pt idx="38">
                  <c:v>4.4999999999999998E-2</c:v>
                </c:pt>
                <c:pt idx="39">
                  <c:v>4.7500000000000001E-2</c:v>
                </c:pt>
                <c:pt idx="40">
                  <c:v>0.05</c:v>
                </c:pt>
              </c:numCache>
            </c:numRef>
          </c:xVal>
          <c:yVal>
            <c:numRef>
              <c:f>'Notes | Quant Analysis'!$J$210:$J$250</c:f>
              <c:numCache>
                <c:formatCode>General</c:formatCode>
                <c:ptCount val="41"/>
                <c:pt idx="0">
                  <c:v>1</c:v>
                </c:pt>
                <c:pt idx="1">
                  <c:v>2</c:v>
                </c:pt>
                <c:pt idx="2">
                  <c:v>2</c:v>
                </c:pt>
                <c:pt idx="3">
                  <c:v>1</c:v>
                </c:pt>
                <c:pt idx="4">
                  <c:v>1</c:v>
                </c:pt>
                <c:pt idx="5">
                  <c:v>1</c:v>
                </c:pt>
                <c:pt idx="6">
                  <c:v>1</c:v>
                </c:pt>
                <c:pt idx="7">
                  <c:v>6</c:v>
                </c:pt>
                <c:pt idx="8">
                  <c:v>5</c:v>
                </c:pt>
                <c:pt idx="9">
                  <c:v>6</c:v>
                </c:pt>
                <c:pt idx="10">
                  <c:v>16</c:v>
                </c:pt>
                <c:pt idx="11">
                  <c:v>14</c:v>
                </c:pt>
                <c:pt idx="12">
                  <c:v>13</c:v>
                </c:pt>
                <c:pt idx="13">
                  <c:v>25</c:v>
                </c:pt>
                <c:pt idx="14">
                  <c:v>22</c:v>
                </c:pt>
                <c:pt idx="15">
                  <c:v>26</c:v>
                </c:pt>
                <c:pt idx="16">
                  <c:v>31</c:v>
                </c:pt>
                <c:pt idx="17">
                  <c:v>43</c:v>
                </c:pt>
                <c:pt idx="18">
                  <c:v>45</c:v>
                </c:pt>
                <c:pt idx="19">
                  <c:v>54</c:v>
                </c:pt>
                <c:pt idx="20">
                  <c:v>59</c:v>
                </c:pt>
                <c:pt idx="21">
                  <c:v>64</c:v>
                </c:pt>
                <c:pt idx="22">
                  <c:v>52</c:v>
                </c:pt>
                <c:pt idx="23">
                  <c:v>54</c:v>
                </c:pt>
                <c:pt idx="24">
                  <c:v>42</c:v>
                </c:pt>
                <c:pt idx="25">
                  <c:v>34</c:v>
                </c:pt>
                <c:pt idx="26">
                  <c:v>31</c:v>
                </c:pt>
                <c:pt idx="27">
                  <c:v>23</c:v>
                </c:pt>
                <c:pt idx="28">
                  <c:v>15</c:v>
                </c:pt>
                <c:pt idx="29">
                  <c:v>10</c:v>
                </c:pt>
                <c:pt idx="30">
                  <c:v>13</c:v>
                </c:pt>
                <c:pt idx="31">
                  <c:v>9</c:v>
                </c:pt>
                <c:pt idx="32">
                  <c:v>3</c:v>
                </c:pt>
                <c:pt idx="33">
                  <c:v>4</c:v>
                </c:pt>
                <c:pt idx="34">
                  <c:v>2</c:v>
                </c:pt>
                <c:pt idx="35">
                  <c:v>4</c:v>
                </c:pt>
                <c:pt idx="36">
                  <c:v>4</c:v>
                </c:pt>
                <c:pt idx="37">
                  <c:v>3</c:v>
                </c:pt>
                <c:pt idx="38">
                  <c:v>1</c:v>
                </c:pt>
                <c:pt idx="39">
                  <c:v>4</c:v>
                </c:pt>
                <c:pt idx="40">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Analysis'!$L$208</c:f>
              <c:strCache>
                <c:ptCount val="1"/>
                <c:pt idx="0">
                  <c:v>Distribution Overlay</c:v>
                </c:pt>
              </c:strCache>
            </c:strRef>
          </c:tx>
          <c:spPr>
            <a:ln w="19050" cap="rnd">
              <a:solidFill>
                <a:srgbClr val="FFC000"/>
              </a:solidFill>
              <a:round/>
            </a:ln>
            <a:effectLst/>
          </c:spPr>
          <c:marker>
            <c:symbol val="none"/>
          </c:marker>
          <c:xVal>
            <c:numRef>
              <c:f>'Notes | Quant Analysis'!$L$210:$L$250</c:f>
              <c:numCache>
                <c:formatCode>0.00%</c:formatCode>
                <c:ptCount val="41"/>
                <c:pt idx="0">
                  <c:v>-0.05</c:v>
                </c:pt>
                <c:pt idx="1">
                  <c:v>-4.7500000000000001E-2</c:v>
                </c:pt>
                <c:pt idx="2">
                  <c:v>-4.4999999999999998E-2</c:v>
                </c:pt>
                <c:pt idx="3">
                  <c:v>-4.2500000000000003E-2</c:v>
                </c:pt>
                <c:pt idx="4">
                  <c:v>-0.04</c:v>
                </c:pt>
                <c:pt idx="5">
                  <c:v>-3.7499999999999999E-2</c:v>
                </c:pt>
                <c:pt idx="6">
                  <c:v>-3.5000000000000003E-2</c:v>
                </c:pt>
                <c:pt idx="7">
                  <c:v>-3.2500000000000001E-2</c:v>
                </c:pt>
                <c:pt idx="8">
                  <c:v>-0.03</c:v>
                </c:pt>
                <c:pt idx="9">
                  <c:v>-2.75E-2</c:v>
                </c:pt>
                <c:pt idx="10">
                  <c:v>-2.5000000000000001E-2</c:v>
                </c:pt>
                <c:pt idx="11">
                  <c:v>-2.2499999999999999E-2</c:v>
                </c:pt>
                <c:pt idx="12">
                  <c:v>-0.02</c:v>
                </c:pt>
                <c:pt idx="13">
                  <c:v>-1.7500000000000002E-2</c:v>
                </c:pt>
                <c:pt idx="14">
                  <c:v>-1.4999999999999999E-2</c:v>
                </c:pt>
                <c:pt idx="15">
                  <c:v>-1.2500000000000001E-2</c:v>
                </c:pt>
                <c:pt idx="16">
                  <c:v>-0.01</c:v>
                </c:pt>
                <c:pt idx="17">
                  <c:v>-7.4999999999999997E-3</c:v>
                </c:pt>
                <c:pt idx="18">
                  <c:v>-5.0000000000000001E-3</c:v>
                </c:pt>
                <c:pt idx="19">
                  <c:v>-2.5000000000000001E-3</c:v>
                </c:pt>
                <c:pt idx="20">
                  <c:v>0</c:v>
                </c:pt>
                <c:pt idx="21">
                  <c:v>2.5000000000000001E-3</c:v>
                </c:pt>
                <c:pt idx="22">
                  <c:v>5.0000000000000001E-3</c:v>
                </c:pt>
                <c:pt idx="23">
                  <c:v>7.4999999999999997E-3</c:v>
                </c:pt>
                <c:pt idx="24">
                  <c:v>0.01</c:v>
                </c:pt>
                <c:pt idx="25">
                  <c:v>1.2500000000000001E-2</c:v>
                </c:pt>
                <c:pt idx="26">
                  <c:v>1.4999999999999999E-2</c:v>
                </c:pt>
                <c:pt idx="27">
                  <c:v>1.7500000000000002E-2</c:v>
                </c:pt>
                <c:pt idx="28">
                  <c:v>0.02</c:v>
                </c:pt>
                <c:pt idx="29">
                  <c:v>2.2499999999999999E-2</c:v>
                </c:pt>
                <c:pt idx="30">
                  <c:v>2.5000000000000001E-2</c:v>
                </c:pt>
                <c:pt idx="31">
                  <c:v>2.75E-2</c:v>
                </c:pt>
                <c:pt idx="32">
                  <c:v>0.03</c:v>
                </c:pt>
                <c:pt idx="33">
                  <c:v>3.2500000000000001E-2</c:v>
                </c:pt>
                <c:pt idx="34">
                  <c:v>3.5000000000000003E-2</c:v>
                </c:pt>
                <c:pt idx="35">
                  <c:v>3.7499999999999999E-2</c:v>
                </c:pt>
                <c:pt idx="36">
                  <c:v>0.04</c:v>
                </c:pt>
                <c:pt idx="37">
                  <c:v>4.2500000000000003E-2</c:v>
                </c:pt>
                <c:pt idx="38">
                  <c:v>4.4999999999999998E-2</c:v>
                </c:pt>
                <c:pt idx="39">
                  <c:v>4.7500000000000001E-2</c:v>
                </c:pt>
                <c:pt idx="40">
                  <c:v>0.05</c:v>
                </c:pt>
              </c:numCache>
            </c:numRef>
          </c:xVal>
          <c:yVal>
            <c:numRef>
              <c:f>'Notes | Quant Analysis'!$M$210:$M$250</c:f>
              <c:numCache>
                <c:formatCode>General</c:formatCode>
                <c:ptCount val="41"/>
                <c:pt idx="0">
                  <c:v>0.27653817822481974</c:v>
                </c:pt>
                <c:pt idx="1">
                  <c:v>0.42847132816750982</c:v>
                </c:pt>
                <c:pt idx="2">
                  <c:v>0.64904086461345623</c:v>
                </c:pt>
                <c:pt idx="3">
                  <c:v>0.96118265424591809</c:v>
                </c:pt>
                <c:pt idx="4">
                  <c:v>1.3916288245541646</c:v>
                </c:pt>
                <c:pt idx="5">
                  <c:v>1.9698107987355109</c:v>
                </c:pt>
                <c:pt idx="6">
                  <c:v>2.7258956076013843</c:v>
                </c:pt>
                <c:pt idx="7">
                  <c:v>3.6878863868072709</c:v>
                </c:pt>
                <c:pt idx="8">
                  <c:v>4.8778613781855009</c:v>
                </c:pt>
                <c:pt idx="9">
                  <c:v>6.3076121717275733</c:v>
                </c:pt>
                <c:pt idx="10">
                  <c:v>7.9741448163193507</c:v>
                </c:pt>
                <c:pt idx="11">
                  <c:v>9.8556860785482581</c:v>
                </c:pt>
                <c:pt idx="12">
                  <c:v>11.908942900565105</c:v>
                </c:pt>
                <c:pt idx="13">
                  <c:v>14.068350229614744</c:v>
                </c:pt>
                <c:pt idx="14">
                  <c:v>16.247881295291535</c:v>
                </c:pt>
                <c:pt idx="15">
                  <c:v>18.345684103615699</c:v>
                </c:pt>
                <c:pt idx="16">
                  <c:v>20.251383228758385</c:v>
                </c:pt>
                <c:pt idx="17">
                  <c:v>21.855416171198545</c:v>
                </c:pt>
                <c:pt idx="18">
                  <c:v>23.059350832887752</c:v>
                </c:pt>
                <c:pt idx="19">
                  <c:v>23.785850259149505</c:v>
                </c:pt>
                <c:pt idx="20">
                  <c:v>23.98688713564496</c:v>
                </c:pt>
                <c:pt idx="21">
                  <c:v>23.648996137825414</c:v>
                </c:pt>
                <c:pt idx="22">
                  <c:v>22.794765908580427</c:v>
                </c:pt>
                <c:pt idx="23">
                  <c:v>21.480340940221691</c:v>
                </c:pt>
                <c:pt idx="24">
                  <c:v>19.789317279203669</c:v>
                </c:pt>
                <c:pt idx="25">
                  <c:v>17.823954313544245</c:v>
                </c:pt>
                <c:pt idx="26">
                  <c:v>15.694985420226141</c:v>
                </c:pt>
                <c:pt idx="27">
                  <c:v>13.511432016949794</c:v>
                </c:pt>
                <c:pt idx="28">
                  <c:v>11.371701514049793</c:v>
                </c:pt>
                <c:pt idx="29">
                  <c:v>9.356924616075835</c:v>
                </c:pt>
                <c:pt idx="30">
                  <c:v>7.5270433454291981</c:v>
                </c:pt>
                <c:pt idx="31">
                  <c:v>5.9196947233294432</c:v>
                </c:pt>
                <c:pt idx="32">
                  <c:v>4.5515342204706393</c:v>
                </c:pt>
                <c:pt idx="33">
                  <c:v>3.4213690408918072</c:v>
                </c:pt>
                <c:pt idx="34">
                  <c:v>2.5143494553567787</c:v>
                </c:pt>
                <c:pt idx="35">
                  <c:v>1.8064875036470911</c:v>
                </c:pt>
                <c:pt idx="36">
                  <c:v>1.268901448637034</c:v>
                </c:pt>
                <c:pt idx="37">
                  <c:v>0.87137366869719557</c:v>
                </c:pt>
                <c:pt idx="38">
                  <c:v>0.58501173621439773</c:v>
                </c:pt>
                <c:pt idx="39">
                  <c:v>0.38397976001180939</c:v>
                </c:pt>
                <c:pt idx="40">
                  <c:v>0.246397158090264</c:v>
                </c:pt>
              </c:numCache>
            </c:numRef>
          </c:yVal>
          <c:smooth val="1"/>
          <c:extLst>
            <c:ext xmlns:c16="http://schemas.microsoft.com/office/drawing/2014/chart" uri="{C3380CC4-5D6E-409C-BE32-E72D297353CC}">
              <c16:uniqueId val="{00000001-28C7-4862-86E9-AF862A5BA0AD}"/>
            </c:ext>
          </c:extLst>
        </c:ser>
        <c:ser>
          <c:idx val="2"/>
          <c:order val="2"/>
          <c:tx>
            <c:strRef>
              <c:f>'Notes | Quant Analysis'!$O$210</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8628937007874068E-2"/>
                  <c:y val="-3.211572237680825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459295713035871"/>
                      <c:h val="7.744834527263039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Analysis'!$P$210:$P$211</c:f>
              <c:numCache>
                <c:formatCode>0.00%</c:formatCode>
                <c:ptCount val="2"/>
                <c:pt idx="0">
                  <c:v>-3.1910528203142255E-4</c:v>
                </c:pt>
                <c:pt idx="1">
                  <c:v>-3.1910528203142255E-4</c:v>
                </c:pt>
              </c:numCache>
            </c:numRef>
          </c:xVal>
          <c:yVal>
            <c:numRef>
              <c:f>'Notes | Quant Analysis'!$Q$210:$Q$211</c:f>
              <c:numCache>
                <c:formatCode>General</c:formatCode>
                <c:ptCount val="2"/>
                <c:pt idx="0">
                  <c:v>0</c:v>
                </c:pt>
                <c:pt idx="1">
                  <c:v>25</c:v>
                </c:pt>
              </c:numCache>
            </c:numRef>
          </c:yVal>
          <c:smooth val="1"/>
          <c:extLst>
            <c:ext xmlns:c16="http://schemas.microsoft.com/office/drawing/2014/chart" uri="{C3380CC4-5D6E-409C-BE32-E72D297353CC}">
              <c16:uniqueId val="{00000004-28C7-4862-86E9-AF862A5BA0AD}"/>
            </c:ext>
          </c:extLst>
        </c:ser>
        <c:ser>
          <c:idx val="3"/>
          <c:order val="3"/>
          <c:tx>
            <c:strRef>
              <c:f>'Notes | Quant Analysis'!$O$212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-5.020496510535085E-2</c:v>
                </c:pt>
                <c:pt idx="1">
                  <c:v>-5.020496510535085E-2</c:v>
                </c:pt>
              </c:numCache>
            </c:numRef>
          </c:xVal>
          <c:yVal>
            <c:numRef>
              <c:f>'Notes | Quant Analysis'!$Q$212:$Q$213</c:f>
              <c:numCache>
                <c:formatCode>General</c:formatCode>
                <c:ptCount val="2"/>
                <c:pt idx="0">
                  <c:v>0</c:v>
                </c:pt>
                <c:pt idx="1">
                  <c:v>3</c:v>
                </c:pt>
              </c:numCache>
            </c:numRef>
          </c:yVal>
          <c:smooth val="1"/>
          <c:extLst>
            <c:ext xmlns:c16="http://schemas.microsoft.com/office/drawing/2014/chart" uri="{C3380CC4-5D6E-409C-BE32-E72D297353CC}">
              <c16:uniqueId val="{00000007-28C7-4862-86E9-AF862A5BA0AD}"/>
            </c:ext>
          </c:extLst>
        </c:ser>
        <c:ser>
          <c:idx val="4"/>
          <c:order val="4"/>
          <c:tx>
            <c:strRef>
              <c:f>'Notes | Quant Analysis'!$O$214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656496062992126E-2"/>
                  <c:y val="-3.61938310342785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-3.3576345164244376E-2</c:v>
                </c:pt>
                <c:pt idx="1">
                  <c:v>-3.3576345164244376E-2</c:v>
                </c:pt>
              </c:numCache>
            </c:numRef>
          </c:xVal>
          <c:yVal>
            <c:numRef>
              <c:f>'Notes | Quant Analysis'!$Q$214:$Q$215</c:f>
              <c:numCache>
                <c:formatCode>General</c:formatCode>
                <c:ptCount val="2"/>
                <c:pt idx="0">
                  <c:v>0</c:v>
                </c:pt>
                <c:pt idx="1">
                  <c:v>5</c:v>
                </c:pt>
              </c:numCache>
            </c:numRef>
          </c:yVal>
          <c:smooth val="1"/>
          <c:extLst>
            <c:ext xmlns:c16="http://schemas.microsoft.com/office/drawing/2014/chart" uri="{C3380CC4-5D6E-409C-BE32-E72D297353CC}">
              <c16:uniqueId val="{0000000A-28C7-4862-86E9-AF862A5BA0AD}"/>
            </c:ext>
          </c:extLst>
        </c:ser>
        <c:ser>
          <c:idx val="5"/>
          <c:order val="5"/>
          <c:tx>
            <c:strRef>
              <c:f>'Notes | Quant Analysis'!$O$216</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7.4499453193350884E-2"/>
                  <c:y val="-4.005545359461646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-1.6947725223137901E-2</c:v>
                </c:pt>
                <c:pt idx="1">
                  <c:v>-1.6947725223137901E-2</c:v>
                </c:pt>
              </c:numCache>
            </c:numRef>
          </c:xVal>
          <c:yVal>
            <c:numRef>
              <c:f>'Notes | Quant Analysis'!$Q$216:$Q$217</c:f>
              <c:numCache>
                <c:formatCode>General</c:formatCode>
                <c:ptCount val="2"/>
                <c:pt idx="0">
                  <c:v>0</c:v>
                </c:pt>
                <c:pt idx="1">
                  <c:v>15</c:v>
                </c:pt>
              </c:numCache>
            </c:numRef>
          </c:yVal>
          <c:smooth val="1"/>
          <c:extLst>
            <c:ext xmlns:c16="http://schemas.microsoft.com/office/drawing/2014/chart" uri="{C3380CC4-5D6E-409C-BE32-E72D297353CC}">
              <c16:uniqueId val="{0000000D-28C7-4862-86E9-AF862A5BA0AD}"/>
            </c:ext>
          </c:extLst>
        </c:ser>
        <c:ser>
          <c:idx val="6"/>
          <c:order val="6"/>
          <c:tx>
            <c:strRef>
              <c:f>'Notes | Quant Analysis'!$O$218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3.2838582677165357E-2"/>
                  <c:y val="-4.00554535946164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1.6309514659075056E-2</c:v>
                </c:pt>
                <c:pt idx="1">
                  <c:v>1.6309514659075056E-2</c:v>
                </c:pt>
              </c:numCache>
            </c:numRef>
          </c:xVal>
          <c:yVal>
            <c:numRef>
              <c:f>'Notes | Quant Analysis'!$Q$218:$Q$219</c:f>
              <c:numCache>
                <c:formatCode>General</c:formatCode>
                <c:ptCount val="2"/>
                <c:pt idx="0">
                  <c:v>0</c:v>
                </c:pt>
                <c:pt idx="1">
                  <c:v>15</c:v>
                </c:pt>
              </c:numCache>
            </c:numRef>
          </c:yVal>
          <c:smooth val="1"/>
          <c:extLst>
            <c:ext xmlns:c16="http://schemas.microsoft.com/office/drawing/2014/chart" uri="{C3380CC4-5D6E-409C-BE32-E72D297353CC}">
              <c16:uniqueId val="{0000000F-28C7-4862-86E9-AF862A5BA0AD}"/>
            </c:ext>
          </c:extLst>
        </c:ser>
        <c:ser>
          <c:idx val="7"/>
          <c:order val="7"/>
          <c:tx>
            <c:strRef>
              <c:f>'Notes | Quant Analysis'!$O$220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2423337707786527E-2"/>
                  <c:y val="-2.380972115327698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3.2938134600181537E-2</c:v>
                </c:pt>
                <c:pt idx="1">
                  <c:v>3.2938134600181537E-2</c:v>
                </c:pt>
              </c:numCache>
            </c:numRef>
          </c:xVal>
          <c:yVal>
            <c:numRef>
              <c:f>'Notes | Quant Analysis'!$Q$220:$Q$221</c:f>
              <c:numCache>
                <c:formatCode>General</c:formatCode>
                <c:ptCount val="2"/>
                <c:pt idx="0">
                  <c:v>0</c:v>
                </c:pt>
                <c:pt idx="1">
                  <c:v>5</c:v>
                </c:pt>
              </c:numCache>
            </c:numRef>
          </c:yVal>
          <c:smooth val="1"/>
          <c:extLst>
            <c:ext xmlns:c16="http://schemas.microsoft.com/office/drawing/2014/chart" uri="{C3380CC4-5D6E-409C-BE32-E72D297353CC}">
              <c16:uniqueId val="{00000012-28C7-4862-86E9-AF862A5BA0AD}"/>
            </c:ext>
          </c:extLst>
        </c:ser>
        <c:ser>
          <c:idx val="8"/>
          <c:order val="8"/>
          <c:tx>
            <c:strRef>
              <c:f>'Notes | Quant Analysis'!$O$222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4.9566754541288012E-2</c:v>
                </c:pt>
                <c:pt idx="1">
                  <c:v>4.9566754541288012E-2</c:v>
                </c:pt>
              </c:numCache>
            </c:numRef>
          </c:xVal>
          <c:yVal>
            <c:numRef>
              <c:f>'Notes | Quant Analysis'!$Q$222:$Q$223</c:f>
              <c:numCache>
                <c:formatCode>General</c:formatCode>
                <c:ptCount val="2"/>
                <c:pt idx="0">
                  <c:v>0</c:v>
                </c:pt>
                <c:pt idx="1">
                  <c:v>3</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6.0000000000000012E-2"/>
          <c:min val="-6.0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(TFX)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'Base Case'!$B$4</c:f>
              <c:strCache>
                <c:ptCount val="1"/>
                <c:pt idx="0">
                  <c:v>Vascular Access</c:v>
                </c:pt>
              </c:strCache>
            </c:strRef>
          </c:tx>
          <c:spPr>
            <a:solidFill>
              <a:srgbClr val="FFC000"/>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Case'!$AQ$4:$BM$4</c:f>
              <c:numCache>
                <c:formatCode>0.0</c:formatCode>
                <c:ptCount val="23"/>
                <c:pt idx="0">
                  <c:v>150.25</c:v>
                </c:pt>
                <c:pt idx="1">
                  <c:v>164.958</c:v>
                </c:pt>
                <c:pt idx="2">
                  <c:v>160.05000000000001</c:v>
                </c:pt>
                <c:pt idx="3">
                  <c:v>182.44499999999999</c:v>
                </c:pt>
                <c:pt idx="4">
                  <c:v>163.97</c:v>
                </c:pt>
                <c:pt idx="5">
                  <c:v>167.73</c:v>
                </c:pt>
                <c:pt idx="6">
                  <c:v>175.47</c:v>
                </c:pt>
                <c:pt idx="7">
                  <c:v>193.07000000000005</c:v>
                </c:pt>
                <c:pt idx="8">
                  <c:v>166.13</c:v>
                </c:pt>
                <c:pt idx="9">
                  <c:v>163.9</c:v>
                </c:pt>
                <c:pt idx="10">
                  <c:v>167.14</c:v>
                </c:pt>
                <c:pt idx="11">
                  <c:v>186.44200000000001</c:v>
                </c:pt>
                <c:pt idx="12">
                  <c:v>177.65</c:v>
                </c:pt>
                <c:pt idx="13">
                  <c:v>173.785</c:v>
                </c:pt>
                <c:pt idx="14">
                  <c:v>169.91</c:v>
                </c:pt>
                <c:pt idx="15">
                  <c:v>186.69499999999994</c:v>
                </c:pt>
                <c:pt idx="16">
                  <c:v>181.35</c:v>
                </c:pt>
                <c:pt idx="17">
                  <c:v>181.1</c:v>
                </c:pt>
                <c:pt idx="18">
                  <c:v>180.89</c:v>
                </c:pt>
                <c:pt idx="19">
                  <c:v>189.33000000000004</c:v>
                </c:pt>
                <c:pt idx="20">
                  <c:v>182.36</c:v>
                </c:pt>
                <c:pt idx="21">
                  <c:v>185.53</c:v>
                </c:pt>
                <c:pt idx="22">
                  <c:v>191.02</c:v>
                </c:pt>
              </c:numCache>
            </c:numRef>
          </c:val>
          <c:extLst>
            <c:ext xmlns:c16="http://schemas.microsoft.com/office/drawing/2014/chart" uri="{C3380CC4-5D6E-409C-BE32-E72D297353CC}">
              <c16:uniqueId val="{00000000-2DAE-4AFD-AA99-A9C640C719FC}"/>
            </c:ext>
          </c:extLst>
        </c:ser>
        <c:ser>
          <c:idx val="1"/>
          <c:order val="1"/>
          <c:tx>
            <c:strRef>
              <c:f>'Base Case'!$B$5</c:f>
              <c:strCache>
                <c:ptCount val="1"/>
                <c:pt idx="0">
                  <c:v>Interventional Cardiology</c:v>
                </c:pt>
              </c:strCache>
            </c:strRef>
          </c:tx>
          <c:spPr>
            <a:solidFill>
              <a:srgbClr val="7030A0"/>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Case'!$AQ$5:$BM$5</c:f>
              <c:numCache>
                <c:formatCode>0.0</c:formatCode>
                <c:ptCount val="23"/>
                <c:pt idx="0">
                  <c:v>99.93</c:v>
                </c:pt>
                <c:pt idx="1">
                  <c:v>82.593999999999994</c:v>
                </c:pt>
                <c:pt idx="2">
                  <c:v>93.18</c:v>
                </c:pt>
                <c:pt idx="3">
                  <c:v>106.726</c:v>
                </c:pt>
                <c:pt idx="4">
                  <c:v>96.173000000000002</c:v>
                </c:pt>
                <c:pt idx="5">
                  <c:v>112.08</c:v>
                </c:pt>
                <c:pt idx="6">
                  <c:v>104.304</c:v>
                </c:pt>
                <c:pt idx="7">
                  <c:v>114.94299999999998</c:v>
                </c:pt>
                <c:pt idx="8">
                  <c:v>96.85</c:v>
                </c:pt>
                <c:pt idx="9">
                  <c:v>114.34</c:v>
                </c:pt>
                <c:pt idx="10">
                  <c:v>97.6</c:v>
                </c:pt>
                <c:pt idx="11">
                  <c:v>136.22000000000003</c:v>
                </c:pt>
                <c:pt idx="12">
                  <c:v>116.89</c:v>
                </c:pt>
                <c:pt idx="13">
                  <c:v>124.78</c:v>
                </c:pt>
                <c:pt idx="14">
                  <c:v>134.089</c:v>
                </c:pt>
                <c:pt idx="15">
                  <c:v>135.67500000000001</c:v>
                </c:pt>
                <c:pt idx="16">
                  <c:v>134.66499999999999</c:v>
                </c:pt>
                <c:pt idx="17">
                  <c:v>141.15</c:v>
                </c:pt>
                <c:pt idx="18">
                  <c:v>149.86000000000001</c:v>
                </c:pt>
                <c:pt idx="19">
                  <c:v>160.37499999999994</c:v>
                </c:pt>
                <c:pt idx="20">
                  <c:v>137.55000000000001</c:v>
                </c:pt>
                <c:pt idx="21">
                  <c:v>170.01</c:v>
                </c:pt>
                <c:pt idx="22">
                  <c:v>266.41000000000003</c:v>
                </c:pt>
              </c:numCache>
            </c:numRef>
          </c:val>
          <c:extLst>
            <c:ext xmlns:c16="http://schemas.microsoft.com/office/drawing/2014/chart" uri="{C3380CC4-5D6E-409C-BE32-E72D297353CC}">
              <c16:uniqueId val="{00000001-2DAE-4AFD-AA99-A9C640C719FC}"/>
            </c:ext>
          </c:extLst>
        </c:ser>
        <c:ser>
          <c:idx val="3"/>
          <c:order val="2"/>
          <c:tx>
            <c:strRef>
              <c:f>'Base Case'!$B$7</c:f>
              <c:strCache>
                <c:ptCount val="1"/>
                <c:pt idx="0">
                  <c:v>Surgical</c:v>
                </c:pt>
              </c:strCache>
            </c:strRef>
          </c:tx>
          <c:spPr>
            <a:solidFill>
              <a:srgbClr val="FF7C80"/>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Case'!$AQ$7:$BM$7</c:f>
              <c:numCache>
                <c:formatCode>0.0</c:formatCode>
                <c:ptCount val="23"/>
                <c:pt idx="0">
                  <c:v>75.432000000000002</c:v>
                </c:pt>
                <c:pt idx="1">
                  <c:v>67.275000000000006</c:v>
                </c:pt>
                <c:pt idx="2">
                  <c:v>82.22</c:v>
                </c:pt>
                <c:pt idx="3">
                  <c:v>92.272999999999996</c:v>
                </c:pt>
                <c:pt idx="4">
                  <c:v>80.385999999999996</c:v>
                </c:pt>
                <c:pt idx="5">
                  <c:v>98.18</c:v>
                </c:pt>
                <c:pt idx="6">
                  <c:v>92.83</c:v>
                </c:pt>
                <c:pt idx="7">
                  <c:v>106.35399999999998</c:v>
                </c:pt>
                <c:pt idx="8">
                  <c:v>89.7</c:v>
                </c:pt>
                <c:pt idx="9">
                  <c:v>99.64</c:v>
                </c:pt>
                <c:pt idx="10">
                  <c:v>93.12</c:v>
                </c:pt>
                <c:pt idx="11">
                  <c:v>110.44999999999999</c:v>
                </c:pt>
                <c:pt idx="12">
                  <c:v>99.02</c:v>
                </c:pt>
                <c:pt idx="13">
                  <c:v>105.95</c:v>
                </c:pt>
                <c:pt idx="14">
                  <c:v>112.8</c:v>
                </c:pt>
                <c:pt idx="15">
                  <c:v>109.589</c:v>
                </c:pt>
                <c:pt idx="16">
                  <c:v>105.52</c:v>
                </c:pt>
                <c:pt idx="17">
                  <c:v>111.3</c:v>
                </c:pt>
                <c:pt idx="18">
                  <c:v>111.746</c:v>
                </c:pt>
                <c:pt idx="19">
                  <c:v>121.91400000000004</c:v>
                </c:pt>
                <c:pt idx="20">
                  <c:v>105.78</c:v>
                </c:pt>
                <c:pt idx="21">
                  <c:v>114.04</c:v>
                </c:pt>
                <c:pt idx="22">
                  <c:v>122.87</c:v>
                </c:pt>
              </c:numCache>
            </c:numRef>
          </c:val>
          <c:extLst>
            <c:ext xmlns:c16="http://schemas.microsoft.com/office/drawing/2014/chart" uri="{C3380CC4-5D6E-409C-BE32-E72D297353CC}">
              <c16:uniqueId val="{00000003-2DAE-4AFD-AA99-A9C640C719FC}"/>
            </c:ext>
          </c:extLst>
        </c:ser>
        <c:ser>
          <c:idx val="4"/>
          <c:order val="3"/>
          <c:tx>
            <c:strRef>
              <c:f>'Base Case'!$B$8</c:f>
              <c:strCache>
                <c:ptCount val="1"/>
                <c:pt idx="0">
                  <c:v>Interventional Urology</c:v>
                </c:pt>
              </c:strCache>
            </c:strRef>
          </c:tx>
          <c:spPr>
            <a:solidFill>
              <a:srgbClr val="94346D"/>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Case'!$AQ$8:$BM$8</c:f>
              <c:numCache>
                <c:formatCode>0.0</c:formatCode>
                <c:ptCount val="23"/>
                <c:pt idx="0">
                  <c:v>74.19</c:v>
                </c:pt>
                <c:pt idx="1">
                  <c:v>40.090000000000003</c:v>
                </c:pt>
                <c:pt idx="2">
                  <c:v>81.77</c:v>
                </c:pt>
                <c:pt idx="3">
                  <c:v>93.96999999999997</c:v>
                </c:pt>
                <c:pt idx="4">
                  <c:v>73.36</c:v>
                </c:pt>
                <c:pt idx="5">
                  <c:v>92.24</c:v>
                </c:pt>
                <c:pt idx="6">
                  <c:v>83.106999999999999</c:v>
                </c:pt>
                <c:pt idx="7">
                  <c:v>92.953000000000031</c:v>
                </c:pt>
                <c:pt idx="8">
                  <c:v>74.89</c:v>
                </c:pt>
                <c:pt idx="9">
                  <c:v>79.81</c:v>
                </c:pt>
                <c:pt idx="10">
                  <c:v>78.968999999999994</c:v>
                </c:pt>
                <c:pt idx="11">
                  <c:v>89.161000000000001</c:v>
                </c:pt>
                <c:pt idx="12">
                  <c:v>75.37</c:v>
                </c:pt>
                <c:pt idx="13">
                  <c:v>77.81</c:v>
                </c:pt>
                <c:pt idx="14">
                  <c:v>73.622</c:v>
                </c:pt>
                <c:pt idx="15">
                  <c:v>92.983000000000004</c:v>
                </c:pt>
                <c:pt idx="16">
                  <c:v>79.739999999999995</c:v>
                </c:pt>
                <c:pt idx="17">
                  <c:v>83.1</c:v>
                </c:pt>
                <c:pt idx="18">
                  <c:v>83.39</c:v>
                </c:pt>
                <c:pt idx="19">
                  <c:v>84.862000000000023</c:v>
                </c:pt>
                <c:pt idx="20">
                  <c:v>70.959999999999994</c:v>
                </c:pt>
                <c:pt idx="21">
                  <c:v>76.38</c:v>
                </c:pt>
                <c:pt idx="22">
                  <c:v>71.77</c:v>
                </c:pt>
              </c:numCache>
            </c:numRef>
          </c:val>
          <c:extLst>
            <c:ext xmlns:c16="http://schemas.microsoft.com/office/drawing/2014/chart" uri="{C3380CC4-5D6E-409C-BE32-E72D297353CC}">
              <c16:uniqueId val="{00000004-2DAE-4AFD-AA99-A9C640C719FC}"/>
            </c:ext>
          </c:extLst>
        </c:ser>
        <c:ser>
          <c:idx val="2"/>
          <c:order val="4"/>
          <c:tx>
            <c:strRef>
              <c:f>'Base Case'!$B$6</c:f>
              <c:strCache>
                <c:ptCount val="1"/>
                <c:pt idx="0">
                  <c:v>Anesthesia</c:v>
                </c:pt>
              </c:strCache>
            </c:strRef>
          </c:tx>
          <c:spPr>
            <a:solidFill>
              <a:srgbClr val="00B0F0"/>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Case'!$AQ$6:$BM$6</c:f>
              <c:numCache>
                <c:formatCode>0.0</c:formatCode>
                <c:ptCount val="23"/>
                <c:pt idx="0">
                  <c:v>75.7</c:v>
                </c:pt>
                <c:pt idx="1">
                  <c:v>64.867000000000004</c:v>
                </c:pt>
                <c:pt idx="2">
                  <c:v>75.64</c:v>
                </c:pt>
                <c:pt idx="3">
                  <c:v>26.588999999999999</c:v>
                </c:pt>
                <c:pt idx="4">
                  <c:v>84.85</c:v>
                </c:pt>
                <c:pt idx="5">
                  <c:v>95.42</c:v>
                </c:pt>
                <c:pt idx="6">
                  <c:v>97.07</c:v>
                </c:pt>
                <c:pt idx="7">
                  <c:v>102.80000000000001</c:v>
                </c:pt>
                <c:pt idx="8">
                  <c:v>86.95</c:v>
                </c:pt>
                <c:pt idx="9">
                  <c:v>104.69499999999999</c:v>
                </c:pt>
                <c:pt idx="10">
                  <c:v>108.73</c:v>
                </c:pt>
                <c:pt idx="11">
                  <c:v>88.514999999999986</c:v>
                </c:pt>
                <c:pt idx="12">
                  <c:v>93.33</c:v>
                </c:pt>
                <c:pt idx="13">
                  <c:v>100.84</c:v>
                </c:pt>
                <c:pt idx="14">
                  <c:v>97.61</c:v>
                </c:pt>
                <c:pt idx="15">
                  <c:v>98.176999999999964</c:v>
                </c:pt>
                <c:pt idx="16">
                  <c:v>96.352000000000004</c:v>
                </c:pt>
                <c:pt idx="17">
                  <c:v>102.49</c:v>
                </c:pt>
                <c:pt idx="18">
                  <c:v>101.15</c:v>
                </c:pt>
                <c:pt idx="19">
                  <c:v>95.288000000000011</c:v>
                </c:pt>
                <c:pt idx="20">
                  <c:v>86.59</c:v>
                </c:pt>
                <c:pt idx="21">
                  <c:v>96.38</c:v>
                </c:pt>
                <c:pt idx="22">
                  <c:v>101.44</c:v>
                </c:pt>
              </c:numCache>
            </c:numRef>
          </c:val>
          <c:extLst>
            <c:ext xmlns:c16="http://schemas.microsoft.com/office/drawing/2014/chart" uri="{C3380CC4-5D6E-409C-BE32-E72D297353CC}">
              <c16:uniqueId val="{00000002-2DAE-4AFD-AA99-A9C640C719FC}"/>
            </c:ext>
          </c:extLst>
        </c:ser>
        <c:ser>
          <c:idx val="5"/>
          <c:order val="5"/>
          <c:tx>
            <c:strRef>
              <c:f>'Base Case'!$B$9</c:f>
              <c:strCache>
                <c:ptCount val="1"/>
                <c:pt idx="0">
                  <c:v>OEM</c:v>
                </c:pt>
              </c:strCache>
            </c:strRef>
          </c:tx>
          <c:spPr>
            <a:solidFill>
              <a:schemeClr val="accent6"/>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Case'!$AQ$9:$BM$9</c:f>
              <c:numCache>
                <c:formatCode>0.0</c:formatCode>
                <c:ptCount val="23"/>
                <c:pt idx="0">
                  <c:v>63.389000000000003</c:v>
                </c:pt>
                <c:pt idx="1">
                  <c:v>55.832000000000001</c:v>
                </c:pt>
                <c:pt idx="2">
                  <c:v>49.399000000000001</c:v>
                </c:pt>
                <c:pt idx="3">
                  <c:v>51.626000000000005</c:v>
                </c:pt>
                <c:pt idx="4">
                  <c:v>53.48</c:v>
                </c:pt>
                <c:pt idx="5">
                  <c:v>60.95</c:v>
                </c:pt>
                <c:pt idx="6">
                  <c:v>64.08</c:v>
                </c:pt>
                <c:pt idx="7">
                  <c:v>67.171000000000021</c:v>
                </c:pt>
                <c:pt idx="8">
                  <c:v>57.655999999999999</c:v>
                </c:pt>
                <c:pt idx="9">
                  <c:v>70</c:v>
                </c:pt>
                <c:pt idx="10">
                  <c:v>71.28</c:v>
                </c:pt>
                <c:pt idx="11">
                  <c:v>73.688000000000017</c:v>
                </c:pt>
                <c:pt idx="12">
                  <c:v>76.989999999999995</c:v>
                </c:pt>
                <c:pt idx="13">
                  <c:v>84.12</c:v>
                </c:pt>
                <c:pt idx="14">
                  <c:v>82.308999999999997</c:v>
                </c:pt>
                <c:pt idx="15">
                  <c:v>82.58899999999997</c:v>
                </c:pt>
                <c:pt idx="16">
                  <c:v>87.69</c:v>
                </c:pt>
                <c:pt idx="17">
                  <c:v>88.82</c:v>
                </c:pt>
                <c:pt idx="18">
                  <c:v>82.55</c:v>
                </c:pt>
                <c:pt idx="19">
                  <c:v>85.449999999999989</c:v>
                </c:pt>
                <c:pt idx="20">
                  <c:v>63.88</c:v>
                </c:pt>
                <c:pt idx="21">
                  <c:v>78.67</c:v>
                </c:pt>
                <c:pt idx="22">
                  <c:v>80.41</c:v>
                </c:pt>
              </c:numCache>
            </c:numRef>
          </c:val>
          <c:extLst>
            <c:ext xmlns:c16="http://schemas.microsoft.com/office/drawing/2014/chart" uri="{C3380CC4-5D6E-409C-BE32-E72D297353CC}">
              <c16:uniqueId val="{00000005-2DAE-4AFD-AA99-A9C640C719FC}"/>
            </c:ext>
          </c:extLst>
        </c:ser>
        <c:ser>
          <c:idx val="6"/>
          <c:order val="6"/>
          <c:tx>
            <c:strRef>
              <c:f>'Base Case'!$B$10</c:f>
              <c:strCache>
                <c:ptCount val="1"/>
                <c:pt idx="0">
                  <c:v>Other</c:v>
                </c:pt>
              </c:strCache>
            </c:strRef>
          </c:tx>
          <c:spPr>
            <a:solidFill>
              <a:sysClr val="window" lastClr="FFFFFF">
                <a:lumMod val="75000"/>
              </a:sysClr>
            </a:solidFill>
            <a:ln>
              <a:noFill/>
            </a:ln>
            <a:effectLst/>
          </c:spPr>
          <c:invertIfNegative val="0"/>
          <c:cat>
            <c:strRef>
              <c:f>'Base Case'!$AQ$1:$BL$1</c:f>
              <c:strCache>
                <c:ptCount val="21"/>
                <c:pt idx="0">
                  <c:v>Q1 2020</c:v>
                </c:pt>
                <c:pt idx="4">
                  <c:v>Q1 2021</c:v>
                </c:pt>
                <c:pt idx="8">
                  <c:v>Q1 2022</c:v>
                </c:pt>
                <c:pt idx="12">
                  <c:v>Q1 2023</c:v>
                </c:pt>
                <c:pt idx="16">
                  <c:v>Q1 2024</c:v>
                </c:pt>
                <c:pt idx="20">
                  <c:v>Q1 2025</c:v>
                </c:pt>
              </c:strCache>
            </c:strRef>
          </c:cat>
          <c:val>
            <c:numRef>
              <c:f>'Base Case'!$AQ$10:$BM$10</c:f>
              <c:numCache>
                <c:formatCode>0.0</c:formatCode>
                <c:ptCount val="23"/>
                <c:pt idx="0">
                  <c:v>91.73</c:v>
                </c:pt>
                <c:pt idx="1">
                  <c:v>91.414000000000001</c:v>
                </c:pt>
                <c:pt idx="2">
                  <c:v>86.02</c:v>
                </c:pt>
                <c:pt idx="3">
                  <c:v>98.086000000000013</c:v>
                </c:pt>
                <c:pt idx="4">
                  <c:v>81.683000000000007</c:v>
                </c:pt>
                <c:pt idx="5">
                  <c:v>86.84</c:v>
                </c:pt>
                <c:pt idx="6">
                  <c:v>83.37</c:v>
                </c:pt>
                <c:pt idx="7">
                  <c:v>84.69199999999995</c:v>
                </c:pt>
                <c:pt idx="8">
                  <c:v>69.512</c:v>
                </c:pt>
                <c:pt idx="9">
                  <c:v>72.13</c:v>
                </c:pt>
                <c:pt idx="10">
                  <c:v>69.900000000000006</c:v>
                </c:pt>
                <c:pt idx="11">
                  <c:v>73.606000000000023</c:v>
                </c:pt>
                <c:pt idx="12">
                  <c:v>71.650000000000006</c:v>
                </c:pt>
                <c:pt idx="13">
                  <c:v>75.95</c:v>
                </c:pt>
                <c:pt idx="14">
                  <c:v>76.033000000000001</c:v>
                </c:pt>
                <c:pt idx="15">
                  <c:v>68.268999999999949</c:v>
                </c:pt>
                <c:pt idx="16">
                  <c:v>52.51</c:v>
                </c:pt>
                <c:pt idx="17">
                  <c:v>41.7</c:v>
                </c:pt>
                <c:pt idx="18">
                  <c:v>54.76</c:v>
                </c:pt>
                <c:pt idx="19">
                  <c:v>58.25200000000001</c:v>
                </c:pt>
                <c:pt idx="20">
                  <c:v>53.6</c:v>
                </c:pt>
                <c:pt idx="21">
                  <c:v>59.84</c:v>
                </c:pt>
                <c:pt idx="22">
                  <c:v>79.069999999999993</c:v>
                </c:pt>
              </c:numCache>
            </c:numRef>
          </c:val>
          <c:extLst>
            <c:ext xmlns:c16="http://schemas.microsoft.com/office/drawing/2014/chart" uri="{C3380CC4-5D6E-409C-BE32-E72D297353CC}">
              <c16:uniqueId val="{00000006-2DAE-4AFD-AA99-A9C640C719FC}"/>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(TFX)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Q3 2020</c:v>
                </c:pt>
                <c:pt idx="1">
                  <c:v>Q4 2020</c:v>
                </c:pt>
                <c:pt idx="2">
                  <c:v>Q1 2021</c:v>
                </c:pt>
                <c:pt idx="3">
                  <c:v>Q2 2021</c:v>
                </c:pt>
                <c:pt idx="4">
                  <c:v>Q3 2021</c:v>
                </c:pt>
                <c:pt idx="5">
                  <c:v>Q4 2021</c:v>
                </c:pt>
                <c:pt idx="6">
                  <c:v>Q1 2022</c:v>
                </c:pt>
                <c:pt idx="7">
                  <c:v>Q2 2022</c:v>
                </c:pt>
                <c:pt idx="8">
                  <c:v>Q3 2022</c:v>
                </c:pt>
                <c:pt idx="9">
                  <c:v>Q4 2022</c:v>
                </c:pt>
                <c:pt idx="10">
                  <c:v>Q1 2023</c:v>
                </c:pt>
                <c:pt idx="11">
                  <c:v>Q2 2023</c:v>
                </c:pt>
                <c:pt idx="12">
                  <c:v>Q3 2023</c:v>
                </c:pt>
                <c:pt idx="13">
                  <c:v>Q4 2023</c:v>
                </c:pt>
                <c:pt idx="14">
                  <c:v>Q1 2024</c:v>
                </c:pt>
                <c:pt idx="15">
                  <c:v>Q2 2024</c:v>
                </c:pt>
                <c:pt idx="16">
                  <c:v>Q3 2024</c:v>
                </c:pt>
                <c:pt idx="17">
                  <c:v>Q4 2024</c:v>
                </c:pt>
                <c:pt idx="18">
                  <c:v>Q1 2025</c:v>
                </c:pt>
                <c:pt idx="19">
                  <c:v>Q2 2025</c:v>
                </c:pt>
                <c:pt idx="20">
                  <c:v>Q3 2025</c:v>
                </c:pt>
              </c:strCache>
            </c:strRef>
          </c:cat>
          <c:val>
            <c:numRef>
              <c:f>'Base Case'!$CA$59:$CO$59</c:f>
              <c:numCache>
                <c:formatCode>0.0</c:formatCode>
                <c:ptCount val="15"/>
                <c:pt idx="0">
                  <c:v>87.899999999999963</c:v>
                </c:pt>
                <c:pt idx="1">
                  <c:v>118.9</c:v>
                </c:pt>
                <c:pt idx="2">
                  <c:v>-181.79999999999987</c:v>
                </c:pt>
                <c:pt idx="3">
                  <c:v>152.1</c:v>
                </c:pt>
                <c:pt idx="4">
                  <c:v>191.59999999999997</c:v>
                </c:pt>
                <c:pt idx="5">
                  <c:v>236.79999999999998</c:v>
                </c:pt>
                <c:pt idx="6">
                  <c:v>237.70000000000002</c:v>
                </c:pt>
                <c:pt idx="7">
                  <c:v>155.40000000000009</c:v>
                </c:pt>
                <c:pt idx="8">
                  <c:v>196.30000000000004</c:v>
                </c:pt>
                <c:pt idx="9">
                  <c:v>461.89999999999992</c:v>
                </c:pt>
                <c:pt idx="10">
                  <c:v>276.28799999999995</c:v>
                </c:pt>
                <c:pt idx="11">
                  <c:v>510.73000000000019</c:v>
                </c:pt>
                <c:pt idx="12">
                  <c:v>362.63499999999982</c:v>
                </c:pt>
                <c:pt idx="13">
                  <c:v>355.17799999999988</c:v>
                </c:pt>
                <c:pt idx="14">
                  <c:v>69.699999999999818</c:v>
                </c:pt>
              </c:numCache>
            </c:numRef>
          </c:val>
          <c:extLst>
            <c:ext xmlns:c16="http://schemas.microsoft.com/office/drawing/2014/chart" uri="{C3380CC4-5D6E-409C-BE32-E72D297353CC}">
              <c16:uniqueId val="{00000000-3BE3-4054-B6DA-0F53C9EF0605}"/>
            </c:ext>
          </c:extLst>
        </c:ser>
        <c:ser>
          <c:idx val="2"/>
          <c:order val="2"/>
          <c:tx>
            <c:v>FCF</c:v>
          </c:tx>
          <c:spPr>
            <a:solidFill>
              <a:srgbClr val="FFC000"/>
            </a:solidFill>
          </c:spPr>
          <c:invertIfNegative val="0"/>
          <c:cat>
            <c:strRef>
              <c:f>[1]Model!$AW$3:$BQ$3</c:f>
              <c:strCache>
                <c:ptCount val="21"/>
                <c:pt idx="0">
                  <c:v>Q3 2020</c:v>
                </c:pt>
                <c:pt idx="1">
                  <c:v>Q4 2020</c:v>
                </c:pt>
                <c:pt idx="2">
                  <c:v>Q1 2021</c:v>
                </c:pt>
                <c:pt idx="3">
                  <c:v>Q2 2021</c:v>
                </c:pt>
                <c:pt idx="4">
                  <c:v>Q3 2021</c:v>
                </c:pt>
                <c:pt idx="5">
                  <c:v>Q4 2021</c:v>
                </c:pt>
                <c:pt idx="6">
                  <c:v>Q1 2022</c:v>
                </c:pt>
                <c:pt idx="7">
                  <c:v>Q2 2022</c:v>
                </c:pt>
                <c:pt idx="8">
                  <c:v>Q3 2022</c:v>
                </c:pt>
                <c:pt idx="9">
                  <c:v>Q4 2022</c:v>
                </c:pt>
                <c:pt idx="10">
                  <c:v>Q1 2023</c:v>
                </c:pt>
                <c:pt idx="11">
                  <c:v>Q2 2023</c:v>
                </c:pt>
                <c:pt idx="12">
                  <c:v>Q3 2023</c:v>
                </c:pt>
                <c:pt idx="13">
                  <c:v>Q4 2023</c:v>
                </c:pt>
                <c:pt idx="14">
                  <c:v>Q1 2024</c:v>
                </c:pt>
                <c:pt idx="15">
                  <c:v>Q2 2024</c:v>
                </c:pt>
                <c:pt idx="16">
                  <c:v>Q3 2024</c:v>
                </c:pt>
                <c:pt idx="17">
                  <c:v>Q4 2024</c:v>
                </c:pt>
                <c:pt idx="18">
                  <c:v>Q1 2025</c:v>
                </c:pt>
                <c:pt idx="19">
                  <c:v>Q2 2025</c:v>
                </c:pt>
                <c:pt idx="20">
                  <c:v>Q3 2025</c:v>
                </c:pt>
              </c:strCache>
            </c:strRef>
          </c:cat>
          <c:val>
            <c:numRef>
              <c:f>'Base Case'!$CA$114:$CO$114</c:f>
              <c:numCache>
                <c:formatCode>0.0</c:formatCode>
                <c:ptCount val="15"/>
                <c:pt idx="0">
                  <c:v>114.596</c:v>
                </c:pt>
                <c:pt idx="1">
                  <c:v>49.730000000000004</c:v>
                </c:pt>
                <c:pt idx="2">
                  <c:v>129.24700000000001</c:v>
                </c:pt>
                <c:pt idx="3">
                  <c:v>167.73</c:v>
                </c:pt>
                <c:pt idx="4">
                  <c:v>222.54800000000003</c:v>
                </c:pt>
                <c:pt idx="5">
                  <c:v>242.08</c:v>
                </c:pt>
                <c:pt idx="6">
                  <c:v>357.48</c:v>
                </c:pt>
                <c:pt idx="7">
                  <c:v>355.48199999999997</c:v>
                </c:pt>
                <c:pt idx="8">
                  <c:v>354.3</c:v>
                </c:pt>
                <c:pt idx="9">
                  <c:v>337.6</c:v>
                </c:pt>
                <c:pt idx="10">
                  <c:v>346.5</c:v>
                </c:pt>
                <c:pt idx="11">
                  <c:v>580.6</c:v>
                </c:pt>
                <c:pt idx="12">
                  <c:v>263.70999999999998</c:v>
                </c:pt>
                <c:pt idx="13">
                  <c:v>420.2</c:v>
                </c:pt>
                <c:pt idx="14">
                  <c:v>511.80000000000007</c:v>
                </c:pt>
              </c:numCache>
            </c:numRef>
          </c:val>
          <c:extLst>
            <c:ext xmlns:c16="http://schemas.microsoft.com/office/drawing/2014/chart" uri="{C3380CC4-5D6E-409C-BE32-E72D297353CC}">
              <c16:uniqueId val="{00000001-3BE3-4054-B6DA-0F53C9EF0605}"/>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a:solidFill>
                <a:srgbClr val="00B0F0"/>
              </a:solidFill>
            </a:ln>
          </c:spPr>
          <c:marker>
            <c:symbol val="none"/>
          </c:marker>
          <c:cat>
            <c:numRef>
              <c:f>'Base Case'!$CA$3:$CO$3</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'Base Case'!$CA$44:$CO$44</c:f>
              <c:numCache>
                <c:formatCode>0.0</c:formatCode>
                <c:ptCount val="15"/>
                <c:pt idx="0">
                  <c:v>1397.6</c:v>
                </c:pt>
                <c:pt idx="1">
                  <c:v>1492.5</c:v>
                </c:pt>
                <c:pt idx="2">
                  <c:v>1551.1</c:v>
                </c:pt>
                <c:pt idx="3">
                  <c:v>1696.3</c:v>
                </c:pt>
                <c:pt idx="4">
                  <c:v>1839.8</c:v>
                </c:pt>
                <c:pt idx="5">
                  <c:v>1809.6</c:v>
                </c:pt>
                <c:pt idx="6">
                  <c:v>1868</c:v>
                </c:pt>
                <c:pt idx="7">
                  <c:v>2146.3000000000002</c:v>
                </c:pt>
                <c:pt idx="8">
                  <c:v>2448.4</c:v>
                </c:pt>
                <c:pt idx="9">
                  <c:v>2595.3999999999996</c:v>
                </c:pt>
                <c:pt idx="10">
                  <c:v>2477.645</c:v>
                </c:pt>
                <c:pt idx="11">
                  <c:v>2809.5560000000005</c:v>
                </c:pt>
                <c:pt idx="12">
                  <c:v>2791.0239999999999</c:v>
                </c:pt>
                <c:pt idx="13">
                  <c:v>2974.4849999999997</c:v>
                </c:pt>
                <c:pt idx="14">
                  <c:v>3047.3040000000001</c:v>
                </c:pt>
              </c:numCache>
            </c:numRef>
          </c:val>
          <c:smooth val="0"/>
          <c:extLst>
            <c:ext xmlns:c16="http://schemas.microsoft.com/office/drawing/2014/chart" uri="{C3380CC4-5D6E-409C-BE32-E72D297353CC}">
              <c16:uniqueId val="{00000002-3BE3-4054-B6DA-0F53C9EF0605}"/>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11207</xdr:colOff>
      <xdr:row>3</xdr:row>
      <xdr:rowOff>11205</xdr:rowOff>
    </xdr:from>
    <xdr:to>
      <xdr:col>9</xdr:col>
      <xdr:colOff>0</xdr:colOff>
      <xdr:row>11</xdr:row>
      <xdr:rowOff>0</xdr:rowOff>
    </xdr:to>
    <xdr:pic>
      <xdr:nvPicPr>
        <xdr:cNvPr id="3" name="Picture 2">
          <a:extLst>
            <a:ext uri="{FF2B5EF4-FFF2-40B4-BE49-F238E27FC236}">
              <a16:creationId xmlns:a16="http://schemas.microsoft.com/office/drawing/2014/main" id="{20E8C563-E417-84F0-0701-A54BEADA3159}"/>
            </a:ext>
          </a:extLst>
        </xdr:cNvPr>
        <xdr:cNvPicPr>
          <a:picLocks noChangeAspect="1"/>
        </xdr:cNvPicPr>
      </xdr:nvPicPr>
      <xdr:blipFill>
        <a:blip xmlns:r="http://schemas.openxmlformats.org/officeDocument/2006/relationships" r:embed="rId1"/>
        <a:stretch>
          <a:fillRect/>
        </a:stretch>
      </xdr:blipFill>
      <xdr:spPr>
        <a:xfrm>
          <a:off x="3148854" y="560293"/>
          <a:ext cx="2409264" cy="1434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68</xdr:col>
      <xdr:colOff>-1</xdr:colOff>
      <xdr:row>0</xdr:row>
      <xdr:rowOff>0</xdr:rowOff>
    </xdr:from>
    <xdr:to>
      <xdr:col>68</xdr:col>
      <xdr:colOff>-1</xdr:colOff>
      <xdr:row>124</xdr:row>
      <xdr:rowOff>152400</xdr:rowOff>
    </xdr:to>
    <xdr:cxnSp macro="">
      <xdr:nvCxnSpPr>
        <xdr:cNvPr id="2" name="Straight Connector 1">
          <a:extLst>
            <a:ext uri="{FF2B5EF4-FFF2-40B4-BE49-F238E27FC236}">
              <a16:creationId xmlns:a16="http://schemas.microsoft.com/office/drawing/2014/main" id="{95A394DD-86E1-46E6-9993-ADF7A3D157C9}"/>
            </a:ext>
          </a:extLst>
        </xdr:cNvPr>
        <xdr:cNvCxnSpPr/>
      </xdr:nvCxnSpPr>
      <xdr:spPr>
        <a:xfrm>
          <a:off x="42615970" y="0"/>
          <a:ext cx="0" cy="224969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0</xdr:colOff>
      <xdr:row>0</xdr:row>
      <xdr:rowOff>0</xdr:rowOff>
    </xdr:from>
    <xdr:to>
      <xdr:col>89</xdr:col>
      <xdr:colOff>0</xdr:colOff>
      <xdr:row>123</xdr:row>
      <xdr:rowOff>76200</xdr:rowOff>
    </xdr:to>
    <xdr:cxnSp macro="">
      <xdr:nvCxnSpPr>
        <xdr:cNvPr id="3" name="Straight Connector 2">
          <a:extLst>
            <a:ext uri="{FF2B5EF4-FFF2-40B4-BE49-F238E27FC236}">
              <a16:creationId xmlns:a16="http://schemas.microsoft.com/office/drawing/2014/main" id="{C417A72F-4582-41C2-9D4A-39916BEABBE9}"/>
            </a:ext>
          </a:extLst>
        </xdr:cNvPr>
        <xdr:cNvCxnSpPr/>
      </xdr:nvCxnSpPr>
      <xdr:spPr>
        <a:xfrm>
          <a:off x="58140600" y="0"/>
          <a:ext cx="0" cy="224313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93</xdr:col>
      <xdr:colOff>0</xdr:colOff>
      <xdr:row>0</xdr:row>
      <xdr:rowOff>0</xdr:rowOff>
    </xdr:from>
    <xdr:to>
      <xdr:col>93</xdr:col>
      <xdr:colOff>0</xdr:colOff>
      <xdr:row>123</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-1</xdr:colOff>
      <xdr:row>0</xdr:row>
      <xdr:rowOff>0</xdr:rowOff>
    </xdr:from>
    <xdr:to>
      <xdr:col>68</xdr:col>
      <xdr:colOff>-1</xdr:colOff>
      <xdr:row>124</xdr:row>
      <xdr:rowOff>152400</xdr:rowOff>
    </xdr:to>
    <xdr:cxnSp macro="">
      <xdr:nvCxnSpPr>
        <xdr:cNvPr id="4" name="Straight Connector 3">
          <a:extLst>
            <a:ext uri="{FF2B5EF4-FFF2-40B4-BE49-F238E27FC236}">
              <a16:creationId xmlns:a16="http://schemas.microsoft.com/office/drawing/2014/main" id="{B396B15E-ECA9-4C5B-B355-053F4900D429}"/>
            </a:ext>
          </a:extLst>
        </xdr:cNvPr>
        <xdr:cNvCxnSpPr/>
      </xdr:nvCxnSpPr>
      <xdr:spPr>
        <a:xfrm>
          <a:off x="42900599" y="0"/>
          <a:ext cx="0" cy="22698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103</xdr:row>
      <xdr:rowOff>0</xdr:rowOff>
    </xdr:from>
    <xdr:to>
      <xdr:col>23</xdr:col>
      <xdr:colOff>0</xdr:colOff>
      <xdr:row>131</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168</xdr:row>
      <xdr:rowOff>0</xdr:rowOff>
    </xdr:from>
    <xdr:to>
      <xdr:col>23</xdr:col>
      <xdr:colOff>0</xdr:colOff>
      <xdr:row>196</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9525</xdr:colOff>
      <xdr:row>2</xdr:row>
      <xdr:rowOff>9524</xdr:rowOff>
    </xdr:from>
    <xdr:to>
      <xdr:col>18</xdr:col>
      <xdr:colOff>0</xdr:colOff>
      <xdr:row>28</xdr:row>
      <xdr:rowOff>171449</xdr:rowOff>
    </xdr:to>
    <xdr:pic>
      <xdr:nvPicPr>
        <xdr:cNvPr id="6" name="Picture 5">
          <a:extLst>
            <a:ext uri="{FF2B5EF4-FFF2-40B4-BE49-F238E27FC236}">
              <a16:creationId xmlns:a16="http://schemas.microsoft.com/office/drawing/2014/main" id="{507D05E8-A38E-6E20-1A89-63E8628A7AE1}"/>
            </a:ext>
          </a:extLst>
        </xdr:cNvPr>
        <xdr:cNvPicPr>
          <a:picLocks noChangeAspect="1"/>
        </xdr:cNvPicPr>
      </xdr:nvPicPr>
      <xdr:blipFill>
        <a:blip xmlns:r="http://schemas.openxmlformats.org/officeDocument/2006/relationships" r:embed="rId3"/>
        <a:stretch>
          <a:fillRect/>
        </a:stretch>
      </xdr:blipFill>
      <xdr:spPr>
        <a:xfrm>
          <a:off x="4486275" y="380999"/>
          <a:ext cx="6086475" cy="4867275"/>
        </a:xfrm>
        <a:prstGeom prst="rect">
          <a:avLst/>
        </a:prstGeom>
      </xdr:spPr>
    </xdr:pic>
    <xdr:clientData/>
  </xdr:twoCellAnchor>
  <xdr:twoCellAnchor editAs="oneCell">
    <xdr:from>
      <xdr:col>18</xdr:col>
      <xdr:colOff>9525</xdr:colOff>
      <xdr:row>2</xdr:row>
      <xdr:rowOff>9525</xdr:rowOff>
    </xdr:from>
    <xdr:to>
      <xdr:col>26</xdr:col>
      <xdr:colOff>600075</xdr:colOff>
      <xdr:row>29</xdr:row>
      <xdr:rowOff>0</xdr:rowOff>
    </xdr:to>
    <xdr:pic>
      <xdr:nvPicPr>
        <xdr:cNvPr id="7" name="Picture 6">
          <a:extLst>
            <a:ext uri="{FF2B5EF4-FFF2-40B4-BE49-F238E27FC236}">
              <a16:creationId xmlns:a16="http://schemas.microsoft.com/office/drawing/2014/main" id="{0C53CF08-B3DC-6A06-384C-3DC85214160D}"/>
            </a:ext>
          </a:extLst>
        </xdr:cNvPr>
        <xdr:cNvPicPr>
          <a:picLocks noChangeAspect="1"/>
        </xdr:cNvPicPr>
      </xdr:nvPicPr>
      <xdr:blipFill>
        <a:blip xmlns:r="http://schemas.openxmlformats.org/officeDocument/2006/relationships" r:embed="rId4"/>
        <a:stretch>
          <a:fillRect/>
        </a:stretch>
      </xdr:blipFill>
      <xdr:spPr>
        <a:xfrm>
          <a:off x="10582275" y="381000"/>
          <a:ext cx="5467350" cy="4876800"/>
        </a:xfrm>
        <a:prstGeom prst="rect">
          <a:avLst/>
        </a:prstGeom>
      </xdr:spPr>
    </xdr:pic>
    <xdr:clientData/>
  </xdr:twoCellAnchor>
  <xdr:twoCellAnchor editAs="oneCell">
    <xdr:from>
      <xdr:col>8</xdr:col>
      <xdr:colOff>9525</xdr:colOff>
      <xdr:row>34</xdr:row>
      <xdr:rowOff>0</xdr:rowOff>
    </xdr:from>
    <xdr:to>
      <xdr:col>17</xdr:col>
      <xdr:colOff>0</xdr:colOff>
      <xdr:row>61</xdr:row>
      <xdr:rowOff>175932</xdr:rowOff>
    </xdr:to>
    <xdr:pic>
      <xdr:nvPicPr>
        <xdr:cNvPr id="8" name="Picture 7">
          <a:extLst>
            <a:ext uri="{FF2B5EF4-FFF2-40B4-BE49-F238E27FC236}">
              <a16:creationId xmlns:a16="http://schemas.microsoft.com/office/drawing/2014/main" id="{B393B22E-DCA5-D8A2-5079-0A2DAFB35812}"/>
            </a:ext>
          </a:extLst>
        </xdr:cNvPr>
        <xdr:cNvPicPr>
          <a:picLocks noChangeAspect="1"/>
        </xdr:cNvPicPr>
      </xdr:nvPicPr>
      <xdr:blipFill>
        <a:blip xmlns:r="http://schemas.openxmlformats.org/officeDocument/2006/relationships" r:embed="rId5"/>
        <a:stretch>
          <a:fillRect/>
        </a:stretch>
      </xdr:blipFill>
      <xdr:spPr>
        <a:xfrm>
          <a:off x="4486275" y="6534150"/>
          <a:ext cx="5476875" cy="5086350"/>
        </a:xfrm>
        <a:prstGeom prst="rect">
          <a:avLst/>
        </a:prstGeom>
      </xdr:spPr>
    </xdr:pic>
    <xdr:clientData/>
  </xdr:twoCellAnchor>
  <xdr:twoCellAnchor>
    <xdr:from>
      <xdr:col>8</xdr:col>
      <xdr:colOff>0</xdr:colOff>
      <xdr:row>67</xdr:row>
      <xdr:rowOff>0</xdr:rowOff>
    </xdr:from>
    <xdr:to>
      <xdr:col>23</xdr:col>
      <xdr:colOff>0</xdr:colOff>
      <xdr:row>98</xdr:row>
      <xdr:rowOff>0</xdr:rowOff>
    </xdr:to>
    <xdr:graphicFrame macro="">
      <xdr:nvGraphicFramePr>
        <xdr:cNvPr id="9" name="Chart 8">
          <a:extLst>
            <a:ext uri="{FF2B5EF4-FFF2-40B4-BE49-F238E27FC236}">
              <a16:creationId xmlns:a16="http://schemas.microsoft.com/office/drawing/2014/main" id="{986794E9-ECB5-475A-A8AD-86E698443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136</xdr:row>
      <xdr:rowOff>0</xdr:rowOff>
    </xdr:from>
    <xdr:to>
      <xdr:col>23</xdr:col>
      <xdr:colOff>0</xdr:colOff>
      <xdr:row>164</xdr:row>
      <xdr:rowOff>0</xdr:rowOff>
    </xdr:to>
    <xdr:graphicFrame macro="">
      <xdr:nvGraphicFramePr>
        <xdr:cNvPr id="2" name="Chart 1">
          <a:extLst>
            <a:ext uri="{FF2B5EF4-FFF2-40B4-BE49-F238E27FC236}">
              <a16:creationId xmlns:a16="http://schemas.microsoft.com/office/drawing/2014/main" id="{E1994D8B-27FE-4AC8-8756-C4D5E8985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9525</xdr:colOff>
      <x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ing/2014/main" id="{8EBF8585-4587-4EE1-A9A6-1E440FDBDFBE}"/>
            </a:ext>
          </a:extLst>
        </xdr:cNvPr>
        <xdr:cNvPicPr>
          <a:picLocks noChangeAspect="1"/>
        </xdr:cNvPicPr>
      </xdr:nvPicPr>
      <xdr:blipFill>
        <a:blip xmlns:r="http://schemas.openxmlformats.org/officeDocument/2006/relationships" r:embed="rId1"/>
        <a:stretch>
          <a:fillRect/>
        </a:stretch>
      </xdr:blipFill>
      <xdr:spPr>
        <a:xfrm>
          <a:off x="5695950" y="190499"/>
          <a:ext cx="6076950" cy="47339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BSX_Model.xlsx" TargetMode="External"/><Relationship Id="rId1" Type="http://schemas.openxmlformats.org/officeDocument/2006/relationships/externalLinkPath" Target="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PEN Acquisition"/>
      <sheetName val="Notes | Analysis"/>
      <sheetName val="VC Channel"/>
      <sheetName val="M&amp;A Scope"/>
      <sheetName val="Clinical Trial Channel"/>
      <sheetName val="Management"/>
      <sheetName val="Debt Schedule"/>
      <sheetName val="Portfolio | Product Lines"/>
      <sheetName val="Interventional Cardiology"/>
      <sheetName val="Watchman"/>
      <sheetName val="Main | Overview"/>
      <sheetName val="Notes | Quant Analysis"/>
      <sheetName val="Markets | Product Lines"/>
    </sheetNames>
    <sheetDataSet>
      <sheetData sheetId="0">
        <row r="3">
          <cell r="C3">
            <v>74.73</v>
          </cell>
        </row>
      </sheetData>
      <sheetData sheetId="1">
        <row r="3">
          <cell r="AW3" t="str">
            <v>Q3 2020</v>
          </cell>
          <cell r="AX3" t="str">
            <v>Q4 2020</v>
          </cell>
          <cell r="AY3" t="str">
            <v>Q1 2021</v>
          </cell>
          <cell r="AZ3" t="str">
            <v>Q2 2021</v>
          </cell>
          <cell r="BA3" t="str">
            <v>Q3 2021</v>
          </cell>
          <cell r="BB3" t="str">
            <v>Q4 2021</v>
          </cell>
          <cell r="BC3" t="str">
            <v>Q1 2022</v>
          </cell>
          <cell r="BD3" t="str">
            <v>Q2 2022</v>
          </cell>
          <cell r="BE3" t="str">
            <v>Q3 2022</v>
          </cell>
          <cell r="BF3" t="str">
            <v>Q4 2022</v>
          </cell>
          <cell r="BG3" t="str">
            <v>Q1 2023</v>
          </cell>
          <cell r="BH3" t="str">
            <v>Q2 2023</v>
          </cell>
          <cell r="BI3" t="str">
            <v>Q3 2023</v>
          </cell>
          <cell r="BJ3" t="str">
            <v>Q4 2023</v>
          </cell>
          <cell r="BK3" t="str">
            <v>Q1 2024</v>
          </cell>
          <cell r="BL3" t="str">
            <v>Q2 2024</v>
          </cell>
          <cell r="BM3" t="str">
            <v>Q3 2024</v>
          </cell>
          <cell r="BN3" t="str">
            <v>Q4 2024</v>
          </cell>
          <cell r="BO3" t="str">
            <v>Q1 2025</v>
          </cell>
          <cell r="BP3" t="str">
            <v>Q2 2025</v>
          </cell>
          <cell r="BQ3" t="str">
            <v>Q3 2025</v>
          </cell>
        </row>
      </sheetData>
      <sheetData sheetId="2">
        <row r="90">
          <cell r="DK90">
            <v>77.085212928532385</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000%20Med-Devices%20Master%20List%20000.xlsx" TargetMode="External"/><Relationship Id="rId3" Type="http://schemas.openxmlformats.org/officeDocument/2006/relationships/hyperlink" Target="https://stockanalysis.com/stocks/tfx/company/" TargetMode="External"/><Relationship Id="rId7" Type="http://schemas.openxmlformats.org/officeDocument/2006/relationships/hyperlink" Target="https://www.gurufocus.com/term/wacc/TFX" TargetMode="External"/><Relationship Id="rId2" Type="http://schemas.openxmlformats.org/officeDocument/2006/relationships/hyperlink" Target="https://seekingalpha.com/symbol/TFX/earnings/transcripts" TargetMode="External"/><Relationship Id="rId1" Type="http://schemas.openxmlformats.org/officeDocument/2006/relationships/hyperlink" Target="https://app.godelterminal.com/" TargetMode="External"/><Relationship Id="rId6" Type="http://schemas.openxmlformats.org/officeDocument/2006/relationships/hyperlink" Target="https://www.macrotrends.net/stocks/charts/ISRG/intuitive-surgical/cash-flow-statement?q=" TargetMode="External"/><Relationship Id="rId11" Type="http://schemas.openxmlformats.org/officeDocument/2006/relationships/drawing" Target="../drawings/drawing1.xml"/><Relationship Id="rId5" Type="http://schemas.openxmlformats.org/officeDocument/2006/relationships/hyperlink" Target="https://investors.teleflex.com/home/default.aspx" TargetMode="External"/><Relationship Id="rId10" Type="http://schemas.openxmlformats.org/officeDocument/2006/relationships/hyperlink" Target="https://www.teleflexvascular.com/" TargetMode="External"/><Relationship Id="rId4" Type="http://schemas.openxmlformats.org/officeDocument/2006/relationships/hyperlink" Target="https://www.teleflex.com/usa/en/" TargetMode="External"/><Relationship Id="rId9" Type="http://schemas.openxmlformats.org/officeDocument/2006/relationships/hyperlink" Target="mailto:investor.relations@teleflex.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9"/>
  <sheetViews>
    <sheetView zoomScale="85" zoomScaleNormal="85" workbookViewId="0">
      <selection activeCell="C10" sqref="C10"/>
    </sheetView>
  </sheetViews>
  <sheetFormatPr defaultColWidth="9.140625" defaultRowHeight="14.25"/>
  <cols>
    <col min="1" max="1" width="3.140625" style="1" customWidth="1"/>
    <col min="2" max="4" width="9.28515625" style="1" customWidth="1"/>
    <col min="5" max="16384" width="9.140625" style="1"/>
  </cols>
  <sheetData>
    <row r="1" spans="1:17">
      <c r="A1" s="43" t="s">
        <v>0</v>
      </c>
    </row>
    <row r="2" spans="1:17" ht="15">
      <c r="A2" s="2" t="s">
        <v>163</v>
      </c>
    </row>
    <row r="4" spans="1:17" ht="15">
      <c r="B4" s="2" t="s">
        <v>166</v>
      </c>
    </row>
    <row r="5" spans="1:17">
      <c r="B5" s="1" t="s">
        <v>1</v>
      </c>
      <c r="C5" s="109">
        <v>125.12</v>
      </c>
      <c r="D5" s="42" t="s">
        <v>1272</v>
      </c>
    </row>
    <row r="6" spans="1:17">
      <c r="B6" s="1" t="s">
        <v>2</v>
      </c>
      <c r="C6" s="110">
        <v>42.372</v>
      </c>
      <c r="D6" s="1" t="s">
        <v>1287</v>
      </c>
    </row>
    <row r="7" spans="1:17">
      <c r="B7" s="1" t="s">
        <v>3</v>
      </c>
      <c r="C7" s="111">
        <f>C5*C6</f>
        <v>5301.58464</v>
      </c>
    </row>
    <row r="8" spans="1:17">
      <c r="B8" s="1" t="s">
        <v>4</v>
      </c>
      <c r="C8" s="111">
        <v>300.15899999999999</v>
      </c>
      <c r="D8" s="1" t="s">
        <v>1287</v>
      </c>
    </row>
    <row r="9" spans="1:17">
      <c r="B9" s="1" t="s">
        <v>5</v>
      </c>
      <c r="C9" s="111">
        <f>87.5+2720.509</f>
        <v>2808.009</v>
      </c>
      <c r="D9" s="1" t="s">
        <v>1287</v>
      </c>
    </row>
    <row r="10" spans="1:17">
      <c r="B10" s="1" t="s">
        <v>6</v>
      </c>
      <c r="C10" s="111">
        <f>C7-C8+C9</f>
        <v>7809.4346400000004</v>
      </c>
    </row>
    <row r="12" spans="1:17" ht="15">
      <c r="B12" s="2" t="s">
        <v>943</v>
      </c>
    </row>
    <row r="14" spans="1:17" ht="15">
      <c r="B14" s="1" t="s">
        <v>181</v>
      </c>
      <c r="F14" s="1" t="s">
        <v>177</v>
      </c>
      <c r="N14" s="1" t="s">
        <v>162</v>
      </c>
      <c r="Q14" s="2"/>
    </row>
    <row r="15" spans="1:17">
      <c r="B15" s="1" t="s">
        <v>182</v>
      </c>
      <c r="F15" s="1" t="s">
        <v>178</v>
      </c>
      <c r="N15" s="1" t="s">
        <v>8</v>
      </c>
      <c r="Q15" s="43" t="s">
        <v>1273</v>
      </c>
    </row>
    <row r="16" spans="1:17">
      <c r="B16" s="1" t="s">
        <v>179</v>
      </c>
      <c r="F16" s="1" t="s">
        <v>7</v>
      </c>
      <c r="N16" s="1" t="s">
        <v>169</v>
      </c>
      <c r="Q16" s="43" t="s">
        <v>171</v>
      </c>
    </row>
    <row r="17" spans="1:18">
      <c r="B17" s="1" t="s">
        <v>180</v>
      </c>
      <c r="F17" s="1" t="s">
        <v>159</v>
      </c>
      <c r="O17" s="1" t="s">
        <v>1268</v>
      </c>
      <c r="R17" s="43" t="s">
        <v>1269</v>
      </c>
    </row>
    <row r="18" spans="1:18">
      <c r="B18" s="1" t="s">
        <v>183</v>
      </c>
      <c r="F18" s="1" t="s">
        <v>153</v>
      </c>
      <c r="G18" s="1" t="s">
        <v>944</v>
      </c>
      <c r="I18" s="1" t="s">
        <v>154</v>
      </c>
      <c r="J18" s="43" t="s">
        <v>945</v>
      </c>
      <c r="O18" s="1" t="s">
        <v>168</v>
      </c>
      <c r="R18" s="43" t="s">
        <v>172</v>
      </c>
    </row>
    <row r="19" spans="1:18">
      <c r="B19" s="1" t="s">
        <v>184</v>
      </c>
      <c r="N19" s="1" t="s">
        <v>156</v>
      </c>
      <c r="Q19" s="43" t="s">
        <v>167</v>
      </c>
    </row>
    <row r="20" spans="1:18">
      <c r="B20" s="1" t="s">
        <v>185</v>
      </c>
      <c r="N20" s="1" t="s">
        <v>157</v>
      </c>
      <c r="Q20" s="43" t="s">
        <v>170</v>
      </c>
    </row>
    <row r="21" spans="1:18">
      <c r="B21" s="1" t="s">
        <v>186</v>
      </c>
      <c r="N21" s="1" t="s">
        <v>174</v>
      </c>
      <c r="Q21" s="43" t="s">
        <v>173</v>
      </c>
    </row>
    <row r="22" spans="1:18">
      <c r="B22" s="1" t="s">
        <v>1271</v>
      </c>
      <c r="N22" s="1" t="s">
        <v>175</v>
      </c>
      <c r="Q22" s="43" t="s">
        <v>176</v>
      </c>
    </row>
    <row r="23" spans="1:18">
      <c r="N23" s="1" t="s">
        <v>9</v>
      </c>
      <c r="Q23" s="43" t="s">
        <v>158</v>
      </c>
    </row>
    <row r="24" spans="1:18" ht="15">
      <c r="A24" s="2" t="s">
        <v>10</v>
      </c>
    </row>
    <row r="25" spans="1:18">
      <c r="B25" s="1" t="s">
        <v>1043</v>
      </c>
    </row>
    <row r="26" spans="1:18">
      <c r="C26" s="1" t="s">
        <v>1035</v>
      </c>
    </row>
    <row r="27" spans="1:18">
      <c r="C27" s="1" t="s">
        <v>1038</v>
      </c>
    </row>
    <row r="28" spans="1:18">
      <c r="D28" s="1" t="s">
        <v>1040</v>
      </c>
    </row>
    <row r="29" spans="1:18">
      <c r="C29" s="1" t="s">
        <v>1037</v>
      </c>
    </row>
    <row r="30" spans="1:18">
      <c r="B30" s="1" t="s">
        <v>1036</v>
      </c>
    </row>
    <row r="31" spans="1:18">
      <c r="C31" s="1" t="s">
        <v>1041</v>
      </c>
    </row>
    <row r="32" spans="1:18">
      <c r="C32" s="1" t="s">
        <v>1039</v>
      </c>
    </row>
    <row r="33" spans="1:4">
      <c r="D33" s="1" t="s">
        <v>1042</v>
      </c>
    </row>
    <row r="34" spans="1:4">
      <c r="B34" s="1" t="s">
        <v>1045</v>
      </c>
    </row>
    <row r="36" spans="1:4" ht="15">
      <c r="A36" s="2" t="s">
        <v>1046</v>
      </c>
    </row>
    <row r="37" spans="1:4">
      <c r="B37" s="1" t="s">
        <v>1047</v>
      </c>
    </row>
    <row r="38" spans="1:4">
      <c r="C38" s="1" t="s">
        <v>1048</v>
      </c>
    </row>
    <row r="39" spans="1:4">
      <c r="C39" s="1" t="s">
        <v>1049</v>
      </c>
    </row>
    <row r="40" spans="1:4">
      <c r="B40" s="1" t="s">
        <v>1050</v>
      </c>
    </row>
    <row r="41" spans="1:4">
      <c r="C41" s="1" t="s">
        <v>1051</v>
      </c>
    </row>
    <row r="42" spans="1:4">
      <c r="B42" s="1" t="s">
        <v>1052</v>
      </c>
    </row>
    <row r="43" spans="1:4">
      <c r="C43" s="1" t="s">
        <v>1053</v>
      </c>
    </row>
    <row r="44" spans="1:4">
      <c r="C44" s="1" t="s">
        <v>1054</v>
      </c>
    </row>
    <row r="45" spans="1:4">
      <c r="B45" s="1" t="s">
        <v>1055</v>
      </c>
    </row>
    <row r="46" spans="1:4">
      <c r="C46" s="1" t="s">
        <v>1056</v>
      </c>
    </row>
    <row r="47" spans="1:4">
      <c r="C47" s="1" t="s">
        <v>1057</v>
      </c>
    </row>
    <row r="48" spans="1:4">
      <c r="B48" s="1" t="s">
        <v>1058</v>
      </c>
    </row>
    <row r="49" spans="1:4">
      <c r="C49" s="1" t="s">
        <v>1059</v>
      </c>
    </row>
    <row r="50" spans="1:4">
      <c r="C50" s="1" t="s">
        <v>1060</v>
      </c>
    </row>
    <row r="51" spans="1:4">
      <c r="C51" s="1" t="s">
        <v>1061</v>
      </c>
    </row>
    <row r="53" spans="1:4" ht="15">
      <c r="A53" s="2" t="s">
        <v>160</v>
      </c>
    </row>
    <row r="54" spans="1:4">
      <c r="B54" s="1" t="s">
        <v>1096</v>
      </c>
    </row>
    <row r="55" spans="1:4">
      <c r="C55" s="1" t="s">
        <v>1097</v>
      </c>
    </row>
    <row r="56" spans="1:4" ht="15">
      <c r="B56" s="1" t="s">
        <v>1062</v>
      </c>
    </row>
    <row r="57" spans="1:4" ht="15">
      <c r="B57" s="1" t="s">
        <v>1066</v>
      </c>
    </row>
    <row r="58" spans="1:4">
      <c r="C58" s="1" t="s">
        <v>1063</v>
      </c>
    </row>
    <row r="59" spans="1:4">
      <c r="D59" s="1" t="s">
        <v>1064</v>
      </c>
    </row>
    <row r="60" spans="1:4">
      <c r="C60" s="1" t="s">
        <v>1065</v>
      </c>
    </row>
    <row r="61" spans="1:4">
      <c r="D61" s="1" t="s">
        <v>1067</v>
      </c>
    </row>
    <row r="62" spans="1:4" ht="15">
      <c r="B62" s="1" t="s">
        <v>1068</v>
      </c>
    </row>
    <row r="63" spans="1:4">
      <c r="C63" s="1" t="s">
        <v>1069</v>
      </c>
    </row>
    <row r="64" spans="1:4">
      <c r="C64" s="1" t="s">
        <v>1070</v>
      </c>
    </row>
    <row r="65" spans="2:4">
      <c r="C65" s="1" t="s">
        <v>1044</v>
      </c>
    </row>
    <row r="66" spans="2:4" ht="15">
      <c r="B66" s="1" t="s">
        <v>1071</v>
      </c>
    </row>
    <row r="67" spans="2:4">
      <c r="C67" s="1" t="s">
        <v>1072</v>
      </c>
    </row>
    <row r="68" spans="2:4">
      <c r="D68" s="1" t="s">
        <v>1073</v>
      </c>
    </row>
    <row r="69" spans="2:4">
      <c r="C69" s="1" t="s">
        <v>1074</v>
      </c>
    </row>
    <row r="70" spans="2:4">
      <c r="C70" s="1" t="s">
        <v>1075</v>
      </c>
    </row>
    <row r="71" spans="2:4">
      <c r="D71" s="1" t="s">
        <v>1076</v>
      </c>
    </row>
    <row r="72" spans="2:4">
      <c r="C72" s="1" t="s">
        <v>1089</v>
      </c>
    </row>
    <row r="73" spans="2:4" ht="15">
      <c r="B73" s="1" t="s">
        <v>1077</v>
      </c>
    </row>
    <row r="74" spans="2:4">
      <c r="C74" s="1" t="s">
        <v>1078</v>
      </c>
    </row>
    <row r="75" spans="2:4">
      <c r="C75" s="1" t="s">
        <v>1079</v>
      </c>
    </row>
    <row r="76" spans="2:4" ht="15">
      <c r="B76" s="1" t="s">
        <v>1080</v>
      </c>
    </row>
    <row r="77" spans="2:4">
      <c r="C77" s="1" t="s">
        <v>1081</v>
      </c>
    </row>
    <row r="78" spans="2:4">
      <c r="C78" s="1" t="s">
        <v>1083</v>
      </c>
    </row>
    <row r="79" spans="2:4">
      <c r="D79" s="1" t="s">
        <v>1082</v>
      </c>
    </row>
    <row r="80" spans="2:4">
      <c r="C80" s="1" t="s">
        <v>1087</v>
      </c>
    </row>
    <row r="81" spans="1:4">
      <c r="B81" s="1" t="s">
        <v>1084</v>
      </c>
    </row>
    <row r="82" spans="1:4">
      <c r="C82" s="1" t="s">
        <v>1085</v>
      </c>
    </row>
    <row r="83" spans="1:4">
      <c r="C83" s="1" t="s">
        <v>1086</v>
      </c>
    </row>
    <row r="84" spans="1:4">
      <c r="B84" s="1" t="s">
        <v>1090</v>
      </c>
    </row>
    <row r="85" spans="1:4">
      <c r="C85" s="1" t="s">
        <v>1091</v>
      </c>
    </row>
    <row r="86" spans="1:4">
      <c r="D86" s="1" t="s">
        <v>1092</v>
      </c>
    </row>
    <row r="87" spans="1:4">
      <c r="C87" s="1" t="s">
        <v>1088</v>
      </c>
    </row>
    <row r="88" spans="1:4">
      <c r="B88" s="1" t="s">
        <v>1093</v>
      </c>
    </row>
    <row r="89" spans="1:4">
      <c r="C89" s="1" t="s">
        <v>1094</v>
      </c>
    </row>
    <row r="90" spans="1:4">
      <c r="D90" s="1" t="s">
        <v>1095</v>
      </c>
    </row>
    <row r="91" spans="1:4">
      <c r="B91" s="1" t="s">
        <v>1106</v>
      </c>
    </row>
    <row r="92" spans="1:4">
      <c r="C92" s="1" t="s">
        <v>1107</v>
      </c>
    </row>
    <row r="94" spans="1:4" ht="15">
      <c r="A94" s="2" t="s">
        <v>1098</v>
      </c>
    </row>
    <row r="95" spans="1:4">
      <c r="B95" s="1" t="s">
        <v>1099</v>
      </c>
    </row>
    <row r="96" spans="1:4">
      <c r="C96" s="1" t="s">
        <v>1100</v>
      </c>
    </row>
    <row r="97" spans="1:3">
      <c r="C97" s="1" t="s">
        <v>1101</v>
      </c>
    </row>
    <row r="98" spans="1:3">
      <c r="C98" s="1" t="s">
        <v>1102</v>
      </c>
    </row>
    <row r="99" spans="1:3">
      <c r="C99" s="1" t="s">
        <v>1103</v>
      </c>
    </row>
    <row r="101" spans="1:3" ht="15">
      <c r="A101" s="2" t="s">
        <v>1104</v>
      </c>
    </row>
    <row r="102" spans="1:3">
      <c r="B102" s="1" t="s">
        <v>1105</v>
      </c>
    </row>
    <row r="104" spans="1:3" ht="15">
      <c r="A104" s="2" t="s">
        <v>1108</v>
      </c>
    </row>
    <row r="105" spans="1:3">
      <c r="B105" s="1" t="s">
        <v>1109</v>
      </c>
    </row>
    <row r="106" spans="1:3">
      <c r="C106" s="1" t="s">
        <v>1110</v>
      </c>
    </row>
    <row r="107" spans="1:3">
      <c r="C107" s="1" t="s">
        <v>1111</v>
      </c>
    </row>
    <row r="108" spans="1:3">
      <c r="C108" s="1" t="s">
        <v>1112</v>
      </c>
    </row>
    <row r="109" spans="1:3">
      <c r="B109" s="1" t="s">
        <v>1113</v>
      </c>
    </row>
    <row r="111" spans="1:3" ht="15">
      <c r="A111" s="2" t="s">
        <v>1114</v>
      </c>
    </row>
    <row r="112" spans="1:3">
      <c r="B112" s="1" t="s">
        <v>1115</v>
      </c>
    </row>
    <row r="113" spans="1:4" ht="15">
      <c r="D113" s="2" t="s">
        <v>1116</v>
      </c>
    </row>
    <row r="114" spans="1:4">
      <c r="C114" s="1" t="s">
        <v>1118</v>
      </c>
    </row>
    <row r="115" spans="1:4">
      <c r="C115" s="1" t="s">
        <v>1119</v>
      </c>
    </row>
    <row r="116" spans="1:4">
      <c r="D116" s="1" t="s">
        <v>1120</v>
      </c>
    </row>
    <row r="117" spans="1:4">
      <c r="C117" s="1" t="s">
        <v>1117</v>
      </c>
    </row>
    <row r="119" spans="1:4" ht="15">
      <c r="A119" s="2" t="s">
        <v>1121</v>
      </c>
    </row>
    <row r="120" spans="1:4">
      <c r="B120" s="1" t="s">
        <v>1122</v>
      </c>
    </row>
    <row r="121" spans="1:4">
      <c r="C121" s="1" t="s">
        <v>1123</v>
      </c>
    </row>
    <row r="122" spans="1:4">
      <c r="B122" s="1" t="s">
        <v>1124</v>
      </c>
    </row>
    <row r="124" spans="1:4" ht="15">
      <c r="A124" s="2" t="s">
        <v>1125</v>
      </c>
    </row>
    <row r="125" spans="1:4">
      <c r="B125" s="1" t="s">
        <v>1126</v>
      </c>
    </row>
    <row r="126" spans="1:4">
      <c r="C126" s="1" t="s">
        <v>1127</v>
      </c>
    </row>
    <row r="127" spans="1:4">
      <c r="C127" s="1" t="s">
        <v>1128</v>
      </c>
    </row>
    <row r="129" spans="1:13" ht="15">
      <c r="A129" s="2" t="s">
        <v>1129</v>
      </c>
    </row>
    <row r="130" spans="1:13" ht="15">
      <c r="B130" s="1" t="s">
        <v>1130</v>
      </c>
    </row>
    <row r="131" spans="1:13">
      <c r="C131" s="1" t="s">
        <v>1131</v>
      </c>
    </row>
    <row r="132" spans="1:13">
      <c r="C132" s="1" t="s">
        <v>1132</v>
      </c>
    </row>
    <row r="133" spans="1:13">
      <c r="B133" s="1" t="s">
        <v>1133</v>
      </c>
    </row>
    <row r="134" spans="1:13">
      <c r="C134" s="1" t="s">
        <v>1134</v>
      </c>
    </row>
    <row r="136" spans="1:13" ht="15">
      <c r="A136" s="2" t="s">
        <v>1151</v>
      </c>
    </row>
    <row r="137" spans="1:13">
      <c r="B137" s="1" t="s">
        <v>1152</v>
      </c>
    </row>
    <row r="138" spans="1:13">
      <c r="C138" s="1" t="s">
        <v>1153</v>
      </c>
    </row>
    <row r="139" spans="1:13">
      <c r="C139" s="1" t="s">
        <v>1154</v>
      </c>
    </row>
    <row r="140" spans="1:13">
      <c r="B140" s="1" t="s">
        <v>1155</v>
      </c>
    </row>
    <row r="141" spans="1:13" ht="15" thickBot="1">
      <c r="B141" s="135" t="s">
        <v>1156</v>
      </c>
      <c r="C141" s="135"/>
      <c r="D141" s="135"/>
      <c r="E141" s="135" t="s">
        <v>1157</v>
      </c>
      <c r="F141" s="135"/>
      <c r="G141" s="135"/>
      <c r="H141" s="131" t="s">
        <v>1158</v>
      </c>
      <c r="I141" s="131"/>
      <c r="J141" s="131"/>
      <c r="K141" s="131" t="s">
        <v>1159</v>
      </c>
      <c r="L141" s="131"/>
      <c r="M141" s="131"/>
    </row>
    <row r="142" spans="1:13">
      <c r="B142" s="132" t="s">
        <v>1160</v>
      </c>
      <c r="C142" s="132"/>
      <c r="D142" s="132"/>
      <c r="E142" s="132" t="s">
        <v>1161</v>
      </c>
      <c r="F142" s="132"/>
      <c r="G142" s="132"/>
      <c r="H142" s="133">
        <v>627000</v>
      </c>
      <c r="I142" s="133"/>
      <c r="J142" s="133"/>
      <c r="K142" s="134" t="s">
        <v>1162</v>
      </c>
      <c r="L142" s="134"/>
      <c r="M142" s="134"/>
    </row>
    <row r="143" spans="1:13">
      <c r="B143" s="140" t="s">
        <v>1163</v>
      </c>
      <c r="C143" s="140"/>
      <c r="D143" s="140"/>
      <c r="E143" s="140" t="s">
        <v>1164</v>
      </c>
      <c r="F143" s="140"/>
      <c r="G143" s="140"/>
      <c r="H143" s="141">
        <v>286000</v>
      </c>
      <c r="I143" s="141"/>
      <c r="J143" s="141"/>
      <c r="K143" s="136" t="s">
        <v>1165</v>
      </c>
      <c r="L143" s="136"/>
      <c r="M143" s="136"/>
    </row>
    <row r="144" spans="1:13">
      <c r="B144" s="137" t="s">
        <v>1166</v>
      </c>
      <c r="C144" s="137"/>
      <c r="D144" s="137"/>
      <c r="E144" s="137" t="s">
        <v>1164</v>
      </c>
      <c r="F144" s="137"/>
      <c r="G144" s="137"/>
      <c r="H144" s="138">
        <v>172000</v>
      </c>
      <c r="I144" s="138"/>
      <c r="J144" s="138"/>
      <c r="K144" s="139" t="s">
        <v>1165</v>
      </c>
      <c r="L144" s="139"/>
      <c r="M144" s="139"/>
    </row>
    <row r="145" spans="2:13">
      <c r="B145" s="140" t="s">
        <v>1167</v>
      </c>
      <c r="C145" s="140"/>
      <c r="D145" s="140"/>
      <c r="E145" s="140" t="s">
        <v>1164</v>
      </c>
      <c r="F145" s="140"/>
      <c r="G145" s="140"/>
      <c r="H145" s="141">
        <v>153000</v>
      </c>
      <c r="I145" s="141"/>
      <c r="J145" s="141"/>
      <c r="K145" s="136" t="s">
        <v>1165</v>
      </c>
      <c r="L145" s="136"/>
      <c r="M145" s="136"/>
    </row>
    <row r="146" spans="2:13">
      <c r="B146" s="137" t="s">
        <v>1168</v>
      </c>
      <c r="C146" s="137"/>
      <c r="D146" s="137"/>
      <c r="E146" s="142" t="s">
        <v>1169</v>
      </c>
      <c r="F146" s="142"/>
      <c r="G146" s="142"/>
      <c r="H146" s="138">
        <v>133000</v>
      </c>
      <c r="I146" s="138"/>
      <c r="J146" s="138"/>
      <c r="K146" s="139" t="s">
        <v>1162</v>
      </c>
      <c r="L146" s="139"/>
      <c r="M146" s="139"/>
    </row>
    <row r="147" spans="2:13">
      <c r="B147" s="140" t="s">
        <v>1170</v>
      </c>
      <c r="C147" s="140"/>
      <c r="D147" s="140"/>
      <c r="E147" s="143" t="s">
        <v>1164</v>
      </c>
      <c r="F147" s="143"/>
      <c r="G147" s="143"/>
      <c r="H147" s="141">
        <v>129000</v>
      </c>
      <c r="I147" s="141"/>
      <c r="J147" s="141"/>
      <c r="K147" s="136" t="s">
        <v>1165</v>
      </c>
      <c r="L147" s="136"/>
      <c r="M147" s="136"/>
    </row>
    <row r="148" spans="2:13">
      <c r="B148" s="137" t="s">
        <v>1171</v>
      </c>
      <c r="C148" s="137"/>
      <c r="D148" s="137"/>
      <c r="E148" s="137" t="s">
        <v>1164</v>
      </c>
      <c r="F148" s="137"/>
      <c r="G148" s="137"/>
      <c r="H148" s="138">
        <v>108000</v>
      </c>
      <c r="I148" s="138"/>
      <c r="J148" s="138"/>
      <c r="K148" s="139" t="s">
        <v>1165</v>
      </c>
      <c r="L148" s="139"/>
      <c r="M148" s="139"/>
    </row>
    <row r="149" spans="2:13">
      <c r="B149" s="140" t="s">
        <v>1172</v>
      </c>
      <c r="C149" s="140"/>
      <c r="D149" s="140"/>
      <c r="E149" s="140" t="s">
        <v>1164</v>
      </c>
      <c r="F149" s="140"/>
      <c r="G149" s="140"/>
      <c r="H149" s="141">
        <v>102000</v>
      </c>
      <c r="I149" s="141"/>
      <c r="J149" s="141"/>
      <c r="K149" s="136" t="s">
        <v>1165</v>
      </c>
      <c r="L149" s="136"/>
      <c r="M149" s="136"/>
    </row>
    <row r="150" spans="2:13">
      <c r="B150" s="137" t="s">
        <v>1167</v>
      </c>
      <c r="C150" s="137"/>
      <c r="D150" s="137"/>
      <c r="E150" s="137" t="s">
        <v>1164</v>
      </c>
      <c r="F150" s="137"/>
      <c r="G150" s="137"/>
      <c r="H150" s="138">
        <v>100000</v>
      </c>
      <c r="I150" s="138"/>
      <c r="J150" s="138"/>
      <c r="K150" s="139" t="s">
        <v>1165</v>
      </c>
      <c r="L150" s="139"/>
      <c r="M150" s="139"/>
    </row>
    <row r="151" spans="2:13">
      <c r="B151" s="140" t="s">
        <v>1173</v>
      </c>
      <c r="C151" s="140"/>
      <c r="D151" s="140"/>
      <c r="E151" s="140" t="s">
        <v>1164</v>
      </c>
      <c r="F151" s="140"/>
      <c r="G151" s="140"/>
      <c r="H151" s="141">
        <v>92000</v>
      </c>
      <c r="I151" s="141"/>
      <c r="J151" s="141"/>
      <c r="K151" s="136" t="s">
        <v>1165</v>
      </c>
      <c r="L151" s="136"/>
      <c r="M151" s="136"/>
    </row>
    <row r="152" spans="2:13">
      <c r="B152" s="137" t="s">
        <v>1174</v>
      </c>
      <c r="C152" s="137"/>
      <c r="D152" s="137"/>
      <c r="E152" s="137" t="s">
        <v>1164</v>
      </c>
      <c r="F152" s="137"/>
      <c r="G152" s="137"/>
      <c r="H152" s="138">
        <v>91000</v>
      </c>
      <c r="I152" s="138"/>
      <c r="J152" s="138"/>
      <c r="K152" s="139" t="s">
        <v>1162</v>
      </c>
      <c r="L152" s="139"/>
      <c r="M152" s="139"/>
    </row>
    <row r="153" spans="2:13">
      <c r="B153" s="140" t="s">
        <v>1175</v>
      </c>
      <c r="C153" s="140"/>
      <c r="D153" s="140"/>
      <c r="E153" s="140" t="s">
        <v>1164</v>
      </c>
      <c r="F153" s="140"/>
      <c r="G153" s="140"/>
      <c r="H153" s="141">
        <v>90000</v>
      </c>
      <c r="I153" s="141"/>
      <c r="J153" s="141"/>
      <c r="K153" s="136" t="s">
        <v>1165</v>
      </c>
      <c r="L153" s="136"/>
      <c r="M153" s="136"/>
    </row>
    <row r="154" spans="2:13">
      <c r="B154" s="137" t="s">
        <v>1176</v>
      </c>
      <c r="C154" s="137"/>
      <c r="D154" s="137"/>
      <c r="E154" s="137" t="s">
        <v>1164</v>
      </c>
      <c r="F154" s="137"/>
      <c r="G154" s="137"/>
      <c r="H154" s="138">
        <v>90000</v>
      </c>
      <c r="I154" s="138"/>
      <c r="J154" s="138"/>
      <c r="K154" s="139" t="s">
        <v>1165</v>
      </c>
      <c r="L154" s="139"/>
      <c r="M154" s="139"/>
    </row>
    <row r="155" spans="2:13">
      <c r="B155" s="140" t="s">
        <v>1163</v>
      </c>
      <c r="C155" s="140"/>
      <c r="D155" s="140"/>
      <c r="E155" s="140" t="s">
        <v>1164</v>
      </c>
      <c r="F155" s="140"/>
      <c r="G155" s="140"/>
      <c r="H155" s="141">
        <v>77000</v>
      </c>
      <c r="I155" s="141"/>
      <c r="J155" s="141"/>
      <c r="K155" s="136" t="s">
        <v>1162</v>
      </c>
      <c r="L155" s="136"/>
      <c r="M155" s="136"/>
    </row>
    <row r="156" spans="2:13">
      <c r="B156" s="137" t="s">
        <v>1177</v>
      </c>
      <c r="C156" s="137"/>
      <c r="D156" s="137"/>
      <c r="E156" s="137" t="s">
        <v>1169</v>
      </c>
      <c r="F156" s="137"/>
      <c r="G156" s="137"/>
      <c r="H156" s="138">
        <v>76000</v>
      </c>
      <c r="I156" s="138"/>
      <c r="J156" s="138"/>
      <c r="K156" s="139" t="s">
        <v>1162</v>
      </c>
      <c r="L156" s="139"/>
      <c r="M156" s="139"/>
    </row>
    <row r="157" spans="2:13">
      <c r="B157" s="140" t="s">
        <v>1178</v>
      </c>
      <c r="C157" s="140"/>
      <c r="D157" s="140"/>
      <c r="E157" s="140" t="s">
        <v>1164</v>
      </c>
      <c r="F157" s="140"/>
      <c r="G157" s="140"/>
      <c r="H157" s="141">
        <v>71000</v>
      </c>
      <c r="I157" s="141"/>
      <c r="J157" s="141"/>
      <c r="K157" s="136" t="s">
        <v>1162</v>
      </c>
      <c r="L157" s="136"/>
      <c r="M157" s="136"/>
    </row>
    <row r="158" spans="2:13">
      <c r="B158" s="137" t="s">
        <v>1167</v>
      </c>
      <c r="C158" s="137"/>
      <c r="D158" s="137"/>
      <c r="E158" s="137" t="s">
        <v>1164</v>
      </c>
      <c r="F158" s="137"/>
      <c r="G158" s="137"/>
      <c r="H158" s="138">
        <v>63000</v>
      </c>
      <c r="I158" s="138"/>
      <c r="J158" s="138"/>
      <c r="K158" s="139" t="s">
        <v>1165</v>
      </c>
      <c r="L158" s="139"/>
      <c r="M158" s="139"/>
    </row>
    <row r="159" spans="2:13">
      <c r="B159" s="140" t="s">
        <v>1179</v>
      </c>
      <c r="C159" s="140"/>
      <c r="D159" s="140"/>
      <c r="E159" s="140" t="s">
        <v>1180</v>
      </c>
      <c r="F159" s="140"/>
      <c r="G159" s="140"/>
      <c r="H159" s="141">
        <v>63000</v>
      </c>
      <c r="I159" s="141"/>
      <c r="J159" s="141"/>
      <c r="K159" s="136" t="s">
        <v>1162</v>
      </c>
      <c r="L159" s="136"/>
      <c r="M159" s="136"/>
    </row>
    <row r="160" spans="2:13">
      <c r="B160" s="137" t="s">
        <v>1181</v>
      </c>
      <c r="C160" s="137"/>
      <c r="D160" s="137"/>
      <c r="E160" s="137" t="s">
        <v>1164</v>
      </c>
      <c r="F160" s="137"/>
      <c r="G160" s="137"/>
      <c r="H160" s="138">
        <v>58000</v>
      </c>
      <c r="I160" s="138"/>
      <c r="J160" s="138"/>
      <c r="K160" s="139" t="s">
        <v>1165</v>
      </c>
      <c r="L160" s="139"/>
      <c r="M160" s="139"/>
    </row>
    <row r="161" spans="2:26">
      <c r="B161" s="140" t="s">
        <v>1182</v>
      </c>
      <c r="C161" s="140"/>
      <c r="D161" s="140"/>
      <c r="E161" s="140" t="s">
        <v>1169</v>
      </c>
      <c r="F161" s="140"/>
      <c r="G161" s="140"/>
      <c r="H161" s="141">
        <v>58000</v>
      </c>
      <c r="I161" s="141"/>
      <c r="J161" s="141"/>
      <c r="K161" s="136" t="s">
        <v>1162</v>
      </c>
      <c r="L161" s="136"/>
      <c r="M161" s="136"/>
    </row>
    <row r="162" spans="2:26">
      <c r="B162" s="137" t="s">
        <v>1183</v>
      </c>
      <c r="C162" s="137"/>
      <c r="D162" s="137"/>
      <c r="E162" s="137" t="s">
        <v>1164</v>
      </c>
      <c r="F162" s="137"/>
      <c r="G162" s="137"/>
      <c r="H162" s="138">
        <v>57000</v>
      </c>
      <c r="I162" s="138"/>
      <c r="J162" s="138"/>
      <c r="K162" s="139" t="s">
        <v>1162</v>
      </c>
      <c r="L162" s="139"/>
      <c r="M162" s="139"/>
    </row>
    <row r="163" spans="2:26">
      <c r="B163" s="140" t="s">
        <v>1184</v>
      </c>
      <c r="C163" s="140"/>
      <c r="D163" s="140"/>
      <c r="E163" s="143" t="s">
        <v>1164</v>
      </c>
      <c r="F163" s="143"/>
      <c r="G163" s="143"/>
      <c r="H163" s="141">
        <v>55000</v>
      </c>
      <c r="I163" s="141"/>
      <c r="J163" s="141"/>
      <c r="K163" s="136" t="s">
        <v>1162</v>
      </c>
      <c r="L163" s="136"/>
      <c r="M163" s="136"/>
    </row>
    <row r="164" spans="2:26" ht="14.25" customHeight="1">
      <c r="B164" s="144" t="s">
        <v>1185</v>
      </c>
      <c r="C164" s="144"/>
      <c r="D164" s="144"/>
      <c r="E164" s="144"/>
      <c r="F164" s="144"/>
      <c r="G164" s="144"/>
      <c r="H164" s="144"/>
      <c r="I164" s="144"/>
      <c r="J164" s="144"/>
      <c r="K164" s="144"/>
      <c r="L164" s="144"/>
      <c r="M164" s="144"/>
      <c r="N164" s="70"/>
      <c r="O164" s="70"/>
      <c r="P164" s="70"/>
      <c r="Q164" s="70"/>
      <c r="R164" s="70"/>
      <c r="S164" s="70"/>
      <c r="T164" s="70"/>
      <c r="U164" s="70"/>
      <c r="V164" s="70"/>
      <c r="W164" s="70"/>
      <c r="X164" s="70"/>
      <c r="Y164" s="70"/>
      <c r="Z164" s="70"/>
    </row>
    <row r="165" spans="2:26">
      <c r="B165" s="144"/>
      <c r="C165" s="144"/>
      <c r="D165" s="144"/>
      <c r="E165" s="144"/>
      <c r="F165" s="144"/>
      <c r="G165" s="144"/>
      <c r="H165" s="144"/>
      <c r="I165" s="144"/>
      <c r="J165" s="144"/>
      <c r="K165" s="144"/>
      <c r="L165" s="144"/>
      <c r="M165" s="144"/>
      <c r="N165" s="70"/>
      <c r="O165" s="70"/>
      <c r="P165" s="70"/>
      <c r="Q165" s="70"/>
      <c r="R165" s="70"/>
      <c r="S165" s="70"/>
      <c r="T165" s="70"/>
      <c r="U165" s="70"/>
      <c r="V165" s="70"/>
      <c r="W165" s="70"/>
      <c r="X165" s="70"/>
      <c r="Y165" s="70"/>
      <c r="Z165" s="70"/>
    </row>
    <row r="166" spans="2:26">
      <c r="B166" s="144"/>
      <c r="C166" s="144"/>
      <c r="D166" s="144"/>
      <c r="E166" s="144"/>
      <c r="F166" s="144"/>
      <c r="G166" s="144"/>
      <c r="H166" s="144"/>
      <c r="I166" s="144"/>
      <c r="J166" s="144"/>
      <c r="K166" s="144"/>
      <c r="L166" s="144"/>
      <c r="M166" s="144"/>
    </row>
    <row r="167" spans="2:26">
      <c r="B167" s="144"/>
      <c r="C167" s="144"/>
      <c r="D167" s="144"/>
      <c r="E167" s="144"/>
      <c r="F167" s="144"/>
      <c r="G167" s="144"/>
      <c r="H167" s="144"/>
      <c r="I167" s="144"/>
      <c r="J167" s="144"/>
      <c r="K167" s="144"/>
      <c r="L167" s="144"/>
      <c r="M167" s="144"/>
    </row>
    <row r="168" spans="2:26">
      <c r="B168" s="71" t="s">
        <v>1186</v>
      </c>
      <c r="C168" s="70"/>
      <c r="D168" s="70"/>
      <c r="E168" s="70"/>
      <c r="F168" s="70"/>
      <c r="G168" s="70"/>
      <c r="H168" s="70"/>
      <c r="I168" s="70"/>
      <c r="J168" s="70"/>
      <c r="K168" s="70"/>
      <c r="L168" s="70"/>
      <c r="M168" s="70"/>
    </row>
    <row r="169" spans="2:26">
      <c r="B169" s="70"/>
      <c r="C169" s="70"/>
      <c r="D169" s="70"/>
      <c r="E169" s="70"/>
      <c r="F169" s="70"/>
      <c r="G169" s="70"/>
      <c r="H169" s="70"/>
      <c r="I169" s="70"/>
      <c r="J169" s="70"/>
      <c r="K169" s="70"/>
      <c r="L169" s="70"/>
      <c r="M169" s="70"/>
    </row>
  </sheetData>
  <mergeCells count="93">
    <mergeCell ref="K163:M163"/>
    <mergeCell ref="B164:M167"/>
    <mergeCell ref="B163:D163"/>
    <mergeCell ref="E163:G163"/>
    <mergeCell ref="H163:J163"/>
    <mergeCell ref="K161:M161"/>
    <mergeCell ref="B162:D162"/>
    <mergeCell ref="E162:G162"/>
    <mergeCell ref="H162:J162"/>
    <mergeCell ref="K162:M162"/>
    <mergeCell ref="B161:D161"/>
    <mergeCell ref="E161:G161"/>
    <mergeCell ref="H161:J161"/>
    <mergeCell ref="K159:M159"/>
    <mergeCell ref="B160:D160"/>
    <mergeCell ref="E160:G160"/>
    <mergeCell ref="H160:J160"/>
    <mergeCell ref="K160:M160"/>
    <mergeCell ref="B159:D159"/>
    <mergeCell ref="E159:G159"/>
    <mergeCell ref="H159:J159"/>
    <mergeCell ref="K157:M157"/>
    <mergeCell ref="B158:D158"/>
    <mergeCell ref="E158:G158"/>
    <mergeCell ref="H158:J158"/>
    <mergeCell ref="K158:M158"/>
    <mergeCell ref="B157:D157"/>
    <mergeCell ref="E157:G157"/>
    <mergeCell ref="H157:J157"/>
    <mergeCell ref="K155:M155"/>
    <mergeCell ref="B156:D156"/>
    <mergeCell ref="E156:G156"/>
    <mergeCell ref="H156:J156"/>
    <mergeCell ref="K156:M156"/>
    <mergeCell ref="B155:D155"/>
    <mergeCell ref="E155:G155"/>
    <mergeCell ref="H155:J155"/>
    <mergeCell ref="K153:M153"/>
    <mergeCell ref="B154:D154"/>
    <mergeCell ref="E154:G154"/>
    <mergeCell ref="H154:J154"/>
    <mergeCell ref="K154:M154"/>
    <mergeCell ref="B153:D153"/>
    <mergeCell ref="E153:G153"/>
    <mergeCell ref="H153:J153"/>
    <mergeCell ref="K151:M151"/>
    <mergeCell ref="B152:D152"/>
    <mergeCell ref="E152:G152"/>
    <mergeCell ref="H152:J152"/>
    <mergeCell ref="K152:M152"/>
    <mergeCell ref="B151:D151"/>
    <mergeCell ref="E151:G151"/>
    <mergeCell ref="H151:J151"/>
    <mergeCell ref="K149:M149"/>
    <mergeCell ref="B150:D150"/>
    <mergeCell ref="E150:G150"/>
    <mergeCell ref="H150:J150"/>
    <mergeCell ref="K150:M150"/>
    <mergeCell ref="B149:D149"/>
    <mergeCell ref="E149:G149"/>
    <mergeCell ref="H149:J149"/>
    <mergeCell ref="K147:M147"/>
    <mergeCell ref="B148:D148"/>
    <mergeCell ref="E148:G148"/>
    <mergeCell ref="H148:J148"/>
    <mergeCell ref="K148:M148"/>
    <mergeCell ref="B147:D147"/>
    <mergeCell ref="E147:G147"/>
    <mergeCell ref="H147:J147"/>
    <mergeCell ref="K145:M145"/>
    <mergeCell ref="B146:D146"/>
    <mergeCell ref="E146:G146"/>
    <mergeCell ref="H146:J146"/>
    <mergeCell ref="K146:M146"/>
    <mergeCell ref="B145:D145"/>
    <mergeCell ref="E145:G145"/>
    <mergeCell ref="H145:J145"/>
    <mergeCell ref="K143:M143"/>
    <mergeCell ref="B144:D144"/>
    <mergeCell ref="E144:G144"/>
    <mergeCell ref="H144:J144"/>
    <mergeCell ref="K144:M144"/>
    <mergeCell ref="B143:D143"/>
    <mergeCell ref="E143:G143"/>
    <mergeCell ref="H143:J143"/>
    <mergeCell ref="K141:M141"/>
    <mergeCell ref="B142:D142"/>
    <mergeCell ref="E142:G142"/>
    <mergeCell ref="H142:J142"/>
    <mergeCell ref="K142:M142"/>
    <mergeCell ref="B141:D141"/>
    <mergeCell ref="E141:G141"/>
    <mergeCell ref="H141:J141"/>
  </mergeCells>
  <hyperlinks>
    <hyperlink ref="Q23" r:id="rId1" xr:uid="{14375537-5C3D-4253-9650-337AB6789785}"/>
    <hyperlink ref="Q19" r:id="rId2" xr:uid="{8762A821-738B-4225-9467-3C762DB4873D}"/>
    <hyperlink ref="Q20" r:id="rId3" xr:uid="{210B48EA-91DD-4A83-9731-829C593F2732}"/>
    <hyperlink ref="Q16" r:id="rId4" xr:uid="{213E68F1-7E13-45B8-A80E-B1939B1C6A37}"/>
    <hyperlink ref="R18" r:id="rId5" xr:uid="{FA383953-D80B-41D5-BA2E-BA28FB449B05}"/>
    <hyperlink ref="Q21" r:id="rId6" xr:uid="{A76C75F5-68D7-4382-BE4D-EE7411E63D35}"/>
    <hyperlink ref="Q22" r:id="rId7" xr:uid="{83382F20-070E-4A29-976F-17EDD003B00D}"/>
    <hyperlink ref="A1" r:id="rId8" xr:uid="{998610EE-B9FF-42F0-A600-ACE9C6B20ACA}"/>
    <hyperlink ref="J18" r:id="rId9" xr:uid="{02FF8021-948F-44C3-ABD6-DEE2C2C07B1F}"/>
    <hyperlink ref="R17" r:id="rId10" xr:uid="{80DEE0B1-CC2A-447D-BEFE-A8FB6973F4BC}"/>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AFDA-8B58-4449-BC1A-5CD68B3DC6CC}">
  <dimension ref="B1:EV116"/>
  <sheetViews>
    <sheetView zoomScale="85" zoomScaleNormal="85" workbookViewId="0">
      <pane xSplit="2" ySplit="3" topLeftCell="AZ39" activePane="bottomRight" state="frozen"/>
      <selection pane="topRight" activeCell="C1" sqref="C1"/>
      <selection pane="bottomLeft" activeCell="A4" sqref="A4"/>
      <selection pane="bottomRight" activeCell="BN45" sqref="BN45"/>
    </sheetView>
  </sheetViews>
  <sheetFormatPr defaultColWidth="9.140625" defaultRowHeight="14.25"/>
  <cols>
    <col min="1" max="1" width="3.140625" style="1" customWidth="1"/>
    <col min="2" max="2" width="36.42578125" style="1" customWidth="1"/>
    <col min="3" max="51" width="9.140625" style="1"/>
    <col min="52" max="52" width="9.5703125" style="1" bestFit="1" customWidth="1"/>
    <col min="53" max="68" width="9.140625" style="1"/>
    <col min="69" max="70" width="9.140625" style="35"/>
    <col min="71" max="89" width="9.140625" style="1"/>
    <col min="90" max="151" width="9.140625" style="35"/>
    <col min="152" max="16384" width="9.140625" style="1"/>
  </cols>
  <sheetData>
    <row r="1" spans="2:152" ht="15">
      <c r="B1" s="1" t="s">
        <v>112</v>
      </c>
      <c r="AQ1" s="33" t="s">
        <v>84</v>
      </c>
      <c r="AU1" s="33" t="s">
        <v>88</v>
      </c>
      <c r="AY1" s="33" t="s">
        <v>92</v>
      </c>
      <c r="BC1" s="33" t="s">
        <v>96</v>
      </c>
      <c r="BG1" s="33" t="s">
        <v>100</v>
      </c>
      <c r="BK1" s="33" t="s">
        <v>104</v>
      </c>
      <c r="BO1" s="2" t="s">
        <v>108</v>
      </c>
    </row>
    <row r="2" spans="2:152">
      <c r="B2" s="1" t="s">
        <v>113</v>
      </c>
    </row>
    <row r="3" spans="2:152" ht="15">
      <c r="B3" s="2" t="s">
        <v>114</v>
      </c>
      <c r="C3" s="33" t="s">
        <v>44</v>
      </c>
      <c r="D3" s="33" t="s">
        <v>45</v>
      </c>
      <c r="E3" s="33" t="s">
        <v>46</v>
      </c>
      <c r="F3" s="33" t="s">
        <v>47</v>
      </c>
      <c r="G3" s="33" t="s">
        <v>48</v>
      </c>
      <c r="H3" s="33" t="s">
        <v>49</v>
      </c>
      <c r="I3" s="33" t="s">
        <v>50</v>
      </c>
      <c r="J3" s="33" t="s">
        <v>51</v>
      </c>
      <c r="K3" s="33" t="s">
        <v>52</v>
      </c>
      <c r="L3" s="33" t="s">
        <v>53</v>
      </c>
      <c r="M3" s="33" t="s">
        <v>54</v>
      </c>
      <c r="N3" s="33" t="s">
        <v>55</v>
      </c>
      <c r="O3" s="33" t="s">
        <v>56</v>
      </c>
      <c r="P3" s="33" t="s">
        <v>57</v>
      </c>
      <c r="Q3" s="33" t="s">
        <v>58</v>
      </c>
      <c r="R3" s="33" t="s">
        <v>59</v>
      </c>
      <c r="S3" s="33" t="s">
        <v>60</v>
      </c>
      <c r="T3" s="33" t="s">
        <v>61</v>
      </c>
      <c r="U3" s="33" t="s">
        <v>62</v>
      </c>
      <c r="V3" s="33" t="s">
        <v>63</v>
      </c>
      <c r="W3" s="33" t="s">
        <v>64</v>
      </c>
      <c r="X3" s="33" t="s">
        <v>65</v>
      </c>
      <c r="Y3" s="33" t="s">
        <v>66</v>
      </c>
      <c r="Z3" s="33" t="s">
        <v>67</v>
      </c>
      <c r="AA3" s="33" t="s">
        <v>68</v>
      </c>
      <c r="AB3" s="33" t="s">
        <v>69</v>
      </c>
      <c r="AC3" s="33" t="s">
        <v>70</v>
      </c>
      <c r="AD3" s="33" t="s">
        <v>71</v>
      </c>
      <c r="AE3" s="33" t="s">
        <v>72</v>
      </c>
      <c r="AF3" s="33" t="s">
        <v>73</v>
      </c>
      <c r="AG3" s="33" t="s">
        <v>74</v>
      </c>
      <c r="AH3" s="33" t="s">
        <v>75</v>
      </c>
      <c r="AI3" s="33" t="s">
        <v>76</v>
      </c>
      <c r="AJ3" s="33" t="s">
        <v>77</v>
      </c>
      <c r="AK3" s="33" t="s">
        <v>78</v>
      </c>
      <c r="AL3" s="33" t="s">
        <v>79</v>
      </c>
      <c r="AM3" s="33" t="s">
        <v>80</v>
      </c>
      <c r="AN3" s="33" t="s">
        <v>81</v>
      </c>
      <c r="AO3" s="33" t="s">
        <v>82</v>
      </c>
      <c r="AP3" s="33" t="s">
        <v>83</v>
      </c>
      <c r="AQ3" s="33" t="s">
        <v>84</v>
      </c>
      <c r="AR3" s="33" t="s">
        <v>85</v>
      </c>
      <c r="AS3" s="33" t="s">
        <v>86</v>
      </c>
      <c r="AT3" s="33" t="s">
        <v>87</v>
      </c>
      <c r="AU3" s="33" t="s">
        <v>88</v>
      </c>
      <c r="AV3" s="33" t="s">
        <v>89</v>
      </c>
      <c r="AW3" s="33" t="s">
        <v>90</v>
      </c>
      <c r="AX3" s="33" t="s">
        <v>91</v>
      </c>
      <c r="AY3" s="33" t="s">
        <v>92</v>
      </c>
      <c r="AZ3" s="33" t="s">
        <v>93</v>
      </c>
      <c r="BA3" s="33" t="s">
        <v>94</v>
      </c>
      <c r="BB3" s="33" t="s">
        <v>95</v>
      </c>
      <c r="BC3" s="33" t="s">
        <v>96</v>
      </c>
      <c r="BD3" s="33" t="s">
        <v>97</v>
      </c>
      <c r="BE3" s="33" t="s">
        <v>98</v>
      </c>
      <c r="BF3" s="33" t="s">
        <v>99</v>
      </c>
      <c r="BG3" s="33" t="s">
        <v>100</v>
      </c>
      <c r="BH3" s="33" t="s">
        <v>101</v>
      </c>
      <c r="BI3" s="33" t="s">
        <v>102</v>
      </c>
      <c r="BJ3" s="33" t="s">
        <v>103</v>
      </c>
      <c r="BK3" s="33" t="s">
        <v>104</v>
      </c>
      <c r="BL3" s="2" t="s">
        <v>105</v>
      </c>
      <c r="BM3" s="2" t="s">
        <v>106</v>
      </c>
      <c r="BN3" s="2" t="s">
        <v>107</v>
      </c>
      <c r="BO3" s="2" t="s">
        <v>108</v>
      </c>
      <c r="BP3" s="2" t="s">
        <v>109</v>
      </c>
      <c r="BQ3" s="34" t="s">
        <v>110</v>
      </c>
      <c r="BR3" s="34" t="s">
        <v>111</v>
      </c>
      <c r="BW3" s="2">
        <v>2010</v>
      </c>
      <c r="BX3" s="2">
        <f t="shared" ref="BX3:EI3" si="0">BW3+1</f>
        <v>2011</v>
      </c>
      <c r="BY3" s="2">
        <f t="shared" si="0"/>
        <v>2012</v>
      </c>
      <c r="BZ3" s="2">
        <f t="shared" si="0"/>
        <v>2013</v>
      </c>
      <c r="CA3" s="2">
        <f t="shared" si="0"/>
        <v>2014</v>
      </c>
      <c r="CB3" s="2">
        <f t="shared" si="0"/>
        <v>2015</v>
      </c>
      <c r="CC3" s="2">
        <f t="shared" si="0"/>
        <v>2016</v>
      </c>
      <c r="CD3" s="2">
        <f t="shared" si="0"/>
        <v>2017</v>
      </c>
      <c r="CE3" s="2">
        <f t="shared" si="0"/>
        <v>2018</v>
      </c>
      <c r="CF3" s="2">
        <f t="shared" si="0"/>
        <v>2019</v>
      </c>
      <c r="CG3" s="2">
        <f t="shared" si="0"/>
        <v>2020</v>
      </c>
      <c r="CH3" s="2">
        <f t="shared" si="0"/>
        <v>2021</v>
      </c>
      <c r="CI3" s="2">
        <f t="shared" si="0"/>
        <v>2022</v>
      </c>
      <c r="CJ3" s="2">
        <f t="shared" si="0"/>
        <v>2023</v>
      </c>
      <c r="CK3" s="2">
        <f t="shared" si="0"/>
        <v>2024</v>
      </c>
      <c r="CL3" s="34">
        <f t="shared" si="0"/>
        <v>2025</v>
      </c>
      <c r="CM3" s="34">
        <f t="shared" si="0"/>
        <v>2026</v>
      </c>
      <c r="CN3" s="34">
        <f t="shared" si="0"/>
        <v>2027</v>
      </c>
      <c r="CO3" s="34">
        <f t="shared" si="0"/>
        <v>2028</v>
      </c>
      <c r="CP3" s="34">
        <f t="shared" si="0"/>
        <v>2029</v>
      </c>
      <c r="CQ3" s="34">
        <f t="shared" si="0"/>
        <v>2030</v>
      </c>
      <c r="CR3" s="34">
        <f t="shared" si="0"/>
        <v>2031</v>
      </c>
      <c r="CS3" s="34">
        <f t="shared" si="0"/>
        <v>2032</v>
      </c>
      <c r="CT3" s="34">
        <f t="shared" si="0"/>
        <v>2033</v>
      </c>
      <c r="CU3" s="34">
        <f t="shared" si="0"/>
        <v>2034</v>
      </c>
      <c r="CV3" s="34">
        <f t="shared" si="0"/>
        <v>2035</v>
      </c>
      <c r="CW3" s="34">
        <f t="shared" si="0"/>
        <v>2036</v>
      </c>
      <c r="CX3" s="34">
        <f t="shared" si="0"/>
        <v>2037</v>
      </c>
      <c r="CY3" s="34">
        <f t="shared" si="0"/>
        <v>2038</v>
      </c>
      <c r="CZ3" s="34">
        <f t="shared" si="0"/>
        <v>2039</v>
      </c>
      <c r="DA3" s="34">
        <f t="shared" si="0"/>
        <v>2040</v>
      </c>
      <c r="DB3" s="34">
        <f t="shared" si="0"/>
        <v>2041</v>
      </c>
      <c r="DC3" s="34">
        <f t="shared" si="0"/>
        <v>2042</v>
      </c>
      <c r="DD3" s="34">
        <f t="shared" si="0"/>
        <v>2043</v>
      </c>
      <c r="DE3" s="34">
        <f t="shared" si="0"/>
        <v>2044</v>
      </c>
      <c r="DF3" s="34">
        <f t="shared" si="0"/>
        <v>2045</v>
      </c>
      <c r="DG3" s="34">
        <f t="shared" si="0"/>
        <v>2046</v>
      </c>
      <c r="DH3" s="34">
        <f t="shared" si="0"/>
        <v>2047</v>
      </c>
      <c r="DI3" s="34">
        <f t="shared" si="0"/>
        <v>2048</v>
      </c>
      <c r="DJ3" s="34">
        <f t="shared" si="0"/>
        <v>2049</v>
      </c>
      <c r="DK3" s="34">
        <f t="shared" si="0"/>
        <v>2050</v>
      </c>
      <c r="DL3" s="34">
        <f t="shared" si="0"/>
        <v>2051</v>
      </c>
      <c r="DM3" s="34">
        <f t="shared" si="0"/>
        <v>2052</v>
      </c>
      <c r="DN3" s="34">
        <f t="shared" si="0"/>
        <v>2053</v>
      </c>
      <c r="DO3" s="34">
        <f t="shared" si="0"/>
        <v>2054</v>
      </c>
      <c r="DP3" s="34">
        <f t="shared" si="0"/>
        <v>2055</v>
      </c>
      <c r="DQ3" s="34">
        <f t="shared" si="0"/>
        <v>2056</v>
      </c>
      <c r="DR3" s="34">
        <f t="shared" si="0"/>
        <v>2057</v>
      </c>
      <c r="DS3" s="34">
        <f t="shared" si="0"/>
        <v>2058</v>
      </c>
      <c r="DT3" s="34">
        <f t="shared" si="0"/>
        <v>2059</v>
      </c>
      <c r="DU3" s="34">
        <f t="shared" si="0"/>
        <v>2060</v>
      </c>
      <c r="DV3" s="34">
        <f t="shared" si="0"/>
        <v>2061</v>
      </c>
      <c r="DW3" s="34">
        <f t="shared" si="0"/>
        <v>2062</v>
      </c>
      <c r="DX3" s="34">
        <f t="shared" si="0"/>
        <v>2063</v>
      </c>
      <c r="DY3" s="34">
        <f t="shared" si="0"/>
        <v>2064</v>
      </c>
      <c r="DZ3" s="34">
        <f t="shared" si="0"/>
        <v>2065</v>
      </c>
      <c r="EA3" s="34">
        <f t="shared" si="0"/>
        <v>2066</v>
      </c>
      <c r="EB3" s="34">
        <f t="shared" si="0"/>
        <v>2067</v>
      </c>
      <c r="EC3" s="34">
        <f t="shared" si="0"/>
        <v>2068</v>
      </c>
      <c r="ED3" s="34">
        <f t="shared" si="0"/>
        <v>2069</v>
      </c>
      <c r="EE3" s="34">
        <f t="shared" si="0"/>
        <v>2070</v>
      </c>
      <c r="EF3" s="34">
        <f t="shared" si="0"/>
        <v>2071</v>
      </c>
      <c r="EG3" s="34">
        <f t="shared" si="0"/>
        <v>2072</v>
      </c>
      <c r="EH3" s="34">
        <f t="shared" si="0"/>
        <v>2073</v>
      </c>
      <c r="EI3" s="34">
        <f t="shared" si="0"/>
        <v>2074</v>
      </c>
      <c r="EJ3" s="34">
        <f t="shared" ref="EJ3:ES3" si="1">EI3+1</f>
        <v>2075</v>
      </c>
      <c r="EK3" s="34">
        <f t="shared" si="1"/>
        <v>2076</v>
      </c>
      <c r="EL3" s="34">
        <f t="shared" si="1"/>
        <v>2077</v>
      </c>
      <c r="EM3" s="34">
        <f t="shared" si="1"/>
        <v>2078</v>
      </c>
      <c r="EN3" s="34">
        <f t="shared" si="1"/>
        <v>2079</v>
      </c>
      <c r="EO3" s="34">
        <f t="shared" si="1"/>
        <v>2080</v>
      </c>
      <c r="EP3" s="34">
        <f t="shared" si="1"/>
        <v>2081</v>
      </c>
      <c r="EQ3" s="34">
        <f t="shared" si="1"/>
        <v>2082</v>
      </c>
      <c r="ER3" s="34">
        <f t="shared" si="1"/>
        <v>2083</v>
      </c>
      <c r="ES3" s="34">
        <f t="shared" si="1"/>
        <v>2084</v>
      </c>
      <c r="ET3" s="34"/>
      <c r="EU3" s="34"/>
      <c r="EV3" s="2"/>
    </row>
    <row r="4" spans="2:152">
      <c r="B4" s="36" t="s">
        <v>947</v>
      </c>
      <c r="AQ4" s="57">
        <v>150.25</v>
      </c>
      <c r="AR4" s="57">
        <v>164.958</v>
      </c>
      <c r="AS4" s="57">
        <v>160.05000000000001</v>
      </c>
      <c r="AT4" s="57">
        <f>657.703-SUM(AQ4:AS4)</f>
        <v>182.44499999999999</v>
      </c>
      <c r="AU4" s="57">
        <v>163.97</v>
      </c>
      <c r="AV4" s="57">
        <v>167.73</v>
      </c>
      <c r="AW4" s="57">
        <v>175.47</v>
      </c>
      <c r="AX4" s="57">
        <f>700.24-SUM(AU4:AW4)</f>
        <v>193.07000000000005</v>
      </c>
      <c r="AY4" s="57">
        <v>166.13</v>
      </c>
      <c r="AZ4" s="57">
        <v>163.9</v>
      </c>
      <c r="BA4" s="57">
        <v>167.14</v>
      </c>
      <c r="BB4" s="57">
        <f>683.612-SUM(AY4:BA4)</f>
        <v>186.44200000000001</v>
      </c>
      <c r="BC4" s="57">
        <v>177.65</v>
      </c>
      <c r="BD4" s="57">
        <v>173.785</v>
      </c>
      <c r="BE4" s="57">
        <v>169.91</v>
      </c>
      <c r="BF4" s="57">
        <f>708.04-SUM(BC4:BE4)</f>
        <v>186.69499999999994</v>
      </c>
      <c r="BG4" s="57">
        <v>181.35</v>
      </c>
      <c r="BH4" s="57">
        <v>181.1</v>
      </c>
      <c r="BI4" s="57">
        <v>180.89</v>
      </c>
      <c r="BJ4" s="57">
        <f>732.67-SUM(BG4:BI4)</f>
        <v>189.33000000000004</v>
      </c>
      <c r="BK4" s="57">
        <v>182.36</v>
      </c>
      <c r="BL4" s="57">
        <v>185.53</v>
      </c>
      <c r="BM4" s="57">
        <v>191.02</v>
      </c>
      <c r="BN4" s="57"/>
      <c r="BO4" s="57">
        <v>236.81200000000001</v>
      </c>
      <c r="BP4" s="57">
        <v>246.33699999999999</v>
      </c>
      <c r="CG4" s="57">
        <f t="shared" ref="CG4:CG11" si="2">SUM(AQ4:AT4)</f>
        <v>657.70299999999997</v>
      </c>
      <c r="CH4" s="57">
        <f t="shared" ref="CH4:CH11" si="3">SUM(AU4:AX4)</f>
        <v>700.24</v>
      </c>
      <c r="CI4" s="57">
        <f>SUM(AY4:BB4)</f>
        <v>683.61199999999997</v>
      </c>
      <c r="CJ4" s="57">
        <f>SUM(BC4:BF4)</f>
        <v>708.04</v>
      </c>
      <c r="CK4" s="57">
        <f t="shared" ref="CK4:CK11" si="4">SUM(BG4:BJ4)</f>
        <v>732.67</v>
      </c>
      <c r="CL4" s="67">
        <f>CK4*(1+CL13)</f>
        <v>752.81842500000005</v>
      </c>
      <c r="CM4" s="67">
        <f t="shared" ref="CM4:CU4" si="5">CL4*(1+CM13)</f>
        <v>779.16706987500004</v>
      </c>
      <c r="CN4" s="67">
        <f t="shared" si="5"/>
        <v>810.33375267000008</v>
      </c>
      <c r="CO4" s="67">
        <f t="shared" si="5"/>
        <v>844.3677702821401</v>
      </c>
      <c r="CP4" s="67">
        <f t="shared" si="5"/>
        <v>878.14248109342577</v>
      </c>
      <c r="CQ4" s="67">
        <f t="shared" si="5"/>
        <v>911.51189537497601</v>
      </c>
      <c r="CR4" s="67">
        <f t="shared" si="5"/>
        <v>944.32632360847515</v>
      </c>
      <c r="CS4" s="67">
        <f t="shared" si="5"/>
        <v>976.43341861116335</v>
      </c>
      <c r="CT4" s="67">
        <f t="shared" si="5"/>
        <v>1007.6792880067206</v>
      </c>
      <c r="CU4" s="67">
        <f t="shared" si="5"/>
        <v>1037.9096666469222</v>
      </c>
    </row>
    <row r="5" spans="2:152">
      <c r="B5" s="36" t="s">
        <v>1207</v>
      </c>
      <c r="AQ5" s="57">
        <v>99.93</v>
      </c>
      <c r="AR5" s="57">
        <v>82.593999999999994</v>
      </c>
      <c r="AS5" s="57">
        <v>93.18</v>
      </c>
      <c r="AT5" s="57">
        <f>382.43-SUM(AQ5:AS5)</f>
        <v>106.726</v>
      </c>
      <c r="AU5" s="57">
        <v>96.173000000000002</v>
      </c>
      <c r="AV5" s="57">
        <v>112.08</v>
      </c>
      <c r="AW5" s="57">
        <v>104.304</v>
      </c>
      <c r="AX5" s="57">
        <f>427.5-SUM(AU5:AW5)</f>
        <v>114.94299999999998</v>
      </c>
      <c r="AY5" s="57">
        <v>96.85</v>
      </c>
      <c r="AZ5" s="57">
        <v>114.34</v>
      </c>
      <c r="BA5" s="57">
        <v>97.6</v>
      </c>
      <c r="BB5" s="57">
        <f>445.01-SUM(AY5:BA5)</f>
        <v>136.22000000000003</v>
      </c>
      <c r="BC5" s="57">
        <v>116.89</v>
      </c>
      <c r="BD5" s="57">
        <v>124.78</v>
      </c>
      <c r="BE5" s="57">
        <v>134.089</v>
      </c>
      <c r="BF5" s="57">
        <f>511.434-SUM(BC5:BE5)</f>
        <v>135.67500000000001</v>
      </c>
      <c r="BG5" s="57">
        <v>134.66499999999999</v>
      </c>
      <c r="BH5" s="57">
        <v>141.15</v>
      </c>
      <c r="BI5" s="57">
        <v>149.86000000000001</v>
      </c>
      <c r="BJ5" s="57">
        <f>586.05-SUM(BG5:BI5)</f>
        <v>160.37499999999994</v>
      </c>
      <c r="BK5" s="57">
        <v>137.55000000000001</v>
      </c>
      <c r="BL5" s="57">
        <v>170.01</v>
      </c>
      <c r="BM5" s="57">
        <v>266.41000000000003</v>
      </c>
      <c r="BN5" s="57"/>
      <c r="BO5" s="57">
        <v>204.65600000000001</v>
      </c>
      <c r="BP5" s="57">
        <v>211.874</v>
      </c>
      <c r="CG5" s="57">
        <f t="shared" si="2"/>
        <v>382.43</v>
      </c>
      <c r="CH5" s="57">
        <f t="shared" si="3"/>
        <v>427.5</v>
      </c>
      <c r="CI5" s="57">
        <f>SUM(AY5:BB5)</f>
        <v>445.01</v>
      </c>
      <c r="CJ5" s="57">
        <f>SUM(BC5:BF5)</f>
        <v>511.43400000000003</v>
      </c>
      <c r="CK5" s="57">
        <f t="shared" si="4"/>
        <v>586.04999999999995</v>
      </c>
      <c r="CL5" s="67">
        <f t="shared" ref="CL5:CU10" si="6">CK5*(1+CL14)</f>
        <v>785.30700000000002</v>
      </c>
      <c r="CM5" s="67">
        <f t="shared" si="6"/>
        <v>973.78067999999996</v>
      </c>
      <c r="CN5" s="67">
        <f t="shared" si="6"/>
        <v>1129.5855887999999</v>
      </c>
      <c r="CO5" s="67">
        <f t="shared" si="6"/>
        <v>1287.7275712319999</v>
      </c>
      <c r="CP5" s="67">
        <f t="shared" si="6"/>
        <v>1442.2548797798402</v>
      </c>
      <c r="CQ5" s="67">
        <f t="shared" si="6"/>
        <v>1586.4803677578243</v>
      </c>
      <c r="CR5" s="67">
        <f t="shared" si="6"/>
        <v>1729.2636008560287</v>
      </c>
      <c r="CS5" s="67">
        <f t="shared" si="6"/>
        <v>1867.604688924511</v>
      </c>
      <c r="CT5" s="67">
        <f t="shared" si="6"/>
        <v>1998.337017149227</v>
      </c>
      <c r="CU5" s="67">
        <f t="shared" si="6"/>
        <v>2118.2372381781806</v>
      </c>
    </row>
    <row r="6" spans="2:152">
      <c r="B6" s="36" t="s">
        <v>948</v>
      </c>
      <c r="AQ6" s="57">
        <v>75.7</v>
      </c>
      <c r="AR6" s="57">
        <v>64.867000000000004</v>
      </c>
      <c r="AS6" s="57">
        <v>75.64</v>
      </c>
      <c r="AT6" s="57">
        <f>302.293-SUM(AQ5:AS5)</f>
        <v>26.588999999999999</v>
      </c>
      <c r="AU6" s="57">
        <v>84.85</v>
      </c>
      <c r="AV6" s="57">
        <v>95.42</v>
      </c>
      <c r="AW6" s="57">
        <v>97.07</v>
      </c>
      <c r="AX6" s="57">
        <f>380.14-SUM(AU6:AW6)</f>
        <v>102.80000000000001</v>
      </c>
      <c r="AY6" s="57">
        <v>86.95</v>
      </c>
      <c r="AZ6" s="57">
        <v>104.69499999999999</v>
      </c>
      <c r="BA6" s="57">
        <v>108.73</v>
      </c>
      <c r="BB6" s="57">
        <f>388.89-SUM(AY6:BA6)</f>
        <v>88.514999999999986</v>
      </c>
      <c r="BC6" s="57">
        <v>93.33</v>
      </c>
      <c r="BD6" s="57">
        <v>100.84</v>
      </c>
      <c r="BE6" s="57">
        <v>97.61</v>
      </c>
      <c r="BF6" s="57">
        <f>389.957-SUM(BC6:BE6)</f>
        <v>98.176999999999964</v>
      </c>
      <c r="BG6" s="57">
        <v>96.352000000000004</v>
      </c>
      <c r="BH6" s="57">
        <v>102.49</v>
      </c>
      <c r="BI6" s="57">
        <v>101.15</v>
      </c>
      <c r="BJ6" s="57">
        <f>395.28-SUM(BG6:BI6)</f>
        <v>95.288000000000011</v>
      </c>
      <c r="BK6" s="57">
        <v>86.59</v>
      </c>
      <c r="BL6" s="57">
        <v>96.38</v>
      </c>
      <c r="BM6" s="57">
        <v>101.44</v>
      </c>
      <c r="BN6" s="57"/>
      <c r="BO6" s="57">
        <v>0</v>
      </c>
      <c r="BP6" s="57">
        <v>0</v>
      </c>
      <c r="CG6" s="57">
        <f t="shared" si="2"/>
        <v>242.79599999999999</v>
      </c>
      <c r="CH6" s="57">
        <f t="shared" si="3"/>
        <v>380.14</v>
      </c>
      <c r="CI6" s="57">
        <f>SUM(AW6:BB6)</f>
        <v>588.76</v>
      </c>
      <c r="CJ6" s="57">
        <f>SUM(AW6:BF6)</f>
        <v>978.7170000000001</v>
      </c>
      <c r="CK6" s="57">
        <f t="shared" si="4"/>
        <v>395.28</v>
      </c>
      <c r="CL6" s="67">
        <f t="shared" si="6"/>
        <v>379.46879999999999</v>
      </c>
      <c r="CM6" s="67">
        <f t="shared" si="6"/>
        <v>246.65472</v>
      </c>
      <c r="CN6" s="67">
        <f t="shared" si="6"/>
        <v>0</v>
      </c>
      <c r="CO6" s="67">
        <f t="shared" si="6"/>
        <v>0</v>
      </c>
      <c r="CP6" s="67">
        <f t="shared" si="6"/>
        <v>0</v>
      </c>
      <c r="CQ6" s="67">
        <f t="shared" si="6"/>
        <v>0</v>
      </c>
      <c r="CR6" s="67">
        <f t="shared" si="6"/>
        <v>0</v>
      </c>
      <c r="CS6" s="67">
        <f t="shared" si="6"/>
        <v>0</v>
      </c>
      <c r="CT6" s="67">
        <f t="shared" si="6"/>
        <v>0</v>
      </c>
      <c r="CU6" s="67">
        <f t="shared" si="6"/>
        <v>0</v>
      </c>
    </row>
    <row r="7" spans="2:152">
      <c r="B7" s="36" t="s">
        <v>949</v>
      </c>
      <c r="AQ7" s="57">
        <v>75.432000000000002</v>
      </c>
      <c r="AR7" s="57">
        <v>67.275000000000006</v>
      </c>
      <c r="AS7" s="57">
        <v>82.22</v>
      </c>
      <c r="AT7" s="57">
        <f>317.2-SUM(AQ7:AS7)</f>
        <v>92.272999999999996</v>
      </c>
      <c r="AU7" s="57">
        <v>80.385999999999996</v>
      </c>
      <c r="AV7" s="57">
        <v>98.18</v>
      </c>
      <c r="AW7" s="57">
        <v>92.83</v>
      </c>
      <c r="AX7" s="57">
        <f>377.75-SUM(AU7:AW7)</f>
        <v>106.35399999999998</v>
      </c>
      <c r="AY7" s="57">
        <v>89.7</v>
      </c>
      <c r="AZ7" s="57">
        <v>99.64</v>
      </c>
      <c r="BA7" s="57">
        <v>93.12</v>
      </c>
      <c r="BB7" s="57">
        <f>392.91-SUM(AY7:BA7)</f>
        <v>110.44999999999999</v>
      </c>
      <c r="BC7" s="57">
        <v>99.02</v>
      </c>
      <c r="BD7" s="57">
        <v>105.95</v>
      </c>
      <c r="BE7" s="57">
        <v>112.8</v>
      </c>
      <c r="BF7" s="57">
        <f>427.359-SUM(BC7:BE7)</f>
        <v>109.589</v>
      </c>
      <c r="BG7" s="57">
        <v>105.52</v>
      </c>
      <c r="BH7" s="57">
        <v>111.3</v>
      </c>
      <c r="BI7" s="57">
        <v>111.746</v>
      </c>
      <c r="BJ7" s="57">
        <f>450.48-SUM(BG7:BI7)</f>
        <v>121.91400000000004</v>
      </c>
      <c r="BK7" s="57">
        <v>105.78</v>
      </c>
      <c r="BL7" s="57">
        <v>114.04</v>
      </c>
      <c r="BM7" s="57">
        <v>122.87</v>
      </c>
      <c r="BN7" s="57"/>
      <c r="BO7" s="57">
        <v>106.794</v>
      </c>
      <c r="BP7" s="57">
        <v>112.121</v>
      </c>
      <c r="CG7" s="57">
        <f t="shared" si="2"/>
        <v>317.2</v>
      </c>
      <c r="CH7" s="57">
        <f t="shared" si="3"/>
        <v>377.75</v>
      </c>
      <c r="CI7" s="57">
        <f>SUM(AY7:BB7)</f>
        <v>392.91</v>
      </c>
      <c r="CJ7" s="57">
        <f>SUM(BC7:BF7)</f>
        <v>427.35899999999998</v>
      </c>
      <c r="CK7" s="57">
        <f t="shared" si="4"/>
        <v>450.48</v>
      </c>
      <c r="CL7" s="67">
        <f t="shared" si="6"/>
        <v>477.50880000000006</v>
      </c>
      <c r="CM7" s="67">
        <f t="shared" si="6"/>
        <v>515.70950400000015</v>
      </c>
      <c r="CN7" s="67">
        <f t="shared" si="6"/>
        <v>551.80916928000022</v>
      </c>
      <c r="CO7" s="67">
        <f t="shared" si="6"/>
        <v>584.91771943680021</v>
      </c>
      <c r="CP7" s="67">
        <f t="shared" si="6"/>
        <v>617.08819400582422</v>
      </c>
      <c r="CQ7" s="67">
        <f t="shared" si="6"/>
        <v>647.94260370611551</v>
      </c>
      <c r="CR7" s="67">
        <f t="shared" si="6"/>
        <v>677.1000208728907</v>
      </c>
      <c r="CS7" s="67">
        <f t="shared" si="6"/>
        <v>704.18402170780632</v>
      </c>
      <c r="CT7" s="67">
        <f t="shared" si="6"/>
        <v>732.35138257611857</v>
      </c>
      <c r="CU7" s="67">
        <f t="shared" si="6"/>
        <v>761.6454378791633</v>
      </c>
    </row>
    <row r="8" spans="2:152">
      <c r="B8" s="36" t="s">
        <v>950</v>
      </c>
      <c r="AQ8" s="57">
        <v>74.19</v>
      </c>
      <c r="AR8" s="57">
        <v>40.090000000000003</v>
      </c>
      <c r="AS8" s="57">
        <v>81.77</v>
      </c>
      <c r="AT8" s="57">
        <f>290.02-SUM(AQ8:AS8)</f>
        <v>93.96999999999997</v>
      </c>
      <c r="AU8" s="57">
        <v>73.36</v>
      </c>
      <c r="AV8" s="57">
        <v>92.24</v>
      </c>
      <c r="AW8" s="57">
        <v>83.106999999999999</v>
      </c>
      <c r="AX8" s="57">
        <f>341.66-SUM(AU8:AW8)</f>
        <v>92.953000000000031</v>
      </c>
      <c r="AY8" s="57">
        <v>74.89</v>
      </c>
      <c r="AZ8" s="57">
        <v>79.81</v>
      </c>
      <c r="BA8" s="57">
        <v>78.968999999999994</v>
      </c>
      <c r="BB8" s="57">
        <f>322.83-SUM(AY8:BA8)</f>
        <v>89.161000000000001</v>
      </c>
      <c r="BC8" s="57">
        <v>75.37</v>
      </c>
      <c r="BD8" s="57">
        <v>77.81</v>
      </c>
      <c r="BE8" s="57">
        <v>73.622</v>
      </c>
      <c r="BF8" s="57">
        <f>319.785-SUM(BC8:BE8)</f>
        <v>92.983000000000004</v>
      </c>
      <c r="BG8" s="57">
        <v>79.739999999999995</v>
      </c>
      <c r="BH8" s="57">
        <v>83.1</v>
      </c>
      <c r="BI8" s="57">
        <v>83.39</v>
      </c>
      <c r="BJ8" s="57">
        <f>331.092-SUM(BG8:BI8)</f>
        <v>84.862000000000023</v>
      </c>
      <c r="BK8" s="57">
        <v>70.959999999999994</v>
      </c>
      <c r="BL8" s="57">
        <v>76.38</v>
      </c>
      <c r="BM8" s="57">
        <v>71.77</v>
      </c>
      <c r="BN8" s="57"/>
      <c r="BO8" s="57">
        <v>0</v>
      </c>
      <c r="BP8" s="57">
        <v>0</v>
      </c>
      <c r="CG8" s="57">
        <f t="shared" si="2"/>
        <v>290.02</v>
      </c>
      <c r="CH8" s="57">
        <f t="shared" si="3"/>
        <v>341.66</v>
      </c>
      <c r="CI8" s="57">
        <f>SUM(AY8:BB8)</f>
        <v>322.83</v>
      </c>
      <c r="CJ8" s="57">
        <f>SUM(BC8:BF8)</f>
        <v>319.78500000000003</v>
      </c>
      <c r="CK8" s="57">
        <f t="shared" si="4"/>
        <v>331.09199999999998</v>
      </c>
      <c r="CL8" s="67">
        <f t="shared" si="6"/>
        <v>281.4282</v>
      </c>
      <c r="CM8" s="67">
        <f t="shared" si="6"/>
        <v>140.7141</v>
      </c>
      <c r="CN8" s="67">
        <f t="shared" si="6"/>
        <v>0</v>
      </c>
      <c r="CO8" s="67">
        <f t="shared" si="6"/>
        <v>0</v>
      </c>
      <c r="CP8" s="67">
        <f t="shared" si="6"/>
        <v>0</v>
      </c>
      <c r="CQ8" s="67">
        <f t="shared" si="6"/>
        <v>0</v>
      </c>
      <c r="CR8" s="67">
        <f t="shared" si="6"/>
        <v>0</v>
      </c>
      <c r="CS8" s="67">
        <f t="shared" si="6"/>
        <v>0</v>
      </c>
      <c r="CT8" s="67">
        <f t="shared" si="6"/>
        <v>0</v>
      </c>
      <c r="CU8" s="67">
        <f t="shared" si="6"/>
        <v>0</v>
      </c>
    </row>
    <row r="9" spans="2:152">
      <c r="B9" s="36" t="s">
        <v>951</v>
      </c>
      <c r="AQ9" s="57">
        <v>63.389000000000003</v>
      </c>
      <c r="AR9" s="57">
        <v>55.832000000000001</v>
      </c>
      <c r="AS9" s="57">
        <v>49.399000000000001</v>
      </c>
      <c r="AT9" s="57">
        <f>220.246-SUM(AQ9:AS9)</f>
        <v>51.626000000000005</v>
      </c>
      <c r="AU9" s="57">
        <v>53.48</v>
      </c>
      <c r="AV9" s="57">
        <v>60.95</v>
      </c>
      <c r="AW9" s="57">
        <v>64.08</v>
      </c>
      <c r="AX9" s="57">
        <f>245.681-SUM(AU9:AW9)</f>
        <v>67.171000000000021</v>
      </c>
      <c r="AY9" s="57">
        <v>57.655999999999999</v>
      </c>
      <c r="AZ9" s="57">
        <v>70</v>
      </c>
      <c r="BA9" s="57">
        <v>71.28</v>
      </c>
      <c r="BB9" s="57">
        <f>272.624-SUM(AY9:BA9)</f>
        <v>73.688000000000017</v>
      </c>
      <c r="BC9" s="57">
        <v>76.989999999999995</v>
      </c>
      <c r="BD9" s="57">
        <v>84.12</v>
      </c>
      <c r="BE9" s="57">
        <v>82.308999999999997</v>
      </c>
      <c r="BF9" s="57">
        <f>326.008-SUM(BC9:BE9)</f>
        <v>82.58899999999997</v>
      </c>
      <c r="BG9" s="57">
        <v>87.69</v>
      </c>
      <c r="BH9" s="57">
        <v>88.82</v>
      </c>
      <c r="BI9" s="57">
        <v>82.55</v>
      </c>
      <c r="BJ9" s="57">
        <f>344.51-SUM(BG9:BI9)</f>
        <v>85.449999999999989</v>
      </c>
      <c r="BK9" s="57">
        <v>63.88</v>
      </c>
      <c r="BL9" s="57">
        <v>78.67</v>
      </c>
      <c r="BM9" s="57">
        <v>80.41</v>
      </c>
      <c r="BN9" s="57"/>
      <c r="BO9" s="57">
        <v>0</v>
      </c>
      <c r="BP9" s="57">
        <v>0</v>
      </c>
      <c r="CG9" s="57">
        <f t="shared" si="2"/>
        <v>220.24600000000001</v>
      </c>
      <c r="CH9" s="57">
        <f t="shared" si="3"/>
        <v>245.68100000000001</v>
      </c>
      <c r="CI9" s="57">
        <f>SUM(AY9:BB9)</f>
        <v>272.62400000000002</v>
      </c>
      <c r="CJ9" s="57">
        <f>SUM(BC9:BF9)</f>
        <v>326.00799999999998</v>
      </c>
      <c r="CK9" s="57">
        <f t="shared" si="4"/>
        <v>344.51</v>
      </c>
      <c r="CL9" s="67">
        <f t="shared" si="6"/>
        <v>294.55604999999997</v>
      </c>
      <c r="CM9" s="67">
        <f t="shared" si="6"/>
        <v>265.10044499999998</v>
      </c>
      <c r="CN9" s="67">
        <f t="shared" si="6"/>
        <v>0</v>
      </c>
      <c r="CO9" s="67">
        <f t="shared" si="6"/>
        <v>0</v>
      </c>
      <c r="CP9" s="67">
        <f t="shared" si="6"/>
        <v>0</v>
      </c>
      <c r="CQ9" s="67">
        <f t="shared" si="6"/>
        <v>0</v>
      </c>
      <c r="CR9" s="67">
        <f t="shared" si="6"/>
        <v>0</v>
      </c>
      <c r="CS9" s="67">
        <f t="shared" si="6"/>
        <v>0</v>
      </c>
      <c r="CT9" s="67">
        <f t="shared" si="6"/>
        <v>0</v>
      </c>
      <c r="CU9" s="67">
        <f t="shared" si="6"/>
        <v>0</v>
      </c>
    </row>
    <row r="10" spans="2:152">
      <c r="B10" s="36" t="s">
        <v>952</v>
      </c>
      <c r="AQ10" s="57">
        <v>91.73</v>
      </c>
      <c r="AR10" s="57">
        <v>91.414000000000001</v>
      </c>
      <c r="AS10" s="57">
        <v>86.02</v>
      </c>
      <c r="AT10" s="57">
        <f>367.25-SUM(AQ10:AS10)</f>
        <v>98.086000000000013</v>
      </c>
      <c r="AU10" s="57">
        <v>81.683000000000007</v>
      </c>
      <c r="AV10" s="57">
        <v>86.84</v>
      </c>
      <c r="AW10" s="57">
        <v>83.37</v>
      </c>
      <c r="AX10" s="57">
        <f>336.585-SUM(AU10:AW10)</f>
        <v>84.69199999999995</v>
      </c>
      <c r="AY10" s="57">
        <v>69.512</v>
      </c>
      <c r="AZ10" s="57">
        <v>72.13</v>
      </c>
      <c r="BA10" s="57">
        <v>69.900000000000006</v>
      </c>
      <c r="BB10" s="57">
        <f>285.148-SUM(AY10:BA10)</f>
        <v>73.606000000000023</v>
      </c>
      <c r="BC10" s="57">
        <v>71.650000000000006</v>
      </c>
      <c r="BD10" s="57">
        <v>75.95</v>
      </c>
      <c r="BE10" s="57">
        <v>76.033000000000001</v>
      </c>
      <c r="BF10" s="57">
        <f>291.902-SUM(BC10:BE10)</f>
        <v>68.268999999999949</v>
      </c>
      <c r="BG10" s="57">
        <v>52.51</v>
      </c>
      <c r="BH10" s="57">
        <v>41.7</v>
      </c>
      <c r="BI10" s="57">
        <v>54.76</v>
      </c>
      <c r="BJ10" s="57">
        <f>207.222-SUM(BG10:BI10)</f>
        <v>58.25200000000001</v>
      </c>
      <c r="BK10" s="57">
        <v>53.6</v>
      </c>
      <c r="BL10" s="57">
        <v>59.84</v>
      </c>
      <c r="BM10" s="57">
        <v>79.069999999999993</v>
      </c>
      <c r="BN10" s="57"/>
      <c r="BO10" s="57">
        <v>0</v>
      </c>
      <c r="BP10" s="57">
        <v>0</v>
      </c>
      <c r="CG10" s="57">
        <f t="shared" si="2"/>
        <v>367.25</v>
      </c>
      <c r="CH10" s="57">
        <f t="shared" si="3"/>
        <v>336.58499999999998</v>
      </c>
      <c r="CI10" s="57">
        <f>SUM(AY10:BB10)</f>
        <v>285.14800000000002</v>
      </c>
      <c r="CJ10" s="57">
        <f>SUM(BC10:BF10)</f>
        <v>291.90199999999999</v>
      </c>
      <c r="CK10" s="57">
        <f t="shared" si="4"/>
        <v>207.22200000000001</v>
      </c>
      <c r="CL10" s="67">
        <f t="shared" si="6"/>
        <v>261.09971999999999</v>
      </c>
      <c r="CM10" s="67">
        <f t="shared" si="6"/>
        <v>266.32171440000002</v>
      </c>
      <c r="CN10" s="67">
        <f t="shared" si="6"/>
        <v>271.64814868800005</v>
      </c>
      <c r="CO10" s="67">
        <f t="shared" si="6"/>
        <v>277.08111166176008</v>
      </c>
      <c r="CP10" s="67">
        <f t="shared" si="6"/>
        <v>282.62273389499529</v>
      </c>
      <c r="CQ10" s="67">
        <f t="shared" si="6"/>
        <v>288.27518857289522</v>
      </c>
      <c r="CR10" s="67">
        <f t="shared" si="6"/>
        <v>294.04069234435315</v>
      </c>
      <c r="CS10" s="67">
        <f t="shared" si="6"/>
        <v>299.92150619124021</v>
      </c>
      <c r="CT10" s="67">
        <f t="shared" si="6"/>
        <v>305.919936315065</v>
      </c>
      <c r="CU10" s="67">
        <f t="shared" si="6"/>
        <v>312.03833504136628</v>
      </c>
    </row>
    <row r="11" spans="2:152" s="2" customFormat="1" ht="15">
      <c r="B11" s="33" t="s">
        <v>115</v>
      </c>
      <c r="AQ11" s="58">
        <f t="shared" ref="AQ11:BK11" si="7">SUM(AQ4:AQ10)</f>
        <v>630.62099999999998</v>
      </c>
      <c r="AR11" s="58">
        <f t="shared" si="7"/>
        <v>567.03</v>
      </c>
      <c r="AS11" s="58">
        <f t="shared" si="7"/>
        <v>628.279</v>
      </c>
      <c r="AT11" s="58">
        <f t="shared" si="7"/>
        <v>651.71500000000003</v>
      </c>
      <c r="AU11" s="58">
        <f t="shared" si="7"/>
        <v>633.90200000000004</v>
      </c>
      <c r="AV11" s="58">
        <f t="shared" si="7"/>
        <v>713.44</v>
      </c>
      <c r="AW11" s="58">
        <f t="shared" si="7"/>
        <v>700.23099999999999</v>
      </c>
      <c r="AX11" s="58">
        <f t="shared" si="7"/>
        <v>761.98300000000017</v>
      </c>
      <c r="AY11" s="58">
        <f t="shared" si="7"/>
        <v>641.68799999999987</v>
      </c>
      <c r="AZ11" s="58">
        <f t="shared" si="7"/>
        <v>704.51499999999999</v>
      </c>
      <c r="BA11" s="58">
        <f t="shared" si="7"/>
        <v>686.73899999999992</v>
      </c>
      <c r="BB11" s="58">
        <f t="shared" si="7"/>
        <v>758.08199999999999</v>
      </c>
      <c r="BC11" s="58">
        <f t="shared" si="7"/>
        <v>710.9</v>
      </c>
      <c r="BD11" s="58">
        <f t="shared" si="7"/>
        <v>743.23500000000001</v>
      </c>
      <c r="BE11" s="58">
        <f t="shared" si="7"/>
        <v>746.37299999999993</v>
      </c>
      <c r="BF11" s="58">
        <f t="shared" si="7"/>
        <v>773.97699999999986</v>
      </c>
      <c r="BG11" s="58">
        <f t="shared" si="7"/>
        <v>737.827</v>
      </c>
      <c r="BH11" s="58">
        <f t="shared" si="7"/>
        <v>749.66000000000008</v>
      </c>
      <c r="BI11" s="58">
        <f t="shared" si="7"/>
        <v>764.34599999999989</v>
      </c>
      <c r="BJ11" s="58">
        <f t="shared" si="7"/>
        <v>795.471</v>
      </c>
      <c r="BK11" s="58">
        <f t="shared" si="7"/>
        <v>700.72</v>
      </c>
      <c r="BL11" s="58">
        <f>SUM(BL4:BL10)</f>
        <v>780.84999999999991</v>
      </c>
      <c r="BM11" s="58">
        <f>SUM(BM4:BM10)</f>
        <v>912.99</v>
      </c>
      <c r="BN11" s="58"/>
      <c r="BO11" s="58">
        <f>SUM(BO4:BO10)</f>
        <v>548.26200000000006</v>
      </c>
      <c r="BP11" s="58">
        <f>SUM(BP4:BP10)</f>
        <v>570.33199999999999</v>
      </c>
      <c r="BQ11" s="34"/>
      <c r="BR11" s="34"/>
      <c r="CG11" s="58">
        <f t="shared" si="2"/>
        <v>2477.645</v>
      </c>
      <c r="CH11" s="58">
        <f t="shared" si="3"/>
        <v>2809.5560000000005</v>
      </c>
      <c r="CI11" s="58">
        <f>SUM(AY11:BB11)</f>
        <v>2791.0239999999999</v>
      </c>
      <c r="CJ11" s="58">
        <f>SUM(BC11:BF11)</f>
        <v>2974.4849999999997</v>
      </c>
      <c r="CK11" s="58">
        <f t="shared" si="4"/>
        <v>3047.3040000000001</v>
      </c>
      <c r="CL11" s="68">
        <f>SUM(CL4:CL10)</f>
        <v>3232.1869950000005</v>
      </c>
      <c r="CM11" s="68">
        <f t="shared" ref="CM11:CU11" si="8">SUM(CM4:CM10)</f>
        <v>3187.4482332750003</v>
      </c>
      <c r="CN11" s="68">
        <f t="shared" si="8"/>
        <v>2763.3766594380004</v>
      </c>
      <c r="CO11" s="68">
        <f t="shared" si="8"/>
        <v>2994.0941726127007</v>
      </c>
      <c r="CP11" s="68">
        <f t="shared" si="8"/>
        <v>3220.1082887740854</v>
      </c>
      <c r="CQ11" s="68">
        <f t="shared" si="8"/>
        <v>3434.210055411811</v>
      </c>
      <c r="CR11" s="68">
        <f t="shared" si="8"/>
        <v>3644.7306376817478</v>
      </c>
      <c r="CS11" s="68">
        <f t="shared" si="8"/>
        <v>3848.1436354347206</v>
      </c>
      <c r="CT11" s="68">
        <f t="shared" si="8"/>
        <v>4044.287624047131</v>
      </c>
      <c r="CU11" s="68">
        <f t="shared" si="8"/>
        <v>4229.8306777456328</v>
      </c>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row>
    <row r="12" spans="2:152">
      <c r="B12" s="36"/>
    </row>
    <row r="13" spans="2:152">
      <c r="B13" s="36" t="s">
        <v>953</v>
      </c>
      <c r="AQ13" s="59"/>
      <c r="AR13" s="59"/>
      <c r="AS13" s="59"/>
      <c r="AT13" s="59"/>
      <c r="AU13" s="59">
        <f t="shared" ref="AU13:BK20" si="9">AU4/AQ4-1</f>
        <v>9.1314475873544021E-2</v>
      </c>
      <c r="AV13" s="59">
        <f t="shared" si="9"/>
        <v>1.6804277452442395E-2</v>
      </c>
      <c r="AW13" s="59">
        <f t="shared" si="9"/>
        <v>9.63448922211807E-2</v>
      </c>
      <c r="AX13" s="59">
        <f t="shared" si="9"/>
        <v>5.8236728877196109E-2</v>
      </c>
      <c r="AY13" s="59">
        <f t="shared" si="9"/>
        <v>1.3173141428310053E-2</v>
      </c>
      <c r="AZ13" s="59">
        <f t="shared" si="9"/>
        <v>-2.2834317057175091E-2</v>
      </c>
      <c r="BA13" s="59">
        <f t="shared" si="9"/>
        <v>-4.7472502422066576E-2</v>
      </c>
      <c r="BB13" s="59">
        <f t="shared" si="9"/>
        <v>-3.4329517791474862E-2</v>
      </c>
      <c r="BC13" s="59">
        <f t="shared" si="9"/>
        <v>6.9343285378920205E-2</v>
      </c>
      <c r="BD13" s="59">
        <f t="shared" si="9"/>
        <v>6.0311165344722362E-2</v>
      </c>
      <c r="BE13" s="59">
        <f t="shared" si="9"/>
        <v>1.6572932870647428E-2</v>
      </c>
      <c r="BF13" s="59">
        <f t="shared" si="9"/>
        <v>1.3569903777042036E-3</v>
      </c>
      <c r="BG13" s="59">
        <f t="shared" si="9"/>
        <v>2.0827469743878391E-2</v>
      </c>
      <c r="BH13" s="59">
        <f t="shared" si="9"/>
        <v>4.2092240412003434E-2</v>
      </c>
      <c r="BI13" s="59">
        <f t="shared" si="9"/>
        <v>6.4622447177917763E-2</v>
      </c>
      <c r="BJ13" s="59">
        <f t="shared" si="9"/>
        <v>1.411392913575682E-2</v>
      </c>
      <c r="BK13" s="59">
        <f t="shared" si="9"/>
        <v>5.5693410532120513E-3</v>
      </c>
      <c r="BL13" s="59">
        <f>BL4/BH4-1</f>
        <v>2.4461623412479261E-2</v>
      </c>
      <c r="BM13" s="59">
        <f>BM4/BI4-1</f>
        <v>5.6000884515451599E-2</v>
      </c>
      <c r="BN13" s="59"/>
      <c r="BO13" s="59">
        <f t="shared" ref="BO13:BP20" si="10">BO4/BK4-1</f>
        <v>0.29859618337354688</v>
      </c>
      <c r="BP13" s="59">
        <f t="shared" si="10"/>
        <v>0.32774753409152146</v>
      </c>
      <c r="CH13" s="59">
        <f t="shared" ref="CH13:CK20" si="11">CH4/CG4-1</f>
        <v>6.4675088907911293E-2</v>
      </c>
      <c r="CI13" s="59">
        <f t="shared" si="11"/>
        <v>-2.3746144179138673E-2</v>
      </c>
      <c r="CJ13" s="59">
        <f t="shared" si="11"/>
        <v>3.5733720297478788E-2</v>
      </c>
      <c r="CK13" s="59">
        <f>CK4/CJ4-1</f>
        <v>3.4786170272866013E-2</v>
      </c>
      <c r="CL13" s="63">
        <v>2.75E-2</v>
      </c>
      <c r="CM13" s="63">
        <v>3.5000000000000003E-2</v>
      </c>
      <c r="CN13" s="63">
        <v>0.04</v>
      </c>
      <c r="CO13" s="63">
        <v>4.2000000000000003E-2</v>
      </c>
      <c r="CP13" s="63">
        <v>0.04</v>
      </c>
      <c r="CQ13" s="63">
        <v>3.7999999999999999E-2</v>
      </c>
      <c r="CR13" s="63">
        <v>3.5999999999999997E-2</v>
      </c>
      <c r="CS13" s="63">
        <v>3.4000000000000002E-2</v>
      </c>
      <c r="CT13" s="63">
        <v>3.2000000000000001E-2</v>
      </c>
      <c r="CU13" s="63">
        <v>0.03</v>
      </c>
    </row>
    <row r="14" spans="2:152">
      <c r="B14" s="36" t="s">
        <v>1033</v>
      </c>
      <c r="AQ14" s="59"/>
      <c r="AR14" s="59"/>
      <c r="AS14" s="59"/>
      <c r="AT14" s="59"/>
      <c r="AU14" s="59">
        <f t="shared" si="9"/>
        <v>-3.7596317422195602E-2</v>
      </c>
      <c r="AV14" s="59">
        <f t="shared" si="9"/>
        <v>0.35699929776981376</v>
      </c>
      <c r="AW14" s="59">
        <f t="shared" si="9"/>
        <v>0.11938184159690923</v>
      </c>
      <c r="AX14" s="59">
        <f t="shared" si="9"/>
        <v>7.6991548451173841E-2</v>
      </c>
      <c r="AY14" s="59">
        <f t="shared" si="9"/>
        <v>7.0393977519678241E-3</v>
      </c>
      <c r="AZ14" s="59">
        <f t="shared" si="9"/>
        <v>2.0164168451106468E-2</v>
      </c>
      <c r="BA14" s="59">
        <f t="shared" si="9"/>
        <v>-6.4273661604540622E-2</v>
      </c>
      <c r="BB14" s="59">
        <f t="shared" si="9"/>
        <v>0.18510914105252207</v>
      </c>
      <c r="BC14" s="59">
        <f t="shared" si="9"/>
        <v>0.20691791430046469</v>
      </c>
      <c r="BD14" s="59">
        <f t="shared" si="9"/>
        <v>9.1306629351058266E-2</v>
      </c>
      <c r="BE14" s="59">
        <f t="shared" si="9"/>
        <v>0.37386270491803275</v>
      </c>
      <c r="BF14" s="59">
        <f t="shared" si="9"/>
        <v>-4.0008809279108437E-3</v>
      </c>
      <c r="BG14" s="59">
        <f t="shared" si="9"/>
        <v>0.1520660449995721</v>
      </c>
      <c r="BH14" s="59">
        <f t="shared" si="9"/>
        <v>0.13119089597691946</v>
      </c>
      <c r="BI14" s="59">
        <f t="shared" si="9"/>
        <v>0.11761591181976172</v>
      </c>
      <c r="BJ14" s="59">
        <f t="shared" si="9"/>
        <v>0.18205269946563418</v>
      </c>
      <c r="BK14" s="59">
        <f t="shared" si="9"/>
        <v>2.1423532469461382E-2</v>
      </c>
      <c r="BL14" s="59">
        <f t="shared" ref="BL14:BM20" si="12">BL5/BH5-1</f>
        <v>0.20446333687566409</v>
      </c>
      <c r="BM14" s="59">
        <f t="shared" si="12"/>
        <v>0.77772587748565325</v>
      </c>
      <c r="BN14" s="59"/>
      <c r="BO14" s="59">
        <f t="shared" si="10"/>
        <v>0.48786623046165012</v>
      </c>
      <c r="BP14" s="59">
        <f t="shared" si="10"/>
        <v>0.24624433856831951</v>
      </c>
      <c r="CH14" s="59">
        <f t="shared" si="11"/>
        <v>0.11785163297858436</v>
      </c>
      <c r="CI14" s="59">
        <f t="shared" si="11"/>
        <v>4.0959064327485306E-2</v>
      </c>
      <c r="CJ14" s="59">
        <f t="shared" si="11"/>
        <v>0.14926406148176463</v>
      </c>
      <c r="CK14" s="59">
        <f t="shared" si="11"/>
        <v>0.14589565809077998</v>
      </c>
      <c r="CL14" s="63">
        <v>0.34</v>
      </c>
      <c r="CM14" s="63">
        <v>0.24</v>
      </c>
      <c r="CN14" s="63">
        <v>0.16</v>
      </c>
      <c r="CO14" s="63">
        <v>0.14000000000000001</v>
      </c>
      <c r="CP14" s="63">
        <v>0.12</v>
      </c>
      <c r="CQ14" s="63">
        <v>0.1</v>
      </c>
      <c r="CR14" s="63">
        <v>0.09</v>
      </c>
      <c r="CS14" s="63">
        <v>0.08</v>
      </c>
      <c r="CT14" s="63">
        <v>7.0000000000000007E-2</v>
      </c>
      <c r="CU14" s="63">
        <v>0.06</v>
      </c>
    </row>
    <row r="15" spans="2:152">
      <c r="B15" s="36" t="s">
        <v>954</v>
      </c>
      <c r="AQ15" s="59"/>
      <c r="AR15" s="59"/>
      <c r="AS15" s="59"/>
      <c r="AT15" s="59"/>
      <c r="AU15" s="59">
        <f t="shared" si="9"/>
        <v>0.1208718626155878</v>
      </c>
      <c r="AV15" s="59">
        <f t="shared" si="9"/>
        <v>0.47100991259037706</v>
      </c>
      <c r="AW15" s="59">
        <f t="shared" si="9"/>
        <v>0.28331570597567413</v>
      </c>
      <c r="AX15" s="59">
        <f t="shared" si="9"/>
        <v>2.8662604836586563</v>
      </c>
      <c r="AY15" s="59">
        <f t="shared" si="9"/>
        <v>2.4749558043606568E-2</v>
      </c>
      <c r="AZ15" s="59">
        <f t="shared" si="9"/>
        <v>9.7201844477048827E-2</v>
      </c>
      <c r="BA15" s="59">
        <f t="shared" si="9"/>
        <v>0.12011950139074901</v>
      </c>
      <c r="BB15" s="59">
        <f t="shared" si="9"/>
        <v>-0.13895914396887177</v>
      </c>
      <c r="BC15" s="59">
        <f t="shared" si="9"/>
        <v>7.3375503162737221E-2</v>
      </c>
      <c r="BD15" s="59">
        <f t="shared" si="9"/>
        <v>-3.6821242657242403E-2</v>
      </c>
      <c r="BE15" s="59">
        <f t="shared" si="9"/>
        <v>-0.10227168214844118</v>
      </c>
      <c r="BF15" s="59">
        <f t="shared" si="9"/>
        <v>0.10915664011749393</v>
      </c>
      <c r="BG15" s="59">
        <f t="shared" si="9"/>
        <v>3.2379727847423156E-2</v>
      </c>
      <c r="BH15" s="59">
        <f t="shared" si="9"/>
        <v>1.6362554541848429E-2</v>
      </c>
      <c r="BI15" s="59">
        <f t="shared" si="9"/>
        <v>3.6266775945087648E-2</v>
      </c>
      <c r="BJ15" s="59">
        <f t="shared" si="9"/>
        <v>-2.9426444075495883E-2</v>
      </c>
      <c r="BK15" s="59">
        <f t="shared" si="9"/>
        <v>-0.10131600797077378</v>
      </c>
      <c r="BL15" s="59">
        <f t="shared" si="12"/>
        <v>-5.9615572250951265E-2</v>
      </c>
      <c r="BM15" s="59">
        <f t="shared" si="12"/>
        <v>2.8670291646069046E-3</v>
      </c>
      <c r="BN15" s="59"/>
      <c r="BO15" s="59">
        <f t="shared" si="10"/>
        <v>-1</v>
      </c>
      <c r="BP15" s="59">
        <f t="shared" si="10"/>
        <v>-1</v>
      </c>
      <c r="CH15" s="59">
        <f t="shared" si="11"/>
        <v>0.565676535033526</v>
      </c>
      <c r="CI15" s="59">
        <f t="shared" si="11"/>
        <v>0.54879781133266703</v>
      </c>
      <c r="CJ15" s="59">
        <f t="shared" si="11"/>
        <v>0.66233609620218781</v>
      </c>
      <c r="CK15" s="59">
        <f t="shared" si="11"/>
        <v>-0.59612431376996633</v>
      </c>
      <c r="CL15" s="63">
        <v>-0.04</v>
      </c>
      <c r="CM15" s="63">
        <v>-0.35</v>
      </c>
      <c r="CN15" s="63">
        <v>-1</v>
      </c>
      <c r="CO15" s="63">
        <v>0</v>
      </c>
      <c r="CP15" s="63">
        <v>0</v>
      </c>
      <c r="CQ15" s="63">
        <v>0</v>
      </c>
      <c r="CR15" s="63">
        <v>0</v>
      </c>
      <c r="CS15" s="63">
        <v>0</v>
      </c>
      <c r="CT15" s="63">
        <v>0</v>
      </c>
      <c r="CU15" s="63">
        <v>0</v>
      </c>
    </row>
    <row r="16" spans="2:152">
      <c r="B16" s="36" t="s">
        <v>955</v>
      </c>
      <c r="AQ16" s="59"/>
      <c r="AR16" s="59"/>
      <c r="AS16" s="59"/>
      <c r="AT16" s="59"/>
      <c r="AU16" s="59">
        <f t="shared" si="9"/>
        <v>6.5675045073708693E-2</v>
      </c>
      <c r="AV16" s="59">
        <f t="shared" si="9"/>
        <v>0.45938312894834632</v>
      </c>
      <c r="AW16" s="59">
        <f t="shared" si="9"/>
        <v>0.12904402821697891</v>
      </c>
      <c r="AX16" s="59">
        <f t="shared" si="9"/>
        <v>0.15260151940437594</v>
      </c>
      <c r="AY16" s="59">
        <f t="shared" si="9"/>
        <v>0.11586594680665807</v>
      </c>
      <c r="AZ16" s="59">
        <f t="shared" si="9"/>
        <v>1.487064575269903E-2</v>
      </c>
      <c r="BA16" s="59">
        <f t="shared" si="9"/>
        <v>3.1239900894108885E-3</v>
      </c>
      <c r="BB16" s="59">
        <f t="shared" si="9"/>
        <v>3.8512890911484243E-2</v>
      </c>
      <c r="BC16" s="59">
        <f t="shared" si="9"/>
        <v>0.10390189520624293</v>
      </c>
      <c r="BD16" s="59">
        <f t="shared" si="9"/>
        <v>6.3327980730630395E-2</v>
      </c>
      <c r="BE16" s="59">
        <f t="shared" si="9"/>
        <v>0.21134020618556693</v>
      </c>
      <c r="BF16" s="59">
        <f t="shared" si="9"/>
        <v>-7.7953825260297371E-3</v>
      </c>
      <c r="BG16" s="59">
        <f t="shared" si="9"/>
        <v>6.5643304382952961E-2</v>
      </c>
      <c r="BH16" s="59">
        <f t="shared" si="9"/>
        <v>5.049551675318531E-2</v>
      </c>
      <c r="BI16" s="59">
        <f t="shared" si="9"/>
        <v>-9.3439716312057053E-3</v>
      </c>
      <c r="BJ16" s="59">
        <f t="shared" si="9"/>
        <v>0.11246566717462558</v>
      </c>
      <c r="BK16" s="59">
        <f t="shared" si="9"/>
        <v>2.4639878695982276E-3</v>
      </c>
      <c r="BL16" s="59">
        <f t="shared" si="12"/>
        <v>2.4618149146451218E-2</v>
      </c>
      <c r="BM16" s="59">
        <f t="shared" si="12"/>
        <v>9.9547187371360035E-2</v>
      </c>
      <c r="BN16" s="59"/>
      <c r="BO16" s="59">
        <f t="shared" si="10"/>
        <v>9.5859330686329791E-3</v>
      </c>
      <c r="BP16" s="59">
        <f t="shared" si="10"/>
        <v>-1.6827428972290503E-2</v>
      </c>
      <c r="CH16" s="59">
        <f t="shared" si="11"/>
        <v>0.19088902900378324</v>
      </c>
      <c r="CI16" s="59">
        <f t="shared" si="11"/>
        <v>4.0132362673725996E-2</v>
      </c>
      <c r="CJ16" s="59">
        <f t="shared" si="11"/>
        <v>8.7676567152783047E-2</v>
      </c>
      <c r="CK16" s="59">
        <f t="shared" si="11"/>
        <v>5.4102054712782621E-2</v>
      </c>
      <c r="CL16" s="63">
        <v>0.06</v>
      </c>
      <c r="CM16" s="63">
        <v>0.08</v>
      </c>
      <c r="CN16" s="63">
        <v>7.0000000000000007E-2</v>
      </c>
      <c r="CO16" s="63">
        <v>0.06</v>
      </c>
      <c r="CP16" s="63">
        <v>5.5E-2</v>
      </c>
      <c r="CQ16" s="63">
        <v>0.05</v>
      </c>
      <c r="CR16" s="63">
        <v>4.4999999999999998E-2</v>
      </c>
      <c r="CS16" s="63">
        <v>0.04</v>
      </c>
      <c r="CT16" s="63">
        <v>0.04</v>
      </c>
      <c r="CU16" s="63">
        <v>0.04</v>
      </c>
    </row>
    <row r="17" spans="2:151">
      <c r="B17" s="36" t="s">
        <v>956</v>
      </c>
      <c r="AQ17" s="59"/>
      <c r="AR17" s="59"/>
      <c r="AS17" s="59"/>
      <c r="AT17" s="59"/>
      <c r="AU17" s="59">
        <f t="shared" si="9"/>
        <v>-1.1187491575683994E-2</v>
      </c>
      <c r="AV17" s="59">
        <f t="shared" si="9"/>
        <v>1.3008231479171859</v>
      </c>
      <c r="AW17" s="59">
        <f t="shared" si="9"/>
        <v>1.6350739880151677E-2</v>
      </c>
      <c r="AX17" s="59">
        <f t="shared" si="9"/>
        <v>-1.0822602958390326E-2</v>
      </c>
      <c r="AY17" s="59">
        <f t="shared" si="9"/>
        <v>2.0856052344601972E-2</v>
      </c>
      <c r="AZ17" s="59">
        <f t="shared" si="9"/>
        <v>-0.13475715524718124</v>
      </c>
      <c r="BA17" s="59">
        <f t="shared" si="9"/>
        <v>-4.9791232988797618E-2</v>
      </c>
      <c r="BB17" s="59">
        <f t="shared" si="9"/>
        <v>-4.0794810280464611E-2</v>
      </c>
      <c r="BC17" s="59">
        <f t="shared" si="9"/>
        <v>6.4094004539991811E-3</v>
      </c>
      <c r="BD17" s="59">
        <f t="shared" si="9"/>
        <v>-2.505951635133441E-2</v>
      </c>
      <c r="BE17" s="59">
        <f t="shared" si="9"/>
        <v>-6.7710114095404506E-2</v>
      </c>
      <c r="BF17" s="59">
        <f t="shared" si="9"/>
        <v>4.2866275613777427E-2</v>
      </c>
      <c r="BG17" s="59">
        <f t="shared" si="9"/>
        <v>5.7980628897439157E-2</v>
      </c>
      <c r="BH17" s="59">
        <f t="shared" si="9"/>
        <v>6.7986120035985032E-2</v>
      </c>
      <c r="BI17" s="59">
        <f t="shared" si="9"/>
        <v>0.13267773219961421</v>
      </c>
      <c r="BJ17" s="59">
        <f t="shared" si="9"/>
        <v>-8.7338545755675567E-2</v>
      </c>
      <c r="BK17" s="59">
        <f t="shared" si="9"/>
        <v>-0.11010785051417105</v>
      </c>
      <c r="BL17" s="59">
        <f t="shared" si="12"/>
        <v>-8.0866425992779822E-2</v>
      </c>
      <c r="BM17" s="59">
        <f t="shared" si="12"/>
        <v>-0.13934524523324143</v>
      </c>
      <c r="BN17" s="59"/>
      <c r="BO17" s="59">
        <f t="shared" si="10"/>
        <v>-1</v>
      </c>
      <c r="BP17" s="59">
        <f t="shared" si="10"/>
        <v>-1</v>
      </c>
      <c r="CH17" s="59">
        <f t="shared" si="11"/>
        <v>0.17805668574581079</v>
      </c>
      <c r="CI17" s="59">
        <f t="shared" si="11"/>
        <v>-5.5113270502839207E-2</v>
      </c>
      <c r="CJ17" s="59">
        <f t="shared" si="11"/>
        <v>-9.4322089025182798E-3</v>
      </c>
      <c r="CK17" s="59">
        <f t="shared" si="11"/>
        <v>3.5358131244429769E-2</v>
      </c>
      <c r="CL17" s="63">
        <v>-0.15</v>
      </c>
      <c r="CM17" s="63">
        <v>-0.5</v>
      </c>
      <c r="CN17" s="63">
        <v>-1</v>
      </c>
      <c r="CO17" s="63">
        <v>0</v>
      </c>
      <c r="CP17" s="63">
        <v>0</v>
      </c>
      <c r="CQ17" s="63">
        <v>0</v>
      </c>
      <c r="CR17" s="63">
        <v>0</v>
      </c>
      <c r="CS17" s="63">
        <v>0</v>
      </c>
      <c r="CT17" s="63">
        <v>0</v>
      </c>
      <c r="CU17" s="63">
        <v>0</v>
      </c>
    </row>
    <row r="18" spans="2:151">
      <c r="B18" s="36" t="s">
        <v>957</v>
      </c>
      <c r="AQ18" s="59"/>
      <c r="AR18" s="59"/>
      <c r="AS18" s="59"/>
      <c r="AT18" s="59"/>
      <c r="AU18" s="59">
        <f t="shared" si="9"/>
        <v>-0.15632049724715658</v>
      </c>
      <c r="AV18" s="59">
        <f t="shared" si="9"/>
        <v>9.1667860725032302E-2</v>
      </c>
      <c r="AW18" s="59">
        <f t="shared" si="9"/>
        <v>0.29719225085528045</v>
      </c>
      <c r="AX18" s="59">
        <f t="shared" si="9"/>
        <v>0.30110796885290392</v>
      </c>
      <c r="AY18" s="59">
        <f t="shared" si="9"/>
        <v>7.8085265519820535E-2</v>
      </c>
      <c r="AZ18" s="59">
        <f t="shared" si="9"/>
        <v>0.14848236259228864</v>
      </c>
      <c r="BA18" s="59">
        <f t="shared" si="9"/>
        <v>0.11235955056179781</v>
      </c>
      <c r="BB18" s="59">
        <f t="shared" si="9"/>
        <v>9.7021035863691152E-2</v>
      </c>
      <c r="BC18" s="59">
        <f t="shared" si="9"/>
        <v>0.33533370334397117</v>
      </c>
      <c r="BD18" s="59">
        <f t="shared" si="9"/>
        <v>0.20171428571428573</v>
      </c>
      <c r="BE18" s="59">
        <f t="shared" si="9"/>
        <v>0.1547278338945004</v>
      </c>
      <c r="BF18" s="59">
        <f t="shared" si="9"/>
        <v>0.12079307349907653</v>
      </c>
      <c r="BG18" s="59">
        <f t="shared" si="9"/>
        <v>0.13897908819327198</v>
      </c>
      <c r="BH18" s="59">
        <f t="shared" si="9"/>
        <v>5.587256300523058E-2</v>
      </c>
      <c r="BI18" s="59">
        <f t="shared" si="9"/>
        <v>2.9279908636965502E-3</v>
      </c>
      <c r="BJ18" s="59">
        <f t="shared" si="9"/>
        <v>3.4641417137875719E-2</v>
      </c>
      <c r="BK18" s="59">
        <f t="shared" si="9"/>
        <v>-0.27152468924620821</v>
      </c>
      <c r="BL18" s="59">
        <f t="shared" si="12"/>
        <v>-0.1142760639495608</v>
      </c>
      <c r="BM18" s="59">
        <f t="shared" si="12"/>
        <v>-2.5923682616596055E-2</v>
      </c>
      <c r="BN18" s="59"/>
      <c r="BO18" s="59">
        <f t="shared" si="10"/>
        <v>-1</v>
      </c>
      <c r="BP18" s="59">
        <f t="shared" si="10"/>
        <v>-1</v>
      </c>
      <c r="CH18" s="59">
        <f t="shared" si="11"/>
        <v>0.11548450369132701</v>
      </c>
      <c r="CI18" s="59">
        <f t="shared" si="11"/>
        <v>0.10966660018479257</v>
      </c>
      <c r="CJ18" s="59">
        <f t="shared" si="11"/>
        <v>0.19581548212923283</v>
      </c>
      <c r="CK18" s="59">
        <f t="shared" si="11"/>
        <v>5.6753208510220698E-2</v>
      </c>
      <c r="CL18" s="63">
        <v>-0.14499999999999999</v>
      </c>
      <c r="CM18" s="63">
        <v>-0.1</v>
      </c>
      <c r="CN18" s="63">
        <v>-1</v>
      </c>
      <c r="CO18" s="63">
        <v>0</v>
      </c>
      <c r="CP18" s="63">
        <v>0</v>
      </c>
      <c r="CQ18" s="63">
        <v>0</v>
      </c>
      <c r="CR18" s="63">
        <v>0</v>
      </c>
      <c r="CS18" s="63">
        <v>0</v>
      </c>
      <c r="CT18" s="63">
        <v>0</v>
      </c>
      <c r="CU18" s="63">
        <v>0</v>
      </c>
    </row>
    <row r="19" spans="2:151">
      <c r="B19" s="36" t="s">
        <v>958</v>
      </c>
      <c r="AQ19" s="59"/>
      <c r="AR19" s="59"/>
      <c r="AS19" s="59"/>
      <c r="AT19" s="59"/>
      <c r="AU19" s="59">
        <f t="shared" si="9"/>
        <v>-0.10952796249863728</v>
      </c>
      <c r="AV19" s="59">
        <f t="shared" si="9"/>
        <v>-5.00360995033583E-2</v>
      </c>
      <c r="AW19" s="59">
        <f t="shared" si="9"/>
        <v>-3.0806789118809519E-2</v>
      </c>
      <c r="AX19" s="59">
        <f t="shared" si="9"/>
        <v>-0.13655363660461295</v>
      </c>
      <c r="AY19" s="59">
        <f t="shared" si="9"/>
        <v>-0.14900285249072642</v>
      </c>
      <c r="AZ19" s="59">
        <f t="shared" si="9"/>
        <v>-0.16939198526024879</v>
      </c>
      <c r="BA19" s="59">
        <f t="shared" si="9"/>
        <v>-0.16156890967974091</v>
      </c>
      <c r="BB19" s="59">
        <f t="shared" si="9"/>
        <v>-0.13089784159070439</v>
      </c>
      <c r="BC19" s="59">
        <f t="shared" si="9"/>
        <v>3.0757279318678776E-2</v>
      </c>
      <c r="BD19" s="59">
        <f t="shared" si="9"/>
        <v>5.2959933453486929E-2</v>
      </c>
      <c r="BE19" s="59">
        <f t="shared" si="9"/>
        <v>8.7739628040057083E-2</v>
      </c>
      <c r="BF19" s="59">
        <f t="shared" si="9"/>
        <v>-7.2507676004674559E-2</v>
      </c>
      <c r="BG19" s="59">
        <f t="shared" si="9"/>
        <v>-0.26713189113747393</v>
      </c>
      <c r="BH19" s="59">
        <f t="shared" si="9"/>
        <v>-0.45095457537853845</v>
      </c>
      <c r="BI19" s="59">
        <f t="shared" si="9"/>
        <v>-0.27978640853313697</v>
      </c>
      <c r="BJ19" s="59">
        <f t="shared" si="9"/>
        <v>-0.14672838330721039</v>
      </c>
      <c r="BK19" s="59">
        <f t="shared" si="9"/>
        <v>2.0757950866501673E-2</v>
      </c>
      <c r="BL19" s="59">
        <f t="shared" si="12"/>
        <v>0.43501199040767391</v>
      </c>
      <c r="BM19" s="59">
        <f t="shared" si="12"/>
        <v>0.44393718042366692</v>
      </c>
      <c r="BN19" s="59"/>
      <c r="BO19" s="59">
        <f t="shared" si="10"/>
        <v>-1</v>
      </c>
      <c r="BP19" s="59">
        <f t="shared" si="10"/>
        <v>-1</v>
      </c>
      <c r="CH19" s="59">
        <f t="shared" si="11"/>
        <v>-8.3498978897209031E-2</v>
      </c>
      <c r="CI19" s="59">
        <f t="shared" si="11"/>
        <v>-0.15282023857272298</v>
      </c>
      <c r="CJ19" s="59">
        <f t="shared" si="11"/>
        <v>2.368594554406811E-2</v>
      </c>
      <c r="CK19" s="59">
        <f t="shared" si="11"/>
        <v>-0.29009736144322407</v>
      </c>
      <c r="CL19" s="63">
        <v>0.26</v>
      </c>
      <c r="CM19" s="63">
        <v>0.02</v>
      </c>
      <c r="CN19" s="63">
        <v>0.02</v>
      </c>
      <c r="CO19" s="63">
        <v>0.02</v>
      </c>
      <c r="CP19" s="63">
        <v>0.02</v>
      </c>
      <c r="CQ19" s="63">
        <v>0.02</v>
      </c>
      <c r="CR19" s="63">
        <v>0.02</v>
      </c>
      <c r="CS19" s="63">
        <v>0.02</v>
      </c>
      <c r="CT19" s="63">
        <v>0.02</v>
      </c>
      <c r="CU19" s="63">
        <v>0.02</v>
      </c>
    </row>
    <row r="20" spans="2:151" s="2" customFormat="1" ht="15">
      <c r="B20" s="33" t="s">
        <v>959</v>
      </c>
      <c r="AQ20" s="60"/>
      <c r="AR20" s="60"/>
      <c r="AS20" s="60"/>
      <c r="AT20" s="60"/>
      <c r="AU20" s="60">
        <f t="shared" si="9"/>
        <v>5.2028080257398024E-3</v>
      </c>
      <c r="AV20" s="60">
        <f t="shared" si="9"/>
        <v>0.25820503324339117</v>
      </c>
      <c r="AW20" s="60">
        <f t="shared" si="9"/>
        <v>0.11452236983887731</v>
      </c>
      <c r="AX20" s="60">
        <f t="shared" si="9"/>
        <v>0.16919665804838036</v>
      </c>
      <c r="AY20" s="60">
        <f t="shared" si="9"/>
        <v>1.2282655678637733E-2</v>
      </c>
      <c r="AZ20" s="60">
        <f t="shared" si="9"/>
        <v>-1.2509811616954525E-2</v>
      </c>
      <c r="BA20" s="60">
        <f t="shared" si="9"/>
        <v>-1.9267927298277421E-2</v>
      </c>
      <c r="BB20" s="60">
        <f t="shared" si="9"/>
        <v>-5.1195367875663811E-3</v>
      </c>
      <c r="BC20" s="60">
        <f t="shared" si="9"/>
        <v>0.10785927117228322</v>
      </c>
      <c r="BD20" s="60">
        <f t="shared" si="9"/>
        <v>5.4959795036301662E-2</v>
      </c>
      <c r="BE20" s="60">
        <f t="shared" si="9"/>
        <v>8.683648372962649E-2</v>
      </c>
      <c r="BF20" s="60">
        <f t="shared" si="9"/>
        <v>2.0967388752139993E-2</v>
      </c>
      <c r="BG20" s="60">
        <f t="shared" si="9"/>
        <v>3.7877338584892506E-2</v>
      </c>
      <c r="BH20" s="60">
        <f t="shared" si="9"/>
        <v>8.6446413314766879E-3</v>
      </c>
      <c r="BI20" s="60">
        <f t="shared" si="9"/>
        <v>2.4080453071051444E-2</v>
      </c>
      <c r="BJ20" s="60">
        <f t="shared" si="9"/>
        <v>2.7770851071801994E-2</v>
      </c>
      <c r="BK20" s="60">
        <f t="shared" si="9"/>
        <v>-5.0292277186928636E-2</v>
      </c>
      <c r="BL20" s="60">
        <f t="shared" si="12"/>
        <v>4.1605527839286838E-2</v>
      </c>
      <c r="BM20" s="60">
        <f t="shared" si="12"/>
        <v>0.19447213696415</v>
      </c>
      <c r="BN20" s="60"/>
      <c r="BO20" s="60">
        <f t="shared" si="10"/>
        <v>-0.21757335312250248</v>
      </c>
      <c r="BP20" s="60">
        <f t="shared" si="10"/>
        <v>-0.26960107575078429</v>
      </c>
      <c r="BQ20" s="34"/>
      <c r="BR20" s="34"/>
      <c r="CH20" s="60">
        <f t="shared" si="11"/>
        <v>0.13396229080437294</v>
      </c>
      <c r="CI20" s="60">
        <f t="shared" si="11"/>
        <v>-6.5960600180243745E-3</v>
      </c>
      <c r="CJ20" s="60">
        <f t="shared" si="11"/>
        <v>6.573250534570807E-2</v>
      </c>
      <c r="CK20" s="60">
        <f t="shared" si="11"/>
        <v>2.4481212714133838E-2</v>
      </c>
      <c r="CL20" s="66">
        <f>CL11/CK11-1</f>
        <v>6.0671004599475609E-2</v>
      </c>
      <c r="CM20" s="66">
        <f t="shared" ref="CM20:CU20" si="13">CM11/CL11-1</f>
        <v>-1.3841637811861873E-2</v>
      </c>
      <c r="CN20" s="66">
        <f t="shared" si="13"/>
        <v>-0.13304422309041863</v>
      </c>
      <c r="CO20" s="66">
        <f t="shared" si="13"/>
        <v>8.3491156511983577E-2</v>
      </c>
      <c r="CP20" s="66">
        <f t="shared" si="13"/>
        <v>7.5486642413842509E-2</v>
      </c>
      <c r="CQ20" s="66">
        <f t="shared" si="13"/>
        <v>6.6488995846545107E-2</v>
      </c>
      <c r="CR20" s="66">
        <f t="shared" si="13"/>
        <v>6.1301020867429834E-2</v>
      </c>
      <c r="CS20" s="66">
        <f t="shared" si="13"/>
        <v>5.5810159370887069E-2</v>
      </c>
      <c r="CT20" s="66">
        <f t="shared" si="13"/>
        <v>5.0971067401503589E-2</v>
      </c>
      <c r="CU20" s="66">
        <f t="shared" si="13"/>
        <v>4.5877808639344098E-2</v>
      </c>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row>
    <row r="21" spans="2:151">
      <c r="AQ21" s="59"/>
      <c r="AR21" s="59"/>
      <c r="AS21" s="59"/>
      <c r="AT21" s="59"/>
      <c r="AU21" s="59"/>
      <c r="AV21" s="59"/>
      <c r="AW21" s="59"/>
      <c r="AX21" s="59"/>
      <c r="AY21" s="59"/>
      <c r="AZ21" s="59"/>
      <c r="BA21" s="59"/>
      <c r="BB21" s="59"/>
      <c r="BC21" s="59"/>
      <c r="BD21" s="59"/>
      <c r="BE21" s="59"/>
      <c r="BF21" s="59"/>
      <c r="BG21" s="59"/>
      <c r="BH21" s="59"/>
      <c r="BI21" s="59"/>
      <c r="BJ21" s="59"/>
      <c r="BK21" s="59"/>
      <c r="BL21" s="59"/>
      <c r="BN21" s="59"/>
    </row>
    <row r="22" spans="2:151">
      <c r="B22" s="36" t="s">
        <v>960</v>
      </c>
      <c r="AQ22" s="59">
        <f t="shared" ref="AQ22:BK22" si="14">AQ4/AQ11</f>
        <v>0.2382572099565349</v>
      </c>
      <c r="AR22" s="59">
        <f t="shared" si="14"/>
        <v>0.29091582455954712</v>
      </c>
      <c r="AS22" s="59">
        <f t="shared" si="14"/>
        <v>0.25474351363009112</v>
      </c>
      <c r="AT22" s="59">
        <f t="shared" si="14"/>
        <v>0.27994598866068754</v>
      </c>
      <c r="AU22" s="59">
        <f t="shared" si="14"/>
        <v>0.25866774359443573</v>
      </c>
      <c r="AV22" s="59">
        <f t="shared" si="14"/>
        <v>0.23510035882484859</v>
      </c>
      <c r="AW22" s="59">
        <f t="shared" si="14"/>
        <v>0.25058873428911316</v>
      </c>
      <c r="AX22" s="59">
        <f t="shared" si="14"/>
        <v>0.25337835621004667</v>
      </c>
      <c r="AY22" s="59">
        <f t="shared" si="14"/>
        <v>0.25889528867611677</v>
      </c>
      <c r="AZ22" s="59">
        <f t="shared" si="14"/>
        <v>0.23264231421616291</v>
      </c>
      <c r="BA22" s="59">
        <f t="shared" si="14"/>
        <v>0.24338212916406379</v>
      </c>
      <c r="BB22" s="59">
        <f t="shared" si="14"/>
        <v>0.24593909366005262</v>
      </c>
      <c r="BC22" s="59">
        <f t="shared" si="14"/>
        <v>0.24989449992966664</v>
      </c>
      <c r="BD22" s="59">
        <f t="shared" si="14"/>
        <v>0.23382241148492736</v>
      </c>
      <c r="BE22" s="59">
        <f t="shared" si="14"/>
        <v>0.22764757031671834</v>
      </c>
      <c r="BF22" s="59">
        <f t="shared" si="14"/>
        <v>0.24121517822881039</v>
      </c>
      <c r="BG22" s="59">
        <f t="shared" si="14"/>
        <v>0.24578932459777156</v>
      </c>
      <c r="BH22" s="59">
        <f t="shared" si="14"/>
        <v>0.24157618120214494</v>
      </c>
      <c r="BI22" s="59">
        <f t="shared" si="14"/>
        <v>0.23665983729881496</v>
      </c>
      <c r="BJ22" s="59">
        <f t="shared" si="14"/>
        <v>0.23800993373737073</v>
      </c>
      <c r="BK22" s="59">
        <f t="shared" si="14"/>
        <v>0.2602466034935495</v>
      </c>
      <c r="BL22" s="59">
        <f>BL4/BL11</f>
        <v>0.23760005122622785</v>
      </c>
      <c r="BM22" s="59">
        <f>BM4/BM11</f>
        <v>0.20922463553817677</v>
      </c>
      <c r="BN22" s="59"/>
      <c r="BO22" s="59">
        <f t="shared" ref="BO22:BP22" si="15">BO4/BO11</f>
        <v>0.43193217841105164</v>
      </c>
      <c r="BP22" s="59">
        <f t="shared" si="15"/>
        <v>0.43191860179684816</v>
      </c>
      <c r="CG22" s="59">
        <f t="shared" ref="CG22:CJ22" si="16">CG4/CG11</f>
        <v>0.26545489769519037</v>
      </c>
      <c r="CH22" s="59">
        <f t="shared" si="16"/>
        <v>0.24923511045873437</v>
      </c>
      <c r="CI22" s="59">
        <f t="shared" si="16"/>
        <v>0.24493232591335654</v>
      </c>
      <c r="CJ22" s="59">
        <f t="shared" si="16"/>
        <v>0.23803784520681734</v>
      </c>
      <c r="CK22" s="59">
        <f>CK4/CK11</f>
        <v>0.24043219842851252</v>
      </c>
      <c r="CL22" s="63"/>
      <c r="CM22" s="63"/>
      <c r="CN22" s="63"/>
      <c r="CO22" s="63"/>
      <c r="CP22" s="63"/>
      <c r="CQ22" s="63"/>
      <c r="CR22" s="63"/>
      <c r="CS22" s="63"/>
      <c r="CT22" s="63"/>
      <c r="CU22" s="63"/>
    </row>
    <row r="23" spans="2:151">
      <c r="B23" s="36" t="s">
        <v>961</v>
      </c>
      <c r="AQ23" s="59">
        <f t="shared" ref="AQ23:BK23" si="17">AQ5/AQ11</f>
        <v>0.15846284852550108</v>
      </c>
      <c r="AR23" s="59">
        <f t="shared" si="17"/>
        <v>0.14566072341851402</v>
      </c>
      <c r="AS23" s="59">
        <f t="shared" si="17"/>
        <v>0.14830990690441667</v>
      </c>
      <c r="AT23" s="59">
        <f t="shared" si="17"/>
        <v>0.16376176703006681</v>
      </c>
      <c r="AU23" s="59">
        <f t="shared" si="17"/>
        <v>0.15171588037267589</v>
      </c>
      <c r="AV23" s="59">
        <f t="shared" si="17"/>
        <v>0.15709800403677954</v>
      </c>
      <c r="AW23" s="59">
        <f t="shared" si="17"/>
        <v>0.14895655862136925</v>
      </c>
      <c r="AX23" s="59">
        <f t="shared" si="17"/>
        <v>0.15084719737841915</v>
      </c>
      <c r="AY23" s="59">
        <f t="shared" si="17"/>
        <v>0.15093004700103479</v>
      </c>
      <c r="AZ23" s="59">
        <f t="shared" si="17"/>
        <v>0.16229604763560748</v>
      </c>
      <c r="BA23" s="59">
        <f t="shared" si="17"/>
        <v>0.1421209513366796</v>
      </c>
      <c r="BB23" s="59">
        <f t="shared" si="17"/>
        <v>0.17969032373806532</v>
      </c>
      <c r="BC23" s="59">
        <f t="shared" si="17"/>
        <v>0.1644253762835842</v>
      </c>
      <c r="BD23" s="59">
        <f t="shared" si="17"/>
        <v>0.16788768020881686</v>
      </c>
      <c r="BE23" s="59">
        <f t="shared" si="17"/>
        <v>0.17965414075803923</v>
      </c>
      <c r="BF23" s="59">
        <f t="shared" si="17"/>
        <v>0.1752959067259105</v>
      </c>
      <c r="BG23" s="59">
        <f t="shared" si="17"/>
        <v>0.18251568457104442</v>
      </c>
      <c r="BH23" s="59">
        <f t="shared" si="17"/>
        <v>0.18828535602806604</v>
      </c>
      <c r="BI23" s="59">
        <f t="shared" si="17"/>
        <v>0.19606303951351881</v>
      </c>
      <c r="BJ23" s="59">
        <f t="shared" si="17"/>
        <v>0.20161011526504416</v>
      </c>
      <c r="BK23" s="59">
        <f t="shared" si="17"/>
        <v>0.19629809338965637</v>
      </c>
      <c r="BL23" s="59">
        <f>BL5/BL11</f>
        <v>0.21772427482871232</v>
      </c>
      <c r="BM23" s="59">
        <f>BM5/BM11</f>
        <v>0.29179947206431617</v>
      </c>
      <c r="BN23" s="59"/>
      <c r="BO23" s="59">
        <f t="shared" ref="BO23:BP23" si="18">BO5/BO11</f>
        <v>0.37328138736589439</v>
      </c>
      <c r="BP23" s="59">
        <f t="shared" si="18"/>
        <v>0.3714923939039016</v>
      </c>
      <c r="CG23" s="59">
        <f t="shared" ref="CG23:CK23" si="19">CG5/CG11</f>
        <v>0.15435221752914563</v>
      </c>
      <c r="CH23" s="59">
        <f t="shared" si="19"/>
        <v>0.15215927356493336</v>
      </c>
      <c r="CI23" s="59">
        <f t="shared" si="19"/>
        <v>0.15944327243334347</v>
      </c>
      <c r="CJ23" s="59">
        <f t="shared" si="19"/>
        <v>0.17194035269971106</v>
      </c>
      <c r="CK23" s="59">
        <f t="shared" si="19"/>
        <v>0.19231753707539515</v>
      </c>
      <c r="CL23" s="63"/>
      <c r="CM23" s="63"/>
      <c r="CN23" s="63"/>
      <c r="CO23" s="63"/>
      <c r="CP23" s="63"/>
      <c r="CQ23" s="63"/>
      <c r="CR23" s="63"/>
      <c r="CS23" s="63"/>
      <c r="CT23" s="63"/>
      <c r="CU23" s="63"/>
    </row>
    <row r="24" spans="2:151">
      <c r="B24" s="36" t="s">
        <v>962</v>
      </c>
      <c r="AQ24" s="59">
        <f t="shared" ref="AQ24:BK24" si="20">AQ6/AQ11</f>
        <v>0.12004040461703623</v>
      </c>
      <c r="AR24" s="59">
        <f t="shared" si="20"/>
        <v>0.11439782727545281</v>
      </c>
      <c r="AS24" s="59">
        <f t="shared" si="20"/>
        <v>0.12039237345192184</v>
      </c>
      <c r="AT24" s="59">
        <f t="shared" si="20"/>
        <v>4.0798508550516713E-2</v>
      </c>
      <c r="AU24" s="59">
        <f t="shared" si="20"/>
        <v>0.13385349785929054</v>
      </c>
      <c r="AV24" s="59">
        <f t="shared" si="20"/>
        <v>0.13374635568513119</v>
      </c>
      <c r="AW24" s="59">
        <f t="shared" si="20"/>
        <v>0.13862568209633677</v>
      </c>
      <c r="AX24" s="59">
        <f t="shared" si="20"/>
        <v>0.13491114631166309</v>
      </c>
      <c r="AY24" s="59">
        <f t="shared" si="20"/>
        <v>0.13550198850531725</v>
      </c>
      <c r="AZ24" s="59">
        <f t="shared" si="20"/>
        <v>0.14860577844332626</v>
      </c>
      <c r="BA24" s="59">
        <f t="shared" si="20"/>
        <v>0.1583279819552989</v>
      </c>
      <c r="BB24" s="59">
        <f t="shared" si="20"/>
        <v>0.11676177511139954</v>
      </c>
      <c r="BC24" s="59">
        <f t="shared" si="20"/>
        <v>0.13128428752285834</v>
      </c>
      <c r="BD24" s="59">
        <f t="shared" si="20"/>
        <v>0.13567714114647453</v>
      </c>
      <c r="BE24" s="59">
        <f t="shared" si="20"/>
        <v>0.13077911446421561</v>
      </c>
      <c r="BF24" s="59">
        <f t="shared" si="20"/>
        <v>0.12684743861897702</v>
      </c>
      <c r="BG24" s="59">
        <f t="shared" si="20"/>
        <v>0.13058887788058718</v>
      </c>
      <c r="BH24" s="59">
        <f t="shared" si="20"/>
        <v>0.13671531094095987</v>
      </c>
      <c r="BI24" s="59">
        <f t="shared" si="20"/>
        <v>0.13233535597752852</v>
      </c>
      <c r="BJ24" s="59">
        <f t="shared" si="20"/>
        <v>0.11978815066796905</v>
      </c>
      <c r="BK24" s="59">
        <f t="shared" si="20"/>
        <v>0.12357289644936637</v>
      </c>
      <c r="BL24" s="59">
        <f>BL6/BL11</f>
        <v>0.12342959595312801</v>
      </c>
      <c r="BM24" s="59">
        <f>BM6/BM11</f>
        <v>0.11110746010361559</v>
      </c>
      <c r="BN24" s="59"/>
      <c r="BO24" s="59">
        <f t="shared" ref="BO24:BP24" si="21">BO6/BO11</f>
        <v>0</v>
      </c>
      <c r="BP24" s="59">
        <f t="shared" si="21"/>
        <v>0</v>
      </c>
      <c r="CG24" s="59">
        <f t="shared" ref="CG24:CK24" si="22">CG6/CG11</f>
        <v>9.7994668324154585E-2</v>
      </c>
      <c r="CH24" s="59">
        <f t="shared" si="22"/>
        <v>0.13530251755081582</v>
      </c>
      <c r="CI24" s="59">
        <f t="shared" si="22"/>
        <v>0.21094766651952832</v>
      </c>
      <c r="CJ24" s="59">
        <f t="shared" si="22"/>
        <v>0.32903746362815756</v>
      </c>
      <c r="CK24" s="59">
        <f t="shared" si="22"/>
        <v>0.12971465925290027</v>
      </c>
      <c r="CL24" s="63"/>
      <c r="CM24" s="63"/>
      <c r="CN24" s="63"/>
      <c r="CO24" s="63"/>
      <c r="CP24" s="63"/>
      <c r="CQ24" s="63"/>
      <c r="CR24" s="63"/>
      <c r="CS24" s="63"/>
      <c r="CT24" s="63"/>
      <c r="CU24" s="63"/>
    </row>
    <row r="25" spans="2:151">
      <c r="B25" s="36" t="s">
        <v>963</v>
      </c>
      <c r="AQ25" s="59">
        <f t="shared" ref="AQ25:BK25" si="23">AQ7/AQ11</f>
        <v>0.11961542669844487</v>
      </c>
      <c r="AR25" s="59">
        <f t="shared" si="23"/>
        <v>0.11864451616316599</v>
      </c>
      <c r="AS25" s="59">
        <f t="shared" si="23"/>
        <v>0.13086542762053163</v>
      </c>
      <c r="AT25" s="59">
        <f t="shared" si="23"/>
        <v>0.14158489523794909</v>
      </c>
      <c r="AU25" s="59">
        <f t="shared" si="23"/>
        <v>0.12681139986938042</v>
      </c>
      <c r="AV25" s="59">
        <f t="shared" si="23"/>
        <v>0.13761493608432385</v>
      </c>
      <c r="AW25" s="59">
        <f t="shared" si="23"/>
        <v>0.13257053743693153</v>
      </c>
      <c r="AX25" s="59">
        <f t="shared" si="23"/>
        <v>0.13957529236216551</v>
      </c>
      <c r="AY25" s="59">
        <f t="shared" si="23"/>
        <v>0.13978756030968323</v>
      </c>
      <c r="AZ25" s="59">
        <f t="shared" si="23"/>
        <v>0.14143062958205291</v>
      </c>
      <c r="BA25" s="59">
        <f t="shared" si="23"/>
        <v>0.1355973666851599</v>
      </c>
      <c r="BB25" s="59">
        <f t="shared" si="23"/>
        <v>0.1456966396775019</v>
      </c>
      <c r="BC25" s="59">
        <f t="shared" si="23"/>
        <v>0.13928822619215078</v>
      </c>
      <c r="BD25" s="59">
        <f t="shared" si="23"/>
        <v>0.14255249012761778</v>
      </c>
      <c r="BE25" s="59">
        <f t="shared" si="23"/>
        <v>0.15113086888191293</v>
      </c>
      <c r="BF25" s="59">
        <f t="shared" si="23"/>
        <v>0.14159206281323608</v>
      </c>
      <c r="BG25" s="59">
        <f t="shared" si="23"/>
        <v>0.14301455490243647</v>
      </c>
      <c r="BH25" s="59">
        <f t="shared" si="23"/>
        <v>0.1484673051783475</v>
      </c>
      <c r="BI25" s="59">
        <f t="shared" si="23"/>
        <v>0.14619818773173407</v>
      </c>
      <c r="BJ25" s="59">
        <f t="shared" si="23"/>
        <v>0.15326014399016438</v>
      </c>
      <c r="BK25" s="59">
        <f t="shared" si="23"/>
        <v>0.15095901358602579</v>
      </c>
      <c r="BL25" s="59">
        <f>BL7/BL11</f>
        <v>0.14604597553947624</v>
      </c>
      <c r="BM25" s="59">
        <f>BM7/BM11</f>
        <v>0.13457978729230333</v>
      </c>
      <c r="BN25" s="59"/>
      <c r="BO25" s="59">
        <f t="shared" ref="BO25:BP25" si="24">BO7/BO11</f>
        <v>0.19478643422305392</v>
      </c>
      <c r="BP25" s="59">
        <f t="shared" si="24"/>
        <v>0.19658900429925025</v>
      </c>
      <c r="CG25" s="59">
        <f t="shared" ref="CG25:CK25" si="25">CG7/CG11</f>
        <v>0.12802479774140363</v>
      </c>
      <c r="CH25" s="59">
        <f t="shared" si="25"/>
        <v>0.1344518493313534</v>
      </c>
      <c r="CI25" s="59">
        <f t="shared" si="25"/>
        <v>0.14077628855932448</v>
      </c>
      <c r="CJ25" s="59">
        <f t="shared" si="25"/>
        <v>0.14367495549649772</v>
      </c>
      <c r="CK25" s="59">
        <f t="shared" si="25"/>
        <v>0.14782903182616502</v>
      </c>
      <c r="CL25" s="63"/>
      <c r="CM25" s="63"/>
      <c r="CN25" s="63"/>
      <c r="CO25" s="63"/>
      <c r="CP25" s="63"/>
      <c r="CQ25" s="63"/>
      <c r="CR25" s="63"/>
      <c r="CS25" s="63"/>
      <c r="CT25" s="63"/>
      <c r="CU25" s="63"/>
    </row>
    <row r="26" spans="2:151">
      <c r="B26" s="36" t="s">
        <v>964</v>
      </c>
      <c r="AQ26" s="59">
        <f t="shared" ref="AQ26:BK26" si="26">AQ8/AQ11</f>
        <v>0.11764593947870433</v>
      </c>
      <c r="AR26" s="59">
        <f t="shared" si="26"/>
        <v>7.0701726540041976E-2</v>
      </c>
      <c r="AS26" s="59">
        <f t="shared" si="26"/>
        <v>0.13014918531416775</v>
      </c>
      <c r="AT26" s="59">
        <f t="shared" si="26"/>
        <v>0.14418879418150568</v>
      </c>
      <c r="AU26" s="59">
        <f t="shared" si="26"/>
        <v>0.11572766768364826</v>
      </c>
      <c r="AV26" s="59">
        <f t="shared" si="26"/>
        <v>0.12928907826867009</v>
      </c>
      <c r="AW26" s="59">
        <f t="shared" si="26"/>
        <v>0.11868511962480953</v>
      </c>
      <c r="AX26" s="59">
        <f t="shared" si="26"/>
        <v>0.12198828582789906</v>
      </c>
      <c r="AY26" s="59">
        <f t="shared" si="26"/>
        <v>0.11670780815598861</v>
      </c>
      <c r="AZ26" s="59">
        <f t="shared" si="26"/>
        <v>0.11328360645266602</v>
      </c>
      <c r="BA26" s="59">
        <f t="shared" si="26"/>
        <v>0.11499128489862961</v>
      </c>
      <c r="BB26" s="59">
        <f t="shared" si="26"/>
        <v>0.11761392567031008</v>
      </c>
      <c r="BC26" s="59">
        <f t="shared" si="26"/>
        <v>0.10602053734702491</v>
      </c>
      <c r="BD26" s="59">
        <f t="shared" si="26"/>
        <v>0.10469097929995223</v>
      </c>
      <c r="BE26" s="59">
        <f t="shared" si="26"/>
        <v>9.8639688198796052E-2</v>
      </c>
      <c r="BF26" s="59">
        <f t="shared" si="26"/>
        <v>0.12013664488738041</v>
      </c>
      <c r="BG26" s="59">
        <f t="shared" si="26"/>
        <v>0.10807411493480178</v>
      </c>
      <c r="BH26" s="59">
        <f t="shared" si="26"/>
        <v>0.11085025211429179</v>
      </c>
      <c r="BI26" s="59">
        <f t="shared" si="26"/>
        <v>0.1090998055854286</v>
      </c>
      <c r="BJ26" s="59">
        <f t="shared" si="26"/>
        <v>0.10668145036085543</v>
      </c>
      <c r="BK26" s="59">
        <f t="shared" si="26"/>
        <v>0.10126726795296265</v>
      </c>
      <c r="BL26" s="59">
        <f>BL8/BL11</f>
        <v>9.7816482038803873E-2</v>
      </c>
      <c r="BM26" s="59">
        <f>BM8/BM11</f>
        <v>7.8609842386006407E-2</v>
      </c>
      <c r="BN26" s="59"/>
      <c r="BO26" s="59">
        <f t="shared" ref="BO26:BP26" si="27">BO8/BO11</f>
        <v>0</v>
      </c>
      <c r="BP26" s="59">
        <f t="shared" si="27"/>
        <v>0</v>
      </c>
      <c r="CG26" s="59">
        <f t="shared" ref="CG26:CK26" si="28">CG8/CG11</f>
        <v>0.11705470315561753</v>
      </c>
      <c r="CH26" s="59">
        <f t="shared" si="28"/>
        <v>0.12160640328934536</v>
      </c>
      <c r="CI26" s="59">
        <f t="shared" si="28"/>
        <v>0.11566722464586474</v>
      </c>
      <c r="CJ26" s="59">
        <f t="shared" si="28"/>
        <v>0.10750936716776184</v>
      </c>
      <c r="CK26" s="59">
        <f t="shared" si="28"/>
        <v>0.10865079427585826</v>
      </c>
      <c r="CL26" s="63"/>
      <c r="CM26" s="63"/>
      <c r="CN26" s="63"/>
      <c r="CO26" s="63"/>
      <c r="CP26" s="63"/>
      <c r="CQ26" s="63"/>
      <c r="CR26" s="63"/>
      <c r="CS26" s="63"/>
      <c r="CT26" s="63"/>
      <c r="CU26" s="63"/>
    </row>
    <row r="27" spans="2:151">
      <c r="B27" s="36" t="s">
        <v>965</v>
      </c>
      <c r="AQ27" s="59">
        <f t="shared" ref="AQ27:BK27" si="29">AQ9/AQ11</f>
        <v>0.10051837791637133</v>
      </c>
      <c r="AR27" s="59">
        <f t="shared" si="29"/>
        <v>9.846392607093099E-2</v>
      </c>
      <c r="AS27" s="59">
        <f t="shared" si="29"/>
        <v>7.8625897093488717E-2</v>
      </c>
      <c r="AT27" s="59">
        <f t="shared" si="29"/>
        <v>7.9215608049530858E-2</v>
      </c>
      <c r="AU27" s="59">
        <f t="shared" si="29"/>
        <v>8.4366353158690136E-2</v>
      </c>
      <c r="AV27" s="59">
        <f t="shared" si="29"/>
        <v>8.5431150482170884E-2</v>
      </c>
      <c r="AW27" s="59">
        <f t="shared" si="29"/>
        <v>9.1512657965728453E-2</v>
      </c>
      <c r="AX27" s="59">
        <f t="shared" si="29"/>
        <v>8.8152885300590705E-2</v>
      </c>
      <c r="AY27" s="59">
        <f t="shared" si="29"/>
        <v>8.9850519255463723E-2</v>
      </c>
      <c r="AZ27" s="59">
        <f t="shared" si="29"/>
        <v>9.9359133588355117E-2</v>
      </c>
      <c r="BA27" s="59">
        <f t="shared" si="29"/>
        <v>0.10379489150900124</v>
      </c>
      <c r="BB27" s="59">
        <f t="shared" si="29"/>
        <v>9.7203204930337378E-2</v>
      </c>
      <c r="BC27" s="59">
        <f t="shared" si="29"/>
        <v>0.10829933886622591</v>
      </c>
      <c r="BD27" s="59">
        <f t="shared" si="29"/>
        <v>0.11318089164261641</v>
      </c>
      <c r="BE27" s="59">
        <f t="shared" si="29"/>
        <v>0.1102786408404377</v>
      </c>
      <c r="BF27" s="59">
        <f t="shared" si="29"/>
        <v>0.10670730525584092</v>
      </c>
      <c r="BG27" s="59">
        <f t="shared" si="29"/>
        <v>0.11884899847796299</v>
      </c>
      <c r="BH27" s="59">
        <f t="shared" si="29"/>
        <v>0.11848037777125628</v>
      </c>
      <c r="BI27" s="59">
        <f t="shared" si="29"/>
        <v>0.10800082685066711</v>
      </c>
      <c r="BJ27" s="59">
        <f t="shared" si="29"/>
        <v>0.10742063507029168</v>
      </c>
      <c r="BK27" s="59">
        <f t="shared" si="29"/>
        <v>9.1163374814476533E-2</v>
      </c>
      <c r="BL27" s="59">
        <f>BL9/BL11</f>
        <v>0.100749183581994</v>
      </c>
      <c r="BM27" s="59">
        <f>BM9/BM11</f>
        <v>8.8073253814390073E-2</v>
      </c>
      <c r="BN27" s="59"/>
      <c r="BO27" s="59">
        <f t="shared" ref="BO27:BP27" si="30">BO9/BO11</f>
        <v>0</v>
      </c>
      <c r="BP27" s="59">
        <f t="shared" si="30"/>
        <v>0</v>
      </c>
      <c r="CG27" s="59">
        <f t="shared" ref="CG27:CK27" si="31">CG9/CG11</f>
        <v>8.8893283743231979E-2</v>
      </c>
      <c r="CH27" s="59">
        <f t="shared" si="31"/>
        <v>8.7444777751359989E-2</v>
      </c>
      <c r="CI27" s="59">
        <f t="shared" si="31"/>
        <v>9.7678844753753477E-2</v>
      </c>
      <c r="CJ27" s="59">
        <f t="shared" si="31"/>
        <v>0.10960149404014477</v>
      </c>
      <c r="CK27" s="59">
        <f t="shared" si="31"/>
        <v>0.11305403071042468</v>
      </c>
      <c r="CL27" s="63"/>
      <c r="CM27" s="63"/>
      <c r="CN27" s="63"/>
      <c r="CO27" s="63"/>
      <c r="CP27" s="63"/>
      <c r="CQ27" s="63"/>
      <c r="CR27" s="63"/>
      <c r="CS27" s="63"/>
      <c r="CT27" s="63"/>
      <c r="CU27" s="63"/>
    </row>
    <row r="28" spans="2:151">
      <c r="B28" s="36" t="s">
        <v>966</v>
      </c>
      <c r="AQ28" s="59">
        <f t="shared" ref="AQ28:BK28" si="32">AQ10/AQ11</f>
        <v>0.14545979280740731</v>
      </c>
      <c r="AR28" s="59">
        <f t="shared" si="32"/>
        <v>0.16121545597234715</v>
      </c>
      <c r="AS28" s="59">
        <f t="shared" si="32"/>
        <v>0.13691369598538228</v>
      </c>
      <c r="AT28" s="59">
        <f t="shared" si="32"/>
        <v>0.15050443828974322</v>
      </c>
      <c r="AU28" s="59">
        <f t="shared" si="32"/>
        <v>0.12885745746187896</v>
      </c>
      <c r="AV28" s="59">
        <f t="shared" si="32"/>
        <v>0.1217201166180758</v>
      </c>
      <c r="AW28" s="59">
        <f t="shared" si="32"/>
        <v>0.11906070996571132</v>
      </c>
      <c r="AX28" s="59">
        <f t="shared" si="32"/>
        <v>0.11114683660921561</v>
      </c>
      <c r="AY28" s="59">
        <f t="shared" si="32"/>
        <v>0.10832678809639577</v>
      </c>
      <c r="AZ28" s="59">
        <f t="shared" si="32"/>
        <v>0.10238249008182934</v>
      </c>
      <c r="BA28" s="59">
        <f t="shared" si="32"/>
        <v>0.10178539445116706</v>
      </c>
      <c r="BB28" s="59">
        <f t="shared" si="32"/>
        <v>9.7095037212333257E-2</v>
      </c>
      <c r="BC28" s="59">
        <f t="shared" si="32"/>
        <v>0.10078773385848926</v>
      </c>
      <c r="BD28" s="59">
        <f t="shared" si="32"/>
        <v>0.10218840608959481</v>
      </c>
      <c r="BE28" s="59">
        <f t="shared" si="32"/>
        <v>0.10186997653988021</v>
      </c>
      <c r="BF28" s="59">
        <f t="shared" si="32"/>
        <v>8.8205463469844661E-2</v>
      </c>
      <c r="BG28" s="59">
        <f t="shared" si="32"/>
        <v>7.1168444635395553E-2</v>
      </c>
      <c r="BH28" s="59">
        <f t="shared" si="32"/>
        <v>5.5625216764933434E-2</v>
      </c>
      <c r="BI28" s="59">
        <f t="shared" si="32"/>
        <v>7.1642947042308072E-2</v>
      </c>
      <c r="BJ28" s="59">
        <f t="shared" si="32"/>
        <v>7.3229570908304648E-2</v>
      </c>
      <c r="BK28" s="59">
        <f t="shared" si="32"/>
        <v>7.6492750313962785E-2</v>
      </c>
      <c r="BL28" s="59">
        <f>BL10/BL11</f>
        <v>7.6634436831657826E-2</v>
      </c>
      <c r="BM28" s="59">
        <f>BM10/BM11</f>
        <v>8.6605548801191687E-2</v>
      </c>
      <c r="BN28" s="59"/>
      <c r="BO28" s="59">
        <f t="shared" ref="BO28:BP28" si="33">BO10/BO11</f>
        <v>0</v>
      </c>
      <c r="BP28" s="59">
        <f t="shared" si="33"/>
        <v>0</v>
      </c>
      <c r="CG28" s="59">
        <f t="shared" ref="CG28:CK28" si="34">CG10/CG11</f>
        <v>0.14822543181125625</v>
      </c>
      <c r="CH28" s="59">
        <f t="shared" si="34"/>
        <v>0.11980006805345753</v>
      </c>
      <c r="CI28" s="59">
        <f t="shared" si="34"/>
        <v>0.10216608671226046</v>
      </c>
      <c r="CJ28" s="59">
        <f t="shared" si="34"/>
        <v>9.8135307456584928E-2</v>
      </c>
      <c r="CK28" s="59">
        <f t="shared" si="34"/>
        <v>6.8001748430744025E-2</v>
      </c>
      <c r="CL28" s="63"/>
      <c r="CM28" s="63"/>
      <c r="CN28" s="63"/>
      <c r="CO28" s="63"/>
      <c r="CP28" s="63"/>
      <c r="CQ28" s="63"/>
      <c r="CR28" s="63"/>
      <c r="CS28" s="63"/>
      <c r="CT28" s="63"/>
      <c r="CU28" s="63"/>
    </row>
    <row r="30" spans="2:151">
      <c r="B30" s="1" t="s">
        <v>116</v>
      </c>
      <c r="AQ30" s="57"/>
      <c r="AR30" s="57"/>
      <c r="AS30" s="57"/>
      <c r="AT30" s="57"/>
      <c r="AU30" s="57"/>
      <c r="AV30" s="57"/>
      <c r="AW30" s="57"/>
      <c r="AX30" s="57"/>
      <c r="AY30" s="57"/>
      <c r="AZ30" s="57"/>
      <c r="BA30" s="57"/>
      <c r="BB30" s="57"/>
      <c r="BC30" s="57">
        <f>411.86+76.99</f>
        <v>488.85</v>
      </c>
      <c r="BD30" s="57">
        <f>424.64+84.128</f>
        <v>508.76799999999997</v>
      </c>
      <c r="BE30" s="57">
        <f>428.206+82.309</f>
        <v>510.51499999999999</v>
      </c>
      <c r="BF30" s="57">
        <f>2041.4-SUM(BC30:BE30)</f>
        <v>533.26700000000028</v>
      </c>
      <c r="BG30" s="57">
        <v>494</v>
      </c>
      <c r="BH30" s="57">
        <v>515.6</v>
      </c>
      <c r="BI30" s="57">
        <f>433.3+82.6</f>
        <v>515.9</v>
      </c>
      <c r="BJ30" s="57">
        <f>2066.3-SUM(BG30:BI30)</f>
        <v>540.80000000000018</v>
      </c>
      <c r="BK30" s="57">
        <v>475.7</v>
      </c>
      <c r="BL30" s="57">
        <v>525.70000000000005</v>
      </c>
      <c r="BM30" s="57">
        <v>555.9</v>
      </c>
      <c r="BN30" s="57">
        <f>1279.197-SUM(BK30:BM30)</f>
        <v>-278.10300000000029</v>
      </c>
      <c r="BO30" s="57">
        <v>332.65300000000002</v>
      </c>
      <c r="BP30" s="57">
        <v>348.83800000000002</v>
      </c>
      <c r="CJ30" s="1">
        <f>SUM(BC30:BF30)</f>
        <v>2041.4</v>
      </c>
      <c r="CK30" s="1">
        <f>SUM(BG30:BJ30)</f>
        <v>2066.3000000000002</v>
      </c>
    </row>
    <row r="31" spans="2:151">
      <c r="B31" s="1" t="s">
        <v>981</v>
      </c>
      <c r="AQ31" s="57"/>
      <c r="AR31" s="57"/>
      <c r="AS31" s="57"/>
      <c r="AT31" s="57"/>
      <c r="AU31" s="57"/>
      <c r="AV31" s="57"/>
      <c r="AW31" s="57"/>
      <c r="AX31" s="57"/>
      <c r="AY31" s="57"/>
      <c r="AZ31" s="57"/>
      <c r="BA31" s="57"/>
      <c r="BB31" s="57"/>
      <c r="BC31" s="57">
        <v>143.34</v>
      </c>
      <c r="BD31" s="57">
        <v>147.809</v>
      </c>
      <c r="BE31" s="57">
        <v>142.72300000000001</v>
      </c>
      <c r="BF31" s="57">
        <f>586.2-SUM(BC31:BE31)</f>
        <v>152.32800000000003</v>
      </c>
      <c r="BG31" s="57">
        <v>159.6</v>
      </c>
      <c r="BH31" s="57">
        <v>147.1</v>
      </c>
      <c r="BI31" s="57">
        <v>150.22</v>
      </c>
      <c r="BJ31" s="57">
        <f>618-SUM(BG31:BI31)</f>
        <v>161.08000000000004</v>
      </c>
      <c r="BK31" s="57">
        <v>151.19999999999999</v>
      </c>
      <c r="BL31" s="57">
        <v>166.2</v>
      </c>
      <c r="BM31" s="57">
        <v>234.24</v>
      </c>
      <c r="BN31" s="57">
        <f>472.411-SUM(BK31:BM31)</f>
        <v>-79.228999999999985</v>
      </c>
      <c r="BO31" s="57">
        <v>146.678</v>
      </c>
      <c r="BP31" s="57">
        <v>145.53100000000001</v>
      </c>
      <c r="CJ31" s="1">
        <f>SUM(BC31:BF31)</f>
        <v>586.20000000000005</v>
      </c>
      <c r="CK31" s="57">
        <f>SUM(BG31:BJ31)</f>
        <v>618</v>
      </c>
    </row>
    <row r="32" spans="2:151">
      <c r="B32" s="1" t="s">
        <v>982</v>
      </c>
      <c r="AQ32" s="57"/>
      <c r="AR32" s="57"/>
      <c r="AS32" s="57"/>
      <c r="AT32" s="57"/>
      <c r="AU32" s="57"/>
      <c r="AV32" s="57"/>
      <c r="AW32" s="57"/>
      <c r="AX32" s="57"/>
      <c r="AY32" s="57"/>
      <c r="AZ32" s="57"/>
      <c r="BA32" s="57"/>
      <c r="BB32" s="57"/>
      <c r="BC32" s="57">
        <v>78.730999999999995</v>
      </c>
      <c r="BD32" s="57">
        <v>86.677999999999997</v>
      </c>
      <c r="BE32" s="57">
        <v>93.150999999999996</v>
      </c>
      <c r="BF32" s="57">
        <f>346.9-SUM(BC32:BE32)</f>
        <v>88.339999999999975</v>
      </c>
      <c r="BG32" s="57">
        <v>84.2</v>
      </c>
      <c r="BH32" s="57">
        <v>87</v>
      </c>
      <c r="BI32" s="57">
        <v>98.26</v>
      </c>
      <c r="BJ32" s="57">
        <f>363-SUM(BG32:BI32)</f>
        <v>93.54000000000002</v>
      </c>
      <c r="BK32" s="57">
        <v>73.8</v>
      </c>
      <c r="BL32" s="57">
        <v>89</v>
      </c>
      <c r="BM32" s="57">
        <v>122.87</v>
      </c>
      <c r="BN32" s="57">
        <f>241.105-SUM(BK32:BM32)</f>
        <v>-44.565000000000026</v>
      </c>
      <c r="BO32" s="57">
        <v>68.930000000000007</v>
      </c>
      <c r="BP32" s="57">
        <v>75.962999999999994</v>
      </c>
      <c r="CJ32" s="1">
        <f>SUM(BC32:BF32)</f>
        <v>346.9</v>
      </c>
      <c r="CK32" s="57">
        <f>SUM(BG32:BJ32)</f>
        <v>363</v>
      </c>
    </row>
    <row r="33" spans="2:151" s="2" customFormat="1" ht="15">
      <c r="B33" s="2" t="s">
        <v>115</v>
      </c>
      <c r="AQ33" s="58"/>
      <c r="AR33" s="58"/>
      <c r="AS33" s="58"/>
      <c r="AT33" s="58"/>
      <c r="AU33" s="58"/>
      <c r="AV33" s="58"/>
      <c r="AW33" s="58"/>
      <c r="AX33" s="58"/>
      <c r="AY33" s="58"/>
      <c r="AZ33" s="58"/>
      <c r="BA33" s="58"/>
      <c r="BB33" s="58"/>
      <c r="BC33" s="58">
        <f t="shared" ref="BC33:BL33" si="35">SUM(BC30:BC32)</f>
        <v>710.92100000000005</v>
      </c>
      <c r="BD33" s="58">
        <f t="shared" si="35"/>
        <v>743.255</v>
      </c>
      <c r="BE33" s="58">
        <f t="shared" si="35"/>
        <v>746.38900000000001</v>
      </c>
      <c r="BF33" s="58">
        <f t="shared" si="35"/>
        <v>773.93500000000017</v>
      </c>
      <c r="BG33" s="58">
        <f t="shared" si="35"/>
        <v>737.80000000000007</v>
      </c>
      <c r="BH33" s="58">
        <f t="shared" si="35"/>
        <v>749.7</v>
      </c>
      <c r="BI33" s="58">
        <f t="shared" si="35"/>
        <v>764.38</v>
      </c>
      <c r="BJ33" s="58">
        <f t="shared" si="35"/>
        <v>795.4200000000003</v>
      </c>
      <c r="BK33" s="58">
        <f t="shared" si="35"/>
        <v>700.69999999999993</v>
      </c>
      <c r="BL33" s="58">
        <f t="shared" si="35"/>
        <v>780.90000000000009</v>
      </c>
      <c r="BM33" s="58">
        <f t="shared" ref="BM33:BN33" si="36">SUM(BM30:BM32)</f>
        <v>913.01</v>
      </c>
      <c r="BN33" s="58">
        <f t="shared" si="36"/>
        <v>-401.89700000000028</v>
      </c>
      <c r="BO33" s="58">
        <f t="shared" ref="BO33:BP33" si="37">SUM(BO30:BO32)</f>
        <v>548.26099999999997</v>
      </c>
      <c r="BP33" s="58">
        <f t="shared" si="37"/>
        <v>570.33199999999999</v>
      </c>
      <c r="BQ33" s="34"/>
      <c r="BR33" s="34"/>
      <c r="CJ33" s="1">
        <f>SUM(BC33:BF33)</f>
        <v>2974.5</v>
      </c>
      <c r="CK33" s="1">
        <f>SUM(BG33:BJ33)</f>
        <v>3047.3</v>
      </c>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row>
    <row r="34" spans="2:151">
      <c r="CG34" s="59"/>
      <c r="CH34" s="59"/>
      <c r="CI34" s="59"/>
      <c r="CJ34" s="59"/>
      <c r="CK34" s="59"/>
    </row>
    <row r="35" spans="2:151">
      <c r="B35" s="1" t="s">
        <v>983</v>
      </c>
      <c r="AU35" s="59"/>
      <c r="AV35" s="59"/>
      <c r="AW35" s="59"/>
      <c r="AX35" s="59"/>
      <c r="AY35" s="59"/>
      <c r="AZ35" s="59"/>
      <c r="BA35" s="59"/>
      <c r="BB35" s="59"/>
      <c r="BC35" s="59"/>
      <c r="BD35" s="59"/>
      <c r="BE35" s="59"/>
      <c r="BF35" s="59"/>
      <c r="BG35" s="59">
        <f t="shared" ref="BG35:BP38" si="38">BG30/BC30-1</f>
        <v>1.0534928914800012E-2</v>
      </c>
      <c r="BH35" s="59">
        <f t="shared" si="38"/>
        <v>1.3428517516825167E-2</v>
      </c>
      <c r="BI35" s="59">
        <f t="shared" si="38"/>
        <v>1.0548171944017248E-2</v>
      </c>
      <c r="BJ35" s="59">
        <f t="shared" si="38"/>
        <v>1.4126131937659547E-2</v>
      </c>
      <c r="BK35" s="59">
        <f t="shared" si="38"/>
        <v>-3.7044534412955521E-2</v>
      </c>
      <c r="BL35" s="59">
        <f t="shared" si="38"/>
        <v>1.9588828549263138E-2</v>
      </c>
      <c r="BM35" s="59">
        <f t="shared" si="38"/>
        <v>7.7534405892614844E-2</v>
      </c>
      <c r="BN35" s="59">
        <f t="shared" si="38"/>
        <v>-1.514243713017752</v>
      </c>
      <c r="BO35" s="59">
        <f t="shared" si="38"/>
        <v>-0.30070842968257294</v>
      </c>
      <c r="BP35" s="59">
        <f t="shared" si="38"/>
        <v>-0.3364314247669774</v>
      </c>
      <c r="CG35" s="59"/>
      <c r="CH35" s="59"/>
      <c r="CI35" s="59"/>
      <c r="CJ35" s="59"/>
      <c r="CK35" s="59">
        <f>CK30/CJ30-1</f>
        <v>1.219751151170767E-2</v>
      </c>
    </row>
    <row r="36" spans="2:151">
      <c r="B36" s="1" t="s">
        <v>984</v>
      </c>
      <c r="AU36" s="59"/>
      <c r="AV36" s="59"/>
      <c r="AW36" s="59"/>
      <c r="AX36" s="59"/>
      <c r="AY36" s="59"/>
      <c r="AZ36" s="59"/>
      <c r="BA36" s="59"/>
      <c r="BB36" s="59"/>
      <c r="BC36" s="59"/>
      <c r="BD36" s="59"/>
      <c r="BE36" s="59"/>
      <c r="BF36" s="59"/>
      <c r="BG36" s="59">
        <f t="shared" si="38"/>
        <v>0.1134365843449141</v>
      </c>
      <c r="BH36" s="59">
        <f t="shared" si="38"/>
        <v>-4.7967309162499916E-3</v>
      </c>
      <c r="BI36" s="59">
        <f t="shared" si="38"/>
        <v>5.2528324096326351E-2</v>
      </c>
      <c r="BJ36" s="59">
        <f t="shared" si="38"/>
        <v>5.7454965600546304E-2</v>
      </c>
      <c r="BK36" s="59">
        <f t="shared" si="38"/>
        <v>-5.2631578947368474E-2</v>
      </c>
      <c r="BL36" s="59">
        <f t="shared" si="38"/>
        <v>0.12984364377974167</v>
      </c>
      <c r="BM36" s="59">
        <f t="shared" si="38"/>
        <v>0.5593130075888697</v>
      </c>
      <c r="BN36" s="59">
        <f t="shared" si="38"/>
        <v>-1.491861186987832</v>
      </c>
      <c r="BO36" s="59">
        <f t="shared" si="38"/>
        <v>-2.9907407407407383E-2</v>
      </c>
      <c r="BP36" s="59">
        <f t="shared" si="38"/>
        <v>-0.12436221419975924</v>
      </c>
      <c r="CG36" s="59"/>
      <c r="CH36" s="59"/>
      <c r="CI36" s="59"/>
      <c r="CJ36" s="59"/>
      <c r="CK36" s="59">
        <f>CK31/CJ31-1</f>
        <v>5.4247697031729603E-2</v>
      </c>
    </row>
    <row r="37" spans="2:151">
      <c r="B37" s="1" t="s">
        <v>985</v>
      </c>
      <c r="AU37" s="59"/>
      <c r="AV37" s="59"/>
      <c r="AW37" s="59"/>
      <c r="AX37" s="59"/>
      <c r="AY37" s="59"/>
      <c r="AZ37" s="59"/>
      <c r="BA37" s="59"/>
      <c r="BB37" s="59"/>
      <c r="BC37" s="59"/>
      <c r="BD37" s="59"/>
      <c r="BE37" s="59"/>
      <c r="BF37" s="59"/>
      <c r="BG37" s="59">
        <f t="shared" si="38"/>
        <v>6.9464378707243757E-2</v>
      </c>
      <c r="BH37" s="59">
        <f t="shared" si="38"/>
        <v>3.7148988209234624E-3</v>
      </c>
      <c r="BI37" s="59">
        <f t="shared" si="38"/>
        <v>5.4846432137067858E-2</v>
      </c>
      <c r="BJ37" s="59">
        <f t="shared" si="38"/>
        <v>5.8863482001358935E-2</v>
      </c>
      <c r="BK37" s="59">
        <f t="shared" si="38"/>
        <v>-0.12351543942992882</v>
      </c>
      <c r="BL37" s="59">
        <f t="shared" si="38"/>
        <v>2.2988505747126409E-2</v>
      </c>
      <c r="BM37" s="59">
        <f t="shared" si="38"/>
        <v>0.2504579686545898</v>
      </c>
      <c r="BN37" s="59">
        <f t="shared" si="38"/>
        <v>-1.4764271969211036</v>
      </c>
      <c r="BO37" s="59">
        <f t="shared" si="38"/>
        <v>-6.5989159891598814E-2</v>
      </c>
      <c r="BP37" s="59">
        <f t="shared" si="38"/>
        <v>-0.14648314606741575</v>
      </c>
      <c r="CG37" s="59"/>
      <c r="CH37" s="59"/>
      <c r="CI37" s="59"/>
      <c r="CJ37" s="59"/>
      <c r="CK37" s="59">
        <f>CK32/CJ32-1</f>
        <v>4.6411069472470423E-2</v>
      </c>
    </row>
    <row r="38" spans="2:151" ht="15">
      <c r="B38" s="33" t="s">
        <v>959</v>
      </c>
      <c r="AU38" s="59"/>
      <c r="AV38" s="59"/>
      <c r="AW38" s="59"/>
      <c r="AX38" s="59"/>
      <c r="AY38" s="59"/>
      <c r="AZ38" s="59"/>
      <c r="BA38" s="59"/>
      <c r="BB38" s="59"/>
      <c r="BC38" s="59"/>
      <c r="BD38" s="59"/>
      <c r="BE38" s="59"/>
      <c r="BF38" s="59"/>
      <c r="BG38" s="59">
        <f t="shared" si="38"/>
        <v>3.7808701670087208E-2</v>
      </c>
      <c r="BH38" s="59">
        <f t="shared" si="38"/>
        <v>8.6713173809795929E-3</v>
      </c>
      <c r="BI38" s="59">
        <f t="shared" si="38"/>
        <v>2.4104052980416402E-2</v>
      </c>
      <c r="BJ38" s="59">
        <f t="shared" si="38"/>
        <v>2.7760729260209338E-2</v>
      </c>
      <c r="BK38" s="59">
        <f t="shared" si="38"/>
        <v>-5.0284629981024898E-2</v>
      </c>
      <c r="BL38" s="59">
        <f t="shared" si="38"/>
        <v>4.1616646658663603E-2</v>
      </c>
      <c r="BM38" s="59">
        <f t="shared" si="38"/>
        <v>0.19444517124990179</v>
      </c>
      <c r="BN38" s="59">
        <f t="shared" si="38"/>
        <v>-1.5052638857458955</v>
      </c>
      <c r="BO38" s="59">
        <f t="shared" si="38"/>
        <v>-0.21755244755244751</v>
      </c>
      <c r="BP38" s="59">
        <f t="shared" si="38"/>
        <v>-0.26964784223332061</v>
      </c>
      <c r="CJ38" s="59"/>
      <c r="CK38" s="59">
        <f>CK33/CJ33-1</f>
        <v>2.447470163052623E-2</v>
      </c>
    </row>
    <row r="39" spans="2:151">
      <c r="CG39" s="59"/>
      <c r="CH39" s="59"/>
      <c r="CI39" s="59"/>
      <c r="CJ39" s="59"/>
      <c r="CK39" s="59"/>
    </row>
    <row r="40" spans="2:151">
      <c r="B40" s="1" t="s">
        <v>986</v>
      </c>
      <c r="BC40" s="59">
        <f t="shared" ref="BC40:BK40" si="39">BC30/BC33</f>
        <v>0.687629145854462</v>
      </c>
      <c r="BD40" s="59">
        <f t="shared" si="39"/>
        <v>0.68451339042455139</v>
      </c>
      <c r="BE40" s="59">
        <f t="shared" si="39"/>
        <v>0.68397980141722348</v>
      </c>
      <c r="BF40" s="59">
        <f t="shared" si="39"/>
        <v>0.689033316751407</v>
      </c>
      <c r="BG40" s="59">
        <f t="shared" si="39"/>
        <v>0.66955814583898066</v>
      </c>
      <c r="BH40" s="59">
        <f t="shared" si="39"/>
        <v>0.68774176337201542</v>
      </c>
      <c r="BI40" s="59">
        <f t="shared" si="39"/>
        <v>0.67492608388497866</v>
      </c>
      <c r="BJ40" s="59">
        <f t="shared" si="39"/>
        <v>0.67989238389781492</v>
      </c>
      <c r="BK40" s="59">
        <f t="shared" si="39"/>
        <v>0.67889253603539323</v>
      </c>
      <c r="BL40" s="59">
        <f>BL30/BL33</f>
        <v>0.67319759252144962</v>
      </c>
      <c r="BM40" s="59">
        <f>BM30/BM33</f>
        <v>0.60886518219953778</v>
      </c>
      <c r="BN40" s="59">
        <f t="shared" ref="BN40" si="40">BN30/BN33</f>
        <v>0.69197580474599241</v>
      </c>
      <c r="BO40" s="59">
        <f>BO30/BO33</f>
        <v>0.60674204439126622</v>
      </c>
      <c r="BP40" s="59">
        <f>BP30/BP33</f>
        <v>0.61164023761598507</v>
      </c>
      <c r="CG40" s="59"/>
      <c r="CH40" s="59"/>
      <c r="CI40" s="59"/>
      <c r="CJ40" s="59">
        <f>CJ30/CJ33</f>
        <v>0.68630021852412171</v>
      </c>
      <c r="CK40" s="59">
        <f>CK30/CK33</f>
        <v>0.67807567354707443</v>
      </c>
    </row>
    <row r="41" spans="2:151">
      <c r="B41" s="1" t="s">
        <v>987</v>
      </c>
      <c r="BC41" s="59">
        <f t="shared" ref="BC41:BK41" si="41">BC31/BC33</f>
        <v>0.20162577839169191</v>
      </c>
      <c r="BD41" s="59">
        <f t="shared" si="41"/>
        <v>0.19886714519243059</v>
      </c>
      <c r="BE41" s="59">
        <f t="shared" si="41"/>
        <v>0.19121798418786987</v>
      </c>
      <c r="BF41" s="59">
        <f t="shared" si="41"/>
        <v>0.19682273059107031</v>
      </c>
      <c r="BG41" s="59">
        <f t="shared" si="41"/>
        <v>0.21631878557874759</v>
      </c>
      <c r="BH41" s="59">
        <f t="shared" si="41"/>
        <v>0.19621181806055754</v>
      </c>
      <c r="BI41" s="59">
        <f t="shared" si="41"/>
        <v>0.19652528846908607</v>
      </c>
      <c r="BJ41" s="59">
        <f t="shared" si="41"/>
        <v>0.20250936612104295</v>
      </c>
      <c r="BK41" s="59">
        <f t="shared" si="41"/>
        <v>0.21578421578421578</v>
      </c>
      <c r="BL41" s="59">
        <f>BL31/BL33</f>
        <v>0.21283134844410292</v>
      </c>
      <c r="BM41" s="59">
        <f>BM31/BM33</f>
        <v>0.25655797855445178</v>
      </c>
      <c r="BN41" s="59">
        <f t="shared" ref="BN41" si="42">BN31/BN33</f>
        <v>0.19713757505032367</v>
      </c>
      <c r="BO41" s="59">
        <f>BO31/BO33</f>
        <v>0.26753316394928695</v>
      </c>
      <c r="BP41" s="59">
        <f>BP31/BP33</f>
        <v>0.2551689191558601</v>
      </c>
      <c r="CG41" s="59"/>
      <c r="CH41" s="59"/>
      <c r="CI41" s="59"/>
      <c r="CJ41" s="59">
        <f>CJ31/CJ33</f>
        <v>0.19707513867876955</v>
      </c>
      <c r="CK41" s="59">
        <f>CK31/CK33</f>
        <v>0.20280248088471761</v>
      </c>
    </row>
    <row r="42" spans="2:151">
      <c r="B42" s="1" t="s">
        <v>988</v>
      </c>
      <c r="BC42" s="59">
        <f t="shared" ref="BC42:BK42" si="43">BC32/BC33</f>
        <v>0.11074507575384605</v>
      </c>
      <c r="BD42" s="59">
        <f t="shared" si="43"/>
        <v>0.11661946438301794</v>
      </c>
      <c r="BE42" s="59">
        <f t="shared" si="43"/>
        <v>0.12480221439490667</v>
      </c>
      <c r="BF42" s="59">
        <f t="shared" si="43"/>
        <v>0.11414395265752286</v>
      </c>
      <c r="BG42" s="59">
        <f t="shared" si="43"/>
        <v>0.11412306858227161</v>
      </c>
      <c r="BH42" s="59">
        <f t="shared" si="43"/>
        <v>0.11604641856742696</v>
      </c>
      <c r="BI42" s="59">
        <f t="shared" si="43"/>
        <v>0.12854862764593528</v>
      </c>
      <c r="BJ42" s="59">
        <f t="shared" si="43"/>
        <v>0.11759824998114202</v>
      </c>
      <c r="BK42" s="59">
        <f t="shared" si="43"/>
        <v>0.10532324818039104</v>
      </c>
      <c r="BL42" s="59">
        <f>BL32/BL33</f>
        <v>0.11397105903444742</v>
      </c>
      <c r="BM42" s="59">
        <f>BM32/BM33</f>
        <v>0.13457683924601047</v>
      </c>
      <c r="BN42" s="59">
        <f t="shared" ref="BN42" si="44">BN32/BN33</f>
        <v>0.11088662020368402</v>
      </c>
      <c r="BO42" s="59">
        <f>BO32/BO33</f>
        <v>0.12572479165944689</v>
      </c>
      <c r="BP42" s="59">
        <f>BP32/BP33</f>
        <v>0.13319084322815483</v>
      </c>
      <c r="CJ42" s="59">
        <f>CJ32/CJ33</f>
        <v>0.11662464279710875</v>
      </c>
      <c r="CK42" s="59">
        <f>CK32/CK33</f>
        <v>0.11912184556820792</v>
      </c>
    </row>
    <row r="43" spans="2:151">
      <c r="CJ43" s="59"/>
      <c r="CK43" s="59"/>
    </row>
    <row r="44" spans="2:151" s="2" customFormat="1" ht="15">
      <c r="B44" s="2" t="s">
        <v>114</v>
      </c>
      <c r="C44" s="58">
        <v>367.3</v>
      </c>
      <c r="D44" s="58">
        <v>358.4</v>
      </c>
      <c r="E44" s="58">
        <v>345</v>
      </c>
      <c r="F44" s="58">
        <v>326.89999999999998</v>
      </c>
      <c r="G44" s="58">
        <v>354</v>
      </c>
      <c r="H44" s="58">
        <v>381.2</v>
      </c>
      <c r="I44" s="58">
        <v>362.7</v>
      </c>
      <c r="J44" s="58">
        <v>394.6</v>
      </c>
      <c r="K44" s="58">
        <v>380.6</v>
      </c>
      <c r="L44" s="58">
        <v>383.3</v>
      </c>
      <c r="M44" s="58">
        <v>368.1</v>
      </c>
      <c r="N44" s="58">
        <v>419.1</v>
      </c>
      <c r="O44" s="58">
        <v>411.9</v>
      </c>
      <c r="P44" s="58">
        <v>420.1</v>
      </c>
      <c r="Q44" s="58">
        <v>413.8</v>
      </c>
      <c r="R44" s="58">
        <v>450.5</v>
      </c>
      <c r="S44" s="58">
        <v>438.5</v>
      </c>
      <c r="T44" s="58">
        <v>468.1</v>
      </c>
      <c r="U44" s="58">
        <v>457.2</v>
      </c>
      <c r="V44" s="58">
        <v>476</v>
      </c>
      <c r="W44" s="58">
        <v>429.4</v>
      </c>
      <c r="X44" s="58">
        <v>452</v>
      </c>
      <c r="Y44" s="58">
        <v>443.7</v>
      </c>
      <c r="Z44" s="58">
        <v>484.5</v>
      </c>
      <c r="AA44" s="58">
        <v>424.9</v>
      </c>
      <c r="AB44" s="58">
        <v>473.6</v>
      </c>
      <c r="AC44" s="58">
        <v>455.6</v>
      </c>
      <c r="AD44" s="58">
        <v>513.9</v>
      </c>
      <c r="AE44" s="58">
        <v>487.9</v>
      </c>
      <c r="AF44" s="58">
        <v>528.6</v>
      </c>
      <c r="AG44" s="58">
        <v>534.70000000000005</v>
      </c>
      <c r="AH44" s="58">
        <v>595.1</v>
      </c>
      <c r="AI44" s="58">
        <v>587.20000000000005</v>
      </c>
      <c r="AJ44" s="58">
        <v>609.9</v>
      </c>
      <c r="AK44" s="58">
        <v>609.70000000000005</v>
      </c>
      <c r="AL44" s="58">
        <v>641.6</v>
      </c>
      <c r="AM44" s="58">
        <v>613.6</v>
      </c>
      <c r="AN44" s="58">
        <v>652.5</v>
      </c>
      <c r="AO44" s="58">
        <v>648.29999999999995</v>
      </c>
      <c r="AP44" s="58">
        <v>681</v>
      </c>
      <c r="AQ44" s="58">
        <f t="shared" ref="AQ44:BL44" si="45">AQ11</f>
        <v>630.62099999999998</v>
      </c>
      <c r="AR44" s="58">
        <f t="shared" si="45"/>
        <v>567.03</v>
      </c>
      <c r="AS44" s="58">
        <f t="shared" si="45"/>
        <v>628.279</v>
      </c>
      <c r="AT44" s="58">
        <f t="shared" si="45"/>
        <v>651.71500000000003</v>
      </c>
      <c r="AU44" s="58">
        <f t="shared" si="45"/>
        <v>633.90200000000004</v>
      </c>
      <c r="AV44" s="58">
        <f t="shared" si="45"/>
        <v>713.44</v>
      </c>
      <c r="AW44" s="58">
        <f t="shared" si="45"/>
        <v>700.23099999999999</v>
      </c>
      <c r="AX44" s="58">
        <f t="shared" si="45"/>
        <v>761.98300000000017</v>
      </c>
      <c r="AY44" s="58">
        <f t="shared" si="45"/>
        <v>641.68799999999987</v>
      </c>
      <c r="AZ44" s="58">
        <f t="shared" si="45"/>
        <v>704.51499999999999</v>
      </c>
      <c r="BA44" s="58">
        <f t="shared" si="45"/>
        <v>686.73899999999992</v>
      </c>
      <c r="BB44" s="58">
        <f t="shared" si="45"/>
        <v>758.08199999999999</v>
      </c>
      <c r="BC44" s="58">
        <f t="shared" si="45"/>
        <v>710.9</v>
      </c>
      <c r="BD44" s="58">
        <f t="shared" si="45"/>
        <v>743.23500000000001</v>
      </c>
      <c r="BE44" s="58">
        <f t="shared" si="45"/>
        <v>746.37299999999993</v>
      </c>
      <c r="BF44" s="58">
        <f t="shared" si="45"/>
        <v>773.97699999999986</v>
      </c>
      <c r="BG44" s="58">
        <f t="shared" si="45"/>
        <v>737.827</v>
      </c>
      <c r="BH44" s="58">
        <f t="shared" si="45"/>
        <v>749.66000000000008</v>
      </c>
      <c r="BI44" s="58">
        <f t="shared" si="45"/>
        <v>764.34599999999989</v>
      </c>
      <c r="BJ44" s="58">
        <f t="shared" si="45"/>
        <v>795.471</v>
      </c>
      <c r="BK44" s="58">
        <f t="shared" si="45"/>
        <v>700.72</v>
      </c>
      <c r="BL44" s="58">
        <f t="shared" si="45"/>
        <v>780.84999999999991</v>
      </c>
      <c r="BM44" s="58">
        <f t="shared" ref="BM44" si="46">BM11</f>
        <v>912.99</v>
      </c>
      <c r="BN44" s="58">
        <v>530</v>
      </c>
      <c r="BO44" s="58">
        <f t="shared" ref="BO44:BP44" si="47">BO33</f>
        <v>548.26099999999997</v>
      </c>
      <c r="BP44" s="58">
        <f t="shared" si="47"/>
        <v>570.33199999999999</v>
      </c>
      <c r="BQ44" s="34"/>
      <c r="BR44" s="34"/>
      <c r="BW44" s="58">
        <f t="shared" ref="BW44:BW59" si="48">SUM(C44:F44)</f>
        <v>1397.6</v>
      </c>
      <c r="BX44" s="58">
        <f t="shared" ref="BX44:BX59" si="49">SUM(G44:J44)</f>
        <v>1492.5</v>
      </c>
      <c r="BY44" s="58">
        <f t="shared" ref="BY44:BY59" si="50">SUM(K44:N44)</f>
        <v>1551.1</v>
      </c>
      <c r="BZ44" s="58">
        <f t="shared" ref="BZ44:BZ59" si="51">SUM(O44:R44)</f>
        <v>1696.3</v>
      </c>
      <c r="CA44" s="58">
        <f t="shared" ref="CA44:CA59" si="52">SUM(S44:V44)</f>
        <v>1839.8</v>
      </c>
      <c r="CB44" s="58">
        <f t="shared" ref="CB44:CB59" si="53">SUM(W44:Z44)</f>
        <v>1809.6</v>
      </c>
      <c r="CC44" s="58">
        <f t="shared" ref="CC44:CC59" si="54">SUM(AA44:AD44)</f>
        <v>1868</v>
      </c>
      <c r="CD44" s="58">
        <f t="shared" ref="CD44:CD59" si="55">SUM(AE44:AH44)</f>
        <v>2146.3000000000002</v>
      </c>
      <c r="CE44" s="58">
        <f t="shared" ref="CE44:CE59" si="56">SUM(AI44:AL44)</f>
        <v>2448.4</v>
      </c>
      <c r="CF44" s="58">
        <f t="shared" ref="CF44:CF59" si="57">SUM(AM44:AP44)</f>
        <v>2595.3999999999996</v>
      </c>
      <c r="CG44" s="58">
        <f t="shared" ref="CG44:CG59" si="58">SUM(AQ44:AT44)</f>
        <v>2477.645</v>
      </c>
      <c r="CH44" s="58">
        <f t="shared" ref="CH44:CH59" si="59">SUM(AU44:AX44)</f>
        <v>2809.5560000000005</v>
      </c>
      <c r="CI44" s="58">
        <f t="shared" ref="CI44:CI59" si="60">SUM(AY44:BB44)</f>
        <v>2791.0239999999999</v>
      </c>
      <c r="CJ44" s="58">
        <f t="shared" ref="CJ44:CJ59" si="61">SUM(BC44:BF44)</f>
        <v>2974.4849999999997</v>
      </c>
      <c r="CK44" s="58">
        <f t="shared" ref="CK44:CK59" si="62">SUM(BG44:BJ44)</f>
        <v>3047.3040000000001</v>
      </c>
      <c r="CL44" s="68">
        <f>CL11</f>
        <v>3232.1869950000005</v>
      </c>
      <c r="CM44" s="68">
        <f t="shared" ref="CM44:CU44" si="63">CM11</f>
        <v>3187.4482332750003</v>
      </c>
      <c r="CN44" s="68">
        <f t="shared" si="63"/>
        <v>2763.3766594380004</v>
      </c>
      <c r="CO44" s="68">
        <f t="shared" si="63"/>
        <v>2994.0941726127007</v>
      </c>
      <c r="CP44" s="68">
        <f t="shared" si="63"/>
        <v>3220.1082887740854</v>
      </c>
      <c r="CQ44" s="68">
        <f t="shared" si="63"/>
        <v>3434.210055411811</v>
      </c>
      <c r="CR44" s="68">
        <f t="shared" si="63"/>
        <v>3644.7306376817478</v>
      </c>
      <c r="CS44" s="68">
        <f t="shared" si="63"/>
        <v>3848.1436354347206</v>
      </c>
      <c r="CT44" s="68">
        <f t="shared" si="63"/>
        <v>4044.287624047131</v>
      </c>
      <c r="CU44" s="68">
        <f t="shared" si="63"/>
        <v>4229.8306777456328</v>
      </c>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row>
    <row r="45" spans="2:151">
      <c r="B45" s="1" t="s">
        <v>117</v>
      </c>
      <c r="C45" s="57">
        <v>190.4</v>
      </c>
      <c r="D45" s="57">
        <v>184.1</v>
      </c>
      <c r="E45" s="57">
        <v>178.5</v>
      </c>
      <c r="F45" s="57">
        <v>165.8</v>
      </c>
      <c r="G45" s="57">
        <v>189.5</v>
      </c>
      <c r="H45" s="57">
        <v>199.8</v>
      </c>
      <c r="I45" s="57">
        <v>187.1</v>
      </c>
      <c r="J45" s="57">
        <v>207.3</v>
      </c>
      <c r="K45" s="57">
        <v>196.5</v>
      </c>
      <c r="L45" s="57">
        <v>199</v>
      </c>
      <c r="M45" s="57">
        <v>187.5</v>
      </c>
      <c r="N45" s="57">
        <v>219.9</v>
      </c>
      <c r="O45" s="57">
        <v>211.4</v>
      </c>
      <c r="P45" s="57">
        <v>210.6</v>
      </c>
      <c r="Q45" s="57">
        <v>209.8</v>
      </c>
      <c r="R45" s="57">
        <v>225.6</v>
      </c>
      <c r="S45" s="57">
        <v>217.4</v>
      </c>
      <c r="T45" s="57">
        <v>224</v>
      </c>
      <c r="U45" s="57">
        <v>221</v>
      </c>
      <c r="V45" s="57">
        <v>235</v>
      </c>
      <c r="W45" s="57">
        <v>206.8</v>
      </c>
      <c r="X45" s="57">
        <v>218.8</v>
      </c>
      <c r="Y45" s="57">
        <v>215.5</v>
      </c>
      <c r="Z45" s="57">
        <v>224.2</v>
      </c>
      <c r="AA45" s="57">
        <v>199.7</v>
      </c>
      <c r="AB45" s="57">
        <v>217.2</v>
      </c>
      <c r="AC45" s="57">
        <v>214</v>
      </c>
      <c r="AD45" s="57">
        <v>240.9</v>
      </c>
      <c r="AE45" s="57">
        <v>232.3</v>
      </c>
      <c r="AF45" s="57">
        <v>238.3</v>
      </c>
      <c r="AG45" s="57">
        <v>239.5</v>
      </c>
      <c r="AH45" s="57">
        <v>264.39999999999998</v>
      </c>
      <c r="AI45" s="57">
        <v>256</v>
      </c>
      <c r="AJ45" s="57">
        <v>265.10000000000002</v>
      </c>
      <c r="AK45" s="57">
        <v>267.10000000000002</v>
      </c>
      <c r="AL45" s="57">
        <v>357.4</v>
      </c>
      <c r="AM45" s="57">
        <v>289.60000000000002</v>
      </c>
      <c r="AN45" s="57">
        <v>300.3</v>
      </c>
      <c r="AO45" s="57">
        <v>293.2</v>
      </c>
      <c r="AP45" s="57">
        <v>303.2</v>
      </c>
      <c r="AQ45" s="57">
        <v>297.01799999999997</v>
      </c>
      <c r="AR45" s="57">
        <v>288.66000000000003</v>
      </c>
      <c r="AS45" s="57">
        <v>298.97699999999998</v>
      </c>
      <c r="AT45" s="57">
        <f>1212.28-SUM(AQ45:AS45)</f>
        <v>327.625</v>
      </c>
      <c r="AU45" s="57">
        <v>289.39800000000002</v>
      </c>
      <c r="AV45" s="57">
        <v>315.91699999999997</v>
      </c>
      <c r="AW45" s="57">
        <v>312.464</v>
      </c>
      <c r="AX45" s="57">
        <f>1259.961-SUM(AU45:AW45)</f>
        <v>342.18200000000002</v>
      </c>
      <c r="AY45" s="57">
        <v>295.48</v>
      </c>
      <c r="AZ45" s="57">
        <v>315.709</v>
      </c>
      <c r="BA45" s="57">
        <v>312.83300000000003</v>
      </c>
      <c r="BB45" s="57">
        <f>1259.95-SUM(AY45:BA45)</f>
        <v>335.92799999999988</v>
      </c>
      <c r="BC45" s="57">
        <v>319.55</v>
      </c>
      <c r="BD45" s="57">
        <v>335.43599999999998</v>
      </c>
      <c r="BE45" s="57">
        <v>330.07</v>
      </c>
      <c r="BF45" s="57">
        <f>1327.55-SUM(BC45:BE45)</f>
        <v>342.49399999999991</v>
      </c>
      <c r="BG45" s="57">
        <v>321.71499999999997</v>
      </c>
      <c r="BH45" s="57">
        <v>333.23</v>
      </c>
      <c r="BI45" s="57">
        <v>334.20299999999997</v>
      </c>
      <c r="BJ45" s="57">
        <f>1344.64-SUM(BG45:BI45)</f>
        <v>355.49200000000019</v>
      </c>
      <c r="BK45" s="57">
        <v>311.23</v>
      </c>
      <c r="BL45" s="57">
        <v>349.80399999999997</v>
      </c>
      <c r="BM45" s="57">
        <v>461.37</v>
      </c>
      <c r="BN45" s="57">
        <f>871.959-SUM(BK45:BM45)</f>
        <v>-250.44500000000005</v>
      </c>
      <c r="BO45" s="57">
        <v>240.83600000000001</v>
      </c>
      <c r="BP45" s="57">
        <v>238.625</v>
      </c>
      <c r="BW45" s="57">
        <f t="shared" si="48"/>
        <v>718.8</v>
      </c>
      <c r="BX45" s="57">
        <f t="shared" si="49"/>
        <v>783.7</v>
      </c>
      <c r="BY45" s="57">
        <f t="shared" si="50"/>
        <v>802.9</v>
      </c>
      <c r="BZ45" s="57">
        <f t="shared" si="51"/>
        <v>857.4</v>
      </c>
      <c r="CA45" s="57">
        <f t="shared" si="52"/>
        <v>897.4</v>
      </c>
      <c r="CB45" s="57">
        <f t="shared" si="53"/>
        <v>865.3</v>
      </c>
      <c r="CC45" s="57">
        <f t="shared" si="54"/>
        <v>871.8</v>
      </c>
      <c r="CD45" s="57">
        <f t="shared" si="55"/>
        <v>974.5</v>
      </c>
      <c r="CE45" s="57">
        <f t="shared" si="56"/>
        <v>1145.5999999999999</v>
      </c>
      <c r="CF45" s="57">
        <f t="shared" si="57"/>
        <v>1186.3000000000002</v>
      </c>
      <c r="CG45" s="57">
        <f t="shared" si="58"/>
        <v>1212.28</v>
      </c>
      <c r="CH45" s="57">
        <f t="shared" si="59"/>
        <v>1259.961</v>
      </c>
      <c r="CI45" s="57">
        <f t="shared" si="60"/>
        <v>1259.95</v>
      </c>
      <c r="CJ45" s="57">
        <f t="shared" si="61"/>
        <v>1327.55</v>
      </c>
      <c r="CK45" s="57">
        <f t="shared" si="62"/>
        <v>1344.64</v>
      </c>
      <c r="CL45" s="67">
        <f>CL44*(1-CL63)</f>
        <v>1422.1622778000001</v>
      </c>
      <c r="CM45" s="67">
        <f t="shared" ref="CM45:CU45" si="64">CM44*(1-CM63)</f>
        <v>1386.5399814746254</v>
      </c>
      <c r="CN45" s="67">
        <f t="shared" si="64"/>
        <v>1188.2519635583403</v>
      </c>
      <c r="CO45" s="67">
        <f t="shared" si="64"/>
        <v>1287.4604942234614</v>
      </c>
      <c r="CP45" s="67">
        <f t="shared" si="64"/>
        <v>1384.6465641728569</v>
      </c>
      <c r="CQ45" s="67">
        <f t="shared" si="64"/>
        <v>1476.7103238270788</v>
      </c>
      <c r="CR45" s="67">
        <f t="shared" si="64"/>
        <v>1567.2341742031517</v>
      </c>
      <c r="CS45" s="67">
        <f t="shared" si="64"/>
        <v>1654.70176323693</v>
      </c>
      <c r="CT45" s="67">
        <f t="shared" si="64"/>
        <v>1739.0436783402665</v>
      </c>
      <c r="CU45" s="67">
        <f t="shared" si="64"/>
        <v>1818.8271914306224</v>
      </c>
    </row>
    <row r="46" spans="2:151">
      <c r="B46" s="1" t="s">
        <v>118</v>
      </c>
      <c r="C46" s="57">
        <f>C44-C45</f>
        <v>176.9</v>
      </c>
      <c r="D46" s="57">
        <f t="shared" ref="D46:BK46" si="65">D44-D45</f>
        <v>174.29999999999998</v>
      </c>
      <c r="E46" s="57">
        <f t="shared" si="65"/>
        <v>166.5</v>
      </c>
      <c r="F46" s="57">
        <f t="shared" si="65"/>
        <v>161.09999999999997</v>
      </c>
      <c r="G46" s="57">
        <f t="shared" si="65"/>
        <v>164.5</v>
      </c>
      <c r="H46" s="57">
        <f t="shared" si="65"/>
        <v>181.39999999999998</v>
      </c>
      <c r="I46" s="57">
        <f t="shared" si="65"/>
        <v>175.6</v>
      </c>
      <c r="J46" s="57">
        <f t="shared" si="65"/>
        <v>187.3</v>
      </c>
      <c r="K46" s="57">
        <f t="shared" si="65"/>
        <v>184.10000000000002</v>
      </c>
      <c r="L46" s="57">
        <f t="shared" si="65"/>
        <v>184.3</v>
      </c>
      <c r="M46" s="57">
        <f t="shared" si="65"/>
        <v>180.60000000000002</v>
      </c>
      <c r="N46" s="57">
        <f t="shared" si="65"/>
        <v>199.20000000000002</v>
      </c>
      <c r="O46" s="57">
        <f t="shared" si="65"/>
        <v>200.49999999999997</v>
      </c>
      <c r="P46" s="57">
        <f t="shared" si="65"/>
        <v>209.50000000000003</v>
      </c>
      <c r="Q46" s="57">
        <f t="shared" si="65"/>
        <v>204</v>
      </c>
      <c r="R46" s="57">
        <f t="shared" si="65"/>
        <v>224.9</v>
      </c>
      <c r="S46" s="57">
        <f t="shared" si="65"/>
        <v>221.1</v>
      </c>
      <c r="T46" s="57">
        <f t="shared" si="65"/>
        <v>244.10000000000002</v>
      </c>
      <c r="U46" s="57">
        <f t="shared" si="65"/>
        <v>236.2</v>
      </c>
      <c r="V46" s="57">
        <f t="shared" si="65"/>
        <v>241</v>
      </c>
      <c r="W46" s="57">
        <f t="shared" si="65"/>
        <v>222.59999999999997</v>
      </c>
      <c r="X46" s="57">
        <f t="shared" si="65"/>
        <v>233.2</v>
      </c>
      <c r="Y46" s="57">
        <f t="shared" si="65"/>
        <v>228.2</v>
      </c>
      <c r="Z46" s="57">
        <f t="shared" si="65"/>
        <v>260.3</v>
      </c>
      <c r="AA46" s="57">
        <f t="shared" si="65"/>
        <v>225.2</v>
      </c>
      <c r="AB46" s="57">
        <f t="shared" si="65"/>
        <v>256.40000000000003</v>
      </c>
      <c r="AC46" s="57">
        <f t="shared" si="65"/>
        <v>241.60000000000002</v>
      </c>
      <c r="AD46" s="57">
        <f t="shared" si="65"/>
        <v>273</v>
      </c>
      <c r="AE46" s="57">
        <f t="shared" si="65"/>
        <v>255.59999999999997</v>
      </c>
      <c r="AF46" s="57">
        <f t="shared" si="65"/>
        <v>290.3</v>
      </c>
      <c r="AG46" s="57">
        <f t="shared" si="65"/>
        <v>295.20000000000005</v>
      </c>
      <c r="AH46" s="57">
        <f t="shared" si="65"/>
        <v>330.70000000000005</v>
      </c>
      <c r="AI46" s="57">
        <f t="shared" si="65"/>
        <v>331.20000000000005</v>
      </c>
      <c r="AJ46" s="57">
        <f t="shared" si="65"/>
        <v>344.79999999999995</v>
      </c>
      <c r="AK46" s="57">
        <f t="shared" si="65"/>
        <v>342.6</v>
      </c>
      <c r="AL46" s="57">
        <f t="shared" si="65"/>
        <v>284.20000000000005</v>
      </c>
      <c r="AM46" s="57">
        <f t="shared" si="65"/>
        <v>324</v>
      </c>
      <c r="AN46" s="57">
        <f t="shared" si="65"/>
        <v>352.2</v>
      </c>
      <c r="AO46" s="57">
        <f t="shared" si="65"/>
        <v>355.09999999999997</v>
      </c>
      <c r="AP46" s="57">
        <f t="shared" si="65"/>
        <v>377.8</v>
      </c>
      <c r="AQ46" s="57">
        <f t="shared" si="65"/>
        <v>333.60300000000001</v>
      </c>
      <c r="AR46" s="57">
        <f t="shared" si="65"/>
        <v>278.36999999999995</v>
      </c>
      <c r="AS46" s="57">
        <f t="shared" si="65"/>
        <v>329.30200000000002</v>
      </c>
      <c r="AT46" s="57">
        <f t="shared" si="65"/>
        <v>324.09000000000003</v>
      </c>
      <c r="AU46" s="57">
        <f t="shared" si="65"/>
        <v>344.50400000000002</v>
      </c>
      <c r="AV46" s="57">
        <f t="shared" si="65"/>
        <v>397.52300000000008</v>
      </c>
      <c r="AW46" s="57">
        <f t="shared" si="65"/>
        <v>387.767</v>
      </c>
      <c r="AX46" s="57">
        <f t="shared" si="65"/>
        <v>419.80100000000016</v>
      </c>
      <c r="AY46" s="57">
        <f t="shared" si="65"/>
        <v>346.20799999999986</v>
      </c>
      <c r="AZ46" s="57">
        <f t="shared" si="65"/>
        <v>388.80599999999998</v>
      </c>
      <c r="BA46" s="57">
        <f t="shared" si="65"/>
        <v>373.90599999999989</v>
      </c>
      <c r="BB46" s="57">
        <f t="shared" si="65"/>
        <v>422.15400000000011</v>
      </c>
      <c r="BC46" s="57">
        <f t="shared" si="65"/>
        <v>391.34999999999997</v>
      </c>
      <c r="BD46" s="57">
        <f t="shared" si="65"/>
        <v>407.79900000000004</v>
      </c>
      <c r="BE46" s="57">
        <f t="shared" si="65"/>
        <v>416.30299999999994</v>
      </c>
      <c r="BF46" s="57">
        <f t="shared" si="65"/>
        <v>431.48299999999995</v>
      </c>
      <c r="BG46" s="57">
        <f t="shared" si="65"/>
        <v>416.11200000000002</v>
      </c>
      <c r="BH46" s="57">
        <f t="shared" si="65"/>
        <v>416.43000000000006</v>
      </c>
      <c r="BI46" s="57">
        <f t="shared" si="65"/>
        <v>430.14299999999992</v>
      </c>
      <c r="BJ46" s="57">
        <f t="shared" si="65"/>
        <v>439.97899999999981</v>
      </c>
      <c r="BK46" s="57">
        <f t="shared" si="65"/>
        <v>389.49</v>
      </c>
      <c r="BL46" s="57">
        <f>BL44-BL45</f>
        <v>431.04599999999994</v>
      </c>
      <c r="BM46" s="57">
        <f>BM44-BM45</f>
        <v>451.62</v>
      </c>
      <c r="BN46" s="57">
        <f t="shared" ref="BN46" si="66">BN44-BN45</f>
        <v>780.44500000000005</v>
      </c>
      <c r="BO46" s="57">
        <f>BO44-BO45</f>
        <v>307.42499999999995</v>
      </c>
      <c r="BP46" s="57">
        <f>BP44-BP45</f>
        <v>331.70699999999999</v>
      </c>
      <c r="BW46" s="57">
        <f t="shared" si="48"/>
        <v>678.8</v>
      </c>
      <c r="BX46" s="57">
        <f t="shared" si="49"/>
        <v>708.8</v>
      </c>
      <c r="BY46" s="57">
        <f t="shared" si="50"/>
        <v>748.2</v>
      </c>
      <c r="BZ46" s="57">
        <f t="shared" si="51"/>
        <v>838.9</v>
      </c>
      <c r="CA46" s="57">
        <f t="shared" si="52"/>
        <v>942.40000000000009</v>
      </c>
      <c r="CB46" s="57">
        <f t="shared" si="53"/>
        <v>944.3</v>
      </c>
      <c r="CC46" s="57">
        <f t="shared" si="54"/>
        <v>996.2</v>
      </c>
      <c r="CD46" s="57">
        <f t="shared" si="55"/>
        <v>1171.8000000000002</v>
      </c>
      <c r="CE46" s="57">
        <f t="shared" si="56"/>
        <v>1302.8000000000002</v>
      </c>
      <c r="CF46" s="57">
        <f t="shared" si="57"/>
        <v>1409.1</v>
      </c>
      <c r="CG46" s="57">
        <f t="shared" si="58"/>
        <v>1265.365</v>
      </c>
      <c r="CH46" s="57">
        <f t="shared" si="59"/>
        <v>1549.5950000000003</v>
      </c>
      <c r="CI46" s="57">
        <f t="shared" si="60"/>
        <v>1531.0740000000001</v>
      </c>
      <c r="CJ46" s="57">
        <f t="shared" si="61"/>
        <v>1646.9349999999999</v>
      </c>
      <c r="CK46" s="57">
        <f t="shared" si="62"/>
        <v>1702.6639999999998</v>
      </c>
      <c r="CL46" s="67">
        <f>CL44-CL45</f>
        <v>1810.0247172000004</v>
      </c>
      <c r="CM46" s="67">
        <f t="shared" ref="CM46:CU46" si="67">CM44-CM45</f>
        <v>1800.908251800375</v>
      </c>
      <c r="CN46" s="67">
        <f t="shared" si="67"/>
        <v>1575.1246958796601</v>
      </c>
      <c r="CO46" s="67">
        <f t="shared" si="67"/>
        <v>1706.6336783892393</v>
      </c>
      <c r="CP46" s="67">
        <f t="shared" si="67"/>
        <v>1835.4617246012285</v>
      </c>
      <c r="CQ46" s="67">
        <f t="shared" si="67"/>
        <v>1957.4997315847322</v>
      </c>
      <c r="CR46" s="67">
        <f t="shared" si="67"/>
        <v>2077.4964634785961</v>
      </c>
      <c r="CS46" s="67">
        <f t="shared" si="67"/>
        <v>2193.4418721977909</v>
      </c>
      <c r="CT46" s="67">
        <f t="shared" si="67"/>
        <v>2305.2439457068645</v>
      </c>
      <c r="CU46" s="67">
        <f t="shared" si="67"/>
        <v>2411.0034863150104</v>
      </c>
    </row>
    <row r="47" spans="2:151">
      <c r="B47" s="1" t="s">
        <v>989</v>
      </c>
      <c r="C47" s="57">
        <v>100.6</v>
      </c>
      <c r="D47" s="57">
        <v>99.8</v>
      </c>
      <c r="E47" s="57">
        <v>101.5</v>
      </c>
      <c r="F47" s="57">
        <v>101.8</v>
      </c>
      <c r="G47" s="57">
        <v>103.2</v>
      </c>
      <c r="H47" s="57">
        <v>109.8</v>
      </c>
      <c r="I47" s="57">
        <v>101.6</v>
      </c>
      <c r="J47" s="57">
        <v>109.3</v>
      </c>
      <c r="K47" s="57">
        <v>112.1</v>
      </c>
      <c r="L47" s="57">
        <v>106</v>
      </c>
      <c r="M47" s="57">
        <v>114.9</v>
      </c>
      <c r="N47" s="57">
        <v>121.5</v>
      </c>
      <c r="O47" s="57">
        <v>127</v>
      </c>
      <c r="P47" s="57">
        <v>116.3</v>
      </c>
      <c r="Q47" s="57">
        <v>115.2</v>
      </c>
      <c r="R47" s="57">
        <v>143.80000000000001</v>
      </c>
      <c r="S47" s="57">
        <v>140.30000000000001</v>
      </c>
      <c r="T47" s="57">
        <v>146.80000000000001</v>
      </c>
      <c r="U47" s="57">
        <v>138.30000000000001</v>
      </c>
      <c r="V47" s="57">
        <v>153.30000000000001</v>
      </c>
      <c r="W47" s="57">
        <v>139.69999999999999</v>
      </c>
      <c r="X47" s="57">
        <v>142.19999999999999</v>
      </c>
      <c r="Y47" s="57">
        <v>138.80000000000001</v>
      </c>
      <c r="Z47" s="57">
        <v>148.19999999999999</v>
      </c>
      <c r="AA47" s="57">
        <v>136.30000000000001</v>
      </c>
      <c r="AB47" s="57">
        <v>143</v>
      </c>
      <c r="AC47" s="57">
        <v>139.80000000000001</v>
      </c>
      <c r="AD47" s="57">
        <v>144.19999999999999</v>
      </c>
      <c r="AE47" s="57">
        <v>164</v>
      </c>
      <c r="AF47" s="57">
        <v>158.9</v>
      </c>
      <c r="AG47" s="57">
        <v>163.80000000000001</v>
      </c>
      <c r="AH47" s="57">
        <v>213.3</v>
      </c>
      <c r="AI47" s="57">
        <v>215.3</v>
      </c>
      <c r="AJ47" s="57">
        <v>229.9</v>
      </c>
      <c r="AK47" s="57">
        <v>214.9</v>
      </c>
      <c r="AL47" s="57">
        <v>136.9</v>
      </c>
      <c r="AM47" s="57">
        <v>206.9</v>
      </c>
      <c r="AN47" s="57">
        <v>215.5</v>
      </c>
      <c r="AO47" s="57">
        <v>209.3</v>
      </c>
      <c r="AP47" s="57">
        <v>220.1</v>
      </c>
      <c r="AQ47" s="57">
        <v>147.79599999999999</v>
      </c>
      <c r="AR47" s="57">
        <v>191.19300000000001</v>
      </c>
      <c r="AS47" s="57">
        <v>171.67</v>
      </c>
      <c r="AT47" s="57">
        <f>743.568-SUM(AQ47:AS47)</f>
        <v>232.90899999999999</v>
      </c>
      <c r="AU47" s="57">
        <v>203.148</v>
      </c>
      <c r="AV47" s="57">
        <v>224</v>
      </c>
      <c r="AW47" s="57">
        <v>205.19399999999999</v>
      </c>
      <c r="AX47" s="57">
        <f>860.08-SUM(AU47:AW47)</f>
        <v>227.73800000000006</v>
      </c>
      <c r="AY47" s="57">
        <v>203.93199999999999</v>
      </c>
      <c r="AZ47" s="57">
        <v>216.82499999999999</v>
      </c>
      <c r="BA47" s="57">
        <v>209.6</v>
      </c>
      <c r="BB47" s="57">
        <f>863.748-SUM(AY47:BA47)</f>
        <v>233.39100000000008</v>
      </c>
      <c r="BC47" s="57">
        <v>232.71600000000001</v>
      </c>
      <c r="BD47" s="57">
        <v>223.30600000000001</v>
      </c>
      <c r="BE47" s="57">
        <v>213.19399999999999</v>
      </c>
      <c r="BF47" s="57">
        <f>929.867-SUM(BC47:BE47)</f>
        <v>260.65099999999995</v>
      </c>
      <c r="BG47" s="57">
        <v>242.83</v>
      </c>
      <c r="BH47" s="57">
        <v>250.631</v>
      </c>
      <c r="BI47" s="57">
        <v>247.25700000000001</v>
      </c>
      <c r="BJ47" s="57">
        <f>995.27-SUM(BG47:BI47)</f>
        <v>254.55199999999991</v>
      </c>
      <c r="BK47" s="57">
        <v>222.71</v>
      </c>
      <c r="BL47" s="57">
        <v>215.08</v>
      </c>
      <c r="BM47" s="57">
        <v>281.76</v>
      </c>
      <c r="BN47" s="57">
        <f>720.169-SUM(BK47:BM47)</f>
        <v>0.61900000000002819</v>
      </c>
      <c r="BO47" s="57">
        <v>226.012</v>
      </c>
      <c r="BP47" s="57">
        <v>213.51499999999999</v>
      </c>
      <c r="BW47" s="57">
        <f t="shared" si="48"/>
        <v>403.7</v>
      </c>
      <c r="BX47" s="57">
        <f t="shared" si="49"/>
        <v>423.90000000000003</v>
      </c>
      <c r="BY47" s="57">
        <f t="shared" si="50"/>
        <v>454.5</v>
      </c>
      <c r="BZ47" s="57">
        <f t="shared" si="51"/>
        <v>502.3</v>
      </c>
      <c r="CA47" s="57">
        <f t="shared" si="52"/>
        <v>578.70000000000005</v>
      </c>
      <c r="CB47" s="57">
        <f t="shared" si="53"/>
        <v>568.9</v>
      </c>
      <c r="CC47" s="57">
        <f t="shared" si="54"/>
        <v>563.29999999999995</v>
      </c>
      <c r="CD47" s="57">
        <f t="shared" si="55"/>
        <v>700</v>
      </c>
      <c r="CE47" s="57">
        <f t="shared" si="56"/>
        <v>797</v>
      </c>
      <c r="CF47" s="57">
        <f t="shared" si="57"/>
        <v>851.80000000000007</v>
      </c>
      <c r="CG47" s="57">
        <f t="shared" si="58"/>
        <v>743.56799999999998</v>
      </c>
      <c r="CH47" s="57">
        <f t="shared" si="59"/>
        <v>860.08</v>
      </c>
      <c r="CI47" s="57">
        <f t="shared" si="60"/>
        <v>863.74800000000005</v>
      </c>
      <c r="CJ47" s="57">
        <f t="shared" si="61"/>
        <v>929.86699999999996</v>
      </c>
      <c r="CK47" s="57">
        <f t="shared" si="62"/>
        <v>995.27</v>
      </c>
      <c r="CL47" s="67">
        <f>CL44*CL65</f>
        <v>985.81703347500013</v>
      </c>
      <c r="CM47" s="67">
        <f t="shared" ref="CM47:CU47" si="68">CM44*CM65</f>
        <v>1067.7951581471252</v>
      </c>
      <c r="CN47" s="67">
        <f t="shared" si="68"/>
        <v>884.2805310201602</v>
      </c>
      <c r="CO47" s="67">
        <f t="shared" si="68"/>
        <v>943.13966437300076</v>
      </c>
      <c r="CP47" s="67">
        <f t="shared" si="68"/>
        <v>998.23356951996641</v>
      </c>
      <c r="CQ47" s="67">
        <f t="shared" si="68"/>
        <v>1047.4340669006024</v>
      </c>
      <c r="CR47" s="67">
        <f t="shared" si="68"/>
        <v>1093.4191913045242</v>
      </c>
      <c r="CS47" s="67">
        <f t="shared" si="68"/>
        <v>1144.8227315418294</v>
      </c>
      <c r="CT47" s="67">
        <f t="shared" si="68"/>
        <v>1193.0648490939036</v>
      </c>
      <c r="CU47" s="67">
        <f t="shared" si="68"/>
        <v>1247.8000499349616</v>
      </c>
    </row>
    <row r="48" spans="2:151">
      <c r="B48" s="1" t="s">
        <v>990</v>
      </c>
      <c r="C48" s="57">
        <v>9.3000000000000007</v>
      </c>
      <c r="D48" s="57">
        <v>10.3</v>
      </c>
      <c r="E48" s="57">
        <v>10.199999999999999</v>
      </c>
      <c r="F48" s="57">
        <v>12.6</v>
      </c>
      <c r="G48" s="57">
        <v>11</v>
      </c>
      <c r="H48" s="57">
        <v>12.5</v>
      </c>
      <c r="I48" s="57">
        <v>12.1</v>
      </c>
      <c r="J48" s="57">
        <v>13.5</v>
      </c>
      <c r="K48" s="57">
        <v>11.6</v>
      </c>
      <c r="L48" s="57">
        <v>13.6</v>
      </c>
      <c r="M48" s="57">
        <v>14.8</v>
      </c>
      <c r="N48" s="57">
        <v>16.399999999999999</v>
      </c>
      <c r="O48" s="57">
        <v>15</v>
      </c>
      <c r="P48" s="57">
        <v>16.5</v>
      </c>
      <c r="Q48" s="57">
        <v>15.6</v>
      </c>
      <c r="R48" s="57">
        <v>17.899999999999999</v>
      </c>
      <c r="S48" s="57">
        <v>14.1</v>
      </c>
      <c r="T48" s="57">
        <v>14.9</v>
      </c>
      <c r="U48" s="57">
        <v>14.8</v>
      </c>
      <c r="V48" s="57">
        <v>17.2</v>
      </c>
      <c r="W48" s="57">
        <v>12.9</v>
      </c>
      <c r="X48" s="57">
        <v>13.4</v>
      </c>
      <c r="Y48" s="57">
        <v>12.6</v>
      </c>
      <c r="Z48" s="57">
        <v>13.2</v>
      </c>
      <c r="AA48" s="57">
        <v>12.6</v>
      </c>
      <c r="AB48" s="57">
        <v>15</v>
      </c>
      <c r="AC48" s="57">
        <v>15.1</v>
      </c>
      <c r="AD48" s="57">
        <v>15.7</v>
      </c>
      <c r="AE48" s="57">
        <v>17.899999999999999</v>
      </c>
      <c r="AF48" s="57">
        <v>20.3</v>
      </c>
      <c r="AG48" s="57">
        <v>21</v>
      </c>
      <c r="AH48" s="57">
        <v>25.5</v>
      </c>
      <c r="AI48" s="57">
        <v>26</v>
      </c>
      <c r="AJ48" s="57">
        <v>26</v>
      </c>
      <c r="AK48" s="57">
        <v>26.4</v>
      </c>
      <c r="AL48" s="57">
        <v>27.8</v>
      </c>
      <c r="AM48" s="57">
        <v>27.3</v>
      </c>
      <c r="AN48" s="57">
        <v>27.5</v>
      </c>
      <c r="AO48" s="57">
        <v>28</v>
      </c>
      <c r="AP48" s="57">
        <v>30.8</v>
      </c>
      <c r="AQ48" s="57">
        <v>27.396000000000001</v>
      </c>
      <c r="AR48" s="57">
        <v>29.36</v>
      </c>
      <c r="AS48" s="57">
        <v>29.21</v>
      </c>
      <c r="AT48" s="57">
        <f>119.747-SUM(AQ48:AS48)</f>
        <v>33.780999999999992</v>
      </c>
      <c r="AU48" s="57">
        <v>29.94</v>
      </c>
      <c r="AV48" s="57">
        <v>33.283000000000001</v>
      </c>
      <c r="AW48" s="57">
        <v>31.815999999999999</v>
      </c>
      <c r="AX48" s="57">
        <f>130.84-SUM(AU48:AW48)</f>
        <v>35.801000000000002</v>
      </c>
      <c r="AY48" s="57">
        <v>36.36</v>
      </c>
      <c r="AZ48" s="57">
        <v>36.93</v>
      </c>
      <c r="BA48" s="57">
        <v>37.770000000000003</v>
      </c>
      <c r="BB48" s="57">
        <f>153.819-SUM(AY48:BA48)</f>
        <v>42.758999999999986</v>
      </c>
      <c r="BC48" s="57">
        <v>41.469000000000001</v>
      </c>
      <c r="BD48" s="57">
        <v>39.448</v>
      </c>
      <c r="BE48" s="57">
        <v>37.576000000000001</v>
      </c>
      <c r="BF48" s="57">
        <f>154.35-SUM(BC48:BE48)</f>
        <v>35.856999999999999</v>
      </c>
      <c r="BG48" s="57">
        <v>37.29</v>
      </c>
      <c r="BH48" s="57">
        <v>41.094000000000001</v>
      </c>
      <c r="BI48" s="57">
        <v>38.725999999999999</v>
      </c>
      <c r="BJ48" s="57">
        <f>161.67-SUM(BG48:BI48)</f>
        <v>44.559999999999988</v>
      </c>
      <c r="BK48" s="57">
        <v>36.404000000000003</v>
      </c>
      <c r="BL48" s="57">
        <v>38.521000000000001</v>
      </c>
      <c r="BM48" s="57">
        <v>57.22</v>
      </c>
      <c r="BN48" s="57">
        <f>144.781-SUM(BK48:BM48)</f>
        <v>12.635999999999996</v>
      </c>
      <c r="BO48" s="57">
        <v>44.386000000000003</v>
      </c>
      <c r="BP48" s="57">
        <v>45.122</v>
      </c>
      <c r="BW48" s="57">
        <f t="shared" si="48"/>
        <v>42.4</v>
      </c>
      <c r="BX48" s="57">
        <f t="shared" si="49"/>
        <v>49.1</v>
      </c>
      <c r="BY48" s="57">
        <f t="shared" si="50"/>
        <v>56.4</v>
      </c>
      <c r="BZ48" s="57">
        <f t="shared" si="51"/>
        <v>65</v>
      </c>
      <c r="CA48" s="57">
        <f t="shared" si="52"/>
        <v>61</v>
      </c>
      <c r="CB48" s="57">
        <f t="shared" si="53"/>
        <v>52.099999999999994</v>
      </c>
      <c r="CC48" s="57">
        <f t="shared" si="54"/>
        <v>58.400000000000006</v>
      </c>
      <c r="CD48" s="57">
        <f t="shared" si="55"/>
        <v>84.7</v>
      </c>
      <c r="CE48" s="57">
        <f t="shared" si="56"/>
        <v>106.2</v>
      </c>
      <c r="CF48" s="57">
        <f t="shared" si="57"/>
        <v>113.6</v>
      </c>
      <c r="CG48" s="57">
        <f t="shared" si="58"/>
        <v>119.747</v>
      </c>
      <c r="CH48" s="57">
        <f t="shared" si="59"/>
        <v>130.84</v>
      </c>
      <c r="CI48" s="57">
        <f t="shared" si="60"/>
        <v>153.81899999999999</v>
      </c>
      <c r="CJ48" s="57">
        <f t="shared" si="61"/>
        <v>154.35</v>
      </c>
      <c r="CK48" s="57">
        <f t="shared" si="62"/>
        <v>161.66999999999999</v>
      </c>
      <c r="CL48" s="67">
        <f>CL44*CL64</f>
        <v>177.77028472500004</v>
      </c>
      <c r="CM48" s="67">
        <f t="shared" ref="CM48:CU48" si="69">CM44*CM64</f>
        <v>172.12220459685003</v>
      </c>
      <c r="CN48" s="67">
        <f t="shared" si="69"/>
        <v>146.45896295021402</v>
      </c>
      <c r="CO48" s="67">
        <f t="shared" si="69"/>
        <v>155.69289697586044</v>
      </c>
      <c r="CP48" s="67">
        <f t="shared" si="69"/>
        <v>164.22552272747834</v>
      </c>
      <c r="CQ48" s="67">
        <f t="shared" si="69"/>
        <v>171.71050277059055</v>
      </c>
      <c r="CR48" s="67">
        <f t="shared" si="69"/>
        <v>182.23653188408741</v>
      </c>
      <c r="CS48" s="67">
        <f t="shared" si="69"/>
        <v>192.40718177173605</v>
      </c>
      <c r="CT48" s="67">
        <f t="shared" si="69"/>
        <v>202.21438120235655</v>
      </c>
      <c r="CU48" s="67">
        <f t="shared" si="69"/>
        <v>211.49153388728166</v>
      </c>
    </row>
    <row r="49" spans="2:151">
      <c r="B49" s="1" t="s">
        <v>991</v>
      </c>
      <c r="C49" s="57">
        <v>0</v>
      </c>
      <c r="D49" s="57">
        <v>0</v>
      </c>
      <c r="E49" s="57">
        <v>0</v>
      </c>
      <c r="F49" s="57">
        <v>0</v>
      </c>
      <c r="G49" s="57">
        <v>0</v>
      </c>
      <c r="H49" s="57">
        <v>0</v>
      </c>
      <c r="I49" s="57">
        <v>0</v>
      </c>
      <c r="J49" s="57">
        <v>0</v>
      </c>
      <c r="K49" s="57">
        <v>0</v>
      </c>
      <c r="L49" s="57">
        <v>0</v>
      </c>
      <c r="M49" s="57">
        <v>0</v>
      </c>
      <c r="N49" s="57">
        <v>0</v>
      </c>
      <c r="O49" s="57">
        <v>0</v>
      </c>
      <c r="P49" s="57">
        <v>0</v>
      </c>
      <c r="Q49" s="57">
        <v>0</v>
      </c>
      <c r="R49" s="57">
        <v>0</v>
      </c>
      <c r="S49" s="57">
        <v>0</v>
      </c>
      <c r="T49" s="57">
        <v>0</v>
      </c>
      <c r="U49" s="57">
        <v>0</v>
      </c>
      <c r="V49" s="57">
        <v>0</v>
      </c>
      <c r="W49" s="57">
        <v>0</v>
      </c>
      <c r="X49" s="57">
        <v>0</v>
      </c>
      <c r="Y49" s="57">
        <v>0</v>
      </c>
      <c r="Z49" s="57">
        <v>0</v>
      </c>
      <c r="AA49" s="57">
        <v>0</v>
      </c>
      <c r="AB49" s="57">
        <v>0</v>
      </c>
      <c r="AC49" s="57">
        <v>0</v>
      </c>
      <c r="AD49" s="57">
        <v>0</v>
      </c>
      <c r="AE49" s="57">
        <v>0</v>
      </c>
      <c r="AF49" s="57">
        <v>0</v>
      </c>
      <c r="AG49" s="57">
        <v>0</v>
      </c>
      <c r="AH49" s="57">
        <v>0</v>
      </c>
      <c r="AI49" s="57">
        <v>0</v>
      </c>
      <c r="AJ49" s="57">
        <v>0</v>
      </c>
      <c r="AK49" s="57">
        <v>0</v>
      </c>
      <c r="AL49" s="57">
        <v>0</v>
      </c>
      <c r="AM49" s="57">
        <v>0</v>
      </c>
      <c r="AN49" s="57">
        <v>0</v>
      </c>
      <c r="AO49" s="57">
        <v>0</v>
      </c>
      <c r="AP49" s="57">
        <v>0</v>
      </c>
      <c r="AQ49" s="57">
        <v>0</v>
      </c>
      <c r="AR49" s="57">
        <v>0</v>
      </c>
      <c r="AS49" s="57">
        <v>0</v>
      </c>
      <c r="AT49" s="57">
        <f>0-SUM(AQ49:AS49)</f>
        <v>0</v>
      </c>
      <c r="AU49" s="57">
        <v>0</v>
      </c>
      <c r="AV49" s="57">
        <v>0</v>
      </c>
      <c r="AW49" s="57">
        <v>0</v>
      </c>
      <c r="AX49" s="57">
        <f>0-SUM(AU49:AW49)</f>
        <v>0</v>
      </c>
      <c r="AY49" s="57">
        <v>0</v>
      </c>
      <c r="AZ49" s="57">
        <v>0</v>
      </c>
      <c r="BA49" s="57">
        <v>0</v>
      </c>
      <c r="BB49" s="57">
        <f>0-SUM(AY49:BA49)</f>
        <v>0</v>
      </c>
      <c r="BC49" s="57">
        <v>0</v>
      </c>
      <c r="BD49" s="57">
        <v>0</v>
      </c>
      <c r="BE49" s="57">
        <v>0</v>
      </c>
      <c r="BF49" s="57">
        <f>45.244-SUM(BC49:BE49)</f>
        <v>45.244</v>
      </c>
      <c r="BG49" s="57">
        <v>138.13900000000001</v>
      </c>
      <c r="BH49" s="57">
        <v>0</v>
      </c>
      <c r="BI49" s="57">
        <v>-5.407</v>
      </c>
      <c r="BJ49" s="57">
        <f>132.73-SUM(BG49:BI49)</f>
        <v>-2.0000000000095497E-3</v>
      </c>
      <c r="BK49" s="57">
        <v>0</v>
      </c>
      <c r="BL49" s="57">
        <v>0</v>
      </c>
      <c r="BM49" s="57">
        <v>0</v>
      </c>
      <c r="BN49" s="57">
        <f>0-SUM(BK49:BM49)</f>
        <v>0</v>
      </c>
      <c r="BO49" s="57">
        <v>0</v>
      </c>
      <c r="BP49" s="57">
        <v>0</v>
      </c>
      <c r="BW49" s="57">
        <f t="shared" si="48"/>
        <v>0</v>
      </c>
      <c r="BX49" s="57">
        <f t="shared" si="49"/>
        <v>0</v>
      </c>
      <c r="BY49" s="57">
        <f t="shared" si="50"/>
        <v>0</v>
      </c>
      <c r="BZ49" s="57">
        <f t="shared" si="51"/>
        <v>0</v>
      </c>
      <c r="CA49" s="57">
        <f t="shared" si="52"/>
        <v>0</v>
      </c>
      <c r="CB49" s="57">
        <f t="shared" si="53"/>
        <v>0</v>
      </c>
      <c r="CC49" s="57">
        <f t="shared" si="54"/>
        <v>0</v>
      </c>
      <c r="CD49" s="57">
        <f t="shared" si="55"/>
        <v>0</v>
      </c>
      <c r="CE49" s="57">
        <f t="shared" si="56"/>
        <v>0</v>
      </c>
      <c r="CF49" s="57">
        <f t="shared" si="57"/>
        <v>0</v>
      </c>
      <c r="CG49" s="57">
        <f t="shared" si="58"/>
        <v>0</v>
      </c>
      <c r="CH49" s="57">
        <f t="shared" si="59"/>
        <v>0</v>
      </c>
      <c r="CI49" s="57">
        <f t="shared" si="60"/>
        <v>0</v>
      </c>
      <c r="CJ49" s="57">
        <f t="shared" si="61"/>
        <v>45.244</v>
      </c>
      <c r="CK49" s="57">
        <f t="shared" si="62"/>
        <v>132.72999999999999</v>
      </c>
      <c r="CL49" s="67">
        <v>0</v>
      </c>
      <c r="CM49" s="67">
        <v>0</v>
      </c>
      <c r="CN49" s="67">
        <v>0</v>
      </c>
      <c r="CO49" s="67">
        <v>0</v>
      </c>
      <c r="CP49" s="67">
        <v>0</v>
      </c>
      <c r="CQ49" s="67">
        <v>0</v>
      </c>
      <c r="CR49" s="67">
        <v>0</v>
      </c>
      <c r="CS49" s="67">
        <v>0</v>
      </c>
      <c r="CT49" s="67">
        <v>0</v>
      </c>
      <c r="CU49" s="67">
        <v>0</v>
      </c>
    </row>
    <row r="50" spans="2:151">
      <c r="B50" s="1" t="s">
        <v>1001</v>
      </c>
      <c r="C50" s="57">
        <v>0.40000000000000568</v>
      </c>
      <c r="D50" s="57">
        <v>0</v>
      </c>
      <c r="E50" s="57">
        <v>1.3000000000000114</v>
      </c>
      <c r="F50" s="57">
        <v>0.59999999999999432</v>
      </c>
      <c r="G50" s="57">
        <v>0.59999999999999432</v>
      </c>
      <c r="H50" s="57">
        <v>3.2000000000000028</v>
      </c>
      <c r="I50" s="57">
        <v>0</v>
      </c>
      <c r="J50" s="57">
        <v>2.3999999999999915</v>
      </c>
      <c r="K50" s="57">
        <v>330.79999999999995</v>
      </c>
      <c r="L50" s="57">
        <v>0</v>
      </c>
      <c r="M50" s="57">
        <v>0.99999999999998579</v>
      </c>
      <c r="N50" s="57">
        <v>2.9</v>
      </c>
      <c r="O50" s="57">
        <v>9.0999999999999943</v>
      </c>
      <c r="P50" s="57">
        <v>12.899999999999991</v>
      </c>
      <c r="Q50" s="57">
        <v>7.2000000000000028</v>
      </c>
      <c r="R50" s="57">
        <v>9.1</v>
      </c>
      <c r="S50" s="57">
        <v>7.6999999999999886</v>
      </c>
      <c r="T50" s="57">
        <v>7.5999999999999943</v>
      </c>
      <c r="U50" s="57">
        <v>1.2</v>
      </c>
      <c r="V50" s="57">
        <v>1.3</v>
      </c>
      <c r="W50" s="57">
        <v>4.4000000000000057</v>
      </c>
      <c r="X50" s="57">
        <v>0.6</v>
      </c>
      <c r="Y50" s="57">
        <v>0.2</v>
      </c>
      <c r="Z50" s="57">
        <v>2.2000000000000171</v>
      </c>
      <c r="AA50" s="57">
        <v>8.8000000000000007</v>
      </c>
      <c r="AB50" s="57">
        <v>0</v>
      </c>
      <c r="AC50" s="57">
        <v>0.19999999999998863</v>
      </c>
      <c r="AD50" s="57">
        <v>46.100000000000023</v>
      </c>
      <c r="AE50" s="57">
        <v>12.899999999999977</v>
      </c>
      <c r="AF50" s="57">
        <v>0.89999999999997726</v>
      </c>
      <c r="AG50" s="57">
        <v>0</v>
      </c>
      <c r="AH50" s="57">
        <v>1</v>
      </c>
      <c r="AI50" s="57">
        <v>3.0999999999999943</v>
      </c>
      <c r="AJ50" s="57">
        <v>55.400000000000006</v>
      </c>
      <c r="AK50" s="57">
        <v>19.199999999999989</v>
      </c>
      <c r="AL50" s="57">
        <v>0.19999999999998863</v>
      </c>
      <c r="AM50" s="57">
        <v>14.599999999999994</v>
      </c>
      <c r="AN50" s="57">
        <v>1.7000000000000171</v>
      </c>
      <c r="AO50" s="57">
        <v>0.19999999999998863</v>
      </c>
      <c r="AP50" s="57">
        <v>0</v>
      </c>
      <c r="AQ50" s="57">
        <v>0</v>
      </c>
      <c r="AR50" s="57">
        <v>0</v>
      </c>
      <c r="AS50" s="57">
        <v>0</v>
      </c>
      <c r="AT50" s="57">
        <f>0-SUM(AQ50:AS50)</f>
        <v>0</v>
      </c>
      <c r="AU50" s="57">
        <v>0</v>
      </c>
      <c r="AV50" s="57">
        <v>0</v>
      </c>
      <c r="AW50" s="57">
        <v>0</v>
      </c>
      <c r="AX50" s="57">
        <f>0-SUM(AU50:AW50)</f>
        <v>0</v>
      </c>
      <c r="AY50" s="57">
        <v>0</v>
      </c>
      <c r="AZ50" s="57">
        <v>0</v>
      </c>
      <c r="BA50" s="57">
        <v>0</v>
      </c>
      <c r="BB50" s="57">
        <f>0-SUM(AY50:BA50)</f>
        <v>0</v>
      </c>
      <c r="BC50" s="57">
        <v>0</v>
      </c>
      <c r="BD50" s="57">
        <v>0</v>
      </c>
      <c r="BE50" s="57">
        <v>0</v>
      </c>
      <c r="BF50" s="57">
        <f>0-SUM(BC50:BE50)</f>
        <v>0</v>
      </c>
      <c r="BG50" s="57">
        <v>0</v>
      </c>
      <c r="BH50" s="57">
        <v>0</v>
      </c>
      <c r="BI50" s="57">
        <v>0</v>
      </c>
      <c r="BJ50" s="57">
        <f>240-SUM(BG50:BI50)</f>
        <v>240</v>
      </c>
      <c r="BK50" s="57">
        <v>0</v>
      </c>
      <c r="BL50" s="57">
        <v>0</v>
      </c>
      <c r="BM50" s="57">
        <v>403.92</v>
      </c>
      <c r="BN50" s="57">
        <f>0-SUM(BK50:BM50)</f>
        <v>-403.92</v>
      </c>
      <c r="BO50" s="57">
        <v>0</v>
      </c>
      <c r="BP50" s="57">
        <v>0</v>
      </c>
      <c r="BW50" s="57">
        <f t="shared" si="48"/>
        <v>2.3000000000000114</v>
      </c>
      <c r="BX50" s="57">
        <f t="shared" si="49"/>
        <v>6.1999999999999886</v>
      </c>
      <c r="BY50" s="57">
        <f t="shared" si="50"/>
        <v>334.69999999999993</v>
      </c>
      <c r="BZ50" s="57">
        <f t="shared" si="51"/>
        <v>38.29999999999999</v>
      </c>
      <c r="CA50" s="57">
        <f t="shared" si="52"/>
        <v>17.799999999999983</v>
      </c>
      <c r="CB50" s="57">
        <f t="shared" si="53"/>
        <v>7.4000000000000226</v>
      </c>
      <c r="CC50" s="57">
        <f t="shared" si="54"/>
        <v>55.100000000000009</v>
      </c>
      <c r="CD50" s="57">
        <f t="shared" si="55"/>
        <v>14.799999999999955</v>
      </c>
      <c r="CE50" s="57">
        <f t="shared" si="56"/>
        <v>77.899999999999977</v>
      </c>
      <c r="CF50" s="57">
        <f t="shared" si="57"/>
        <v>16.5</v>
      </c>
      <c r="CG50" s="57">
        <f t="shared" si="58"/>
        <v>0</v>
      </c>
      <c r="CH50" s="57">
        <f t="shared" si="59"/>
        <v>0</v>
      </c>
      <c r="CI50" s="57">
        <f t="shared" si="60"/>
        <v>0</v>
      </c>
      <c r="CJ50" s="57">
        <f t="shared" si="61"/>
        <v>0</v>
      </c>
      <c r="CK50" s="57">
        <f t="shared" si="62"/>
        <v>240</v>
      </c>
      <c r="CL50" s="67">
        <v>0</v>
      </c>
      <c r="CM50" s="67">
        <v>0</v>
      </c>
      <c r="CN50" s="67">
        <v>0</v>
      </c>
      <c r="CO50" s="67">
        <v>0</v>
      </c>
      <c r="CP50" s="67">
        <v>0</v>
      </c>
      <c r="CQ50" s="67">
        <v>0</v>
      </c>
      <c r="CR50" s="67">
        <v>0</v>
      </c>
      <c r="CS50" s="67">
        <v>0</v>
      </c>
      <c r="CT50" s="67">
        <v>0</v>
      </c>
      <c r="CU50" s="67">
        <v>0</v>
      </c>
    </row>
    <row r="51" spans="2:151">
      <c r="B51" s="1" t="s">
        <v>992</v>
      </c>
      <c r="C51" s="57">
        <v>0</v>
      </c>
      <c r="D51" s="57">
        <v>0</v>
      </c>
      <c r="E51" s="57">
        <v>0</v>
      </c>
      <c r="F51" s="57">
        <v>0</v>
      </c>
      <c r="G51" s="57">
        <v>0</v>
      </c>
      <c r="H51" s="57">
        <v>0</v>
      </c>
      <c r="I51" s="57">
        <v>0</v>
      </c>
      <c r="J51" s="57">
        <v>0</v>
      </c>
      <c r="K51" s="57">
        <v>0</v>
      </c>
      <c r="L51" s="57">
        <v>0</v>
      </c>
      <c r="M51" s="57">
        <v>0</v>
      </c>
      <c r="N51" s="57">
        <v>0</v>
      </c>
      <c r="O51" s="57">
        <v>0</v>
      </c>
      <c r="P51" s="57">
        <v>0</v>
      </c>
      <c r="Q51" s="57">
        <v>0</v>
      </c>
      <c r="R51" s="57">
        <v>0</v>
      </c>
      <c r="S51" s="57">
        <v>0</v>
      </c>
      <c r="T51" s="57">
        <v>0</v>
      </c>
      <c r="U51" s="57">
        <v>0</v>
      </c>
      <c r="V51" s="57">
        <v>0</v>
      </c>
      <c r="W51" s="57">
        <v>0</v>
      </c>
      <c r="X51" s="57">
        <v>0</v>
      </c>
      <c r="Y51" s="57">
        <v>0</v>
      </c>
      <c r="Z51" s="57">
        <v>0</v>
      </c>
      <c r="AA51" s="57">
        <v>0</v>
      </c>
      <c r="AB51" s="57">
        <v>0</v>
      </c>
      <c r="AC51" s="57">
        <v>0</v>
      </c>
      <c r="AD51" s="57">
        <v>0</v>
      </c>
      <c r="AE51" s="57">
        <v>0</v>
      </c>
      <c r="AF51" s="57">
        <v>0</v>
      </c>
      <c r="AG51" s="57">
        <v>0</v>
      </c>
      <c r="AH51" s="57">
        <v>0</v>
      </c>
      <c r="AI51" s="57">
        <v>0</v>
      </c>
      <c r="AJ51" s="57">
        <v>0</v>
      </c>
      <c r="AK51" s="57">
        <v>0</v>
      </c>
      <c r="AL51" s="57">
        <v>0</v>
      </c>
      <c r="AM51" s="57">
        <v>0</v>
      </c>
      <c r="AN51" s="57">
        <v>0</v>
      </c>
      <c r="AO51" s="57">
        <v>0</v>
      </c>
      <c r="AP51" s="57">
        <v>0</v>
      </c>
      <c r="AQ51" s="57">
        <v>1.3460000000000001</v>
      </c>
      <c r="AR51" s="57">
        <v>19.004999999999999</v>
      </c>
      <c r="AS51" s="57">
        <v>-3.6589999999999998</v>
      </c>
      <c r="AT51" s="57">
        <f>38.491-SUM(AQ51:AS51)</f>
        <v>21.798999999999999</v>
      </c>
      <c r="AU51" s="57">
        <v>7.9980000000000002</v>
      </c>
      <c r="AV51" s="57">
        <v>11.494</v>
      </c>
      <c r="AW51" s="57">
        <v>0.95899999999999996</v>
      </c>
      <c r="AX51" s="57">
        <f>21.738-SUM(AU51:AW51)</f>
        <v>1.286999999999999</v>
      </c>
      <c r="AY51" s="57">
        <v>2.4049999999999998</v>
      </c>
      <c r="AZ51" s="57">
        <v>-8.3000000000000004E-2</v>
      </c>
      <c r="BA51" s="57">
        <v>0.628</v>
      </c>
      <c r="BB51" s="57">
        <f>20.299-SUM(AY51:BA51)</f>
        <v>17.349</v>
      </c>
      <c r="BC51" s="57">
        <v>2.2200000000000002</v>
      </c>
      <c r="BD51" s="57">
        <v>1.5</v>
      </c>
      <c r="BE51" s="57">
        <v>0.23100000000000001</v>
      </c>
      <c r="BF51" s="57">
        <f>15.604-SUM(BC51:BE51)</f>
        <v>11.652999999999999</v>
      </c>
      <c r="BG51" s="57">
        <v>2.6589999999999998</v>
      </c>
      <c r="BH51" s="57">
        <v>7.8550000000000004</v>
      </c>
      <c r="BI51" s="57">
        <v>0.28499999999999998</v>
      </c>
      <c r="BJ51" s="57">
        <f>21.991-SUM(BG51:BI51)</f>
        <v>11.192</v>
      </c>
      <c r="BK51" s="57">
        <v>4.7549999999999999</v>
      </c>
      <c r="BL51" s="57">
        <v>22.17</v>
      </c>
      <c r="BM51" s="57">
        <v>117.62</v>
      </c>
      <c r="BN51" s="57">
        <f>21.991-SUM(BK51:BM51)</f>
        <v>-122.55400000000002</v>
      </c>
      <c r="BO51" s="57">
        <v>16.844999999999999</v>
      </c>
      <c r="BP51" s="57">
        <v>0.246</v>
      </c>
      <c r="BW51" s="57">
        <f t="shared" si="48"/>
        <v>0</v>
      </c>
      <c r="BX51" s="57">
        <f t="shared" si="49"/>
        <v>0</v>
      </c>
      <c r="BY51" s="57">
        <f t="shared" si="50"/>
        <v>0</v>
      </c>
      <c r="BZ51" s="57">
        <f t="shared" si="51"/>
        <v>0</v>
      </c>
      <c r="CA51" s="57">
        <f t="shared" si="52"/>
        <v>0</v>
      </c>
      <c r="CB51" s="57">
        <f t="shared" si="53"/>
        <v>0</v>
      </c>
      <c r="CC51" s="57">
        <f t="shared" si="54"/>
        <v>0</v>
      </c>
      <c r="CD51" s="57">
        <f t="shared" si="55"/>
        <v>0</v>
      </c>
      <c r="CE51" s="57">
        <f t="shared" si="56"/>
        <v>0</v>
      </c>
      <c r="CF51" s="57">
        <f t="shared" si="57"/>
        <v>0</v>
      </c>
      <c r="CG51" s="57">
        <f t="shared" si="58"/>
        <v>38.491</v>
      </c>
      <c r="CH51" s="57">
        <f t="shared" si="59"/>
        <v>21.738</v>
      </c>
      <c r="CI51" s="57">
        <f t="shared" si="60"/>
        <v>20.298999999999999</v>
      </c>
      <c r="CJ51" s="57">
        <f t="shared" si="61"/>
        <v>15.603999999999999</v>
      </c>
      <c r="CK51" s="57">
        <f t="shared" si="62"/>
        <v>21.991</v>
      </c>
      <c r="CL51" s="67">
        <v>50</v>
      </c>
      <c r="CM51" s="67">
        <v>20</v>
      </c>
      <c r="CN51" s="67">
        <v>0</v>
      </c>
      <c r="CO51" s="67">
        <v>0</v>
      </c>
      <c r="CP51" s="67">
        <v>0</v>
      </c>
      <c r="CQ51" s="67">
        <v>0</v>
      </c>
      <c r="CR51" s="67">
        <v>0</v>
      </c>
      <c r="CS51" s="67">
        <v>0</v>
      </c>
      <c r="CT51" s="67">
        <v>0</v>
      </c>
      <c r="CU51" s="67">
        <v>0</v>
      </c>
    </row>
    <row r="52" spans="2:151">
      <c r="B52" s="1" t="s">
        <v>1000</v>
      </c>
      <c r="C52" s="57">
        <v>0</v>
      </c>
      <c r="D52" s="57">
        <v>0</v>
      </c>
      <c r="E52" s="57">
        <v>0</v>
      </c>
      <c r="F52" s="57">
        <v>0</v>
      </c>
      <c r="G52" s="57">
        <v>0</v>
      </c>
      <c r="H52" s="57">
        <v>0</v>
      </c>
      <c r="I52" s="57">
        <v>0</v>
      </c>
      <c r="J52" s="57">
        <v>0</v>
      </c>
      <c r="K52" s="57">
        <v>0</v>
      </c>
      <c r="L52" s="57">
        <v>0</v>
      </c>
      <c r="M52" s="57">
        <v>0</v>
      </c>
      <c r="N52" s="57">
        <v>0</v>
      </c>
      <c r="O52" s="57">
        <v>0</v>
      </c>
      <c r="P52" s="57">
        <v>0</v>
      </c>
      <c r="Q52" s="57">
        <v>0</v>
      </c>
      <c r="R52" s="57">
        <v>0</v>
      </c>
      <c r="S52" s="57">
        <v>0</v>
      </c>
      <c r="T52" s="57">
        <v>0</v>
      </c>
      <c r="U52" s="57">
        <v>0</v>
      </c>
      <c r="V52" s="57">
        <v>0</v>
      </c>
      <c r="W52" s="57">
        <v>0</v>
      </c>
      <c r="X52" s="57">
        <v>0</v>
      </c>
      <c r="Y52" s="57">
        <v>0</v>
      </c>
      <c r="Z52" s="57">
        <v>0</v>
      </c>
      <c r="AA52" s="57">
        <v>0</v>
      </c>
      <c r="AB52" s="57">
        <v>0</v>
      </c>
      <c r="AC52" s="57">
        <v>0</v>
      </c>
      <c r="AD52" s="57">
        <v>0</v>
      </c>
      <c r="AE52" s="57">
        <v>0</v>
      </c>
      <c r="AF52" s="57">
        <v>0</v>
      </c>
      <c r="AG52" s="57">
        <v>0</v>
      </c>
      <c r="AH52" s="57">
        <v>0</v>
      </c>
      <c r="AI52" s="57">
        <v>0</v>
      </c>
      <c r="AJ52" s="57">
        <v>0</v>
      </c>
      <c r="AK52" s="57">
        <v>0</v>
      </c>
      <c r="AL52" s="57">
        <v>0</v>
      </c>
      <c r="AM52" s="57">
        <v>0</v>
      </c>
      <c r="AN52" s="57">
        <v>0</v>
      </c>
      <c r="AO52" s="57">
        <v>0</v>
      </c>
      <c r="AP52" s="57">
        <v>0</v>
      </c>
      <c r="AQ52" s="57">
        <v>0</v>
      </c>
      <c r="AR52" s="57">
        <v>0</v>
      </c>
      <c r="AS52" s="57">
        <v>0</v>
      </c>
      <c r="AT52" s="57">
        <f>0-SUM(AQ52:AS52)</f>
        <v>0</v>
      </c>
      <c r="AU52" s="57">
        <v>0</v>
      </c>
      <c r="AV52" s="57">
        <v>0</v>
      </c>
      <c r="AW52" s="57">
        <v>-91.156999999999996</v>
      </c>
      <c r="AX52" s="57">
        <f>-91.157-SUM(AU52:AW52)</f>
        <v>0</v>
      </c>
      <c r="AY52" s="57">
        <v>0</v>
      </c>
      <c r="AZ52" s="57">
        <v>0</v>
      </c>
      <c r="BA52" s="57">
        <v>-6.5</v>
      </c>
      <c r="BB52" s="57">
        <f>-6.5-SUM(AY52:BA52)</f>
        <v>0</v>
      </c>
      <c r="BC52" s="57">
        <v>0</v>
      </c>
      <c r="BD52" s="57">
        <v>0</v>
      </c>
      <c r="BE52" s="57">
        <v>0</v>
      </c>
      <c r="BF52" s="57">
        <f>-4.448-SUM(BC52:BE52)</f>
        <v>-4.4480000000000004</v>
      </c>
      <c r="BG52" s="57">
        <v>0</v>
      </c>
      <c r="BH52" s="57">
        <v>0</v>
      </c>
      <c r="BI52" s="57">
        <v>0</v>
      </c>
      <c r="BJ52" s="57">
        <f>0-SUM(BG52:BI52)</f>
        <v>0</v>
      </c>
      <c r="BK52" s="57">
        <v>0</v>
      </c>
      <c r="BL52" s="57">
        <v>0</v>
      </c>
      <c r="BM52" s="57">
        <v>0</v>
      </c>
      <c r="BN52" s="57">
        <f>0-SUM(BK52:BM52)</f>
        <v>0</v>
      </c>
      <c r="BO52" s="57">
        <v>0</v>
      </c>
      <c r="BP52" s="57">
        <v>0</v>
      </c>
      <c r="BW52" s="57">
        <f t="shared" si="48"/>
        <v>0</v>
      </c>
      <c r="BX52" s="57">
        <f t="shared" si="49"/>
        <v>0</v>
      </c>
      <c r="BY52" s="57">
        <f t="shared" si="50"/>
        <v>0</v>
      </c>
      <c r="BZ52" s="57">
        <f t="shared" si="51"/>
        <v>0</v>
      </c>
      <c r="CA52" s="57">
        <f t="shared" si="52"/>
        <v>0</v>
      </c>
      <c r="CB52" s="57">
        <f t="shared" si="53"/>
        <v>0</v>
      </c>
      <c r="CC52" s="57">
        <f t="shared" si="54"/>
        <v>0</v>
      </c>
      <c r="CD52" s="57">
        <f t="shared" si="55"/>
        <v>0</v>
      </c>
      <c r="CE52" s="57">
        <f t="shared" si="56"/>
        <v>0</v>
      </c>
      <c r="CF52" s="57">
        <f t="shared" si="57"/>
        <v>0</v>
      </c>
      <c r="CG52" s="57">
        <f t="shared" si="58"/>
        <v>0</v>
      </c>
      <c r="CH52" s="57">
        <f t="shared" si="59"/>
        <v>-91.156999999999996</v>
      </c>
      <c r="CI52" s="57">
        <f t="shared" si="60"/>
        <v>-6.5</v>
      </c>
      <c r="CJ52" s="57">
        <f t="shared" si="61"/>
        <v>-4.4480000000000004</v>
      </c>
      <c r="CK52" s="57">
        <f t="shared" si="62"/>
        <v>0</v>
      </c>
      <c r="CL52" s="67">
        <v>0</v>
      </c>
      <c r="CM52" s="67">
        <v>0</v>
      </c>
      <c r="CN52" s="67">
        <v>0</v>
      </c>
      <c r="CO52" s="67">
        <v>0</v>
      </c>
      <c r="CP52" s="67">
        <v>0</v>
      </c>
      <c r="CQ52" s="67">
        <v>0</v>
      </c>
      <c r="CR52" s="67">
        <v>0</v>
      </c>
      <c r="CS52" s="67">
        <v>0</v>
      </c>
      <c r="CT52" s="67">
        <v>0</v>
      </c>
      <c r="CU52" s="67">
        <v>0</v>
      </c>
    </row>
    <row r="53" spans="2:151">
      <c r="B53" s="1" t="s">
        <v>998</v>
      </c>
      <c r="C53" s="57">
        <f t="shared" ref="C53" si="70">C46-SUM(C47:C52)</f>
        <v>66.600000000000009</v>
      </c>
      <c r="D53" s="57">
        <f t="shared" ref="D53:AV53" si="71">D46-SUM(D47:D52)</f>
        <v>64.199999999999989</v>
      </c>
      <c r="E53" s="57">
        <f t="shared" si="71"/>
        <v>53.499999999999986</v>
      </c>
      <c r="F53" s="57">
        <f t="shared" si="71"/>
        <v>46.09999999999998</v>
      </c>
      <c r="G53" s="57">
        <f t="shared" si="71"/>
        <v>49.7</v>
      </c>
      <c r="H53" s="57">
        <f t="shared" si="71"/>
        <v>55.899999999999977</v>
      </c>
      <c r="I53" s="57">
        <f t="shared" si="71"/>
        <v>61.900000000000006</v>
      </c>
      <c r="J53" s="57">
        <f t="shared" si="71"/>
        <v>62.100000000000023</v>
      </c>
      <c r="K53" s="57">
        <f t="shared" si="71"/>
        <v>-270.39999999999992</v>
      </c>
      <c r="L53" s="57">
        <f t="shared" si="71"/>
        <v>64.700000000000017</v>
      </c>
      <c r="M53" s="57">
        <f t="shared" si="71"/>
        <v>49.900000000000034</v>
      </c>
      <c r="N53" s="57">
        <f t="shared" si="71"/>
        <v>58.400000000000006</v>
      </c>
      <c r="O53" s="57">
        <f t="shared" si="71"/>
        <v>49.399999999999977</v>
      </c>
      <c r="P53" s="57">
        <f t="shared" si="71"/>
        <v>63.80000000000004</v>
      </c>
      <c r="Q53" s="57">
        <f t="shared" si="71"/>
        <v>66</v>
      </c>
      <c r="R53" s="57">
        <f t="shared" si="71"/>
        <v>54.099999999999994</v>
      </c>
      <c r="S53" s="57">
        <f t="shared" si="71"/>
        <v>59</v>
      </c>
      <c r="T53" s="57">
        <f t="shared" si="71"/>
        <v>74.800000000000011</v>
      </c>
      <c r="U53" s="57">
        <f t="shared" si="71"/>
        <v>81.899999999999977</v>
      </c>
      <c r="V53" s="57">
        <f t="shared" si="71"/>
        <v>69.199999999999989</v>
      </c>
      <c r="W53" s="57">
        <f t="shared" si="71"/>
        <v>65.599999999999966</v>
      </c>
      <c r="X53" s="57">
        <f t="shared" si="71"/>
        <v>77</v>
      </c>
      <c r="Y53" s="57">
        <f t="shared" si="71"/>
        <v>76.599999999999994</v>
      </c>
      <c r="Z53" s="57">
        <f t="shared" si="71"/>
        <v>96.700000000000017</v>
      </c>
      <c r="AA53" s="57">
        <f t="shared" si="71"/>
        <v>67.499999999999972</v>
      </c>
      <c r="AB53" s="57">
        <f t="shared" si="71"/>
        <v>98.400000000000034</v>
      </c>
      <c r="AC53" s="57">
        <f t="shared" si="71"/>
        <v>86.500000000000028</v>
      </c>
      <c r="AD53" s="57">
        <f t="shared" si="71"/>
        <v>67</v>
      </c>
      <c r="AE53" s="57">
        <f t="shared" si="71"/>
        <v>60.799999999999983</v>
      </c>
      <c r="AF53" s="57">
        <f t="shared" si="71"/>
        <v>110.20000000000002</v>
      </c>
      <c r="AG53" s="57">
        <f t="shared" si="71"/>
        <v>110.40000000000003</v>
      </c>
      <c r="AH53" s="57">
        <f t="shared" si="71"/>
        <v>90.900000000000034</v>
      </c>
      <c r="AI53" s="57">
        <f t="shared" si="71"/>
        <v>86.80000000000004</v>
      </c>
      <c r="AJ53" s="57">
        <f t="shared" si="71"/>
        <v>33.499999999999943</v>
      </c>
      <c r="AK53" s="57">
        <f t="shared" si="71"/>
        <v>82.100000000000023</v>
      </c>
      <c r="AL53" s="57">
        <f t="shared" si="71"/>
        <v>119.30000000000004</v>
      </c>
      <c r="AM53" s="57">
        <f t="shared" si="71"/>
        <v>75.199999999999989</v>
      </c>
      <c r="AN53" s="57">
        <f t="shared" si="71"/>
        <v>107.49999999999997</v>
      </c>
      <c r="AO53" s="57">
        <f t="shared" si="71"/>
        <v>117.59999999999997</v>
      </c>
      <c r="AP53" s="57">
        <f t="shared" si="71"/>
        <v>126.9</v>
      </c>
      <c r="AQ53" s="57">
        <f t="shared" si="71"/>
        <v>157.065</v>
      </c>
      <c r="AR53" s="57">
        <f t="shared" si="71"/>
        <v>38.811999999999955</v>
      </c>
      <c r="AS53" s="57">
        <f t="shared" si="71"/>
        <v>132.08100000000002</v>
      </c>
      <c r="AT53" s="57">
        <f t="shared" si="71"/>
        <v>35.601000000000056</v>
      </c>
      <c r="AU53" s="57">
        <f t="shared" si="71"/>
        <v>103.41800000000003</v>
      </c>
      <c r="AV53" s="57">
        <f t="shared" si="71"/>
        <v>128.74600000000004</v>
      </c>
      <c r="AW53" s="57">
        <f>AW46-SUM(AW47:AW52)</f>
        <v>240.95499999999998</v>
      </c>
      <c r="AX53" s="57">
        <f t="shared" ref="AX53:BL53" si="72">AX46-SUM(AX47:AX52)</f>
        <v>154.97500000000014</v>
      </c>
      <c r="AY53" s="57">
        <f t="shared" si="72"/>
        <v>103.51099999999988</v>
      </c>
      <c r="AZ53" s="57">
        <f t="shared" si="72"/>
        <v>135.13399999999999</v>
      </c>
      <c r="BA53" s="57">
        <f t="shared" si="72"/>
        <v>132.4079999999999</v>
      </c>
      <c r="BB53" s="57">
        <f t="shared" si="72"/>
        <v>128.65500000000003</v>
      </c>
      <c r="BC53" s="57">
        <f t="shared" si="72"/>
        <v>114.94499999999994</v>
      </c>
      <c r="BD53" s="57">
        <f t="shared" si="72"/>
        <v>143.54500000000002</v>
      </c>
      <c r="BE53" s="57">
        <f t="shared" si="72"/>
        <v>165.30199999999996</v>
      </c>
      <c r="BF53" s="57">
        <f t="shared" si="72"/>
        <v>82.525999999999954</v>
      </c>
      <c r="BG53" s="57">
        <f t="shared" si="72"/>
        <v>-4.8059999999999832</v>
      </c>
      <c r="BH53" s="57">
        <f t="shared" si="72"/>
        <v>116.85000000000002</v>
      </c>
      <c r="BI53" s="57">
        <f t="shared" si="72"/>
        <v>149.28199999999987</v>
      </c>
      <c r="BJ53" s="57">
        <f t="shared" si="72"/>
        <v>-110.32300000000009</v>
      </c>
      <c r="BK53" s="57">
        <f t="shared" si="72"/>
        <v>125.62099999999998</v>
      </c>
      <c r="BL53" s="57">
        <f t="shared" si="72"/>
        <v>155.27499999999992</v>
      </c>
      <c r="BM53" s="57">
        <f t="shared" ref="BM53:BN53" si="73">BM46-SUM(BM47:BM52)</f>
        <v>-408.90000000000009</v>
      </c>
      <c r="BN53" s="57">
        <f t="shared" si="73"/>
        <v>1293.664</v>
      </c>
      <c r="BO53" s="57">
        <f t="shared" ref="BO53:BP53" si="74">BO46-SUM(BO47:BO52)</f>
        <v>20.181999999999903</v>
      </c>
      <c r="BP53" s="57">
        <f t="shared" si="74"/>
        <v>72.824000000000012</v>
      </c>
      <c r="BW53" s="57">
        <f t="shared" si="48"/>
        <v>230.39999999999998</v>
      </c>
      <c r="BX53" s="57">
        <f t="shared" si="49"/>
        <v>229.60000000000002</v>
      </c>
      <c r="BY53" s="57">
        <f t="shared" si="50"/>
        <v>-97.399999999999864</v>
      </c>
      <c r="BZ53" s="57">
        <f t="shared" si="51"/>
        <v>233.3</v>
      </c>
      <c r="CA53" s="57">
        <f t="shared" si="52"/>
        <v>284.89999999999998</v>
      </c>
      <c r="CB53" s="57">
        <f t="shared" si="53"/>
        <v>315.89999999999998</v>
      </c>
      <c r="CC53" s="57">
        <f t="shared" si="54"/>
        <v>319.40000000000003</v>
      </c>
      <c r="CD53" s="57">
        <f t="shared" si="55"/>
        <v>372.30000000000007</v>
      </c>
      <c r="CE53" s="57">
        <f t="shared" si="56"/>
        <v>321.70000000000005</v>
      </c>
      <c r="CF53" s="57">
        <f t="shared" si="57"/>
        <v>427.19999999999993</v>
      </c>
      <c r="CG53" s="57">
        <f t="shared" si="58"/>
        <v>363.55900000000003</v>
      </c>
      <c r="CH53" s="57">
        <f t="shared" si="59"/>
        <v>628.09400000000016</v>
      </c>
      <c r="CI53" s="57">
        <f t="shared" si="60"/>
        <v>499.7079999999998</v>
      </c>
      <c r="CJ53" s="57">
        <f t="shared" si="61"/>
        <v>506.31799999999987</v>
      </c>
      <c r="CK53" s="57">
        <f t="shared" si="62"/>
        <v>151.00299999999982</v>
      </c>
      <c r="CL53" s="67">
        <f>CL46-SUM(CL47:CL52)</f>
        <v>596.43739900000014</v>
      </c>
      <c r="CM53" s="67">
        <f t="shared" ref="CM53:CU53" si="75">CM46-SUM(CM47:CM52)</f>
        <v>540.99088905639974</v>
      </c>
      <c r="CN53" s="67">
        <f t="shared" si="75"/>
        <v>544.3852019092858</v>
      </c>
      <c r="CO53" s="67">
        <f t="shared" si="75"/>
        <v>607.80111704037813</v>
      </c>
      <c r="CP53" s="67">
        <f t="shared" si="75"/>
        <v>673.00263235378384</v>
      </c>
      <c r="CQ53" s="67">
        <f t="shared" si="75"/>
        <v>738.35516191353918</v>
      </c>
      <c r="CR53" s="67">
        <f t="shared" si="75"/>
        <v>801.8407402899843</v>
      </c>
      <c r="CS53" s="67">
        <f t="shared" si="75"/>
        <v>856.2119588842254</v>
      </c>
      <c r="CT53" s="67">
        <f t="shared" si="75"/>
        <v>909.96471541060419</v>
      </c>
      <c r="CU53" s="67">
        <f t="shared" si="75"/>
        <v>951.71190249276697</v>
      </c>
    </row>
    <row r="54" spans="2:151">
      <c r="B54" s="1" t="s">
        <v>994</v>
      </c>
      <c r="C54" s="57">
        <v>-18.8</v>
      </c>
      <c r="D54" s="57">
        <v>-19.399999999999999</v>
      </c>
      <c r="E54" s="57">
        <v>-50.2</v>
      </c>
      <c r="F54" s="57">
        <v>-37.299999999999997</v>
      </c>
      <c r="G54" s="57">
        <v>-30.6</v>
      </c>
      <c r="H54" s="57">
        <v>-16.3</v>
      </c>
      <c r="I54" s="57">
        <v>-18.899999999999999</v>
      </c>
      <c r="J54" s="57">
        <v>-19.2</v>
      </c>
      <c r="K54" s="57">
        <v>-17.7</v>
      </c>
      <c r="L54" s="57">
        <v>-17.7</v>
      </c>
      <c r="M54" s="57">
        <v>-18.2</v>
      </c>
      <c r="N54" s="57">
        <v>-14.4</v>
      </c>
      <c r="O54" s="57">
        <v>-14</v>
      </c>
      <c r="P54" s="57">
        <v>-14.3</v>
      </c>
      <c r="Q54" s="57">
        <v>-15.1</v>
      </c>
      <c r="R54" s="57">
        <v>-14.2</v>
      </c>
      <c r="S54" s="57">
        <v>-15.2</v>
      </c>
      <c r="T54" s="57">
        <v>-15.9</v>
      </c>
      <c r="U54" s="57">
        <v>-17</v>
      </c>
      <c r="V54" s="57">
        <v>-16.600000000000001</v>
      </c>
      <c r="W54" s="57">
        <v>-17</v>
      </c>
      <c r="X54" s="57">
        <v>-26.5</v>
      </c>
      <c r="Y54" s="57">
        <v>-14.2</v>
      </c>
      <c r="Z54" s="57">
        <v>-13.6</v>
      </c>
      <c r="AA54" s="57">
        <v>-13.7</v>
      </c>
      <c r="AB54" s="57">
        <v>-31</v>
      </c>
      <c r="AC54" s="57">
        <v>-12.8</v>
      </c>
      <c r="AD54" s="57">
        <v>-16.2</v>
      </c>
      <c r="AE54" s="57">
        <v>-23.1</v>
      </c>
      <c r="AF54" s="57">
        <v>-19.7</v>
      </c>
      <c r="AG54" s="57">
        <v>-21</v>
      </c>
      <c r="AH54" s="57">
        <v>-23.5</v>
      </c>
      <c r="AI54" s="57">
        <v>-25.7</v>
      </c>
      <c r="AJ54" s="57">
        <v>-26.5</v>
      </c>
      <c r="AK54" s="57">
        <v>-26.9</v>
      </c>
      <c r="AL54" s="57">
        <v>-23.1</v>
      </c>
      <c r="AM54" s="57">
        <v>-22.4</v>
      </c>
      <c r="AN54" s="57">
        <v>-20.3</v>
      </c>
      <c r="AO54" s="57">
        <v>-19.100000000000001</v>
      </c>
      <c r="AP54" s="57">
        <v>-25.6</v>
      </c>
      <c r="AQ54" s="57">
        <v>15.439</v>
      </c>
      <c r="AR54" s="57">
        <v>15.682</v>
      </c>
      <c r="AS54" s="57">
        <v>16.649999999999999</v>
      </c>
      <c r="AT54" s="57">
        <f>66.494-SUM(AQ54:AS54)</f>
        <v>18.722999999999999</v>
      </c>
      <c r="AU54" s="57">
        <v>16.797999999999998</v>
      </c>
      <c r="AV54" s="57">
        <v>16.170999999999999</v>
      </c>
      <c r="AW54" s="57">
        <v>11.989000000000001</v>
      </c>
      <c r="AX54" s="57">
        <f>56.969-SUM(AU54:AW54)</f>
        <v>12.011000000000003</v>
      </c>
      <c r="AY54" s="57">
        <v>10.417999999999999</v>
      </c>
      <c r="AZ54" s="57">
        <v>11.419</v>
      </c>
      <c r="BA54" s="57">
        <v>13.375</v>
      </c>
      <c r="BB54" s="57">
        <f>54.264-SUM(AY54:BA54)</f>
        <v>19.052</v>
      </c>
      <c r="BC54" s="57">
        <v>18.337</v>
      </c>
      <c r="BD54" s="57">
        <v>17.760000000000002</v>
      </c>
      <c r="BE54" s="57">
        <v>23.192</v>
      </c>
      <c r="BF54" s="57">
        <f>85.082-SUM(BC54:BE54)</f>
        <v>25.792999999999992</v>
      </c>
      <c r="BG54" s="57">
        <v>22.683</v>
      </c>
      <c r="BH54" s="57">
        <v>21.167999999999999</v>
      </c>
      <c r="BI54" s="57">
        <v>21.058</v>
      </c>
      <c r="BJ54" s="57">
        <f>83.544-SUM(BG54:BI54)</f>
        <v>18.635000000000005</v>
      </c>
      <c r="BK54" s="57">
        <v>18.544</v>
      </c>
      <c r="BL54" s="57">
        <v>21.707999999999998</v>
      </c>
      <c r="BM54" s="57">
        <v>31.84</v>
      </c>
      <c r="BN54" s="57">
        <f>83.544-SUM(BK54:BM54)</f>
        <v>11.451999999999998</v>
      </c>
      <c r="BO54" s="57">
        <v>25.718</v>
      </c>
      <c r="BP54" s="57">
        <v>27.952999999999999</v>
      </c>
      <c r="BW54" s="57">
        <f t="shared" si="48"/>
        <v>-125.7</v>
      </c>
      <c r="BX54" s="57">
        <f t="shared" si="49"/>
        <v>-85.000000000000014</v>
      </c>
      <c r="BY54" s="57">
        <f t="shared" si="50"/>
        <v>-68</v>
      </c>
      <c r="BZ54" s="57">
        <f t="shared" si="51"/>
        <v>-57.599999999999994</v>
      </c>
      <c r="CA54" s="57">
        <f t="shared" si="52"/>
        <v>-64.7</v>
      </c>
      <c r="CB54" s="57">
        <f t="shared" si="53"/>
        <v>-71.3</v>
      </c>
      <c r="CC54" s="57">
        <f t="shared" si="54"/>
        <v>-73.7</v>
      </c>
      <c r="CD54" s="57">
        <f t="shared" si="55"/>
        <v>-87.3</v>
      </c>
      <c r="CE54" s="57">
        <f t="shared" si="56"/>
        <v>-102.19999999999999</v>
      </c>
      <c r="CF54" s="57">
        <f t="shared" si="57"/>
        <v>-87.4</v>
      </c>
      <c r="CG54" s="57">
        <f t="shared" si="58"/>
        <v>66.494</v>
      </c>
      <c r="CH54" s="57">
        <f t="shared" si="59"/>
        <v>56.969000000000001</v>
      </c>
      <c r="CI54" s="57">
        <f t="shared" si="60"/>
        <v>54.264000000000003</v>
      </c>
      <c r="CJ54" s="57">
        <f t="shared" si="61"/>
        <v>85.081999999999994</v>
      </c>
      <c r="CK54" s="57">
        <f t="shared" si="62"/>
        <v>83.543999999999997</v>
      </c>
      <c r="CL54" s="67">
        <f>-$CK$93*5.5%</f>
        <v>-85.572849999999988</v>
      </c>
      <c r="CM54" s="67">
        <f>-$CK$93*5.5%</f>
        <v>-85.572849999999988</v>
      </c>
      <c r="CN54" s="67">
        <f t="shared" ref="CN54:CU54" si="76">-$CK$93*5.5%</f>
        <v>-85.572849999999988</v>
      </c>
      <c r="CO54" s="67">
        <f t="shared" si="76"/>
        <v>-85.572849999999988</v>
      </c>
      <c r="CP54" s="67">
        <f t="shared" si="76"/>
        <v>-85.572849999999988</v>
      </c>
      <c r="CQ54" s="67">
        <f t="shared" si="76"/>
        <v>-85.572849999999988</v>
      </c>
      <c r="CR54" s="67">
        <f t="shared" si="76"/>
        <v>-85.572849999999988</v>
      </c>
      <c r="CS54" s="67">
        <f t="shared" si="76"/>
        <v>-85.572849999999988</v>
      </c>
      <c r="CT54" s="67">
        <f t="shared" si="76"/>
        <v>-85.572849999999988</v>
      </c>
      <c r="CU54" s="67">
        <f t="shared" si="76"/>
        <v>-85.572849999999988</v>
      </c>
    </row>
    <row r="55" spans="2:151">
      <c r="B55" s="1" t="s">
        <v>993</v>
      </c>
      <c r="C55" s="57">
        <v>0</v>
      </c>
      <c r="D55" s="57">
        <v>0</v>
      </c>
      <c r="E55" s="57">
        <v>0</v>
      </c>
      <c r="F55" s="57">
        <v>0</v>
      </c>
      <c r="G55" s="57">
        <v>0</v>
      </c>
      <c r="H55" s="57">
        <v>0</v>
      </c>
      <c r="I55" s="57">
        <v>0</v>
      </c>
      <c r="J55" s="57">
        <v>0</v>
      </c>
      <c r="K55" s="57">
        <v>0</v>
      </c>
      <c r="L55" s="57">
        <v>0</v>
      </c>
      <c r="M55" s="57">
        <v>0</v>
      </c>
      <c r="N55" s="57">
        <v>0</v>
      </c>
      <c r="O55" s="57">
        <v>0</v>
      </c>
      <c r="P55" s="57">
        <v>0</v>
      </c>
      <c r="Q55" s="57">
        <v>0</v>
      </c>
      <c r="R55" s="57">
        <v>0</v>
      </c>
      <c r="S55" s="57">
        <v>0</v>
      </c>
      <c r="T55" s="57">
        <v>0</v>
      </c>
      <c r="U55" s="57">
        <v>0</v>
      </c>
      <c r="V55" s="57">
        <v>0</v>
      </c>
      <c r="W55" s="57">
        <v>0</v>
      </c>
      <c r="X55" s="57">
        <v>0</v>
      </c>
      <c r="Y55" s="57">
        <v>0</v>
      </c>
      <c r="Z55" s="57">
        <v>0</v>
      </c>
      <c r="AA55" s="57">
        <v>0</v>
      </c>
      <c r="AB55" s="57">
        <v>0</v>
      </c>
      <c r="AC55" s="57">
        <v>0</v>
      </c>
      <c r="AD55" s="57">
        <v>0</v>
      </c>
      <c r="AE55" s="57">
        <v>0</v>
      </c>
      <c r="AF55" s="57">
        <v>0</v>
      </c>
      <c r="AG55" s="57">
        <v>0</v>
      </c>
      <c r="AH55" s="57">
        <v>0</v>
      </c>
      <c r="AI55" s="57">
        <v>0</v>
      </c>
      <c r="AJ55" s="57">
        <v>0</v>
      </c>
      <c r="AK55" s="57">
        <v>0</v>
      </c>
      <c r="AL55" s="57">
        <v>0</v>
      </c>
      <c r="AM55" s="57">
        <v>0</v>
      </c>
      <c r="AN55" s="57">
        <v>0</v>
      </c>
      <c r="AO55" s="57">
        <v>0</v>
      </c>
      <c r="AP55" s="57">
        <v>0</v>
      </c>
      <c r="AQ55" s="57">
        <v>-0.57899999999999996</v>
      </c>
      <c r="AR55" s="57">
        <v>-0.16300000000000001</v>
      </c>
      <c r="AS55" s="57">
        <v>-0.214</v>
      </c>
      <c r="AT55" s="57">
        <f>-1.158-SUM(AQ55:AS55)</f>
        <v>-0.20199999999999996</v>
      </c>
      <c r="AU55" s="57">
        <v>-0.65900000000000003</v>
      </c>
      <c r="AV55" s="57">
        <v>-0.23200000000000001</v>
      </c>
      <c r="AW55" s="57">
        <v>-0.215</v>
      </c>
      <c r="AX55" s="57">
        <f>-1.328-SUM(AU55:AW55)</f>
        <v>-0.22199999999999998</v>
      </c>
      <c r="AY55" s="57">
        <v>-0.22</v>
      </c>
      <c r="AZ55" s="57">
        <v>-0.22900000000000001</v>
      </c>
      <c r="BA55" s="57">
        <v>0.126</v>
      </c>
      <c r="BB55" s="57">
        <f>-0.912-SUM(AY55:BA55)</f>
        <v>-0.58899999999999997</v>
      </c>
      <c r="BC55" s="57">
        <v>-0.84299999999999997</v>
      </c>
      <c r="BD55" s="57">
        <v>-1.1499999999999999</v>
      </c>
      <c r="BE55" s="57">
        <v>-7.4870000000000001</v>
      </c>
      <c r="BF55" s="57">
        <f>-12.78-SUM(BC55:BE55)</f>
        <v>-3.2999999999999989</v>
      </c>
      <c r="BG55" s="57">
        <v>-1.66</v>
      </c>
      <c r="BH55" s="57">
        <v>-1.7869999999999999</v>
      </c>
      <c r="BI55" s="57">
        <v>-2.298</v>
      </c>
      <c r="BJ55" s="57">
        <f>-8.009-SUM(BG55:BI55)</f>
        <v>-2.2640000000000002</v>
      </c>
      <c r="BK55" s="57">
        <v>-1.917</v>
      </c>
      <c r="BL55" s="57">
        <v>-1.6</v>
      </c>
      <c r="BM55" s="57">
        <v>-2.16</v>
      </c>
      <c r="BN55" s="57">
        <f>-8.009-SUM(BK55:BM55)</f>
        <v>-2.3319999999999999</v>
      </c>
      <c r="BO55" s="57">
        <v>-1.708</v>
      </c>
      <c r="BP55" s="57">
        <v>-1.4159999999999999</v>
      </c>
      <c r="BW55" s="57">
        <f t="shared" si="48"/>
        <v>0</v>
      </c>
      <c r="BX55" s="57">
        <f t="shared" si="49"/>
        <v>0</v>
      </c>
      <c r="BY55" s="57">
        <f t="shared" si="50"/>
        <v>0</v>
      </c>
      <c r="BZ55" s="57">
        <f t="shared" si="51"/>
        <v>0</v>
      </c>
      <c r="CA55" s="57">
        <f t="shared" si="52"/>
        <v>0</v>
      </c>
      <c r="CB55" s="57">
        <f t="shared" si="53"/>
        <v>0</v>
      </c>
      <c r="CC55" s="57">
        <f t="shared" si="54"/>
        <v>0</v>
      </c>
      <c r="CD55" s="57">
        <f t="shared" si="55"/>
        <v>0</v>
      </c>
      <c r="CE55" s="57">
        <f t="shared" si="56"/>
        <v>0</v>
      </c>
      <c r="CF55" s="57">
        <f t="shared" si="57"/>
        <v>0</v>
      </c>
      <c r="CG55" s="57">
        <f t="shared" si="58"/>
        <v>-1.1579999999999999</v>
      </c>
      <c r="CH55" s="57">
        <f t="shared" si="59"/>
        <v>-1.3280000000000001</v>
      </c>
      <c r="CI55" s="57">
        <f t="shared" si="60"/>
        <v>-0.91199999999999992</v>
      </c>
      <c r="CJ55" s="57">
        <f t="shared" si="61"/>
        <v>-12.78</v>
      </c>
      <c r="CK55" s="57">
        <f t="shared" si="62"/>
        <v>-8.0090000000000003</v>
      </c>
      <c r="CL55" s="67">
        <f>CK70*$CU$72</f>
        <v>21.473320000000001</v>
      </c>
      <c r="CM55" s="67">
        <f t="shared" ref="CM55:CU55" si="77">CL55*(1+$CU$72)</f>
        <v>23.062345680000004</v>
      </c>
      <c r="CN55" s="67">
        <f t="shared" si="77"/>
        <v>24.768959260320006</v>
      </c>
      <c r="CO55" s="67">
        <f t="shared" si="77"/>
        <v>26.601862245583689</v>
      </c>
      <c r="CP55" s="67">
        <f t="shared" si="77"/>
        <v>28.570400051756884</v>
      </c>
      <c r="CQ55" s="67">
        <f t="shared" si="77"/>
        <v>30.684609655586897</v>
      </c>
      <c r="CR55" s="67">
        <f t="shared" si="77"/>
        <v>32.955270770100327</v>
      </c>
      <c r="CS55" s="67">
        <f t="shared" si="77"/>
        <v>35.393960807087751</v>
      </c>
      <c r="CT55" s="67">
        <f t="shared" si="77"/>
        <v>38.013113906812244</v>
      </c>
      <c r="CU55" s="67">
        <f t="shared" si="77"/>
        <v>40.826084335916349</v>
      </c>
    </row>
    <row r="56" spans="2:151">
      <c r="B56" s="1" t="s">
        <v>1002</v>
      </c>
      <c r="C56" s="57">
        <v>0</v>
      </c>
      <c r="D56" s="57">
        <v>0</v>
      </c>
      <c r="E56" s="57">
        <v>0</v>
      </c>
      <c r="F56" s="57">
        <v>0</v>
      </c>
      <c r="G56" s="57">
        <v>0</v>
      </c>
      <c r="H56" s="57">
        <v>0</v>
      </c>
      <c r="I56" s="57">
        <v>0</v>
      </c>
      <c r="J56" s="57">
        <v>0</v>
      </c>
      <c r="K56" s="57">
        <v>0</v>
      </c>
      <c r="L56" s="57">
        <v>0</v>
      </c>
      <c r="M56" s="57">
        <v>0</v>
      </c>
      <c r="N56" s="57">
        <v>0</v>
      </c>
      <c r="O56" s="57">
        <v>0</v>
      </c>
      <c r="P56" s="57">
        <v>0</v>
      </c>
      <c r="Q56" s="57">
        <v>0</v>
      </c>
      <c r="R56" s="57">
        <v>0</v>
      </c>
      <c r="S56" s="57">
        <v>0</v>
      </c>
      <c r="T56" s="57">
        <v>0</v>
      </c>
      <c r="U56" s="57">
        <v>0</v>
      </c>
      <c r="V56" s="57">
        <v>0</v>
      </c>
      <c r="W56" s="57">
        <v>0</v>
      </c>
      <c r="X56" s="57">
        <v>0</v>
      </c>
      <c r="Y56" s="57">
        <v>0</v>
      </c>
      <c r="Z56" s="57">
        <v>0</v>
      </c>
      <c r="AA56" s="57">
        <v>0</v>
      </c>
      <c r="AB56" s="57">
        <v>0</v>
      </c>
      <c r="AC56" s="57">
        <v>0</v>
      </c>
      <c r="AD56" s="57">
        <v>0</v>
      </c>
      <c r="AE56" s="57">
        <v>0</v>
      </c>
      <c r="AF56" s="57">
        <v>0</v>
      </c>
      <c r="AG56" s="57">
        <v>0</v>
      </c>
      <c r="AH56" s="57">
        <v>0</v>
      </c>
      <c r="AI56" s="57">
        <v>0</v>
      </c>
      <c r="AJ56" s="57">
        <v>0</v>
      </c>
      <c r="AK56" s="57">
        <v>0</v>
      </c>
      <c r="AL56" s="57">
        <v>0</v>
      </c>
      <c r="AM56" s="57">
        <v>0</v>
      </c>
      <c r="AN56" s="57">
        <v>0</v>
      </c>
      <c r="AO56" s="57">
        <v>0</v>
      </c>
      <c r="AP56" s="57">
        <v>0</v>
      </c>
      <c r="AQ56" s="57">
        <v>0</v>
      </c>
      <c r="AR56" s="57">
        <v>0</v>
      </c>
      <c r="AS56" s="57">
        <v>0</v>
      </c>
      <c r="AT56" s="57">
        <f>0-SUM(AQ56:AS56)</f>
        <v>0</v>
      </c>
      <c r="AU56" s="57">
        <v>0</v>
      </c>
      <c r="AV56" s="57">
        <v>12.986000000000001</v>
      </c>
      <c r="AW56" s="57">
        <v>0</v>
      </c>
      <c r="AX56" s="57">
        <f>-12.986-SUM(AU56:AW56)</f>
        <v>-25.972000000000001</v>
      </c>
      <c r="AY56" s="57">
        <v>0</v>
      </c>
      <c r="AZ56" s="57">
        <v>0</v>
      </c>
      <c r="BA56" s="57">
        <v>0</v>
      </c>
      <c r="BB56" s="57">
        <f>0.454-SUM(AY56:BA56)</f>
        <v>0.45400000000000001</v>
      </c>
      <c r="BC56" s="57">
        <v>0</v>
      </c>
      <c r="BD56" s="57">
        <v>0</v>
      </c>
      <c r="BE56" s="57">
        <v>0</v>
      </c>
      <c r="BF56" s="57">
        <f>0-SUM(BC56:BE56)</f>
        <v>0</v>
      </c>
      <c r="BG56" s="57">
        <v>0</v>
      </c>
      <c r="BH56" s="57">
        <v>0</v>
      </c>
      <c r="BI56" s="57">
        <v>0</v>
      </c>
      <c r="BJ56" s="57">
        <f>0-SUM(BG56:BI56)</f>
        <v>0</v>
      </c>
      <c r="BK56" s="57">
        <v>0</v>
      </c>
      <c r="BL56" s="57">
        <v>0</v>
      </c>
      <c r="BM56" s="57">
        <v>0</v>
      </c>
      <c r="BN56" s="57">
        <f>0-SUM(BK56:BM56)</f>
        <v>0</v>
      </c>
      <c r="BO56" s="57">
        <v>0</v>
      </c>
      <c r="BP56" s="57">
        <v>1.1499999999999999</v>
      </c>
      <c r="BW56" s="57">
        <f t="shared" si="48"/>
        <v>0</v>
      </c>
      <c r="BX56" s="57">
        <f t="shared" si="49"/>
        <v>0</v>
      </c>
      <c r="BY56" s="57">
        <f t="shared" si="50"/>
        <v>0</v>
      </c>
      <c r="BZ56" s="57">
        <f t="shared" si="51"/>
        <v>0</v>
      </c>
      <c r="CA56" s="57">
        <f t="shared" si="52"/>
        <v>0</v>
      </c>
      <c r="CB56" s="57">
        <f t="shared" si="53"/>
        <v>0</v>
      </c>
      <c r="CC56" s="57">
        <f t="shared" si="54"/>
        <v>0</v>
      </c>
      <c r="CD56" s="57">
        <f t="shared" si="55"/>
        <v>0</v>
      </c>
      <c r="CE56" s="57">
        <f t="shared" si="56"/>
        <v>0</v>
      </c>
      <c r="CF56" s="57">
        <f t="shared" si="57"/>
        <v>0</v>
      </c>
      <c r="CG56" s="57">
        <f t="shared" si="58"/>
        <v>0</v>
      </c>
      <c r="CH56" s="57">
        <f t="shared" si="59"/>
        <v>-12.986000000000001</v>
      </c>
      <c r="CI56" s="57">
        <f t="shared" si="60"/>
        <v>0.45400000000000001</v>
      </c>
      <c r="CJ56" s="57">
        <f t="shared" si="61"/>
        <v>0</v>
      </c>
      <c r="CK56" s="57">
        <f t="shared" si="62"/>
        <v>0</v>
      </c>
      <c r="CL56" s="67">
        <v>0</v>
      </c>
      <c r="CM56" s="67">
        <v>0</v>
      </c>
      <c r="CN56" s="67">
        <v>0</v>
      </c>
      <c r="CO56" s="67">
        <v>0</v>
      </c>
      <c r="CP56" s="67">
        <v>0</v>
      </c>
      <c r="CQ56" s="67">
        <v>0</v>
      </c>
      <c r="CR56" s="67">
        <v>0</v>
      </c>
      <c r="CS56" s="67">
        <v>0</v>
      </c>
      <c r="CT56" s="67">
        <v>0</v>
      </c>
      <c r="CU56" s="67">
        <v>0</v>
      </c>
    </row>
    <row r="57" spans="2:151">
      <c r="B57" s="1" t="s">
        <v>995</v>
      </c>
      <c r="C57" s="57">
        <f>C53+C54</f>
        <v>47.800000000000011</v>
      </c>
      <c r="D57" s="57">
        <f t="shared" ref="D57:AP57" si="78">D53+D54</f>
        <v>44.79999999999999</v>
      </c>
      <c r="E57" s="57">
        <f t="shared" si="78"/>
        <v>3.2999999999999829</v>
      </c>
      <c r="F57" s="57">
        <f t="shared" si="78"/>
        <v>8.7999999999999829</v>
      </c>
      <c r="G57" s="57">
        <f t="shared" si="78"/>
        <v>19.100000000000001</v>
      </c>
      <c r="H57" s="57">
        <f t="shared" si="78"/>
        <v>39.59999999999998</v>
      </c>
      <c r="I57" s="57">
        <f t="shared" si="78"/>
        <v>43.000000000000007</v>
      </c>
      <c r="J57" s="57">
        <f t="shared" si="78"/>
        <v>42.90000000000002</v>
      </c>
      <c r="K57" s="57">
        <f t="shared" si="78"/>
        <v>-288.09999999999991</v>
      </c>
      <c r="L57" s="57">
        <f t="shared" si="78"/>
        <v>47.000000000000014</v>
      </c>
      <c r="M57" s="57">
        <f t="shared" si="78"/>
        <v>31.700000000000035</v>
      </c>
      <c r="N57" s="57">
        <f t="shared" si="78"/>
        <v>44.000000000000007</v>
      </c>
      <c r="O57" s="57">
        <f t="shared" si="78"/>
        <v>35.399999999999977</v>
      </c>
      <c r="P57" s="57">
        <f t="shared" si="78"/>
        <v>49.500000000000043</v>
      </c>
      <c r="Q57" s="57">
        <f t="shared" si="78"/>
        <v>50.9</v>
      </c>
      <c r="R57" s="57">
        <f t="shared" si="78"/>
        <v>39.899999999999991</v>
      </c>
      <c r="S57" s="57">
        <f t="shared" si="78"/>
        <v>43.8</v>
      </c>
      <c r="T57" s="57">
        <f t="shared" si="78"/>
        <v>58.900000000000013</v>
      </c>
      <c r="U57" s="57">
        <f t="shared" si="78"/>
        <v>64.899999999999977</v>
      </c>
      <c r="V57" s="57">
        <f t="shared" si="78"/>
        <v>52.599999999999987</v>
      </c>
      <c r="W57" s="57">
        <f t="shared" si="78"/>
        <v>48.599999999999966</v>
      </c>
      <c r="X57" s="57">
        <f t="shared" si="78"/>
        <v>50.5</v>
      </c>
      <c r="Y57" s="57">
        <f t="shared" si="78"/>
        <v>62.399999999999991</v>
      </c>
      <c r="Z57" s="57">
        <f t="shared" si="78"/>
        <v>83.100000000000023</v>
      </c>
      <c r="AA57" s="57">
        <f t="shared" si="78"/>
        <v>53.799999999999969</v>
      </c>
      <c r="AB57" s="57">
        <f t="shared" si="78"/>
        <v>67.400000000000034</v>
      </c>
      <c r="AC57" s="57">
        <f t="shared" si="78"/>
        <v>73.700000000000031</v>
      </c>
      <c r="AD57" s="57">
        <f t="shared" si="78"/>
        <v>50.8</v>
      </c>
      <c r="AE57" s="57">
        <f t="shared" si="78"/>
        <v>37.699999999999982</v>
      </c>
      <c r="AF57" s="57">
        <f t="shared" si="78"/>
        <v>90.500000000000014</v>
      </c>
      <c r="AG57" s="57">
        <f t="shared" si="78"/>
        <v>89.400000000000034</v>
      </c>
      <c r="AH57" s="57">
        <f t="shared" si="78"/>
        <v>67.400000000000034</v>
      </c>
      <c r="AI57" s="57">
        <f t="shared" si="78"/>
        <v>61.100000000000037</v>
      </c>
      <c r="AJ57" s="57">
        <f t="shared" si="78"/>
        <v>6.9999999999999432</v>
      </c>
      <c r="AK57" s="57">
        <f t="shared" si="78"/>
        <v>55.200000000000024</v>
      </c>
      <c r="AL57" s="57">
        <f t="shared" si="78"/>
        <v>96.200000000000045</v>
      </c>
      <c r="AM57" s="57">
        <f t="shared" si="78"/>
        <v>52.79999999999999</v>
      </c>
      <c r="AN57" s="57">
        <f t="shared" si="78"/>
        <v>87.199999999999974</v>
      </c>
      <c r="AO57" s="57">
        <f t="shared" si="78"/>
        <v>98.499999999999972</v>
      </c>
      <c r="AP57" s="57">
        <f t="shared" si="78"/>
        <v>101.30000000000001</v>
      </c>
      <c r="AQ57" s="57">
        <f>AQ53-SUM(AQ54:AQ56)</f>
        <v>142.20499999999998</v>
      </c>
      <c r="AR57" s="57">
        <f>AR53-SUM(AR54:AR56)</f>
        <v>23.292999999999957</v>
      </c>
      <c r="AS57" s="57">
        <f>AS53-SUM(AS54:AS56)</f>
        <v>115.64500000000001</v>
      </c>
      <c r="AT57" s="57">
        <f t="shared" ref="AT57:BL57" si="79">AT53-SUM(AT54:AT56)</f>
        <v>17.080000000000055</v>
      </c>
      <c r="AU57" s="57">
        <f t="shared" si="79"/>
        <v>87.279000000000039</v>
      </c>
      <c r="AV57" s="57">
        <f t="shared" si="79"/>
        <v>99.821000000000041</v>
      </c>
      <c r="AW57" s="57">
        <f t="shared" si="79"/>
        <v>229.18099999999998</v>
      </c>
      <c r="AX57" s="57">
        <f t="shared" si="79"/>
        <v>169.15800000000013</v>
      </c>
      <c r="AY57" s="57">
        <f t="shared" si="79"/>
        <v>93.312999999999889</v>
      </c>
      <c r="AZ57" s="57">
        <f t="shared" si="79"/>
        <v>123.94399999999999</v>
      </c>
      <c r="BA57" s="57">
        <f t="shared" si="79"/>
        <v>118.9069999999999</v>
      </c>
      <c r="BB57" s="57">
        <f t="shared" si="79"/>
        <v>109.73800000000003</v>
      </c>
      <c r="BC57" s="57">
        <f t="shared" si="79"/>
        <v>97.450999999999937</v>
      </c>
      <c r="BD57" s="57">
        <f t="shared" si="79"/>
        <v>126.93500000000002</v>
      </c>
      <c r="BE57" s="57">
        <f t="shared" si="79"/>
        <v>149.59699999999995</v>
      </c>
      <c r="BF57" s="57">
        <f t="shared" si="79"/>
        <v>60.032999999999959</v>
      </c>
      <c r="BG57" s="57">
        <f t="shared" si="79"/>
        <v>-25.828999999999983</v>
      </c>
      <c r="BH57" s="57">
        <f t="shared" si="79"/>
        <v>97.469000000000023</v>
      </c>
      <c r="BI57" s="57">
        <f t="shared" si="79"/>
        <v>130.52199999999988</v>
      </c>
      <c r="BJ57" s="57">
        <f t="shared" si="79"/>
        <v>-126.6940000000001</v>
      </c>
      <c r="BK57" s="57">
        <f t="shared" si="79"/>
        <v>108.99399999999999</v>
      </c>
      <c r="BL57" s="57">
        <f t="shared" si="79"/>
        <v>135.16699999999992</v>
      </c>
      <c r="BM57" s="57">
        <f t="shared" ref="BM57:BN57" si="80">BM53-SUM(BM54:BM56)</f>
        <v>-438.5800000000001</v>
      </c>
      <c r="BN57" s="57">
        <f t="shared" si="80"/>
        <v>1284.5440000000001</v>
      </c>
      <c r="BO57" s="57">
        <f t="shared" ref="BO57:BP57" si="81">BO53-SUM(BO54:BO56)</f>
        <v>-3.8280000000000989</v>
      </c>
      <c r="BP57" s="57">
        <f t="shared" si="81"/>
        <v>45.137000000000015</v>
      </c>
      <c r="BW57" s="57">
        <f t="shared" si="48"/>
        <v>104.69999999999996</v>
      </c>
      <c r="BX57" s="57">
        <f t="shared" si="49"/>
        <v>144.60000000000002</v>
      </c>
      <c r="BY57" s="57">
        <f t="shared" si="50"/>
        <v>-165.39999999999986</v>
      </c>
      <c r="BZ57" s="57">
        <f t="shared" si="51"/>
        <v>175.7</v>
      </c>
      <c r="CA57" s="57">
        <f t="shared" si="52"/>
        <v>220.2</v>
      </c>
      <c r="CB57" s="57">
        <f t="shared" si="53"/>
        <v>244.59999999999997</v>
      </c>
      <c r="CC57" s="57">
        <f t="shared" si="54"/>
        <v>245.70000000000005</v>
      </c>
      <c r="CD57" s="57">
        <f t="shared" si="55"/>
        <v>285.00000000000006</v>
      </c>
      <c r="CE57" s="57">
        <f t="shared" si="56"/>
        <v>219.50000000000006</v>
      </c>
      <c r="CF57" s="57">
        <f t="shared" si="57"/>
        <v>339.79999999999995</v>
      </c>
      <c r="CG57" s="57">
        <f t="shared" si="58"/>
        <v>298.22299999999996</v>
      </c>
      <c r="CH57" s="57">
        <f t="shared" si="59"/>
        <v>585.43900000000019</v>
      </c>
      <c r="CI57" s="57">
        <f t="shared" si="60"/>
        <v>445.90199999999982</v>
      </c>
      <c r="CJ57" s="57">
        <f t="shared" si="61"/>
        <v>434.01599999999991</v>
      </c>
      <c r="CK57" s="57">
        <f t="shared" si="62"/>
        <v>75.467999999999819</v>
      </c>
      <c r="CL57" s="67">
        <f>CL53+SUM(CL54:CL56)</f>
        <v>532.33786900000018</v>
      </c>
      <c r="CM57" s="67">
        <f t="shared" ref="CM57:CU57" si="82">CM53+SUM(CM54:CM56)</f>
        <v>478.48038473639974</v>
      </c>
      <c r="CN57" s="67">
        <f t="shared" si="82"/>
        <v>483.58131116960578</v>
      </c>
      <c r="CO57" s="67">
        <f t="shared" si="82"/>
        <v>548.83012928596179</v>
      </c>
      <c r="CP57" s="67">
        <f t="shared" si="82"/>
        <v>616.00018240554073</v>
      </c>
      <c r="CQ57" s="67">
        <f t="shared" si="82"/>
        <v>683.46692156912604</v>
      </c>
      <c r="CR57" s="67">
        <f t="shared" si="82"/>
        <v>749.22316106008464</v>
      </c>
      <c r="CS57" s="67">
        <f t="shared" si="82"/>
        <v>806.03306969131313</v>
      </c>
      <c r="CT57" s="67">
        <f t="shared" si="82"/>
        <v>862.40497931741641</v>
      </c>
      <c r="CU57" s="67">
        <f t="shared" si="82"/>
        <v>906.96513682868328</v>
      </c>
    </row>
    <row r="58" spans="2:151">
      <c r="B58" s="1" t="s">
        <v>996</v>
      </c>
      <c r="C58" s="57">
        <v>14.2</v>
      </c>
      <c r="D58" s="57">
        <v>12.4</v>
      </c>
      <c r="E58" s="57">
        <v>-7.7</v>
      </c>
      <c r="F58" s="57">
        <v>-2.1</v>
      </c>
      <c r="G58" s="57">
        <v>4.9000000000000004</v>
      </c>
      <c r="H58" s="57">
        <v>8.4</v>
      </c>
      <c r="I58" s="57">
        <v>10.1</v>
      </c>
      <c r="J58" s="57">
        <v>2.2999999999999998</v>
      </c>
      <c r="K58" s="57">
        <v>-4</v>
      </c>
      <c r="L58" s="57">
        <v>-0.3</v>
      </c>
      <c r="M58" s="57">
        <v>7.2</v>
      </c>
      <c r="N58" s="57">
        <v>13.5</v>
      </c>
      <c r="O58" s="57">
        <v>7.7</v>
      </c>
      <c r="P58" s="57">
        <v>6.1</v>
      </c>
      <c r="Q58" s="57">
        <v>5.2</v>
      </c>
      <c r="R58" s="57">
        <v>4.5999999999999996</v>
      </c>
      <c r="S58" s="57">
        <v>8.5</v>
      </c>
      <c r="T58" s="57">
        <v>10</v>
      </c>
      <c r="U58" s="57">
        <v>9.6999999999999993</v>
      </c>
      <c r="V58" s="57">
        <v>0.4</v>
      </c>
      <c r="W58" s="57">
        <v>9.3000000000000007</v>
      </c>
      <c r="X58" s="57">
        <v>5.3</v>
      </c>
      <c r="Y58" s="57">
        <v>0.8</v>
      </c>
      <c r="Z58" s="57">
        <v>-7.6</v>
      </c>
      <c r="AA58" s="57">
        <v>2.6</v>
      </c>
      <c r="AB58" s="57">
        <v>8</v>
      </c>
      <c r="AC58" s="57">
        <v>7.5</v>
      </c>
      <c r="AD58" s="57">
        <v>-10.1</v>
      </c>
      <c r="AE58" s="57">
        <v>-2.7</v>
      </c>
      <c r="AF58" s="57">
        <v>12.1</v>
      </c>
      <c r="AG58" s="57">
        <v>10</v>
      </c>
      <c r="AH58" s="57">
        <v>110.2</v>
      </c>
      <c r="AI58" s="57">
        <v>6.2</v>
      </c>
      <c r="AJ58" s="57">
        <v>9.6</v>
      </c>
      <c r="AK58" s="57">
        <v>-1.3</v>
      </c>
      <c r="AL58" s="57">
        <v>8.6999999999999993</v>
      </c>
      <c r="AM58" s="57">
        <v>11</v>
      </c>
      <c r="AN58" s="57">
        <v>3.8</v>
      </c>
      <c r="AO58" s="57">
        <v>-130.4</v>
      </c>
      <c r="AP58" s="57">
        <v>-6.5</v>
      </c>
      <c r="AQ58" s="57">
        <v>11.074</v>
      </c>
      <c r="AR58" s="57">
        <v>11.848000000000001</v>
      </c>
      <c r="AS58" s="57">
        <v>-0.95099999999999996</v>
      </c>
      <c r="AT58" s="57">
        <f>21.93-SUM(AQ58:AS58)</f>
        <v>-4.1000000000000369E-2</v>
      </c>
      <c r="AU58" s="57">
        <v>12.428000000000001</v>
      </c>
      <c r="AV58" s="57">
        <v>16.411999999999999</v>
      </c>
      <c r="AW58" s="57">
        <v>29.69</v>
      </c>
      <c r="AX58" s="57">
        <f>74.349-SUM(AU58:AW58)</f>
        <v>15.819000000000003</v>
      </c>
      <c r="AY58" s="57">
        <v>15.973000000000001</v>
      </c>
      <c r="AZ58" s="57">
        <v>18.411999999999999</v>
      </c>
      <c r="BA58" s="57">
        <v>17.315000000000001</v>
      </c>
      <c r="BB58" s="57">
        <f>83-SUM(AY58:BA58)</f>
        <v>31.299999999999997</v>
      </c>
      <c r="BC58" s="57">
        <v>20.184000000000001</v>
      </c>
      <c r="BD58" s="57">
        <v>15.53</v>
      </c>
      <c r="BE58" s="57">
        <v>11.935</v>
      </c>
      <c r="BF58" s="57">
        <f>76.44-SUM(BC58:BE58)</f>
        <v>28.790999999999997</v>
      </c>
      <c r="BG58" s="57">
        <v>-41.551000000000002</v>
      </c>
      <c r="BH58" s="57">
        <v>17.332000000000001</v>
      </c>
      <c r="BI58" s="57">
        <v>19.632999999999999</v>
      </c>
      <c r="BJ58" s="57">
        <f>5.316-SUM(BG58:BI58)</f>
        <v>9.902000000000001</v>
      </c>
      <c r="BK58" s="57">
        <f>13.83</f>
        <v>13.83</v>
      </c>
      <c r="BL58" s="57">
        <v>12.662000000000001</v>
      </c>
      <c r="BM58" s="57">
        <v>-29.69</v>
      </c>
      <c r="BN58" s="57">
        <f>5.316-SUM(BK58:BM58)</f>
        <v>8.5139999999999993</v>
      </c>
      <c r="BO58" s="57">
        <v>1.0109999999999999</v>
      </c>
      <c r="BP58" s="57">
        <v>3.375</v>
      </c>
      <c r="BW58" s="57">
        <f t="shared" si="48"/>
        <v>16.8</v>
      </c>
      <c r="BX58" s="57">
        <f t="shared" si="49"/>
        <v>25.7</v>
      </c>
      <c r="BY58" s="57">
        <f t="shared" si="50"/>
        <v>16.399999999999999</v>
      </c>
      <c r="BZ58" s="57">
        <f t="shared" si="51"/>
        <v>23.6</v>
      </c>
      <c r="CA58" s="57">
        <f t="shared" si="52"/>
        <v>28.599999999999998</v>
      </c>
      <c r="CB58" s="57">
        <f t="shared" si="53"/>
        <v>7.8000000000000025</v>
      </c>
      <c r="CC58" s="57">
        <f t="shared" si="54"/>
        <v>8.0000000000000018</v>
      </c>
      <c r="CD58" s="57">
        <f t="shared" si="55"/>
        <v>129.6</v>
      </c>
      <c r="CE58" s="57">
        <f t="shared" si="56"/>
        <v>23.2</v>
      </c>
      <c r="CF58" s="57">
        <f t="shared" si="57"/>
        <v>-122.10000000000001</v>
      </c>
      <c r="CG58" s="57">
        <f t="shared" si="58"/>
        <v>21.93</v>
      </c>
      <c r="CH58" s="57">
        <f t="shared" si="59"/>
        <v>74.349000000000004</v>
      </c>
      <c r="CI58" s="57">
        <f t="shared" si="60"/>
        <v>83</v>
      </c>
      <c r="CJ58" s="57">
        <f t="shared" si="61"/>
        <v>76.44</v>
      </c>
      <c r="CK58" s="57">
        <f t="shared" si="62"/>
        <v>5.3159999999999989</v>
      </c>
      <c r="CL58" s="67">
        <f>CL57*CL67</f>
        <v>63.880544280000016</v>
      </c>
      <c r="CM58" s="67">
        <f t="shared" ref="CM58:CU58" si="83">CM57*CM67</f>
        <v>71.772057710459961</v>
      </c>
      <c r="CN58" s="67">
        <f t="shared" si="83"/>
        <v>77.373009787136922</v>
      </c>
      <c r="CO58" s="67">
        <f t="shared" si="83"/>
        <v>87.812820685753891</v>
      </c>
      <c r="CP58" s="67">
        <f t="shared" si="83"/>
        <v>98.560029184886517</v>
      </c>
      <c r="CQ58" s="67">
        <f t="shared" si="83"/>
        <v>109.35470745106016</v>
      </c>
      <c r="CR58" s="67">
        <f t="shared" si="83"/>
        <v>119.87570576961355</v>
      </c>
      <c r="CS58" s="67">
        <f t="shared" si="83"/>
        <v>128.96529115061011</v>
      </c>
      <c r="CT58" s="67">
        <f t="shared" si="83"/>
        <v>137.98479669078662</v>
      </c>
      <c r="CU58" s="67">
        <f t="shared" si="83"/>
        <v>145.11442189258932</v>
      </c>
    </row>
    <row r="59" spans="2:151" s="2" customFormat="1" ht="15">
      <c r="B59" s="2" t="s">
        <v>997</v>
      </c>
      <c r="C59" s="58">
        <f>C57-C58</f>
        <v>33.600000000000009</v>
      </c>
      <c r="D59" s="58">
        <f t="shared" ref="D59:BH59" si="84">D57-D58</f>
        <v>32.399999999999991</v>
      </c>
      <c r="E59" s="58">
        <f t="shared" si="84"/>
        <v>10.999999999999982</v>
      </c>
      <c r="F59" s="58">
        <f t="shared" si="84"/>
        <v>10.899999999999983</v>
      </c>
      <c r="G59" s="58">
        <f t="shared" si="84"/>
        <v>14.200000000000001</v>
      </c>
      <c r="H59" s="58">
        <f t="shared" si="84"/>
        <v>31.199999999999982</v>
      </c>
      <c r="I59" s="58">
        <f t="shared" si="84"/>
        <v>32.900000000000006</v>
      </c>
      <c r="J59" s="58">
        <f t="shared" si="84"/>
        <v>40.600000000000023</v>
      </c>
      <c r="K59" s="58">
        <f t="shared" si="84"/>
        <v>-284.09999999999991</v>
      </c>
      <c r="L59" s="58">
        <f t="shared" si="84"/>
        <v>47.300000000000011</v>
      </c>
      <c r="M59" s="58">
        <f t="shared" si="84"/>
        <v>24.500000000000036</v>
      </c>
      <c r="N59" s="58">
        <f t="shared" si="84"/>
        <v>30.500000000000007</v>
      </c>
      <c r="O59" s="58">
        <f t="shared" si="84"/>
        <v>27.699999999999978</v>
      </c>
      <c r="P59" s="58">
        <f t="shared" si="84"/>
        <v>43.400000000000041</v>
      </c>
      <c r="Q59" s="58">
        <f t="shared" si="84"/>
        <v>45.699999999999996</v>
      </c>
      <c r="R59" s="58">
        <f t="shared" si="84"/>
        <v>35.29999999999999</v>
      </c>
      <c r="S59" s="58">
        <f t="shared" si="84"/>
        <v>35.299999999999997</v>
      </c>
      <c r="T59" s="58">
        <f t="shared" si="84"/>
        <v>48.900000000000013</v>
      </c>
      <c r="U59" s="58">
        <f t="shared" si="84"/>
        <v>55.199999999999974</v>
      </c>
      <c r="V59" s="58">
        <f t="shared" si="84"/>
        <v>52.199999999999989</v>
      </c>
      <c r="W59" s="58">
        <f t="shared" si="84"/>
        <v>39.299999999999969</v>
      </c>
      <c r="X59" s="58">
        <f t="shared" si="84"/>
        <v>45.2</v>
      </c>
      <c r="Y59" s="58">
        <f t="shared" si="84"/>
        <v>61.599999999999994</v>
      </c>
      <c r="Z59" s="58">
        <f t="shared" si="84"/>
        <v>90.700000000000017</v>
      </c>
      <c r="AA59" s="58">
        <f t="shared" si="84"/>
        <v>51.199999999999967</v>
      </c>
      <c r="AB59" s="58">
        <f t="shared" si="84"/>
        <v>59.400000000000034</v>
      </c>
      <c r="AC59" s="58">
        <f t="shared" si="84"/>
        <v>66.200000000000031</v>
      </c>
      <c r="AD59" s="58">
        <f t="shared" si="84"/>
        <v>60.9</v>
      </c>
      <c r="AE59" s="58">
        <f t="shared" si="84"/>
        <v>40.399999999999984</v>
      </c>
      <c r="AF59" s="58">
        <f t="shared" si="84"/>
        <v>78.40000000000002</v>
      </c>
      <c r="AG59" s="58">
        <f t="shared" si="84"/>
        <v>79.400000000000034</v>
      </c>
      <c r="AH59" s="58">
        <f t="shared" si="84"/>
        <v>-42.799999999999969</v>
      </c>
      <c r="AI59" s="58">
        <f t="shared" si="84"/>
        <v>54.900000000000034</v>
      </c>
      <c r="AJ59" s="58">
        <f t="shared" si="84"/>
        <v>-2.6000000000000565</v>
      </c>
      <c r="AK59" s="58">
        <f t="shared" si="84"/>
        <v>56.500000000000021</v>
      </c>
      <c r="AL59" s="58">
        <f t="shared" si="84"/>
        <v>87.500000000000043</v>
      </c>
      <c r="AM59" s="58">
        <f t="shared" si="84"/>
        <v>41.79999999999999</v>
      </c>
      <c r="AN59" s="58">
        <f t="shared" si="84"/>
        <v>83.399999999999977</v>
      </c>
      <c r="AO59" s="58">
        <f t="shared" si="84"/>
        <v>228.89999999999998</v>
      </c>
      <c r="AP59" s="58">
        <f t="shared" si="84"/>
        <v>107.80000000000001</v>
      </c>
      <c r="AQ59" s="58">
        <f t="shared" si="84"/>
        <v>131.13099999999997</v>
      </c>
      <c r="AR59" s="58">
        <f>AR57-AR58+0.013</f>
        <v>11.457999999999956</v>
      </c>
      <c r="AS59" s="58">
        <f>AS57-AS58-0.018</f>
        <v>116.578</v>
      </c>
      <c r="AT59" s="58">
        <f t="shared" si="84"/>
        <v>17.121000000000056</v>
      </c>
      <c r="AU59" s="58">
        <f t="shared" si="84"/>
        <v>74.851000000000042</v>
      </c>
      <c r="AV59" s="58">
        <f>AV57-AV58-0.035</f>
        <v>83.374000000000052</v>
      </c>
      <c r="AW59" s="58">
        <f>AW57-AW58-0.325</f>
        <v>199.166</v>
      </c>
      <c r="AX59" s="58">
        <f t="shared" si="84"/>
        <v>153.33900000000011</v>
      </c>
      <c r="AY59" s="58">
        <f>AY57-AY58-0.226</f>
        <v>77.113999999999891</v>
      </c>
      <c r="AZ59" s="58">
        <f>AZ57-AZ58-0.041</f>
        <v>105.49099999999999</v>
      </c>
      <c r="BA59" s="58">
        <f t="shared" si="84"/>
        <v>101.5919999999999</v>
      </c>
      <c r="BB59" s="58">
        <f t="shared" si="84"/>
        <v>78.438000000000031</v>
      </c>
      <c r="BC59" s="58">
        <f>BC57-BC58-0.548</f>
        <v>76.718999999999937</v>
      </c>
      <c r="BD59" s="58">
        <f>BD57-BD58-0.08</f>
        <v>111.32500000000002</v>
      </c>
      <c r="BE59" s="58">
        <f>BE57-BE58-0.53</f>
        <v>137.13199999999995</v>
      </c>
      <c r="BF59" s="58">
        <f>BF57-BF58-1.24</f>
        <v>30.001999999999963</v>
      </c>
      <c r="BG59" s="58">
        <f>BG57-BG58-0.452</f>
        <v>15.270000000000019</v>
      </c>
      <c r="BH59" s="58">
        <f t="shared" si="84"/>
        <v>80.137000000000029</v>
      </c>
      <c r="BI59" s="58">
        <f>BI57-BI58</f>
        <v>110.88899999999988</v>
      </c>
      <c r="BJ59" s="58">
        <f>BJ57-BJ58</f>
        <v>-136.59600000000012</v>
      </c>
      <c r="BK59" s="58">
        <f>BK57-BK58-0.1</f>
        <v>95.063999999999993</v>
      </c>
      <c r="BL59" s="58">
        <f>BL57-BL58</f>
        <v>122.50499999999991</v>
      </c>
      <c r="BM59" s="58">
        <f>BM57-BM58</f>
        <v>-408.8900000000001</v>
      </c>
      <c r="BN59" s="58">
        <f>BN57-BN58</f>
        <v>1276.0300000000002</v>
      </c>
      <c r="BO59" s="58">
        <f>BO57-BO58-3.316</f>
        <v>-8.1550000000000988</v>
      </c>
      <c r="BP59" s="58">
        <f>BP57-BP58</f>
        <v>41.762000000000015</v>
      </c>
      <c r="BQ59" s="34"/>
      <c r="BR59" s="34"/>
      <c r="BW59" s="58">
        <f t="shared" si="48"/>
        <v>87.899999999999963</v>
      </c>
      <c r="BX59" s="58">
        <f t="shared" si="49"/>
        <v>118.9</v>
      </c>
      <c r="BY59" s="58">
        <f t="shared" si="50"/>
        <v>-181.79999999999987</v>
      </c>
      <c r="BZ59" s="58">
        <f t="shared" si="51"/>
        <v>152.1</v>
      </c>
      <c r="CA59" s="58">
        <f t="shared" si="52"/>
        <v>191.59999999999997</v>
      </c>
      <c r="CB59" s="58">
        <f t="shared" si="53"/>
        <v>236.79999999999998</v>
      </c>
      <c r="CC59" s="58">
        <f t="shared" si="54"/>
        <v>237.70000000000002</v>
      </c>
      <c r="CD59" s="58">
        <f t="shared" si="55"/>
        <v>155.40000000000009</v>
      </c>
      <c r="CE59" s="58">
        <f t="shared" si="56"/>
        <v>196.30000000000004</v>
      </c>
      <c r="CF59" s="58">
        <f t="shared" si="57"/>
        <v>461.89999999999992</v>
      </c>
      <c r="CG59" s="58">
        <f t="shared" si="58"/>
        <v>276.28799999999995</v>
      </c>
      <c r="CH59" s="58">
        <f t="shared" si="59"/>
        <v>510.73000000000019</v>
      </c>
      <c r="CI59" s="58">
        <f t="shared" si="60"/>
        <v>362.63499999999982</v>
      </c>
      <c r="CJ59" s="58">
        <f t="shared" si="61"/>
        <v>355.17799999999988</v>
      </c>
      <c r="CK59" s="58">
        <f t="shared" si="62"/>
        <v>69.699999999999818</v>
      </c>
      <c r="CL59" s="68">
        <f>CL57-CL58</f>
        <v>468.45732472000014</v>
      </c>
      <c r="CM59" s="68">
        <f t="shared" ref="CM59:CU59" si="85">CM57-CM58</f>
        <v>406.70832702593975</v>
      </c>
      <c r="CN59" s="68">
        <f t="shared" si="85"/>
        <v>406.20830138246885</v>
      </c>
      <c r="CO59" s="68">
        <f t="shared" si="85"/>
        <v>461.01730860020791</v>
      </c>
      <c r="CP59" s="68">
        <f t="shared" si="85"/>
        <v>517.44015322065422</v>
      </c>
      <c r="CQ59" s="68">
        <f t="shared" si="85"/>
        <v>574.11221411806582</v>
      </c>
      <c r="CR59" s="68">
        <f t="shared" si="85"/>
        <v>629.34745529047109</v>
      </c>
      <c r="CS59" s="68">
        <f t="shared" si="85"/>
        <v>677.06777854070299</v>
      </c>
      <c r="CT59" s="68">
        <f t="shared" si="85"/>
        <v>724.42018262662975</v>
      </c>
      <c r="CU59" s="68">
        <f t="shared" si="85"/>
        <v>761.85071493609394</v>
      </c>
      <c r="CV59" s="68">
        <f t="shared" ref="CV59:EA59" si="86">CU59*(1+$CU$73)</f>
        <v>769.46922208545493</v>
      </c>
      <c r="CW59" s="68">
        <f t="shared" si="86"/>
        <v>777.16391430630949</v>
      </c>
      <c r="CX59" s="68">
        <f t="shared" si="86"/>
        <v>784.93555344937261</v>
      </c>
      <c r="CY59" s="68">
        <f t="shared" si="86"/>
        <v>792.78490898386633</v>
      </c>
      <c r="CZ59" s="68">
        <f t="shared" si="86"/>
        <v>800.712758073705</v>
      </c>
      <c r="DA59" s="68">
        <f t="shared" si="86"/>
        <v>808.71988565444201</v>
      </c>
      <c r="DB59" s="68">
        <f t="shared" si="86"/>
        <v>816.80708451098644</v>
      </c>
      <c r="DC59" s="68">
        <f t="shared" si="86"/>
        <v>824.97515535609637</v>
      </c>
      <c r="DD59" s="68">
        <f t="shared" si="86"/>
        <v>833.22490690965731</v>
      </c>
      <c r="DE59" s="68">
        <f t="shared" si="86"/>
        <v>841.55715597875394</v>
      </c>
      <c r="DF59" s="68">
        <f t="shared" si="86"/>
        <v>849.97272753854145</v>
      </c>
      <c r="DG59" s="68">
        <f t="shared" si="86"/>
        <v>858.4724548139269</v>
      </c>
      <c r="DH59" s="68">
        <f t="shared" si="86"/>
        <v>867.05717936206622</v>
      </c>
      <c r="DI59" s="68">
        <f t="shared" si="86"/>
        <v>875.72775115568686</v>
      </c>
      <c r="DJ59" s="68">
        <f t="shared" si="86"/>
        <v>884.48502866724368</v>
      </c>
      <c r="DK59" s="68">
        <f t="shared" si="86"/>
        <v>893.32987895391614</v>
      </c>
      <c r="DL59" s="68">
        <f t="shared" si="86"/>
        <v>902.26317774345534</v>
      </c>
      <c r="DM59" s="68">
        <f t="shared" si="86"/>
        <v>911.28580952088987</v>
      </c>
      <c r="DN59" s="68">
        <f t="shared" si="86"/>
        <v>920.39866761609881</v>
      </c>
      <c r="DO59" s="68">
        <f t="shared" si="86"/>
        <v>929.60265429225979</v>
      </c>
      <c r="DP59" s="68">
        <f t="shared" si="86"/>
        <v>938.8986808351824</v>
      </c>
      <c r="DQ59" s="68">
        <f t="shared" si="86"/>
        <v>948.28766764353429</v>
      </c>
      <c r="DR59" s="68">
        <f t="shared" si="86"/>
        <v>957.77054431996964</v>
      </c>
      <c r="DS59" s="68">
        <f t="shared" si="86"/>
        <v>967.34824976316941</v>
      </c>
      <c r="DT59" s="68">
        <f t="shared" si="86"/>
        <v>977.02173226080106</v>
      </c>
      <c r="DU59" s="68">
        <f t="shared" si="86"/>
        <v>986.79194958340906</v>
      </c>
      <c r="DV59" s="68">
        <f t="shared" si="86"/>
        <v>996.65986907924321</v>
      </c>
      <c r="DW59" s="68">
        <f t="shared" si="86"/>
        <v>1006.6264677700357</v>
      </c>
      <c r="DX59" s="68">
        <f t="shared" si="86"/>
        <v>1016.692732447736</v>
      </c>
      <c r="DY59" s="68">
        <f t="shared" si="86"/>
        <v>1026.8596597722135</v>
      </c>
      <c r="DZ59" s="68">
        <f t="shared" si="86"/>
        <v>1037.1282563699356</v>
      </c>
      <c r="EA59" s="68">
        <f t="shared" si="86"/>
        <v>1047.499538933635</v>
      </c>
      <c r="EB59" s="68">
        <f t="shared" ref="EB59:ES59" si="87">EA59*(1+$CU$73)</f>
        <v>1057.9745343229713</v>
      </c>
      <c r="EC59" s="68">
        <f t="shared" si="87"/>
        <v>1068.554279666201</v>
      </c>
      <c r="ED59" s="68">
        <f t="shared" si="87"/>
        <v>1079.239822462863</v>
      </c>
      <c r="EE59" s="68">
        <f t="shared" si="87"/>
        <v>1090.0322206874916</v>
      </c>
      <c r="EF59" s="68">
        <f t="shared" si="87"/>
        <v>1100.9325428943666</v>
      </c>
      <c r="EG59" s="68">
        <f t="shared" si="87"/>
        <v>1111.9418683233102</v>
      </c>
      <c r="EH59" s="68">
        <f t="shared" si="87"/>
        <v>1123.0612870065434</v>
      </c>
      <c r="EI59" s="68">
        <f t="shared" si="87"/>
        <v>1134.2918998766088</v>
      </c>
      <c r="EJ59" s="68">
        <f t="shared" si="87"/>
        <v>1145.634818875375</v>
      </c>
      <c r="EK59" s="68">
        <f t="shared" si="87"/>
        <v>1157.0911670641287</v>
      </c>
      <c r="EL59" s="68">
        <f t="shared" si="87"/>
        <v>1168.6620787347701</v>
      </c>
      <c r="EM59" s="68">
        <f t="shared" si="87"/>
        <v>1180.3486995221178</v>
      </c>
      <c r="EN59" s="68">
        <f t="shared" si="87"/>
        <v>1192.152186517339</v>
      </c>
      <c r="EO59" s="68">
        <f t="shared" si="87"/>
        <v>1204.0737083825125</v>
      </c>
      <c r="EP59" s="68">
        <f t="shared" si="87"/>
        <v>1216.1144454663377</v>
      </c>
      <c r="EQ59" s="68">
        <f t="shared" si="87"/>
        <v>1228.275589921001</v>
      </c>
      <c r="ER59" s="68">
        <f t="shared" si="87"/>
        <v>1240.5583458202111</v>
      </c>
      <c r="ES59" s="68">
        <f t="shared" si="87"/>
        <v>1252.9639292784132</v>
      </c>
      <c r="ET59" s="34"/>
      <c r="EU59" s="34"/>
    </row>
    <row r="60" spans="2:151">
      <c r="B60" s="1" t="s">
        <v>137</v>
      </c>
      <c r="C60" s="57">
        <v>40</v>
      </c>
      <c r="D60" s="57">
        <v>40</v>
      </c>
      <c r="E60" s="57">
        <v>40</v>
      </c>
      <c r="F60" s="57">
        <v>40</v>
      </c>
      <c r="G60" s="57">
        <v>40</v>
      </c>
      <c r="H60" s="57">
        <v>41</v>
      </c>
      <c r="I60" s="57">
        <v>41</v>
      </c>
      <c r="J60" s="57">
        <v>41</v>
      </c>
      <c r="K60" s="57">
        <v>41</v>
      </c>
      <c r="L60" s="57">
        <v>41</v>
      </c>
      <c r="M60" s="57">
        <v>41</v>
      </c>
      <c r="N60" s="57">
        <v>41</v>
      </c>
      <c r="O60" s="57">
        <v>41</v>
      </c>
      <c r="P60" s="57">
        <v>41</v>
      </c>
      <c r="Q60" s="57">
        <v>41</v>
      </c>
      <c r="R60" s="57">
        <v>41</v>
      </c>
      <c r="S60" s="57">
        <v>41</v>
      </c>
      <c r="T60" s="57">
        <v>41</v>
      </c>
      <c r="U60" s="57">
        <v>41</v>
      </c>
      <c r="V60" s="57">
        <v>41</v>
      </c>
      <c r="W60" s="57">
        <v>41</v>
      </c>
      <c r="X60" s="57">
        <v>42</v>
      </c>
      <c r="Y60" s="57">
        <v>42</v>
      </c>
      <c r="Z60" s="57">
        <v>42</v>
      </c>
      <c r="AA60" s="57">
        <v>42</v>
      </c>
      <c r="AB60" s="57">
        <v>44</v>
      </c>
      <c r="AC60" s="57">
        <v>44</v>
      </c>
      <c r="AD60" s="57">
        <v>43</v>
      </c>
      <c r="AE60" s="57">
        <v>45</v>
      </c>
      <c r="AF60" s="57">
        <v>45</v>
      </c>
      <c r="AG60" s="57">
        <v>45</v>
      </c>
      <c r="AH60" s="57">
        <v>45</v>
      </c>
      <c r="AI60" s="57">
        <v>45</v>
      </c>
      <c r="AJ60" s="57">
        <v>46</v>
      </c>
      <c r="AK60" s="57">
        <v>46</v>
      </c>
      <c r="AL60" s="57">
        <v>46</v>
      </c>
      <c r="AM60" s="57">
        <v>46</v>
      </c>
      <c r="AN60" s="57">
        <v>46</v>
      </c>
      <c r="AO60" s="57">
        <v>46</v>
      </c>
      <c r="AP60" s="57">
        <v>46</v>
      </c>
      <c r="AQ60" s="57">
        <v>46.381999999999998</v>
      </c>
      <c r="AR60" s="57">
        <v>46.442</v>
      </c>
      <c r="AS60" s="57">
        <v>46.53</v>
      </c>
      <c r="AT60" s="57">
        <v>335.32400000000001</v>
      </c>
      <c r="AU60" s="57">
        <v>46.698</v>
      </c>
      <c r="AV60" s="57">
        <v>46.741</v>
      </c>
      <c r="AW60" s="57">
        <v>46.81</v>
      </c>
      <c r="AX60" s="57">
        <v>46.77</v>
      </c>
      <c r="AY60" s="57">
        <v>46.875999999999998</v>
      </c>
      <c r="AZ60" s="57">
        <v>46.901000000000003</v>
      </c>
      <c r="BA60" s="57">
        <v>46.905999999999999</v>
      </c>
      <c r="BB60" s="57">
        <v>46.898000000000003</v>
      </c>
      <c r="BC60" s="57">
        <v>46.948999999999998</v>
      </c>
      <c r="BD60" s="57">
        <v>46.981000000000002</v>
      </c>
      <c r="BE60" s="57">
        <v>46.991999999999997</v>
      </c>
      <c r="BF60" s="57">
        <v>46.981000000000002</v>
      </c>
      <c r="BG60" s="57">
        <v>47.067999999999998</v>
      </c>
      <c r="BH60" s="57">
        <v>47.151000000000003</v>
      </c>
      <c r="BI60" s="57">
        <v>46.723999999999997</v>
      </c>
      <c r="BJ60" s="57">
        <v>46.837000000000003</v>
      </c>
      <c r="BK60" s="57">
        <v>45.781999999999996</v>
      </c>
      <c r="BL60" s="57">
        <v>44.268999999999998</v>
      </c>
      <c r="BM60" s="57">
        <v>44.237000000000002</v>
      </c>
      <c r="BN60" s="57">
        <v>46.837000000000003</v>
      </c>
      <c r="BO60" s="57">
        <v>44.256999999999998</v>
      </c>
      <c r="BP60" s="57">
        <v>43.56</v>
      </c>
      <c r="BW60" s="57">
        <f>AVERAGE(C60:F60)</f>
        <v>40</v>
      </c>
      <c r="BX60" s="57">
        <f>AVERAGE(G60:J60)</f>
        <v>40.75</v>
      </c>
      <c r="BY60" s="57">
        <f>AVERAGE(K60:N60)</f>
        <v>41</v>
      </c>
      <c r="BZ60" s="57">
        <f>AVERAGE(O60:R60)</f>
        <v>41</v>
      </c>
      <c r="CA60" s="57">
        <f>AVERAGE(S60:V60)</f>
        <v>41</v>
      </c>
      <c r="CB60" s="57">
        <f>AVERAGE(W60:Z60)</f>
        <v>41.75</v>
      </c>
      <c r="CC60" s="57">
        <f>AVERAGE(AA60:AD60)</f>
        <v>43.25</v>
      </c>
      <c r="CD60" s="57">
        <f>AVERAGE(AE60:AH60)</f>
        <v>45</v>
      </c>
      <c r="CE60" s="57">
        <f>AVERAGE(AI60:AL60)</f>
        <v>45.75</v>
      </c>
      <c r="CF60" s="57">
        <f>AVERAGE(AM60:AP60)</f>
        <v>46</v>
      </c>
      <c r="CG60" s="57">
        <f>AVERAGE(AQ60:AT60)</f>
        <v>118.6695</v>
      </c>
      <c r="CH60" s="57">
        <f>AVERAGE(AU60:AX60)</f>
        <v>46.754750000000001</v>
      </c>
      <c r="CI60" s="57">
        <f>AVERAGE(AY60:BB60)</f>
        <v>46.895249999999997</v>
      </c>
      <c r="CJ60" s="57">
        <f>AVERAGE(BC60:BF60)</f>
        <v>46.975749999999998</v>
      </c>
      <c r="CK60" s="57">
        <f>AVERAGE(BG60:BJ60)</f>
        <v>46.944999999999993</v>
      </c>
    </row>
    <row r="61" spans="2:151">
      <c r="B61" s="1" t="s">
        <v>999</v>
      </c>
      <c r="C61" s="39">
        <f t="shared" ref="C61:BK61" si="88">C59/C60</f>
        <v>0.84000000000000019</v>
      </c>
      <c r="D61" s="39">
        <f t="shared" si="88"/>
        <v>0.80999999999999983</v>
      </c>
      <c r="E61" s="39">
        <f t="shared" si="88"/>
        <v>0.27499999999999958</v>
      </c>
      <c r="F61" s="39">
        <f t="shared" si="88"/>
        <v>0.27249999999999958</v>
      </c>
      <c r="G61" s="39">
        <f t="shared" si="88"/>
        <v>0.35500000000000004</v>
      </c>
      <c r="H61" s="39">
        <f t="shared" si="88"/>
        <v>0.76097560975609713</v>
      </c>
      <c r="I61" s="39">
        <f t="shared" si="88"/>
        <v>0.80243902439024406</v>
      </c>
      <c r="J61" s="39">
        <f t="shared" si="88"/>
        <v>0.99024390243902494</v>
      </c>
      <c r="K61" s="39">
        <f t="shared" si="88"/>
        <v>-6.9292682926829245</v>
      </c>
      <c r="L61" s="39">
        <f t="shared" si="88"/>
        <v>1.1536585365853662</v>
      </c>
      <c r="M61" s="39">
        <f t="shared" si="88"/>
        <v>0.59756097560975696</v>
      </c>
      <c r="N61" s="39">
        <f t="shared" si="88"/>
        <v>0.74390243902439046</v>
      </c>
      <c r="O61" s="39">
        <f t="shared" si="88"/>
        <v>0.67560975609756047</v>
      </c>
      <c r="P61" s="39">
        <f t="shared" si="88"/>
        <v>1.0585365853658546</v>
      </c>
      <c r="Q61" s="39">
        <f t="shared" si="88"/>
        <v>1.1146341463414633</v>
      </c>
      <c r="R61" s="39">
        <f t="shared" si="88"/>
        <v>0.86097560975609733</v>
      </c>
      <c r="S61" s="39">
        <f t="shared" si="88"/>
        <v>0.86097560975609744</v>
      </c>
      <c r="T61" s="39">
        <f t="shared" si="88"/>
        <v>1.1926829268292687</v>
      </c>
      <c r="U61" s="39">
        <f t="shared" si="88"/>
        <v>1.3463414634146336</v>
      </c>
      <c r="V61" s="39">
        <f t="shared" si="88"/>
        <v>1.2731707317073169</v>
      </c>
      <c r="W61" s="39">
        <f t="shared" si="88"/>
        <v>0.95853658536585284</v>
      </c>
      <c r="X61" s="39">
        <f t="shared" si="88"/>
        <v>1.0761904761904764</v>
      </c>
      <c r="Y61" s="39">
        <f t="shared" si="88"/>
        <v>1.4666666666666666</v>
      </c>
      <c r="Z61" s="39">
        <f t="shared" si="88"/>
        <v>2.1595238095238098</v>
      </c>
      <c r="AA61" s="39">
        <f t="shared" si="88"/>
        <v>1.2190476190476183</v>
      </c>
      <c r="AB61" s="39">
        <f t="shared" si="88"/>
        <v>1.3500000000000008</v>
      </c>
      <c r="AC61" s="39">
        <f t="shared" si="88"/>
        <v>1.5045454545454553</v>
      </c>
      <c r="AD61" s="39">
        <f t="shared" si="88"/>
        <v>1.4162790697674419</v>
      </c>
      <c r="AE61" s="39">
        <f t="shared" si="88"/>
        <v>0.89777777777777745</v>
      </c>
      <c r="AF61" s="39">
        <f t="shared" si="88"/>
        <v>1.7422222222222226</v>
      </c>
      <c r="AG61" s="39">
        <f t="shared" si="88"/>
        <v>1.7644444444444451</v>
      </c>
      <c r="AH61" s="39">
        <f t="shared" si="88"/>
        <v>-0.95111111111111046</v>
      </c>
      <c r="AI61" s="39">
        <f t="shared" si="88"/>
        <v>1.2200000000000009</v>
      </c>
      <c r="AJ61" s="39">
        <f t="shared" si="88"/>
        <v>-5.6521739130436011E-2</v>
      </c>
      <c r="AK61" s="39">
        <f t="shared" si="88"/>
        <v>1.228260869565218</v>
      </c>
      <c r="AL61" s="39">
        <f t="shared" si="88"/>
        <v>1.9021739130434792</v>
      </c>
      <c r="AM61" s="39">
        <f t="shared" si="88"/>
        <v>0.90869565217391279</v>
      </c>
      <c r="AN61" s="39">
        <f t="shared" si="88"/>
        <v>1.8130434782608691</v>
      </c>
      <c r="AO61" s="39">
        <f t="shared" si="88"/>
        <v>4.9760869565217387</v>
      </c>
      <c r="AP61" s="39">
        <f t="shared" si="88"/>
        <v>2.3434782608695657</v>
      </c>
      <c r="AQ61" s="39">
        <f t="shared" si="88"/>
        <v>2.8271958949592508</v>
      </c>
      <c r="AR61" s="39">
        <f t="shared" si="88"/>
        <v>0.24671633435252477</v>
      </c>
      <c r="AS61" s="39">
        <f t="shared" si="88"/>
        <v>2.5054373522458628</v>
      </c>
      <c r="AT61" s="39">
        <f t="shared" si="88"/>
        <v>5.1058081139435454E-2</v>
      </c>
      <c r="AU61" s="39">
        <f t="shared" si="88"/>
        <v>1.6028737847445296</v>
      </c>
      <c r="AV61" s="39">
        <f t="shared" si="88"/>
        <v>1.7837444641749225</v>
      </c>
      <c r="AW61" s="39">
        <f t="shared" si="88"/>
        <v>4.2547746208075194</v>
      </c>
      <c r="AX61" s="39">
        <f t="shared" si="88"/>
        <v>3.2785760102629911</v>
      </c>
      <c r="AY61" s="39">
        <f t="shared" si="88"/>
        <v>1.6450635719771289</v>
      </c>
      <c r="AZ61" s="39">
        <f t="shared" si="88"/>
        <v>2.2492270953711002</v>
      </c>
      <c r="BA61" s="39">
        <f t="shared" si="88"/>
        <v>2.1658636421779707</v>
      </c>
      <c r="BB61" s="39">
        <f t="shared" si="88"/>
        <v>1.6725233485436484</v>
      </c>
      <c r="BC61" s="39">
        <f t="shared" si="88"/>
        <v>1.6340923129353115</v>
      </c>
      <c r="BD61" s="39">
        <f t="shared" si="88"/>
        <v>2.3695749345480093</v>
      </c>
      <c r="BE61" s="39">
        <f t="shared" si="88"/>
        <v>2.9181988423561447</v>
      </c>
      <c r="BF61" s="39">
        <f t="shared" si="88"/>
        <v>0.63859858240565259</v>
      </c>
      <c r="BG61" s="39">
        <f t="shared" si="88"/>
        <v>0.32442423727373204</v>
      </c>
      <c r="BH61" s="39">
        <f t="shared" si="88"/>
        <v>1.6995821933787199</v>
      </c>
      <c r="BI61" s="39">
        <f t="shared" si="88"/>
        <v>2.3732771166852129</v>
      </c>
      <c r="BJ61" s="39">
        <f t="shared" si="88"/>
        <v>-2.91641223818776</v>
      </c>
      <c r="BK61" s="39">
        <f t="shared" si="88"/>
        <v>2.0764492595343147</v>
      </c>
      <c r="BL61" s="39">
        <f>BL59/BL60</f>
        <v>2.7672863629176154</v>
      </c>
      <c r="BM61" s="39">
        <f>BM59/BM60</f>
        <v>-9.2431674842326572</v>
      </c>
      <c r="BN61" s="39">
        <f t="shared" ref="BN61" si="89">BN59/BN60</f>
        <v>27.244059183978482</v>
      </c>
      <c r="BO61" s="39">
        <f>BO59/BO60</f>
        <v>-0.18426463610276564</v>
      </c>
      <c r="BP61" s="39">
        <f>BP59/BP60</f>
        <v>0.95872359963269083</v>
      </c>
      <c r="BW61" s="57">
        <f>SUM(C61:F61)</f>
        <v>2.1974999999999989</v>
      </c>
      <c r="BX61" s="57">
        <f>SUM(G61:J61)</f>
        <v>2.9086585365853659</v>
      </c>
      <c r="BY61" s="57">
        <f>SUM(K61:N61)</f>
        <v>-4.4341463414634106</v>
      </c>
      <c r="BZ61" s="57">
        <f>SUM(O61:R61)</f>
        <v>3.7097560975609758</v>
      </c>
      <c r="CA61" s="57">
        <f>SUM(S61:V61)</f>
        <v>4.6731707317073159</v>
      </c>
      <c r="CB61" s="57">
        <f>SUM(W61:Z61)</f>
        <v>5.6609175377468057</v>
      </c>
      <c r="CC61" s="57">
        <f>SUM(AA61:AD61)</f>
        <v>5.4898721433605155</v>
      </c>
      <c r="CD61" s="57">
        <f>SUM(AE61:AH61)</f>
        <v>3.4533333333333349</v>
      </c>
      <c r="CE61" s="57">
        <f>SUM(AI61:AL61)</f>
        <v>4.2939130434782617</v>
      </c>
      <c r="CF61" s="57">
        <f>SUM(AM61:AP61)</f>
        <v>10.041304347826086</v>
      </c>
      <c r="CG61" s="57">
        <f>SUM(AQ61:AT61)</f>
        <v>5.630407662697074</v>
      </c>
      <c r="CH61" s="57">
        <f>SUM(AU61:AX61)</f>
        <v>10.919968879989963</v>
      </c>
      <c r="CI61" s="57">
        <f>SUM(AY61:BB61)</f>
        <v>7.7326776580698473</v>
      </c>
      <c r="CJ61" s="57">
        <f>SUM(BC61:BF61)</f>
        <v>7.5604646722451179</v>
      </c>
      <c r="CK61" s="57">
        <f>SUM(BG61:BJ61)</f>
        <v>1.4808713091499048</v>
      </c>
    </row>
    <row r="63" spans="2:151">
      <c r="B63" s="37" t="s">
        <v>119</v>
      </c>
      <c r="C63" s="59">
        <f t="shared" ref="C63:BK63" si="90">C46/C44</f>
        <v>0.4816226517832834</v>
      </c>
      <c r="D63" s="59">
        <f t="shared" si="90"/>
        <v>0.486328125</v>
      </c>
      <c r="E63" s="59">
        <f t="shared" si="90"/>
        <v>0.4826086956521739</v>
      </c>
      <c r="F63" s="59">
        <f t="shared" si="90"/>
        <v>0.49281125726521863</v>
      </c>
      <c r="G63" s="59">
        <f t="shared" si="90"/>
        <v>0.46468926553672318</v>
      </c>
      <c r="H63" s="59">
        <f t="shared" si="90"/>
        <v>0.47586568730325285</v>
      </c>
      <c r="I63" s="59">
        <f t="shared" si="90"/>
        <v>0.48414667769506481</v>
      </c>
      <c r="J63" s="59">
        <f t="shared" si="90"/>
        <v>0.47465788139888493</v>
      </c>
      <c r="K63" s="59">
        <f t="shared" si="90"/>
        <v>0.48370993168681031</v>
      </c>
      <c r="L63" s="59">
        <f t="shared" si="90"/>
        <v>0.48082441951474042</v>
      </c>
      <c r="M63" s="59">
        <f t="shared" si="90"/>
        <v>0.49062754686226573</v>
      </c>
      <c r="N63" s="59">
        <f t="shared" si="90"/>
        <v>0.47530422333571942</v>
      </c>
      <c r="O63" s="59">
        <f t="shared" si="90"/>
        <v>0.48676863316338914</v>
      </c>
      <c r="P63" s="59">
        <f t="shared" si="90"/>
        <v>0.4986907879076411</v>
      </c>
      <c r="Q63" s="59">
        <f t="shared" si="90"/>
        <v>0.4929917834702755</v>
      </c>
      <c r="R63" s="59">
        <f t="shared" si="90"/>
        <v>0.49922308546059935</v>
      </c>
      <c r="S63" s="59">
        <f t="shared" si="90"/>
        <v>0.50421892816419611</v>
      </c>
      <c r="T63" s="59">
        <f t="shared" si="90"/>
        <v>0.52146977141636408</v>
      </c>
      <c r="U63" s="59">
        <f t="shared" si="90"/>
        <v>0.51662292213473315</v>
      </c>
      <c r="V63" s="59">
        <f t="shared" si="90"/>
        <v>0.50630252100840334</v>
      </c>
      <c r="W63" s="59">
        <f t="shared" si="90"/>
        <v>0.51839776432231011</v>
      </c>
      <c r="X63" s="59">
        <f t="shared" si="90"/>
        <v>0.51592920353982297</v>
      </c>
      <c r="Y63" s="59">
        <f t="shared" si="90"/>
        <v>0.51431147171512281</v>
      </c>
      <c r="Z63" s="59">
        <f t="shared" si="90"/>
        <v>0.53725490196078429</v>
      </c>
      <c r="AA63" s="59">
        <f t="shared" si="90"/>
        <v>0.53000706048481994</v>
      </c>
      <c r="AB63" s="59">
        <f t="shared" si="90"/>
        <v>0.5413851351351352</v>
      </c>
      <c r="AC63" s="59">
        <f t="shared" si="90"/>
        <v>0.53028972783143113</v>
      </c>
      <c r="AD63" s="59">
        <f t="shared" si="90"/>
        <v>0.53123175715119675</v>
      </c>
      <c r="AE63" s="59">
        <f t="shared" si="90"/>
        <v>0.52387784382045499</v>
      </c>
      <c r="AF63" s="59">
        <f t="shared" si="90"/>
        <v>0.54918653045781307</v>
      </c>
      <c r="AG63" s="59">
        <f t="shared" si="90"/>
        <v>0.55208528146624281</v>
      </c>
      <c r="AH63" s="59">
        <f t="shared" si="90"/>
        <v>0.55570492354226186</v>
      </c>
      <c r="AI63" s="59">
        <f t="shared" si="90"/>
        <v>0.56403269754768393</v>
      </c>
      <c r="AJ63" s="59">
        <f t="shared" si="90"/>
        <v>0.56533858009509752</v>
      </c>
      <c r="AK63" s="59">
        <f t="shared" si="90"/>
        <v>0.56191569624405446</v>
      </c>
      <c r="AL63" s="59">
        <f t="shared" si="90"/>
        <v>0.44295511221945144</v>
      </c>
      <c r="AM63" s="59">
        <f t="shared" si="90"/>
        <v>0.52803129074315514</v>
      </c>
      <c r="AN63" s="59">
        <f t="shared" si="90"/>
        <v>0.53977011494252869</v>
      </c>
      <c r="AO63" s="59">
        <f t="shared" si="90"/>
        <v>0.54774024371432972</v>
      </c>
      <c r="AP63" s="59">
        <f t="shared" si="90"/>
        <v>0.55477239353891339</v>
      </c>
      <c r="AQ63" s="59">
        <f t="shared" si="90"/>
        <v>0.52900712155161345</v>
      </c>
      <c r="AR63" s="59">
        <f t="shared" si="90"/>
        <v>0.49092640601026394</v>
      </c>
      <c r="AS63" s="59">
        <f t="shared" si="90"/>
        <v>0.52413338660053899</v>
      </c>
      <c r="AT63" s="59">
        <f t="shared" si="90"/>
        <v>0.49728792493651369</v>
      </c>
      <c r="AU63" s="59">
        <f t="shared" si="90"/>
        <v>0.54346570921057202</v>
      </c>
      <c r="AV63" s="59">
        <f t="shared" si="90"/>
        <v>0.55719191522762956</v>
      </c>
      <c r="AW63" s="59">
        <f t="shared" si="90"/>
        <v>0.55377011300556533</v>
      </c>
      <c r="AX63" s="59">
        <f t="shared" si="90"/>
        <v>0.55093223864574414</v>
      </c>
      <c r="AY63" s="59">
        <f t="shared" si="90"/>
        <v>0.53952699754397759</v>
      </c>
      <c r="AZ63" s="59">
        <f t="shared" si="90"/>
        <v>0.55187753277077134</v>
      </c>
      <c r="BA63" s="59">
        <f t="shared" si="90"/>
        <v>0.54446594703373474</v>
      </c>
      <c r="BB63" s="59">
        <f t="shared" si="90"/>
        <v>0.5568711564184351</v>
      </c>
      <c r="BC63" s="59">
        <f t="shared" si="90"/>
        <v>0.55049936699957802</v>
      </c>
      <c r="BD63" s="59">
        <f t="shared" si="90"/>
        <v>0.54868110355405764</v>
      </c>
      <c r="BE63" s="59">
        <f t="shared" si="90"/>
        <v>0.55776803287364363</v>
      </c>
      <c r="BF63" s="59">
        <f t="shared" si="90"/>
        <v>0.55748814241250066</v>
      </c>
      <c r="BG63" s="59">
        <f t="shared" si="90"/>
        <v>0.56396960263042695</v>
      </c>
      <c r="BH63" s="59">
        <f t="shared" si="90"/>
        <v>0.55549182295974175</v>
      </c>
      <c r="BI63" s="59">
        <f t="shared" si="90"/>
        <v>0.56275953560298608</v>
      </c>
      <c r="BJ63" s="59">
        <f t="shared" si="90"/>
        <v>0.55310501577053073</v>
      </c>
      <c r="BK63" s="59">
        <f t="shared" si="90"/>
        <v>0.55584256193629411</v>
      </c>
      <c r="BL63" s="59">
        <f>BL46/BL44</f>
        <v>0.55202151501568797</v>
      </c>
      <c r="BM63" s="59">
        <f>BM46/BM44</f>
        <v>0.49466040153780438</v>
      </c>
      <c r="BN63" s="59">
        <f t="shared" ref="BN63" si="91">BN46/BN44</f>
        <v>1.4725377358490568</v>
      </c>
      <c r="BO63" s="59">
        <f>BO46/BO44</f>
        <v>0.56072746374445748</v>
      </c>
      <c r="BP63" s="59">
        <f>BP46/BP44</f>
        <v>0.58160334682255244</v>
      </c>
      <c r="BW63" s="59">
        <f t="shared" ref="BW63:CK63" si="92">BW46/BW44</f>
        <v>0.48568975386376645</v>
      </c>
      <c r="BX63" s="59">
        <f t="shared" si="92"/>
        <v>0.47490787269681739</v>
      </c>
      <c r="BY63" s="59">
        <f t="shared" si="92"/>
        <v>0.48236735220166338</v>
      </c>
      <c r="BZ63" s="59">
        <f t="shared" si="92"/>
        <v>0.49454695513765251</v>
      </c>
      <c r="CA63" s="59">
        <f t="shared" si="92"/>
        <v>0.51222959017284497</v>
      </c>
      <c r="CB63" s="59">
        <f t="shared" si="92"/>
        <v>0.52182802829354558</v>
      </c>
      <c r="CC63" s="59">
        <f t="shared" si="92"/>
        <v>0.53329764453961459</v>
      </c>
      <c r="CD63" s="59">
        <f t="shared" si="92"/>
        <v>0.54596281973629035</v>
      </c>
      <c r="CE63" s="59">
        <f t="shared" si="92"/>
        <v>0.53210259761476886</v>
      </c>
      <c r="CF63" s="59">
        <f t="shared" si="92"/>
        <v>0.5429220929336519</v>
      </c>
      <c r="CG63" s="59">
        <f t="shared" si="92"/>
        <v>0.51071279380217904</v>
      </c>
      <c r="CH63" s="59">
        <f t="shared" si="92"/>
        <v>0.55154444332129349</v>
      </c>
      <c r="CI63" s="59">
        <f t="shared" si="92"/>
        <v>0.54857070379903583</v>
      </c>
      <c r="CJ63" s="59">
        <f t="shared" si="92"/>
        <v>0.55368744505351353</v>
      </c>
      <c r="CK63" s="59">
        <f t="shared" si="92"/>
        <v>0.55874438520082004</v>
      </c>
      <c r="CL63" s="63">
        <v>0.56000000000000005</v>
      </c>
      <c r="CM63" s="63">
        <v>0.56499999999999995</v>
      </c>
      <c r="CN63" s="63">
        <v>0.56999999999999995</v>
      </c>
      <c r="CO63" s="63">
        <v>0.56999999999999995</v>
      </c>
      <c r="CP63" s="63">
        <v>0.56999999999999995</v>
      </c>
      <c r="CQ63" s="63">
        <v>0.56999999999999995</v>
      </c>
      <c r="CR63" s="63">
        <v>0.56999999999999995</v>
      </c>
      <c r="CS63" s="63">
        <v>0.56999999999999995</v>
      </c>
      <c r="CT63" s="63">
        <v>0.56999999999999995</v>
      </c>
      <c r="CU63" s="63">
        <v>0.56999999999999995</v>
      </c>
      <c r="CV63" s="63"/>
    </row>
    <row r="64" spans="2:151">
      <c r="B64" s="37" t="s">
        <v>120</v>
      </c>
      <c r="C64" s="59">
        <f t="shared" ref="C64:BK64" si="93">C48/C44</f>
        <v>2.531990198747618E-2</v>
      </c>
      <c r="D64" s="59">
        <f t="shared" si="93"/>
        <v>2.8738839285714291E-2</v>
      </c>
      <c r="E64" s="59">
        <f t="shared" si="93"/>
        <v>2.9565217391304344E-2</v>
      </c>
      <c r="F64" s="59">
        <f t="shared" si="93"/>
        <v>3.8543897216274089E-2</v>
      </c>
      <c r="G64" s="59">
        <f t="shared" si="93"/>
        <v>3.1073446327683617E-2</v>
      </c>
      <c r="H64" s="59">
        <f t="shared" si="93"/>
        <v>3.2791185729275973E-2</v>
      </c>
      <c r="I64" s="59">
        <f t="shared" si="93"/>
        <v>3.3360904328646267E-2</v>
      </c>
      <c r="J64" s="59">
        <f t="shared" si="93"/>
        <v>3.4211860111505323E-2</v>
      </c>
      <c r="K64" s="59">
        <f t="shared" si="93"/>
        <v>3.0478192327903306E-2</v>
      </c>
      <c r="L64" s="59">
        <f t="shared" si="93"/>
        <v>3.5481346204017737E-2</v>
      </c>
      <c r="M64" s="59">
        <f t="shared" si="93"/>
        <v>4.0206465634338495E-2</v>
      </c>
      <c r="N64" s="59">
        <f t="shared" si="93"/>
        <v>3.9131472202338341E-2</v>
      </c>
      <c r="O64" s="59">
        <f t="shared" si="93"/>
        <v>3.6416605972323379E-2</v>
      </c>
      <c r="P64" s="59">
        <f t="shared" si="93"/>
        <v>3.9276362770768861E-2</v>
      </c>
      <c r="Q64" s="59">
        <f t="shared" si="93"/>
        <v>3.7699371677138716E-2</v>
      </c>
      <c r="R64" s="59">
        <f t="shared" si="93"/>
        <v>3.973362930077691E-2</v>
      </c>
      <c r="S64" s="59">
        <f t="shared" si="93"/>
        <v>3.2155074116305589E-2</v>
      </c>
      <c r="T64" s="59">
        <f t="shared" si="93"/>
        <v>3.1830805383465069E-2</v>
      </c>
      <c r="U64" s="59">
        <f t="shared" si="93"/>
        <v>3.2370953630796152E-2</v>
      </c>
      <c r="V64" s="59">
        <f t="shared" si="93"/>
        <v>3.6134453781512602E-2</v>
      </c>
      <c r="W64" s="59">
        <f t="shared" si="93"/>
        <v>3.0041918956683747E-2</v>
      </c>
      <c r="X64" s="59">
        <f t="shared" si="93"/>
        <v>2.9646017699115044E-2</v>
      </c>
      <c r="Y64" s="59">
        <f t="shared" si="93"/>
        <v>2.8397565922920892E-2</v>
      </c>
      <c r="Z64" s="59">
        <f t="shared" si="93"/>
        <v>2.7244582043343651E-2</v>
      </c>
      <c r="AA64" s="59">
        <f t="shared" si="93"/>
        <v>2.9654036243822075E-2</v>
      </c>
      <c r="AB64" s="59">
        <f t="shared" si="93"/>
        <v>3.1672297297297293E-2</v>
      </c>
      <c r="AC64" s="59">
        <f t="shared" si="93"/>
        <v>3.3143107989464439E-2</v>
      </c>
      <c r="AD64" s="59">
        <f t="shared" si="93"/>
        <v>3.0550690795874684E-2</v>
      </c>
      <c r="AE64" s="59">
        <f t="shared" si="93"/>
        <v>3.6687845870055337E-2</v>
      </c>
      <c r="AF64" s="59">
        <f t="shared" si="93"/>
        <v>3.8403329549754069E-2</v>
      </c>
      <c r="AG64" s="59">
        <f t="shared" si="93"/>
        <v>3.9274359453899378E-2</v>
      </c>
      <c r="AH64" s="59">
        <f t="shared" si="93"/>
        <v>4.2849941186355232E-2</v>
      </c>
      <c r="AI64" s="59">
        <f t="shared" si="93"/>
        <v>4.4277929155313346E-2</v>
      </c>
      <c r="AJ64" s="59">
        <f t="shared" si="93"/>
        <v>4.26299393343171E-2</v>
      </c>
      <c r="AK64" s="59">
        <f t="shared" si="93"/>
        <v>4.3299983598491056E-2</v>
      </c>
      <c r="AL64" s="59">
        <f t="shared" si="93"/>
        <v>4.3329177057356609E-2</v>
      </c>
      <c r="AM64" s="59">
        <f t="shared" si="93"/>
        <v>4.4491525423728813E-2</v>
      </c>
      <c r="AN64" s="59">
        <f t="shared" si="93"/>
        <v>4.2145593869731802E-2</v>
      </c>
      <c r="AO64" s="59">
        <f t="shared" si="93"/>
        <v>4.3189881227826625E-2</v>
      </c>
      <c r="AP64" s="59">
        <f t="shared" si="93"/>
        <v>4.5227606461086638E-2</v>
      </c>
      <c r="AQ64" s="59">
        <f t="shared" si="93"/>
        <v>4.3442892006450788E-2</v>
      </c>
      <c r="AR64" s="59">
        <f t="shared" si="93"/>
        <v>5.1778565507997816E-2</v>
      </c>
      <c r="AS64" s="59">
        <f t="shared" si="93"/>
        <v>4.6492083930865111E-2</v>
      </c>
      <c r="AT64" s="59">
        <f t="shared" si="93"/>
        <v>5.1834007196397185E-2</v>
      </c>
      <c r="AU64" s="59">
        <f t="shared" si="93"/>
        <v>4.7231275496843361E-2</v>
      </c>
      <c r="AV64" s="59">
        <f t="shared" si="93"/>
        <v>4.6651435299394479E-2</v>
      </c>
      <c r="AW64" s="59">
        <f t="shared" si="93"/>
        <v>4.5436434548027718E-2</v>
      </c>
      <c r="AX64" s="59">
        <f t="shared" si="93"/>
        <v>4.6983987831749521E-2</v>
      </c>
      <c r="AY64" s="59">
        <f t="shared" si="93"/>
        <v>5.6663051202453539E-2</v>
      </c>
      <c r="AZ64" s="59">
        <f t="shared" si="93"/>
        <v>5.2419040048827921E-2</v>
      </c>
      <c r="BA64" s="59">
        <f t="shared" si="93"/>
        <v>5.4999060778549068E-2</v>
      </c>
      <c r="BB64" s="59">
        <f t="shared" si="93"/>
        <v>5.6404188465100064E-2</v>
      </c>
      <c r="BC64" s="59">
        <f t="shared" si="93"/>
        <v>5.8333098888732594E-2</v>
      </c>
      <c r="BD64" s="59">
        <f t="shared" si="93"/>
        <v>5.3076079571064333E-2</v>
      </c>
      <c r="BE64" s="59">
        <f t="shared" si="93"/>
        <v>5.0344800789953556E-2</v>
      </c>
      <c r="BF64" s="59">
        <f t="shared" si="93"/>
        <v>4.6328250064278403E-2</v>
      </c>
      <c r="BG64" s="59">
        <f t="shared" si="93"/>
        <v>5.0540302808110844E-2</v>
      </c>
      <c r="BH64" s="59">
        <f t="shared" si="93"/>
        <v>5.4816850305471808E-2</v>
      </c>
      <c r="BI64" s="59">
        <f t="shared" si="93"/>
        <v>5.0665536288539488E-2</v>
      </c>
      <c r="BJ64" s="59">
        <f t="shared" si="93"/>
        <v>5.60171269600023E-2</v>
      </c>
      <c r="BK64" s="59">
        <f t="shared" si="93"/>
        <v>5.1952277657266815E-2</v>
      </c>
      <c r="BL64" s="59">
        <f>BL48/BL44</f>
        <v>4.9332138054684005E-2</v>
      </c>
      <c r="BM64" s="59">
        <f>BM48/BM44</f>
        <v>6.2673194668068657E-2</v>
      </c>
      <c r="BN64" s="59">
        <f t="shared" ref="BN64" si="94">BN48/BN44</f>
        <v>2.3841509433962255E-2</v>
      </c>
      <c r="BO64" s="59">
        <f>BO48/BO44</f>
        <v>8.0957792000525303E-2</v>
      </c>
      <c r="BP64" s="59">
        <f>BP48/BP44</f>
        <v>7.9115322303500421E-2</v>
      </c>
      <c r="BW64" s="59">
        <f t="shared" ref="BW64:CK64" si="95">BW48/BW44</f>
        <v>3.0337721808815114E-2</v>
      </c>
      <c r="BX64" s="59">
        <f t="shared" si="95"/>
        <v>3.2897822445561137E-2</v>
      </c>
      <c r="BY64" s="59">
        <f t="shared" si="95"/>
        <v>3.6361291986332284E-2</v>
      </c>
      <c r="BZ64" s="59">
        <f t="shared" si="95"/>
        <v>3.8318693627306492E-2</v>
      </c>
      <c r="CA64" s="59">
        <f t="shared" si="95"/>
        <v>3.3155777801934995E-2</v>
      </c>
      <c r="CB64" s="59">
        <f t="shared" si="95"/>
        <v>2.8790893015030943E-2</v>
      </c>
      <c r="CC64" s="59">
        <f t="shared" si="95"/>
        <v>3.126338329764454E-2</v>
      </c>
      <c r="CD64" s="59">
        <f t="shared" si="95"/>
        <v>3.9463262358477379E-2</v>
      </c>
      <c r="CE64" s="59">
        <f t="shared" si="95"/>
        <v>4.3375265479496813E-2</v>
      </c>
      <c r="CF64" s="59">
        <f t="shared" si="95"/>
        <v>4.376974647453187E-2</v>
      </c>
      <c r="CG64" s="59">
        <f t="shared" si="95"/>
        <v>4.8330975583669167E-2</v>
      </c>
      <c r="CH64" s="59">
        <f t="shared" si="95"/>
        <v>4.656963591400206E-2</v>
      </c>
      <c r="CI64" s="59">
        <f t="shared" si="95"/>
        <v>5.5112030566559084E-2</v>
      </c>
      <c r="CJ64" s="59">
        <f t="shared" si="95"/>
        <v>5.1891335811073185E-2</v>
      </c>
      <c r="CK64" s="59">
        <f t="shared" si="95"/>
        <v>5.3053453150719451E-2</v>
      </c>
      <c r="CL64" s="63">
        <v>5.5E-2</v>
      </c>
      <c r="CM64" s="63">
        <v>5.3999999999999999E-2</v>
      </c>
      <c r="CN64" s="63">
        <v>5.2999999999999999E-2</v>
      </c>
      <c r="CO64" s="63">
        <v>5.1999999999999998E-2</v>
      </c>
      <c r="CP64" s="63">
        <v>5.0999999999999997E-2</v>
      </c>
      <c r="CQ64" s="63">
        <v>0.05</v>
      </c>
      <c r="CR64" s="63">
        <v>0.05</v>
      </c>
      <c r="CS64" s="63">
        <v>0.05</v>
      </c>
      <c r="CT64" s="63">
        <v>0.05</v>
      </c>
      <c r="CU64" s="63">
        <v>0.05</v>
      </c>
      <c r="CV64" s="63"/>
    </row>
    <row r="65" spans="2:100">
      <c r="B65" s="37" t="s">
        <v>121</v>
      </c>
      <c r="C65" s="59">
        <f t="shared" ref="C65:BK65" si="96">C47/C44</f>
        <v>0.27389055268173151</v>
      </c>
      <c r="D65" s="59">
        <f t="shared" si="96"/>
        <v>0.27845982142857145</v>
      </c>
      <c r="E65" s="59">
        <f t="shared" si="96"/>
        <v>0.29420289855072462</v>
      </c>
      <c r="F65" s="59">
        <f t="shared" si="96"/>
        <v>0.31141021719180179</v>
      </c>
      <c r="G65" s="59">
        <f t="shared" si="96"/>
        <v>0.29152542372881357</v>
      </c>
      <c r="H65" s="59">
        <f t="shared" si="96"/>
        <v>0.28803777544596015</v>
      </c>
      <c r="I65" s="59">
        <f t="shared" si="96"/>
        <v>0.28012131237937687</v>
      </c>
      <c r="J65" s="59">
        <f t="shared" si="96"/>
        <v>0.27698935631018751</v>
      </c>
      <c r="K65" s="59">
        <f t="shared" si="96"/>
        <v>0.29453494482396214</v>
      </c>
      <c r="L65" s="59">
        <f t="shared" si="96"/>
        <v>0.27654578659013829</v>
      </c>
      <c r="M65" s="59">
        <f t="shared" si="96"/>
        <v>0.31214343928280358</v>
      </c>
      <c r="N65" s="59">
        <f t="shared" si="96"/>
        <v>0.28990694345025053</v>
      </c>
      <c r="O65" s="59">
        <f t="shared" si="96"/>
        <v>0.30832726389900461</v>
      </c>
      <c r="P65" s="59">
        <f t="shared" si="96"/>
        <v>0.27683884789335872</v>
      </c>
      <c r="Q65" s="59">
        <f t="shared" si="96"/>
        <v>0.27839536007733207</v>
      </c>
      <c r="R65" s="59">
        <f t="shared" si="96"/>
        <v>0.31920088790233075</v>
      </c>
      <c r="S65" s="59">
        <f t="shared" si="96"/>
        <v>0.31995438996579251</v>
      </c>
      <c r="T65" s="59">
        <f t="shared" si="96"/>
        <v>0.31360820337534717</v>
      </c>
      <c r="U65" s="59">
        <f t="shared" si="96"/>
        <v>0.30249343832021003</v>
      </c>
      <c r="V65" s="59">
        <f t="shared" si="96"/>
        <v>0.32205882352941179</v>
      </c>
      <c r="W65" s="59">
        <f t="shared" si="96"/>
        <v>0.32533768048439682</v>
      </c>
      <c r="X65" s="59">
        <f t="shared" si="96"/>
        <v>0.3146017699115044</v>
      </c>
      <c r="Y65" s="59">
        <f t="shared" si="96"/>
        <v>0.31282398016677937</v>
      </c>
      <c r="Z65" s="59">
        <f t="shared" si="96"/>
        <v>0.30588235294117644</v>
      </c>
      <c r="AA65" s="59">
        <f t="shared" si="96"/>
        <v>0.32078136032007537</v>
      </c>
      <c r="AB65" s="59">
        <f t="shared" si="96"/>
        <v>0.30194256756756754</v>
      </c>
      <c r="AC65" s="59">
        <f t="shared" si="96"/>
        <v>0.30684811237928006</v>
      </c>
      <c r="AD65" s="59">
        <f t="shared" si="96"/>
        <v>0.28059933839268342</v>
      </c>
      <c r="AE65" s="59">
        <f t="shared" si="96"/>
        <v>0.33613445378151263</v>
      </c>
      <c r="AF65" s="59">
        <f t="shared" si="96"/>
        <v>0.30060537268255771</v>
      </c>
      <c r="AG65" s="59">
        <f t="shared" si="96"/>
        <v>0.3063400037404152</v>
      </c>
      <c r="AH65" s="59">
        <f t="shared" si="96"/>
        <v>0.35842715509998319</v>
      </c>
      <c r="AI65" s="59">
        <f t="shared" si="96"/>
        <v>0.36665531335149865</v>
      </c>
      <c r="AJ65" s="59">
        <f t="shared" si="96"/>
        <v>0.37694704049844241</v>
      </c>
      <c r="AK65" s="59">
        <f t="shared" si="96"/>
        <v>0.35246842709529275</v>
      </c>
      <c r="AL65" s="59">
        <f t="shared" si="96"/>
        <v>0.21337281795511223</v>
      </c>
      <c r="AM65" s="59">
        <f t="shared" si="96"/>
        <v>0.33719035202086051</v>
      </c>
      <c r="AN65" s="59">
        <f t="shared" si="96"/>
        <v>0.33026819923371648</v>
      </c>
      <c r="AO65" s="59">
        <f t="shared" si="96"/>
        <v>0.32284436217800405</v>
      </c>
      <c r="AP65" s="59">
        <f t="shared" si="96"/>
        <v>0.32320117474302495</v>
      </c>
      <c r="AQ65" s="59">
        <f t="shared" si="96"/>
        <v>0.23436580767212001</v>
      </c>
      <c r="AR65" s="59">
        <f t="shared" si="96"/>
        <v>0.33718321781916305</v>
      </c>
      <c r="AS65" s="59">
        <f t="shared" si="96"/>
        <v>0.27323848162997649</v>
      </c>
      <c r="AT65" s="59">
        <f t="shared" si="96"/>
        <v>0.35737860874768879</v>
      </c>
      <c r="AU65" s="59">
        <f t="shared" si="96"/>
        <v>0.32047224965373194</v>
      </c>
      <c r="AV65" s="59">
        <f t="shared" si="96"/>
        <v>0.31397174254317112</v>
      </c>
      <c r="AW65" s="59">
        <f t="shared" si="96"/>
        <v>0.2930375833117928</v>
      </c>
      <c r="AX65" s="59">
        <f t="shared" si="96"/>
        <v>0.29887543422884766</v>
      </c>
      <c r="AY65" s="59">
        <f t="shared" si="96"/>
        <v>0.31780553789380511</v>
      </c>
      <c r="AZ65" s="59">
        <f t="shared" si="96"/>
        <v>0.30776491628992997</v>
      </c>
      <c r="BA65" s="59">
        <f t="shared" si="96"/>
        <v>0.30521056762467258</v>
      </c>
      <c r="BB65" s="59">
        <f t="shared" si="96"/>
        <v>0.30787038869146094</v>
      </c>
      <c r="BC65" s="59">
        <f t="shared" si="96"/>
        <v>0.32735405823603886</v>
      </c>
      <c r="BD65" s="59">
        <f t="shared" si="96"/>
        <v>0.30045140500649192</v>
      </c>
      <c r="BE65" s="59">
        <f t="shared" si="96"/>
        <v>0.28564002181215026</v>
      </c>
      <c r="BF65" s="59">
        <f t="shared" si="96"/>
        <v>0.3367684052626887</v>
      </c>
      <c r="BG65" s="59">
        <f t="shared" si="96"/>
        <v>0.32911509066488487</v>
      </c>
      <c r="BH65" s="59">
        <f t="shared" si="96"/>
        <v>0.33432622788997673</v>
      </c>
      <c r="BI65" s="59">
        <f t="shared" si="96"/>
        <v>0.32348831550109508</v>
      </c>
      <c r="BJ65" s="59">
        <f t="shared" si="96"/>
        <v>0.32000160910957143</v>
      </c>
      <c r="BK65" s="59">
        <f t="shared" si="96"/>
        <v>0.31783023176161662</v>
      </c>
      <c r="BL65" s="59">
        <f>BL47/BL44</f>
        <v>0.27544342703464181</v>
      </c>
      <c r="BM65" s="59">
        <f>BM47/BM44</f>
        <v>0.30861236158117833</v>
      </c>
      <c r="BN65" s="59">
        <f t="shared" ref="BN65" si="97">BN47/BN44</f>
        <v>1.16792452830194E-3</v>
      </c>
      <c r="BO65" s="59">
        <f>BO47/BO44</f>
        <v>0.41223431905607005</v>
      </c>
      <c r="BP65" s="59">
        <f>BP47/BP44</f>
        <v>0.3743696653878793</v>
      </c>
      <c r="BW65" s="59">
        <f t="shared" ref="BW65:CK65" si="98">BW47/BW44</f>
        <v>0.28885231825987406</v>
      </c>
      <c r="BX65" s="59">
        <f t="shared" si="98"/>
        <v>0.28402010050251258</v>
      </c>
      <c r="BY65" s="59">
        <f t="shared" si="98"/>
        <v>0.29301785829411386</v>
      </c>
      <c r="BZ65" s="59">
        <f t="shared" si="98"/>
        <v>0.29611507398455461</v>
      </c>
      <c r="CA65" s="59">
        <f t="shared" si="98"/>
        <v>0.31454505924557019</v>
      </c>
      <c r="CB65" s="59">
        <f t="shared" si="98"/>
        <v>0.31437886825817862</v>
      </c>
      <c r="CC65" s="59">
        <f t="shared" si="98"/>
        <v>0.3015524625267666</v>
      </c>
      <c r="CD65" s="59">
        <f t="shared" si="98"/>
        <v>0.32614266411964776</v>
      </c>
      <c r="CE65" s="59">
        <f t="shared" si="98"/>
        <v>0.32551870609377553</v>
      </c>
      <c r="CF65" s="59">
        <f t="shared" si="98"/>
        <v>0.32819603914618178</v>
      </c>
      <c r="CG65" s="59">
        <f t="shared" si="98"/>
        <v>0.30011079069035312</v>
      </c>
      <c r="CH65" s="59">
        <f t="shared" si="98"/>
        <v>0.30612666200638106</v>
      </c>
      <c r="CI65" s="59">
        <f t="shared" si="98"/>
        <v>0.30947351223063652</v>
      </c>
      <c r="CJ65" s="59">
        <f t="shared" si="98"/>
        <v>0.31261445258590986</v>
      </c>
      <c r="CK65" s="59">
        <f t="shared" si="98"/>
        <v>0.32660673172089161</v>
      </c>
      <c r="CL65" s="63">
        <v>0.30499999999999999</v>
      </c>
      <c r="CM65" s="63">
        <v>0.33500000000000002</v>
      </c>
      <c r="CN65" s="63">
        <v>0.32</v>
      </c>
      <c r="CO65" s="63">
        <v>0.315</v>
      </c>
      <c r="CP65" s="63">
        <v>0.31</v>
      </c>
      <c r="CQ65" s="63">
        <v>0.30499999999999999</v>
      </c>
      <c r="CR65" s="63">
        <v>0.3</v>
      </c>
      <c r="CS65" s="63">
        <v>0.29749999999999999</v>
      </c>
      <c r="CT65" s="63">
        <v>0.29499999999999998</v>
      </c>
      <c r="CU65" s="63">
        <v>0.29499999999999998</v>
      </c>
      <c r="CV65" s="63"/>
    </row>
    <row r="66" spans="2:100">
      <c r="B66" s="37" t="s">
        <v>122</v>
      </c>
      <c r="C66" s="59">
        <f t="shared" ref="C66:BK66" si="99">C53/C44</f>
        <v>0.18132316907160362</v>
      </c>
      <c r="D66" s="59">
        <f t="shared" si="99"/>
        <v>0.17912946428571427</v>
      </c>
      <c r="E66" s="59">
        <f t="shared" si="99"/>
        <v>0.1550724637681159</v>
      </c>
      <c r="F66" s="59">
        <f t="shared" si="99"/>
        <v>0.14102171918017736</v>
      </c>
      <c r="G66" s="59">
        <f t="shared" si="99"/>
        <v>0.14039548022598872</v>
      </c>
      <c r="H66" s="59">
        <f t="shared" si="99"/>
        <v>0.14664218258132208</v>
      </c>
      <c r="I66" s="59">
        <f t="shared" si="99"/>
        <v>0.17066446098704166</v>
      </c>
      <c r="J66" s="59">
        <f t="shared" si="99"/>
        <v>0.15737455651292453</v>
      </c>
      <c r="K66" s="59">
        <f t="shared" si="99"/>
        <v>-0.71045717288491828</v>
      </c>
      <c r="L66" s="59">
        <f t="shared" si="99"/>
        <v>0.16879728672058444</v>
      </c>
      <c r="M66" s="59">
        <f t="shared" si="99"/>
        <v>0.13556098886172244</v>
      </c>
      <c r="N66" s="59">
        <f t="shared" si="99"/>
        <v>0.13934621808637557</v>
      </c>
      <c r="O66" s="59">
        <f t="shared" si="99"/>
        <v>0.11993202233551828</v>
      </c>
      <c r="P66" s="59">
        <f t="shared" si="99"/>
        <v>0.15186860271363969</v>
      </c>
      <c r="Q66" s="59">
        <f t="shared" si="99"/>
        <v>0.15949734171097149</v>
      </c>
      <c r="R66" s="59">
        <f t="shared" si="99"/>
        <v>0.12008879023307435</v>
      </c>
      <c r="S66" s="59">
        <f t="shared" si="99"/>
        <v>0.1345496009122007</v>
      </c>
      <c r="T66" s="59">
        <f t="shared" si="99"/>
        <v>0.15979491561632131</v>
      </c>
      <c r="U66" s="59">
        <f t="shared" si="99"/>
        <v>0.17913385826771649</v>
      </c>
      <c r="V66" s="59">
        <f t="shared" si="99"/>
        <v>0.14537815126050418</v>
      </c>
      <c r="W66" s="59">
        <f t="shared" si="99"/>
        <v>0.15277130880298084</v>
      </c>
      <c r="X66" s="59">
        <f t="shared" si="99"/>
        <v>0.17035398230088494</v>
      </c>
      <c r="Y66" s="59">
        <f t="shared" si="99"/>
        <v>0.17263917061077302</v>
      </c>
      <c r="Z66" s="59">
        <f t="shared" si="99"/>
        <v>0.19958720330237362</v>
      </c>
      <c r="AA66" s="59">
        <f t="shared" si="99"/>
        <v>0.15886090844904677</v>
      </c>
      <c r="AB66" s="59">
        <f t="shared" si="99"/>
        <v>0.20777027027027034</v>
      </c>
      <c r="AC66" s="59">
        <f t="shared" si="99"/>
        <v>0.18985952589991226</v>
      </c>
      <c r="AD66" s="59">
        <f t="shared" si="99"/>
        <v>0.13037555944736332</v>
      </c>
      <c r="AE66" s="59">
        <f t="shared" si="99"/>
        <v>0.12461569993851196</v>
      </c>
      <c r="AF66" s="59">
        <f t="shared" si="99"/>
        <v>0.20847521755580781</v>
      </c>
      <c r="AG66" s="59">
        <f t="shared" si="99"/>
        <v>0.20647091827192823</v>
      </c>
      <c r="AH66" s="59">
        <f t="shared" si="99"/>
        <v>0.15274743740547811</v>
      </c>
      <c r="AI66" s="59">
        <f t="shared" si="99"/>
        <v>0.14782016348773847</v>
      </c>
      <c r="AJ66" s="59">
        <f t="shared" si="99"/>
        <v>5.4927037219216171E-2</v>
      </c>
      <c r="AK66" s="59">
        <f t="shared" si="99"/>
        <v>0.1346563883877317</v>
      </c>
      <c r="AL66" s="59">
        <f t="shared" si="99"/>
        <v>0.18594139650872823</v>
      </c>
      <c r="AM66" s="59">
        <f t="shared" si="99"/>
        <v>0.12255541069100388</v>
      </c>
      <c r="AN66" s="59">
        <f t="shared" si="99"/>
        <v>0.16475095785440608</v>
      </c>
      <c r="AO66" s="59">
        <f t="shared" si="99"/>
        <v>0.18139750115687178</v>
      </c>
      <c r="AP66" s="59">
        <f t="shared" si="99"/>
        <v>0.18634361233480176</v>
      </c>
      <c r="AQ66" s="59">
        <f t="shared" si="99"/>
        <v>0.24906401784907259</v>
      </c>
      <c r="AR66" s="59">
        <f t="shared" si="99"/>
        <v>6.8447877537343632E-2</v>
      </c>
      <c r="AS66" s="59">
        <f t="shared" si="99"/>
        <v>0.21022666681522065</v>
      </c>
      <c r="AT66" s="59">
        <f t="shared" si="99"/>
        <v>5.4626638944937668E-2</v>
      </c>
      <c r="AU66" s="59">
        <f t="shared" si="99"/>
        <v>0.16314509182807441</v>
      </c>
      <c r="AV66" s="59">
        <f t="shared" si="99"/>
        <v>0.18045806234581749</v>
      </c>
      <c r="AW66" s="59">
        <f t="shared" si="99"/>
        <v>0.34410787297334733</v>
      </c>
      <c r="AX66" s="59">
        <f t="shared" si="99"/>
        <v>0.20338380252577826</v>
      </c>
      <c r="AY66" s="59">
        <f t="shared" si="99"/>
        <v>0.16131048110608256</v>
      </c>
      <c r="AZ66" s="59">
        <f t="shared" si="99"/>
        <v>0.1918113879761254</v>
      </c>
      <c r="BA66" s="59">
        <f t="shared" si="99"/>
        <v>0.19280687422732642</v>
      </c>
      <c r="BB66" s="59">
        <f t="shared" si="99"/>
        <v>0.16971119219292904</v>
      </c>
      <c r="BC66" s="59">
        <f t="shared" si="99"/>
        <v>0.16168940779293844</v>
      </c>
      <c r="BD66" s="59">
        <f t="shared" si="99"/>
        <v>0.19313541477460025</v>
      </c>
      <c r="BE66" s="59">
        <f t="shared" si="99"/>
        <v>0.22147371354537207</v>
      </c>
      <c r="BF66" s="59">
        <f t="shared" si="99"/>
        <v>0.10662590748820697</v>
      </c>
      <c r="BG66" s="59">
        <f t="shared" si="99"/>
        <v>-6.5137220513751641E-3</v>
      </c>
      <c r="BH66" s="59">
        <f t="shared" si="99"/>
        <v>0.15587066136648614</v>
      </c>
      <c r="BI66" s="59">
        <f t="shared" si="99"/>
        <v>0.19530683747936128</v>
      </c>
      <c r="BJ66" s="59">
        <f t="shared" si="99"/>
        <v>-0.13868890254955882</v>
      </c>
      <c r="BK66" s="59">
        <f t="shared" si="99"/>
        <v>0.1792741751341477</v>
      </c>
      <c r="BL66" s="59">
        <f>BL53/BL44</f>
        <v>0.19885381315233391</v>
      </c>
      <c r="BM66" s="59">
        <f>BM53/BM44</f>
        <v>-0.44786908947524079</v>
      </c>
      <c r="BN66" s="59">
        <f t="shared" ref="BN66" si="100">BN53/BN44</f>
        <v>2.4408754716981131</v>
      </c>
      <c r="BO66" s="59">
        <f>BO53/BO44</f>
        <v>3.681093493792173E-2</v>
      </c>
      <c r="BP66" s="59">
        <f>BP53/BP44</f>
        <v>0.12768703141328211</v>
      </c>
      <c r="BW66" s="59">
        <f t="shared" ref="BW66:CK66" si="101">BW53/BW44</f>
        <v>0.16485403548941041</v>
      </c>
      <c r="BX66" s="59">
        <f t="shared" si="101"/>
        <v>0.15383584589614741</v>
      </c>
      <c r="BY66" s="59">
        <f t="shared" si="101"/>
        <v>-6.2794146089871619E-2</v>
      </c>
      <c r="BZ66" s="59">
        <f t="shared" si="101"/>
        <v>0.13753463420385545</v>
      </c>
      <c r="CA66" s="59">
        <f t="shared" si="101"/>
        <v>0.15485378845526687</v>
      </c>
      <c r="CB66" s="59">
        <f t="shared" si="101"/>
        <v>0.17456896551724138</v>
      </c>
      <c r="CC66" s="59">
        <f t="shared" si="101"/>
        <v>0.17098501070663813</v>
      </c>
      <c r="CD66" s="59">
        <f t="shared" si="101"/>
        <v>0.17346130550249267</v>
      </c>
      <c r="CE66" s="59">
        <f t="shared" si="101"/>
        <v>0.13139192942329686</v>
      </c>
      <c r="CF66" s="59">
        <f t="shared" si="101"/>
        <v>0.16459890575633812</v>
      </c>
      <c r="CG66" s="59">
        <f t="shared" si="101"/>
        <v>0.1467357107253057</v>
      </c>
      <c r="CH66" s="59">
        <f t="shared" si="101"/>
        <v>0.22355631993097844</v>
      </c>
      <c r="CI66" s="59">
        <f t="shared" si="101"/>
        <v>0.1790410974610035</v>
      </c>
      <c r="CJ66" s="59">
        <f t="shared" si="101"/>
        <v>0.17022039109291184</v>
      </c>
      <c r="CK66" s="59">
        <f t="shared" si="101"/>
        <v>4.9552981914505349E-2</v>
      </c>
      <c r="CL66" s="63">
        <f>CL53/CL44</f>
        <v>0.18453059798911792</v>
      </c>
      <c r="CM66" s="63">
        <f t="shared" ref="CM66:CU66" si="102">CM53/CM44</f>
        <v>0.16972538829298853</v>
      </c>
      <c r="CN66" s="63">
        <f t="shared" si="102"/>
        <v>0.1969999999999999</v>
      </c>
      <c r="CO66" s="63">
        <f t="shared" si="102"/>
        <v>0.20299999999999996</v>
      </c>
      <c r="CP66" s="63">
        <f t="shared" si="102"/>
        <v>0.20899999999999999</v>
      </c>
      <c r="CQ66" s="63">
        <f t="shared" si="102"/>
        <v>0.21499999999999994</v>
      </c>
      <c r="CR66" s="63">
        <f t="shared" si="102"/>
        <v>0.21999999999999995</v>
      </c>
      <c r="CS66" s="63">
        <f t="shared" si="102"/>
        <v>0.2225</v>
      </c>
      <c r="CT66" s="63">
        <f t="shared" si="102"/>
        <v>0.22499999999999992</v>
      </c>
      <c r="CU66" s="63">
        <f t="shared" si="102"/>
        <v>0.22499999999999989</v>
      </c>
      <c r="CV66" s="63"/>
    </row>
    <row r="67" spans="2:100">
      <c r="B67" s="37" t="s">
        <v>123</v>
      </c>
      <c r="C67" s="59">
        <f t="shared" ref="C67:BK67" si="103">C58/C57</f>
        <v>0.29707112970711286</v>
      </c>
      <c r="D67" s="59">
        <f t="shared" si="103"/>
        <v>0.27678571428571436</v>
      </c>
      <c r="E67" s="59">
        <f t="shared" si="103"/>
        <v>-2.3333333333333455</v>
      </c>
      <c r="F67" s="59">
        <f t="shared" si="103"/>
        <v>-0.23863636363636412</v>
      </c>
      <c r="G67" s="59">
        <f t="shared" si="103"/>
        <v>0.25654450261780104</v>
      </c>
      <c r="H67" s="59">
        <f t="shared" si="103"/>
        <v>0.21212121212121224</v>
      </c>
      <c r="I67" s="59">
        <f t="shared" si="103"/>
        <v>0.23488372093023252</v>
      </c>
      <c r="J67" s="59">
        <f t="shared" si="103"/>
        <v>5.3613053613053581E-2</v>
      </c>
      <c r="K67" s="59">
        <f t="shared" si="103"/>
        <v>1.3884068031933362E-2</v>
      </c>
      <c r="L67" s="59">
        <f t="shared" si="103"/>
        <v>-6.3829787234042533E-3</v>
      </c>
      <c r="M67" s="59">
        <f t="shared" si="103"/>
        <v>0.22712933753943193</v>
      </c>
      <c r="N67" s="59">
        <f t="shared" si="103"/>
        <v>0.30681818181818177</v>
      </c>
      <c r="O67" s="59">
        <f t="shared" si="103"/>
        <v>0.21751412429378544</v>
      </c>
      <c r="P67" s="59">
        <f t="shared" si="103"/>
        <v>0.12323232323232312</v>
      </c>
      <c r="Q67" s="59">
        <f t="shared" si="103"/>
        <v>0.10216110019646366</v>
      </c>
      <c r="R67" s="59">
        <f t="shared" si="103"/>
        <v>0.11528822055137847</v>
      </c>
      <c r="S67" s="59">
        <f t="shared" si="103"/>
        <v>0.19406392694063929</v>
      </c>
      <c r="T67" s="59">
        <f t="shared" si="103"/>
        <v>0.16977928692699487</v>
      </c>
      <c r="U67" s="59">
        <f t="shared" si="103"/>
        <v>0.14946070878274273</v>
      </c>
      <c r="V67" s="59">
        <f t="shared" si="103"/>
        <v>7.6045627376425881E-3</v>
      </c>
      <c r="W67" s="59">
        <f t="shared" si="103"/>
        <v>0.19135802469135818</v>
      </c>
      <c r="X67" s="59">
        <f t="shared" si="103"/>
        <v>0.10495049504950495</v>
      </c>
      <c r="Y67" s="59">
        <f t="shared" si="103"/>
        <v>1.2820512820512824E-2</v>
      </c>
      <c r="Z67" s="59">
        <f t="shared" si="103"/>
        <v>-9.1456077015643775E-2</v>
      </c>
      <c r="AA67" s="59">
        <f t="shared" si="103"/>
        <v>4.8327137546468432E-2</v>
      </c>
      <c r="AB67" s="59">
        <f t="shared" si="103"/>
        <v>0.11869436201780409</v>
      </c>
      <c r="AC67" s="59">
        <f t="shared" si="103"/>
        <v>0.10176390773405694</v>
      </c>
      <c r="AD67" s="59">
        <f t="shared" si="103"/>
        <v>-0.19881889763779528</v>
      </c>
      <c r="AE67" s="59">
        <f t="shared" si="103"/>
        <v>-7.1618037135278548E-2</v>
      </c>
      <c r="AF67" s="59">
        <f t="shared" si="103"/>
        <v>0.13370165745856352</v>
      </c>
      <c r="AG67" s="59">
        <f t="shared" si="103"/>
        <v>0.11185682326621919</v>
      </c>
      <c r="AH67" s="59">
        <f t="shared" si="103"/>
        <v>1.6350148367952515</v>
      </c>
      <c r="AI67" s="59">
        <f t="shared" si="103"/>
        <v>0.10147299509001631</v>
      </c>
      <c r="AJ67" s="59">
        <f t="shared" si="103"/>
        <v>1.3714285714285825</v>
      </c>
      <c r="AK67" s="59">
        <f t="shared" si="103"/>
        <v>-2.355072463768115E-2</v>
      </c>
      <c r="AL67" s="59">
        <f t="shared" si="103"/>
        <v>9.0436590436590386E-2</v>
      </c>
      <c r="AM67" s="59">
        <f t="shared" si="103"/>
        <v>0.20833333333333337</v>
      </c>
      <c r="AN67" s="59">
        <f t="shared" si="103"/>
        <v>4.3577981651376156E-2</v>
      </c>
      <c r="AO67" s="59">
        <f t="shared" si="103"/>
        <v>-1.323857868020305</v>
      </c>
      <c r="AP67" s="59">
        <f t="shared" si="103"/>
        <v>-6.4165844027640667E-2</v>
      </c>
      <c r="AQ67" s="59">
        <f t="shared" si="103"/>
        <v>7.7873492493231611E-2</v>
      </c>
      <c r="AR67" s="59">
        <f t="shared" si="103"/>
        <v>0.50865066758253652</v>
      </c>
      <c r="AS67" s="59">
        <f t="shared" si="103"/>
        <v>-8.2234424315794016E-3</v>
      </c>
      <c r="AT67" s="59">
        <f t="shared" si="103"/>
        <v>-2.4004683840749552E-3</v>
      </c>
      <c r="AU67" s="59">
        <f t="shared" si="103"/>
        <v>0.14239393210279672</v>
      </c>
      <c r="AV67" s="59">
        <f t="shared" si="103"/>
        <v>0.16441430159986367</v>
      </c>
      <c r="AW67" s="59">
        <f t="shared" si="103"/>
        <v>0.12954826098149499</v>
      </c>
      <c r="AX67" s="59">
        <f t="shared" si="103"/>
        <v>9.35161210229489E-2</v>
      </c>
      <c r="AY67" s="59">
        <f t="shared" si="103"/>
        <v>0.17117657775443956</v>
      </c>
      <c r="AZ67" s="59">
        <f t="shared" si="103"/>
        <v>0.14855095849738592</v>
      </c>
      <c r="BA67" s="59">
        <f t="shared" si="103"/>
        <v>0.14561800398630875</v>
      </c>
      <c r="BB67" s="59">
        <f t="shared" si="103"/>
        <v>0.28522480817948193</v>
      </c>
      <c r="BC67" s="59">
        <f t="shared" si="103"/>
        <v>0.20711947542867712</v>
      </c>
      <c r="BD67" s="59">
        <f t="shared" si="103"/>
        <v>0.12234608264072161</v>
      </c>
      <c r="BE67" s="59">
        <f t="shared" si="103"/>
        <v>7.9781011651303191E-2</v>
      </c>
      <c r="BF67" s="59">
        <f t="shared" si="103"/>
        <v>0.4795862275748341</v>
      </c>
      <c r="BG67" s="59">
        <f t="shared" si="103"/>
        <v>1.6086956521739142</v>
      </c>
      <c r="BH67" s="59">
        <f t="shared" si="103"/>
        <v>0.17782064040874532</v>
      </c>
      <c r="BI67" s="59">
        <f t="shared" si="103"/>
        <v>0.15041908643753557</v>
      </c>
      <c r="BJ67" s="59">
        <f t="shared" si="103"/>
        <v>-7.8156818791734362E-2</v>
      </c>
      <c r="BK67" s="59">
        <f t="shared" si="103"/>
        <v>0.12688771859001416</v>
      </c>
      <c r="BL67" s="59">
        <f>BL58/BL57</f>
        <v>9.3676711031538823E-2</v>
      </c>
      <c r="BM67" s="59">
        <f>BM58/BM57</f>
        <v>6.7695745360025525E-2</v>
      </c>
      <c r="BN67" s="59">
        <f t="shared" ref="BN67" si="104">BN58/BN57</f>
        <v>6.6280329829106659E-3</v>
      </c>
      <c r="BO67" s="59">
        <f>BO58/BO57</f>
        <v>-0.26410658307209345</v>
      </c>
      <c r="BP67" s="59">
        <f>BP58/BP57</f>
        <v>7.47723597048984E-2</v>
      </c>
      <c r="BW67" s="59">
        <f t="shared" ref="BW67:CK67" si="105">BW58/BW57</f>
        <v>0.16045845272206311</v>
      </c>
      <c r="BX67" s="59">
        <f t="shared" si="105"/>
        <v>0.17773167358229597</v>
      </c>
      <c r="BY67" s="59">
        <f t="shared" si="105"/>
        <v>-9.9153567110036353E-2</v>
      </c>
      <c r="BZ67" s="59">
        <f t="shared" si="105"/>
        <v>0.13431986340352875</v>
      </c>
      <c r="CA67" s="59">
        <f t="shared" si="105"/>
        <v>0.1298819255222525</v>
      </c>
      <c r="CB67" s="59">
        <f t="shared" si="105"/>
        <v>3.1888798037612444E-2</v>
      </c>
      <c r="CC67" s="59">
        <f t="shared" si="105"/>
        <v>3.2560032560032565E-2</v>
      </c>
      <c r="CD67" s="59">
        <f t="shared" si="105"/>
        <v>0.45473684210526305</v>
      </c>
      <c r="CE67" s="59">
        <f t="shared" si="105"/>
        <v>0.10569476082004553</v>
      </c>
      <c r="CF67" s="59">
        <f t="shared" si="105"/>
        <v>-0.35932901706886411</v>
      </c>
      <c r="CG67" s="59">
        <f t="shared" si="105"/>
        <v>7.3535575726888944E-2</v>
      </c>
      <c r="CH67" s="59">
        <f t="shared" si="105"/>
        <v>0.12699700566583363</v>
      </c>
      <c r="CI67" s="59">
        <f t="shared" si="105"/>
        <v>0.18613955532830093</v>
      </c>
      <c r="CJ67" s="59">
        <f t="shared" si="105"/>
        <v>0.17612253926122542</v>
      </c>
      <c r="CK67" s="59">
        <f t="shared" si="105"/>
        <v>7.0440451582127681E-2</v>
      </c>
      <c r="CL67" s="63">
        <v>0.12</v>
      </c>
      <c r="CM67" s="63">
        <v>0.15</v>
      </c>
      <c r="CN67" s="63">
        <v>0.16</v>
      </c>
      <c r="CO67" s="63">
        <v>0.16</v>
      </c>
      <c r="CP67" s="63">
        <v>0.16</v>
      </c>
      <c r="CQ67" s="63">
        <v>0.16</v>
      </c>
      <c r="CR67" s="63">
        <v>0.16</v>
      </c>
      <c r="CS67" s="63">
        <v>0.16</v>
      </c>
      <c r="CT67" s="63">
        <v>0.16</v>
      </c>
      <c r="CU67" s="63">
        <v>0.16</v>
      </c>
      <c r="CV67" s="63"/>
    </row>
    <row r="68" spans="2:100">
      <c r="B68" s="37" t="s">
        <v>124</v>
      </c>
      <c r="C68" s="59">
        <f t="shared" ref="C68:BK68" si="106">C59/C44</f>
        <v>9.1478355567655892E-2</v>
      </c>
      <c r="D68" s="59">
        <f t="shared" si="106"/>
        <v>9.0401785714285698E-2</v>
      </c>
      <c r="E68" s="59">
        <f t="shared" si="106"/>
        <v>3.1884057971014443E-2</v>
      </c>
      <c r="F68" s="59">
        <f t="shared" si="106"/>
        <v>3.3343530131538644E-2</v>
      </c>
      <c r="G68" s="59">
        <f t="shared" si="106"/>
        <v>4.011299435028249E-2</v>
      </c>
      <c r="H68" s="59">
        <f t="shared" si="106"/>
        <v>8.1846799580272772E-2</v>
      </c>
      <c r="I68" s="59">
        <f t="shared" si="106"/>
        <v>9.0708574579542345E-2</v>
      </c>
      <c r="J68" s="59">
        <f t="shared" si="106"/>
        <v>0.10288900152052717</v>
      </c>
      <c r="K68" s="59">
        <f t="shared" si="106"/>
        <v>-0.7464529689963213</v>
      </c>
      <c r="L68" s="59">
        <f t="shared" si="106"/>
        <v>0.12340203495956173</v>
      </c>
      <c r="M68" s="59">
        <f t="shared" si="106"/>
        <v>6.6558000543330706E-2</v>
      </c>
      <c r="N68" s="59">
        <f t="shared" si="106"/>
        <v>7.2774994034836574E-2</v>
      </c>
      <c r="O68" s="59">
        <f t="shared" si="106"/>
        <v>6.7249332362223788E-2</v>
      </c>
      <c r="P68" s="59">
        <f t="shared" si="106"/>
        <v>0.10330873601523456</v>
      </c>
      <c r="Q68" s="59">
        <f t="shared" si="106"/>
        <v>0.11043982600289994</v>
      </c>
      <c r="R68" s="59">
        <f t="shared" si="106"/>
        <v>7.8357380688124284E-2</v>
      </c>
      <c r="S68" s="59">
        <f t="shared" si="106"/>
        <v>8.0501710376282773E-2</v>
      </c>
      <c r="T68" s="59">
        <f t="shared" si="106"/>
        <v>0.10446485793633842</v>
      </c>
      <c r="U68" s="59">
        <f t="shared" si="106"/>
        <v>0.12073490813648288</v>
      </c>
      <c r="V68" s="59">
        <f t="shared" si="106"/>
        <v>0.10966386554621846</v>
      </c>
      <c r="W68" s="59">
        <f t="shared" si="106"/>
        <v>9.1523055426175989E-2</v>
      </c>
      <c r="X68" s="59">
        <f t="shared" si="106"/>
        <v>0.1</v>
      </c>
      <c r="Y68" s="59">
        <f t="shared" si="106"/>
        <v>0.13883254451205768</v>
      </c>
      <c r="Z68" s="59">
        <f t="shared" si="106"/>
        <v>0.18720330237358104</v>
      </c>
      <c r="AA68" s="59">
        <f t="shared" si="106"/>
        <v>0.12049894092727693</v>
      </c>
      <c r="AB68" s="59">
        <f t="shared" si="106"/>
        <v>0.12542229729729737</v>
      </c>
      <c r="AC68" s="59">
        <f t="shared" si="106"/>
        <v>0.14530289727831439</v>
      </c>
      <c r="AD68" s="59">
        <f t="shared" si="106"/>
        <v>0.1185055458260362</v>
      </c>
      <c r="AE68" s="59">
        <f t="shared" si="106"/>
        <v>8.2803853248616485E-2</v>
      </c>
      <c r="AF68" s="59">
        <f t="shared" si="106"/>
        <v>0.14831630722663644</v>
      </c>
      <c r="AG68" s="59">
        <f t="shared" si="106"/>
        <v>0.14849448288760059</v>
      </c>
      <c r="AH68" s="59">
        <f t="shared" si="106"/>
        <v>-7.1920685599058926E-2</v>
      </c>
      <c r="AI68" s="59">
        <f t="shared" si="106"/>
        <v>9.3494550408719401E-2</v>
      </c>
      <c r="AJ68" s="59">
        <f t="shared" si="106"/>
        <v>-4.2629939334318028E-3</v>
      </c>
      <c r="AK68" s="59">
        <f t="shared" si="106"/>
        <v>9.2668525504346427E-2</v>
      </c>
      <c r="AL68" s="59">
        <f t="shared" si="106"/>
        <v>0.13637780548628436</v>
      </c>
      <c r="AM68" s="59">
        <f t="shared" si="106"/>
        <v>6.8122555410690983E-2</v>
      </c>
      <c r="AN68" s="59">
        <f t="shared" si="106"/>
        <v>0.12781609195402296</v>
      </c>
      <c r="AO68" s="59">
        <f t="shared" si="106"/>
        <v>0.35307727903748265</v>
      </c>
      <c r="AP68" s="59">
        <f t="shared" si="106"/>
        <v>0.15829662261380326</v>
      </c>
      <c r="AQ68" s="59">
        <f t="shared" si="106"/>
        <v>0.20793947553284775</v>
      </c>
      <c r="AR68" s="59">
        <f t="shared" si="106"/>
        <v>2.0207043719027134E-2</v>
      </c>
      <c r="AS68" s="59">
        <f t="shared" si="106"/>
        <v>0.18555132353619969</v>
      </c>
      <c r="AT68" s="59">
        <f t="shared" si="106"/>
        <v>2.6270685805912176E-2</v>
      </c>
      <c r="AU68" s="59">
        <f t="shared" si="106"/>
        <v>0.11807976627302018</v>
      </c>
      <c r="AV68" s="59">
        <f t="shared" si="106"/>
        <v>0.11686196456604626</v>
      </c>
      <c r="AW68" s="59">
        <f t="shared" si="106"/>
        <v>0.28442899557431761</v>
      </c>
      <c r="AX68" s="59">
        <f t="shared" si="106"/>
        <v>0.20123677299887277</v>
      </c>
      <c r="AY68" s="59">
        <f t="shared" si="106"/>
        <v>0.12017366695341024</v>
      </c>
      <c r="AZ68" s="59">
        <f t="shared" si="106"/>
        <v>0.14973563373384524</v>
      </c>
      <c r="BA68" s="59">
        <f t="shared" si="106"/>
        <v>0.14793393123151577</v>
      </c>
      <c r="BB68" s="59">
        <f t="shared" si="106"/>
        <v>0.10346901786350293</v>
      </c>
      <c r="BC68" s="59">
        <f t="shared" si="106"/>
        <v>0.10791813194542121</v>
      </c>
      <c r="BD68" s="59">
        <f t="shared" si="106"/>
        <v>0.14978438851776357</v>
      </c>
      <c r="BE68" s="59">
        <f t="shared" si="106"/>
        <v>0.18373119070491559</v>
      </c>
      <c r="BF68" s="59">
        <f t="shared" si="106"/>
        <v>3.876342578655434E-2</v>
      </c>
      <c r="BG68" s="59">
        <f t="shared" si="106"/>
        <v>2.0695908390449276E-2</v>
      </c>
      <c r="BH68" s="59">
        <f t="shared" si="106"/>
        <v>0.10689779366646215</v>
      </c>
      <c r="BI68" s="59">
        <f t="shared" si="106"/>
        <v>0.14507696776067369</v>
      </c>
      <c r="BJ68" s="59">
        <f t="shared" si="106"/>
        <v>-0.17171713362272178</v>
      </c>
      <c r="BK68" s="59">
        <f t="shared" si="106"/>
        <v>0.13566617193743577</v>
      </c>
      <c r="BL68" s="59">
        <f>BL59/BL44</f>
        <v>0.15688672600371381</v>
      </c>
      <c r="BM68" s="59">
        <f>BM59/BM44</f>
        <v>-0.44785813645275424</v>
      </c>
      <c r="BN68" s="59">
        <f t="shared" ref="BN68" si="107">BN59/BN44</f>
        <v>2.4076037735849058</v>
      </c>
      <c r="BO68" s="59">
        <f>BO59/BO44</f>
        <v>-1.4874302567572925E-2</v>
      </c>
      <c r="BP68" s="59">
        <f>BP59/BP44</f>
        <v>7.3224016888408877E-2</v>
      </c>
      <c r="BW68" s="59">
        <f t="shared" ref="BW68:CK68" si="108">BW59/BW44</f>
        <v>6.2893531768746402E-2</v>
      </c>
      <c r="BX68" s="59">
        <f t="shared" si="108"/>
        <v>7.9664991624790626E-2</v>
      </c>
      <c r="BY68" s="59">
        <f t="shared" si="108"/>
        <v>-0.11720714331764547</v>
      </c>
      <c r="BZ68" s="59">
        <f t="shared" si="108"/>
        <v>8.9665743087897182E-2</v>
      </c>
      <c r="CA68" s="59">
        <f t="shared" si="108"/>
        <v>0.10414175453853679</v>
      </c>
      <c r="CB68" s="59">
        <f t="shared" si="108"/>
        <v>0.13085764809902742</v>
      </c>
      <c r="CC68" s="59">
        <f t="shared" si="108"/>
        <v>0.12724839400428267</v>
      </c>
      <c r="CD68" s="59">
        <f t="shared" si="108"/>
        <v>7.2403671434561834E-2</v>
      </c>
      <c r="CE68" s="59">
        <f t="shared" si="108"/>
        <v>8.017480803790232E-2</v>
      </c>
      <c r="CF68" s="59">
        <f t="shared" si="108"/>
        <v>0.17796871387840024</v>
      </c>
      <c r="CG68" s="59">
        <f t="shared" si="108"/>
        <v>0.11151234337445436</v>
      </c>
      <c r="CH68" s="59">
        <f t="shared" si="108"/>
        <v>0.18178317143349343</v>
      </c>
      <c r="CI68" s="59">
        <f t="shared" si="108"/>
        <v>0.12992901530047749</v>
      </c>
      <c r="CJ68" s="59">
        <f t="shared" si="108"/>
        <v>0.11940823369423612</v>
      </c>
      <c r="CK68" s="59">
        <f t="shared" si="108"/>
        <v>2.2872676962980988E-2</v>
      </c>
      <c r="CL68" s="63">
        <f>CL59/CL44</f>
        <v>0.14493509362072043</v>
      </c>
      <c r="CM68" s="63">
        <f t="shared" ref="CM68:CU68" si="109">CM59/CM44</f>
        <v>0.12759684150479836</v>
      </c>
      <c r="CN68" s="63">
        <f t="shared" si="109"/>
        <v>0.14699708054459762</v>
      </c>
      <c r="CO68" s="63">
        <f t="shared" si="109"/>
        <v>0.15397555388109782</v>
      </c>
      <c r="CP68" s="63">
        <f t="shared" si="109"/>
        <v>0.16069029573463406</v>
      </c>
      <c r="CQ68" s="63">
        <f t="shared" si="109"/>
        <v>0.16717446075068973</v>
      </c>
      <c r="CR68" s="63">
        <f t="shared" si="109"/>
        <v>0.17267324196302508</v>
      </c>
      <c r="CS68" s="63">
        <f t="shared" si="109"/>
        <v>0.17594659729072595</v>
      </c>
      <c r="CT68" s="63">
        <f t="shared" si="109"/>
        <v>0.17912182563852871</v>
      </c>
      <c r="CU68" s="63">
        <f t="shared" si="109"/>
        <v>0.18011376175041988</v>
      </c>
      <c r="CV68" s="63"/>
    </row>
    <row r="70" spans="2:100">
      <c r="B70" s="1" t="s">
        <v>125</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v>375.88</v>
      </c>
      <c r="AU70" s="57">
        <v>324.63</v>
      </c>
      <c r="AV70" s="57">
        <v>361.78</v>
      </c>
      <c r="AW70" s="57">
        <v>481.16</v>
      </c>
      <c r="AX70" s="57">
        <v>445.08</v>
      </c>
      <c r="AY70" s="57">
        <v>466.65600000000001</v>
      </c>
      <c r="AZ70" s="57">
        <v>308.12099999999998</v>
      </c>
      <c r="BA70" s="57">
        <v>397.25</v>
      </c>
      <c r="BB70" s="57">
        <v>292.02999999999997</v>
      </c>
      <c r="BC70" s="57">
        <v>264.13</v>
      </c>
      <c r="BD70" s="57">
        <v>250.816</v>
      </c>
      <c r="BE70" s="57">
        <v>881.49</v>
      </c>
      <c r="BF70" s="57">
        <v>222.84800000000001</v>
      </c>
      <c r="BG70" s="57">
        <v>237.42</v>
      </c>
      <c r="BH70" s="57">
        <v>238.56</v>
      </c>
      <c r="BI70" s="57">
        <v>243.24</v>
      </c>
      <c r="BJ70" s="57">
        <v>290.18</v>
      </c>
      <c r="BK70" s="57">
        <v>284.12200000000001</v>
      </c>
      <c r="BL70" s="57">
        <v>253.69</v>
      </c>
      <c r="BM70" s="57">
        <v>353.99700000000001</v>
      </c>
      <c r="BN70" s="57">
        <v>378.56400000000002</v>
      </c>
      <c r="BO70" s="57">
        <v>309.411</v>
      </c>
      <c r="BP70" s="57">
        <v>300.15899999999999</v>
      </c>
      <c r="BW70" s="57"/>
      <c r="BX70" s="57"/>
      <c r="BY70" s="57"/>
      <c r="BZ70" s="57"/>
      <c r="CA70" s="57"/>
      <c r="CB70" s="57"/>
      <c r="CC70" s="57"/>
      <c r="CD70" s="57"/>
      <c r="CE70" s="57"/>
      <c r="CF70" s="57"/>
      <c r="CG70" s="57">
        <f t="shared" ref="CG70:CG83" si="110">AT70</f>
        <v>375.88</v>
      </c>
      <c r="CH70" s="57">
        <f t="shared" ref="CH70:CH83" si="111">AX70</f>
        <v>445.08</v>
      </c>
      <c r="CI70" s="57">
        <f t="shared" ref="CI70:CI83" si="112">BB70</f>
        <v>292.02999999999997</v>
      </c>
      <c r="CJ70" s="57">
        <f t="shared" ref="CJ70:CJ83" si="113">BF70</f>
        <v>222.84800000000001</v>
      </c>
      <c r="CK70" s="57">
        <f t="shared" ref="CK70:CK83" si="114">BJ70</f>
        <v>290.18</v>
      </c>
      <c r="CL70" s="67">
        <f>CK70+CL59</f>
        <v>758.63732472000015</v>
      </c>
      <c r="CM70" s="67">
        <f>CL70+CM59+1200</f>
        <v>2365.3456517459399</v>
      </c>
      <c r="CN70" s="67">
        <f t="shared" ref="CN70:CU70" si="115">CM70+CN59</f>
        <v>2771.5539531284089</v>
      </c>
      <c r="CO70" s="67">
        <f t="shared" si="115"/>
        <v>3232.5712617286167</v>
      </c>
      <c r="CP70" s="67">
        <f t="shared" si="115"/>
        <v>3750.0114149492711</v>
      </c>
      <c r="CQ70" s="67">
        <f t="shared" si="115"/>
        <v>4324.1236290673369</v>
      </c>
      <c r="CR70" s="67">
        <f t="shared" si="115"/>
        <v>4953.4710843578077</v>
      </c>
      <c r="CS70" s="67">
        <f t="shared" si="115"/>
        <v>5630.5388628985111</v>
      </c>
      <c r="CT70" s="67">
        <f t="shared" si="115"/>
        <v>6354.9590455251409</v>
      </c>
      <c r="CU70" s="67">
        <f t="shared" si="115"/>
        <v>7116.8097604612349</v>
      </c>
    </row>
    <row r="71" spans="2:100">
      <c r="B71" s="1" t="s">
        <v>1003</v>
      </c>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v>395.07100000000003</v>
      </c>
      <c r="AU71" s="57">
        <v>401.11</v>
      </c>
      <c r="AV71" s="57">
        <v>414.19</v>
      </c>
      <c r="AW71" s="57">
        <v>399.74</v>
      </c>
      <c r="AX71" s="57">
        <v>383.56</v>
      </c>
      <c r="AY71" s="57">
        <v>407.15899999999999</v>
      </c>
      <c r="AZ71" s="57">
        <v>415.29</v>
      </c>
      <c r="BA71" s="57">
        <v>391.25</v>
      </c>
      <c r="BB71" s="57">
        <v>408.83</v>
      </c>
      <c r="BC71" s="57">
        <v>410.02</v>
      </c>
      <c r="BD71" s="57">
        <v>429.30900000000003</v>
      </c>
      <c r="BE71" s="57">
        <v>425.19</v>
      </c>
      <c r="BF71" s="57">
        <v>443.46699999999998</v>
      </c>
      <c r="BG71" s="57">
        <v>448.53</v>
      </c>
      <c r="BH71" s="57">
        <v>448.89</v>
      </c>
      <c r="BI71" s="57">
        <v>470.25</v>
      </c>
      <c r="BJ71" s="57">
        <v>459.49</v>
      </c>
      <c r="BK71" s="57">
        <v>464.52</v>
      </c>
      <c r="BL71" s="57">
        <v>513.80999999999995</v>
      </c>
      <c r="BM71" s="57">
        <v>592.65</v>
      </c>
      <c r="BN71" s="57">
        <v>345.58300000000003</v>
      </c>
      <c r="BO71" s="57">
        <v>365.52600000000001</v>
      </c>
      <c r="BP71" s="57">
        <v>364.60899999999998</v>
      </c>
      <c r="BW71" s="57"/>
      <c r="BX71" s="57"/>
      <c r="BY71" s="57"/>
      <c r="BZ71" s="57"/>
      <c r="CA71" s="57"/>
      <c r="CB71" s="57"/>
      <c r="CC71" s="57"/>
      <c r="CD71" s="57"/>
      <c r="CE71" s="57"/>
      <c r="CF71" s="57"/>
      <c r="CG71" s="57">
        <f t="shared" si="110"/>
        <v>395.07100000000003</v>
      </c>
      <c r="CH71" s="57">
        <f t="shared" si="111"/>
        <v>383.56</v>
      </c>
      <c r="CI71" s="57">
        <f t="shared" si="112"/>
        <v>408.83</v>
      </c>
      <c r="CJ71" s="57">
        <f t="shared" si="113"/>
        <v>443.46699999999998</v>
      </c>
      <c r="CK71" s="57">
        <f t="shared" si="114"/>
        <v>459.49</v>
      </c>
    </row>
    <row r="72" spans="2:100" ht="15">
      <c r="B72" s="1" t="s">
        <v>1004</v>
      </c>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v>513.19000000000005</v>
      </c>
      <c r="AU72" s="57">
        <v>512.29999999999995</v>
      </c>
      <c r="AV72" s="57">
        <v>490.3</v>
      </c>
      <c r="AW72" s="57">
        <v>484.34</v>
      </c>
      <c r="AX72" s="57">
        <v>477.64</v>
      </c>
      <c r="AY72" s="57">
        <v>491.42200000000003</v>
      </c>
      <c r="AZ72" s="57">
        <v>510.53</v>
      </c>
      <c r="BA72" s="57">
        <v>530.08000000000004</v>
      </c>
      <c r="BB72" s="57">
        <v>578.50699999999995</v>
      </c>
      <c r="BC72" s="57">
        <v>614.1</v>
      </c>
      <c r="BD72" s="57">
        <v>631.55499999999995</v>
      </c>
      <c r="BE72" s="57">
        <v>625.07500000000005</v>
      </c>
      <c r="BF72" s="57">
        <v>626.21600000000001</v>
      </c>
      <c r="BG72" s="57">
        <v>627.86</v>
      </c>
      <c r="BH72" s="57">
        <v>636.9</v>
      </c>
      <c r="BI72" s="57">
        <v>639.92999999999995</v>
      </c>
      <c r="BJ72" s="57">
        <v>600.13</v>
      </c>
      <c r="BK72" s="57">
        <v>643.97</v>
      </c>
      <c r="BL72" s="57">
        <v>693.68</v>
      </c>
      <c r="BM72" s="57">
        <v>802.46</v>
      </c>
      <c r="BN72" s="57">
        <v>404.39499999999998</v>
      </c>
      <c r="BO72" s="57">
        <v>380.86099999999999</v>
      </c>
      <c r="BP72" s="57">
        <v>351.91199999999998</v>
      </c>
      <c r="BW72" s="57"/>
      <c r="BX72" s="57"/>
      <c r="BY72" s="57"/>
      <c r="BZ72" s="57"/>
      <c r="CA72" s="57"/>
      <c r="CB72" s="57"/>
      <c r="CC72" s="57"/>
      <c r="CD72" s="57"/>
      <c r="CE72" s="57"/>
      <c r="CF72" s="57"/>
      <c r="CG72" s="57">
        <f t="shared" si="110"/>
        <v>513.19000000000005</v>
      </c>
      <c r="CH72" s="57">
        <f t="shared" si="111"/>
        <v>477.64</v>
      </c>
      <c r="CI72" s="57">
        <f t="shared" si="112"/>
        <v>578.50699999999995</v>
      </c>
      <c r="CJ72" s="57">
        <f t="shared" si="113"/>
        <v>626.21600000000001</v>
      </c>
      <c r="CK72" s="57">
        <f t="shared" si="114"/>
        <v>600.13</v>
      </c>
      <c r="CM72" s="112" t="s">
        <v>968</v>
      </c>
      <c r="CP72" s="113" t="s">
        <v>1286</v>
      </c>
      <c r="CQ72" s="48"/>
      <c r="CR72" s="114" t="s">
        <v>967</v>
      </c>
      <c r="CS72" s="48"/>
      <c r="CT72" s="51" t="s">
        <v>970</v>
      </c>
      <c r="CU72" s="52">
        <v>7.3999999999999996E-2</v>
      </c>
      <c r="CV72" s="48"/>
    </row>
    <row r="73" spans="2:100">
      <c r="B73" s="1" t="s">
        <v>1020</v>
      </c>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v>115.43</v>
      </c>
      <c r="AU73" s="57">
        <v>121.87</v>
      </c>
      <c r="AV73" s="57">
        <v>116.818</v>
      </c>
      <c r="AW73" s="57">
        <v>123.776</v>
      </c>
      <c r="AX73" s="57">
        <v>117.277</v>
      </c>
      <c r="AY73" s="57">
        <v>123.87</v>
      </c>
      <c r="AZ73" s="57">
        <v>112.595</v>
      </c>
      <c r="BA73" s="57">
        <v>113.916</v>
      </c>
      <c r="BB73" s="57">
        <v>125.084</v>
      </c>
      <c r="BC73" s="57">
        <v>134.94</v>
      </c>
      <c r="BD73" s="57">
        <v>120.19</v>
      </c>
      <c r="BE73" s="57">
        <v>138.65</v>
      </c>
      <c r="BF73" s="57">
        <v>107.47</v>
      </c>
      <c r="BG73" s="57">
        <v>111.62</v>
      </c>
      <c r="BH73" s="57">
        <v>94.82</v>
      </c>
      <c r="BI73" s="57">
        <v>116.92</v>
      </c>
      <c r="BJ73" s="57">
        <v>117.85</v>
      </c>
      <c r="BK73" s="57">
        <v>141.6</v>
      </c>
      <c r="BL73" s="57">
        <v>199</v>
      </c>
      <c r="BM73" s="57">
        <v>154.6</v>
      </c>
      <c r="BN73" s="57">
        <v>150.678</v>
      </c>
      <c r="BO73" s="57">
        <v>149.80799999999999</v>
      </c>
      <c r="BP73" s="57">
        <v>148.22200000000001</v>
      </c>
      <c r="BW73" s="57"/>
      <c r="BX73" s="57"/>
      <c r="BY73" s="57"/>
      <c r="BZ73" s="57"/>
      <c r="CA73" s="57"/>
      <c r="CB73" s="57"/>
      <c r="CC73" s="57"/>
      <c r="CD73" s="57"/>
      <c r="CE73" s="57"/>
      <c r="CF73" s="57"/>
      <c r="CG73" s="57">
        <f t="shared" si="110"/>
        <v>115.43</v>
      </c>
      <c r="CH73" s="57">
        <f t="shared" si="111"/>
        <v>117.277</v>
      </c>
      <c r="CI73" s="57">
        <f t="shared" si="112"/>
        <v>125.084</v>
      </c>
      <c r="CJ73" s="57">
        <f t="shared" si="113"/>
        <v>107.47</v>
      </c>
      <c r="CK73" s="57">
        <f t="shared" si="114"/>
        <v>117.85</v>
      </c>
      <c r="CM73" s="48">
        <v>2023</v>
      </c>
      <c r="CN73" s="48">
        <v>2024</v>
      </c>
      <c r="CP73" s="50" t="s">
        <v>971</v>
      </c>
      <c r="CQ73" s="48"/>
      <c r="CR73" s="48">
        <v>2024</v>
      </c>
      <c r="CS73" s="48"/>
      <c r="CT73" s="51" t="s">
        <v>972</v>
      </c>
      <c r="CU73" s="52">
        <v>0.01</v>
      </c>
      <c r="CV73" s="48"/>
    </row>
    <row r="74" spans="2:100" ht="14.25" customHeight="1">
      <c r="B74" s="1" t="s">
        <v>1019</v>
      </c>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v>22.84</v>
      </c>
      <c r="AU74" s="57">
        <v>18.87</v>
      </c>
      <c r="AV74" s="57">
        <v>27.18</v>
      </c>
      <c r="AW74" s="57">
        <v>52.8</v>
      </c>
      <c r="AX74" s="57">
        <v>5.5449999999999999</v>
      </c>
      <c r="AY74" s="57">
        <v>5.0919999999999996</v>
      </c>
      <c r="AZ74" s="57">
        <v>38.799999999999997</v>
      </c>
      <c r="BA74" s="57">
        <v>26.867999999999999</v>
      </c>
      <c r="BB74" s="57">
        <v>6.524</v>
      </c>
      <c r="BC74" s="57">
        <v>4.84</v>
      </c>
      <c r="BD74" s="57">
        <v>13.929</v>
      </c>
      <c r="BE74" s="57">
        <v>26.84</v>
      </c>
      <c r="BF74" s="57">
        <v>7.4039999999999999</v>
      </c>
      <c r="BG74" s="57">
        <v>8.1630000000000003</v>
      </c>
      <c r="BH74" s="57">
        <v>18.89</v>
      </c>
      <c r="BI74" s="57">
        <v>28.94</v>
      </c>
      <c r="BJ74" s="57">
        <v>3.4</v>
      </c>
      <c r="BK74" s="57">
        <v>4.6900000000000004</v>
      </c>
      <c r="BL74" s="57">
        <v>63.66</v>
      </c>
      <c r="BM74" s="57">
        <v>82.26</v>
      </c>
      <c r="BN74" s="57">
        <v>19.565999999999999</v>
      </c>
      <c r="BO74" s="57">
        <v>16.792999999999999</v>
      </c>
      <c r="BP74" s="57">
        <v>36.457999999999998</v>
      </c>
      <c r="BW74" s="57"/>
      <c r="BX74" s="57"/>
      <c r="BY74" s="57"/>
      <c r="BZ74" s="57"/>
      <c r="CA74" s="57"/>
      <c r="CB74" s="57"/>
      <c r="CC74" s="57"/>
      <c r="CD74" s="57"/>
      <c r="CE74" s="57"/>
      <c r="CF74" s="57"/>
      <c r="CG74" s="57">
        <f t="shared" si="110"/>
        <v>22.84</v>
      </c>
      <c r="CH74" s="57">
        <f t="shared" si="111"/>
        <v>5.5449999999999999</v>
      </c>
      <c r="CI74" s="57">
        <f t="shared" si="112"/>
        <v>6.524</v>
      </c>
      <c r="CJ74" s="57">
        <f t="shared" si="113"/>
        <v>7.4039999999999999</v>
      </c>
      <c r="CK74" s="57">
        <f t="shared" si="114"/>
        <v>3.4</v>
      </c>
      <c r="CM74" s="54">
        <f>SUM(CJ70:CJ75)-CJ86+CJ76+CJ79+CJ78</f>
        <v>7171.0880000000006</v>
      </c>
      <c r="CN74" s="54">
        <f>SUM(CK70:CK75)-CK86+CK76+CK79+CK78</f>
        <v>6733.8799999999992</v>
      </c>
      <c r="CP74" s="54">
        <f>AVERAGE(CM74:CN74)</f>
        <v>6952.4840000000004</v>
      </c>
      <c r="CQ74" s="48"/>
      <c r="CR74" s="53">
        <f>AVERAGE(CL53)*(1-CL67)</f>
        <v>524.8649111200001</v>
      </c>
      <c r="CS74" s="48"/>
      <c r="CT74" s="51" t="s">
        <v>973</v>
      </c>
      <c r="CU74" s="52">
        <v>4.1599999999999998E-2</v>
      </c>
      <c r="CV74" s="48"/>
    </row>
    <row r="75" spans="2:100" ht="14.25" customHeight="1">
      <c r="B75" s="1" t="s">
        <v>1030</v>
      </c>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v>0</v>
      </c>
      <c r="AU75" s="57">
        <v>0</v>
      </c>
      <c r="AV75" s="57">
        <v>26.936</v>
      </c>
      <c r="AW75" s="57">
        <v>0</v>
      </c>
      <c r="AX75" s="57">
        <v>0</v>
      </c>
      <c r="AY75" s="57">
        <v>0</v>
      </c>
      <c r="AZ75" s="57">
        <v>0</v>
      </c>
      <c r="BA75" s="57">
        <v>0</v>
      </c>
      <c r="BB75" s="57">
        <v>0</v>
      </c>
      <c r="BC75" s="57">
        <v>0</v>
      </c>
      <c r="BD75" s="57">
        <v>0</v>
      </c>
      <c r="BE75" s="57">
        <v>0</v>
      </c>
      <c r="BF75" s="57">
        <v>0</v>
      </c>
      <c r="BG75" s="57">
        <v>0</v>
      </c>
      <c r="BH75" s="57">
        <v>0</v>
      </c>
      <c r="BI75" s="57">
        <v>0</v>
      </c>
      <c r="BJ75" s="57">
        <v>0</v>
      </c>
      <c r="BK75" s="57">
        <v>0</v>
      </c>
      <c r="BL75" s="57">
        <v>0</v>
      </c>
      <c r="BM75" s="57">
        <v>0</v>
      </c>
      <c r="BN75" s="57">
        <v>639.55200000000002</v>
      </c>
      <c r="BO75" s="57">
        <v>637.27099999999996</v>
      </c>
      <c r="BP75" s="57">
        <v>674.51599999999996</v>
      </c>
      <c r="BW75" s="57"/>
      <c r="BX75" s="57"/>
      <c r="BY75" s="57"/>
      <c r="BZ75" s="57"/>
      <c r="CA75" s="57"/>
      <c r="CB75" s="57"/>
      <c r="CC75" s="57"/>
      <c r="CD75" s="57"/>
      <c r="CE75" s="57"/>
      <c r="CF75" s="57"/>
      <c r="CG75" s="57">
        <f t="shared" si="110"/>
        <v>0</v>
      </c>
      <c r="CH75" s="57">
        <f t="shared" si="111"/>
        <v>0</v>
      </c>
      <c r="CI75" s="57">
        <f t="shared" si="112"/>
        <v>0</v>
      </c>
      <c r="CJ75" s="57">
        <f t="shared" si="113"/>
        <v>0</v>
      </c>
      <c r="CK75" s="57">
        <f t="shared" si="114"/>
        <v>0</v>
      </c>
      <c r="CN75" s="48"/>
      <c r="CO75" s="48"/>
      <c r="CP75" s="48"/>
      <c r="CQ75" s="48"/>
      <c r="CR75" s="55">
        <f>CR74/CP74</f>
        <v>7.5493149084557412E-2</v>
      </c>
      <c r="CS75" s="48"/>
      <c r="CT75" s="51" t="s">
        <v>974</v>
      </c>
      <c r="CU75" s="52">
        <f>9.95%-CU74</f>
        <v>5.7899999999999993E-2</v>
      </c>
      <c r="CV75" s="48"/>
    </row>
    <row r="76" spans="2:100" ht="14.25" customHeight="1">
      <c r="B76" s="1" t="s">
        <v>1005</v>
      </c>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v>473.91199999999998</v>
      </c>
      <c r="AU76" s="57">
        <v>467.64</v>
      </c>
      <c r="AV76" s="57">
        <v>449.75</v>
      </c>
      <c r="AW76" s="57">
        <v>446.31799999999998</v>
      </c>
      <c r="AX76" s="57">
        <v>443.75</v>
      </c>
      <c r="AY76" s="57">
        <v>436.02</v>
      </c>
      <c r="AZ76" s="57">
        <v>429.37</v>
      </c>
      <c r="BA76" s="57">
        <v>422.35500000000002</v>
      </c>
      <c r="BB76" s="57">
        <v>447.20499999999998</v>
      </c>
      <c r="BC76" s="57">
        <v>458.86</v>
      </c>
      <c r="BD76" s="57">
        <v>464.60899999999998</v>
      </c>
      <c r="BE76" s="57">
        <v>464.46699999999998</v>
      </c>
      <c r="BF76" s="57">
        <v>479.91300000000001</v>
      </c>
      <c r="BG76" s="57">
        <v>485.53500000000003</v>
      </c>
      <c r="BH76" s="57">
        <v>491.99</v>
      </c>
      <c r="BI76" s="57">
        <v>512.22400000000005</v>
      </c>
      <c r="BJ76" s="57">
        <v>502.85</v>
      </c>
      <c r="BK76" s="57">
        <v>518.91600000000005</v>
      </c>
      <c r="BL76" s="57">
        <v>548.96100000000001</v>
      </c>
      <c r="BM76" s="57">
        <v>700.58600000000001</v>
      </c>
      <c r="BN76" s="57">
        <v>498.28100000000001</v>
      </c>
      <c r="BO76" s="57">
        <v>476.95499999999998</v>
      </c>
      <c r="BP76" s="57">
        <v>475.637</v>
      </c>
      <c r="BW76" s="57"/>
      <c r="BX76" s="57"/>
      <c r="BY76" s="57"/>
      <c r="BZ76" s="57"/>
      <c r="CA76" s="57"/>
      <c r="CB76" s="57"/>
      <c r="CC76" s="57"/>
      <c r="CD76" s="57"/>
      <c r="CE76" s="57"/>
      <c r="CF76" s="57"/>
      <c r="CG76" s="57">
        <f t="shared" si="110"/>
        <v>473.91199999999998</v>
      </c>
      <c r="CH76" s="57">
        <f t="shared" si="111"/>
        <v>443.75</v>
      </c>
      <c r="CI76" s="57">
        <f t="shared" si="112"/>
        <v>447.20499999999998</v>
      </c>
      <c r="CJ76" s="57">
        <f t="shared" si="113"/>
        <v>479.91300000000001</v>
      </c>
      <c r="CK76" s="57">
        <f t="shared" si="114"/>
        <v>502.85</v>
      </c>
      <c r="CM76" s="61" t="s">
        <v>1274</v>
      </c>
      <c r="CN76" s="48"/>
      <c r="CO76" s="48"/>
      <c r="CQ76" s="48"/>
      <c r="CR76" s="48"/>
      <c r="CS76" s="48"/>
      <c r="CT76" s="51" t="s">
        <v>975</v>
      </c>
      <c r="CU76" s="48">
        <f>'Notes | Quant Analysis'!K204</f>
        <v>1.08</v>
      </c>
      <c r="CV76" s="48"/>
    </row>
    <row r="77" spans="2:100" ht="14.25" customHeight="1">
      <c r="B77" s="1" t="s">
        <v>1006</v>
      </c>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v>100.63</v>
      </c>
      <c r="AU77" s="57">
        <v>94.55</v>
      </c>
      <c r="AV77" s="57">
        <v>115.11</v>
      </c>
      <c r="AW77" s="57">
        <v>129.99</v>
      </c>
      <c r="AX77" s="57">
        <v>129.65</v>
      </c>
      <c r="AY77" s="57">
        <v>124.39</v>
      </c>
      <c r="AZ77" s="57">
        <v>118.62</v>
      </c>
      <c r="BA77" s="57">
        <v>112.04</v>
      </c>
      <c r="BB77" s="57">
        <v>131.21100000000001</v>
      </c>
      <c r="BC77" s="57">
        <v>126.77</v>
      </c>
      <c r="BD77" s="57">
        <v>123.215</v>
      </c>
      <c r="BE77" s="57">
        <v>123.6</v>
      </c>
      <c r="BF77" s="57">
        <v>123.52</v>
      </c>
      <c r="BG77" s="57">
        <v>112.56</v>
      </c>
      <c r="BH77" s="57">
        <v>112.01</v>
      </c>
      <c r="BI77" s="57">
        <v>112.89</v>
      </c>
      <c r="BJ77" s="57">
        <v>108.9</v>
      </c>
      <c r="BK77" s="57">
        <v>108.34</v>
      </c>
      <c r="BL77" s="57">
        <v>99.09</v>
      </c>
      <c r="BM77" s="57">
        <v>107.05</v>
      </c>
      <c r="BN77" s="57">
        <v>91.816999999999993</v>
      </c>
      <c r="BO77" s="57">
        <v>84.912000000000006</v>
      </c>
      <c r="BP77" s="57">
        <v>77.158000000000001</v>
      </c>
      <c r="BW77" s="57"/>
      <c r="BX77" s="57"/>
      <c r="BY77" s="57"/>
      <c r="BZ77" s="57"/>
      <c r="CA77" s="57"/>
      <c r="CB77" s="57"/>
      <c r="CC77" s="57"/>
      <c r="CD77" s="57"/>
      <c r="CE77" s="57"/>
      <c r="CF77" s="57"/>
      <c r="CG77" s="57">
        <f t="shared" si="110"/>
        <v>100.63</v>
      </c>
      <c r="CH77" s="57">
        <f t="shared" si="111"/>
        <v>129.65</v>
      </c>
      <c r="CI77" s="57">
        <f t="shared" si="112"/>
        <v>131.21100000000001</v>
      </c>
      <c r="CJ77" s="57">
        <f t="shared" si="113"/>
        <v>123.52</v>
      </c>
      <c r="CK77" s="57">
        <f t="shared" si="114"/>
        <v>108.9</v>
      </c>
      <c r="CM77" s="116" t="s">
        <v>1275</v>
      </c>
      <c r="CP77" s="53">
        <f>Main!C7</f>
        <v>5301.58464</v>
      </c>
      <c r="CQ77" s="48"/>
      <c r="CS77" s="48"/>
      <c r="CT77" s="51" t="s">
        <v>976</v>
      </c>
      <c r="CU77" s="52">
        <f>+CU74+(CU75*CU76)</f>
        <v>0.10413199999999999</v>
      </c>
      <c r="CV77" s="48"/>
    </row>
    <row r="78" spans="2:100" ht="14.25" customHeight="1">
      <c r="B78" s="1" t="s">
        <v>1007</v>
      </c>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v>2585.9659999999999</v>
      </c>
      <c r="AU78" s="57">
        <v>2565.87</v>
      </c>
      <c r="AV78" s="57">
        <v>2537.4299999999998</v>
      </c>
      <c r="AW78" s="57">
        <v>2522.9499999999998</v>
      </c>
      <c r="AX78" s="57">
        <v>2504.2020000000002</v>
      </c>
      <c r="AY78" s="57">
        <v>2492.7199999999998</v>
      </c>
      <c r="AZ78" s="57">
        <v>2461.0830000000001</v>
      </c>
      <c r="BA78" s="57">
        <v>2415.29</v>
      </c>
      <c r="BB78" s="57">
        <v>2536.73</v>
      </c>
      <c r="BC78" s="57">
        <v>2547.84</v>
      </c>
      <c r="BD78" s="57">
        <v>2546.13</v>
      </c>
      <c r="BE78" s="57">
        <v>2528.3049999999998</v>
      </c>
      <c r="BF78" s="57">
        <v>2914.05</v>
      </c>
      <c r="BG78" s="57">
        <v>2898.3429999999998</v>
      </c>
      <c r="BH78" s="57">
        <v>2892.62</v>
      </c>
      <c r="BI78" s="57">
        <v>2918.56</v>
      </c>
      <c r="BJ78" s="57">
        <v>2632.31</v>
      </c>
      <c r="BK78" s="57">
        <v>2651.88</v>
      </c>
      <c r="BL78" s="57">
        <v>2694.1</v>
      </c>
      <c r="BM78" s="57">
        <v>2537.77</v>
      </c>
      <c r="BN78" s="57">
        <v>2305.0500000000002</v>
      </c>
      <c r="BO78" s="57">
        <v>2297.4470000000001</v>
      </c>
      <c r="BP78" s="57">
        <v>2292.4349999999999</v>
      </c>
      <c r="BW78" s="57"/>
      <c r="BX78" s="57"/>
      <c r="BY78" s="57"/>
      <c r="BZ78" s="57"/>
      <c r="CA78" s="57"/>
      <c r="CB78" s="57"/>
      <c r="CC78" s="57"/>
      <c r="CD78" s="57"/>
      <c r="CE78" s="57"/>
      <c r="CF78" s="57"/>
      <c r="CG78" s="57">
        <f t="shared" si="110"/>
        <v>2585.9659999999999</v>
      </c>
      <c r="CH78" s="57">
        <f t="shared" si="111"/>
        <v>2504.2020000000002</v>
      </c>
      <c r="CI78" s="57">
        <f t="shared" si="112"/>
        <v>2536.73</v>
      </c>
      <c r="CJ78" s="57">
        <f t="shared" si="113"/>
        <v>2914.05</v>
      </c>
      <c r="CK78" s="57">
        <f t="shared" si="114"/>
        <v>2632.31</v>
      </c>
      <c r="CM78" s="116" t="s">
        <v>1276</v>
      </c>
      <c r="CP78" s="117">
        <f>Main!C9/(Main!C9+CP77)</f>
        <v>0.34625767019320097</v>
      </c>
      <c r="CQ78" s="61"/>
      <c r="CS78" s="48"/>
      <c r="CT78" s="51"/>
      <c r="CV78" s="48"/>
    </row>
    <row r="79" spans="2:100" ht="14.25" customHeight="1">
      <c r="B79" s="1" t="s">
        <v>1008</v>
      </c>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v>2519.7399999999998</v>
      </c>
      <c r="AU79" s="57">
        <v>2470.2440000000001</v>
      </c>
      <c r="AV79" s="57">
        <v>2381.3200000000002</v>
      </c>
      <c r="AW79" s="57">
        <v>2337.2399999999998</v>
      </c>
      <c r="AX79" s="57">
        <v>2289.06</v>
      </c>
      <c r="AY79" s="57">
        <v>2243.5500000000002</v>
      </c>
      <c r="AZ79" s="57">
        <v>2226.87</v>
      </c>
      <c r="BA79" s="57">
        <v>2176.25</v>
      </c>
      <c r="BB79" s="57">
        <v>2306.16</v>
      </c>
      <c r="BC79" s="57">
        <v>2269.5300000000002</v>
      </c>
      <c r="BD79" s="57">
        <v>2227.9470000000001</v>
      </c>
      <c r="BE79" s="57">
        <v>2180.5300000000002</v>
      </c>
      <c r="BF79" s="57">
        <v>2501.96</v>
      </c>
      <c r="BG79" s="57">
        <v>2429.46</v>
      </c>
      <c r="BH79" s="57">
        <v>2379.91</v>
      </c>
      <c r="BI79" s="57">
        <v>2325.1</v>
      </c>
      <c r="BJ79" s="57">
        <v>2268.6999999999998</v>
      </c>
      <c r="BK79" s="57">
        <v>2226.14</v>
      </c>
      <c r="BL79" s="57">
        <v>2184.3000000000002</v>
      </c>
      <c r="BM79" s="57">
        <v>2410.4</v>
      </c>
      <c r="BN79" s="57">
        <v>1524.15</v>
      </c>
      <c r="BO79" s="57">
        <v>1485.885</v>
      </c>
      <c r="BP79" s="57">
        <v>1448.6690000000001</v>
      </c>
      <c r="BW79" s="57"/>
      <c r="BX79" s="57"/>
      <c r="BY79" s="57"/>
      <c r="BZ79" s="57"/>
      <c r="CA79" s="57"/>
      <c r="CB79" s="57"/>
      <c r="CC79" s="57"/>
      <c r="CD79" s="57"/>
      <c r="CE79" s="57"/>
      <c r="CF79" s="57"/>
      <c r="CG79" s="57">
        <f t="shared" si="110"/>
        <v>2519.7399999999998</v>
      </c>
      <c r="CH79" s="57">
        <f t="shared" si="111"/>
        <v>2289.06</v>
      </c>
      <c r="CI79" s="57">
        <f t="shared" si="112"/>
        <v>2306.16</v>
      </c>
      <c r="CJ79" s="57">
        <f t="shared" si="113"/>
        <v>2501.96</v>
      </c>
      <c r="CK79" s="57">
        <f t="shared" si="114"/>
        <v>2268.6999999999998</v>
      </c>
      <c r="CM79" s="116" t="s">
        <v>1277</v>
      </c>
      <c r="CP79" s="117">
        <f>CP77/(CP77+Main!C9)</f>
        <v>0.65374232980679903</v>
      </c>
      <c r="CQ79" s="48"/>
      <c r="CS79" s="48"/>
      <c r="CT79" s="51" t="s">
        <v>977</v>
      </c>
      <c r="CU79" s="54">
        <f>NPV(CU77,CL59:EI59)</f>
        <v>6152.7486273560344</v>
      </c>
      <c r="CV79" s="48"/>
    </row>
    <row r="80" spans="2:100" ht="14.25" customHeight="1">
      <c r="B80" s="1" t="s">
        <v>1009</v>
      </c>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v>8.0730000000000004</v>
      </c>
      <c r="AU80" s="57">
        <v>8.0449999999999999</v>
      </c>
      <c r="AV80" s="1">
        <v>8.44</v>
      </c>
      <c r="AW80" s="57">
        <v>8.4250000000000007</v>
      </c>
      <c r="AX80" s="57">
        <v>6.82</v>
      </c>
      <c r="AY80" s="57">
        <v>6.7910000000000004</v>
      </c>
      <c r="AZ80" s="57">
        <v>6.2430000000000003</v>
      </c>
      <c r="BA80" s="57">
        <v>5.7619999999999996</v>
      </c>
      <c r="BB80" s="57">
        <v>6.4020000000000001</v>
      </c>
      <c r="BC80" s="57">
        <v>6.4790000000000001</v>
      </c>
      <c r="BD80" s="57">
        <v>6.2779999999999996</v>
      </c>
      <c r="BE80" s="57">
        <v>6.1669999999999998</v>
      </c>
      <c r="BF80" s="57">
        <v>6.74</v>
      </c>
      <c r="BG80" s="57">
        <v>6.5880000000000001</v>
      </c>
      <c r="BH80" s="57">
        <v>6.4240000000000004</v>
      </c>
      <c r="BI80" s="57">
        <v>6.7789999999999999</v>
      </c>
      <c r="BJ80" s="57">
        <v>11.374000000000001</v>
      </c>
      <c r="BK80" s="57">
        <v>11.773</v>
      </c>
      <c r="BL80" s="57">
        <v>12.86</v>
      </c>
      <c r="BM80" s="57">
        <v>13.509</v>
      </c>
      <c r="BN80" s="57">
        <v>12.593</v>
      </c>
      <c r="BO80" s="57">
        <v>12.206</v>
      </c>
      <c r="BP80" s="57">
        <v>12.641999999999999</v>
      </c>
      <c r="BW80" s="57"/>
      <c r="BX80" s="57"/>
      <c r="BY80" s="57"/>
      <c r="BZ80" s="57"/>
      <c r="CA80" s="57"/>
      <c r="CB80" s="57"/>
      <c r="CC80" s="57"/>
      <c r="CD80" s="57"/>
      <c r="CE80" s="57"/>
      <c r="CF80" s="57"/>
      <c r="CG80" s="57">
        <f t="shared" si="110"/>
        <v>8.0730000000000004</v>
      </c>
      <c r="CH80" s="57">
        <f t="shared" si="111"/>
        <v>6.82</v>
      </c>
      <c r="CI80" s="57">
        <f t="shared" si="112"/>
        <v>6.4020000000000001</v>
      </c>
      <c r="CJ80" s="57">
        <f t="shared" si="113"/>
        <v>6.74</v>
      </c>
      <c r="CK80" s="57">
        <f t="shared" si="114"/>
        <v>11.374000000000001</v>
      </c>
      <c r="CM80" s="118" t="s">
        <v>1278</v>
      </c>
      <c r="CN80" s="34"/>
      <c r="CO80" s="34"/>
      <c r="CP80" s="119">
        <f>CK93/CK100</f>
        <v>0.36368247586545421</v>
      </c>
      <c r="CQ80" s="48"/>
      <c r="CR80" s="48"/>
      <c r="CS80" s="48"/>
      <c r="CT80" s="51" t="s">
        <v>137</v>
      </c>
      <c r="CU80" s="54">
        <f>Main!C6</f>
        <v>42.372</v>
      </c>
      <c r="CV80" s="120"/>
    </row>
    <row r="81" spans="2:151" ht="14.25" customHeight="1">
      <c r="B81" s="1" t="s">
        <v>1010</v>
      </c>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v>41.802</v>
      </c>
      <c r="AU81" s="57">
        <v>42.87</v>
      </c>
      <c r="AV81" s="57">
        <v>41.66</v>
      </c>
      <c r="AW81" s="57">
        <v>53.3</v>
      </c>
      <c r="AX81" s="57">
        <v>69.103999999999999</v>
      </c>
      <c r="AY81" s="57">
        <v>75.622</v>
      </c>
      <c r="AZ81" s="57">
        <v>104.30800000000001</v>
      </c>
      <c r="BA81" s="57">
        <v>166.98</v>
      </c>
      <c r="BB81" s="57">
        <v>89.36</v>
      </c>
      <c r="BC81" s="57">
        <v>80.38</v>
      </c>
      <c r="BD81" s="57">
        <v>81.747</v>
      </c>
      <c r="BE81" s="57">
        <v>93.28</v>
      </c>
      <c r="BF81" s="57">
        <v>98.942999999999998</v>
      </c>
      <c r="BG81" s="57">
        <v>111.828</v>
      </c>
      <c r="BH81" s="57">
        <v>120.577</v>
      </c>
      <c r="BI81" s="57">
        <v>111.42</v>
      </c>
      <c r="BJ81" s="57">
        <v>102.624</v>
      </c>
      <c r="BK81" s="57">
        <v>107.31699999999999</v>
      </c>
      <c r="BL81" s="57">
        <v>112.06</v>
      </c>
      <c r="BM81" s="57">
        <v>116.626</v>
      </c>
      <c r="BN81" s="57">
        <v>112.98399999999999</v>
      </c>
      <c r="BO81" s="57">
        <v>113.557</v>
      </c>
      <c r="BP81" s="57">
        <v>120.31</v>
      </c>
      <c r="BW81" s="57"/>
      <c r="BX81" s="57"/>
      <c r="BY81" s="57"/>
      <c r="BZ81" s="57"/>
      <c r="CA81" s="57"/>
      <c r="CB81" s="57"/>
      <c r="CC81" s="57"/>
      <c r="CD81" s="57"/>
      <c r="CE81" s="57"/>
      <c r="CF81" s="57"/>
      <c r="CG81" s="57">
        <f t="shared" si="110"/>
        <v>41.802</v>
      </c>
      <c r="CH81" s="57">
        <f t="shared" si="111"/>
        <v>69.103999999999999</v>
      </c>
      <c r="CI81" s="57">
        <f t="shared" si="112"/>
        <v>89.36</v>
      </c>
      <c r="CJ81" s="57">
        <f t="shared" si="113"/>
        <v>98.942999999999998</v>
      </c>
      <c r="CK81" s="57">
        <f t="shared" si="114"/>
        <v>102.624</v>
      </c>
      <c r="CM81" s="121"/>
      <c r="CN81" s="121"/>
      <c r="CO81" s="121"/>
      <c r="CP81" s="121"/>
      <c r="CQ81" s="121"/>
      <c r="CR81" s="121"/>
      <c r="CS81" s="121"/>
      <c r="CT81" s="51" t="s">
        <v>978</v>
      </c>
      <c r="CU81" s="56">
        <f>CU79/CU80</f>
        <v>145.20788792967136</v>
      </c>
      <c r="CV81" s="49"/>
    </row>
    <row r="82" spans="2:151" ht="14.25" customHeight="1">
      <c r="B82" s="1" t="s">
        <v>1031</v>
      </c>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v>0</v>
      </c>
      <c r="AU82" s="57">
        <v>0</v>
      </c>
      <c r="AV82" s="57">
        <v>95.426000000000002</v>
      </c>
      <c r="AW82" s="57">
        <v>0</v>
      </c>
      <c r="AX82" s="57">
        <v>0</v>
      </c>
      <c r="AY82" s="57">
        <v>0</v>
      </c>
      <c r="AZ82" s="57">
        <v>0</v>
      </c>
      <c r="BA82" s="57">
        <v>0</v>
      </c>
      <c r="BB82" s="57">
        <v>0</v>
      </c>
      <c r="BC82" s="57">
        <v>0</v>
      </c>
      <c r="BD82" s="57">
        <v>0</v>
      </c>
      <c r="BE82" s="57">
        <v>0</v>
      </c>
      <c r="BF82" s="57">
        <v>0</v>
      </c>
      <c r="BG82" s="57">
        <v>0</v>
      </c>
      <c r="BH82" s="57">
        <v>0</v>
      </c>
      <c r="BI82" s="57">
        <v>0</v>
      </c>
      <c r="BJ82" s="57">
        <v>0</v>
      </c>
      <c r="BK82" s="57">
        <v>0</v>
      </c>
      <c r="BL82" s="57">
        <v>0</v>
      </c>
      <c r="BM82" s="57">
        <v>0</v>
      </c>
      <c r="BN82" s="57">
        <v>464.02600000000001</v>
      </c>
      <c r="BO82" s="57">
        <v>452.37</v>
      </c>
      <c r="BP82" s="57">
        <v>484.05099999999999</v>
      </c>
      <c r="BW82" s="57"/>
      <c r="BX82" s="57"/>
      <c r="BY82" s="57"/>
      <c r="BZ82" s="57"/>
      <c r="CA82" s="57"/>
      <c r="CB82" s="57"/>
      <c r="CC82" s="57"/>
      <c r="CD82" s="57"/>
      <c r="CE82" s="57"/>
      <c r="CF82" s="57"/>
      <c r="CG82" s="57">
        <f t="shared" si="110"/>
        <v>0</v>
      </c>
      <c r="CH82" s="57">
        <f t="shared" si="111"/>
        <v>0</v>
      </c>
      <c r="CI82" s="57">
        <f t="shared" si="112"/>
        <v>0</v>
      </c>
      <c r="CJ82" s="57">
        <f t="shared" si="113"/>
        <v>0</v>
      </c>
      <c r="CK82" s="57">
        <f t="shared" si="114"/>
        <v>0</v>
      </c>
      <c r="CM82" s="34" t="s">
        <v>1279</v>
      </c>
      <c r="CP82" s="48"/>
      <c r="CQ82" s="61"/>
      <c r="CR82" s="61"/>
      <c r="CS82" s="61"/>
      <c r="CT82" s="51" t="s">
        <v>979</v>
      </c>
      <c r="CU82" s="56">
        <f>Main!C5</f>
        <v>125.12</v>
      </c>
      <c r="CV82" s="123"/>
    </row>
    <row r="83" spans="2:151" s="2" customFormat="1" ht="14.25" customHeight="1">
      <c r="B83" s="2" t="s">
        <v>1011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f t="shared" ref="AT83:BK83" si="116">SUM(AT70:AT81)</f>
        <v>7152.5339999999997</v>
      </c>
      <c r="AU83" s="58">
        <f t="shared" si="116"/>
        <v>7027.9989999999989</v>
      </c>
      <c r="AV83" s="58">
        <f>SUM(AV70:AV82)</f>
        <v>7066.34</v>
      </c>
      <c r="AW83" s="58">
        <f>SUM(AW70:AW82)</f>
        <v>7040.0389999999998</v>
      </c>
      <c r="AX83" s="58">
        <f t="shared" si="116"/>
        <v>6871.688000000001</v>
      </c>
      <c r="AY83" s="58">
        <f t="shared" si="116"/>
        <v>6873.2920000000004</v>
      </c>
      <c r="AZ83" s="58">
        <f t="shared" si="116"/>
        <v>6731.83</v>
      </c>
      <c r="BA83" s="58">
        <f t="shared" si="116"/>
        <v>6758.0409999999993</v>
      </c>
      <c r="BB83" s="58">
        <f t="shared" si="116"/>
        <v>6928.0429999999988</v>
      </c>
      <c r="BC83" s="58">
        <f t="shared" si="116"/>
        <v>6917.889000000001</v>
      </c>
      <c r="BD83" s="58">
        <f t="shared" si="116"/>
        <v>6895.7250000000004</v>
      </c>
      <c r="BE83" s="58">
        <f t="shared" si="116"/>
        <v>7493.594000000001</v>
      </c>
      <c r="BF83" s="58">
        <f t="shared" si="116"/>
        <v>7532.5309999999999</v>
      </c>
      <c r="BG83" s="58">
        <f t="shared" si="116"/>
        <v>7477.9070000000002</v>
      </c>
      <c r="BH83" s="58">
        <f t="shared" si="116"/>
        <v>7441.5910000000003</v>
      </c>
      <c r="BI83" s="58">
        <f t="shared" si="116"/>
        <v>7486.2530000000006</v>
      </c>
      <c r="BJ83" s="58">
        <f t="shared" si="116"/>
        <v>7097.808</v>
      </c>
      <c r="BK83" s="58">
        <f t="shared" si="116"/>
        <v>7163.268</v>
      </c>
      <c r="BL83" s="58">
        <f>SUM(BL70:BL81)</f>
        <v>7375.2110000000002</v>
      </c>
      <c r="BM83" s="58">
        <f>SUM(BM70:BM81)</f>
        <v>7871.9079999999994</v>
      </c>
      <c r="BN83" s="58">
        <f>SUM(BN70:BN82)</f>
        <v>6947.2390000000005</v>
      </c>
      <c r="BO83" s="58">
        <f t="shared" ref="BO83:BP83" si="117">SUM(BO70:BO82)</f>
        <v>6783.0020000000004</v>
      </c>
      <c r="BP83" s="58">
        <f t="shared" si="117"/>
        <v>6786.7780000000002</v>
      </c>
      <c r="BQ83" s="34"/>
      <c r="BR83" s="34"/>
      <c r="BW83" s="58"/>
      <c r="BX83" s="58"/>
      <c r="BY83" s="58"/>
      <c r="BZ83" s="58"/>
      <c r="CA83" s="58"/>
      <c r="CB83" s="58"/>
      <c r="CC83" s="58"/>
      <c r="CD83" s="58"/>
      <c r="CE83" s="58"/>
      <c r="CF83" s="58"/>
      <c r="CG83" s="58">
        <f t="shared" si="110"/>
        <v>7152.5339999999997</v>
      </c>
      <c r="CH83" s="58">
        <f t="shared" si="111"/>
        <v>6871.688000000001</v>
      </c>
      <c r="CI83" s="58">
        <f t="shared" si="112"/>
        <v>6928.0429999999988</v>
      </c>
      <c r="CJ83" s="58">
        <f t="shared" si="113"/>
        <v>7532.5309999999999</v>
      </c>
      <c r="CK83" s="58">
        <f t="shared" si="114"/>
        <v>7097.808</v>
      </c>
      <c r="CM83" s="124" t="s">
        <v>973</v>
      </c>
      <c r="CN83" s="35"/>
      <c r="CO83" s="35"/>
      <c r="CP83" s="117">
        <v>5.16E-2</v>
      </c>
      <c r="CQ83" s="48"/>
      <c r="CR83" s="48"/>
      <c r="CS83" s="48"/>
      <c r="CT83" s="51" t="s">
        <v>980</v>
      </c>
      <c r="CU83" s="52">
        <f>CU81/CU82-1</f>
        <v>0.16054897642000765</v>
      </c>
      <c r="CV83" s="64" t="str">
        <f>IF(CU83&gt;0,"Upside","Downside")</f>
        <v>Upside</v>
      </c>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row>
    <row r="84" spans="2:151" ht="14.25" customHeight="1">
      <c r="CM84" s="124" t="s">
        <v>975</v>
      </c>
      <c r="CP84" s="56">
        <f>'Notes | Quant Analysis'!K204</f>
        <v>1.08</v>
      </c>
      <c r="CT84" s="130" t="str" cm="1">
        <f t="array" ref="CT84">_xlfn.IFS(CU83&gt;=25%,"Strong Buy",CU83&gt;=10.00001%,"Buy",AND(CU83&lt;=10%,CU83&gt;=-4.9999%),"Hold",AND(CU83&lt;=-5%,CU83&gt;=-14.999999%),"Sell",CU83&lt;=-15%,"Strong Sell")</f>
        <v>Buy</v>
      </c>
      <c r="CU84" s="130"/>
    </row>
    <row r="85" spans="2:151" ht="14.25" customHeight="1">
      <c r="B85" s="1" t="s">
        <v>1012</v>
      </c>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v>100.5</v>
      </c>
      <c r="AU85" s="57">
        <v>83.75</v>
      </c>
      <c r="AV85" s="57">
        <v>92.5</v>
      </c>
      <c r="AW85" s="57">
        <v>101.25</v>
      </c>
      <c r="AX85" s="57">
        <v>110</v>
      </c>
      <c r="AY85" s="57">
        <v>110</v>
      </c>
      <c r="AZ85" s="57">
        <v>110</v>
      </c>
      <c r="BA85" s="57">
        <v>114.37</v>
      </c>
      <c r="BB85" s="57">
        <v>87.5</v>
      </c>
      <c r="BC85" s="57">
        <v>87.5</v>
      </c>
      <c r="BD85" s="57">
        <v>87.5</v>
      </c>
      <c r="BE85" s="57">
        <v>87.5</v>
      </c>
      <c r="BF85" s="57">
        <v>87.5</v>
      </c>
      <c r="BG85" s="57">
        <v>90.625</v>
      </c>
      <c r="BH85" s="57">
        <v>93.75</v>
      </c>
      <c r="BI85" s="57">
        <v>96.87</v>
      </c>
      <c r="BJ85" s="57">
        <v>100</v>
      </c>
      <c r="BK85" s="57">
        <v>100</v>
      </c>
      <c r="BL85" s="57">
        <v>100</v>
      </c>
      <c r="BM85" s="57">
        <v>100</v>
      </c>
      <c r="BN85" s="57">
        <v>100</v>
      </c>
      <c r="BO85" s="57">
        <v>103.125</v>
      </c>
      <c r="BP85" s="57">
        <v>87.5</v>
      </c>
      <c r="CG85" s="57">
        <f t="shared" ref="CG85:CG101" si="118">AT85</f>
        <v>100.5</v>
      </c>
      <c r="CH85" s="57">
        <f t="shared" ref="CH85:CH101" si="119">AX85</f>
        <v>110</v>
      </c>
      <c r="CI85" s="57">
        <f t="shared" ref="CI85:CI101" si="120">BB85</f>
        <v>87.5</v>
      </c>
      <c r="CJ85" s="57">
        <f t="shared" ref="CJ85:CJ101" si="121">BF85</f>
        <v>87.5</v>
      </c>
      <c r="CK85" s="57">
        <f t="shared" ref="CK85:CK101" si="122">BJ85</f>
        <v>100</v>
      </c>
      <c r="CM85" s="116" t="s">
        <v>1280</v>
      </c>
      <c r="CP85" s="117">
        <v>0.17</v>
      </c>
      <c r="CR85" s="125"/>
      <c r="CS85" s="119"/>
      <c r="CT85" s="51"/>
      <c r="CU85" s="115"/>
    </row>
    <row r="86" spans="2:151" ht="14.25" customHeight="1">
      <c r="B86" s="1" t="s">
        <v>1013</v>
      </c>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v>102.52</v>
      </c>
      <c r="AU86" s="57">
        <v>101.34</v>
      </c>
      <c r="AV86" s="57">
        <v>106.56</v>
      </c>
      <c r="AW86" s="57">
        <v>104.139</v>
      </c>
      <c r="AX86" s="57">
        <v>118.236</v>
      </c>
      <c r="AY86" s="57">
        <v>117.464</v>
      </c>
      <c r="AZ86" s="57">
        <v>121.41800000000001</v>
      </c>
      <c r="BA86" s="57">
        <v>121.5</v>
      </c>
      <c r="BB86" s="57">
        <v>126.807</v>
      </c>
      <c r="BC86" s="57">
        <v>136.239</v>
      </c>
      <c r="BD86" s="57">
        <v>142.08000000000001</v>
      </c>
      <c r="BE86" s="57">
        <v>130.68600000000001</v>
      </c>
      <c r="BF86" s="57">
        <v>132.24</v>
      </c>
      <c r="BG86" s="57">
        <v>115.94499999999999</v>
      </c>
      <c r="BH86" s="57">
        <v>113.45</v>
      </c>
      <c r="BI86" s="57">
        <v>119.25</v>
      </c>
      <c r="BJ86" s="57">
        <v>141.03</v>
      </c>
      <c r="BK86" s="57">
        <v>143.03700000000001</v>
      </c>
      <c r="BL86" s="57">
        <v>157.55000000000001</v>
      </c>
      <c r="BM86" s="57">
        <v>165.9</v>
      </c>
      <c r="BN86" s="57">
        <v>130.20099999999999</v>
      </c>
      <c r="BO86" s="57">
        <v>143.62700000000001</v>
      </c>
      <c r="BP86" s="57">
        <v>143.292</v>
      </c>
      <c r="CG86" s="57">
        <f t="shared" si="118"/>
        <v>102.52</v>
      </c>
      <c r="CH86" s="57">
        <f t="shared" si="119"/>
        <v>118.236</v>
      </c>
      <c r="CI86" s="57">
        <f t="shared" si="120"/>
        <v>126.807</v>
      </c>
      <c r="CJ86" s="57">
        <f t="shared" si="121"/>
        <v>132.24</v>
      </c>
      <c r="CK86" s="57">
        <f t="shared" si="122"/>
        <v>141.03</v>
      </c>
      <c r="CM86" s="118" t="s">
        <v>1281</v>
      </c>
      <c r="CN86" s="48"/>
      <c r="CO86" s="2"/>
      <c r="CP86" s="119">
        <f>(CP83+CP84)*(CP85-CP83)</f>
        <v>0.13398144000000003</v>
      </c>
    </row>
    <row r="87" spans="2:151" ht="14.25" customHeight="1">
      <c r="B87" s="1" t="s">
        <v>1015</v>
      </c>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v>136.27600000000001</v>
      </c>
      <c r="AU87" s="57">
        <v>134.31100000000001</v>
      </c>
      <c r="AV87" s="57">
        <v>138.28</v>
      </c>
      <c r="AW87" s="57">
        <v>127.116</v>
      </c>
      <c r="AX87" s="57">
        <v>163.44</v>
      </c>
      <c r="AY87" s="57">
        <v>158.94499999999999</v>
      </c>
      <c r="AZ87" s="57">
        <v>151.715</v>
      </c>
      <c r="BA87" s="57">
        <v>140.86000000000001</v>
      </c>
      <c r="BB87" s="57">
        <v>140.64400000000001</v>
      </c>
      <c r="BC87" s="57">
        <v>123.45</v>
      </c>
      <c r="BD87" s="57">
        <v>127.86</v>
      </c>
      <c r="BE87" s="57">
        <v>133.06700000000001</v>
      </c>
      <c r="BF87" s="57">
        <v>146.88</v>
      </c>
      <c r="BG87" s="57">
        <v>136.614</v>
      </c>
      <c r="BH87" s="57">
        <v>153.4</v>
      </c>
      <c r="BI87" s="57">
        <v>157.78</v>
      </c>
      <c r="BJ87" s="57">
        <v>143.16</v>
      </c>
      <c r="BK87" s="57">
        <v>150.85</v>
      </c>
      <c r="BL87" s="57">
        <v>157.16999999999999</v>
      </c>
      <c r="BM87" s="57">
        <v>147.05000000000001</v>
      </c>
      <c r="BN87" s="57">
        <v>117.35</v>
      </c>
      <c r="BO87" s="57">
        <v>118.423</v>
      </c>
      <c r="BP87" s="57">
        <v>134.16999999999999</v>
      </c>
      <c r="CG87" s="57">
        <f t="shared" si="118"/>
        <v>136.27600000000001</v>
      </c>
      <c r="CH87" s="57">
        <f t="shared" si="119"/>
        <v>163.44</v>
      </c>
      <c r="CI87" s="57">
        <f t="shared" si="120"/>
        <v>140.64400000000001</v>
      </c>
      <c r="CJ87" s="57">
        <f t="shared" si="121"/>
        <v>146.88</v>
      </c>
      <c r="CK87" s="57">
        <f t="shared" si="122"/>
        <v>143.16</v>
      </c>
      <c r="CM87" s="121"/>
      <c r="CR87" s="34"/>
      <c r="CS87" s="34"/>
    </row>
    <row r="88" spans="2:151" ht="14.25" customHeight="1">
      <c r="B88" s="1" t="s">
        <v>1014</v>
      </c>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v>122.366</v>
      </c>
      <c r="AU88" s="57">
        <v>100.38</v>
      </c>
      <c r="AV88" s="57">
        <v>121.82</v>
      </c>
      <c r="AW88" s="57">
        <v>133.523</v>
      </c>
      <c r="AX88" s="57">
        <v>143.65</v>
      </c>
      <c r="AY88" s="57">
        <v>102.407</v>
      </c>
      <c r="AZ88" s="57">
        <v>114.38</v>
      </c>
      <c r="BA88" s="57">
        <v>121.59</v>
      </c>
      <c r="BB88" s="57">
        <v>133.09200000000001</v>
      </c>
      <c r="BC88" s="57">
        <v>102.08</v>
      </c>
      <c r="BD88" s="57">
        <v>106.17700000000001</v>
      </c>
      <c r="BE88" s="57">
        <v>127.1</v>
      </c>
      <c r="BF88" s="57">
        <v>146.535</v>
      </c>
      <c r="BG88" s="57">
        <v>106.05500000000001</v>
      </c>
      <c r="BH88" s="57">
        <v>113.11199999999999</v>
      </c>
      <c r="BI88" s="57">
        <v>142.619</v>
      </c>
      <c r="BJ88" s="57">
        <v>151.26</v>
      </c>
      <c r="BK88" s="57">
        <v>108.9</v>
      </c>
      <c r="BL88" s="57">
        <v>114.16</v>
      </c>
      <c r="BM88" s="57">
        <v>167.73</v>
      </c>
      <c r="BN88" s="57">
        <v>124.76900000000001</v>
      </c>
      <c r="BO88" s="57">
        <v>103.345</v>
      </c>
      <c r="BP88" s="57">
        <v>110.214</v>
      </c>
      <c r="CG88" s="57">
        <f t="shared" si="118"/>
        <v>122.366</v>
      </c>
      <c r="CH88" s="57">
        <f t="shared" si="119"/>
        <v>143.65</v>
      </c>
      <c r="CI88" s="57">
        <f t="shared" si="120"/>
        <v>133.09200000000001</v>
      </c>
      <c r="CJ88" s="57">
        <f t="shared" si="121"/>
        <v>146.535</v>
      </c>
      <c r="CK88" s="57">
        <f t="shared" si="122"/>
        <v>151.26</v>
      </c>
      <c r="CM88" s="34" t="s">
        <v>1282</v>
      </c>
      <c r="CN88" s="122"/>
      <c r="CP88" s="126"/>
    </row>
    <row r="89" spans="2:151" ht="14.25" customHeight="1">
      <c r="B89" s="1" t="s">
        <v>1016</v>
      </c>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v>7.1349999999999998</v>
      </c>
      <c r="AU89" s="57">
        <v>23.4</v>
      </c>
      <c r="AV89" s="57">
        <v>5.5</v>
      </c>
      <c r="AW89" s="57">
        <v>15.757</v>
      </c>
      <c r="AX89" s="57">
        <v>5.2089999999999996</v>
      </c>
      <c r="AY89" s="57">
        <v>16.808</v>
      </c>
      <c r="AZ89" s="57">
        <v>4.7510000000000003</v>
      </c>
      <c r="BA89" s="57">
        <v>15.87</v>
      </c>
      <c r="BB89" s="57">
        <v>5.3319999999999999</v>
      </c>
      <c r="BC89" s="57">
        <v>16.86</v>
      </c>
      <c r="BD89" s="57">
        <v>5.7930000000000001</v>
      </c>
      <c r="BE89" s="57">
        <v>17.428000000000001</v>
      </c>
      <c r="BF89" s="57">
        <v>5.5830000000000002</v>
      </c>
      <c r="BG89" s="57">
        <v>16.989999999999998</v>
      </c>
      <c r="BH89" s="57">
        <v>5.77</v>
      </c>
      <c r="BI89" s="57">
        <v>16.657</v>
      </c>
      <c r="BJ89" s="57">
        <v>5.33</v>
      </c>
      <c r="BK89" s="57">
        <v>17.02</v>
      </c>
      <c r="BL89" s="57">
        <v>5.63</v>
      </c>
      <c r="BM89" s="57">
        <v>16.765999999999998</v>
      </c>
      <c r="BN89" s="57">
        <v>5.4039999999999999</v>
      </c>
      <c r="BO89" s="57">
        <v>16.478000000000002</v>
      </c>
      <c r="BP89" s="57">
        <v>3.5579999999999998</v>
      </c>
      <c r="CG89" s="57">
        <f t="shared" si="118"/>
        <v>7.1349999999999998</v>
      </c>
      <c r="CH89" s="57">
        <f t="shared" si="119"/>
        <v>5.2089999999999996</v>
      </c>
      <c r="CI89" s="57">
        <f t="shared" si="120"/>
        <v>5.3319999999999999</v>
      </c>
      <c r="CJ89" s="57">
        <f t="shared" si="121"/>
        <v>5.5830000000000002</v>
      </c>
      <c r="CK89" s="57">
        <f t="shared" si="122"/>
        <v>5.33</v>
      </c>
      <c r="CM89" s="127" t="s">
        <v>1282</v>
      </c>
      <c r="CP89" s="128">
        <v>6.5000000000000002E-2</v>
      </c>
    </row>
    <row r="90" spans="2:151" ht="14.25" customHeight="1">
      <c r="B90" s="1" t="s">
        <v>1017</v>
      </c>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v>17.36</v>
      </c>
      <c r="AU90" s="57">
        <v>14.83</v>
      </c>
      <c r="AV90" s="57">
        <v>14.836</v>
      </c>
      <c r="AW90" s="57">
        <v>17.184999999999999</v>
      </c>
      <c r="AX90" s="57">
        <v>83.942999999999998</v>
      </c>
      <c r="AY90" s="57">
        <v>88.450999999999993</v>
      </c>
      <c r="AZ90" s="57">
        <v>52.173999999999999</v>
      </c>
      <c r="BA90" s="57">
        <v>41.32</v>
      </c>
      <c r="BB90" s="57">
        <v>24.736000000000001</v>
      </c>
      <c r="BC90" s="57">
        <v>30.17</v>
      </c>
      <c r="BD90" s="57">
        <v>20.18</v>
      </c>
      <c r="BE90" s="57">
        <v>24.375</v>
      </c>
      <c r="BF90" s="57">
        <v>41.45</v>
      </c>
      <c r="BG90" s="57">
        <v>48.905000000000001</v>
      </c>
      <c r="BH90" s="57">
        <v>19.731000000000002</v>
      </c>
      <c r="BI90" s="57">
        <v>18.68</v>
      </c>
      <c r="BJ90" s="57">
        <v>41.31</v>
      </c>
      <c r="BK90" s="57">
        <v>49.78</v>
      </c>
      <c r="BL90" s="57">
        <v>22.494</v>
      </c>
      <c r="BM90" s="57">
        <v>12.97</v>
      </c>
      <c r="BN90" s="57">
        <v>18.786999999999999</v>
      </c>
      <c r="BO90" s="57">
        <v>11.824</v>
      </c>
      <c r="BP90" s="57">
        <v>17.786999999999999</v>
      </c>
      <c r="CG90" s="57">
        <f t="shared" si="118"/>
        <v>17.36</v>
      </c>
      <c r="CH90" s="57">
        <f t="shared" si="119"/>
        <v>83.942999999999998</v>
      </c>
      <c r="CI90" s="57">
        <f t="shared" si="120"/>
        <v>24.736000000000001</v>
      </c>
      <c r="CJ90" s="57">
        <f t="shared" si="121"/>
        <v>41.45</v>
      </c>
      <c r="CK90" s="57">
        <f t="shared" si="122"/>
        <v>41.31</v>
      </c>
      <c r="CM90" s="116" t="s">
        <v>1283</v>
      </c>
      <c r="CP90" s="117">
        <v>0.14000000000000001</v>
      </c>
    </row>
    <row r="91" spans="2:151" ht="14.25" customHeight="1">
      <c r="B91" s="1" t="s">
        <v>1018</v>
      </c>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v>53.869</v>
      </c>
      <c r="AU91" s="57">
        <v>50.04</v>
      </c>
      <c r="AV91" s="57">
        <v>46.26</v>
      </c>
      <c r="AW91" s="57">
        <v>63.24</v>
      </c>
      <c r="AX91" s="57">
        <v>55.633000000000003</v>
      </c>
      <c r="AY91" s="57">
        <v>62.125</v>
      </c>
      <c r="AZ91" s="57">
        <v>56.003999999999998</v>
      </c>
      <c r="BA91" s="57">
        <v>55.406999999999996</v>
      </c>
      <c r="BB91" s="57">
        <v>63.38</v>
      </c>
      <c r="BC91" s="57">
        <v>79.403000000000006</v>
      </c>
      <c r="BD91" s="57">
        <v>65.849999999999994</v>
      </c>
      <c r="BE91" s="57">
        <v>65.260000000000005</v>
      </c>
      <c r="BF91" s="57">
        <v>46.546999999999997</v>
      </c>
      <c r="BG91" s="57">
        <v>55.87</v>
      </c>
      <c r="BH91" s="57">
        <v>57.53</v>
      </c>
      <c r="BI91" s="57">
        <v>66.88</v>
      </c>
      <c r="BJ91" s="57">
        <v>67.239999999999995</v>
      </c>
      <c r="BK91" s="57">
        <v>103.31</v>
      </c>
      <c r="BL91" s="57">
        <v>159.119</v>
      </c>
      <c r="BM91" s="57">
        <v>162.6</v>
      </c>
      <c r="BN91" s="57">
        <v>137.19499999999999</v>
      </c>
      <c r="BO91" s="57">
        <f>103.929</f>
        <v>103.929</v>
      </c>
      <c r="BP91" s="57">
        <v>88.364000000000004</v>
      </c>
      <c r="CG91" s="57">
        <f t="shared" si="118"/>
        <v>53.869</v>
      </c>
      <c r="CH91" s="57">
        <f t="shared" si="119"/>
        <v>55.633000000000003</v>
      </c>
      <c r="CI91" s="57">
        <f t="shared" si="120"/>
        <v>63.38</v>
      </c>
      <c r="CJ91" s="57">
        <f t="shared" si="121"/>
        <v>46.546999999999997</v>
      </c>
      <c r="CK91" s="57">
        <f t="shared" si="122"/>
        <v>67.239999999999995</v>
      </c>
      <c r="CM91" s="129" t="s">
        <v>1284</v>
      </c>
      <c r="CP91" s="119">
        <f>CP89*(1-CP90)</f>
        <v>5.5899999999999998E-2</v>
      </c>
    </row>
    <row r="92" spans="2:151" ht="14.25" customHeight="1">
      <c r="B92" s="1" t="s">
        <v>1032</v>
      </c>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v>0</v>
      </c>
      <c r="AU92" s="57">
        <v>0</v>
      </c>
      <c r="AV92" s="57">
        <v>1.056</v>
      </c>
      <c r="AW92" s="57">
        <v>0</v>
      </c>
      <c r="AX92" s="57">
        <v>0</v>
      </c>
      <c r="AY92" s="57">
        <v>0</v>
      </c>
      <c r="AZ92" s="57">
        <v>0</v>
      </c>
      <c r="BA92" s="57">
        <v>0</v>
      </c>
      <c r="BB92" s="57">
        <v>0</v>
      </c>
      <c r="BC92" s="57">
        <v>0</v>
      </c>
      <c r="BD92" s="57">
        <v>0</v>
      </c>
      <c r="BE92" s="57">
        <v>0</v>
      </c>
      <c r="BF92" s="57">
        <v>0</v>
      </c>
      <c r="BG92" s="57">
        <v>0</v>
      </c>
      <c r="BH92" s="57">
        <v>0</v>
      </c>
      <c r="BI92" s="57">
        <v>0</v>
      </c>
      <c r="BJ92" s="57">
        <v>0</v>
      </c>
      <c r="BK92" s="57">
        <v>0</v>
      </c>
      <c r="BL92" s="57">
        <v>0</v>
      </c>
      <c r="BM92" s="57">
        <v>0</v>
      </c>
      <c r="BN92" s="57">
        <v>128.32</v>
      </c>
      <c r="BO92" s="57">
        <v>127.298</v>
      </c>
      <c r="BP92" s="57">
        <v>135.494</v>
      </c>
      <c r="CG92" s="57">
        <f t="shared" si="118"/>
        <v>0</v>
      </c>
      <c r="CH92" s="57">
        <f t="shared" si="119"/>
        <v>0</v>
      </c>
      <c r="CI92" s="57">
        <f t="shared" si="120"/>
        <v>0</v>
      </c>
      <c r="CJ92" s="57">
        <f t="shared" si="121"/>
        <v>0</v>
      </c>
      <c r="CK92" s="57">
        <f t="shared" si="122"/>
        <v>0</v>
      </c>
    </row>
    <row r="93" spans="2:151" ht="14.25" customHeight="1">
      <c r="B93" s="1" t="s">
        <v>1021</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v>2377.88</v>
      </c>
      <c r="AU93" s="57">
        <v>2295.4299999999998</v>
      </c>
      <c r="AV93" s="57">
        <v>2215.66</v>
      </c>
      <c r="AW93" s="57">
        <v>1948.6659999999999</v>
      </c>
      <c r="AX93" s="57">
        <v>1740.1</v>
      </c>
      <c r="AY93" s="57">
        <v>1740.778</v>
      </c>
      <c r="AZ93" s="57">
        <v>1605.95</v>
      </c>
      <c r="BA93" s="57">
        <v>1593.5</v>
      </c>
      <c r="BB93" s="57">
        <v>1624.02</v>
      </c>
      <c r="BC93" s="57">
        <v>1549.47</v>
      </c>
      <c r="BD93" s="57">
        <v>1470.67</v>
      </c>
      <c r="BE93" s="57">
        <v>1950.123</v>
      </c>
      <c r="BF93" s="57">
        <v>1727.57</v>
      </c>
      <c r="BG93" s="57">
        <v>1667.896</v>
      </c>
      <c r="BH93" s="57">
        <v>1624.22</v>
      </c>
      <c r="BI93" s="57">
        <v>1661.54</v>
      </c>
      <c r="BJ93" s="57">
        <v>1555.87</v>
      </c>
      <c r="BK93" s="57">
        <v>1807.3209999999999</v>
      </c>
      <c r="BL93" s="57">
        <v>1801.64</v>
      </c>
      <c r="BM93" s="57">
        <v>2571.5</v>
      </c>
      <c r="BN93" s="57">
        <v>2541.4490000000001</v>
      </c>
      <c r="BO93" s="57">
        <v>2514.268</v>
      </c>
      <c r="BP93" s="57">
        <v>2720.509</v>
      </c>
      <c r="CG93" s="57">
        <f t="shared" si="118"/>
        <v>2377.88</v>
      </c>
      <c r="CH93" s="57">
        <f t="shared" si="119"/>
        <v>1740.1</v>
      </c>
      <c r="CI93" s="57">
        <f t="shared" si="120"/>
        <v>1624.02</v>
      </c>
      <c r="CJ93" s="57">
        <f t="shared" si="121"/>
        <v>1727.57</v>
      </c>
      <c r="CK93" s="57">
        <f t="shared" si="122"/>
        <v>1555.87</v>
      </c>
      <c r="CM93" s="34" t="s">
        <v>1285</v>
      </c>
      <c r="CP93" s="119">
        <f>(CP79*CP86)+(CP78*CP91*(1-CP90))</f>
        <v>0.10423532997333781</v>
      </c>
    </row>
    <row r="94" spans="2:151" ht="14.25" customHeight="1">
      <c r="B94" s="1" t="s">
        <v>1022</v>
      </c>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v>484.67</v>
      </c>
      <c r="AU94" s="57">
        <v>482.48</v>
      </c>
      <c r="AV94" s="57">
        <v>483.26900000000001</v>
      </c>
      <c r="AW94" s="57">
        <v>479.10500000000002</v>
      </c>
      <c r="AX94" s="57">
        <v>370.12</v>
      </c>
      <c r="AY94" s="57">
        <v>369.73</v>
      </c>
      <c r="AZ94" s="57">
        <v>379.93</v>
      </c>
      <c r="BA94" s="57">
        <v>387.33300000000003</v>
      </c>
      <c r="BB94" s="57">
        <v>388.88</v>
      </c>
      <c r="BC94" s="57">
        <v>388.18</v>
      </c>
      <c r="BD94" s="57">
        <v>385.11</v>
      </c>
      <c r="BE94" s="57">
        <v>389.08</v>
      </c>
      <c r="BF94" s="57">
        <v>456.08</v>
      </c>
      <c r="BG94" s="57">
        <v>456.36</v>
      </c>
      <c r="BH94" s="57">
        <v>453.02</v>
      </c>
      <c r="BI94" s="57">
        <v>445.84</v>
      </c>
      <c r="BJ94" s="57">
        <v>391.06599999999997</v>
      </c>
      <c r="BK94" s="57">
        <v>385.67</v>
      </c>
      <c r="BL94" s="57">
        <v>373.95499999999998</v>
      </c>
      <c r="BM94" s="57">
        <v>423.65</v>
      </c>
      <c r="BN94" s="57">
        <v>183.749</v>
      </c>
      <c r="BO94" s="57">
        <v>169.429</v>
      </c>
      <c r="BP94" s="57">
        <v>146.14099999999999</v>
      </c>
      <c r="CG94" s="57">
        <f t="shared" si="118"/>
        <v>484.67</v>
      </c>
      <c r="CH94" s="57">
        <f t="shared" si="119"/>
        <v>370.12</v>
      </c>
      <c r="CI94" s="57">
        <f t="shared" si="120"/>
        <v>388.88</v>
      </c>
      <c r="CJ94" s="57">
        <f t="shared" si="121"/>
        <v>456.08</v>
      </c>
      <c r="CK94" s="57">
        <f t="shared" si="122"/>
        <v>391.06599999999997</v>
      </c>
    </row>
    <row r="95" spans="2:151" ht="14.25" customHeight="1">
      <c r="B95" s="1" t="s">
        <v>1023</v>
      </c>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v>74.498999999999995</v>
      </c>
      <c r="AU95" s="57">
        <v>57.118000000000002</v>
      </c>
      <c r="AV95" s="57">
        <v>51.179000000000002</v>
      </c>
      <c r="AW95" s="57">
        <v>49.843000000000004</v>
      </c>
      <c r="AX95" s="57">
        <v>45.18</v>
      </c>
      <c r="AY95" s="57">
        <v>43.42</v>
      </c>
      <c r="AZ95" s="57">
        <v>42.09</v>
      </c>
      <c r="BA95" s="57">
        <v>40.340000000000003</v>
      </c>
      <c r="BB95" s="57">
        <v>31.393999999999998</v>
      </c>
      <c r="BC95" s="57">
        <v>30.92</v>
      </c>
      <c r="BD95" s="57">
        <v>30.686</v>
      </c>
      <c r="BE95" s="57">
        <v>30.05</v>
      </c>
      <c r="BF95" s="57">
        <v>23.989000000000001</v>
      </c>
      <c r="BG95" s="57">
        <v>23.17</v>
      </c>
      <c r="BH95" s="57">
        <v>23.026</v>
      </c>
      <c r="BI95" s="57">
        <v>23.547999999999998</v>
      </c>
      <c r="BJ95" s="57">
        <v>20.18</v>
      </c>
      <c r="BK95" s="57">
        <v>20.3</v>
      </c>
      <c r="BL95" s="57">
        <v>21.484999999999999</v>
      </c>
      <c r="BM95" s="57">
        <v>32.808</v>
      </c>
      <c r="BN95" s="57">
        <v>3.536</v>
      </c>
      <c r="BO95" s="57">
        <v>3.831</v>
      </c>
      <c r="BP95" s="57">
        <v>3.802</v>
      </c>
      <c r="CG95" s="57">
        <f t="shared" si="118"/>
        <v>74.498999999999995</v>
      </c>
      <c r="CH95" s="57">
        <f t="shared" si="119"/>
        <v>45.18</v>
      </c>
      <c r="CI95" s="57">
        <f t="shared" si="120"/>
        <v>31.393999999999998</v>
      </c>
      <c r="CJ95" s="57">
        <f t="shared" si="121"/>
        <v>23.989000000000001</v>
      </c>
      <c r="CK95" s="57">
        <f t="shared" si="122"/>
        <v>20.18</v>
      </c>
    </row>
    <row r="96" spans="2:151" ht="14.25" customHeight="1">
      <c r="B96" s="1" t="s">
        <v>1024</v>
      </c>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v>10.127000000000001</v>
      </c>
      <c r="AU96" s="57">
        <v>9.9870000000000001</v>
      </c>
      <c r="AV96" s="57">
        <v>10.077999999999999</v>
      </c>
      <c r="AW96" s="57">
        <v>10.077999999999999</v>
      </c>
      <c r="AX96" s="57">
        <v>8.6460000000000008</v>
      </c>
      <c r="AY96" s="57">
        <v>8.61</v>
      </c>
      <c r="AZ96" s="57">
        <v>8.5429999999999993</v>
      </c>
      <c r="BA96" s="57">
        <v>9</v>
      </c>
      <c r="BB96" s="57">
        <v>5.8</v>
      </c>
      <c r="BC96" s="57">
        <v>6.4640000000000004</v>
      </c>
      <c r="BD96" s="57">
        <v>6.53</v>
      </c>
      <c r="BE96" s="57">
        <v>6.5449999999999999</v>
      </c>
      <c r="BF96" s="57">
        <v>3.37</v>
      </c>
      <c r="BG96" s="57">
        <v>3.2879999999999998</v>
      </c>
      <c r="BH96" s="57">
        <v>3.2709999999999999</v>
      </c>
      <c r="BI96" s="57">
        <v>3.3690000000000002</v>
      </c>
      <c r="BJ96" s="57">
        <v>1.83</v>
      </c>
      <c r="BK96" s="57">
        <v>1.8959999999999999</v>
      </c>
      <c r="BL96" s="57">
        <v>1.96</v>
      </c>
      <c r="BM96" s="57">
        <v>4.5919999999999996</v>
      </c>
      <c r="BN96" s="57">
        <v>84.21</v>
      </c>
      <c r="BO96" s="57">
        <v>68.319999999999993</v>
      </c>
      <c r="BP96" s="57">
        <v>64.540000000000006</v>
      </c>
      <c r="CG96" s="57">
        <f t="shared" si="118"/>
        <v>10.127000000000001</v>
      </c>
      <c r="CH96" s="57">
        <f t="shared" si="119"/>
        <v>8.6460000000000008</v>
      </c>
      <c r="CI96" s="57">
        <f t="shared" si="120"/>
        <v>5.8</v>
      </c>
      <c r="CJ96" s="57">
        <f t="shared" si="121"/>
        <v>3.37</v>
      </c>
      <c r="CK96" s="57">
        <f t="shared" si="122"/>
        <v>1.83</v>
      </c>
    </row>
    <row r="97" spans="2:151" ht="14.25" customHeight="1">
      <c r="B97" s="1" t="s">
        <v>1025</v>
      </c>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v>86.09</v>
      </c>
      <c r="AU97" s="57">
        <v>79.403000000000006</v>
      </c>
      <c r="AV97" s="57">
        <v>101.30200000000001</v>
      </c>
      <c r="AW97" s="57">
        <v>114.777</v>
      </c>
      <c r="AX97" s="57">
        <v>116.03</v>
      </c>
      <c r="AY97" s="57">
        <v>109.59</v>
      </c>
      <c r="AZ97" s="57">
        <v>104.702</v>
      </c>
      <c r="BA97" s="57">
        <v>99.6</v>
      </c>
      <c r="BB97" s="57">
        <v>120.43</v>
      </c>
      <c r="BC97" s="57">
        <v>115.83</v>
      </c>
      <c r="BD97" s="57">
        <v>112.229</v>
      </c>
      <c r="BE97" s="57">
        <v>111.81</v>
      </c>
      <c r="BF97" s="57">
        <v>111.3</v>
      </c>
      <c r="BG97" s="57">
        <v>104.37</v>
      </c>
      <c r="BH97" s="57">
        <v>102.572</v>
      </c>
      <c r="BI97" s="57">
        <v>102.938</v>
      </c>
      <c r="BJ97" s="57">
        <v>99.15</v>
      </c>
      <c r="BK97" s="57">
        <v>97.661000000000001</v>
      </c>
      <c r="BL97" s="57">
        <v>93.506</v>
      </c>
      <c r="BM97" s="57">
        <v>97.65</v>
      </c>
      <c r="BN97" s="57">
        <v>194.53200000000001</v>
      </c>
      <c r="BO97" s="57">
        <v>162.50700000000001</v>
      </c>
      <c r="BP97" s="57">
        <v>174.899</v>
      </c>
      <c r="CG97" s="57">
        <f t="shared" si="118"/>
        <v>86.09</v>
      </c>
      <c r="CH97" s="57">
        <f t="shared" si="119"/>
        <v>116.03</v>
      </c>
      <c r="CI97" s="57">
        <f t="shared" si="120"/>
        <v>120.43</v>
      </c>
      <c r="CJ97" s="57">
        <f t="shared" si="121"/>
        <v>111.3</v>
      </c>
      <c r="CK97" s="57">
        <f t="shared" si="122"/>
        <v>99.15</v>
      </c>
    </row>
    <row r="98" spans="2:151" ht="14.25" customHeight="1">
      <c r="B98" s="1" t="s">
        <v>1026</v>
      </c>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v>242.78</v>
      </c>
      <c r="AU98" s="57">
        <v>219.75</v>
      </c>
      <c r="AV98" s="1">
        <v>211.94</v>
      </c>
      <c r="AW98" s="57">
        <v>217.411</v>
      </c>
      <c r="AX98" s="57">
        <v>156.76</v>
      </c>
      <c r="AY98" s="57">
        <v>149.41999999999999</v>
      </c>
      <c r="AZ98" s="57">
        <v>127.44</v>
      </c>
      <c r="BA98" s="57">
        <v>122.188</v>
      </c>
      <c r="BB98" s="57">
        <v>154.05000000000001</v>
      </c>
      <c r="BC98" s="57">
        <v>141.07</v>
      </c>
      <c r="BD98" s="57">
        <v>119.94799999999999</v>
      </c>
      <c r="BE98" s="57">
        <v>106.55500000000001</v>
      </c>
      <c r="BF98" s="57">
        <v>162.50200000000001</v>
      </c>
      <c r="BG98" s="57">
        <v>148.6</v>
      </c>
      <c r="BH98" s="57">
        <v>120.05</v>
      </c>
      <c r="BI98" s="57">
        <v>148.57</v>
      </c>
      <c r="BJ98" s="57">
        <v>102.307</v>
      </c>
      <c r="BK98" s="57">
        <v>79.364999999999995</v>
      </c>
      <c r="BL98" s="57">
        <v>123.64400000000001</v>
      </c>
      <c r="BM98" s="57">
        <v>146.83799999999999</v>
      </c>
      <c r="BN98" s="57">
        <v>52.969000000000001</v>
      </c>
      <c r="BO98" s="57">
        <v>52.161999999999999</v>
      </c>
      <c r="BP98" s="57">
        <v>51.973999999999997</v>
      </c>
      <c r="CG98" s="57">
        <f t="shared" si="118"/>
        <v>242.78</v>
      </c>
      <c r="CH98" s="57">
        <f t="shared" si="119"/>
        <v>156.76</v>
      </c>
      <c r="CI98" s="57">
        <f t="shared" si="120"/>
        <v>154.05000000000001</v>
      </c>
      <c r="CJ98" s="57">
        <f t="shared" si="121"/>
        <v>162.50200000000001</v>
      </c>
      <c r="CK98" s="57">
        <f t="shared" si="122"/>
        <v>102.307</v>
      </c>
    </row>
    <row r="99" spans="2:151" s="2" customFormat="1" ht="14.25" customHeight="1">
      <c r="B99" s="2" t="s">
        <v>1027</v>
      </c>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f t="shared" ref="AT99:BL99" si="123">SUM(AT85:AT98)</f>
        <v>3816.0720000000001</v>
      </c>
      <c r="AU99" s="58">
        <f t="shared" si="123"/>
        <v>3652.2189999999996</v>
      </c>
      <c r="AV99" s="58">
        <f t="shared" si="123"/>
        <v>3600.2400000000002</v>
      </c>
      <c r="AW99" s="58">
        <f t="shared" si="123"/>
        <v>3382.09</v>
      </c>
      <c r="AX99" s="58">
        <f t="shared" si="123"/>
        <v>3116.9470000000001</v>
      </c>
      <c r="AY99" s="58">
        <f t="shared" si="123"/>
        <v>3077.7480000000005</v>
      </c>
      <c r="AZ99" s="58">
        <f t="shared" si="123"/>
        <v>2879.0970000000002</v>
      </c>
      <c r="BA99" s="58">
        <f t="shared" si="123"/>
        <v>2862.8780000000006</v>
      </c>
      <c r="BB99" s="58">
        <f t="shared" si="123"/>
        <v>2906.0650000000001</v>
      </c>
      <c r="BC99" s="58">
        <f t="shared" si="123"/>
        <v>2807.636</v>
      </c>
      <c r="BD99" s="58">
        <f t="shared" si="123"/>
        <v>2680.6130000000003</v>
      </c>
      <c r="BE99" s="58">
        <f t="shared" si="123"/>
        <v>3179.5790000000002</v>
      </c>
      <c r="BF99" s="58">
        <f t="shared" si="123"/>
        <v>3091.5459999999998</v>
      </c>
      <c r="BG99" s="58">
        <f t="shared" si="123"/>
        <v>2974.6880000000001</v>
      </c>
      <c r="BH99" s="58">
        <f t="shared" si="123"/>
        <v>2882.902</v>
      </c>
      <c r="BI99" s="58">
        <f t="shared" si="123"/>
        <v>3004.5410000000002</v>
      </c>
      <c r="BJ99" s="58">
        <f t="shared" si="123"/>
        <v>2819.7329999999993</v>
      </c>
      <c r="BK99" s="58">
        <f t="shared" si="123"/>
        <v>3065.11</v>
      </c>
      <c r="BL99" s="58">
        <f t="shared" si="123"/>
        <v>3132.3130000000001</v>
      </c>
      <c r="BM99" s="58">
        <f t="shared" ref="BM99:BN99" si="124">SUM(BM85:BM98)</f>
        <v>4050.0540000000005</v>
      </c>
      <c r="BN99" s="58">
        <f t="shared" si="124"/>
        <v>3822.471</v>
      </c>
      <c r="BO99" s="58">
        <f t="shared" ref="BO99:BP99" si="125">SUM(BO85:BO98)</f>
        <v>3698.5660000000003</v>
      </c>
      <c r="BP99" s="58">
        <f t="shared" si="125"/>
        <v>3882.2440000000001</v>
      </c>
      <c r="BQ99" s="34"/>
      <c r="BR99" s="34"/>
      <c r="CG99" s="58">
        <f t="shared" si="118"/>
        <v>3816.0720000000001</v>
      </c>
      <c r="CH99" s="58">
        <f t="shared" si="119"/>
        <v>3116.9470000000001</v>
      </c>
      <c r="CI99" s="58">
        <f t="shared" si="120"/>
        <v>2906.0650000000001</v>
      </c>
      <c r="CJ99" s="58">
        <f t="shared" si="121"/>
        <v>3091.5459999999998</v>
      </c>
      <c r="CK99" s="58">
        <f t="shared" si="122"/>
        <v>2819.7329999999993</v>
      </c>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row>
    <row r="100" spans="2:151" ht="14.25" customHeight="1">
      <c r="B100" s="1" t="s">
        <v>1028</v>
      </c>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v>3336.4569999999999</v>
      </c>
      <c r="AU100" s="57">
        <v>3375.79</v>
      </c>
      <c r="AV100" s="57">
        <v>3466.1</v>
      </c>
      <c r="AW100" s="57">
        <v>3657.87</v>
      </c>
      <c r="AX100" s="57">
        <v>3754.74</v>
      </c>
      <c r="AY100" s="57">
        <v>3795.53</v>
      </c>
      <c r="AZ100" s="57">
        <v>3852.73</v>
      </c>
      <c r="BA100" s="57">
        <v>3895.16</v>
      </c>
      <c r="BB100" s="57">
        <v>4021.96</v>
      </c>
      <c r="BC100" s="57">
        <v>4110.25</v>
      </c>
      <c r="BD100" s="57">
        <v>4215.09</v>
      </c>
      <c r="BE100" s="57">
        <v>4314.0479999999998</v>
      </c>
      <c r="BF100" s="57">
        <v>4440.9880000000003</v>
      </c>
      <c r="BG100" s="57">
        <v>4503.21</v>
      </c>
      <c r="BH100" s="57">
        <v>4558.7190000000001</v>
      </c>
      <c r="BI100" s="57">
        <v>4481.7169999999996</v>
      </c>
      <c r="BJ100" s="57">
        <v>4278.1000000000004</v>
      </c>
      <c r="BK100" s="57">
        <v>4095.16</v>
      </c>
      <c r="BL100" s="57">
        <v>4242.8599999999997</v>
      </c>
      <c r="BM100" s="57">
        <v>3821.86</v>
      </c>
      <c r="BN100" s="57">
        <v>3124.768</v>
      </c>
      <c r="BO100" s="57">
        <v>3084.4360000000001</v>
      </c>
      <c r="BP100" s="57">
        <v>2904.5340000000001</v>
      </c>
      <c r="CG100" s="57">
        <f t="shared" si="118"/>
        <v>3336.4569999999999</v>
      </c>
      <c r="CH100" s="57">
        <f t="shared" si="119"/>
        <v>3754.74</v>
      </c>
      <c r="CI100" s="57">
        <f t="shared" si="120"/>
        <v>4021.96</v>
      </c>
      <c r="CJ100" s="57">
        <f t="shared" si="121"/>
        <v>4440.9880000000003</v>
      </c>
      <c r="CK100" s="57">
        <f t="shared" si="122"/>
        <v>4278.1000000000004</v>
      </c>
    </row>
    <row r="101" spans="2:151" s="2" customFormat="1" ht="14.25" customHeight="1">
      <c r="B101" s="2" t="s">
        <v>1029</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f t="shared" ref="AT101:BK101" si="126">AT99+AT100</f>
        <v>7152.5290000000005</v>
      </c>
      <c r="AU101" s="58">
        <f t="shared" si="126"/>
        <v>7028.009</v>
      </c>
      <c r="AV101" s="58">
        <f t="shared" si="126"/>
        <v>7066.34</v>
      </c>
      <c r="AW101" s="58">
        <f t="shared" si="126"/>
        <v>7039.96</v>
      </c>
      <c r="AX101" s="58">
        <f t="shared" si="126"/>
        <v>6871.6869999999999</v>
      </c>
      <c r="AY101" s="58">
        <f t="shared" si="126"/>
        <v>6873.2780000000002</v>
      </c>
      <c r="AZ101" s="58">
        <f t="shared" si="126"/>
        <v>6731.8270000000002</v>
      </c>
      <c r="BA101" s="58">
        <f t="shared" si="126"/>
        <v>6758.0380000000005</v>
      </c>
      <c r="BB101" s="58">
        <f t="shared" si="126"/>
        <v>6928.0249999999996</v>
      </c>
      <c r="BC101" s="58">
        <f t="shared" si="126"/>
        <v>6917.8860000000004</v>
      </c>
      <c r="BD101" s="58">
        <f t="shared" si="126"/>
        <v>6895.7030000000004</v>
      </c>
      <c r="BE101" s="58">
        <f t="shared" si="126"/>
        <v>7493.6270000000004</v>
      </c>
      <c r="BF101" s="58">
        <f t="shared" si="126"/>
        <v>7532.5339999999997</v>
      </c>
      <c r="BG101" s="58">
        <f t="shared" si="126"/>
        <v>7477.8980000000001</v>
      </c>
      <c r="BH101" s="58">
        <f t="shared" si="126"/>
        <v>7441.6210000000001</v>
      </c>
      <c r="BI101" s="58">
        <f t="shared" si="126"/>
        <v>7486.2579999999998</v>
      </c>
      <c r="BJ101" s="58">
        <f t="shared" si="126"/>
        <v>7097.8329999999996</v>
      </c>
      <c r="BK101" s="58">
        <f t="shared" si="126"/>
        <v>7160.27</v>
      </c>
      <c r="BL101" s="58">
        <f>BL99+BL100</f>
        <v>7375.1729999999998</v>
      </c>
      <c r="BM101" s="58">
        <f>BM99+BM100</f>
        <v>7871.9140000000007</v>
      </c>
      <c r="BN101" s="58">
        <f t="shared" ref="BN101" si="127">BN99+BN100</f>
        <v>6947.2389999999996</v>
      </c>
      <c r="BO101" s="58">
        <f>BO99+BO100</f>
        <v>6783.0020000000004</v>
      </c>
      <c r="BP101" s="58">
        <f>BP99+BP100</f>
        <v>6786.7780000000002</v>
      </c>
      <c r="BQ101" s="34"/>
      <c r="BR101" s="34"/>
      <c r="CG101" s="58">
        <f t="shared" si="118"/>
        <v>7152.5290000000005</v>
      </c>
      <c r="CH101" s="58">
        <f t="shared" si="119"/>
        <v>6871.6869999999999</v>
      </c>
      <c r="CI101" s="58">
        <f t="shared" si="120"/>
        <v>6928.0249999999996</v>
      </c>
      <c r="CJ101" s="58">
        <f t="shared" si="121"/>
        <v>7532.5339999999997</v>
      </c>
      <c r="CK101" s="58">
        <f t="shared" si="122"/>
        <v>7097.8329999999996</v>
      </c>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row>
    <row r="102" spans="2:151" ht="14.25" customHeight="1"/>
    <row r="103" spans="2:151" ht="14.25" customHeight="1">
      <c r="B103" s="1" t="s">
        <v>126</v>
      </c>
      <c r="AT103" s="39">
        <f t="shared" ref="AT103:BK103" si="128">SUM(AT70:AT75)/SUM(AT85:AT92)</f>
        <v>2.6339676237810776</v>
      </c>
      <c r="AU103" s="39">
        <f t="shared" si="128"/>
        <v>2.7138614036779769</v>
      </c>
      <c r="AV103" s="39">
        <f t="shared" si="128"/>
        <v>2.7281155326757927</v>
      </c>
      <c r="AW103" s="39">
        <f t="shared" si="128"/>
        <v>2.7424200921363902</v>
      </c>
      <c r="AX103" s="39">
        <f t="shared" si="128"/>
        <v>2.1012775855705907</v>
      </c>
      <c r="AY103" s="39">
        <f t="shared" si="128"/>
        <v>2.2770481560499851</v>
      </c>
      <c r="AZ103" s="39">
        <f t="shared" si="128"/>
        <v>2.2693982393085665</v>
      </c>
      <c r="BA103" s="39">
        <f t="shared" si="128"/>
        <v>2.3888089544078812</v>
      </c>
      <c r="BB103" s="39">
        <f t="shared" si="128"/>
        <v>2.4264777958730224</v>
      </c>
      <c r="BC103" s="39">
        <f t="shared" si="128"/>
        <v>2.4805020653046195</v>
      </c>
      <c r="BD103" s="39">
        <f t="shared" si="128"/>
        <v>2.6029796197609101</v>
      </c>
      <c r="BE103" s="39">
        <f t="shared" si="128"/>
        <v>3.5824866419776709</v>
      </c>
      <c r="BF103" s="39">
        <f t="shared" si="128"/>
        <v>2.3196370738460779</v>
      </c>
      <c r="BG103" s="39">
        <f t="shared" si="128"/>
        <v>2.5106531653018189</v>
      </c>
      <c r="BH103" s="39">
        <f t="shared" si="128"/>
        <v>2.5829871233226105</v>
      </c>
      <c r="BI103" s="39">
        <f t="shared" si="128"/>
        <v>2.4231336143363249</v>
      </c>
      <c r="BJ103" s="39">
        <f t="shared" si="128"/>
        <v>2.265489042551553</v>
      </c>
      <c r="BK103" s="39">
        <f t="shared" si="128"/>
        <v>2.286980028146953</v>
      </c>
      <c r="BL103" s="39">
        <f>SUM(BL70:BL75)/SUM(BL85:BL92)</f>
        <v>2.4071842406960813</v>
      </c>
      <c r="BM103" s="39">
        <f>SUM(BM70:BM75)/SUM(BM85:BM92)</f>
        <v>2.569114998913347</v>
      </c>
      <c r="BN103" s="39">
        <f t="shared" ref="BN103" si="129">SUM(BN70:BN75)/SUM(BN85:BN92)</f>
        <v>2.5436638644875638</v>
      </c>
      <c r="BO103" s="39">
        <f>SUM(BO70:BO75)/SUM(BO85:BO92)</f>
        <v>2.554319832868392</v>
      </c>
      <c r="BP103" s="39">
        <f>SUM(BP70:BP75)/SUM(BP85:BP92)</f>
        <v>2.6040126100288878</v>
      </c>
      <c r="CG103" s="57">
        <f t="shared" ref="CG103:CK103" si="130">SUM(CG70:CG75)/SUM(CG85:CG92)</f>
        <v>2.6339676237810776</v>
      </c>
      <c r="CH103" s="57">
        <f t="shared" si="130"/>
        <v>2.1012775855705907</v>
      </c>
      <c r="CI103" s="57">
        <f t="shared" si="130"/>
        <v>2.4264777958730224</v>
      </c>
      <c r="CJ103" s="57">
        <f t="shared" si="130"/>
        <v>2.3196370738460779</v>
      </c>
      <c r="CK103" s="57">
        <f t="shared" si="130"/>
        <v>2.265489042551553</v>
      </c>
    </row>
    <row r="104" spans="2:151" ht="14.25" customHeight="1">
      <c r="B104" s="1" t="s">
        <v>127</v>
      </c>
      <c r="AT104" s="39">
        <f t="shared" ref="AT104:BK104" si="131">(SUM(AT70:AT75)-AT72)/SUM(AT85:AT92)</f>
        <v>1.6836615274079398</v>
      </c>
      <c r="AU104" s="39">
        <f t="shared" si="131"/>
        <v>1.7054980700756417</v>
      </c>
      <c r="AV104" s="39">
        <f t="shared" si="131"/>
        <v>1.7974229896053997</v>
      </c>
      <c r="AW104" s="39">
        <f t="shared" si="131"/>
        <v>1.8809270557265079</v>
      </c>
      <c r="AX104" s="39">
        <f t="shared" si="131"/>
        <v>1.3989804605424705</v>
      </c>
      <c r="AY104" s="39">
        <f t="shared" si="131"/>
        <v>1.5281575739103934</v>
      </c>
      <c r="AZ104" s="39">
        <f t="shared" si="131"/>
        <v>1.4330698084338889</v>
      </c>
      <c r="BA104" s="39">
        <f t="shared" si="131"/>
        <v>1.5211297115647453</v>
      </c>
      <c r="BB104" s="39">
        <f t="shared" si="131"/>
        <v>1.4316094316163102</v>
      </c>
      <c r="BC104" s="39">
        <f t="shared" si="131"/>
        <v>1.4138043640633522</v>
      </c>
      <c r="BD104" s="39">
        <f t="shared" si="131"/>
        <v>1.4659441163762061</v>
      </c>
      <c r="BE104" s="39">
        <f t="shared" si="131"/>
        <v>2.5147416537983247</v>
      </c>
      <c r="BF104" s="39">
        <f t="shared" si="131"/>
        <v>1.2875291519361829</v>
      </c>
      <c r="BG104" s="39">
        <f t="shared" si="131"/>
        <v>1.4110811833192058</v>
      </c>
      <c r="BH104" s="39">
        <f t="shared" si="131"/>
        <v>1.4390122552057234</v>
      </c>
      <c r="BI104" s="39">
        <f t="shared" si="131"/>
        <v>1.3888799100100855</v>
      </c>
      <c r="BJ104" s="39">
        <f t="shared" si="131"/>
        <v>1.3412594520505752</v>
      </c>
      <c r="BK104" s="39">
        <f t="shared" si="131"/>
        <v>1.329968776796449</v>
      </c>
      <c r="BL104" s="39">
        <f>(SUM(BL70:BL75)-BL72)/SUM(BL85:BL92)</f>
        <v>1.4385238290070279</v>
      </c>
      <c r="BM104" s="39">
        <f>(SUM(BM70:BM75)-BM72)/SUM(BM85:BM92)</f>
        <v>1.531025231043083</v>
      </c>
      <c r="BN104" s="39">
        <f t="shared" ref="BN104" si="132">(SUM(BN70:BN75)-BN72)/SUM(BN85:BN92)</f>
        <v>2.0129798720778558</v>
      </c>
      <c r="BO104" s="39">
        <f>(SUM(BO70:BO75)-BO72)/SUM(BO85:BO92)</f>
        <v>2.0311943289531333</v>
      </c>
      <c r="BP104" s="39">
        <f>(SUM(BP70:BP75)-BP72)/SUM(BP85:BP92)</f>
        <v>2.1155030893460252</v>
      </c>
      <c r="CG104" s="57">
        <f t="shared" ref="CG104:CK104" si="133">(SUM(CG70:CG75)-CG72)/SUM(CG85:CG92)</f>
        <v>1.6836615274079398</v>
      </c>
      <c r="CH104" s="57">
        <f t="shared" si="133"/>
        <v>1.3989804605424705</v>
      </c>
      <c r="CI104" s="57">
        <f t="shared" si="133"/>
        <v>1.4316094316163102</v>
      </c>
      <c r="CJ104" s="57">
        <f t="shared" si="133"/>
        <v>1.2875291519361829</v>
      </c>
      <c r="CK104" s="57">
        <f t="shared" si="133"/>
        <v>1.3412594520505752</v>
      </c>
    </row>
    <row r="105" spans="2:151" ht="14.25" customHeight="1">
      <c r="B105" s="1" t="s">
        <v>128</v>
      </c>
      <c r="AT105" s="39">
        <f t="shared" ref="AT105:BK105" si="134">AT70/SUM(AT85:AT92)</f>
        <v>0.69604056101002554</v>
      </c>
      <c r="AU105" s="39">
        <f t="shared" si="134"/>
        <v>0.63897128437893047</v>
      </c>
      <c r="AV105" s="39">
        <f t="shared" si="134"/>
        <v>0.68673454666939993</v>
      </c>
      <c r="AW105" s="39">
        <f t="shared" si="134"/>
        <v>0.85583678696572452</v>
      </c>
      <c r="AX105" s="39">
        <f t="shared" si="134"/>
        <v>0.65442258690125577</v>
      </c>
      <c r="AY105" s="39">
        <f t="shared" si="134"/>
        <v>0.71114903992685163</v>
      </c>
      <c r="AZ105" s="39">
        <f t="shared" si="134"/>
        <v>0.50475065608198644</v>
      </c>
      <c r="BA105" s="39">
        <f t="shared" si="134"/>
        <v>0.65025199822561808</v>
      </c>
      <c r="BB105" s="39">
        <f t="shared" si="134"/>
        <v>0.50220897657917318</v>
      </c>
      <c r="BC105" s="39">
        <f t="shared" si="134"/>
        <v>0.4587963911884968</v>
      </c>
      <c r="BD105" s="39">
        <f t="shared" si="134"/>
        <v>0.45156272504680972</v>
      </c>
      <c r="BE105" s="39">
        <f t="shared" si="134"/>
        <v>1.5057497574374461</v>
      </c>
      <c r="BF105" s="39">
        <f t="shared" si="134"/>
        <v>0.36729049749890813</v>
      </c>
      <c r="BG105" s="39">
        <f t="shared" si="134"/>
        <v>0.41579393489362593</v>
      </c>
      <c r="BH105" s="39">
        <f t="shared" si="134"/>
        <v>0.42849214089804455</v>
      </c>
      <c r="BI105" s="39">
        <f t="shared" si="134"/>
        <v>0.39312404644307103</v>
      </c>
      <c r="BJ105" s="39">
        <f t="shared" si="134"/>
        <v>0.44689141114687436</v>
      </c>
      <c r="BK105" s="39">
        <f t="shared" si="134"/>
        <v>0.42223698426356493</v>
      </c>
      <c r="BL105" s="39">
        <f>BL70/SUM(BL85:BL92)</f>
        <v>0.3542547858398627</v>
      </c>
      <c r="BM105" s="39">
        <f>BM70/SUM(BM85:BM92)</f>
        <v>0.45794265577944054</v>
      </c>
      <c r="BN105" s="39">
        <f t="shared" ref="BN105" si="135">BN70/SUM(BN85:BN92)</f>
        <v>0.49678619889610082</v>
      </c>
      <c r="BO105" s="39">
        <f>BO70/SUM(BO85:BO92)</f>
        <v>0.42498650502919449</v>
      </c>
      <c r="BP105" s="39">
        <f>BP70/SUM(BP85:BP92)</f>
        <v>0.41666817050469263</v>
      </c>
      <c r="CG105" s="57">
        <f t="shared" ref="CG105:CK105" si="136">CG70/SUM(CG85:CG92)</f>
        <v>0.69604056101002554</v>
      </c>
      <c r="CH105" s="57">
        <f t="shared" si="136"/>
        <v>0.65442258690125577</v>
      </c>
      <c r="CI105" s="57">
        <f t="shared" si="136"/>
        <v>0.50220897657917318</v>
      </c>
      <c r="CJ105" s="57">
        <f t="shared" si="136"/>
        <v>0.36729049749890813</v>
      </c>
      <c r="CK105" s="57">
        <f t="shared" si="136"/>
        <v>0.44689141114687436</v>
      </c>
    </row>
    <row r="106" spans="2:151" ht="14.25" customHeight="1">
      <c r="B106" s="1" t="s">
        <v>129</v>
      </c>
      <c r="AT106" s="39">
        <f t="shared" ref="AT106:BK106" si="137">AT44/AT83</f>
        <v>9.1116658795330444E-2</v>
      </c>
      <c r="AU106" s="39">
        <f t="shared" si="137"/>
        <v>9.0196654837315732E-2</v>
      </c>
      <c r="AV106" s="39">
        <f t="shared" si="137"/>
        <v>0.10096315773087625</v>
      </c>
      <c r="AW106" s="39">
        <f t="shared" si="137"/>
        <v>9.9464079673422273E-2</v>
      </c>
      <c r="AX106" s="39">
        <f t="shared" si="137"/>
        <v>0.11088731036682691</v>
      </c>
      <c r="AY106" s="39">
        <f t="shared" si="137"/>
        <v>9.3359630290696202E-2</v>
      </c>
      <c r="AZ106" s="39">
        <f t="shared" si="137"/>
        <v>0.10465430648129855</v>
      </c>
      <c r="BA106" s="39">
        <f t="shared" si="137"/>
        <v>0.10161805765901687</v>
      </c>
      <c r="BB106" s="39">
        <f t="shared" si="137"/>
        <v>0.10942224232730659</v>
      </c>
      <c r="BC106" s="39">
        <f t="shared" si="137"/>
        <v>0.10276256239439514</v>
      </c>
      <c r="BD106" s="39">
        <f t="shared" si="137"/>
        <v>0.10778199536669458</v>
      </c>
      <c r="BE106" s="39">
        <f t="shared" si="137"/>
        <v>9.9601472938085495E-2</v>
      </c>
      <c r="BF106" s="39">
        <f t="shared" si="137"/>
        <v>0.10275125319763037</v>
      </c>
      <c r="BG106" s="39">
        <f t="shared" si="137"/>
        <v>9.8667581717718611E-2</v>
      </c>
      <c r="BH106" s="39">
        <f t="shared" si="137"/>
        <v>0.10073921020383948</v>
      </c>
      <c r="BI106" s="39">
        <f t="shared" si="137"/>
        <v>0.10209994238773387</v>
      </c>
      <c r="BJ106" s="39">
        <f t="shared" si="137"/>
        <v>0.11207276950855814</v>
      </c>
      <c r="BK106" s="39">
        <f t="shared" si="137"/>
        <v>9.7821273753822977E-2</v>
      </c>
      <c r="BL106" s="39">
        <f>BL44/BL83</f>
        <v>0.10587493700180238</v>
      </c>
      <c r="BM106" s="39">
        <f>BM44/BM83</f>
        <v>0.11598077619809583</v>
      </c>
      <c r="BN106" s="39">
        <f t="shared" ref="BN106" si="138">BN44/BN83</f>
        <v>7.6289299965065255E-2</v>
      </c>
      <c r="BO106" s="39">
        <f>BO44/BO83</f>
        <v>8.0828665537766312E-2</v>
      </c>
      <c r="BP106" s="39">
        <f>BP44/BP83</f>
        <v>8.4035753048059034E-2</v>
      </c>
      <c r="CG106" s="39">
        <f t="shared" ref="CG106:CK106" si="139">CG44/CG83</f>
        <v>0.3464010097680067</v>
      </c>
      <c r="CH106" s="39">
        <f t="shared" si="139"/>
        <v>0.40885965719048945</v>
      </c>
      <c r="CI106" s="39">
        <f t="shared" si="139"/>
        <v>0.40285893144716339</v>
      </c>
      <c r="CJ106" s="39">
        <f t="shared" si="139"/>
        <v>0.39488519861385235</v>
      </c>
      <c r="CK106" s="39">
        <f t="shared" si="139"/>
        <v>0.42933029464871408</v>
      </c>
    </row>
    <row r="107" spans="2:151" ht="14.25" customHeight="1">
      <c r="B107" s="1" t="s">
        <v>130</v>
      </c>
      <c r="AT107" s="39">
        <f t="shared" ref="AT107:BK107" si="140">AT45/(AVERAGE(AQ72:AT72))</f>
        <v>0.63840877647654859</v>
      </c>
      <c r="AU107" s="39">
        <f t="shared" si="140"/>
        <v>0.56440920925606297</v>
      </c>
      <c r="AV107" s="39">
        <f t="shared" si="140"/>
        <v>0.62525217873188232</v>
      </c>
      <c r="AW107" s="39">
        <f t="shared" si="140"/>
        <v>0.62488738232014918</v>
      </c>
      <c r="AX107" s="39">
        <f t="shared" si="140"/>
        <v>0.69670260310091725</v>
      </c>
      <c r="AY107" s="39">
        <f t="shared" si="140"/>
        <v>0.60807675250629989</v>
      </c>
      <c r="AZ107" s="39">
        <f t="shared" si="140"/>
        <v>0.64301411657837437</v>
      </c>
      <c r="BA107" s="39">
        <f t="shared" si="140"/>
        <v>0.62265484118801484</v>
      </c>
      <c r="BB107" s="39">
        <f t="shared" si="140"/>
        <v>0.63666769484003816</v>
      </c>
      <c r="BC107" s="39">
        <f t="shared" si="140"/>
        <v>0.57235817208985962</v>
      </c>
      <c r="BD107" s="39">
        <f t="shared" si="140"/>
        <v>0.56992611634657786</v>
      </c>
      <c r="BE107" s="39">
        <f t="shared" si="140"/>
        <v>0.5390576738796613</v>
      </c>
      <c r="BF107" s="39">
        <f t="shared" si="140"/>
        <v>0.54866064384251789</v>
      </c>
      <c r="BG107" s="39">
        <f t="shared" si="140"/>
        <v>0.51254905990585908</v>
      </c>
      <c r="BH107" s="39">
        <f t="shared" si="140"/>
        <v>0.52976668596940202</v>
      </c>
      <c r="BI107" s="39">
        <f t="shared" si="140"/>
        <v>0.52819504161750774</v>
      </c>
      <c r="BJ107" s="39">
        <f t="shared" si="140"/>
        <v>0.56769268849657883</v>
      </c>
      <c r="BK107" s="39">
        <f t="shared" si="140"/>
        <v>0.49383362489240079</v>
      </c>
      <c r="BL107" s="39">
        <f>BL45/(AVERAGE(BI72:BL72))</f>
        <v>0.54281358259850798</v>
      </c>
      <c r="BM107" s="39">
        <f>BM45/(AVERAGE(BJ72:BM72))</f>
        <v>0.67347385630455736</v>
      </c>
      <c r="BN107" s="39">
        <f t="shared" ref="BN107" si="141">BN45/(AVERAGE(BK72:BN72))</f>
        <v>-0.39370329396090797</v>
      </c>
      <c r="BO107" s="39">
        <f>BO45/(AVERAGE(BL72:BO72))</f>
        <v>0.42226075613352532</v>
      </c>
      <c r="BP107" s="39">
        <f>BP45/(AVERAGE(BM72:BP72))</f>
        <v>0.4921046716174442</v>
      </c>
      <c r="CG107" s="39">
        <f t="shared" ref="CG107:CK107" si="142">CG45/(AVERAGE(CD72:CG72))</f>
        <v>2.3622440031956971</v>
      </c>
      <c r="CH107" s="39">
        <f t="shared" si="142"/>
        <v>2.5432435432919873</v>
      </c>
      <c r="CI107" s="39">
        <f t="shared" si="142"/>
        <v>2.4085648907787172</v>
      </c>
      <c r="CJ107" s="39">
        <f t="shared" si="142"/>
        <v>2.4186161755147793</v>
      </c>
      <c r="CK107" s="39">
        <f t="shared" si="142"/>
        <v>2.3564409617028401</v>
      </c>
    </row>
    <row r="108" spans="2:151" ht="14.25" customHeight="1">
      <c r="B108" s="1" t="s">
        <v>131</v>
      </c>
      <c r="AT108" s="108">
        <f t="shared" ref="AT108:BK108" si="143">AT59/AT101</f>
        <v>2.3936987882188319E-3</v>
      </c>
      <c r="AU108" s="108">
        <f t="shared" si="143"/>
        <v>1.0650384767577851E-2</v>
      </c>
      <c r="AV108" s="108">
        <f t="shared" si="143"/>
        <v>1.1798752961221799E-2</v>
      </c>
      <c r="AW108" s="108">
        <f t="shared" si="143"/>
        <v>2.8290785743100812E-2</v>
      </c>
      <c r="AX108" s="108">
        <f t="shared" si="143"/>
        <v>2.2314607752070215E-2</v>
      </c>
      <c r="AY108" s="108">
        <f t="shared" si="143"/>
        <v>1.1219391969886841E-2</v>
      </c>
      <c r="AZ108" s="108">
        <f t="shared" si="143"/>
        <v>1.5670485887412138E-2</v>
      </c>
      <c r="BA108" s="108">
        <f t="shared" si="143"/>
        <v>1.5032765426888675E-2</v>
      </c>
      <c r="BB108" s="108">
        <f t="shared" si="143"/>
        <v>1.1321841361715646E-2</v>
      </c>
      <c r="BC108" s="108">
        <f t="shared" si="143"/>
        <v>1.108994857677619E-2</v>
      </c>
      <c r="BD108" s="108">
        <f t="shared" si="143"/>
        <v>1.6144111775115606E-2</v>
      </c>
      <c r="BE108" s="108">
        <f t="shared" si="143"/>
        <v>1.8299816630851781E-2</v>
      </c>
      <c r="BF108" s="108">
        <f t="shared" si="143"/>
        <v>3.9829889914867909E-3</v>
      </c>
      <c r="BG108" s="108">
        <f t="shared" si="143"/>
        <v>2.0420176899979135E-3</v>
      </c>
      <c r="BH108" s="108">
        <f t="shared" si="143"/>
        <v>1.0768755893373234E-2</v>
      </c>
      <c r="BI108" s="108">
        <f t="shared" si="143"/>
        <v>1.4812340157125214E-2</v>
      </c>
      <c r="BJ108" s="108">
        <f t="shared" si="143"/>
        <v>-1.9244746953048928E-2</v>
      </c>
      <c r="BK108" s="108">
        <f t="shared" si="143"/>
        <v>1.3276594318370675E-2</v>
      </c>
      <c r="BL108" s="108">
        <f>BL59/BL101</f>
        <v>1.6610457815701397E-2</v>
      </c>
      <c r="BM108" s="108">
        <f>BM59/BM101</f>
        <v>-5.1942894701339476E-2</v>
      </c>
      <c r="BN108" s="108">
        <f t="shared" ref="BN108" si="144">BN59/BN101</f>
        <v>0.18367440648004196</v>
      </c>
      <c r="BO108" s="108">
        <f>BO59/BO101</f>
        <v>-1.2022700273418905E-3</v>
      </c>
      <c r="BP108" s="108">
        <f>BP59/BP101</f>
        <v>6.1534354004212331E-3</v>
      </c>
      <c r="CG108" s="59">
        <f t="shared" ref="CG108:CK108" si="145">CG59/CG101</f>
        <v>3.8628015349535798E-2</v>
      </c>
      <c r="CH108" s="59">
        <f t="shared" si="145"/>
        <v>7.4323815971245516E-2</v>
      </c>
      <c r="CI108" s="59">
        <f t="shared" si="145"/>
        <v>5.234320026270111E-2</v>
      </c>
      <c r="CJ108" s="59">
        <f t="shared" si="145"/>
        <v>4.7152525298923297E-2</v>
      </c>
      <c r="CK108" s="59">
        <f t="shared" si="145"/>
        <v>9.8198985521355357E-3</v>
      </c>
    </row>
    <row r="109" spans="2:151" ht="14.25" customHeight="1">
      <c r="B109" s="1" t="s">
        <v>132</v>
      </c>
      <c r="AT109" s="108">
        <f t="shared" ref="AT109:BK109" si="146">AT59/AT100</f>
        <v>5.1314912795219769E-3</v>
      </c>
      <c r="AU109" s="108">
        <f t="shared" si="146"/>
        <v>2.2172883976787669E-2</v>
      </c>
      <c r="AV109" s="108">
        <f t="shared" si="146"/>
        <v>2.4054124231845605E-2</v>
      </c>
      <c r="AW109" s="108">
        <f t="shared" si="146"/>
        <v>5.4448627206543698E-2</v>
      </c>
      <c r="AX109" s="108">
        <f t="shared" si="146"/>
        <v>4.0838779782355138E-2</v>
      </c>
      <c r="AY109" s="108">
        <f t="shared" si="146"/>
        <v>2.0317057169881383E-2</v>
      </c>
      <c r="AZ109" s="108">
        <f t="shared" si="146"/>
        <v>2.7380844232531214E-2</v>
      </c>
      <c r="BA109" s="108">
        <f t="shared" si="146"/>
        <v>2.6081598701978841E-2</v>
      </c>
      <c r="BB109" s="108">
        <f t="shared" si="146"/>
        <v>1.9502431650240189E-2</v>
      </c>
      <c r="BC109" s="108">
        <f t="shared" si="146"/>
        <v>1.8665287999513395E-2</v>
      </c>
      <c r="BD109" s="108">
        <f t="shared" si="146"/>
        <v>2.6411061211029898E-2</v>
      </c>
      <c r="BE109" s="108">
        <f t="shared" si="146"/>
        <v>3.1787314373878071E-2</v>
      </c>
      <c r="BF109" s="108">
        <f t="shared" si="146"/>
        <v>6.755703910931523E-3</v>
      </c>
      <c r="BG109" s="108">
        <f t="shared" si="146"/>
        <v>3.3909144810035552E-3</v>
      </c>
      <c r="BH109" s="108">
        <f t="shared" si="146"/>
        <v>1.7578841775507555E-2</v>
      </c>
      <c r="BI109" s="108">
        <f t="shared" si="146"/>
        <v>2.4742526134514938E-2</v>
      </c>
      <c r="BJ109" s="108">
        <f t="shared" si="146"/>
        <v>-3.1929127416376456E-2</v>
      </c>
      <c r="BK109" s="108">
        <f t="shared" si="146"/>
        <v>2.3213745006300118E-2</v>
      </c>
      <c r="BL109" s="108">
        <f>BL59/BL100</f>
        <v>2.8873212879991308E-2</v>
      </c>
      <c r="BM109" s="108">
        <f>BM59/BM100</f>
        <v>-0.10698717378449239</v>
      </c>
      <c r="BN109" s="108">
        <f t="shared" ref="BN109" si="147">BN59/BN100</f>
        <v>0.40835991664021143</v>
      </c>
      <c r="BO109" s="108">
        <f>BO59/BO100</f>
        <v>-2.6439193421423229E-3</v>
      </c>
      <c r="BP109" s="108">
        <f>BP59/BP100</f>
        <v>1.4378210067432508E-2</v>
      </c>
      <c r="CG109" s="59">
        <f t="shared" ref="CG109:CK109" si="148">CG59/CG100</f>
        <v>8.28087998736384E-2</v>
      </c>
      <c r="CH109" s="59">
        <f t="shared" si="148"/>
        <v>0.13602273393097797</v>
      </c>
      <c r="CI109" s="59">
        <f t="shared" si="148"/>
        <v>9.0163751006971674E-2</v>
      </c>
      <c r="CJ109" s="59">
        <f t="shared" si="148"/>
        <v>7.9977248306007553E-2</v>
      </c>
      <c r="CK109" s="59">
        <f t="shared" si="148"/>
        <v>1.629227928285917E-2</v>
      </c>
    </row>
    <row r="110" spans="2:151" ht="14.25" customHeight="1"/>
    <row r="111" spans="2:151">
      <c r="B111" s="1" t="s">
        <v>133</v>
      </c>
      <c r="C111" s="57">
        <f>C59</f>
        <v>33.600000000000009</v>
      </c>
      <c r="D111" s="57">
        <f t="shared" ref="D111:BL111" si="149">D59</f>
        <v>32.399999999999991</v>
      </c>
      <c r="E111" s="57">
        <f t="shared" si="149"/>
        <v>10.999999999999982</v>
      </c>
      <c r="F111" s="57">
        <f t="shared" si="149"/>
        <v>10.899999999999983</v>
      </c>
      <c r="G111" s="57">
        <f t="shared" si="149"/>
        <v>14.200000000000001</v>
      </c>
      <c r="H111" s="57">
        <f t="shared" si="149"/>
        <v>31.199999999999982</v>
      </c>
      <c r="I111" s="57">
        <f t="shared" si="149"/>
        <v>32.900000000000006</v>
      </c>
      <c r="J111" s="57">
        <f t="shared" si="149"/>
        <v>40.600000000000023</v>
      </c>
      <c r="K111" s="57">
        <f t="shared" si="149"/>
        <v>-284.09999999999991</v>
      </c>
      <c r="L111" s="57">
        <f t="shared" si="149"/>
        <v>47.300000000000011</v>
      </c>
      <c r="M111" s="57">
        <f t="shared" si="149"/>
        <v>24.500000000000036</v>
      </c>
      <c r="N111" s="57">
        <f t="shared" si="149"/>
        <v>30.500000000000007</v>
      </c>
      <c r="O111" s="57">
        <f t="shared" si="149"/>
        <v>27.699999999999978</v>
      </c>
      <c r="P111" s="57">
        <f t="shared" si="149"/>
        <v>43.400000000000041</v>
      </c>
      <c r="Q111" s="57">
        <f t="shared" si="149"/>
        <v>45.699999999999996</v>
      </c>
      <c r="R111" s="57">
        <f t="shared" si="149"/>
        <v>35.29999999999999</v>
      </c>
      <c r="S111" s="57">
        <f t="shared" si="149"/>
        <v>35.299999999999997</v>
      </c>
      <c r="T111" s="57">
        <f t="shared" si="149"/>
        <v>48.900000000000013</v>
      </c>
      <c r="U111" s="57">
        <f t="shared" si="149"/>
        <v>55.199999999999974</v>
      </c>
      <c r="V111" s="57">
        <f t="shared" si="149"/>
        <v>52.199999999999989</v>
      </c>
      <c r="W111" s="57">
        <f t="shared" si="149"/>
        <v>39.299999999999969</v>
      </c>
      <c r="X111" s="57">
        <f t="shared" si="149"/>
        <v>45.2</v>
      </c>
      <c r="Y111" s="57">
        <f t="shared" si="149"/>
        <v>61.599999999999994</v>
      </c>
      <c r="Z111" s="57">
        <f t="shared" si="149"/>
        <v>90.700000000000017</v>
      </c>
      <c r="AA111" s="57">
        <f t="shared" si="149"/>
        <v>51.199999999999967</v>
      </c>
      <c r="AB111" s="57">
        <f t="shared" si="149"/>
        <v>59.400000000000034</v>
      </c>
      <c r="AC111" s="57">
        <f t="shared" si="149"/>
        <v>66.200000000000031</v>
      </c>
      <c r="AD111" s="57">
        <f t="shared" si="149"/>
        <v>60.9</v>
      </c>
      <c r="AE111" s="57">
        <f t="shared" si="149"/>
        <v>40.399999999999984</v>
      </c>
      <c r="AF111" s="57">
        <f t="shared" si="149"/>
        <v>78.40000000000002</v>
      </c>
      <c r="AG111" s="57">
        <f t="shared" si="149"/>
        <v>79.400000000000034</v>
      </c>
      <c r="AH111" s="57">
        <f t="shared" si="149"/>
        <v>-42.799999999999969</v>
      </c>
      <c r="AI111" s="57">
        <f t="shared" si="149"/>
        <v>54.900000000000034</v>
      </c>
      <c r="AJ111" s="57">
        <f t="shared" si="149"/>
        <v>-2.6000000000000565</v>
      </c>
      <c r="AK111" s="57">
        <f t="shared" si="149"/>
        <v>56.500000000000021</v>
      </c>
      <c r="AL111" s="57">
        <f t="shared" si="149"/>
        <v>87.500000000000043</v>
      </c>
      <c r="AM111" s="57">
        <f t="shared" si="149"/>
        <v>41.79999999999999</v>
      </c>
      <c r="AN111" s="57">
        <f t="shared" si="149"/>
        <v>83.399999999999977</v>
      </c>
      <c r="AO111" s="57">
        <f t="shared" si="149"/>
        <v>228.89999999999998</v>
      </c>
      <c r="AP111" s="57">
        <f t="shared" si="149"/>
        <v>107.80000000000001</v>
      </c>
      <c r="AQ111" s="57">
        <f t="shared" si="149"/>
        <v>131.13099999999997</v>
      </c>
      <c r="AR111" s="57">
        <f t="shared" si="149"/>
        <v>11.457999999999956</v>
      </c>
      <c r="AS111" s="57">
        <f t="shared" si="149"/>
        <v>116.578</v>
      </c>
      <c r="AT111" s="57">
        <f t="shared" si="149"/>
        <v>17.121000000000056</v>
      </c>
      <c r="AU111" s="57">
        <f t="shared" si="149"/>
        <v>74.851000000000042</v>
      </c>
      <c r="AV111" s="57">
        <f t="shared" si="149"/>
        <v>83.374000000000052</v>
      </c>
      <c r="AW111" s="57">
        <f t="shared" si="149"/>
        <v>199.166</v>
      </c>
      <c r="AX111" s="57">
        <f t="shared" si="149"/>
        <v>153.33900000000011</v>
      </c>
      <c r="AY111" s="57">
        <f t="shared" si="149"/>
        <v>77.113999999999891</v>
      </c>
      <c r="AZ111" s="57">
        <f t="shared" si="149"/>
        <v>105.49099999999999</v>
      </c>
      <c r="BA111" s="57">
        <f t="shared" si="149"/>
        <v>101.5919999999999</v>
      </c>
      <c r="BB111" s="57">
        <f t="shared" si="149"/>
        <v>78.438000000000031</v>
      </c>
      <c r="BC111" s="57">
        <f t="shared" si="149"/>
        <v>76.718999999999937</v>
      </c>
      <c r="BD111" s="57">
        <f t="shared" si="149"/>
        <v>111.32500000000002</v>
      </c>
      <c r="BE111" s="57">
        <f t="shared" si="149"/>
        <v>137.13199999999995</v>
      </c>
      <c r="BF111" s="57">
        <f t="shared" si="149"/>
        <v>30.001999999999963</v>
      </c>
      <c r="BG111" s="57">
        <f t="shared" si="149"/>
        <v>15.270000000000019</v>
      </c>
      <c r="BH111" s="57">
        <f t="shared" si="149"/>
        <v>80.137000000000029</v>
      </c>
      <c r="BI111" s="57">
        <f t="shared" si="149"/>
        <v>110.88899999999988</v>
      </c>
      <c r="BJ111" s="57">
        <f t="shared" si="149"/>
        <v>-136.59600000000012</v>
      </c>
      <c r="BK111" s="57">
        <f t="shared" si="149"/>
        <v>95.063999999999993</v>
      </c>
      <c r="BL111" s="57">
        <f t="shared" si="149"/>
        <v>122.50499999999991</v>
      </c>
      <c r="BM111" s="57">
        <f t="shared" ref="BM111:BN111" si="150">BM59</f>
        <v>-408.8900000000001</v>
      </c>
      <c r="BN111" s="57">
        <f t="shared" si="150"/>
        <v>1276.0300000000002</v>
      </c>
      <c r="BO111" s="57">
        <f t="shared" ref="BO111:BP111" si="151">BO59</f>
        <v>-8.1550000000000988</v>
      </c>
      <c r="BP111" s="57">
        <f t="shared" si="151"/>
        <v>41.762000000000015</v>
      </c>
      <c r="BW111" s="57">
        <f>BW59</f>
        <v>87.899999999999963</v>
      </c>
      <c r="BX111" s="57">
        <f t="shared" ref="BX111:CK111" si="152">BX59</f>
        <v>118.9</v>
      </c>
      <c r="BY111" s="57">
        <f t="shared" si="152"/>
        <v>-181.79999999999987</v>
      </c>
      <c r="BZ111" s="57">
        <f t="shared" si="152"/>
        <v>152.1</v>
      </c>
      <c r="CA111" s="57">
        <f t="shared" si="152"/>
        <v>191.59999999999997</v>
      </c>
      <c r="CB111" s="57">
        <f t="shared" si="152"/>
        <v>236.79999999999998</v>
      </c>
      <c r="CC111" s="57">
        <f t="shared" si="152"/>
        <v>237.70000000000002</v>
      </c>
      <c r="CD111" s="57">
        <f t="shared" si="152"/>
        <v>155.40000000000009</v>
      </c>
      <c r="CE111" s="57">
        <f t="shared" si="152"/>
        <v>196.30000000000004</v>
      </c>
      <c r="CF111" s="57">
        <f t="shared" si="152"/>
        <v>461.89999999999992</v>
      </c>
      <c r="CG111" s="57">
        <f t="shared" si="152"/>
        <v>276.28799999999995</v>
      </c>
      <c r="CH111" s="57">
        <f t="shared" si="152"/>
        <v>510.73000000000019</v>
      </c>
      <c r="CI111" s="57">
        <f t="shared" si="152"/>
        <v>362.63499999999982</v>
      </c>
      <c r="CJ111" s="57">
        <f t="shared" si="152"/>
        <v>355.17799999999988</v>
      </c>
      <c r="CK111" s="57">
        <f t="shared" si="152"/>
        <v>69.699999999999818</v>
      </c>
    </row>
    <row r="112" spans="2:151" s="2" customFormat="1" ht="15">
      <c r="B112" s="2" t="s">
        <v>134</v>
      </c>
      <c r="C112" s="58">
        <v>34.4</v>
      </c>
      <c r="D112" s="58">
        <v>45.4</v>
      </c>
      <c r="E112" s="58">
        <v>24.1</v>
      </c>
      <c r="F112" s="58">
        <v>40</v>
      </c>
      <c r="G112" s="58">
        <v>7.3</v>
      </c>
      <c r="H112" s="58">
        <v>30.5</v>
      </c>
      <c r="I112" s="58">
        <v>22.4</v>
      </c>
      <c r="J112" s="58">
        <v>34.1</v>
      </c>
      <c r="K112" s="58">
        <v>26.3</v>
      </c>
      <c r="L112" s="58">
        <v>62.9</v>
      </c>
      <c r="M112" s="58">
        <v>49.9</v>
      </c>
      <c r="N112" s="58">
        <v>55.5</v>
      </c>
      <c r="O112" s="58">
        <v>5.3</v>
      </c>
      <c r="P112" s="58">
        <v>51</v>
      </c>
      <c r="Q112" s="58">
        <v>79.599999999999994</v>
      </c>
      <c r="R112" s="58">
        <v>95.4</v>
      </c>
      <c r="S112" s="58">
        <v>41.9</v>
      </c>
      <c r="T112" s="58">
        <v>78.2</v>
      </c>
      <c r="U112" s="58">
        <v>88.6</v>
      </c>
      <c r="V112" s="58">
        <v>81.400000000000006</v>
      </c>
      <c r="W112" s="58">
        <v>42.4</v>
      </c>
      <c r="X112" s="58">
        <v>67.2</v>
      </c>
      <c r="Y112" s="58">
        <v>67.2</v>
      </c>
      <c r="Z112" s="58">
        <v>126.7</v>
      </c>
      <c r="AA112" s="58">
        <v>66.8</v>
      </c>
      <c r="AB112" s="58">
        <v>114.7</v>
      </c>
      <c r="AC112" s="58">
        <v>120.1</v>
      </c>
      <c r="AD112" s="58">
        <v>109</v>
      </c>
      <c r="AE112" s="58">
        <v>90.9</v>
      </c>
      <c r="AF112" s="58">
        <v>106.8</v>
      </c>
      <c r="AG112" s="58">
        <v>122</v>
      </c>
      <c r="AH112" s="58">
        <v>106.6</v>
      </c>
      <c r="AI112" s="58">
        <v>86.8</v>
      </c>
      <c r="AJ112" s="58">
        <v>94.7</v>
      </c>
      <c r="AK112" s="58">
        <v>121.4</v>
      </c>
      <c r="AL112" s="58">
        <v>132.1</v>
      </c>
      <c r="AM112" s="58">
        <v>60.2</v>
      </c>
      <c r="AN112" s="58">
        <v>97.1</v>
      </c>
      <c r="AO112" s="58">
        <v>131.9</v>
      </c>
      <c r="AP112" s="58">
        <v>147.9</v>
      </c>
      <c r="AQ112" s="58">
        <v>-11.5</v>
      </c>
      <c r="AR112" s="58">
        <v>145.5</v>
      </c>
      <c r="AS112" s="58">
        <v>107.5</v>
      </c>
      <c r="AT112" s="58">
        <v>195.7</v>
      </c>
      <c r="AU112" s="58">
        <v>110.8</v>
      </c>
      <c r="AV112" s="58">
        <v>154.30000000000001</v>
      </c>
      <c r="AW112" s="58">
        <v>185.4</v>
      </c>
      <c r="AX112" s="58">
        <v>201.7</v>
      </c>
      <c r="AY112" s="58">
        <v>62.1</v>
      </c>
      <c r="AZ112" s="58">
        <v>39.799999999999997</v>
      </c>
      <c r="BA112" s="58">
        <v>142.6</v>
      </c>
      <c r="BB112" s="58">
        <v>98.4</v>
      </c>
      <c r="BC112" s="58">
        <v>84.3</v>
      </c>
      <c r="BD112" s="58">
        <v>86.3</v>
      </c>
      <c r="BE112" s="58">
        <v>201.7</v>
      </c>
      <c r="BF112" s="58">
        <v>139.30000000000001</v>
      </c>
      <c r="BG112" s="58">
        <v>112.8</v>
      </c>
      <c r="BH112" s="58">
        <v>91.7</v>
      </c>
      <c r="BI112" s="58">
        <v>231.1</v>
      </c>
      <c r="BJ112" s="58">
        <v>202.6</v>
      </c>
      <c r="BK112" s="58">
        <v>73.3</v>
      </c>
      <c r="BL112" s="58">
        <v>7.8</v>
      </c>
      <c r="BM112" s="58">
        <v>107.8</v>
      </c>
      <c r="BN112" s="58">
        <v>202.6</v>
      </c>
      <c r="BO112" s="58">
        <v>107.8</v>
      </c>
      <c r="BP112" s="58">
        <f>138.559-BO112</f>
        <v>30.759</v>
      </c>
      <c r="BQ112" s="34"/>
      <c r="BR112" s="34"/>
      <c r="BW112" s="58">
        <f>SUM(C112:F112)</f>
        <v>143.9</v>
      </c>
      <c r="BX112" s="58">
        <f>SUM(G112:J112)</f>
        <v>94.3</v>
      </c>
      <c r="BY112" s="58">
        <f>SUM(K112:N112)</f>
        <v>194.6</v>
      </c>
      <c r="BZ112" s="58">
        <f>SUM(O112:R112)</f>
        <v>231.29999999999998</v>
      </c>
      <c r="CA112" s="58">
        <f>SUM(S112:V112)</f>
        <v>290.10000000000002</v>
      </c>
      <c r="CB112" s="58">
        <f>SUM(W112:Z112)</f>
        <v>303.5</v>
      </c>
      <c r="CC112" s="58">
        <f>SUM(AA112:AD112)</f>
        <v>410.6</v>
      </c>
      <c r="CD112" s="58">
        <f>SUM(AE112:AH112)</f>
        <v>426.29999999999995</v>
      </c>
      <c r="CE112" s="58">
        <f>SUM(AI112:AL112)</f>
        <v>435</v>
      </c>
      <c r="CF112" s="58">
        <f>SUM(AM112:AP112)</f>
        <v>437.1</v>
      </c>
      <c r="CG112" s="58">
        <f>SUM(AQ112:AT112)</f>
        <v>437.2</v>
      </c>
      <c r="CH112" s="58">
        <f>SUM(AU112:AX112)</f>
        <v>652.20000000000005</v>
      </c>
      <c r="CI112" s="58">
        <f>SUM(AY112:BB112)</f>
        <v>342.9</v>
      </c>
      <c r="CJ112" s="58">
        <f>SUM(BC112:BF112)</f>
        <v>511.59999999999997</v>
      </c>
      <c r="CK112" s="58">
        <f>SUM(BG112:BJ112)</f>
        <v>638.20000000000005</v>
      </c>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row>
    <row r="113" spans="2:151">
      <c r="B113" s="1" t="s">
        <v>135</v>
      </c>
      <c r="C113" s="57">
        <v>-6.7370000000000001</v>
      </c>
      <c r="D113" s="57">
        <v>-6.9</v>
      </c>
      <c r="E113" s="57">
        <v>-7.6</v>
      </c>
      <c r="F113" s="57">
        <v>-8.0670000000000002</v>
      </c>
      <c r="G113" s="57">
        <v>-5.89</v>
      </c>
      <c r="H113" s="57">
        <v>-9.24</v>
      </c>
      <c r="I113" s="57">
        <v>-12.17</v>
      </c>
      <c r="J113" s="57">
        <v>-17.27</v>
      </c>
      <c r="K113" s="57">
        <v>-13.3</v>
      </c>
      <c r="L113" s="57">
        <v>-15.563000000000001</v>
      </c>
      <c r="M113" s="57">
        <v>-17.190000000000001</v>
      </c>
      <c r="N113" s="57">
        <v>-19.3</v>
      </c>
      <c r="O113" s="57">
        <v>-15.63</v>
      </c>
      <c r="P113" s="57">
        <v>-21.26</v>
      </c>
      <c r="Q113" s="57">
        <v>-17.739999999999998</v>
      </c>
      <c r="R113" s="57">
        <v>-8.94</v>
      </c>
      <c r="S113" s="57">
        <v>-12.1</v>
      </c>
      <c r="T113" s="57">
        <v>-14.602</v>
      </c>
      <c r="U113" s="57">
        <v>-16.25</v>
      </c>
      <c r="V113" s="57">
        <v>-24.6</v>
      </c>
      <c r="W113" s="57">
        <v>-14.4</v>
      </c>
      <c r="X113" s="57">
        <v>-16.899999999999999</v>
      </c>
      <c r="Y113" s="57">
        <v>-13.83</v>
      </c>
      <c r="Z113" s="57">
        <v>-16.29</v>
      </c>
      <c r="AA113" s="57">
        <v>-6.57</v>
      </c>
      <c r="AB113" s="57">
        <v>-8.9700000000000006</v>
      </c>
      <c r="AC113" s="57">
        <v>-10.57</v>
      </c>
      <c r="AD113" s="57">
        <v>-27.01</v>
      </c>
      <c r="AE113" s="57">
        <v>-6.56</v>
      </c>
      <c r="AF113" s="57">
        <v>-23.9</v>
      </c>
      <c r="AG113" s="57">
        <v>-17.100000000000001</v>
      </c>
      <c r="AH113" s="57">
        <v>-23.257999999999999</v>
      </c>
      <c r="AI113" s="57">
        <v>-15.7</v>
      </c>
      <c r="AJ113" s="57">
        <v>-22.3</v>
      </c>
      <c r="AK113" s="57">
        <v>-17.7</v>
      </c>
      <c r="AL113" s="57">
        <v>-25</v>
      </c>
      <c r="AM113" s="57">
        <v>-22.5</v>
      </c>
      <c r="AN113" s="57">
        <v>-32.4</v>
      </c>
      <c r="AO113" s="57">
        <v>-25.7</v>
      </c>
      <c r="AP113" s="57">
        <v>-18.899999999999999</v>
      </c>
      <c r="AQ113" s="57">
        <v>-19.7</v>
      </c>
      <c r="AR113" s="57">
        <v>-19.399999999999999</v>
      </c>
      <c r="AS113" s="57">
        <v>-23.3</v>
      </c>
      <c r="AT113" s="57">
        <v>-28.3</v>
      </c>
      <c r="AU113" s="57">
        <v>-19.3</v>
      </c>
      <c r="AV113" s="57">
        <v>-17.399999999999999</v>
      </c>
      <c r="AW113" s="57">
        <v>-15.4</v>
      </c>
      <c r="AX113" s="57">
        <v>-19.5</v>
      </c>
      <c r="AY113" s="57">
        <v>-13.1</v>
      </c>
      <c r="AZ113" s="57">
        <v>-19.36</v>
      </c>
      <c r="BA113" s="57">
        <v>-7.76</v>
      </c>
      <c r="BB113" s="57">
        <v>-38.97</v>
      </c>
      <c r="BC113" s="57">
        <v>-21.8</v>
      </c>
      <c r="BD113" s="57">
        <v>-17.5</v>
      </c>
      <c r="BE113" s="57">
        <v>-24.4</v>
      </c>
      <c r="BF113" s="57">
        <v>-27.7</v>
      </c>
      <c r="BG113" s="57">
        <v>-38.4</v>
      </c>
      <c r="BH113" s="57">
        <v>-34.799999999999997</v>
      </c>
      <c r="BI113" s="57">
        <v>-21.2</v>
      </c>
      <c r="BJ113" s="57">
        <v>-32</v>
      </c>
      <c r="BK113" s="57">
        <v>-30</v>
      </c>
      <c r="BL113" s="57">
        <v>-34.6</v>
      </c>
      <c r="BM113" s="57">
        <v>-29.9</v>
      </c>
      <c r="BN113" s="57">
        <v>-32</v>
      </c>
      <c r="BO113" s="57">
        <v>-29.9</v>
      </c>
      <c r="BP113" s="57">
        <f>-32.82-BO113</f>
        <v>-2.9200000000000017</v>
      </c>
      <c r="BW113" s="57">
        <f>SUM(C113:F113)</f>
        <v>-29.304000000000002</v>
      </c>
      <c r="BX113" s="57">
        <f>SUM(G113:J113)</f>
        <v>-44.569999999999993</v>
      </c>
      <c r="BY113" s="57">
        <f>SUM(K113:N113)</f>
        <v>-65.352999999999994</v>
      </c>
      <c r="BZ113" s="57">
        <f>SUM(O113:R113)</f>
        <v>-63.569999999999993</v>
      </c>
      <c r="CA113" s="57">
        <f>SUM(S113:V113)</f>
        <v>-67.551999999999992</v>
      </c>
      <c r="CB113" s="57">
        <f>SUM(W113:Z113)</f>
        <v>-61.419999999999995</v>
      </c>
      <c r="CC113" s="57">
        <f>SUM(AA113:AD113)</f>
        <v>-53.120000000000005</v>
      </c>
      <c r="CD113" s="57">
        <f>SUM(AE113:AH113)</f>
        <v>-70.817999999999998</v>
      </c>
      <c r="CE113" s="57">
        <f>SUM(AI113:AL113)</f>
        <v>-80.7</v>
      </c>
      <c r="CF113" s="57">
        <f>SUM(AM113:AP113)</f>
        <v>-99.5</v>
      </c>
      <c r="CG113" s="57">
        <f>SUM(AQ113:AT113)</f>
        <v>-90.699999999999989</v>
      </c>
      <c r="CH113" s="57">
        <f>SUM(AU113:AX113)</f>
        <v>-71.599999999999994</v>
      </c>
      <c r="CI113" s="57">
        <f>SUM(AY113:BB113)</f>
        <v>-79.19</v>
      </c>
      <c r="CJ113" s="57">
        <f>SUM(BC113:BF113)</f>
        <v>-91.399999999999991</v>
      </c>
      <c r="CK113" s="57">
        <f>SUM(BG113:BJ113)</f>
        <v>-126.39999999999999</v>
      </c>
    </row>
    <row r="114" spans="2:151" s="2" customFormat="1" ht="15">
      <c r="B114" s="2" t="s">
        <v>136</v>
      </c>
      <c r="C114" s="58">
        <f t="shared" ref="C114:BK114" si="153">C112+C113</f>
        <v>27.662999999999997</v>
      </c>
      <c r="D114" s="58">
        <f t="shared" si="153"/>
        <v>38.5</v>
      </c>
      <c r="E114" s="58">
        <f t="shared" si="153"/>
        <v>16.5</v>
      </c>
      <c r="F114" s="58">
        <f t="shared" si="153"/>
        <v>31.933</v>
      </c>
      <c r="G114" s="58">
        <f t="shared" si="153"/>
        <v>1.4100000000000001</v>
      </c>
      <c r="H114" s="58">
        <f t="shared" si="153"/>
        <v>21.259999999999998</v>
      </c>
      <c r="I114" s="58">
        <f t="shared" si="153"/>
        <v>10.229999999999999</v>
      </c>
      <c r="J114" s="58">
        <f t="shared" si="153"/>
        <v>16.830000000000002</v>
      </c>
      <c r="K114" s="58">
        <f t="shared" si="153"/>
        <v>13</v>
      </c>
      <c r="L114" s="58">
        <f t="shared" si="153"/>
        <v>47.336999999999996</v>
      </c>
      <c r="M114" s="58">
        <f t="shared" si="153"/>
        <v>32.709999999999994</v>
      </c>
      <c r="N114" s="58">
        <f t="shared" si="153"/>
        <v>36.200000000000003</v>
      </c>
      <c r="O114" s="58">
        <f t="shared" si="153"/>
        <v>-10.330000000000002</v>
      </c>
      <c r="P114" s="58">
        <f t="shared" si="153"/>
        <v>29.74</v>
      </c>
      <c r="Q114" s="58">
        <f t="shared" si="153"/>
        <v>61.86</v>
      </c>
      <c r="R114" s="58">
        <f t="shared" si="153"/>
        <v>86.460000000000008</v>
      </c>
      <c r="S114" s="58">
        <f t="shared" si="153"/>
        <v>29.799999999999997</v>
      </c>
      <c r="T114" s="58">
        <f t="shared" si="153"/>
        <v>63.597999999999999</v>
      </c>
      <c r="U114" s="58">
        <f t="shared" si="153"/>
        <v>72.349999999999994</v>
      </c>
      <c r="V114" s="58">
        <f t="shared" si="153"/>
        <v>56.800000000000004</v>
      </c>
      <c r="W114" s="58">
        <f t="shared" si="153"/>
        <v>28</v>
      </c>
      <c r="X114" s="58">
        <f t="shared" si="153"/>
        <v>50.300000000000004</v>
      </c>
      <c r="Y114" s="58">
        <f t="shared" si="153"/>
        <v>53.370000000000005</v>
      </c>
      <c r="Z114" s="58">
        <f t="shared" si="153"/>
        <v>110.41</v>
      </c>
      <c r="AA114" s="58">
        <f t="shared" si="153"/>
        <v>60.23</v>
      </c>
      <c r="AB114" s="58">
        <f t="shared" si="153"/>
        <v>105.73</v>
      </c>
      <c r="AC114" s="58">
        <f t="shared" si="153"/>
        <v>109.53</v>
      </c>
      <c r="AD114" s="58">
        <f t="shared" si="153"/>
        <v>81.99</v>
      </c>
      <c r="AE114" s="58">
        <f t="shared" si="153"/>
        <v>84.34</v>
      </c>
      <c r="AF114" s="58">
        <f t="shared" si="153"/>
        <v>82.9</v>
      </c>
      <c r="AG114" s="58">
        <f t="shared" si="153"/>
        <v>104.9</v>
      </c>
      <c r="AH114" s="58">
        <f t="shared" si="153"/>
        <v>83.341999999999999</v>
      </c>
      <c r="AI114" s="58">
        <f t="shared" si="153"/>
        <v>71.099999999999994</v>
      </c>
      <c r="AJ114" s="58">
        <f t="shared" si="153"/>
        <v>72.400000000000006</v>
      </c>
      <c r="AK114" s="58">
        <f t="shared" si="153"/>
        <v>103.7</v>
      </c>
      <c r="AL114" s="58">
        <f t="shared" si="153"/>
        <v>107.1</v>
      </c>
      <c r="AM114" s="58">
        <f t="shared" si="153"/>
        <v>37.700000000000003</v>
      </c>
      <c r="AN114" s="58">
        <f t="shared" si="153"/>
        <v>64.699999999999989</v>
      </c>
      <c r="AO114" s="58">
        <f t="shared" si="153"/>
        <v>106.2</v>
      </c>
      <c r="AP114" s="58">
        <f t="shared" si="153"/>
        <v>129</v>
      </c>
      <c r="AQ114" s="58">
        <f t="shared" si="153"/>
        <v>-31.2</v>
      </c>
      <c r="AR114" s="58">
        <f t="shared" si="153"/>
        <v>126.1</v>
      </c>
      <c r="AS114" s="58">
        <f t="shared" si="153"/>
        <v>84.2</v>
      </c>
      <c r="AT114" s="58">
        <f t="shared" si="153"/>
        <v>167.39999999999998</v>
      </c>
      <c r="AU114" s="58">
        <f t="shared" si="153"/>
        <v>91.5</v>
      </c>
      <c r="AV114" s="58">
        <f t="shared" si="153"/>
        <v>136.9</v>
      </c>
      <c r="AW114" s="58">
        <f t="shared" si="153"/>
        <v>170</v>
      </c>
      <c r="AX114" s="58">
        <f t="shared" si="153"/>
        <v>182.2</v>
      </c>
      <c r="AY114" s="58">
        <f t="shared" si="153"/>
        <v>49</v>
      </c>
      <c r="AZ114" s="58">
        <f t="shared" si="153"/>
        <v>20.439999999999998</v>
      </c>
      <c r="BA114" s="58">
        <f t="shared" si="153"/>
        <v>134.84</v>
      </c>
      <c r="BB114" s="58">
        <f t="shared" si="153"/>
        <v>59.430000000000007</v>
      </c>
      <c r="BC114" s="58">
        <f t="shared" si="153"/>
        <v>62.5</v>
      </c>
      <c r="BD114" s="58">
        <f t="shared" si="153"/>
        <v>68.8</v>
      </c>
      <c r="BE114" s="58">
        <f t="shared" si="153"/>
        <v>177.29999999999998</v>
      </c>
      <c r="BF114" s="58">
        <f t="shared" si="153"/>
        <v>111.60000000000001</v>
      </c>
      <c r="BG114" s="58">
        <f t="shared" si="153"/>
        <v>74.400000000000006</v>
      </c>
      <c r="BH114" s="58">
        <f t="shared" si="153"/>
        <v>56.900000000000006</v>
      </c>
      <c r="BI114" s="58">
        <f t="shared" si="153"/>
        <v>209.9</v>
      </c>
      <c r="BJ114" s="58">
        <f t="shared" si="153"/>
        <v>170.6</v>
      </c>
      <c r="BK114" s="58">
        <f t="shared" si="153"/>
        <v>43.3</v>
      </c>
      <c r="BL114" s="58">
        <f>BL112+BL113</f>
        <v>-26.8</v>
      </c>
      <c r="BM114" s="58">
        <f>BM112+BM113</f>
        <v>77.900000000000006</v>
      </c>
      <c r="BN114" s="58">
        <f t="shared" ref="BN114" si="154">BN112+BN113</f>
        <v>170.6</v>
      </c>
      <c r="BO114" s="58">
        <f>BO112+BO113</f>
        <v>77.900000000000006</v>
      </c>
      <c r="BP114" s="58">
        <f>BP112+BP113</f>
        <v>27.838999999999999</v>
      </c>
      <c r="BQ114" s="34"/>
      <c r="BR114" s="34"/>
      <c r="BW114" s="58">
        <f t="shared" ref="BW114:CJ114" si="155">BW112+BW113</f>
        <v>114.596</v>
      </c>
      <c r="BX114" s="58">
        <f t="shared" si="155"/>
        <v>49.730000000000004</v>
      </c>
      <c r="BY114" s="58">
        <f t="shared" si="155"/>
        <v>129.24700000000001</v>
      </c>
      <c r="BZ114" s="58">
        <f t="shared" si="155"/>
        <v>167.73</v>
      </c>
      <c r="CA114" s="58">
        <f t="shared" si="155"/>
        <v>222.54800000000003</v>
      </c>
      <c r="CB114" s="58">
        <f t="shared" si="155"/>
        <v>242.08</v>
      </c>
      <c r="CC114" s="58">
        <f t="shared" si="155"/>
        <v>357.48</v>
      </c>
      <c r="CD114" s="58">
        <f t="shared" si="155"/>
        <v>355.48199999999997</v>
      </c>
      <c r="CE114" s="58">
        <f t="shared" si="155"/>
        <v>354.3</v>
      </c>
      <c r="CF114" s="58">
        <f t="shared" si="155"/>
        <v>337.6</v>
      </c>
      <c r="CG114" s="58">
        <f t="shared" si="155"/>
        <v>346.5</v>
      </c>
      <c r="CH114" s="58">
        <f t="shared" si="155"/>
        <v>580.6</v>
      </c>
      <c r="CI114" s="58">
        <f t="shared" si="155"/>
        <v>263.70999999999998</v>
      </c>
      <c r="CJ114" s="58">
        <f t="shared" si="155"/>
        <v>420.2</v>
      </c>
      <c r="CK114" s="58">
        <f>CK112+CK113</f>
        <v>511.80000000000007</v>
      </c>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row>
    <row r="115" spans="2:151">
      <c r="B115" s="1" t="s">
        <v>137</v>
      </c>
      <c r="C115" s="57">
        <f t="shared" ref="C115:BK115" si="156">C60</f>
        <v>40</v>
      </c>
      <c r="D115" s="57">
        <f t="shared" si="156"/>
        <v>40</v>
      </c>
      <c r="E115" s="57">
        <f t="shared" si="156"/>
        <v>40</v>
      </c>
      <c r="F115" s="57">
        <f t="shared" si="156"/>
        <v>40</v>
      </c>
      <c r="G115" s="57">
        <f t="shared" si="156"/>
        <v>40</v>
      </c>
      <c r="H115" s="57">
        <f t="shared" si="156"/>
        <v>41</v>
      </c>
      <c r="I115" s="57">
        <f t="shared" si="156"/>
        <v>41</v>
      </c>
      <c r="J115" s="57">
        <f t="shared" si="156"/>
        <v>41</v>
      </c>
      <c r="K115" s="57">
        <f t="shared" si="156"/>
        <v>41</v>
      </c>
      <c r="L115" s="57">
        <f t="shared" si="156"/>
        <v>41</v>
      </c>
      <c r="M115" s="57">
        <f t="shared" si="156"/>
        <v>41</v>
      </c>
      <c r="N115" s="57">
        <f t="shared" si="156"/>
        <v>41</v>
      </c>
      <c r="O115" s="57">
        <f t="shared" si="156"/>
        <v>41</v>
      </c>
      <c r="P115" s="57">
        <f t="shared" si="156"/>
        <v>41</v>
      </c>
      <c r="Q115" s="57">
        <f t="shared" si="156"/>
        <v>41</v>
      </c>
      <c r="R115" s="57">
        <f t="shared" si="156"/>
        <v>41</v>
      </c>
      <c r="S115" s="57">
        <f t="shared" si="156"/>
        <v>41</v>
      </c>
      <c r="T115" s="57">
        <f t="shared" si="156"/>
        <v>41</v>
      </c>
      <c r="U115" s="57">
        <f t="shared" si="156"/>
        <v>41</v>
      </c>
      <c r="V115" s="57">
        <f t="shared" si="156"/>
        <v>41</v>
      </c>
      <c r="W115" s="57">
        <f t="shared" si="156"/>
        <v>41</v>
      </c>
      <c r="X115" s="57">
        <f t="shared" si="156"/>
        <v>42</v>
      </c>
      <c r="Y115" s="57">
        <f t="shared" si="156"/>
        <v>42</v>
      </c>
      <c r="Z115" s="57">
        <f t="shared" si="156"/>
        <v>42</v>
      </c>
      <c r="AA115" s="57">
        <f t="shared" si="156"/>
        <v>42</v>
      </c>
      <c r="AB115" s="57">
        <f t="shared" si="156"/>
        <v>44</v>
      </c>
      <c r="AC115" s="57">
        <f t="shared" si="156"/>
        <v>44</v>
      </c>
      <c r="AD115" s="57">
        <f t="shared" si="156"/>
        <v>43</v>
      </c>
      <c r="AE115" s="57">
        <f t="shared" si="156"/>
        <v>45</v>
      </c>
      <c r="AF115" s="57">
        <f t="shared" si="156"/>
        <v>45</v>
      </c>
      <c r="AG115" s="57">
        <f t="shared" si="156"/>
        <v>45</v>
      </c>
      <c r="AH115" s="57">
        <f t="shared" si="156"/>
        <v>45</v>
      </c>
      <c r="AI115" s="57">
        <f t="shared" si="156"/>
        <v>45</v>
      </c>
      <c r="AJ115" s="57">
        <f t="shared" si="156"/>
        <v>46</v>
      </c>
      <c r="AK115" s="57">
        <f t="shared" si="156"/>
        <v>46</v>
      </c>
      <c r="AL115" s="57">
        <f t="shared" si="156"/>
        <v>46</v>
      </c>
      <c r="AM115" s="57">
        <f t="shared" si="156"/>
        <v>46</v>
      </c>
      <c r="AN115" s="57">
        <f t="shared" si="156"/>
        <v>46</v>
      </c>
      <c r="AO115" s="57">
        <f t="shared" si="156"/>
        <v>46</v>
      </c>
      <c r="AP115" s="57">
        <f t="shared" si="156"/>
        <v>46</v>
      </c>
      <c r="AQ115" s="57">
        <f t="shared" si="156"/>
        <v>46.381999999999998</v>
      </c>
      <c r="AR115" s="57">
        <f t="shared" si="156"/>
        <v>46.442</v>
      </c>
      <c r="AS115" s="57">
        <f t="shared" si="156"/>
        <v>46.53</v>
      </c>
      <c r="AT115" s="57">
        <f t="shared" si="156"/>
        <v>335.32400000000001</v>
      </c>
      <c r="AU115" s="57">
        <f t="shared" si="156"/>
        <v>46.698</v>
      </c>
      <c r="AV115" s="57">
        <f t="shared" si="156"/>
        <v>46.741</v>
      </c>
      <c r="AW115" s="57">
        <f t="shared" si="156"/>
        <v>46.81</v>
      </c>
      <c r="AX115" s="57">
        <f t="shared" si="156"/>
        <v>46.77</v>
      </c>
      <c r="AY115" s="57">
        <f t="shared" si="156"/>
        <v>46.875999999999998</v>
      </c>
      <c r="AZ115" s="57">
        <f t="shared" si="156"/>
        <v>46.901000000000003</v>
      </c>
      <c r="BA115" s="57">
        <f t="shared" si="156"/>
        <v>46.905999999999999</v>
      </c>
      <c r="BB115" s="57">
        <f t="shared" si="156"/>
        <v>46.898000000000003</v>
      </c>
      <c r="BC115" s="57">
        <f t="shared" si="156"/>
        <v>46.948999999999998</v>
      </c>
      <c r="BD115" s="57">
        <f t="shared" si="156"/>
        <v>46.981000000000002</v>
      </c>
      <c r="BE115" s="57">
        <f t="shared" si="156"/>
        <v>46.991999999999997</v>
      </c>
      <c r="BF115" s="57">
        <f t="shared" si="156"/>
        <v>46.981000000000002</v>
      </c>
      <c r="BG115" s="57">
        <f t="shared" si="156"/>
        <v>47.067999999999998</v>
      </c>
      <c r="BH115" s="57">
        <f t="shared" si="156"/>
        <v>47.151000000000003</v>
      </c>
      <c r="BI115" s="57">
        <f t="shared" si="156"/>
        <v>46.723999999999997</v>
      </c>
      <c r="BJ115" s="57">
        <f t="shared" si="156"/>
        <v>46.837000000000003</v>
      </c>
      <c r="BK115" s="57">
        <f t="shared" si="156"/>
        <v>45.781999999999996</v>
      </c>
      <c r="BL115" s="57">
        <f>BL60</f>
        <v>44.268999999999998</v>
      </c>
      <c r="BM115" s="57">
        <f>BM60</f>
        <v>44.237000000000002</v>
      </c>
      <c r="BN115" s="57">
        <f t="shared" ref="BN115" si="157">BN60</f>
        <v>46.837000000000003</v>
      </c>
      <c r="BO115" s="57">
        <f>BO60</f>
        <v>44.256999999999998</v>
      </c>
      <c r="BP115" s="57">
        <f>BP60</f>
        <v>43.56</v>
      </c>
      <c r="BW115" s="57">
        <f t="shared" ref="BW115:CJ115" si="158">BW60</f>
        <v>40</v>
      </c>
      <c r="BX115" s="57">
        <f t="shared" si="158"/>
        <v>40.75</v>
      </c>
      <c r="BY115" s="57">
        <f t="shared" si="158"/>
        <v>41</v>
      </c>
      <c r="BZ115" s="57">
        <f t="shared" si="158"/>
        <v>41</v>
      </c>
      <c r="CA115" s="57">
        <f t="shared" si="158"/>
        <v>41</v>
      </c>
      <c r="CB115" s="57">
        <f t="shared" si="158"/>
        <v>41.75</v>
      </c>
      <c r="CC115" s="57">
        <f t="shared" si="158"/>
        <v>43.25</v>
      </c>
      <c r="CD115" s="57">
        <f t="shared" si="158"/>
        <v>45</v>
      </c>
      <c r="CE115" s="57">
        <f t="shared" si="158"/>
        <v>45.75</v>
      </c>
      <c r="CF115" s="57">
        <f t="shared" si="158"/>
        <v>46</v>
      </c>
      <c r="CG115" s="57">
        <f t="shared" si="158"/>
        <v>118.6695</v>
      </c>
      <c r="CH115" s="57">
        <f t="shared" si="158"/>
        <v>46.754750000000001</v>
      </c>
      <c r="CI115" s="57">
        <f t="shared" si="158"/>
        <v>46.895249999999997</v>
      </c>
      <c r="CJ115" s="57">
        <f t="shared" si="158"/>
        <v>46.975749999999998</v>
      </c>
      <c r="CK115" s="57">
        <f>CK60</f>
        <v>46.944999999999993</v>
      </c>
    </row>
    <row r="116" spans="2:151">
      <c r="B116" s="1" t="s">
        <v>138</v>
      </c>
      <c r="C116" s="62">
        <f t="shared" ref="C116:BJ116" si="159">C114/C115</f>
        <v>0.69157499999999994</v>
      </c>
      <c r="D116" s="62">
        <f t="shared" si="159"/>
        <v>0.96250000000000002</v>
      </c>
      <c r="E116" s="62">
        <f t="shared" si="159"/>
        <v>0.41249999999999998</v>
      </c>
      <c r="F116" s="62">
        <f t="shared" si="159"/>
        <v>0.79832499999999995</v>
      </c>
      <c r="G116" s="62">
        <f t="shared" si="159"/>
        <v>3.5250000000000004E-2</v>
      </c>
      <c r="H116" s="62">
        <f t="shared" si="159"/>
        <v>0.51853658536585356</v>
      </c>
      <c r="I116" s="62">
        <f t="shared" si="159"/>
        <v>0.24951219512195119</v>
      </c>
      <c r="J116" s="62">
        <f t="shared" si="159"/>
        <v>0.41048780487804881</v>
      </c>
      <c r="K116" s="62">
        <f t="shared" si="159"/>
        <v>0.31707317073170732</v>
      </c>
      <c r="L116" s="62">
        <f t="shared" si="159"/>
        <v>1.1545609756097559</v>
      </c>
      <c r="M116" s="62">
        <f t="shared" si="159"/>
        <v>0.79780487804878031</v>
      </c>
      <c r="N116" s="62">
        <f t="shared" si="159"/>
        <v>0.8829268292682928</v>
      </c>
      <c r="O116" s="62">
        <f t="shared" si="159"/>
        <v>-0.25195121951219518</v>
      </c>
      <c r="P116" s="62">
        <f t="shared" si="159"/>
        <v>0.72536585365853656</v>
      </c>
      <c r="Q116" s="62">
        <f t="shared" si="159"/>
        <v>1.5087804878048781</v>
      </c>
      <c r="R116" s="62">
        <f t="shared" si="159"/>
        <v>2.1087804878048781</v>
      </c>
      <c r="S116" s="62">
        <f t="shared" si="159"/>
        <v>0.72682926829268291</v>
      </c>
      <c r="T116" s="62">
        <f t="shared" si="159"/>
        <v>1.5511707317073171</v>
      </c>
      <c r="U116" s="62">
        <f t="shared" si="159"/>
        <v>1.7646341463414632</v>
      </c>
      <c r="V116" s="62">
        <f t="shared" si="159"/>
        <v>1.3853658536585367</v>
      </c>
      <c r="W116" s="62">
        <f t="shared" si="159"/>
        <v>0.68292682926829273</v>
      </c>
      <c r="X116" s="62">
        <f t="shared" si="159"/>
        <v>1.1976190476190478</v>
      </c>
      <c r="Y116" s="62">
        <f t="shared" si="159"/>
        <v>1.2707142857142859</v>
      </c>
      <c r="Z116" s="62">
        <f t="shared" si="159"/>
        <v>2.6288095238095237</v>
      </c>
      <c r="AA116" s="62">
        <f t="shared" si="159"/>
        <v>1.434047619047619</v>
      </c>
      <c r="AB116" s="62">
        <f t="shared" si="159"/>
        <v>2.4029545454545453</v>
      </c>
      <c r="AC116" s="62">
        <f t="shared" si="159"/>
        <v>2.4893181818181818</v>
      </c>
      <c r="AD116" s="62">
        <f t="shared" si="159"/>
        <v>1.9067441860465115</v>
      </c>
      <c r="AE116" s="62">
        <f t="shared" si="159"/>
        <v>1.8742222222222222</v>
      </c>
      <c r="AF116" s="62">
        <f t="shared" si="159"/>
        <v>1.8422222222222224</v>
      </c>
      <c r="AG116" s="62">
        <f t="shared" si="159"/>
        <v>2.3311111111111114</v>
      </c>
      <c r="AH116" s="62">
        <f t="shared" si="159"/>
        <v>1.8520444444444444</v>
      </c>
      <c r="AI116" s="62">
        <f t="shared" si="159"/>
        <v>1.5799999999999998</v>
      </c>
      <c r="AJ116" s="62">
        <f t="shared" si="159"/>
        <v>1.5739130434782609</v>
      </c>
      <c r="AK116" s="62">
        <f t="shared" si="159"/>
        <v>2.2543478260869567</v>
      </c>
      <c r="AL116" s="62">
        <f t="shared" si="159"/>
        <v>2.3282608695652174</v>
      </c>
      <c r="AM116" s="62">
        <f t="shared" si="159"/>
        <v>0.81956521739130439</v>
      </c>
      <c r="AN116" s="62">
        <f t="shared" si="159"/>
        <v>1.4065217391304345</v>
      </c>
      <c r="AO116" s="62">
        <f t="shared" si="159"/>
        <v>2.3086956521739133</v>
      </c>
      <c r="AP116" s="62">
        <f t="shared" si="159"/>
        <v>2.8043478260869565</v>
      </c>
      <c r="AQ116" s="62">
        <f t="shared" si="159"/>
        <v>-0.67267474451295761</v>
      </c>
      <c r="AR116" s="62">
        <f t="shared" si="159"/>
        <v>2.7152146763705267</v>
      </c>
      <c r="AS116" s="62">
        <f t="shared" si="159"/>
        <v>1.8095852138405331</v>
      </c>
      <c r="AT116" s="62">
        <f t="shared" si="159"/>
        <v>0.49921866612589605</v>
      </c>
      <c r="AU116" s="62">
        <f t="shared" si="159"/>
        <v>1.9593986894513684</v>
      </c>
      <c r="AV116" s="62">
        <f t="shared" si="159"/>
        <v>2.9289060995699709</v>
      </c>
      <c r="AW116" s="62">
        <f t="shared" si="159"/>
        <v>3.6317026276436657</v>
      </c>
      <c r="AX116" s="62">
        <f t="shared" si="159"/>
        <v>3.8956596108616628</v>
      </c>
      <c r="AY116" s="62">
        <f t="shared" si="159"/>
        <v>1.0453110333646216</v>
      </c>
      <c r="AZ116" s="62">
        <f t="shared" si="159"/>
        <v>0.43581160316411155</v>
      </c>
      <c r="BA116" s="62">
        <f t="shared" si="159"/>
        <v>2.8746855412953569</v>
      </c>
      <c r="BB116" s="62">
        <f t="shared" si="159"/>
        <v>1.2672182182609066</v>
      </c>
      <c r="BC116" s="62">
        <f t="shared" si="159"/>
        <v>1.3312317621248591</v>
      </c>
      <c r="BD116" s="62">
        <f t="shared" si="159"/>
        <v>1.4644217875311294</v>
      </c>
      <c r="BE116" s="62">
        <f t="shared" si="159"/>
        <v>3.7729826353421858</v>
      </c>
      <c r="BF116" s="62">
        <f t="shared" si="159"/>
        <v>2.3754283646580534</v>
      </c>
      <c r="BG116" s="62">
        <f t="shared" si="159"/>
        <v>1.5806917651058046</v>
      </c>
      <c r="BH116" s="62">
        <f t="shared" si="159"/>
        <v>1.206761256389048</v>
      </c>
      <c r="BI116" s="62">
        <f t="shared" si="159"/>
        <v>4.492337984761579</v>
      </c>
      <c r="BJ116" s="62">
        <f t="shared" si="159"/>
        <v>3.6424194547046134</v>
      </c>
      <c r="BK116" s="62">
        <f>BK114/BK115</f>
        <v>0.94578655366738018</v>
      </c>
      <c r="BL116" s="62">
        <f>BL114/BL115</f>
        <v>-0.60538977614131784</v>
      </c>
      <c r="BM116" s="62">
        <f>BM114/BM115</f>
        <v>1.7609693243212696</v>
      </c>
      <c r="BN116" s="62">
        <f t="shared" ref="BN116" si="160">BN114/BN115</f>
        <v>3.6424194547046134</v>
      </c>
      <c r="BO116" s="62">
        <f>BO114/BO115</f>
        <v>1.7601735318706648</v>
      </c>
      <c r="BP116" s="62">
        <f>BP114/BP115</f>
        <v>0.63909550045913677</v>
      </c>
      <c r="BW116" s="39">
        <f>SUM(C116:F116)</f>
        <v>2.8648999999999996</v>
      </c>
      <c r="BX116" s="39">
        <f>SUM(G116:J116)</f>
        <v>1.2137865853658536</v>
      </c>
      <c r="BY116" s="39">
        <f>SUM(K116:N116)</f>
        <v>3.1523658536585364</v>
      </c>
      <c r="BZ116" s="39">
        <f>SUM(O116:R116)</f>
        <v>4.0909756097560974</v>
      </c>
      <c r="CA116" s="39">
        <f>SUM(S116:V116)</f>
        <v>5.4279999999999999</v>
      </c>
      <c r="CB116" s="39">
        <f>SUM(W116:Z116)</f>
        <v>5.7800696864111503</v>
      </c>
      <c r="CC116" s="39">
        <f>SUM(AA116:AD116)</f>
        <v>8.233064532366857</v>
      </c>
      <c r="CD116" s="39">
        <f>SUM(AE116:AH116)</f>
        <v>7.8996000000000004</v>
      </c>
      <c r="CE116" s="39">
        <f>SUM(AI116:AL116)</f>
        <v>7.7365217391304348</v>
      </c>
      <c r="CF116" s="39">
        <f>SUM(AM116:AP116)</f>
        <v>7.339130434782609</v>
      </c>
      <c r="CG116" s="39">
        <f>SUM(AQ116:AT116)</f>
        <v>4.3513438118239982</v>
      </c>
      <c r="CH116" s="39">
        <f>SUM(AU116:AX116)</f>
        <v>12.41566702752667</v>
      </c>
      <c r="CI116" s="39">
        <f>SUM(AY116:BB116)</f>
        <v>5.6230263960849971</v>
      </c>
      <c r="CJ116" s="39">
        <f>SUM(BC116:BF116)</f>
        <v>8.944064549656229</v>
      </c>
      <c r="CK116" s="39">
        <f>SUM(BG116:BJ116)</f>
        <v>10.922210460961045</v>
      </c>
    </row>
  </sheetData>
  <mergeCells count="1">
    <mergeCell ref="CT84:CU84"/>
  </mergeCells>
  <conditionalFormatting sqref="CT84:CU84">
    <cfRule type="colorScale" priority="7">
      <colorScale>
        <cfvo type="min"/>
        <cfvo type="percentile" val="50"/>
        <cfvo type="max"/>
        <color rgb="FFF8696B"/>
        <color rgb="FFFCFCFF"/>
        <color rgb="FF63BE7B"/>
      </colorScale>
    </cfRule>
    <cfRule type="containsText" dxfId="9" priority="8" operator="containsText" text="Strong Sell">
      <formula>NOT(ISERROR(SEARCH("Strong Sell",CT84)))</formula>
    </cfRule>
    <cfRule type="containsText" dxfId="8" priority="9" operator="containsText" text="Sell">
      <formula>NOT(ISERROR(SEARCH("Sell",CT84)))</formula>
    </cfRule>
    <cfRule type="containsText" dxfId="7" priority="10" operator="containsText" text="Hold">
      <formula>NOT(ISERROR(SEARCH("Hold",CT84)))</formula>
    </cfRule>
    <cfRule type="beginsWith" dxfId="6" priority="11" operator="beginsWith" text="Buy">
      <formula>LEFT(CT84,LEN("Buy"))="Buy"</formula>
    </cfRule>
    <cfRule type="beginsWith" dxfId="5" priority="12" operator="beginsWith" text="Strong">
      <formula>LEFT(CT84,LEN("Strong"))="Strong"</formula>
    </cfRule>
  </conditionalFormatting>
  <pageMargins left="0.7" right="0.7" top="0.75" bottom="0.75" header="0.3" footer="0.3"/>
  <ignoredErrors>
    <ignoredError sqref="BW44:CK59 BW61:CK61 AT103:BL108 AT45:AT50 AT52:AT58 AT83:BM83 BW112:CK116 BM103:BM107 BN103:BP109" formulaRange="1"/>
    <ignoredError sqref="BW60:CK60 AT51" formula="1" formulaRange="1"/>
    <ignoredError sqref="CM70 BK59 CI6:CL6 BO59"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Z116"/>
  <sheetViews>
    <sheetView tabSelected="1" zoomScale="85" zoomScaleNormal="85" workbookViewId="0">
      <pane xSplit="2" ySplit="3" topLeftCell="CA51" activePane="bottomRight" state="frozen"/>
      <selection pane="topRight" activeCell="C1" sqref="C1"/>
      <selection pane="bottomLeft" activeCell="A4" sqref="A4"/>
      <selection pane="bottomRight" activeCell="CQ19" sqref="CQ19"/>
    </sheetView>
  </sheetViews>
  <sheetFormatPr defaultColWidth="9.140625" defaultRowHeight="14.25"/>
  <cols>
    <col min="1" max="1" width="3.140625" style="1" customWidth="1"/>
    <col min="2" max="2" width="36.42578125" style="1" customWidth="1"/>
    <col min="3" max="51" width="9.140625" style="1"/>
    <col min="52" max="52" width="9.5703125" style="1" bestFit="1" customWidth="1"/>
    <col min="53" max="68" width="9.140625" style="1"/>
    <col min="69" max="70" width="9.140625" style="35"/>
    <col min="71" max="93" width="9.140625" style="1"/>
    <col min="94" max="155" width="9.140625" style="35"/>
    <col min="156" max="16384" width="9.140625" style="1"/>
  </cols>
  <sheetData>
    <row r="1" spans="2:156" ht="15">
      <c r="B1" s="1" t="s">
        <v>112</v>
      </c>
      <c r="AQ1" s="33" t="s">
        <v>84</v>
      </c>
      <c r="AU1" s="33" t="s">
        <v>88</v>
      </c>
      <c r="AY1" s="33" t="s">
        <v>92</v>
      </c>
      <c r="BC1" s="33" t="s">
        <v>96</v>
      </c>
      <c r="BG1" s="33" t="s">
        <v>100</v>
      </c>
      <c r="BK1" s="33" t="s">
        <v>104</v>
      </c>
      <c r="BO1" s="2" t="s">
        <v>108</v>
      </c>
    </row>
    <row r="2" spans="2:156">
      <c r="B2" s="1" t="s">
        <v>113</v>
      </c>
    </row>
    <row r="3" spans="2:156" ht="15">
      <c r="B3" s="2" t="s">
        <v>114</v>
      </c>
      <c r="C3" s="33" t="s">
        <v>44</v>
      </c>
      <c r="D3" s="33" t="s">
        <v>45</v>
      </c>
      <c r="E3" s="33" t="s">
        <v>46</v>
      </c>
      <c r="F3" s="33" t="s">
        <v>47</v>
      </c>
      <c r="G3" s="33" t="s">
        <v>48</v>
      </c>
      <c r="H3" s="33" t="s">
        <v>49</v>
      </c>
      <c r="I3" s="33" t="s">
        <v>50</v>
      </c>
      <c r="J3" s="33" t="s">
        <v>51</v>
      </c>
      <c r="K3" s="33" t="s">
        <v>52</v>
      </c>
      <c r="L3" s="33" t="s">
        <v>53</v>
      </c>
      <c r="M3" s="33" t="s">
        <v>54</v>
      </c>
      <c r="N3" s="33" t="s">
        <v>55</v>
      </c>
      <c r="O3" s="33" t="s">
        <v>56</v>
      </c>
      <c r="P3" s="33" t="s">
        <v>57</v>
      </c>
      <c r="Q3" s="33" t="s">
        <v>58</v>
      </c>
      <c r="R3" s="33" t="s">
        <v>59</v>
      </c>
      <c r="S3" s="33" t="s">
        <v>60</v>
      </c>
      <c r="T3" s="33" t="s">
        <v>61</v>
      </c>
      <c r="U3" s="33" t="s">
        <v>62</v>
      </c>
      <c r="V3" s="33" t="s">
        <v>63</v>
      </c>
      <c r="W3" s="33" t="s">
        <v>64</v>
      </c>
      <c r="X3" s="33" t="s">
        <v>65</v>
      </c>
      <c r="Y3" s="33" t="s">
        <v>66</v>
      </c>
      <c r="Z3" s="33" t="s">
        <v>67</v>
      </c>
      <c r="AA3" s="33" t="s">
        <v>68</v>
      </c>
      <c r="AB3" s="33" t="s">
        <v>69</v>
      </c>
      <c r="AC3" s="33" t="s">
        <v>70</v>
      </c>
      <c r="AD3" s="33" t="s">
        <v>71</v>
      </c>
      <c r="AE3" s="33" t="s">
        <v>72</v>
      </c>
      <c r="AF3" s="33" t="s">
        <v>73</v>
      </c>
      <c r="AG3" s="33" t="s">
        <v>74</v>
      </c>
      <c r="AH3" s="33" t="s">
        <v>75</v>
      </c>
      <c r="AI3" s="33" t="s">
        <v>76</v>
      </c>
      <c r="AJ3" s="33" t="s">
        <v>77</v>
      </c>
      <c r="AK3" s="33" t="s">
        <v>78</v>
      </c>
      <c r="AL3" s="33" t="s">
        <v>79</v>
      </c>
      <c r="AM3" s="33" t="s">
        <v>80</v>
      </c>
      <c r="AN3" s="33" t="s">
        <v>81</v>
      </c>
      <c r="AO3" s="33" t="s">
        <v>82</v>
      </c>
      <c r="AP3" s="33" t="s">
        <v>83</v>
      </c>
      <c r="AQ3" s="33" t="s">
        <v>84</v>
      </c>
      <c r="AR3" s="33" t="s">
        <v>85</v>
      </c>
      <c r="AS3" s="33" t="s">
        <v>86</v>
      </c>
      <c r="AT3" s="33" t="s">
        <v>87</v>
      </c>
      <c r="AU3" s="33" t="s">
        <v>88</v>
      </c>
      <c r="AV3" s="33" t="s">
        <v>89</v>
      </c>
      <c r="AW3" s="33" t="s">
        <v>90</v>
      </c>
      <c r="AX3" s="33" t="s">
        <v>91</v>
      </c>
      <c r="AY3" s="33" t="s">
        <v>92</v>
      </c>
      <c r="AZ3" s="33" t="s">
        <v>93</v>
      </c>
      <c r="BA3" s="33" t="s">
        <v>94</v>
      </c>
      <c r="BB3" s="33" t="s">
        <v>95</v>
      </c>
      <c r="BC3" s="33" t="s">
        <v>96</v>
      </c>
      <c r="BD3" s="33" t="s">
        <v>97</v>
      </c>
      <c r="BE3" s="33" t="s">
        <v>98</v>
      </c>
      <c r="BF3" s="33" t="s">
        <v>99</v>
      </c>
      <c r="BG3" s="33" t="s">
        <v>100</v>
      </c>
      <c r="BH3" s="33" t="s">
        <v>101</v>
      </c>
      <c r="BI3" s="33" t="s">
        <v>102</v>
      </c>
      <c r="BJ3" s="33" t="s">
        <v>103</v>
      </c>
      <c r="BK3" s="33" t="s">
        <v>104</v>
      </c>
      <c r="BL3" s="2" t="s">
        <v>105</v>
      </c>
      <c r="BM3" s="2" t="s">
        <v>106</v>
      </c>
      <c r="BN3" s="2" t="s">
        <v>107</v>
      </c>
      <c r="BO3" s="2" t="s">
        <v>108</v>
      </c>
      <c r="BP3" s="2" t="s">
        <v>109</v>
      </c>
      <c r="BQ3" s="34" t="s">
        <v>110</v>
      </c>
      <c r="BR3" s="34" t="s">
        <v>111</v>
      </c>
      <c r="CA3" s="2">
        <v>2010</v>
      </c>
      <c r="CB3" s="2">
        <f t="shared" ref="CB3:EL3" si="0">CA3+1</f>
        <v>2011</v>
      </c>
      <c r="CC3" s="2">
        <f t="shared" si="0"/>
        <v>2012</v>
      </c>
      <c r="CD3" s="2">
        <f t="shared" si="0"/>
        <v>2013</v>
      </c>
      <c r="CE3" s="2">
        <f t="shared" si="0"/>
        <v>2014</v>
      </c>
      <c r="CF3" s="2">
        <f t="shared" si="0"/>
        <v>2015</v>
      </c>
      <c r="CG3" s="2">
        <f t="shared" si="0"/>
        <v>2016</v>
      </c>
      <c r="CH3" s="2">
        <f t="shared" si="0"/>
        <v>2017</v>
      </c>
      <c r="CI3" s="2">
        <f t="shared" si="0"/>
        <v>2018</v>
      </c>
      <c r="CJ3" s="2">
        <f t="shared" si="0"/>
        <v>2019</v>
      </c>
      <c r="CK3" s="2">
        <f t="shared" si="0"/>
        <v>2020</v>
      </c>
      <c r="CL3" s="2">
        <f t="shared" si="0"/>
        <v>2021</v>
      </c>
      <c r="CM3" s="2">
        <f t="shared" si="0"/>
        <v>2022</v>
      </c>
      <c r="CN3" s="2">
        <f t="shared" si="0"/>
        <v>2023</v>
      </c>
      <c r="CO3" s="2">
        <f t="shared" si="0"/>
        <v>2024</v>
      </c>
      <c r="CP3" s="34">
        <f t="shared" si="0"/>
        <v>2025</v>
      </c>
      <c r="CQ3" s="34">
        <f t="shared" si="0"/>
        <v>2026</v>
      </c>
      <c r="CR3" s="34">
        <f t="shared" si="0"/>
        <v>2027</v>
      </c>
      <c r="CS3" s="34">
        <f t="shared" si="0"/>
        <v>2028</v>
      </c>
      <c r="CT3" s="34">
        <f t="shared" si="0"/>
        <v>2029</v>
      </c>
      <c r="CU3" s="34">
        <f t="shared" si="0"/>
        <v>2030</v>
      </c>
      <c r="CV3" s="34">
        <f t="shared" si="0"/>
        <v>2031</v>
      </c>
      <c r="CW3" s="34">
        <f t="shared" si="0"/>
        <v>2032</v>
      </c>
      <c r="CX3" s="34">
        <f t="shared" si="0"/>
        <v>2033</v>
      </c>
      <c r="CY3" s="34">
        <f t="shared" si="0"/>
        <v>2034</v>
      </c>
      <c r="CZ3" s="34">
        <f t="shared" si="0"/>
        <v>2035</v>
      </c>
      <c r="DA3" s="34">
        <f t="shared" si="0"/>
        <v>2036</v>
      </c>
      <c r="DB3" s="34">
        <f t="shared" si="0"/>
        <v>2037</v>
      </c>
      <c r="DC3" s="34">
        <f t="shared" si="0"/>
        <v>2038</v>
      </c>
      <c r="DD3" s="34">
        <f t="shared" si="0"/>
        <v>2039</v>
      </c>
      <c r="DE3" s="34">
        <f t="shared" si="0"/>
        <v>2040</v>
      </c>
      <c r="DF3" s="34">
        <f t="shared" si="0"/>
        <v>2041</v>
      </c>
      <c r="DG3" s="34">
        <f t="shared" si="0"/>
        <v>2042</v>
      </c>
      <c r="DH3" s="34">
        <f t="shared" si="0"/>
        <v>2043</v>
      </c>
      <c r="DI3" s="34">
        <f t="shared" si="0"/>
        <v>2044</v>
      </c>
      <c r="DJ3" s="34">
        <f t="shared" si="0"/>
        <v>2045</v>
      </c>
      <c r="DK3" s="34">
        <f t="shared" si="0"/>
        <v>2046</v>
      </c>
      <c r="DL3" s="34">
        <f t="shared" si="0"/>
        <v>2047</v>
      </c>
      <c r="DM3" s="34">
        <f t="shared" si="0"/>
        <v>2048</v>
      </c>
      <c r="DN3" s="34">
        <f t="shared" si="0"/>
        <v>2049</v>
      </c>
      <c r="DO3" s="34">
        <f t="shared" si="0"/>
        <v>2050</v>
      </c>
      <c r="DP3" s="34">
        <f t="shared" si="0"/>
        <v>2051</v>
      </c>
      <c r="DQ3" s="34">
        <f t="shared" si="0"/>
        <v>2052</v>
      </c>
      <c r="DR3" s="34">
        <f t="shared" si="0"/>
        <v>2053</v>
      </c>
      <c r="DS3" s="34">
        <f t="shared" si="0"/>
        <v>2054</v>
      </c>
      <c r="DT3" s="34">
        <f t="shared" si="0"/>
        <v>2055</v>
      </c>
      <c r="DU3" s="34">
        <f t="shared" si="0"/>
        <v>2056</v>
      </c>
      <c r="DV3" s="34">
        <f t="shared" si="0"/>
        <v>2057</v>
      </c>
      <c r="DW3" s="34">
        <f t="shared" si="0"/>
        <v>2058</v>
      </c>
      <c r="DX3" s="34">
        <f t="shared" si="0"/>
        <v>2059</v>
      </c>
      <c r="DY3" s="34">
        <f t="shared" si="0"/>
        <v>2060</v>
      </c>
      <c r="DZ3" s="34">
        <f t="shared" si="0"/>
        <v>2061</v>
      </c>
      <c r="EA3" s="34">
        <f t="shared" si="0"/>
        <v>2062</v>
      </c>
      <c r="EB3" s="34">
        <f t="shared" si="0"/>
        <v>2063</v>
      </c>
      <c r="EC3" s="34">
        <f t="shared" si="0"/>
        <v>2064</v>
      </c>
      <c r="ED3" s="34">
        <f t="shared" si="0"/>
        <v>2065</v>
      </c>
      <c r="EE3" s="34">
        <f t="shared" si="0"/>
        <v>2066</v>
      </c>
      <c r="EF3" s="34">
        <f t="shared" si="0"/>
        <v>2067</v>
      </c>
      <c r="EG3" s="34">
        <f t="shared" si="0"/>
        <v>2068</v>
      </c>
      <c r="EH3" s="34">
        <f t="shared" si="0"/>
        <v>2069</v>
      </c>
      <c r="EI3" s="34">
        <f t="shared" si="0"/>
        <v>2070</v>
      </c>
      <c r="EJ3" s="34">
        <f t="shared" si="0"/>
        <v>2071</v>
      </c>
      <c r="EK3" s="34">
        <f t="shared" si="0"/>
        <v>2072</v>
      </c>
      <c r="EL3" s="34">
        <f t="shared" si="0"/>
        <v>2073</v>
      </c>
      <c r="EM3" s="34">
        <f t="shared" ref="EM3:EW3" si="1">EL3+1</f>
        <v>2074</v>
      </c>
      <c r="EN3" s="34">
        <f t="shared" si="1"/>
        <v>2075</v>
      </c>
      <c r="EO3" s="34">
        <f t="shared" si="1"/>
        <v>2076</v>
      </c>
      <c r="EP3" s="34">
        <f t="shared" si="1"/>
        <v>2077</v>
      </c>
      <c r="EQ3" s="34">
        <f t="shared" si="1"/>
        <v>2078</v>
      </c>
      <c r="ER3" s="34">
        <f t="shared" si="1"/>
        <v>2079</v>
      </c>
      <c r="ES3" s="34">
        <f t="shared" si="1"/>
        <v>2080</v>
      </c>
      <c r="ET3" s="34">
        <f t="shared" si="1"/>
        <v>2081</v>
      </c>
      <c r="EU3" s="34">
        <f t="shared" si="1"/>
        <v>2082</v>
      </c>
      <c r="EV3" s="34">
        <f t="shared" si="1"/>
        <v>2083</v>
      </c>
      <c r="EW3" s="34">
        <f t="shared" si="1"/>
        <v>2084</v>
      </c>
      <c r="EX3" s="34"/>
      <c r="EY3" s="34"/>
      <c r="EZ3" s="2"/>
    </row>
    <row r="4" spans="2:156">
      <c r="B4" s="36" t="s">
        <v>947</v>
      </c>
      <c r="AQ4" s="57">
        <v>150.25</v>
      </c>
      <c r="AR4" s="57">
        <v>164.958</v>
      </c>
      <c r="AS4" s="57">
        <v>160.05000000000001</v>
      </c>
      <c r="AT4" s="57">
        <f>657.703-SUM(AQ4:AS4)</f>
        <v>182.44499999999999</v>
      </c>
      <c r="AU4" s="57">
        <v>163.97</v>
      </c>
      <c r="AV4" s="57">
        <v>167.73</v>
      </c>
      <c r="AW4" s="57">
        <v>175.47</v>
      </c>
      <c r="AX4" s="57">
        <f>700.24-SUM(AU4:AW4)</f>
        <v>193.07000000000005</v>
      </c>
      <c r="AY4" s="57">
        <v>166.13</v>
      </c>
      <c r="AZ4" s="57">
        <v>163.9</v>
      </c>
      <c r="BA4" s="57">
        <v>167.14</v>
      </c>
      <c r="BB4" s="57">
        <f>683.612-SUM(AY4:BA4)</f>
        <v>186.44200000000001</v>
      </c>
      <c r="BC4" s="57">
        <v>177.65</v>
      </c>
      <c r="BD4" s="57">
        <v>173.785</v>
      </c>
      <c r="BE4" s="57">
        <v>169.91</v>
      </c>
      <c r="BF4" s="57">
        <f>708.04-SUM(BC4:BE4)</f>
        <v>186.69499999999994</v>
      </c>
      <c r="BG4" s="57">
        <v>181.35</v>
      </c>
      <c r="BH4" s="57">
        <v>181.1</v>
      </c>
      <c r="BI4" s="57">
        <v>180.89</v>
      </c>
      <c r="BJ4" s="57">
        <f>732.67-SUM(BG4:BI4)</f>
        <v>189.33000000000004</v>
      </c>
      <c r="BK4" s="57">
        <v>182.36</v>
      </c>
      <c r="BL4" s="57">
        <v>185.53</v>
      </c>
      <c r="BM4" s="57">
        <v>191.02</v>
      </c>
      <c r="BN4" s="57"/>
      <c r="BO4" s="57">
        <v>236.81200000000001</v>
      </c>
      <c r="BP4" s="57">
        <v>246.33699999999999</v>
      </c>
      <c r="CK4" s="57">
        <f t="shared" ref="CK4:CK11" si="2">SUM(AQ4:AT4)</f>
        <v>657.70299999999997</v>
      </c>
      <c r="CL4" s="57">
        <f t="shared" ref="CL4:CL11" si="3">SUM(AU4:AX4)</f>
        <v>700.24</v>
      </c>
      <c r="CM4" s="57">
        <f>SUM(AY4:BB4)</f>
        <v>683.61199999999997</v>
      </c>
      <c r="CN4" s="57">
        <f>SUM(BC4:BF4)</f>
        <v>708.04</v>
      </c>
      <c r="CO4" s="57">
        <f t="shared" ref="CO4:CO11" si="4">SUM(BG4:BJ4)</f>
        <v>732.67</v>
      </c>
      <c r="CP4" s="67">
        <f>CO4*(1+CP13)</f>
        <v>752.81842500000005</v>
      </c>
      <c r="CQ4" s="67">
        <f t="shared" ref="CQ4:CY4" si="5">CP4*(1+CQ13)</f>
        <v>779.16706987500004</v>
      </c>
      <c r="CR4" s="67">
        <f t="shared" si="5"/>
        <v>804.48999964593747</v>
      </c>
      <c r="CS4" s="67">
        <f t="shared" si="5"/>
        <v>828.62469963531566</v>
      </c>
      <c r="CT4" s="67">
        <f t="shared" si="5"/>
        <v>853.48344062437513</v>
      </c>
      <c r="CU4" s="67">
        <f t="shared" si="5"/>
        <v>879.08794384310636</v>
      </c>
      <c r="CV4" s="67">
        <f t="shared" si="5"/>
        <v>905.46058215839957</v>
      </c>
      <c r="CW4" s="67">
        <f t="shared" si="5"/>
        <v>932.62439962315159</v>
      </c>
      <c r="CX4" s="67">
        <f t="shared" si="5"/>
        <v>960.60313161184615</v>
      </c>
      <c r="CY4" s="67">
        <f t="shared" si="5"/>
        <v>989.42122556020161</v>
      </c>
    </row>
    <row r="5" spans="2:156">
      <c r="B5" s="36" t="s">
        <v>1207</v>
      </c>
      <c r="AQ5" s="57">
        <v>99.93</v>
      </c>
      <c r="AR5" s="57">
        <v>82.593999999999994</v>
      </c>
      <c r="AS5" s="57">
        <v>93.18</v>
      </c>
      <c r="AT5" s="57">
        <f>382.43-SUM(AQ5:AS5)</f>
        <v>106.726</v>
      </c>
      <c r="AU5" s="57">
        <v>96.173000000000002</v>
      </c>
      <c r="AV5" s="57">
        <v>112.08</v>
      </c>
      <c r="AW5" s="57">
        <v>104.304</v>
      </c>
      <c r="AX5" s="57">
        <f>427.5-SUM(AU5:AW5)</f>
        <v>114.94299999999998</v>
      </c>
      <c r="AY5" s="57">
        <v>96.85</v>
      </c>
      <c r="AZ5" s="57">
        <v>114.34</v>
      </c>
      <c r="BA5" s="57">
        <v>97.6</v>
      </c>
      <c r="BB5" s="57">
        <f>445.01-SUM(AY5:BA5)</f>
        <v>136.22000000000003</v>
      </c>
      <c r="BC5" s="57">
        <v>116.89</v>
      </c>
      <c r="BD5" s="57">
        <v>124.78</v>
      </c>
      <c r="BE5" s="57">
        <v>134.089</v>
      </c>
      <c r="BF5" s="57">
        <f>511.434-SUM(BC5:BE5)</f>
        <v>135.67500000000001</v>
      </c>
      <c r="BG5" s="57">
        <v>134.66499999999999</v>
      </c>
      <c r="BH5" s="57">
        <v>141.15</v>
      </c>
      <c r="BI5" s="57">
        <v>149.86000000000001</v>
      </c>
      <c r="BJ5" s="57">
        <f>586.05-SUM(BG5:BI5)</f>
        <v>160.37499999999994</v>
      </c>
      <c r="BK5" s="57">
        <v>137.55000000000001</v>
      </c>
      <c r="BL5" s="57">
        <v>170.01</v>
      </c>
      <c r="BM5" s="57">
        <v>266.41000000000003</v>
      </c>
      <c r="BN5" s="57"/>
      <c r="BO5" s="57">
        <v>204.65600000000001</v>
      </c>
      <c r="BP5" s="57">
        <v>211.874</v>
      </c>
      <c r="CK5" s="57">
        <f t="shared" si="2"/>
        <v>382.43</v>
      </c>
      <c r="CL5" s="57">
        <f t="shared" si="3"/>
        <v>427.5</v>
      </c>
      <c r="CM5" s="57">
        <f>SUM(AY5:BB5)</f>
        <v>445.01</v>
      </c>
      <c r="CN5" s="57">
        <f>SUM(BC5:BF5)</f>
        <v>511.43400000000003</v>
      </c>
      <c r="CO5" s="57">
        <f t="shared" si="4"/>
        <v>586.04999999999995</v>
      </c>
      <c r="CP5" s="67">
        <f t="shared" ref="CP5:CY10" si="6">CO5*(1+CP14)</f>
        <v>791.16750000000002</v>
      </c>
      <c r="CQ5" s="67">
        <f t="shared" si="6"/>
        <v>957.31267500000001</v>
      </c>
      <c r="CR5" s="67">
        <f t="shared" si="6"/>
        <v>1120.0558297499999</v>
      </c>
      <c r="CS5" s="67">
        <f t="shared" si="6"/>
        <v>1276.863645915</v>
      </c>
      <c r="CT5" s="67">
        <f t="shared" si="6"/>
        <v>1417.31864696565</v>
      </c>
      <c r="CU5" s="67">
        <f t="shared" si="6"/>
        <v>1544.8773251925586</v>
      </c>
      <c r="CV5" s="67">
        <f t="shared" si="6"/>
        <v>1668.4675112079633</v>
      </c>
      <c r="CW5" s="67">
        <f t="shared" si="6"/>
        <v>1785.2602369925207</v>
      </c>
      <c r="CX5" s="67">
        <f t="shared" si="6"/>
        <v>1892.3758512120721</v>
      </c>
      <c r="CY5" s="67">
        <f t="shared" si="6"/>
        <v>1986.9946437726758</v>
      </c>
    </row>
    <row r="6" spans="2:156">
      <c r="B6" s="36" t="s">
        <v>948</v>
      </c>
      <c r="AQ6" s="57">
        <v>75.7</v>
      </c>
      <c r="AR6" s="57">
        <v>64.867000000000004</v>
      </c>
      <c r="AS6" s="57">
        <v>75.64</v>
      </c>
      <c r="AT6" s="57">
        <f>302.293-SUM(AQ5:AS5)</f>
        <v>26.588999999999999</v>
      </c>
      <c r="AU6" s="57">
        <v>84.85</v>
      </c>
      <c r="AV6" s="57">
        <v>95.42</v>
      </c>
      <c r="AW6" s="57">
        <v>97.07</v>
      </c>
      <c r="AX6" s="57">
        <f>380.14-SUM(AU6:AW6)</f>
        <v>102.80000000000001</v>
      </c>
      <c r="AY6" s="57">
        <v>86.95</v>
      </c>
      <c r="AZ6" s="57">
        <v>104.69499999999999</v>
      </c>
      <c r="BA6" s="57">
        <v>108.73</v>
      </c>
      <c r="BB6" s="57">
        <f>388.89-SUM(AY6:BA6)</f>
        <v>88.514999999999986</v>
      </c>
      <c r="BC6" s="57">
        <v>93.33</v>
      </c>
      <c r="BD6" s="57">
        <v>100.84</v>
      </c>
      <c r="BE6" s="57">
        <v>97.61</v>
      </c>
      <c r="BF6" s="57">
        <f>389.957-SUM(BC6:BE6)</f>
        <v>98.176999999999964</v>
      </c>
      <c r="BG6" s="57">
        <v>96.352000000000004</v>
      </c>
      <c r="BH6" s="57">
        <v>102.49</v>
      </c>
      <c r="BI6" s="57">
        <v>101.15</v>
      </c>
      <c r="BJ6" s="57">
        <f>395.28-SUM(BG6:BI6)</f>
        <v>95.288000000000011</v>
      </c>
      <c r="BK6" s="57">
        <v>86.59</v>
      </c>
      <c r="BL6" s="57">
        <v>96.38</v>
      </c>
      <c r="BM6" s="57">
        <v>101.44</v>
      </c>
      <c r="BN6" s="57"/>
      <c r="BO6" s="57">
        <v>0</v>
      </c>
      <c r="BP6" s="57">
        <v>0</v>
      </c>
      <c r="CK6" s="57">
        <f t="shared" si="2"/>
        <v>242.79599999999999</v>
      </c>
      <c r="CL6" s="57">
        <f t="shared" si="3"/>
        <v>380.14</v>
      </c>
      <c r="CM6" s="57">
        <f>SUM(AW6:BB6)</f>
        <v>588.76</v>
      </c>
      <c r="CN6" s="57">
        <f>SUM(AW6:BF6)</f>
        <v>978.7170000000001</v>
      </c>
      <c r="CO6" s="57">
        <f t="shared" si="4"/>
        <v>395.28</v>
      </c>
      <c r="CP6" s="67">
        <f t="shared" si="6"/>
        <v>379.46879999999999</v>
      </c>
      <c r="CQ6" s="67">
        <f t="shared" si="6"/>
        <v>0</v>
      </c>
      <c r="CR6" s="67">
        <f t="shared" si="6"/>
        <v>0</v>
      </c>
      <c r="CS6" s="67">
        <f t="shared" si="6"/>
        <v>0</v>
      </c>
      <c r="CT6" s="67">
        <f t="shared" si="6"/>
        <v>0</v>
      </c>
      <c r="CU6" s="67">
        <f t="shared" si="6"/>
        <v>0</v>
      </c>
      <c r="CV6" s="67">
        <f t="shared" si="6"/>
        <v>0</v>
      </c>
      <c r="CW6" s="67">
        <f t="shared" si="6"/>
        <v>0</v>
      </c>
      <c r="CX6" s="67">
        <f t="shared" si="6"/>
        <v>0</v>
      </c>
      <c r="CY6" s="67">
        <f t="shared" si="6"/>
        <v>0</v>
      </c>
    </row>
    <row r="7" spans="2:156">
      <c r="B7" s="36" t="s">
        <v>949</v>
      </c>
      <c r="AQ7" s="57">
        <v>75.432000000000002</v>
      </c>
      <c r="AR7" s="57">
        <v>67.275000000000006</v>
      </c>
      <c r="AS7" s="57">
        <v>82.22</v>
      </c>
      <c r="AT7" s="57">
        <f>317.2-SUM(AQ7:AS7)</f>
        <v>92.272999999999996</v>
      </c>
      <c r="AU7" s="57">
        <v>80.385999999999996</v>
      </c>
      <c r="AV7" s="57">
        <v>98.18</v>
      </c>
      <c r="AW7" s="57">
        <v>92.83</v>
      </c>
      <c r="AX7" s="57">
        <f>377.75-SUM(AU7:AW7)</f>
        <v>106.35399999999998</v>
      </c>
      <c r="AY7" s="57">
        <v>89.7</v>
      </c>
      <c r="AZ7" s="57">
        <v>99.64</v>
      </c>
      <c r="BA7" s="57">
        <v>93.12</v>
      </c>
      <c r="BB7" s="57">
        <f>392.91-SUM(AY7:BA7)</f>
        <v>110.44999999999999</v>
      </c>
      <c r="BC7" s="57">
        <v>99.02</v>
      </c>
      <c r="BD7" s="57">
        <v>105.95</v>
      </c>
      <c r="BE7" s="57">
        <v>112.8</v>
      </c>
      <c r="BF7" s="57">
        <f>427.359-SUM(BC7:BE7)</f>
        <v>109.589</v>
      </c>
      <c r="BG7" s="57">
        <v>105.52</v>
      </c>
      <c r="BH7" s="57">
        <v>111.3</v>
      </c>
      <c r="BI7" s="57">
        <v>111.746</v>
      </c>
      <c r="BJ7" s="57">
        <f>450.48-SUM(BG7:BI7)</f>
        <v>121.91400000000004</v>
      </c>
      <c r="BK7" s="57">
        <v>105.78</v>
      </c>
      <c r="BL7" s="57">
        <v>114.04</v>
      </c>
      <c r="BM7" s="57">
        <v>122.87</v>
      </c>
      <c r="BN7" s="57"/>
      <c r="BO7" s="57">
        <v>106.794</v>
      </c>
      <c r="BP7" s="57">
        <v>112.121</v>
      </c>
      <c r="CK7" s="57">
        <f t="shared" si="2"/>
        <v>317.2</v>
      </c>
      <c r="CL7" s="57">
        <f t="shared" si="3"/>
        <v>377.75</v>
      </c>
      <c r="CM7" s="57">
        <f>SUM(AY7:BB7)</f>
        <v>392.91</v>
      </c>
      <c r="CN7" s="57">
        <f>SUM(BC7:BF7)</f>
        <v>427.35899999999998</v>
      </c>
      <c r="CO7" s="57">
        <f t="shared" si="4"/>
        <v>450.48</v>
      </c>
      <c r="CP7" s="67">
        <f t="shared" si="6"/>
        <v>477.50880000000006</v>
      </c>
      <c r="CQ7" s="67">
        <f t="shared" si="6"/>
        <v>510.93441600000011</v>
      </c>
      <c r="CR7" s="67">
        <f t="shared" si="6"/>
        <v>551.80916928000011</v>
      </c>
      <c r="CS7" s="67">
        <f t="shared" si="6"/>
        <v>584.9177194368001</v>
      </c>
      <c r="CT7" s="67">
        <f t="shared" si="6"/>
        <v>614.16360540864014</v>
      </c>
      <c r="CU7" s="67">
        <f t="shared" si="6"/>
        <v>641.80096765202893</v>
      </c>
      <c r="CV7" s="67">
        <f t="shared" si="6"/>
        <v>667.47300635811007</v>
      </c>
      <c r="CW7" s="67">
        <f t="shared" si="6"/>
        <v>690.83456158064382</v>
      </c>
      <c r="CX7" s="67">
        <f t="shared" si="6"/>
        <v>713.28668483201477</v>
      </c>
      <c r="CY7" s="67">
        <f t="shared" si="6"/>
        <v>734.68528537697523</v>
      </c>
    </row>
    <row r="8" spans="2:156">
      <c r="B8" s="36" t="s">
        <v>950</v>
      </c>
      <c r="AQ8" s="57">
        <v>74.19</v>
      </c>
      <c r="AR8" s="57">
        <v>40.090000000000003</v>
      </c>
      <c r="AS8" s="57">
        <v>81.77</v>
      </c>
      <c r="AT8" s="57">
        <f>290.02-SUM(AQ8:AS8)</f>
        <v>93.96999999999997</v>
      </c>
      <c r="AU8" s="57">
        <v>73.36</v>
      </c>
      <c r="AV8" s="57">
        <v>92.24</v>
      </c>
      <c r="AW8" s="57">
        <v>83.106999999999999</v>
      </c>
      <c r="AX8" s="57">
        <f>341.66-SUM(AU8:AW8)</f>
        <v>92.953000000000031</v>
      </c>
      <c r="AY8" s="57">
        <v>74.89</v>
      </c>
      <c r="AZ8" s="57">
        <v>79.81</v>
      </c>
      <c r="BA8" s="57">
        <v>78.968999999999994</v>
      </c>
      <c r="BB8" s="57">
        <f>322.83-SUM(AY8:BA8)</f>
        <v>89.161000000000001</v>
      </c>
      <c r="BC8" s="57">
        <v>75.37</v>
      </c>
      <c r="BD8" s="57">
        <v>77.81</v>
      </c>
      <c r="BE8" s="57">
        <v>73.622</v>
      </c>
      <c r="BF8" s="57">
        <f>319.785-SUM(BC8:BE8)</f>
        <v>92.983000000000004</v>
      </c>
      <c r="BG8" s="57">
        <v>79.739999999999995</v>
      </c>
      <c r="BH8" s="57">
        <v>83.1</v>
      </c>
      <c r="BI8" s="57">
        <v>83.39</v>
      </c>
      <c r="BJ8" s="57">
        <f>331.092-SUM(BG8:BI8)</f>
        <v>84.862000000000023</v>
      </c>
      <c r="BK8" s="57">
        <v>70.959999999999994</v>
      </c>
      <c r="BL8" s="57">
        <v>76.38</v>
      </c>
      <c r="BM8" s="57">
        <v>71.77</v>
      </c>
      <c r="BN8" s="57"/>
      <c r="BO8" s="57">
        <v>0</v>
      </c>
      <c r="BP8" s="57">
        <v>0</v>
      </c>
      <c r="CK8" s="57">
        <f t="shared" si="2"/>
        <v>290.02</v>
      </c>
      <c r="CL8" s="57">
        <f t="shared" si="3"/>
        <v>341.66</v>
      </c>
      <c r="CM8" s="57">
        <f>SUM(AY8:BB8)</f>
        <v>322.83</v>
      </c>
      <c r="CN8" s="57">
        <f>SUM(BC8:BF8)</f>
        <v>319.78500000000003</v>
      </c>
      <c r="CO8" s="57">
        <f t="shared" si="4"/>
        <v>331.09199999999998</v>
      </c>
      <c r="CP8" s="67">
        <f t="shared" si="6"/>
        <v>314.53739999999999</v>
      </c>
      <c r="CQ8" s="67">
        <f t="shared" si="6"/>
        <v>0</v>
      </c>
      <c r="CR8" s="67">
        <f t="shared" si="6"/>
        <v>0</v>
      </c>
      <c r="CS8" s="67">
        <f t="shared" si="6"/>
        <v>0</v>
      </c>
      <c r="CT8" s="67">
        <f t="shared" si="6"/>
        <v>0</v>
      </c>
      <c r="CU8" s="67">
        <f t="shared" si="6"/>
        <v>0</v>
      </c>
      <c r="CV8" s="67">
        <f t="shared" si="6"/>
        <v>0</v>
      </c>
      <c r="CW8" s="67">
        <f t="shared" si="6"/>
        <v>0</v>
      </c>
      <c r="CX8" s="67">
        <f t="shared" si="6"/>
        <v>0</v>
      </c>
      <c r="CY8" s="67">
        <f t="shared" si="6"/>
        <v>0</v>
      </c>
    </row>
    <row r="9" spans="2:156">
      <c r="B9" s="36" t="s">
        <v>951</v>
      </c>
      <c r="AQ9" s="57">
        <v>63.389000000000003</v>
      </c>
      <c r="AR9" s="57">
        <v>55.832000000000001</v>
      </c>
      <c r="AS9" s="57">
        <v>49.399000000000001</v>
      </c>
      <c r="AT9" s="57">
        <f>220.246-SUM(AQ9:AS9)</f>
        <v>51.626000000000005</v>
      </c>
      <c r="AU9" s="57">
        <v>53.48</v>
      </c>
      <c r="AV9" s="57">
        <v>60.95</v>
      </c>
      <c r="AW9" s="57">
        <v>64.08</v>
      </c>
      <c r="AX9" s="57">
        <f>245.681-SUM(AU9:AW9)</f>
        <v>67.171000000000021</v>
      </c>
      <c r="AY9" s="57">
        <v>57.655999999999999</v>
      </c>
      <c r="AZ9" s="57">
        <v>70</v>
      </c>
      <c r="BA9" s="57">
        <v>71.28</v>
      </c>
      <c r="BB9" s="57">
        <f>272.624-SUM(AY9:BA9)</f>
        <v>73.688000000000017</v>
      </c>
      <c r="BC9" s="57">
        <v>76.989999999999995</v>
      </c>
      <c r="BD9" s="57">
        <v>84.12</v>
      </c>
      <c r="BE9" s="57">
        <v>82.308999999999997</v>
      </c>
      <c r="BF9" s="57">
        <f>326.008-SUM(BC9:BE9)</f>
        <v>82.58899999999997</v>
      </c>
      <c r="BG9" s="57">
        <v>87.69</v>
      </c>
      <c r="BH9" s="57">
        <v>88.82</v>
      </c>
      <c r="BI9" s="57">
        <v>82.55</v>
      </c>
      <c r="BJ9" s="57">
        <f>344.51-SUM(BG9:BI9)</f>
        <v>85.449999999999989</v>
      </c>
      <c r="BK9" s="57">
        <v>63.88</v>
      </c>
      <c r="BL9" s="57">
        <v>78.67</v>
      </c>
      <c r="BM9" s="57">
        <v>80.41</v>
      </c>
      <c r="BN9" s="57"/>
      <c r="BO9" s="57">
        <v>0</v>
      </c>
      <c r="BP9" s="57">
        <v>0</v>
      </c>
      <c r="CK9" s="57">
        <f t="shared" si="2"/>
        <v>220.24600000000001</v>
      </c>
      <c r="CL9" s="57">
        <f t="shared" si="3"/>
        <v>245.68100000000001</v>
      </c>
      <c r="CM9" s="57">
        <f>SUM(AY9:BB9)</f>
        <v>272.62400000000002</v>
      </c>
      <c r="CN9" s="57">
        <f>SUM(BC9:BF9)</f>
        <v>326.00799999999998</v>
      </c>
      <c r="CO9" s="57">
        <f t="shared" si="4"/>
        <v>344.51</v>
      </c>
      <c r="CP9" s="67">
        <f t="shared" si="6"/>
        <v>310.05900000000003</v>
      </c>
      <c r="CQ9" s="67">
        <f t="shared" si="6"/>
        <v>0</v>
      </c>
      <c r="CR9" s="67">
        <f t="shared" si="6"/>
        <v>0</v>
      </c>
      <c r="CS9" s="67">
        <f t="shared" si="6"/>
        <v>0</v>
      </c>
      <c r="CT9" s="67">
        <f t="shared" si="6"/>
        <v>0</v>
      </c>
      <c r="CU9" s="67">
        <f t="shared" si="6"/>
        <v>0</v>
      </c>
      <c r="CV9" s="67">
        <f t="shared" si="6"/>
        <v>0</v>
      </c>
      <c r="CW9" s="67">
        <f t="shared" si="6"/>
        <v>0</v>
      </c>
      <c r="CX9" s="67">
        <f t="shared" si="6"/>
        <v>0</v>
      </c>
      <c r="CY9" s="67">
        <f t="shared" si="6"/>
        <v>0</v>
      </c>
    </row>
    <row r="10" spans="2:156">
      <c r="B10" s="36" t="s">
        <v>952</v>
      </c>
      <c r="AQ10" s="57">
        <v>91.73</v>
      </c>
      <c r="AR10" s="57">
        <v>91.414000000000001</v>
      </c>
      <c r="AS10" s="57">
        <v>86.02</v>
      </c>
      <c r="AT10" s="57">
        <f>367.25-SUM(AQ10:AS10)</f>
        <v>98.086000000000013</v>
      </c>
      <c r="AU10" s="57">
        <v>81.683000000000007</v>
      </c>
      <c r="AV10" s="57">
        <v>86.84</v>
      </c>
      <c r="AW10" s="57">
        <v>83.37</v>
      </c>
      <c r="AX10" s="57">
        <f>336.585-SUM(AU10:AW10)</f>
        <v>84.69199999999995</v>
      </c>
      <c r="AY10" s="57">
        <v>69.512</v>
      </c>
      <c r="AZ10" s="57">
        <v>72.13</v>
      </c>
      <c r="BA10" s="57">
        <v>69.900000000000006</v>
      </c>
      <c r="BB10" s="57">
        <f>285.148-SUM(AY10:BA10)</f>
        <v>73.606000000000023</v>
      </c>
      <c r="BC10" s="57">
        <v>71.650000000000006</v>
      </c>
      <c r="BD10" s="57">
        <v>75.95</v>
      </c>
      <c r="BE10" s="57">
        <v>76.033000000000001</v>
      </c>
      <c r="BF10" s="57">
        <f>291.902-SUM(BC10:BE10)</f>
        <v>68.268999999999949</v>
      </c>
      <c r="BG10" s="57">
        <v>52.51</v>
      </c>
      <c r="BH10" s="57">
        <v>41.7</v>
      </c>
      <c r="BI10" s="57">
        <v>54.76</v>
      </c>
      <c r="BJ10" s="57">
        <f>207.222-SUM(BG10:BI10)</f>
        <v>58.25200000000001</v>
      </c>
      <c r="BK10" s="57">
        <v>53.6</v>
      </c>
      <c r="BL10" s="57">
        <v>59.84</v>
      </c>
      <c r="BM10" s="57">
        <v>79.069999999999993</v>
      </c>
      <c r="BN10" s="57"/>
      <c r="BO10" s="57">
        <v>0</v>
      </c>
      <c r="BP10" s="57">
        <v>0</v>
      </c>
      <c r="CK10" s="57">
        <f t="shared" si="2"/>
        <v>367.25</v>
      </c>
      <c r="CL10" s="57">
        <f t="shared" si="3"/>
        <v>336.58499999999998</v>
      </c>
      <c r="CM10" s="57">
        <f>SUM(AY10:BB10)</f>
        <v>285.14800000000002</v>
      </c>
      <c r="CN10" s="57">
        <f>SUM(BC10:BF10)</f>
        <v>291.90199999999999</v>
      </c>
      <c r="CO10" s="57">
        <f t="shared" si="4"/>
        <v>207.22200000000001</v>
      </c>
      <c r="CP10" s="67">
        <f t="shared" si="6"/>
        <v>211.36644000000001</v>
      </c>
      <c r="CQ10" s="67">
        <f t="shared" si="6"/>
        <v>215.59376880000002</v>
      </c>
      <c r="CR10" s="67">
        <f t="shared" si="6"/>
        <v>219.90564417600004</v>
      </c>
      <c r="CS10" s="67">
        <f t="shared" si="6"/>
        <v>224.30375705952005</v>
      </c>
      <c r="CT10" s="67">
        <f t="shared" si="6"/>
        <v>228.78983220071046</v>
      </c>
      <c r="CU10" s="67">
        <f t="shared" si="6"/>
        <v>233.36562884472468</v>
      </c>
      <c r="CV10" s="67">
        <f t="shared" si="6"/>
        <v>238.03294142161917</v>
      </c>
      <c r="CW10" s="67">
        <f t="shared" si="6"/>
        <v>242.79360025005155</v>
      </c>
      <c r="CX10" s="67">
        <f t="shared" si="6"/>
        <v>247.64947225505259</v>
      </c>
      <c r="CY10" s="67">
        <f t="shared" si="6"/>
        <v>252.60246170015364</v>
      </c>
    </row>
    <row r="11" spans="2:156" s="2" customFormat="1" ht="15">
      <c r="B11" s="33" t="s">
        <v>115</v>
      </c>
      <c r="AQ11" s="58">
        <f t="shared" ref="AQ11:BK11" si="7">SUM(AQ4:AQ10)</f>
        <v>630.62099999999998</v>
      </c>
      <c r="AR11" s="58">
        <f t="shared" si="7"/>
        <v>567.03</v>
      </c>
      <c r="AS11" s="58">
        <f t="shared" si="7"/>
        <v>628.279</v>
      </c>
      <c r="AT11" s="58">
        <f t="shared" si="7"/>
        <v>651.71500000000003</v>
      </c>
      <c r="AU11" s="58">
        <f t="shared" si="7"/>
        <v>633.90200000000004</v>
      </c>
      <c r="AV11" s="58">
        <f t="shared" si="7"/>
        <v>713.44</v>
      </c>
      <c r="AW11" s="58">
        <f t="shared" si="7"/>
        <v>700.23099999999999</v>
      </c>
      <c r="AX11" s="58">
        <f t="shared" si="7"/>
        <v>761.98300000000017</v>
      </c>
      <c r="AY11" s="58">
        <f t="shared" si="7"/>
        <v>641.68799999999987</v>
      </c>
      <c r="AZ11" s="58">
        <f t="shared" si="7"/>
        <v>704.51499999999999</v>
      </c>
      <c r="BA11" s="58">
        <f t="shared" si="7"/>
        <v>686.73899999999992</v>
      </c>
      <c r="BB11" s="58">
        <f t="shared" si="7"/>
        <v>758.08199999999999</v>
      </c>
      <c r="BC11" s="58">
        <f t="shared" si="7"/>
        <v>710.9</v>
      </c>
      <c r="BD11" s="58">
        <f t="shared" si="7"/>
        <v>743.23500000000001</v>
      </c>
      <c r="BE11" s="58">
        <f t="shared" si="7"/>
        <v>746.37299999999993</v>
      </c>
      <c r="BF11" s="58">
        <f t="shared" si="7"/>
        <v>773.97699999999986</v>
      </c>
      <c r="BG11" s="58">
        <f t="shared" si="7"/>
        <v>737.827</v>
      </c>
      <c r="BH11" s="58">
        <f t="shared" si="7"/>
        <v>749.66000000000008</v>
      </c>
      <c r="BI11" s="58">
        <f t="shared" si="7"/>
        <v>764.34599999999989</v>
      </c>
      <c r="BJ11" s="58">
        <f t="shared" si="7"/>
        <v>795.471</v>
      </c>
      <c r="BK11" s="58">
        <f t="shared" si="7"/>
        <v>700.72</v>
      </c>
      <c r="BL11" s="58">
        <f>SUM(BL4:BL10)</f>
        <v>780.84999999999991</v>
      </c>
      <c r="BM11" s="58">
        <f>SUM(BM4:BM10)</f>
        <v>912.99</v>
      </c>
      <c r="BN11" s="58"/>
      <c r="BO11" s="58">
        <f>SUM(BO4:BO10)</f>
        <v>548.26200000000006</v>
      </c>
      <c r="BP11" s="58">
        <f>SUM(BP4:BP10)</f>
        <v>570.33199999999999</v>
      </c>
      <c r="BQ11" s="34"/>
      <c r="BR11" s="34"/>
      <c r="CK11" s="58">
        <f t="shared" si="2"/>
        <v>2477.645</v>
      </c>
      <c r="CL11" s="58">
        <f t="shared" si="3"/>
        <v>2809.5560000000005</v>
      </c>
      <c r="CM11" s="58">
        <f>SUM(AY11:BB11)</f>
        <v>2791.0239999999999</v>
      </c>
      <c r="CN11" s="58">
        <f>SUM(BC11:BF11)</f>
        <v>2974.4849999999997</v>
      </c>
      <c r="CO11" s="58">
        <f t="shared" si="4"/>
        <v>3047.3040000000001</v>
      </c>
      <c r="CP11" s="68">
        <f>SUM(CP4:CP10)</f>
        <v>3236.9263650000003</v>
      </c>
      <c r="CQ11" s="68">
        <f t="shared" ref="CQ11:CY11" si="8">SUM(CQ4:CQ10)</f>
        <v>2463.007929675</v>
      </c>
      <c r="CR11" s="68">
        <f t="shared" si="8"/>
        <v>2696.2606428519371</v>
      </c>
      <c r="CS11" s="68">
        <f t="shared" si="8"/>
        <v>2914.7098220466364</v>
      </c>
      <c r="CT11" s="68">
        <f t="shared" si="8"/>
        <v>3113.7555251993758</v>
      </c>
      <c r="CU11" s="68">
        <f t="shared" si="8"/>
        <v>3299.1318655324185</v>
      </c>
      <c r="CV11" s="68">
        <f t="shared" si="8"/>
        <v>3479.4340411460926</v>
      </c>
      <c r="CW11" s="68">
        <f t="shared" si="8"/>
        <v>3651.5127984463675</v>
      </c>
      <c r="CX11" s="68">
        <f t="shared" si="8"/>
        <v>3813.9151399109851</v>
      </c>
      <c r="CY11" s="68">
        <f t="shared" si="8"/>
        <v>3963.7036164100059</v>
      </c>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row>
    <row r="12" spans="2:156">
      <c r="B12" s="36"/>
    </row>
    <row r="13" spans="2:156">
      <c r="B13" s="36" t="s">
        <v>953</v>
      </c>
      <c r="AQ13" s="59"/>
      <c r="AR13" s="59"/>
      <c r="AS13" s="59"/>
      <c r="AT13" s="59"/>
      <c r="AU13" s="59">
        <f t="shared" ref="AU13:BK20" si="9">AU4/AQ4-1</f>
        <v>9.1314475873544021E-2</v>
      </c>
      <c r="AV13" s="59">
        <f t="shared" si="9"/>
        <v>1.6804277452442395E-2</v>
      </c>
      <c r="AW13" s="59">
        <f t="shared" si="9"/>
        <v>9.63448922211807E-2</v>
      </c>
      <c r="AX13" s="59">
        <f t="shared" si="9"/>
        <v>5.8236728877196109E-2</v>
      </c>
      <c r="AY13" s="59">
        <f t="shared" si="9"/>
        <v>1.3173141428310053E-2</v>
      </c>
      <c r="AZ13" s="59">
        <f t="shared" si="9"/>
        <v>-2.2834317057175091E-2</v>
      </c>
      <c r="BA13" s="59">
        <f t="shared" si="9"/>
        <v>-4.7472502422066576E-2</v>
      </c>
      <c r="BB13" s="59">
        <f t="shared" si="9"/>
        <v>-3.4329517791474862E-2</v>
      </c>
      <c r="BC13" s="59">
        <f t="shared" si="9"/>
        <v>6.9343285378920205E-2</v>
      </c>
      <c r="BD13" s="59">
        <f t="shared" si="9"/>
        <v>6.0311165344722362E-2</v>
      </c>
      <c r="BE13" s="59">
        <f t="shared" si="9"/>
        <v>1.6572932870647428E-2</v>
      </c>
      <c r="BF13" s="59">
        <f t="shared" si="9"/>
        <v>1.3569903777042036E-3</v>
      </c>
      <c r="BG13" s="59">
        <f t="shared" si="9"/>
        <v>2.0827469743878391E-2</v>
      </c>
      <c r="BH13" s="59">
        <f t="shared" si="9"/>
        <v>4.2092240412003434E-2</v>
      </c>
      <c r="BI13" s="59">
        <f t="shared" si="9"/>
        <v>6.4622447177917763E-2</v>
      </c>
      <c r="BJ13" s="59">
        <f t="shared" si="9"/>
        <v>1.411392913575682E-2</v>
      </c>
      <c r="BK13" s="59">
        <f t="shared" si="9"/>
        <v>5.5693410532120513E-3</v>
      </c>
      <c r="BL13" s="59">
        <f>BL4/BH4-1</f>
        <v>2.4461623412479261E-2</v>
      </c>
      <c r="BM13" s="59">
        <f>BM4/BI4-1</f>
        <v>5.6000884515451599E-2</v>
      </c>
      <c r="BN13" s="59"/>
      <c r="BO13" s="59">
        <f t="shared" ref="BO13:BP20" si="10">BO4/BK4-1</f>
        <v>0.29859618337354688</v>
      </c>
      <c r="BP13" s="59">
        <f t="shared" si="10"/>
        <v>0.32774753409152146</v>
      </c>
      <c r="CL13" s="59">
        <f t="shared" ref="CL13:CN20" si="11">CL4/CK4-1</f>
        <v>6.4675088907911293E-2</v>
      </c>
      <c r="CM13" s="59">
        <f t="shared" si="11"/>
        <v>-2.3746144179138673E-2</v>
      </c>
      <c r="CN13" s="59">
        <f t="shared" si="11"/>
        <v>3.5733720297478788E-2</v>
      </c>
      <c r="CO13" s="59">
        <f>CO4/CN4-1</f>
        <v>3.4786170272866013E-2</v>
      </c>
      <c r="CP13" s="63">
        <v>2.75E-2</v>
      </c>
      <c r="CQ13" s="63">
        <v>3.5000000000000003E-2</v>
      </c>
      <c r="CR13" s="63">
        <v>3.2500000000000001E-2</v>
      </c>
      <c r="CS13" s="63">
        <v>0.03</v>
      </c>
      <c r="CT13" s="63">
        <v>0.03</v>
      </c>
      <c r="CU13" s="63">
        <v>0.03</v>
      </c>
      <c r="CV13" s="63">
        <v>0.03</v>
      </c>
      <c r="CW13" s="63">
        <v>0.03</v>
      </c>
      <c r="CX13" s="63">
        <v>0.03</v>
      </c>
      <c r="CY13" s="63">
        <v>0.03</v>
      </c>
    </row>
    <row r="14" spans="2:156">
      <c r="B14" s="36" t="s">
        <v>1033</v>
      </c>
      <c r="AQ14" s="59"/>
      <c r="AR14" s="59"/>
      <c r="AS14" s="59"/>
      <c r="AT14" s="59"/>
      <c r="AU14" s="59">
        <f t="shared" si="9"/>
        <v>-3.7596317422195602E-2</v>
      </c>
      <c r="AV14" s="59">
        <f t="shared" si="9"/>
        <v>0.35699929776981376</v>
      </c>
      <c r="AW14" s="59">
        <f t="shared" si="9"/>
        <v>0.11938184159690923</v>
      </c>
      <c r="AX14" s="59">
        <f t="shared" si="9"/>
        <v>7.6991548451173841E-2</v>
      </c>
      <c r="AY14" s="59">
        <f t="shared" si="9"/>
        <v>7.0393977519678241E-3</v>
      </c>
      <c r="AZ14" s="59">
        <f t="shared" si="9"/>
        <v>2.0164168451106468E-2</v>
      </c>
      <c r="BA14" s="59">
        <f t="shared" si="9"/>
        <v>-6.4273661604540622E-2</v>
      </c>
      <c r="BB14" s="59">
        <f t="shared" si="9"/>
        <v>0.18510914105252207</v>
      </c>
      <c r="BC14" s="59">
        <f t="shared" si="9"/>
        <v>0.20691791430046469</v>
      </c>
      <c r="BD14" s="59">
        <f t="shared" si="9"/>
        <v>9.1306629351058266E-2</v>
      </c>
      <c r="BE14" s="59">
        <f t="shared" si="9"/>
        <v>0.37386270491803275</v>
      </c>
      <c r="BF14" s="59">
        <f t="shared" si="9"/>
        <v>-4.0008809279108437E-3</v>
      </c>
      <c r="BG14" s="59">
        <f t="shared" si="9"/>
        <v>0.1520660449995721</v>
      </c>
      <c r="BH14" s="59">
        <f t="shared" si="9"/>
        <v>0.13119089597691946</v>
      </c>
      <c r="BI14" s="59">
        <f t="shared" si="9"/>
        <v>0.11761591181976172</v>
      </c>
      <c r="BJ14" s="59">
        <f t="shared" si="9"/>
        <v>0.18205269946563418</v>
      </c>
      <c r="BK14" s="59">
        <f t="shared" si="9"/>
        <v>2.1423532469461382E-2</v>
      </c>
      <c r="BL14" s="59">
        <f t="shared" ref="BL14:BM20" si="12">BL5/BH5-1</f>
        <v>0.20446333687566409</v>
      </c>
      <c r="BM14" s="59">
        <f t="shared" si="12"/>
        <v>0.77772587748565325</v>
      </c>
      <c r="BN14" s="59"/>
      <c r="BO14" s="59">
        <f t="shared" si="10"/>
        <v>0.48786623046165012</v>
      </c>
      <c r="BP14" s="59">
        <f t="shared" si="10"/>
        <v>0.24624433856831951</v>
      </c>
      <c r="CL14" s="59">
        <f t="shared" si="11"/>
        <v>0.11785163297858436</v>
      </c>
      <c r="CM14" s="59">
        <f t="shared" si="11"/>
        <v>4.0959064327485306E-2</v>
      </c>
      <c r="CN14" s="59">
        <f t="shared" si="11"/>
        <v>0.14926406148176463</v>
      </c>
      <c r="CO14" s="59">
        <f t="shared" ref="CO14:CO20" si="13">CO5/CN5-1</f>
        <v>0.14589565809077998</v>
      </c>
      <c r="CP14" s="63">
        <v>0.35</v>
      </c>
      <c r="CQ14" s="63">
        <v>0.21</v>
      </c>
      <c r="CR14" s="63">
        <v>0.17</v>
      </c>
      <c r="CS14" s="63">
        <v>0.14000000000000001</v>
      </c>
      <c r="CT14" s="63">
        <v>0.11</v>
      </c>
      <c r="CU14" s="63">
        <v>0.09</v>
      </c>
      <c r="CV14" s="63">
        <v>0.08</v>
      </c>
      <c r="CW14" s="63">
        <v>7.0000000000000007E-2</v>
      </c>
      <c r="CX14" s="63">
        <v>0.06</v>
      </c>
      <c r="CY14" s="63">
        <v>0.05</v>
      </c>
    </row>
    <row r="15" spans="2:156">
      <c r="B15" s="36" t="s">
        <v>954</v>
      </c>
      <c r="AQ15" s="59"/>
      <c r="AR15" s="59"/>
      <c r="AS15" s="59"/>
      <c r="AT15" s="59"/>
      <c r="AU15" s="59">
        <f t="shared" si="9"/>
        <v>0.1208718626155878</v>
      </c>
      <c r="AV15" s="59">
        <f t="shared" si="9"/>
        <v>0.47100991259037706</v>
      </c>
      <c r="AW15" s="59">
        <f t="shared" si="9"/>
        <v>0.28331570597567413</v>
      </c>
      <c r="AX15" s="59">
        <f t="shared" si="9"/>
        <v>2.8662604836586563</v>
      </c>
      <c r="AY15" s="59">
        <f t="shared" si="9"/>
        <v>2.4749558043606568E-2</v>
      </c>
      <c r="AZ15" s="59">
        <f t="shared" si="9"/>
        <v>9.7201844477048827E-2</v>
      </c>
      <c r="BA15" s="59">
        <f t="shared" si="9"/>
        <v>0.12011950139074901</v>
      </c>
      <c r="BB15" s="59">
        <f t="shared" si="9"/>
        <v>-0.13895914396887177</v>
      </c>
      <c r="BC15" s="59">
        <f t="shared" si="9"/>
        <v>7.3375503162737221E-2</v>
      </c>
      <c r="BD15" s="59">
        <f t="shared" si="9"/>
        <v>-3.6821242657242403E-2</v>
      </c>
      <c r="BE15" s="59">
        <f t="shared" si="9"/>
        <v>-0.10227168214844118</v>
      </c>
      <c r="BF15" s="59">
        <f t="shared" si="9"/>
        <v>0.10915664011749393</v>
      </c>
      <c r="BG15" s="59">
        <f t="shared" si="9"/>
        <v>3.2379727847423156E-2</v>
      </c>
      <c r="BH15" s="59">
        <f t="shared" si="9"/>
        <v>1.6362554541848429E-2</v>
      </c>
      <c r="BI15" s="59">
        <f t="shared" si="9"/>
        <v>3.6266775945087648E-2</v>
      </c>
      <c r="BJ15" s="59">
        <f t="shared" si="9"/>
        <v>-2.9426444075495883E-2</v>
      </c>
      <c r="BK15" s="59">
        <f t="shared" si="9"/>
        <v>-0.10131600797077378</v>
      </c>
      <c r="BL15" s="59">
        <f t="shared" si="12"/>
        <v>-5.9615572250951265E-2</v>
      </c>
      <c r="BM15" s="59">
        <f t="shared" si="12"/>
        <v>2.8670291646069046E-3</v>
      </c>
      <c r="BN15" s="59"/>
      <c r="BO15" s="59">
        <f t="shared" si="10"/>
        <v>-1</v>
      </c>
      <c r="BP15" s="59">
        <f t="shared" si="10"/>
        <v>-1</v>
      </c>
      <c r="CL15" s="59">
        <f t="shared" si="11"/>
        <v>0.565676535033526</v>
      </c>
      <c r="CM15" s="59">
        <f t="shared" si="11"/>
        <v>0.54879781133266703</v>
      </c>
      <c r="CN15" s="59">
        <f t="shared" si="11"/>
        <v>0.66233609620218781</v>
      </c>
      <c r="CO15" s="59">
        <f t="shared" si="13"/>
        <v>-0.59612431376996633</v>
      </c>
      <c r="CP15" s="63">
        <v>-0.04</v>
      </c>
      <c r="CQ15" s="63">
        <v>-1</v>
      </c>
      <c r="CR15" s="63">
        <v>-1</v>
      </c>
      <c r="CS15" s="63">
        <v>0</v>
      </c>
      <c r="CT15" s="63">
        <v>0</v>
      </c>
      <c r="CU15" s="63">
        <v>0</v>
      </c>
      <c r="CV15" s="63">
        <v>0</v>
      </c>
      <c r="CW15" s="63">
        <v>0</v>
      </c>
      <c r="CX15" s="63">
        <v>0</v>
      </c>
      <c r="CY15" s="63">
        <v>0</v>
      </c>
    </row>
    <row r="16" spans="2:156">
      <c r="B16" s="36" t="s">
        <v>955</v>
      </c>
      <c r="AQ16" s="59"/>
      <c r="AR16" s="59"/>
      <c r="AS16" s="59"/>
      <c r="AT16" s="59"/>
      <c r="AU16" s="59">
        <f t="shared" si="9"/>
        <v>6.5675045073708693E-2</v>
      </c>
      <c r="AV16" s="59">
        <f t="shared" si="9"/>
        <v>0.45938312894834632</v>
      </c>
      <c r="AW16" s="59">
        <f t="shared" si="9"/>
        <v>0.12904402821697891</v>
      </c>
      <c r="AX16" s="59">
        <f t="shared" si="9"/>
        <v>0.15260151940437594</v>
      </c>
      <c r="AY16" s="59">
        <f t="shared" si="9"/>
        <v>0.11586594680665807</v>
      </c>
      <c r="AZ16" s="59">
        <f t="shared" si="9"/>
        <v>1.487064575269903E-2</v>
      </c>
      <c r="BA16" s="59">
        <f t="shared" si="9"/>
        <v>3.1239900894108885E-3</v>
      </c>
      <c r="BB16" s="59">
        <f t="shared" si="9"/>
        <v>3.8512890911484243E-2</v>
      </c>
      <c r="BC16" s="59">
        <f t="shared" si="9"/>
        <v>0.10390189520624293</v>
      </c>
      <c r="BD16" s="59">
        <f t="shared" si="9"/>
        <v>6.3327980730630395E-2</v>
      </c>
      <c r="BE16" s="59">
        <f t="shared" si="9"/>
        <v>0.21134020618556693</v>
      </c>
      <c r="BF16" s="59">
        <f t="shared" si="9"/>
        <v>-7.7953825260297371E-3</v>
      </c>
      <c r="BG16" s="59">
        <f t="shared" si="9"/>
        <v>6.5643304382952961E-2</v>
      </c>
      <c r="BH16" s="59">
        <f t="shared" si="9"/>
        <v>5.049551675318531E-2</v>
      </c>
      <c r="BI16" s="59">
        <f t="shared" si="9"/>
        <v>-9.3439716312057053E-3</v>
      </c>
      <c r="BJ16" s="59">
        <f t="shared" si="9"/>
        <v>0.11246566717462558</v>
      </c>
      <c r="BK16" s="59">
        <f t="shared" si="9"/>
        <v>2.4639878695982276E-3</v>
      </c>
      <c r="BL16" s="59">
        <f t="shared" si="12"/>
        <v>2.4618149146451218E-2</v>
      </c>
      <c r="BM16" s="59">
        <f t="shared" si="12"/>
        <v>9.9547187371360035E-2</v>
      </c>
      <c r="BN16" s="59"/>
      <c r="BO16" s="59">
        <f t="shared" si="10"/>
        <v>9.5859330686329791E-3</v>
      </c>
      <c r="BP16" s="59">
        <f t="shared" si="10"/>
        <v>-1.6827428972290503E-2</v>
      </c>
      <c r="CL16" s="59">
        <f t="shared" si="11"/>
        <v>0.19088902900378324</v>
      </c>
      <c r="CM16" s="59">
        <f t="shared" si="11"/>
        <v>4.0132362673725996E-2</v>
      </c>
      <c r="CN16" s="59">
        <f t="shared" si="11"/>
        <v>8.7676567152783047E-2</v>
      </c>
      <c r="CO16" s="59">
        <f t="shared" si="13"/>
        <v>5.4102054712782621E-2</v>
      </c>
      <c r="CP16" s="63">
        <v>0.06</v>
      </c>
      <c r="CQ16" s="63">
        <v>7.0000000000000007E-2</v>
      </c>
      <c r="CR16" s="63">
        <v>0.08</v>
      </c>
      <c r="CS16" s="63">
        <v>0.06</v>
      </c>
      <c r="CT16" s="63">
        <v>0.05</v>
      </c>
      <c r="CU16" s="63">
        <v>4.4999999999999998E-2</v>
      </c>
      <c r="CV16" s="63">
        <v>0.04</v>
      </c>
      <c r="CW16" s="63">
        <v>3.5000000000000003E-2</v>
      </c>
      <c r="CX16" s="63">
        <v>3.2500000000000001E-2</v>
      </c>
      <c r="CY16" s="63">
        <v>0.03</v>
      </c>
    </row>
    <row r="17" spans="2:155">
      <c r="B17" s="36" t="s">
        <v>956</v>
      </c>
      <c r="AQ17" s="59"/>
      <c r="AR17" s="59"/>
      <c r="AS17" s="59"/>
      <c r="AT17" s="59"/>
      <c r="AU17" s="59">
        <f t="shared" si="9"/>
        <v>-1.1187491575683994E-2</v>
      </c>
      <c r="AV17" s="59">
        <f t="shared" si="9"/>
        <v>1.3008231479171859</v>
      </c>
      <c r="AW17" s="59">
        <f t="shared" si="9"/>
        <v>1.6350739880151677E-2</v>
      </c>
      <c r="AX17" s="59">
        <f t="shared" si="9"/>
        <v>-1.0822602958390326E-2</v>
      </c>
      <c r="AY17" s="59">
        <f t="shared" si="9"/>
        <v>2.0856052344601972E-2</v>
      </c>
      <c r="AZ17" s="59">
        <f t="shared" si="9"/>
        <v>-0.13475715524718124</v>
      </c>
      <c r="BA17" s="59">
        <f t="shared" si="9"/>
        <v>-4.9791232988797618E-2</v>
      </c>
      <c r="BB17" s="59">
        <f t="shared" si="9"/>
        <v>-4.0794810280464611E-2</v>
      </c>
      <c r="BC17" s="59">
        <f t="shared" si="9"/>
        <v>6.4094004539991811E-3</v>
      </c>
      <c r="BD17" s="59">
        <f t="shared" si="9"/>
        <v>-2.505951635133441E-2</v>
      </c>
      <c r="BE17" s="59">
        <f t="shared" si="9"/>
        <v>-6.7710114095404506E-2</v>
      </c>
      <c r="BF17" s="59">
        <f t="shared" si="9"/>
        <v>4.2866275613777427E-2</v>
      </c>
      <c r="BG17" s="59">
        <f t="shared" si="9"/>
        <v>5.7980628897439157E-2</v>
      </c>
      <c r="BH17" s="59">
        <f t="shared" si="9"/>
        <v>6.7986120035985032E-2</v>
      </c>
      <c r="BI17" s="59">
        <f t="shared" si="9"/>
        <v>0.13267773219961421</v>
      </c>
      <c r="BJ17" s="59">
        <f t="shared" si="9"/>
        <v>-8.7338545755675567E-2</v>
      </c>
      <c r="BK17" s="59">
        <f t="shared" si="9"/>
        <v>-0.11010785051417105</v>
      </c>
      <c r="BL17" s="59">
        <f t="shared" si="12"/>
        <v>-8.0866425992779822E-2</v>
      </c>
      <c r="BM17" s="59">
        <f t="shared" si="12"/>
        <v>-0.13934524523324143</v>
      </c>
      <c r="BN17" s="59"/>
      <c r="BO17" s="59">
        <f t="shared" si="10"/>
        <v>-1</v>
      </c>
      <c r="BP17" s="59">
        <f t="shared" si="10"/>
        <v>-1</v>
      </c>
      <c r="CL17" s="59">
        <f t="shared" si="11"/>
        <v>0.17805668574581079</v>
      </c>
      <c r="CM17" s="59">
        <f t="shared" si="11"/>
        <v>-5.5113270502839207E-2</v>
      </c>
      <c r="CN17" s="59">
        <f t="shared" si="11"/>
        <v>-9.4322089025182798E-3</v>
      </c>
      <c r="CO17" s="59">
        <f t="shared" si="13"/>
        <v>3.5358131244429769E-2</v>
      </c>
      <c r="CP17" s="63">
        <v>-0.05</v>
      </c>
      <c r="CQ17" s="63">
        <v>-1</v>
      </c>
      <c r="CR17" s="63">
        <v>-1</v>
      </c>
      <c r="CS17" s="63">
        <v>0</v>
      </c>
      <c r="CT17" s="63">
        <v>0</v>
      </c>
      <c r="CU17" s="63">
        <v>0</v>
      </c>
      <c r="CV17" s="63">
        <v>0</v>
      </c>
      <c r="CW17" s="63">
        <v>0</v>
      </c>
      <c r="CX17" s="63">
        <v>0</v>
      </c>
      <c r="CY17" s="63">
        <v>0</v>
      </c>
    </row>
    <row r="18" spans="2:155">
      <c r="B18" s="36" t="s">
        <v>957</v>
      </c>
      <c r="AQ18" s="59"/>
      <c r="AR18" s="59"/>
      <c r="AS18" s="59"/>
      <c r="AT18" s="59"/>
      <c r="AU18" s="59">
        <f t="shared" si="9"/>
        <v>-0.15632049724715658</v>
      </c>
      <c r="AV18" s="59">
        <f t="shared" si="9"/>
        <v>9.1667860725032302E-2</v>
      </c>
      <c r="AW18" s="59">
        <f t="shared" si="9"/>
        <v>0.29719225085528045</v>
      </c>
      <c r="AX18" s="59">
        <f t="shared" si="9"/>
        <v>0.30110796885290392</v>
      </c>
      <c r="AY18" s="59">
        <f t="shared" si="9"/>
        <v>7.8085265519820535E-2</v>
      </c>
      <c r="AZ18" s="59">
        <f t="shared" si="9"/>
        <v>0.14848236259228864</v>
      </c>
      <c r="BA18" s="59">
        <f t="shared" si="9"/>
        <v>0.11235955056179781</v>
      </c>
      <c r="BB18" s="59">
        <f t="shared" si="9"/>
        <v>9.7021035863691152E-2</v>
      </c>
      <c r="BC18" s="59">
        <f t="shared" si="9"/>
        <v>0.33533370334397117</v>
      </c>
      <c r="BD18" s="59">
        <f t="shared" si="9"/>
        <v>0.20171428571428573</v>
      </c>
      <c r="BE18" s="59">
        <f t="shared" si="9"/>
        <v>0.1547278338945004</v>
      </c>
      <c r="BF18" s="59">
        <f t="shared" si="9"/>
        <v>0.12079307349907653</v>
      </c>
      <c r="BG18" s="59">
        <f t="shared" si="9"/>
        <v>0.13897908819327198</v>
      </c>
      <c r="BH18" s="59">
        <f t="shared" si="9"/>
        <v>5.587256300523058E-2</v>
      </c>
      <c r="BI18" s="59">
        <f t="shared" si="9"/>
        <v>2.9279908636965502E-3</v>
      </c>
      <c r="BJ18" s="59">
        <f t="shared" si="9"/>
        <v>3.4641417137875719E-2</v>
      </c>
      <c r="BK18" s="59">
        <f t="shared" si="9"/>
        <v>-0.27152468924620821</v>
      </c>
      <c r="BL18" s="59">
        <f t="shared" si="12"/>
        <v>-0.1142760639495608</v>
      </c>
      <c r="BM18" s="59">
        <f t="shared" si="12"/>
        <v>-2.5923682616596055E-2</v>
      </c>
      <c r="BN18" s="59"/>
      <c r="BO18" s="59">
        <f t="shared" si="10"/>
        <v>-1</v>
      </c>
      <c r="BP18" s="59">
        <f t="shared" si="10"/>
        <v>-1</v>
      </c>
      <c r="CL18" s="59">
        <f t="shared" si="11"/>
        <v>0.11548450369132701</v>
      </c>
      <c r="CM18" s="59">
        <f t="shared" si="11"/>
        <v>0.10966660018479257</v>
      </c>
      <c r="CN18" s="59">
        <f t="shared" si="11"/>
        <v>0.19581548212923283</v>
      </c>
      <c r="CO18" s="59">
        <f t="shared" si="13"/>
        <v>5.6753208510220698E-2</v>
      </c>
      <c r="CP18" s="63">
        <v>-0.1</v>
      </c>
      <c r="CQ18" s="63">
        <v>-1</v>
      </c>
      <c r="CR18" s="63">
        <v>-1</v>
      </c>
      <c r="CS18" s="63">
        <v>0</v>
      </c>
      <c r="CT18" s="63">
        <v>0</v>
      </c>
      <c r="CU18" s="63">
        <v>0</v>
      </c>
      <c r="CV18" s="63">
        <v>0</v>
      </c>
      <c r="CW18" s="63">
        <v>0</v>
      </c>
      <c r="CX18" s="63">
        <v>0</v>
      </c>
      <c r="CY18" s="63">
        <v>0</v>
      </c>
    </row>
    <row r="19" spans="2:155">
      <c r="B19" s="36" t="s">
        <v>958</v>
      </c>
      <c r="AQ19" s="59"/>
      <c r="AR19" s="59"/>
      <c r="AS19" s="59"/>
      <c r="AT19" s="59"/>
      <c r="AU19" s="59">
        <f t="shared" si="9"/>
        <v>-0.10952796249863728</v>
      </c>
      <c r="AV19" s="59">
        <f t="shared" si="9"/>
        <v>-5.00360995033583E-2</v>
      </c>
      <c r="AW19" s="59">
        <f t="shared" si="9"/>
        <v>-3.0806789118809519E-2</v>
      </c>
      <c r="AX19" s="59">
        <f t="shared" si="9"/>
        <v>-0.13655363660461295</v>
      </c>
      <c r="AY19" s="59">
        <f t="shared" si="9"/>
        <v>-0.14900285249072642</v>
      </c>
      <c r="AZ19" s="59">
        <f t="shared" si="9"/>
        <v>-0.16939198526024879</v>
      </c>
      <c r="BA19" s="59">
        <f t="shared" si="9"/>
        <v>-0.16156890967974091</v>
      </c>
      <c r="BB19" s="59">
        <f t="shared" si="9"/>
        <v>-0.13089784159070439</v>
      </c>
      <c r="BC19" s="59">
        <f t="shared" si="9"/>
        <v>3.0757279318678776E-2</v>
      </c>
      <c r="BD19" s="59">
        <f t="shared" si="9"/>
        <v>5.2959933453486929E-2</v>
      </c>
      <c r="BE19" s="59">
        <f t="shared" si="9"/>
        <v>8.7739628040057083E-2</v>
      </c>
      <c r="BF19" s="59">
        <f t="shared" si="9"/>
        <v>-7.2507676004674559E-2</v>
      </c>
      <c r="BG19" s="59">
        <f t="shared" si="9"/>
        <v>-0.26713189113747393</v>
      </c>
      <c r="BH19" s="59">
        <f t="shared" si="9"/>
        <v>-0.45095457537853845</v>
      </c>
      <c r="BI19" s="59">
        <f t="shared" si="9"/>
        <v>-0.27978640853313697</v>
      </c>
      <c r="BJ19" s="59">
        <f t="shared" si="9"/>
        <v>-0.14672838330721039</v>
      </c>
      <c r="BK19" s="59">
        <f t="shared" si="9"/>
        <v>2.0757950866501673E-2</v>
      </c>
      <c r="BL19" s="59">
        <f t="shared" si="12"/>
        <v>0.43501199040767391</v>
      </c>
      <c r="BM19" s="59">
        <f t="shared" si="12"/>
        <v>0.44393718042366692</v>
      </c>
      <c r="BN19" s="59"/>
      <c r="BO19" s="59">
        <f t="shared" si="10"/>
        <v>-1</v>
      </c>
      <c r="BP19" s="59">
        <f t="shared" si="10"/>
        <v>-1</v>
      </c>
      <c r="CL19" s="59">
        <f t="shared" si="11"/>
        <v>-8.3498978897209031E-2</v>
      </c>
      <c r="CM19" s="59">
        <f t="shared" si="11"/>
        <v>-0.15282023857272298</v>
      </c>
      <c r="CN19" s="59">
        <f t="shared" si="11"/>
        <v>2.368594554406811E-2</v>
      </c>
      <c r="CO19" s="59">
        <f t="shared" si="13"/>
        <v>-0.29009736144322407</v>
      </c>
      <c r="CP19" s="63">
        <v>0.02</v>
      </c>
      <c r="CQ19" s="63">
        <v>0.02</v>
      </c>
      <c r="CR19" s="63">
        <v>0.02</v>
      </c>
      <c r="CS19" s="63">
        <v>0.02</v>
      </c>
      <c r="CT19" s="63">
        <v>0.02</v>
      </c>
      <c r="CU19" s="63">
        <v>0.02</v>
      </c>
      <c r="CV19" s="63">
        <v>0.02</v>
      </c>
      <c r="CW19" s="63">
        <v>0.02</v>
      </c>
      <c r="CX19" s="63">
        <v>0.02</v>
      </c>
      <c r="CY19" s="63">
        <v>0.02</v>
      </c>
    </row>
    <row r="20" spans="2:155" s="2" customFormat="1" ht="15">
      <c r="B20" s="33" t="s">
        <v>959</v>
      </c>
      <c r="AQ20" s="60"/>
      <c r="AR20" s="60"/>
      <c r="AS20" s="60"/>
      <c r="AT20" s="60"/>
      <c r="AU20" s="60">
        <f t="shared" si="9"/>
        <v>5.2028080257398024E-3</v>
      </c>
      <c r="AV20" s="60">
        <f t="shared" si="9"/>
        <v>0.25820503324339117</v>
      </c>
      <c r="AW20" s="60">
        <f t="shared" si="9"/>
        <v>0.11452236983887731</v>
      </c>
      <c r="AX20" s="60">
        <f t="shared" si="9"/>
        <v>0.16919665804838036</v>
      </c>
      <c r="AY20" s="60">
        <f t="shared" si="9"/>
        <v>1.2282655678637733E-2</v>
      </c>
      <c r="AZ20" s="60">
        <f t="shared" si="9"/>
        <v>-1.2509811616954525E-2</v>
      </c>
      <c r="BA20" s="60">
        <f t="shared" si="9"/>
        <v>-1.9267927298277421E-2</v>
      </c>
      <c r="BB20" s="60">
        <f t="shared" si="9"/>
        <v>-5.1195367875663811E-3</v>
      </c>
      <c r="BC20" s="60">
        <f t="shared" si="9"/>
        <v>0.10785927117228322</v>
      </c>
      <c r="BD20" s="60">
        <f t="shared" si="9"/>
        <v>5.4959795036301662E-2</v>
      </c>
      <c r="BE20" s="60">
        <f t="shared" si="9"/>
        <v>8.683648372962649E-2</v>
      </c>
      <c r="BF20" s="60">
        <f t="shared" si="9"/>
        <v>2.0967388752139993E-2</v>
      </c>
      <c r="BG20" s="60">
        <f t="shared" si="9"/>
        <v>3.7877338584892506E-2</v>
      </c>
      <c r="BH20" s="60">
        <f t="shared" si="9"/>
        <v>8.6446413314766879E-3</v>
      </c>
      <c r="BI20" s="60">
        <f t="shared" si="9"/>
        <v>2.4080453071051444E-2</v>
      </c>
      <c r="BJ20" s="60">
        <f t="shared" si="9"/>
        <v>2.7770851071801994E-2</v>
      </c>
      <c r="BK20" s="60">
        <f t="shared" si="9"/>
        <v>-5.0292277186928636E-2</v>
      </c>
      <c r="BL20" s="60">
        <f t="shared" si="12"/>
        <v>4.1605527839286838E-2</v>
      </c>
      <c r="BM20" s="60">
        <f t="shared" si="12"/>
        <v>0.19447213696415</v>
      </c>
      <c r="BN20" s="60"/>
      <c r="BO20" s="60">
        <f t="shared" si="10"/>
        <v>-0.21757335312250248</v>
      </c>
      <c r="BP20" s="60">
        <f t="shared" si="10"/>
        <v>-0.26960107575078429</v>
      </c>
      <c r="BQ20" s="34"/>
      <c r="BR20" s="34"/>
      <c r="CL20" s="60">
        <f t="shared" si="11"/>
        <v>0.13396229080437294</v>
      </c>
      <c r="CM20" s="60">
        <f t="shared" si="11"/>
        <v>-6.5960600180243745E-3</v>
      </c>
      <c r="CN20" s="60">
        <f t="shared" si="11"/>
        <v>6.573250534570807E-2</v>
      </c>
      <c r="CO20" s="60">
        <f t="shared" si="13"/>
        <v>2.4481212714133838E-2</v>
      </c>
      <c r="CP20" s="66">
        <f>CP11/CO11-1</f>
        <v>6.2226271156405888E-2</v>
      </c>
      <c r="CQ20" s="66">
        <f t="shared" ref="CQ20:CY20" si="14">CQ11/CP11-1</f>
        <v>-0.23909052850048385</v>
      </c>
      <c r="CR20" s="66">
        <f t="shared" si="14"/>
        <v>9.4702380112805962E-2</v>
      </c>
      <c r="CS20" s="66">
        <f t="shared" si="14"/>
        <v>8.1019310864411498E-2</v>
      </c>
      <c r="CT20" s="66">
        <f t="shared" si="14"/>
        <v>6.8290058120768382E-2</v>
      </c>
      <c r="CU20" s="66">
        <f t="shared" si="14"/>
        <v>5.9534648379683919E-2</v>
      </c>
      <c r="CV20" s="66">
        <f t="shared" si="14"/>
        <v>5.4651400114489324E-2</v>
      </c>
      <c r="CW20" s="66">
        <f t="shared" si="14"/>
        <v>4.9455961879246724E-2</v>
      </c>
      <c r="CX20" s="66">
        <f t="shared" si="14"/>
        <v>4.4475358687970701E-2</v>
      </c>
      <c r="CY20" s="66">
        <f t="shared" si="14"/>
        <v>3.927420275599447E-2</v>
      </c>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row>
    <row r="21" spans="2:155">
      <c r="AQ21" s="59"/>
      <c r="AR21" s="59"/>
      <c r="AS21" s="59"/>
      <c r="AT21" s="59"/>
      <c r="AU21" s="59"/>
      <c r="AV21" s="59"/>
      <c r="AW21" s="59"/>
      <c r="AX21" s="59"/>
      <c r="AY21" s="59"/>
      <c r="AZ21" s="59"/>
      <c r="BA21" s="59"/>
      <c r="BB21" s="59"/>
      <c r="BC21" s="59"/>
      <c r="BD21" s="59"/>
      <c r="BE21" s="59"/>
      <c r="BF21" s="59"/>
      <c r="BG21" s="59"/>
      <c r="BH21" s="59"/>
      <c r="BI21" s="59"/>
      <c r="BJ21" s="59"/>
      <c r="BK21" s="59"/>
      <c r="BL21" s="59"/>
      <c r="BN21" s="59"/>
    </row>
    <row r="22" spans="2:155">
      <c r="B22" s="36" t="s">
        <v>960</v>
      </c>
      <c r="AQ22" s="59">
        <f t="shared" ref="AQ22:BK22" si="15">AQ4/AQ11</f>
        <v>0.2382572099565349</v>
      </c>
      <c r="AR22" s="59">
        <f t="shared" si="15"/>
        <v>0.29091582455954712</v>
      </c>
      <c r="AS22" s="59">
        <f t="shared" si="15"/>
        <v>0.25474351363009112</v>
      </c>
      <c r="AT22" s="59">
        <f t="shared" si="15"/>
        <v>0.27994598866068754</v>
      </c>
      <c r="AU22" s="59">
        <f t="shared" si="15"/>
        <v>0.25866774359443573</v>
      </c>
      <c r="AV22" s="59">
        <f t="shared" si="15"/>
        <v>0.23510035882484859</v>
      </c>
      <c r="AW22" s="59">
        <f t="shared" si="15"/>
        <v>0.25058873428911316</v>
      </c>
      <c r="AX22" s="59">
        <f t="shared" si="15"/>
        <v>0.25337835621004667</v>
      </c>
      <c r="AY22" s="59">
        <f t="shared" si="15"/>
        <v>0.25889528867611677</v>
      </c>
      <c r="AZ22" s="59">
        <f t="shared" si="15"/>
        <v>0.23264231421616291</v>
      </c>
      <c r="BA22" s="59">
        <f t="shared" si="15"/>
        <v>0.24338212916406379</v>
      </c>
      <c r="BB22" s="59">
        <f t="shared" si="15"/>
        <v>0.24593909366005262</v>
      </c>
      <c r="BC22" s="59">
        <f t="shared" si="15"/>
        <v>0.24989449992966664</v>
      </c>
      <c r="BD22" s="59">
        <f t="shared" si="15"/>
        <v>0.23382241148492736</v>
      </c>
      <c r="BE22" s="59">
        <f t="shared" si="15"/>
        <v>0.22764757031671834</v>
      </c>
      <c r="BF22" s="59">
        <f t="shared" si="15"/>
        <v>0.24121517822881039</v>
      </c>
      <c r="BG22" s="59">
        <f t="shared" si="15"/>
        <v>0.24578932459777156</v>
      </c>
      <c r="BH22" s="59">
        <f t="shared" si="15"/>
        <v>0.24157618120214494</v>
      </c>
      <c r="BI22" s="59">
        <f t="shared" si="15"/>
        <v>0.23665983729881496</v>
      </c>
      <c r="BJ22" s="59">
        <f t="shared" si="15"/>
        <v>0.23800993373737073</v>
      </c>
      <c r="BK22" s="59">
        <f t="shared" si="15"/>
        <v>0.2602466034935495</v>
      </c>
      <c r="BL22" s="59">
        <f>BL4/BL11</f>
        <v>0.23760005122622785</v>
      </c>
      <c r="BM22" s="59">
        <f>BM4/BM11</f>
        <v>0.20922463553817677</v>
      </c>
      <c r="BN22" s="59"/>
      <c r="BO22" s="59">
        <f t="shared" ref="BO22:BP22" si="16">BO4/BO11</f>
        <v>0.43193217841105164</v>
      </c>
      <c r="BP22" s="59">
        <f t="shared" si="16"/>
        <v>0.43191860179684816</v>
      </c>
      <c r="CK22" s="59">
        <f t="shared" ref="CK22:CN22" si="17">CK4/CK11</f>
        <v>0.26545489769519037</v>
      </c>
      <c r="CL22" s="59">
        <f t="shared" si="17"/>
        <v>0.24923511045873437</v>
      </c>
      <c r="CM22" s="59">
        <f t="shared" si="17"/>
        <v>0.24493232591335654</v>
      </c>
      <c r="CN22" s="59">
        <f t="shared" si="17"/>
        <v>0.23803784520681734</v>
      </c>
      <c r="CO22" s="59">
        <f>CO4/CO11</f>
        <v>0.24043219842851252</v>
      </c>
      <c r="CP22" s="63"/>
      <c r="CQ22" s="63"/>
      <c r="CR22" s="63"/>
      <c r="CS22" s="63"/>
      <c r="CT22" s="63"/>
      <c r="CU22" s="63"/>
      <c r="CV22" s="63"/>
      <c r="CW22" s="63"/>
      <c r="CX22" s="63"/>
      <c r="CY22" s="63"/>
    </row>
    <row r="23" spans="2:155">
      <c r="B23" s="36" t="s">
        <v>961</v>
      </c>
      <c r="AQ23" s="59">
        <f t="shared" ref="AQ23:BK23" si="18">AQ5/AQ11</f>
        <v>0.15846284852550108</v>
      </c>
      <c r="AR23" s="59">
        <f t="shared" si="18"/>
        <v>0.14566072341851402</v>
      </c>
      <c r="AS23" s="59">
        <f t="shared" si="18"/>
        <v>0.14830990690441667</v>
      </c>
      <c r="AT23" s="59">
        <f t="shared" si="18"/>
        <v>0.16376176703006681</v>
      </c>
      <c r="AU23" s="59">
        <f t="shared" si="18"/>
        <v>0.15171588037267589</v>
      </c>
      <c r="AV23" s="59">
        <f t="shared" si="18"/>
        <v>0.15709800403677954</v>
      </c>
      <c r="AW23" s="59">
        <f t="shared" si="18"/>
        <v>0.14895655862136925</v>
      </c>
      <c r="AX23" s="59">
        <f t="shared" si="18"/>
        <v>0.15084719737841915</v>
      </c>
      <c r="AY23" s="59">
        <f t="shared" si="18"/>
        <v>0.15093004700103479</v>
      </c>
      <c r="AZ23" s="59">
        <f t="shared" si="18"/>
        <v>0.16229604763560748</v>
      </c>
      <c r="BA23" s="59">
        <f t="shared" si="18"/>
        <v>0.1421209513366796</v>
      </c>
      <c r="BB23" s="59">
        <f t="shared" si="18"/>
        <v>0.17969032373806532</v>
      </c>
      <c r="BC23" s="59">
        <f t="shared" si="18"/>
        <v>0.1644253762835842</v>
      </c>
      <c r="BD23" s="59">
        <f t="shared" si="18"/>
        <v>0.16788768020881686</v>
      </c>
      <c r="BE23" s="59">
        <f t="shared" si="18"/>
        <v>0.17965414075803923</v>
      </c>
      <c r="BF23" s="59">
        <f t="shared" si="18"/>
        <v>0.1752959067259105</v>
      </c>
      <c r="BG23" s="59">
        <f t="shared" si="18"/>
        <v>0.18251568457104442</v>
      </c>
      <c r="BH23" s="59">
        <f t="shared" si="18"/>
        <v>0.18828535602806604</v>
      </c>
      <c r="BI23" s="59">
        <f t="shared" si="18"/>
        <v>0.19606303951351881</v>
      </c>
      <c r="BJ23" s="59">
        <f t="shared" si="18"/>
        <v>0.20161011526504416</v>
      </c>
      <c r="BK23" s="59">
        <f t="shared" si="18"/>
        <v>0.19629809338965637</v>
      </c>
      <c r="BL23" s="59">
        <f>BL5/BL11</f>
        <v>0.21772427482871232</v>
      </c>
      <c r="BM23" s="59">
        <f>BM5/BM11</f>
        <v>0.29179947206431617</v>
      </c>
      <c r="BN23" s="59"/>
      <c r="BO23" s="59">
        <f t="shared" ref="BO23:BP23" si="19">BO5/BO11</f>
        <v>0.37328138736589439</v>
      </c>
      <c r="BP23" s="59">
        <f t="shared" si="19"/>
        <v>0.3714923939039016</v>
      </c>
      <c r="CK23" s="59">
        <f t="shared" ref="CK23:CN23" si="20">CK5/CK11</f>
        <v>0.15435221752914563</v>
      </c>
      <c r="CL23" s="59">
        <f t="shared" si="20"/>
        <v>0.15215927356493336</v>
      </c>
      <c r="CM23" s="59">
        <f t="shared" si="20"/>
        <v>0.15944327243334347</v>
      </c>
      <c r="CN23" s="59">
        <f t="shared" si="20"/>
        <v>0.17194035269971106</v>
      </c>
      <c r="CO23" s="59">
        <f t="shared" ref="CO23" si="21">CO5/CO11</f>
        <v>0.19231753707539515</v>
      </c>
      <c r="CP23" s="63"/>
      <c r="CQ23" s="63"/>
      <c r="CR23" s="63"/>
      <c r="CS23" s="63"/>
      <c r="CT23" s="63"/>
      <c r="CU23" s="63"/>
      <c r="CV23" s="63"/>
      <c r="CW23" s="63"/>
      <c r="CX23" s="63"/>
      <c r="CY23" s="63"/>
    </row>
    <row r="24" spans="2:155">
      <c r="B24" s="36" t="s">
        <v>962</v>
      </c>
      <c r="AQ24" s="59">
        <f t="shared" ref="AQ24:BK24" si="22">AQ6/AQ11</f>
        <v>0.12004040461703623</v>
      </c>
      <c r="AR24" s="59">
        <f t="shared" si="22"/>
        <v>0.11439782727545281</v>
      </c>
      <c r="AS24" s="59">
        <f t="shared" si="22"/>
        <v>0.12039237345192184</v>
      </c>
      <c r="AT24" s="59">
        <f t="shared" si="22"/>
        <v>4.0798508550516713E-2</v>
      </c>
      <c r="AU24" s="59">
        <f t="shared" si="22"/>
        <v>0.13385349785929054</v>
      </c>
      <c r="AV24" s="59">
        <f t="shared" si="22"/>
        <v>0.13374635568513119</v>
      </c>
      <c r="AW24" s="59">
        <f t="shared" si="22"/>
        <v>0.13862568209633677</v>
      </c>
      <c r="AX24" s="59">
        <f t="shared" si="22"/>
        <v>0.13491114631166309</v>
      </c>
      <c r="AY24" s="59">
        <f t="shared" si="22"/>
        <v>0.13550198850531725</v>
      </c>
      <c r="AZ24" s="59">
        <f t="shared" si="22"/>
        <v>0.14860577844332626</v>
      </c>
      <c r="BA24" s="59">
        <f t="shared" si="22"/>
        <v>0.1583279819552989</v>
      </c>
      <c r="BB24" s="59">
        <f t="shared" si="22"/>
        <v>0.11676177511139954</v>
      </c>
      <c r="BC24" s="59">
        <f t="shared" si="22"/>
        <v>0.13128428752285834</v>
      </c>
      <c r="BD24" s="59">
        <f t="shared" si="22"/>
        <v>0.13567714114647453</v>
      </c>
      <c r="BE24" s="59">
        <f t="shared" si="22"/>
        <v>0.13077911446421561</v>
      </c>
      <c r="BF24" s="59">
        <f t="shared" si="22"/>
        <v>0.12684743861897702</v>
      </c>
      <c r="BG24" s="59">
        <f t="shared" si="22"/>
        <v>0.13058887788058718</v>
      </c>
      <c r="BH24" s="59">
        <f t="shared" si="22"/>
        <v>0.13671531094095987</v>
      </c>
      <c r="BI24" s="59">
        <f t="shared" si="22"/>
        <v>0.13233535597752852</v>
      </c>
      <c r="BJ24" s="59">
        <f t="shared" si="22"/>
        <v>0.11978815066796905</v>
      </c>
      <c r="BK24" s="59">
        <f t="shared" si="22"/>
        <v>0.12357289644936637</v>
      </c>
      <c r="BL24" s="59">
        <f>BL6/BL11</f>
        <v>0.12342959595312801</v>
      </c>
      <c r="BM24" s="59">
        <f>BM6/BM11</f>
        <v>0.11110746010361559</v>
      </c>
      <c r="BN24" s="59"/>
      <c r="BO24" s="59">
        <f t="shared" ref="BO24:BP24" si="23">BO6/BO11</f>
        <v>0</v>
      </c>
      <c r="BP24" s="59">
        <f t="shared" si="23"/>
        <v>0</v>
      </c>
      <c r="CK24" s="59">
        <f t="shared" ref="CK24:CN24" si="24">CK6/CK11</f>
        <v>9.7994668324154585E-2</v>
      </c>
      <c r="CL24" s="59">
        <f t="shared" si="24"/>
        <v>0.13530251755081582</v>
      </c>
      <c r="CM24" s="59">
        <f t="shared" si="24"/>
        <v>0.21094766651952832</v>
      </c>
      <c r="CN24" s="59">
        <f t="shared" si="24"/>
        <v>0.32903746362815756</v>
      </c>
      <c r="CO24" s="59">
        <f t="shared" ref="CO24" si="25">CO6/CO11</f>
        <v>0.12971465925290027</v>
      </c>
      <c r="CP24" s="63"/>
      <c r="CQ24" s="63"/>
      <c r="CR24" s="63"/>
      <c r="CS24" s="63"/>
      <c r="CT24" s="63"/>
      <c r="CU24" s="63"/>
      <c r="CV24" s="63"/>
      <c r="CW24" s="63"/>
      <c r="CX24" s="63"/>
      <c r="CY24" s="63"/>
    </row>
    <row r="25" spans="2:155">
      <c r="B25" s="36" t="s">
        <v>963</v>
      </c>
      <c r="AQ25" s="59">
        <f t="shared" ref="AQ25:BK25" si="26">AQ7/AQ11</f>
        <v>0.11961542669844487</v>
      </c>
      <c r="AR25" s="59">
        <f t="shared" si="26"/>
        <v>0.11864451616316599</v>
      </c>
      <c r="AS25" s="59">
        <f t="shared" si="26"/>
        <v>0.13086542762053163</v>
      </c>
      <c r="AT25" s="59">
        <f t="shared" si="26"/>
        <v>0.14158489523794909</v>
      </c>
      <c r="AU25" s="59">
        <f t="shared" si="26"/>
        <v>0.12681139986938042</v>
      </c>
      <c r="AV25" s="59">
        <f t="shared" si="26"/>
        <v>0.13761493608432385</v>
      </c>
      <c r="AW25" s="59">
        <f t="shared" si="26"/>
        <v>0.13257053743693153</v>
      </c>
      <c r="AX25" s="59">
        <f t="shared" si="26"/>
        <v>0.13957529236216551</v>
      </c>
      <c r="AY25" s="59">
        <f t="shared" si="26"/>
        <v>0.13978756030968323</v>
      </c>
      <c r="AZ25" s="59">
        <f t="shared" si="26"/>
        <v>0.14143062958205291</v>
      </c>
      <c r="BA25" s="59">
        <f t="shared" si="26"/>
        <v>0.1355973666851599</v>
      </c>
      <c r="BB25" s="59">
        <f t="shared" si="26"/>
        <v>0.1456966396775019</v>
      </c>
      <c r="BC25" s="59">
        <f t="shared" si="26"/>
        <v>0.13928822619215078</v>
      </c>
      <c r="BD25" s="59">
        <f t="shared" si="26"/>
        <v>0.14255249012761778</v>
      </c>
      <c r="BE25" s="59">
        <f t="shared" si="26"/>
        <v>0.15113086888191293</v>
      </c>
      <c r="BF25" s="59">
        <f t="shared" si="26"/>
        <v>0.14159206281323608</v>
      </c>
      <c r="BG25" s="59">
        <f t="shared" si="26"/>
        <v>0.14301455490243647</v>
      </c>
      <c r="BH25" s="59">
        <f t="shared" si="26"/>
        <v>0.1484673051783475</v>
      </c>
      <c r="BI25" s="59">
        <f t="shared" si="26"/>
        <v>0.14619818773173407</v>
      </c>
      <c r="BJ25" s="59">
        <f t="shared" si="26"/>
        <v>0.15326014399016438</v>
      </c>
      <c r="BK25" s="59">
        <f t="shared" si="26"/>
        <v>0.15095901358602579</v>
      </c>
      <c r="BL25" s="59">
        <f>BL7/BL11</f>
        <v>0.14604597553947624</v>
      </c>
      <c r="BM25" s="59">
        <f>BM7/BM11</f>
        <v>0.13457978729230333</v>
      </c>
      <c r="BN25" s="59"/>
      <c r="BO25" s="59">
        <f t="shared" ref="BO25:BP25" si="27">BO7/BO11</f>
        <v>0.19478643422305392</v>
      </c>
      <c r="BP25" s="59">
        <f t="shared" si="27"/>
        <v>0.19658900429925025</v>
      </c>
      <c r="CK25" s="59">
        <f t="shared" ref="CK25:CN25" si="28">CK7/CK11</f>
        <v>0.12802479774140363</v>
      </c>
      <c r="CL25" s="59">
        <f t="shared" si="28"/>
        <v>0.1344518493313534</v>
      </c>
      <c r="CM25" s="59">
        <f t="shared" si="28"/>
        <v>0.14077628855932448</v>
      </c>
      <c r="CN25" s="59">
        <f t="shared" si="28"/>
        <v>0.14367495549649772</v>
      </c>
      <c r="CO25" s="59">
        <f t="shared" ref="CO25" si="29">CO7/CO11</f>
        <v>0.14782903182616502</v>
      </c>
      <c r="CP25" s="63"/>
      <c r="CQ25" s="63"/>
      <c r="CR25" s="63"/>
      <c r="CS25" s="63"/>
      <c r="CT25" s="63"/>
      <c r="CU25" s="63"/>
      <c r="CV25" s="63"/>
      <c r="CW25" s="63"/>
      <c r="CX25" s="63"/>
      <c r="CY25" s="63"/>
    </row>
    <row r="26" spans="2:155">
      <c r="B26" s="36" t="s">
        <v>964</v>
      </c>
      <c r="AQ26" s="59">
        <f t="shared" ref="AQ26:BK26" si="30">AQ8/AQ11</f>
        <v>0.11764593947870433</v>
      </c>
      <c r="AR26" s="59">
        <f t="shared" si="30"/>
        <v>7.0701726540041976E-2</v>
      </c>
      <c r="AS26" s="59">
        <f t="shared" si="30"/>
        <v>0.13014918531416775</v>
      </c>
      <c r="AT26" s="59">
        <f t="shared" si="30"/>
        <v>0.14418879418150568</v>
      </c>
      <c r="AU26" s="59">
        <f t="shared" si="30"/>
        <v>0.11572766768364826</v>
      </c>
      <c r="AV26" s="59">
        <f t="shared" si="30"/>
        <v>0.12928907826867009</v>
      </c>
      <c r="AW26" s="59">
        <f t="shared" si="30"/>
        <v>0.11868511962480953</v>
      </c>
      <c r="AX26" s="59">
        <f t="shared" si="30"/>
        <v>0.12198828582789906</v>
      </c>
      <c r="AY26" s="59">
        <f t="shared" si="30"/>
        <v>0.11670780815598861</v>
      </c>
      <c r="AZ26" s="59">
        <f t="shared" si="30"/>
        <v>0.11328360645266602</v>
      </c>
      <c r="BA26" s="59">
        <f t="shared" si="30"/>
        <v>0.11499128489862961</v>
      </c>
      <c r="BB26" s="59">
        <f t="shared" si="30"/>
        <v>0.11761392567031008</v>
      </c>
      <c r="BC26" s="59">
        <f t="shared" si="30"/>
        <v>0.10602053734702491</v>
      </c>
      <c r="BD26" s="59">
        <f t="shared" si="30"/>
        <v>0.10469097929995223</v>
      </c>
      <c r="BE26" s="59">
        <f t="shared" si="30"/>
        <v>9.8639688198796052E-2</v>
      </c>
      <c r="BF26" s="59">
        <f t="shared" si="30"/>
        <v>0.12013664488738041</v>
      </c>
      <c r="BG26" s="59">
        <f t="shared" si="30"/>
        <v>0.10807411493480178</v>
      </c>
      <c r="BH26" s="59">
        <f t="shared" si="30"/>
        <v>0.11085025211429179</v>
      </c>
      <c r="BI26" s="59">
        <f t="shared" si="30"/>
        <v>0.1090998055854286</v>
      </c>
      <c r="BJ26" s="59">
        <f t="shared" si="30"/>
        <v>0.10668145036085543</v>
      </c>
      <c r="BK26" s="59">
        <f t="shared" si="30"/>
        <v>0.10126726795296265</v>
      </c>
      <c r="BL26" s="59">
        <f>BL8/BL11</f>
        <v>9.7816482038803873E-2</v>
      </c>
      <c r="BM26" s="59">
        <f>BM8/BM11</f>
        <v>7.8609842386006407E-2</v>
      </c>
      <c r="BN26" s="59"/>
      <c r="BO26" s="59">
        <f t="shared" ref="BO26:BP26" si="31">BO8/BO11</f>
        <v>0</v>
      </c>
      <c r="BP26" s="59">
        <f t="shared" si="31"/>
        <v>0</v>
      </c>
      <c r="CK26" s="59">
        <f t="shared" ref="CK26:CN26" si="32">CK8/CK11</f>
        <v>0.11705470315561753</v>
      </c>
      <c r="CL26" s="59">
        <f t="shared" si="32"/>
        <v>0.12160640328934536</v>
      </c>
      <c r="CM26" s="59">
        <f t="shared" si="32"/>
        <v>0.11566722464586474</v>
      </c>
      <c r="CN26" s="59">
        <f t="shared" si="32"/>
        <v>0.10750936716776184</v>
      </c>
      <c r="CO26" s="59">
        <f t="shared" ref="CO26" si="33">CO8/CO11</f>
        <v>0.10865079427585826</v>
      </c>
      <c r="CP26" s="63"/>
      <c r="CQ26" s="63"/>
      <c r="CR26" s="63"/>
      <c r="CS26" s="63"/>
      <c r="CT26" s="63"/>
      <c r="CU26" s="63"/>
      <c r="CV26" s="63"/>
      <c r="CW26" s="63"/>
      <c r="CX26" s="63"/>
      <c r="CY26" s="63"/>
    </row>
    <row r="27" spans="2:155">
      <c r="B27" s="36" t="s">
        <v>965</v>
      </c>
      <c r="AQ27" s="59">
        <f t="shared" ref="AQ27:BK27" si="34">AQ9/AQ11</f>
        <v>0.10051837791637133</v>
      </c>
      <c r="AR27" s="59">
        <f t="shared" si="34"/>
        <v>9.846392607093099E-2</v>
      </c>
      <c r="AS27" s="59">
        <f t="shared" si="34"/>
        <v>7.8625897093488717E-2</v>
      </c>
      <c r="AT27" s="59">
        <f t="shared" si="34"/>
        <v>7.9215608049530858E-2</v>
      </c>
      <c r="AU27" s="59">
        <f t="shared" si="34"/>
        <v>8.4366353158690136E-2</v>
      </c>
      <c r="AV27" s="59">
        <f t="shared" si="34"/>
        <v>8.5431150482170884E-2</v>
      </c>
      <c r="AW27" s="59">
        <f t="shared" si="34"/>
        <v>9.1512657965728453E-2</v>
      </c>
      <c r="AX27" s="59">
        <f t="shared" si="34"/>
        <v>8.8152885300590705E-2</v>
      </c>
      <c r="AY27" s="59">
        <f t="shared" si="34"/>
        <v>8.9850519255463723E-2</v>
      </c>
      <c r="AZ27" s="59">
        <f t="shared" si="34"/>
        <v>9.9359133588355117E-2</v>
      </c>
      <c r="BA27" s="59">
        <f t="shared" si="34"/>
        <v>0.10379489150900124</v>
      </c>
      <c r="BB27" s="59">
        <f t="shared" si="34"/>
        <v>9.7203204930337378E-2</v>
      </c>
      <c r="BC27" s="59">
        <f t="shared" si="34"/>
        <v>0.10829933886622591</v>
      </c>
      <c r="BD27" s="59">
        <f t="shared" si="34"/>
        <v>0.11318089164261641</v>
      </c>
      <c r="BE27" s="59">
        <f t="shared" si="34"/>
        <v>0.1102786408404377</v>
      </c>
      <c r="BF27" s="59">
        <f t="shared" si="34"/>
        <v>0.10670730525584092</v>
      </c>
      <c r="BG27" s="59">
        <f t="shared" si="34"/>
        <v>0.11884899847796299</v>
      </c>
      <c r="BH27" s="59">
        <f t="shared" si="34"/>
        <v>0.11848037777125628</v>
      </c>
      <c r="BI27" s="59">
        <f t="shared" si="34"/>
        <v>0.10800082685066711</v>
      </c>
      <c r="BJ27" s="59">
        <f t="shared" si="34"/>
        <v>0.10742063507029168</v>
      </c>
      <c r="BK27" s="59">
        <f t="shared" si="34"/>
        <v>9.1163374814476533E-2</v>
      </c>
      <c r="BL27" s="59">
        <f>BL9/BL11</f>
        <v>0.100749183581994</v>
      </c>
      <c r="BM27" s="59">
        <f>BM9/BM11</f>
        <v>8.8073253814390073E-2</v>
      </c>
      <c r="BN27" s="59"/>
      <c r="BO27" s="59">
        <f t="shared" ref="BO27:BP27" si="35">BO9/BO11</f>
        <v>0</v>
      </c>
      <c r="BP27" s="59">
        <f t="shared" si="35"/>
        <v>0</v>
      </c>
      <c r="CK27" s="59">
        <f t="shared" ref="CK27:CN27" si="36">CK9/CK11</f>
        <v>8.8893283743231979E-2</v>
      </c>
      <c r="CL27" s="59">
        <f t="shared" si="36"/>
        <v>8.7444777751359989E-2</v>
      </c>
      <c r="CM27" s="59">
        <f t="shared" si="36"/>
        <v>9.7678844753753477E-2</v>
      </c>
      <c r="CN27" s="59">
        <f t="shared" si="36"/>
        <v>0.10960149404014477</v>
      </c>
      <c r="CO27" s="59">
        <f t="shared" ref="CO27" si="37">CO9/CO11</f>
        <v>0.11305403071042468</v>
      </c>
      <c r="CP27" s="63"/>
      <c r="CQ27" s="63"/>
      <c r="CR27" s="63"/>
      <c r="CS27" s="63"/>
      <c r="CT27" s="63"/>
      <c r="CU27" s="63"/>
      <c r="CV27" s="63"/>
      <c r="CW27" s="63"/>
      <c r="CX27" s="63"/>
      <c r="CY27" s="63"/>
    </row>
    <row r="28" spans="2:155">
      <c r="B28" s="36" t="s">
        <v>966</v>
      </c>
      <c r="AQ28" s="59">
        <f t="shared" ref="AQ28:BK28" si="38">AQ10/AQ11</f>
        <v>0.14545979280740731</v>
      </c>
      <c r="AR28" s="59">
        <f t="shared" si="38"/>
        <v>0.16121545597234715</v>
      </c>
      <c r="AS28" s="59">
        <f t="shared" si="38"/>
        <v>0.13691369598538228</v>
      </c>
      <c r="AT28" s="59">
        <f t="shared" si="38"/>
        <v>0.15050443828974322</v>
      </c>
      <c r="AU28" s="59">
        <f t="shared" si="38"/>
        <v>0.12885745746187896</v>
      </c>
      <c r="AV28" s="59">
        <f t="shared" si="38"/>
        <v>0.1217201166180758</v>
      </c>
      <c r="AW28" s="59">
        <f t="shared" si="38"/>
        <v>0.11906070996571132</v>
      </c>
      <c r="AX28" s="59">
        <f t="shared" si="38"/>
        <v>0.11114683660921561</v>
      </c>
      <c r="AY28" s="59">
        <f t="shared" si="38"/>
        <v>0.10832678809639577</v>
      </c>
      <c r="AZ28" s="59">
        <f t="shared" si="38"/>
        <v>0.10238249008182934</v>
      </c>
      <c r="BA28" s="59">
        <f t="shared" si="38"/>
        <v>0.10178539445116706</v>
      </c>
      <c r="BB28" s="59">
        <f t="shared" si="38"/>
        <v>9.7095037212333257E-2</v>
      </c>
      <c r="BC28" s="59">
        <f t="shared" si="38"/>
        <v>0.10078773385848926</v>
      </c>
      <c r="BD28" s="59">
        <f t="shared" si="38"/>
        <v>0.10218840608959481</v>
      </c>
      <c r="BE28" s="59">
        <f t="shared" si="38"/>
        <v>0.10186997653988021</v>
      </c>
      <c r="BF28" s="59">
        <f t="shared" si="38"/>
        <v>8.8205463469844661E-2</v>
      </c>
      <c r="BG28" s="59">
        <f t="shared" si="38"/>
        <v>7.1168444635395553E-2</v>
      </c>
      <c r="BH28" s="59">
        <f t="shared" si="38"/>
        <v>5.5625216764933434E-2</v>
      </c>
      <c r="BI28" s="59">
        <f t="shared" si="38"/>
        <v>7.1642947042308072E-2</v>
      </c>
      <c r="BJ28" s="59">
        <f t="shared" si="38"/>
        <v>7.3229570908304648E-2</v>
      </c>
      <c r="BK28" s="59">
        <f t="shared" si="38"/>
        <v>7.6492750313962785E-2</v>
      </c>
      <c r="BL28" s="59">
        <f>BL10/BL11</f>
        <v>7.6634436831657826E-2</v>
      </c>
      <c r="BM28" s="59">
        <f>BM10/BM11</f>
        <v>8.6605548801191687E-2</v>
      </c>
      <c r="BN28" s="59"/>
      <c r="BO28" s="59">
        <f t="shared" ref="BO28:BP28" si="39">BO10/BO11</f>
        <v>0</v>
      </c>
      <c r="BP28" s="59">
        <f t="shared" si="39"/>
        <v>0</v>
      </c>
      <c r="CK28" s="59">
        <f t="shared" ref="CK28:CN28" si="40">CK10/CK11</f>
        <v>0.14822543181125625</v>
      </c>
      <c r="CL28" s="59">
        <f t="shared" si="40"/>
        <v>0.11980006805345753</v>
      </c>
      <c r="CM28" s="59">
        <f t="shared" si="40"/>
        <v>0.10216608671226046</v>
      </c>
      <c r="CN28" s="59">
        <f t="shared" si="40"/>
        <v>9.8135307456584928E-2</v>
      </c>
      <c r="CO28" s="59">
        <f t="shared" ref="CO28" si="41">CO10/CO11</f>
        <v>6.8001748430744025E-2</v>
      </c>
      <c r="CP28" s="63"/>
      <c r="CQ28" s="63"/>
      <c r="CR28" s="63"/>
      <c r="CS28" s="63"/>
      <c r="CT28" s="63"/>
      <c r="CU28" s="63"/>
      <c r="CV28" s="63"/>
      <c r="CW28" s="63"/>
      <c r="CX28" s="63"/>
      <c r="CY28" s="63"/>
    </row>
    <row r="30" spans="2:155">
      <c r="B30" s="1" t="s">
        <v>116</v>
      </c>
      <c r="AQ30" s="57"/>
      <c r="AR30" s="57"/>
      <c r="AS30" s="57"/>
      <c r="AT30" s="57"/>
      <c r="AU30" s="57"/>
      <c r="AV30" s="57"/>
      <c r="AW30" s="57"/>
      <c r="AX30" s="57"/>
      <c r="AY30" s="57"/>
      <c r="AZ30" s="57"/>
      <c r="BA30" s="57"/>
      <c r="BB30" s="57"/>
      <c r="BC30" s="57">
        <f>411.86+76.99</f>
        <v>488.85</v>
      </c>
      <c r="BD30" s="57">
        <f>424.64+84.128</f>
        <v>508.76799999999997</v>
      </c>
      <c r="BE30" s="57">
        <f>428.206+82.309</f>
        <v>510.51499999999999</v>
      </c>
      <c r="BF30" s="57">
        <f>2041.4-SUM(BC30:BE30)</f>
        <v>533.26700000000028</v>
      </c>
      <c r="BG30" s="57">
        <v>494</v>
      </c>
      <c r="BH30" s="57">
        <v>515.6</v>
      </c>
      <c r="BI30" s="57">
        <f>433.3+82.6</f>
        <v>515.9</v>
      </c>
      <c r="BJ30" s="57">
        <f>2066.3-SUM(BG30:BI30)</f>
        <v>540.80000000000018</v>
      </c>
      <c r="BK30" s="57">
        <v>475.7</v>
      </c>
      <c r="BL30" s="57">
        <v>525.70000000000005</v>
      </c>
      <c r="BM30" s="57">
        <v>555.9</v>
      </c>
      <c r="BN30" s="57">
        <f>1279.197-SUM(BK30:BM30)</f>
        <v>-278.10300000000029</v>
      </c>
      <c r="BO30" s="57">
        <v>332.65300000000002</v>
      </c>
      <c r="BP30" s="57">
        <v>348.83800000000002</v>
      </c>
      <c r="CN30" s="1">
        <f>SUM(BC30:BF30)</f>
        <v>2041.4</v>
      </c>
      <c r="CO30" s="1">
        <f>SUM(BG30:BJ30)</f>
        <v>2066.3000000000002</v>
      </c>
    </row>
    <row r="31" spans="2:155">
      <c r="B31" s="1" t="s">
        <v>981</v>
      </c>
      <c r="AQ31" s="57"/>
      <c r="AR31" s="57"/>
      <c r="AS31" s="57"/>
      <c r="AT31" s="57"/>
      <c r="AU31" s="57"/>
      <c r="AV31" s="57"/>
      <c r="AW31" s="57"/>
      <c r="AX31" s="57"/>
      <c r="AY31" s="57"/>
      <c r="AZ31" s="57"/>
      <c r="BA31" s="57"/>
      <c r="BB31" s="57"/>
      <c r="BC31" s="57">
        <v>143.34</v>
      </c>
      <c r="BD31" s="57">
        <v>147.809</v>
      </c>
      <c r="BE31" s="57">
        <v>142.72300000000001</v>
      </c>
      <c r="BF31" s="57">
        <f>586.2-SUM(BC31:BE31)</f>
        <v>152.32800000000003</v>
      </c>
      <c r="BG31" s="57">
        <v>159.6</v>
      </c>
      <c r="BH31" s="57">
        <v>147.1</v>
      </c>
      <c r="BI31" s="57">
        <v>150.22</v>
      </c>
      <c r="BJ31" s="57">
        <f>618-SUM(BG31:BI31)</f>
        <v>161.08000000000004</v>
      </c>
      <c r="BK31" s="57">
        <v>151.19999999999999</v>
      </c>
      <c r="BL31" s="57">
        <v>166.2</v>
      </c>
      <c r="BM31" s="57">
        <v>234.24</v>
      </c>
      <c r="BN31" s="57">
        <f>472.411-SUM(BK31:BM31)</f>
        <v>-79.228999999999985</v>
      </c>
      <c r="BO31" s="57">
        <v>146.678</v>
      </c>
      <c r="BP31" s="57">
        <v>145.53100000000001</v>
      </c>
      <c r="CN31" s="1">
        <f>SUM(BC31:BF31)</f>
        <v>586.20000000000005</v>
      </c>
      <c r="CO31" s="57">
        <f>SUM(BG31:BJ31)</f>
        <v>618</v>
      </c>
    </row>
    <row r="32" spans="2:155">
      <c r="B32" s="1" t="s">
        <v>982</v>
      </c>
      <c r="AQ32" s="57"/>
      <c r="AR32" s="57"/>
      <c r="AS32" s="57"/>
      <c r="AT32" s="57"/>
      <c r="AU32" s="57"/>
      <c r="AV32" s="57"/>
      <c r="AW32" s="57"/>
      <c r="AX32" s="57"/>
      <c r="AY32" s="57"/>
      <c r="AZ32" s="57"/>
      <c r="BA32" s="57"/>
      <c r="BB32" s="57"/>
      <c r="BC32" s="57">
        <v>78.730999999999995</v>
      </c>
      <c r="BD32" s="57">
        <v>86.677999999999997</v>
      </c>
      <c r="BE32" s="57">
        <v>93.150999999999996</v>
      </c>
      <c r="BF32" s="57">
        <f>346.9-SUM(BC32:BE32)</f>
        <v>88.339999999999975</v>
      </c>
      <c r="BG32" s="57">
        <v>84.2</v>
      </c>
      <c r="BH32" s="57">
        <v>87</v>
      </c>
      <c r="BI32" s="57">
        <v>98.26</v>
      </c>
      <c r="BJ32" s="57">
        <f>363-SUM(BG32:BI32)</f>
        <v>93.54000000000002</v>
      </c>
      <c r="BK32" s="57">
        <v>73.8</v>
      </c>
      <c r="BL32" s="57">
        <v>89</v>
      </c>
      <c r="BM32" s="57">
        <v>122.87</v>
      </c>
      <c r="BN32" s="57">
        <f>241.105-SUM(BK32:BM32)</f>
        <v>-44.565000000000026</v>
      </c>
      <c r="BO32" s="57">
        <v>68.930000000000007</v>
      </c>
      <c r="BP32" s="57">
        <v>75.962999999999994</v>
      </c>
      <c r="CN32" s="1">
        <f>SUM(BC32:BF32)</f>
        <v>346.9</v>
      </c>
      <c r="CO32" s="57">
        <f>SUM(BG32:BJ32)</f>
        <v>363</v>
      </c>
    </row>
    <row r="33" spans="2:155" s="2" customFormat="1" ht="15">
      <c r="B33" s="2" t="s">
        <v>115</v>
      </c>
      <c r="AQ33" s="58"/>
      <c r="AR33" s="58"/>
      <c r="AS33" s="58"/>
      <c r="AT33" s="58"/>
      <c r="AU33" s="58"/>
      <c r="AV33" s="58"/>
      <c r="AW33" s="58"/>
      <c r="AX33" s="58"/>
      <c r="AY33" s="58"/>
      <c r="AZ33" s="58"/>
      <c r="BA33" s="58"/>
      <c r="BB33" s="58"/>
      <c r="BC33" s="58">
        <f t="shared" ref="BC33:BP33" si="42">SUM(BC30:BC32)</f>
        <v>710.92100000000005</v>
      </c>
      <c r="BD33" s="58">
        <f t="shared" si="42"/>
        <v>743.255</v>
      </c>
      <c r="BE33" s="58">
        <f t="shared" si="42"/>
        <v>746.38900000000001</v>
      </c>
      <c r="BF33" s="58">
        <f t="shared" si="42"/>
        <v>773.93500000000017</v>
      </c>
      <c r="BG33" s="58">
        <f t="shared" si="42"/>
        <v>737.80000000000007</v>
      </c>
      <c r="BH33" s="58">
        <f t="shared" si="42"/>
        <v>749.7</v>
      </c>
      <c r="BI33" s="58">
        <f t="shared" si="42"/>
        <v>764.38</v>
      </c>
      <c r="BJ33" s="58">
        <f t="shared" si="42"/>
        <v>795.4200000000003</v>
      </c>
      <c r="BK33" s="58">
        <f t="shared" si="42"/>
        <v>700.69999999999993</v>
      </c>
      <c r="BL33" s="58">
        <f t="shared" si="42"/>
        <v>780.90000000000009</v>
      </c>
      <c r="BM33" s="58">
        <f t="shared" si="42"/>
        <v>913.01</v>
      </c>
      <c r="BN33" s="58">
        <f t="shared" si="42"/>
        <v>-401.89700000000028</v>
      </c>
      <c r="BO33" s="58">
        <f t="shared" si="42"/>
        <v>548.26099999999997</v>
      </c>
      <c r="BP33" s="58">
        <f t="shared" si="42"/>
        <v>570.33199999999999</v>
      </c>
      <c r="BQ33" s="34"/>
      <c r="BR33" s="34"/>
      <c r="CN33" s="1">
        <f>SUM(BC33:BF33)</f>
        <v>2974.5</v>
      </c>
      <c r="CO33" s="1">
        <f>SUM(BG33:BJ33)</f>
        <v>3047.3</v>
      </c>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row>
    <row r="34" spans="2:155">
      <c r="CK34" s="59"/>
      <c r="CL34" s="59"/>
      <c r="CM34" s="59"/>
      <c r="CN34" s="59"/>
      <c r="CO34" s="59"/>
    </row>
    <row r="35" spans="2:155">
      <c r="B35" s="1" t="s">
        <v>983</v>
      </c>
      <c r="AU35" s="59"/>
      <c r="AV35" s="59"/>
      <c r="AW35" s="59"/>
      <c r="AX35" s="59"/>
      <c r="AY35" s="59"/>
      <c r="AZ35" s="59"/>
      <c r="BA35" s="59"/>
      <c r="BB35" s="59"/>
      <c r="BC35" s="59"/>
      <c r="BD35" s="59"/>
      <c r="BE35" s="59"/>
      <c r="BF35" s="59"/>
      <c r="BG35" s="59">
        <f t="shared" ref="BG35:BP38" si="43">BG30/BC30-1</f>
        <v>1.0534928914800012E-2</v>
      </c>
      <c r="BH35" s="59">
        <f t="shared" si="43"/>
        <v>1.3428517516825167E-2</v>
      </c>
      <c r="BI35" s="59">
        <f t="shared" si="43"/>
        <v>1.0548171944017248E-2</v>
      </c>
      <c r="BJ35" s="59">
        <f t="shared" si="43"/>
        <v>1.4126131937659547E-2</v>
      </c>
      <c r="BK35" s="59">
        <f t="shared" si="43"/>
        <v>-3.7044534412955521E-2</v>
      </c>
      <c r="BL35" s="59">
        <f t="shared" si="43"/>
        <v>1.9588828549263138E-2</v>
      </c>
      <c r="BM35" s="59">
        <f t="shared" si="43"/>
        <v>7.7534405892614844E-2</v>
      </c>
      <c r="BN35" s="59">
        <f t="shared" si="43"/>
        <v>-1.514243713017752</v>
      </c>
      <c r="BO35" s="59">
        <f t="shared" si="43"/>
        <v>-0.30070842968257294</v>
      </c>
      <c r="BP35" s="59">
        <f t="shared" si="43"/>
        <v>-0.3364314247669774</v>
      </c>
      <c r="CK35" s="59"/>
      <c r="CL35" s="59"/>
      <c r="CM35" s="59"/>
      <c r="CN35" s="59"/>
      <c r="CO35" s="59">
        <f>CO30/CN30-1</f>
        <v>1.219751151170767E-2</v>
      </c>
    </row>
    <row r="36" spans="2:155">
      <c r="B36" s="1" t="s">
        <v>984</v>
      </c>
      <c r="AU36" s="59"/>
      <c r="AV36" s="59"/>
      <c r="AW36" s="59"/>
      <c r="AX36" s="59"/>
      <c r="AY36" s="59"/>
      <c r="AZ36" s="59"/>
      <c r="BA36" s="59"/>
      <c r="BB36" s="59"/>
      <c r="BC36" s="59"/>
      <c r="BD36" s="59"/>
      <c r="BE36" s="59"/>
      <c r="BF36" s="59"/>
      <c r="BG36" s="59">
        <f t="shared" si="43"/>
        <v>0.1134365843449141</v>
      </c>
      <c r="BH36" s="59">
        <f t="shared" si="43"/>
        <v>-4.7967309162499916E-3</v>
      </c>
      <c r="BI36" s="59">
        <f t="shared" si="43"/>
        <v>5.2528324096326351E-2</v>
      </c>
      <c r="BJ36" s="59">
        <f t="shared" si="43"/>
        <v>5.7454965600546304E-2</v>
      </c>
      <c r="BK36" s="59">
        <f t="shared" si="43"/>
        <v>-5.2631578947368474E-2</v>
      </c>
      <c r="BL36" s="59">
        <f t="shared" si="43"/>
        <v>0.12984364377974167</v>
      </c>
      <c r="BM36" s="59">
        <f t="shared" si="43"/>
        <v>0.5593130075888697</v>
      </c>
      <c r="BN36" s="59">
        <f t="shared" si="43"/>
        <v>-1.491861186987832</v>
      </c>
      <c r="BO36" s="59">
        <f t="shared" si="43"/>
        <v>-2.9907407407407383E-2</v>
      </c>
      <c r="BP36" s="59">
        <f t="shared" si="43"/>
        <v>-0.12436221419975924</v>
      </c>
      <c r="CK36" s="59"/>
      <c r="CL36" s="59"/>
      <c r="CM36" s="59"/>
      <c r="CN36" s="59"/>
      <c r="CO36" s="59">
        <f>CO31/CN31-1</f>
        <v>5.4247697031729603E-2</v>
      </c>
    </row>
    <row r="37" spans="2:155">
      <c r="B37" s="1" t="s">
        <v>985</v>
      </c>
      <c r="AU37" s="59"/>
      <c r="AV37" s="59"/>
      <c r="AW37" s="59"/>
      <c r="AX37" s="59"/>
      <c r="AY37" s="59"/>
      <c r="AZ37" s="59"/>
      <c r="BA37" s="59"/>
      <c r="BB37" s="59"/>
      <c r="BC37" s="59"/>
      <c r="BD37" s="59"/>
      <c r="BE37" s="59"/>
      <c r="BF37" s="59"/>
      <c r="BG37" s="59">
        <f t="shared" si="43"/>
        <v>6.9464378707243757E-2</v>
      </c>
      <c r="BH37" s="59">
        <f t="shared" si="43"/>
        <v>3.7148988209234624E-3</v>
      </c>
      <c r="BI37" s="59">
        <f t="shared" si="43"/>
        <v>5.4846432137067858E-2</v>
      </c>
      <c r="BJ37" s="59">
        <f t="shared" si="43"/>
        <v>5.8863482001358935E-2</v>
      </c>
      <c r="BK37" s="59">
        <f t="shared" si="43"/>
        <v>-0.12351543942992882</v>
      </c>
      <c r="BL37" s="59">
        <f t="shared" si="43"/>
        <v>2.2988505747126409E-2</v>
      </c>
      <c r="BM37" s="59">
        <f t="shared" si="43"/>
        <v>0.2504579686545898</v>
      </c>
      <c r="BN37" s="59">
        <f t="shared" si="43"/>
        <v>-1.4764271969211036</v>
      </c>
      <c r="BO37" s="59">
        <f t="shared" si="43"/>
        <v>-6.5989159891598814E-2</v>
      </c>
      <c r="BP37" s="59">
        <f t="shared" si="43"/>
        <v>-0.14648314606741575</v>
      </c>
      <c r="CK37" s="59"/>
      <c r="CL37" s="59"/>
      <c r="CM37" s="59"/>
      <c r="CN37" s="59"/>
      <c r="CO37" s="59">
        <f>CO32/CN32-1</f>
        <v>4.6411069472470423E-2</v>
      </c>
    </row>
    <row r="38" spans="2:155" ht="15">
      <c r="B38" s="33" t="s">
        <v>959</v>
      </c>
      <c r="AU38" s="59"/>
      <c r="AV38" s="59"/>
      <c r="AW38" s="59"/>
      <c r="AX38" s="59"/>
      <c r="AY38" s="59"/>
      <c r="AZ38" s="59"/>
      <c r="BA38" s="59"/>
      <c r="BB38" s="59"/>
      <c r="BC38" s="59"/>
      <c r="BD38" s="59"/>
      <c r="BE38" s="59"/>
      <c r="BF38" s="59"/>
      <c r="BG38" s="59">
        <f t="shared" si="43"/>
        <v>3.7808701670087208E-2</v>
      </c>
      <c r="BH38" s="59">
        <f t="shared" si="43"/>
        <v>8.6713173809795929E-3</v>
      </c>
      <c r="BI38" s="59">
        <f t="shared" si="43"/>
        <v>2.4104052980416402E-2</v>
      </c>
      <c r="BJ38" s="59">
        <f t="shared" si="43"/>
        <v>2.7760729260209338E-2</v>
      </c>
      <c r="BK38" s="59">
        <f t="shared" si="43"/>
        <v>-5.0284629981024898E-2</v>
      </c>
      <c r="BL38" s="59">
        <f t="shared" si="43"/>
        <v>4.1616646658663603E-2</v>
      </c>
      <c r="BM38" s="59">
        <f t="shared" si="43"/>
        <v>0.19444517124990179</v>
      </c>
      <c r="BN38" s="59">
        <f t="shared" si="43"/>
        <v>-1.5052638857458955</v>
      </c>
      <c r="BO38" s="59">
        <f t="shared" si="43"/>
        <v>-0.21755244755244751</v>
      </c>
      <c r="BP38" s="59">
        <f t="shared" si="43"/>
        <v>-0.26964784223332061</v>
      </c>
      <c r="CN38" s="59"/>
      <c r="CO38" s="59">
        <f>CO33/CN33-1</f>
        <v>2.447470163052623E-2</v>
      </c>
    </row>
    <row r="39" spans="2:155">
      <c r="CK39" s="59"/>
      <c r="CL39" s="59"/>
      <c r="CM39" s="59"/>
      <c r="CN39" s="59"/>
      <c r="CO39" s="59"/>
    </row>
    <row r="40" spans="2:155">
      <c r="B40" s="1" t="s">
        <v>986</v>
      </c>
      <c r="BC40" s="59">
        <f t="shared" ref="BC40:BK40" si="44">BC30/BC33</f>
        <v>0.687629145854462</v>
      </c>
      <c r="BD40" s="59">
        <f t="shared" si="44"/>
        <v>0.68451339042455139</v>
      </c>
      <c r="BE40" s="59">
        <f t="shared" si="44"/>
        <v>0.68397980141722348</v>
      </c>
      <c r="BF40" s="59">
        <f t="shared" si="44"/>
        <v>0.689033316751407</v>
      </c>
      <c r="BG40" s="59">
        <f t="shared" si="44"/>
        <v>0.66955814583898066</v>
      </c>
      <c r="BH40" s="59">
        <f t="shared" si="44"/>
        <v>0.68774176337201542</v>
      </c>
      <c r="BI40" s="59">
        <f t="shared" si="44"/>
        <v>0.67492608388497866</v>
      </c>
      <c r="BJ40" s="59">
        <f t="shared" si="44"/>
        <v>0.67989238389781492</v>
      </c>
      <c r="BK40" s="59">
        <f t="shared" si="44"/>
        <v>0.67889253603539323</v>
      </c>
      <c r="BL40" s="59">
        <f>BL30/BL33</f>
        <v>0.67319759252144962</v>
      </c>
      <c r="BM40" s="59">
        <f>BM30/BM33</f>
        <v>0.60886518219953778</v>
      </c>
      <c r="BN40" s="59">
        <f t="shared" ref="BN40" si="45">BN30/BN33</f>
        <v>0.69197580474599241</v>
      </c>
      <c r="BO40" s="59">
        <f>BO30/BO33</f>
        <v>0.60674204439126622</v>
      </c>
      <c r="BP40" s="59">
        <f>BP30/BP33</f>
        <v>0.61164023761598507</v>
      </c>
      <c r="CK40" s="59"/>
      <c r="CL40" s="59"/>
      <c r="CM40" s="59"/>
      <c r="CN40" s="59">
        <f>CN30/CN33</f>
        <v>0.68630021852412171</v>
      </c>
      <c r="CO40" s="59">
        <f>CO30/CO33</f>
        <v>0.67807567354707443</v>
      </c>
    </row>
    <row r="41" spans="2:155">
      <c r="B41" s="1" t="s">
        <v>987</v>
      </c>
      <c r="BC41" s="59">
        <f t="shared" ref="BC41:BK41" si="46">BC31/BC33</f>
        <v>0.20162577839169191</v>
      </c>
      <c r="BD41" s="59">
        <f t="shared" si="46"/>
        <v>0.19886714519243059</v>
      </c>
      <c r="BE41" s="59">
        <f t="shared" si="46"/>
        <v>0.19121798418786987</v>
      </c>
      <c r="BF41" s="59">
        <f t="shared" si="46"/>
        <v>0.19682273059107031</v>
      </c>
      <c r="BG41" s="59">
        <f t="shared" si="46"/>
        <v>0.21631878557874759</v>
      </c>
      <c r="BH41" s="59">
        <f t="shared" si="46"/>
        <v>0.19621181806055754</v>
      </c>
      <c r="BI41" s="59">
        <f t="shared" si="46"/>
        <v>0.19652528846908607</v>
      </c>
      <c r="BJ41" s="59">
        <f t="shared" si="46"/>
        <v>0.20250936612104295</v>
      </c>
      <c r="BK41" s="59">
        <f t="shared" si="46"/>
        <v>0.21578421578421578</v>
      </c>
      <c r="BL41" s="59">
        <f>BL31/BL33</f>
        <v>0.21283134844410292</v>
      </c>
      <c r="BM41" s="59">
        <f>BM31/BM33</f>
        <v>0.25655797855445178</v>
      </c>
      <c r="BN41" s="59">
        <f t="shared" ref="BN41" si="47">BN31/BN33</f>
        <v>0.19713757505032367</v>
      </c>
      <c r="BO41" s="59">
        <f>BO31/BO33</f>
        <v>0.26753316394928695</v>
      </c>
      <c r="BP41" s="59">
        <f>BP31/BP33</f>
        <v>0.2551689191558601</v>
      </c>
      <c r="CK41" s="59"/>
      <c r="CL41" s="59"/>
      <c r="CM41" s="59"/>
      <c r="CN41" s="59">
        <f>CN31/CN33</f>
        <v>0.19707513867876955</v>
      </c>
      <c r="CO41" s="59">
        <f>CO31/CO33</f>
        <v>0.20280248088471761</v>
      </c>
    </row>
    <row r="42" spans="2:155">
      <c r="B42" s="1" t="s">
        <v>988</v>
      </c>
      <c r="BC42" s="59">
        <f t="shared" ref="BC42:BK42" si="48">BC32/BC33</f>
        <v>0.11074507575384605</v>
      </c>
      <c r="BD42" s="59">
        <f t="shared" si="48"/>
        <v>0.11661946438301794</v>
      </c>
      <c r="BE42" s="59">
        <f t="shared" si="48"/>
        <v>0.12480221439490667</v>
      </c>
      <c r="BF42" s="59">
        <f t="shared" si="48"/>
        <v>0.11414395265752286</v>
      </c>
      <c r="BG42" s="59">
        <f t="shared" si="48"/>
        <v>0.11412306858227161</v>
      </c>
      <c r="BH42" s="59">
        <f t="shared" si="48"/>
        <v>0.11604641856742696</v>
      </c>
      <c r="BI42" s="59">
        <f t="shared" si="48"/>
        <v>0.12854862764593528</v>
      </c>
      <c r="BJ42" s="59">
        <f t="shared" si="48"/>
        <v>0.11759824998114202</v>
      </c>
      <c r="BK42" s="59">
        <f t="shared" si="48"/>
        <v>0.10532324818039104</v>
      </c>
      <c r="BL42" s="59">
        <f>BL32/BL33</f>
        <v>0.11397105903444742</v>
      </c>
      <c r="BM42" s="59">
        <f>BM32/BM33</f>
        <v>0.13457683924601047</v>
      </c>
      <c r="BN42" s="59">
        <f t="shared" ref="BN42" si="49">BN32/BN33</f>
        <v>0.11088662020368402</v>
      </c>
      <c r="BO42" s="59">
        <f>BO32/BO33</f>
        <v>0.12572479165944689</v>
      </c>
      <c r="BP42" s="59">
        <f>BP32/BP33</f>
        <v>0.13319084322815483</v>
      </c>
      <c r="CN42" s="59">
        <f>CN32/CN33</f>
        <v>0.11662464279710875</v>
      </c>
      <c r="CO42" s="59">
        <f>CO32/CO33</f>
        <v>0.11912184556820792</v>
      </c>
    </row>
    <row r="43" spans="2:155">
      <c r="CN43" s="59"/>
      <c r="CO43" s="59"/>
    </row>
    <row r="44" spans="2:155" s="2" customFormat="1" ht="15">
      <c r="B44" s="2" t="s">
        <v>114</v>
      </c>
      <c r="C44" s="58">
        <v>367.3</v>
      </c>
      <c r="D44" s="58">
        <v>358.4</v>
      </c>
      <c r="E44" s="58">
        <v>345</v>
      </c>
      <c r="F44" s="58">
        <v>326.89999999999998</v>
      </c>
      <c r="G44" s="58">
        <v>354</v>
      </c>
      <c r="H44" s="58">
        <v>381.2</v>
      </c>
      <c r="I44" s="58">
        <v>362.7</v>
      </c>
      <c r="J44" s="58">
        <v>394.6</v>
      </c>
      <c r="K44" s="58">
        <v>380.6</v>
      </c>
      <c r="L44" s="58">
        <v>383.3</v>
      </c>
      <c r="M44" s="58">
        <v>368.1</v>
      </c>
      <c r="N44" s="58">
        <v>419.1</v>
      </c>
      <c r="O44" s="58">
        <v>411.9</v>
      </c>
      <c r="P44" s="58">
        <v>420.1</v>
      </c>
      <c r="Q44" s="58">
        <v>413.8</v>
      </c>
      <c r="R44" s="58">
        <v>450.5</v>
      </c>
      <c r="S44" s="58">
        <v>438.5</v>
      </c>
      <c r="T44" s="58">
        <v>468.1</v>
      </c>
      <c r="U44" s="58">
        <v>457.2</v>
      </c>
      <c r="V44" s="58">
        <v>476</v>
      </c>
      <c r="W44" s="58">
        <v>429.4</v>
      </c>
      <c r="X44" s="58">
        <v>452</v>
      </c>
      <c r="Y44" s="58">
        <v>443.7</v>
      </c>
      <c r="Z44" s="58">
        <v>484.5</v>
      </c>
      <c r="AA44" s="58">
        <v>424.9</v>
      </c>
      <c r="AB44" s="58">
        <v>473.6</v>
      </c>
      <c r="AC44" s="58">
        <v>455.6</v>
      </c>
      <c r="AD44" s="58">
        <v>513.9</v>
      </c>
      <c r="AE44" s="58">
        <v>487.9</v>
      </c>
      <c r="AF44" s="58">
        <v>528.6</v>
      </c>
      <c r="AG44" s="58">
        <v>534.70000000000005</v>
      </c>
      <c r="AH44" s="58">
        <v>595.1</v>
      </c>
      <c r="AI44" s="58">
        <v>587.20000000000005</v>
      </c>
      <c r="AJ44" s="58">
        <v>609.9</v>
      </c>
      <c r="AK44" s="58">
        <v>609.70000000000005</v>
      </c>
      <c r="AL44" s="58">
        <v>641.6</v>
      </c>
      <c r="AM44" s="58">
        <v>613.6</v>
      </c>
      <c r="AN44" s="58">
        <v>652.5</v>
      </c>
      <c r="AO44" s="58">
        <v>648.29999999999995</v>
      </c>
      <c r="AP44" s="58">
        <v>681</v>
      </c>
      <c r="AQ44" s="58">
        <f t="shared" ref="AQ44:BM44" si="50">AQ11</f>
        <v>630.62099999999998</v>
      </c>
      <c r="AR44" s="58">
        <f t="shared" si="50"/>
        <v>567.03</v>
      </c>
      <c r="AS44" s="58">
        <f t="shared" si="50"/>
        <v>628.279</v>
      </c>
      <c r="AT44" s="58">
        <f t="shared" si="50"/>
        <v>651.71500000000003</v>
      </c>
      <c r="AU44" s="58">
        <f t="shared" si="50"/>
        <v>633.90200000000004</v>
      </c>
      <c r="AV44" s="58">
        <f t="shared" si="50"/>
        <v>713.44</v>
      </c>
      <c r="AW44" s="58">
        <f t="shared" si="50"/>
        <v>700.23099999999999</v>
      </c>
      <c r="AX44" s="58">
        <f t="shared" si="50"/>
        <v>761.98300000000017</v>
      </c>
      <c r="AY44" s="58">
        <f t="shared" si="50"/>
        <v>641.68799999999987</v>
      </c>
      <c r="AZ44" s="58">
        <f t="shared" si="50"/>
        <v>704.51499999999999</v>
      </c>
      <c r="BA44" s="58">
        <f t="shared" si="50"/>
        <v>686.73899999999992</v>
      </c>
      <c r="BB44" s="58">
        <f t="shared" si="50"/>
        <v>758.08199999999999</v>
      </c>
      <c r="BC44" s="58">
        <f t="shared" si="50"/>
        <v>710.9</v>
      </c>
      <c r="BD44" s="58">
        <f t="shared" si="50"/>
        <v>743.23500000000001</v>
      </c>
      <c r="BE44" s="58">
        <f t="shared" si="50"/>
        <v>746.37299999999993</v>
      </c>
      <c r="BF44" s="58">
        <f t="shared" si="50"/>
        <v>773.97699999999986</v>
      </c>
      <c r="BG44" s="58">
        <f t="shared" si="50"/>
        <v>737.827</v>
      </c>
      <c r="BH44" s="58">
        <f t="shared" si="50"/>
        <v>749.66000000000008</v>
      </c>
      <c r="BI44" s="58">
        <f t="shared" si="50"/>
        <v>764.34599999999989</v>
      </c>
      <c r="BJ44" s="58">
        <f t="shared" si="50"/>
        <v>795.471</v>
      </c>
      <c r="BK44" s="58">
        <f t="shared" si="50"/>
        <v>700.72</v>
      </c>
      <c r="BL44" s="58">
        <f t="shared" si="50"/>
        <v>780.84999999999991</v>
      </c>
      <c r="BM44" s="58">
        <f t="shared" si="50"/>
        <v>912.99</v>
      </c>
      <c r="BN44" s="58">
        <v>500</v>
      </c>
      <c r="BO44" s="58">
        <f t="shared" ref="BO44:BP44" si="51">BO33</f>
        <v>548.26099999999997</v>
      </c>
      <c r="BP44" s="58">
        <f t="shared" si="51"/>
        <v>570.33199999999999</v>
      </c>
      <c r="BQ44" s="34"/>
      <c r="BR44" s="34"/>
      <c r="CA44" s="58">
        <f t="shared" ref="CA44:CA50" si="52">SUM(C44:F44)</f>
        <v>1397.6</v>
      </c>
      <c r="CB44" s="58">
        <f t="shared" ref="CB44:CB50" si="53">SUM(G44:J44)</f>
        <v>1492.5</v>
      </c>
      <c r="CC44" s="58">
        <f t="shared" ref="CC44:CC50" si="54">SUM(K44:N44)</f>
        <v>1551.1</v>
      </c>
      <c r="CD44" s="58">
        <f t="shared" ref="CD44:CD50" si="55">SUM(O44:R44)</f>
        <v>1696.3</v>
      </c>
      <c r="CE44" s="58">
        <f t="shared" ref="CE44:CE50" si="56">SUM(S44:V44)</f>
        <v>1839.8</v>
      </c>
      <c r="CF44" s="58">
        <f t="shared" ref="CF44:CF50" si="57">SUM(W44:Z44)</f>
        <v>1809.6</v>
      </c>
      <c r="CG44" s="58">
        <f t="shared" ref="CG44:CG50" si="58">SUM(AA44:AD44)</f>
        <v>1868</v>
      </c>
      <c r="CH44" s="58">
        <f t="shared" ref="CH44:CH50" si="59">SUM(AE44:AH44)</f>
        <v>2146.3000000000002</v>
      </c>
      <c r="CI44" s="58">
        <f t="shared" ref="CI44:CI50" si="60">SUM(AI44:AL44)</f>
        <v>2448.4</v>
      </c>
      <c r="CJ44" s="58">
        <f t="shared" ref="CJ44:CJ50" si="61">SUM(AM44:AP44)</f>
        <v>2595.3999999999996</v>
      </c>
      <c r="CK44" s="58">
        <f t="shared" ref="CK44:CK59" si="62">SUM(AQ44:AT44)</f>
        <v>2477.645</v>
      </c>
      <c r="CL44" s="58">
        <f t="shared" ref="CL44:CL59" si="63">SUM(AU44:AX44)</f>
        <v>2809.5560000000005</v>
      </c>
      <c r="CM44" s="58">
        <f t="shared" ref="CM44:CM51" si="64">SUM(AY44:BB44)</f>
        <v>2791.0239999999999</v>
      </c>
      <c r="CN44" s="58">
        <f t="shared" ref="CN44:CN51" si="65">SUM(BC44:BF44)</f>
        <v>2974.4849999999997</v>
      </c>
      <c r="CO44" s="58">
        <f t="shared" ref="CO44:CO59" si="66">SUM(BG44:BJ44)</f>
        <v>3047.3040000000001</v>
      </c>
      <c r="CP44" s="68">
        <f>CP11</f>
        <v>3236.9263650000003</v>
      </c>
      <c r="CQ44" s="68">
        <f t="shared" ref="CQ44:CY44" si="67">CQ11</f>
        <v>2463.007929675</v>
      </c>
      <c r="CR44" s="68">
        <f t="shared" si="67"/>
        <v>2696.2606428519371</v>
      </c>
      <c r="CS44" s="68">
        <f t="shared" si="67"/>
        <v>2914.7098220466364</v>
      </c>
      <c r="CT44" s="68">
        <f t="shared" si="67"/>
        <v>3113.7555251993758</v>
      </c>
      <c r="CU44" s="68">
        <f t="shared" si="67"/>
        <v>3299.1318655324185</v>
      </c>
      <c r="CV44" s="68">
        <f t="shared" si="67"/>
        <v>3479.4340411460926</v>
      </c>
      <c r="CW44" s="68">
        <f t="shared" si="67"/>
        <v>3651.5127984463675</v>
      </c>
      <c r="CX44" s="68">
        <f t="shared" si="67"/>
        <v>3813.9151399109851</v>
      </c>
      <c r="CY44" s="68">
        <f t="shared" si="67"/>
        <v>3963.7036164100059</v>
      </c>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row>
    <row r="45" spans="2:155">
      <c r="B45" s="1" t="s">
        <v>117</v>
      </c>
      <c r="C45" s="57">
        <v>190.4</v>
      </c>
      <c r="D45" s="57">
        <v>184.1</v>
      </c>
      <c r="E45" s="57">
        <v>178.5</v>
      </c>
      <c r="F45" s="57">
        <v>165.8</v>
      </c>
      <c r="G45" s="57">
        <v>189.5</v>
      </c>
      <c r="H45" s="57">
        <v>199.8</v>
      </c>
      <c r="I45" s="57">
        <v>187.1</v>
      </c>
      <c r="J45" s="57">
        <v>207.3</v>
      </c>
      <c r="K45" s="57">
        <v>196.5</v>
      </c>
      <c r="L45" s="57">
        <v>199</v>
      </c>
      <c r="M45" s="57">
        <v>187.5</v>
      </c>
      <c r="N45" s="57">
        <v>219.9</v>
      </c>
      <c r="O45" s="57">
        <v>211.4</v>
      </c>
      <c r="P45" s="57">
        <v>210.6</v>
      </c>
      <c r="Q45" s="57">
        <v>209.8</v>
      </c>
      <c r="R45" s="57">
        <v>225.6</v>
      </c>
      <c r="S45" s="57">
        <v>217.4</v>
      </c>
      <c r="T45" s="57">
        <v>224</v>
      </c>
      <c r="U45" s="57">
        <v>221</v>
      </c>
      <c r="V45" s="57">
        <v>235</v>
      </c>
      <c r="W45" s="57">
        <v>206.8</v>
      </c>
      <c r="X45" s="57">
        <v>218.8</v>
      </c>
      <c r="Y45" s="57">
        <v>215.5</v>
      </c>
      <c r="Z45" s="57">
        <v>224.2</v>
      </c>
      <c r="AA45" s="57">
        <v>199.7</v>
      </c>
      <c r="AB45" s="57">
        <v>217.2</v>
      </c>
      <c r="AC45" s="57">
        <v>214</v>
      </c>
      <c r="AD45" s="57">
        <v>240.9</v>
      </c>
      <c r="AE45" s="57">
        <v>232.3</v>
      </c>
      <c r="AF45" s="57">
        <v>238.3</v>
      </c>
      <c r="AG45" s="57">
        <v>239.5</v>
      </c>
      <c r="AH45" s="57">
        <v>264.39999999999998</v>
      </c>
      <c r="AI45" s="57">
        <v>256</v>
      </c>
      <c r="AJ45" s="57">
        <v>265.10000000000002</v>
      </c>
      <c r="AK45" s="57">
        <v>267.10000000000002</v>
      </c>
      <c r="AL45" s="57">
        <v>357.4</v>
      </c>
      <c r="AM45" s="57">
        <v>289.60000000000002</v>
      </c>
      <c r="AN45" s="57">
        <v>300.3</v>
      </c>
      <c r="AO45" s="57">
        <v>293.2</v>
      </c>
      <c r="AP45" s="57">
        <v>303.2</v>
      </c>
      <c r="AQ45" s="57">
        <v>297.01799999999997</v>
      </c>
      <c r="AR45" s="57">
        <v>288.66000000000003</v>
      </c>
      <c r="AS45" s="57">
        <v>298.97699999999998</v>
      </c>
      <c r="AT45" s="57">
        <f>1212.28-SUM(AQ45:AS45)</f>
        <v>327.625</v>
      </c>
      <c r="AU45" s="57">
        <v>289.39800000000002</v>
      </c>
      <c r="AV45" s="57">
        <v>315.91699999999997</v>
      </c>
      <c r="AW45" s="57">
        <v>312.464</v>
      </c>
      <c r="AX45" s="57">
        <f>1259.961-SUM(AU45:AW45)</f>
        <v>342.18200000000002</v>
      </c>
      <c r="AY45" s="57">
        <v>295.48</v>
      </c>
      <c r="AZ45" s="57">
        <v>315.709</v>
      </c>
      <c r="BA45" s="57">
        <v>312.83300000000003</v>
      </c>
      <c r="BB45" s="57">
        <f>1259.95-SUM(AY45:BA45)</f>
        <v>335.92799999999988</v>
      </c>
      <c r="BC45" s="57">
        <v>319.55</v>
      </c>
      <c r="BD45" s="57">
        <v>335.43599999999998</v>
      </c>
      <c r="BE45" s="57">
        <v>330.07</v>
      </c>
      <c r="BF45" s="57">
        <f>1327.55-SUM(BC45:BE45)</f>
        <v>342.49399999999991</v>
      </c>
      <c r="BG45" s="57">
        <v>321.71499999999997</v>
      </c>
      <c r="BH45" s="57">
        <v>333.23</v>
      </c>
      <c r="BI45" s="57">
        <v>334.20299999999997</v>
      </c>
      <c r="BJ45" s="57">
        <f>1344.64-SUM(BG45:BI45)</f>
        <v>355.49200000000019</v>
      </c>
      <c r="BK45" s="57">
        <v>311.23</v>
      </c>
      <c r="BL45" s="57">
        <v>349.80399999999997</v>
      </c>
      <c r="BM45" s="57">
        <v>461.37</v>
      </c>
      <c r="BN45" s="57">
        <v>225</v>
      </c>
      <c r="BO45" s="57">
        <v>240.83600000000001</v>
      </c>
      <c r="BP45" s="57">
        <v>238.625</v>
      </c>
      <c r="CA45" s="57">
        <f t="shared" si="52"/>
        <v>718.8</v>
      </c>
      <c r="CB45" s="57">
        <f t="shared" si="53"/>
        <v>783.7</v>
      </c>
      <c r="CC45" s="57">
        <f t="shared" si="54"/>
        <v>802.9</v>
      </c>
      <c r="CD45" s="57">
        <f t="shared" si="55"/>
        <v>857.4</v>
      </c>
      <c r="CE45" s="57">
        <f t="shared" si="56"/>
        <v>897.4</v>
      </c>
      <c r="CF45" s="57">
        <f t="shared" si="57"/>
        <v>865.3</v>
      </c>
      <c r="CG45" s="57">
        <f t="shared" si="58"/>
        <v>871.8</v>
      </c>
      <c r="CH45" s="57">
        <f t="shared" si="59"/>
        <v>974.5</v>
      </c>
      <c r="CI45" s="57">
        <f t="shared" si="60"/>
        <v>1145.5999999999999</v>
      </c>
      <c r="CJ45" s="57">
        <f t="shared" si="61"/>
        <v>1186.3000000000002</v>
      </c>
      <c r="CK45" s="57">
        <f t="shared" si="62"/>
        <v>1212.28</v>
      </c>
      <c r="CL45" s="57">
        <f t="shared" si="63"/>
        <v>1259.961</v>
      </c>
      <c r="CM45" s="57">
        <f t="shared" si="64"/>
        <v>1259.95</v>
      </c>
      <c r="CN45" s="57">
        <f t="shared" si="65"/>
        <v>1327.55</v>
      </c>
      <c r="CO45" s="57">
        <f t="shared" si="66"/>
        <v>1344.64</v>
      </c>
      <c r="CP45" s="67">
        <f>CP44*(1-CP63)</f>
        <v>1424.2476005999999</v>
      </c>
      <c r="CQ45" s="67">
        <f t="shared" ref="CQ45:CY45" si="68">CQ44*(1-CQ63)</f>
        <v>1077.5659692328124</v>
      </c>
      <c r="CR45" s="67">
        <f t="shared" si="68"/>
        <v>1172.8733796405927</v>
      </c>
      <c r="CS45" s="67">
        <f t="shared" si="68"/>
        <v>1267.8987725902871</v>
      </c>
      <c r="CT45" s="67">
        <f t="shared" si="68"/>
        <v>1354.4836534617286</v>
      </c>
      <c r="CU45" s="67">
        <f t="shared" si="68"/>
        <v>1435.1223615066021</v>
      </c>
      <c r="CV45" s="67">
        <f t="shared" si="68"/>
        <v>1513.5538078985505</v>
      </c>
      <c r="CW45" s="67">
        <f t="shared" si="68"/>
        <v>1588.4080673241701</v>
      </c>
      <c r="CX45" s="67">
        <f t="shared" si="68"/>
        <v>1659.0530858612788</v>
      </c>
      <c r="CY45" s="67">
        <f t="shared" si="68"/>
        <v>1724.2110731383527</v>
      </c>
    </row>
    <row r="46" spans="2:155">
      <c r="B46" s="1" t="s">
        <v>118</v>
      </c>
      <c r="C46" s="57">
        <f>C44-C45</f>
        <v>176.9</v>
      </c>
      <c r="D46" s="57">
        <f t="shared" ref="D46:BK46" si="69">D44-D45</f>
        <v>174.29999999999998</v>
      </c>
      <c r="E46" s="57">
        <f t="shared" si="69"/>
        <v>166.5</v>
      </c>
      <c r="F46" s="57">
        <f t="shared" si="69"/>
        <v>161.09999999999997</v>
      </c>
      <c r="G46" s="57">
        <f t="shared" si="69"/>
        <v>164.5</v>
      </c>
      <c r="H46" s="57">
        <f t="shared" si="69"/>
        <v>181.39999999999998</v>
      </c>
      <c r="I46" s="57">
        <f t="shared" si="69"/>
        <v>175.6</v>
      </c>
      <c r="J46" s="57">
        <f t="shared" si="69"/>
        <v>187.3</v>
      </c>
      <c r="K46" s="57">
        <f t="shared" si="69"/>
        <v>184.10000000000002</v>
      </c>
      <c r="L46" s="57">
        <f t="shared" si="69"/>
        <v>184.3</v>
      </c>
      <c r="M46" s="57">
        <f t="shared" si="69"/>
        <v>180.60000000000002</v>
      </c>
      <c r="N46" s="57">
        <f t="shared" si="69"/>
        <v>199.20000000000002</v>
      </c>
      <c r="O46" s="57">
        <f t="shared" si="69"/>
        <v>200.49999999999997</v>
      </c>
      <c r="P46" s="57">
        <f t="shared" si="69"/>
        <v>209.50000000000003</v>
      </c>
      <c r="Q46" s="57">
        <f t="shared" si="69"/>
        <v>204</v>
      </c>
      <c r="R46" s="57">
        <f t="shared" si="69"/>
        <v>224.9</v>
      </c>
      <c r="S46" s="57">
        <f t="shared" si="69"/>
        <v>221.1</v>
      </c>
      <c r="T46" s="57">
        <f t="shared" si="69"/>
        <v>244.10000000000002</v>
      </c>
      <c r="U46" s="57">
        <f t="shared" si="69"/>
        <v>236.2</v>
      </c>
      <c r="V46" s="57">
        <f t="shared" si="69"/>
        <v>241</v>
      </c>
      <c r="W46" s="57">
        <f t="shared" si="69"/>
        <v>222.59999999999997</v>
      </c>
      <c r="X46" s="57">
        <f t="shared" si="69"/>
        <v>233.2</v>
      </c>
      <c r="Y46" s="57">
        <f t="shared" si="69"/>
        <v>228.2</v>
      </c>
      <c r="Z46" s="57">
        <f t="shared" si="69"/>
        <v>260.3</v>
      </c>
      <c r="AA46" s="57">
        <f t="shared" si="69"/>
        <v>225.2</v>
      </c>
      <c r="AB46" s="57">
        <f t="shared" si="69"/>
        <v>256.40000000000003</v>
      </c>
      <c r="AC46" s="57">
        <f t="shared" si="69"/>
        <v>241.60000000000002</v>
      </c>
      <c r="AD46" s="57">
        <f t="shared" si="69"/>
        <v>273</v>
      </c>
      <c r="AE46" s="57">
        <f t="shared" si="69"/>
        <v>255.59999999999997</v>
      </c>
      <c r="AF46" s="57">
        <f t="shared" si="69"/>
        <v>290.3</v>
      </c>
      <c r="AG46" s="57">
        <f t="shared" si="69"/>
        <v>295.20000000000005</v>
      </c>
      <c r="AH46" s="57">
        <f t="shared" si="69"/>
        <v>330.70000000000005</v>
      </c>
      <c r="AI46" s="57">
        <f t="shared" si="69"/>
        <v>331.20000000000005</v>
      </c>
      <c r="AJ46" s="57">
        <f t="shared" si="69"/>
        <v>344.79999999999995</v>
      </c>
      <c r="AK46" s="57">
        <f t="shared" si="69"/>
        <v>342.6</v>
      </c>
      <c r="AL46" s="57">
        <f t="shared" si="69"/>
        <v>284.20000000000005</v>
      </c>
      <c r="AM46" s="57">
        <f t="shared" si="69"/>
        <v>324</v>
      </c>
      <c r="AN46" s="57">
        <f t="shared" si="69"/>
        <v>352.2</v>
      </c>
      <c r="AO46" s="57">
        <f t="shared" si="69"/>
        <v>355.09999999999997</v>
      </c>
      <c r="AP46" s="57">
        <f t="shared" si="69"/>
        <v>377.8</v>
      </c>
      <c r="AQ46" s="57">
        <f t="shared" si="69"/>
        <v>333.60300000000001</v>
      </c>
      <c r="AR46" s="57">
        <f t="shared" si="69"/>
        <v>278.36999999999995</v>
      </c>
      <c r="AS46" s="57">
        <f t="shared" si="69"/>
        <v>329.30200000000002</v>
      </c>
      <c r="AT46" s="57">
        <f t="shared" si="69"/>
        <v>324.09000000000003</v>
      </c>
      <c r="AU46" s="57">
        <f t="shared" si="69"/>
        <v>344.50400000000002</v>
      </c>
      <c r="AV46" s="57">
        <f t="shared" si="69"/>
        <v>397.52300000000008</v>
      </c>
      <c r="AW46" s="57">
        <f t="shared" si="69"/>
        <v>387.767</v>
      </c>
      <c r="AX46" s="57">
        <f t="shared" si="69"/>
        <v>419.80100000000016</v>
      </c>
      <c r="AY46" s="57">
        <f t="shared" si="69"/>
        <v>346.20799999999986</v>
      </c>
      <c r="AZ46" s="57">
        <f t="shared" si="69"/>
        <v>388.80599999999998</v>
      </c>
      <c r="BA46" s="57">
        <f t="shared" si="69"/>
        <v>373.90599999999989</v>
      </c>
      <c r="BB46" s="57">
        <f t="shared" si="69"/>
        <v>422.15400000000011</v>
      </c>
      <c r="BC46" s="57">
        <f t="shared" si="69"/>
        <v>391.34999999999997</v>
      </c>
      <c r="BD46" s="57">
        <f t="shared" si="69"/>
        <v>407.79900000000004</v>
      </c>
      <c r="BE46" s="57">
        <f t="shared" si="69"/>
        <v>416.30299999999994</v>
      </c>
      <c r="BF46" s="57">
        <f t="shared" si="69"/>
        <v>431.48299999999995</v>
      </c>
      <c r="BG46" s="57">
        <f t="shared" si="69"/>
        <v>416.11200000000002</v>
      </c>
      <c r="BH46" s="57">
        <f t="shared" si="69"/>
        <v>416.43000000000006</v>
      </c>
      <c r="BI46" s="57">
        <f t="shared" si="69"/>
        <v>430.14299999999992</v>
      </c>
      <c r="BJ46" s="57">
        <f t="shared" si="69"/>
        <v>439.97899999999981</v>
      </c>
      <c r="BK46" s="57">
        <f t="shared" si="69"/>
        <v>389.49</v>
      </c>
      <c r="BL46" s="57">
        <f>BL44-BL45</f>
        <v>431.04599999999994</v>
      </c>
      <c r="BM46" s="57">
        <f>BM44-BM45</f>
        <v>451.62</v>
      </c>
      <c r="BN46" s="57">
        <f t="shared" ref="BN46" si="70">BN44-BN45</f>
        <v>275</v>
      </c>
      <c r="BO46" s="57">
        <f>BO44-BO45</f>
        <v>307.42499999999995</v>
      </c>
      <c r="BP46" s="57">
        <f>BP44-BP45</f>
        <v>331.70699999999999</v>
      </c>
      <c r="CA46" s="57">
        <f t="shared" si="52"/>
        <v>678.8</v>
      </c>
      <c r="CB46" s="57">
        <f t="shared" si="53"/>
        <v>708.8</v>
      </c>
      <c r="CC46" s="57">
        <f t="shared" si="54"/>
        <v>748.2</v>
      </c>
      <c r="CD46" s="57">
        <f t="shared" si="55"/>
        <v>838.9</v>
      </c>
      <c r="CE46" s="57">
        <f t="shared" si="56"/>
        <v>942.40000000000009</v>
      </c>
      <c r="CF46" s="57">
        <f t="shared" si="57"/>
        <v>944.3</v>
      </c>
      <c r="CG46" s="57">
        <f t="shared" si="58"/>
        <v>996.2</v>
      </c>
      <c r="CH46" s="57">
        <f t="shared" si="59"/>
        <v>1171.8000000000002</v>
      </c>
      <c r="CI46" s="57">
        <f t="shared" si="60"/>
        <v>1302.8000000000002</v>
      </c>
      <c r="CJ46" s="57">
        <f t="shared" si="61"/>
        <v>1409.1</v>
      </c>
      <c r="CK46" s="57">
        <f t="shared" si="62"/>
        <v>1265.365</v>
      </c>
      <c r="CL46" s="57">
        <f t="shared" si="63"/>
        <v>1549.5950000000003</v>
      </c>
      <c r="CM46" s="57">
        <f t="shared" si="64"/>
        <v>1531.0740000000001</v>
      </c>
      <c r="CN46" s="57">
        <f t="shared" si="65"/>
        <v>1646.9349999999999</v>
      </c>
      <c r="CO46" s="57">
        <f t="shared" si="66"/>
        <v>1702.6639999999998</v>
      </c>
      <c r="CP46" s="67">
        <f>CP44-CP45</f>
        <v>1812.6787644000003</v>
      </c>
      <c r="CQ46" s="67">
        <f t="shared" ref="CQ46:CY46" si="71">CQ44-CQ45</f>
        <v>1385.4419604421876</v>
      </c>
      <c r="CR46" s="67">
        <f t="shared" si="71"/>
        <v>1523.3872632113444</v>
      </c>
      <c r="CS46" s="67">
        <f t="shared" si="71"/>
        <v>1646.8110494563493</v>
      </c>
      <c r="CT46" s="67">
        <f t="shared" si="71"/>
        <v>1759.2718717376472</v>
      </c>
      <c r="CU46" s="67">
        <f t="shared" si="71"/>
        <v>1864.0095040258163</v>
      </c>
      <c r="CV46" s="67">
        <f t="shared" si="71"/>
        <v>1965.880233247542</v>
      </c>
      <c r="CW46" s="67">
        <f t="shared" si="71"/>
        <v>2063.1047311221973</v>
      </c>
      <c r="CX46" s="67">
        <f t="shared" si="71"/>
        <v>2154.8620540497063</v>
      </c>
      <c r="CY46" s="67">
        <f t="shared" si="71"/>
        <v>2239.4925432716532</v>
      </c>
    </row>
    <row r="47" spans="2:155">
      <c r="B47" s="1" t="s">
        <v>989</v>
      </c>
      <c r="C47" s="57">
        <v>100.6</v>
      </c>
      <c r="D47" s="57">
        <v>99.8</v>
      </c>
      <c r="E47" s="57">
        <v>101.5</v>
      </c>
      <c r="F47" s="57">
        <v>101.8</v>
      </c>
      <c r="G47" s="57">
        <v>103.2</v>
      </c>
      <c r="H47" s="57">
        <v>109.8</v>
      </c>
      <c r="I47" s="57">
        <v>101.6</v>
      </c>
      <c r="J47" s="57">
        <v>109.3</v>
      </c>
      <c r="K47" s="57">
        <v>112.1</v>
      </c>
      <c r="L47" s="57">
        <v>106</v>
      </c>
      <c r="M47" s="57">
        <v>114.9</v>
      </c>
      <c r="N47" s="57">
        <v>121.5</v>
      </c>
      <c r="O47" s="57">
        <v>127</v>
      </c>
      <c r="P47" s="57">
        <v>116.3</v>
      </c>
      <c r="Q47" s="57">
        <v>115.2</v>
      </c>
      <c r="R47" s="57">
        <v>143.80000000000001</v>
      </c>
      <c r="S47" s="57">
        <v>140.30000000000001</v>
      </c>
      <c r="T47" s="57">
        <v>146.80000000000001</v>
      </c>
      <c r="U47" s="57">
        <v>138.30000000000001</v>
      </c>
      <c r="V47" s="57">
        <v>153.30000000000001</v>
      </c>
      <c r="W47" s="57">
        <v>139.69999999999999</v>
      </c>
      <c r="X47" s="57">
        <v>142.19999999999999</v>
      </c>
      <c r="Y47" s="57">
        <v>138.80000000000001</v>
      </c>
      <c r="Z47" s="57">
        <v>148.19999999999999</v>
      </c>
      <c r="AA47" s="57">
        <v>136.30000000000001</v>
      </c>
      <c r="AB47" s="57">
        <v>143</v>
      </c>
      <c r="AC47" s="57">
        <v>139.80000000000001</v>
      </c>
      <c r="AD47" s="57">
        <v>144.19999999999999</v>
      </c>
      <c r="AE47" s="57">
        <v>164</v>
      </c>
      <c r="AF47" s="57">
        <v>158.9</v>
      </c>
      <c r="AG47" s="57">
        <v>163.80000000000001</v>
      </c>
      <c r="AH47" s="57">
        <v>213.3</v>
      </c>
      <c r="AI47" s="57">
        <v>215.3</v>
      </c>
      <c r="AJ47" s="57">
        <v>229.9</v>
      </c>
      <c r="AK47" s="57">
        <v>214.9</v>
      </c>
      <c r="AL47" s="57">
        <v>136.9</v>
      </c>
      <c r="AM47" s="57">
        <v>206.9</v>
      </c>
      <c r="AN47" s="57">
        <v>215.5</v>
      </c>
      <c r="AO47" s="57">
        <v>209.3</v>
      </c>
      <c r="AP47" s="57">
        <v>220.1</v>
      </c>
      <c r="AQ47" s="57">
        <v>147.79599999999999</v>
      </c>
      <c r="AR47" s="57">
        <v>191.19300000000001</v>
      </c>
      <c r="AS47" s="57">
        <v>171.67</v>
      </c>
      <c r="AT47" s="57">
        <f>743.568-SUM(AQ47:AS47)</f>
        <v>232.90899999999999</v>
      </c>
      <c r="AU47" s="57">
        <v>203.148</v>
      </c>
      <c r="AV47" s="57">
        <v>224</v>
      </c>
      <c r="AW47" s="57">
        <v>205.19399999999999</v>
      </c>
      <c r="AX47" s="57">
        <f>860.08-SUM(AU47:AW47)</f>
        <v>227.73800000000006</v>
      </c>
      <c r="AY47" s="57">
        <v>203.93199999999999</v>
      </c>
      <c r="AZ47" s="57">
        <v>216.82499999999999</v>
      </c>
      <c r="BA47" s="57">
        <v>209.6</v>
      </c>
      <c r="BB47" s="57">
        <f>863.748-SUM(AY47:BA47)</f>
        <v>233.39100000000008</v>
      </c>
      <c r="BC47" s="57">
        <v>232.71600000000001</v>
      </c>
      <c r="BD47" s="57">
        <v>223.30600000000001</v>
      </c>
      <c r="BE47" s="57">
        <v>213.19399999999999</v>
      </c>
      <c r="BF47" s="57">
        <f>929.867-SUM(BC47:BE47)</f>
        <v>260.65099999999995</v>
      </c>
      <c r="BG47" s="57">
        <v>242.83</v>
      </c>
      <c r="BH47" s="57">
        <v>250.631</v>
      </c>
      <c r="BI47" s="57">
        <v>247.25700000000001</v>
      </c>
      <c r="BJ47" s="57">
        <f>995.27-SUM(BG47:BI47)</f>
        <v>254.55199999999991</v>
      </c>
      <c r="BK47" s="57">
        <v>222.71</v>
      </c>
      <c r="BL47" s="57">
        <v>215.08</v>
      </c>
      <c r="BM47" s="57">
        <v>281.76</v>
      </c>
      <c r="BN47" s="57">
        <f>720.169-SUM(BK47:BM47)</f>
        <v>0.61900000000002819</v>
      </c>
      <c r="BO47" s="57">
        <v>226.012</v>
      </c>
      <c r="BP47" s="57">
        <v>213.51499999999999</v>
      </c>
      <c r="CA47" s="57">
        <f t="shared" si="52"/>
        <v>403.7</v>
      </c>
      <c r="CB47" s="57">
        <f t="shared" si="53"/>
        <v>423.90000000000003</v>
      </c>
      <c r="CC47" s="57">
        <f t="shared" si="54"/>
        <v>454.5</v>
      </c>
      <c r="CD47" s="57">
        <f t="shared" si="55"/>
        <v>502.3</v>
      </c>
      <c r="CE47" s="57">
        <f t="shared" si="56"/>
        <v>578.70000000000005</v>
      </c>
      <c r="CF47" s="57">
        <f t="shared" si="57"/>
        <v>568.9</v>
      </c>
      <c r="CG47" s="57">
        <f t="shared" si="58"/>
        <v>563.29999999999995</v>
      </c>
      <c r="CH47" s="57">
        <f t="shared" si="59"/>
        <v>700</v>
      </c>
      <c r="CI47" s="57">
        <f t="shared" si="60"/>
        <v>797</v>
      </c>
      <c r="CJ47" s="57">
        <f t="shared" si="61"/>
        <v>851.80000000000007</v>
      </c>
      <c r="CK47" s="57">
        <f t="shared" si="62"/>
        <v>743.56799999999998</v>
      </c>
      <c r="CL47" s="57">
        <f t="shared" si="63"/>
        <v>860.08</v>
      </c>
      <c r="CM47" s="57">
        <f t="shared" si="64"/>
        <v>863.74800000000005</v>
      </c>
      <c r="CN47" s="57">
        <f t="shared" si="65"/>
        <v>929.86699999999996</v>
      </c>
      <c r="CO47" s="57">
        <f t="shared" si="66"/>
        <v>995.27</v>
      </c>
      <c r="CP47" s="67">
        <f>CP44*CP65</f>
        <v>987.26254132500003</v>
      </c>
      <c r="CQ47" s="67">
        <f t="shared" ref="CQ47:CY47" si="72">CQ44*CQ65</f>
        <v>812.7926167927501</v>
      </c>
      <c r="CR47" s="67">
        <f t="shared" si="72"/>
        <v>903.247315355399</v>
      </c>
      <c r="CS47" s="67">
        <f t="shared" si="72"/>
        <v>961.85424127539011</v>
      </c>
      <c r="CT47" s="67">
        <f t="shared" si="72"/>
        <v>996.40176806380032</v>
      </c>
      <c r="CU47" s="67">
        <f t="shared" si="72"/>
        <v>1022.7308783150497</v>
      </c>
      <c r="CV47" s="67">
        <f t="shared" si="72"/>
        <v>1061.2273825495581</v>
      </c>
      <c r="CW47" s="67">
        <f t="shared" si="72"/>
        <v>1095.4538395339102</v>
      </c>
      <c r="CX47" s="67">
        <f t="shared" si="72"/>
        <v>1134.6397541235181</v>
      </c>
      <c r="CY47" s="67">
        <f t="shared" si="72"/>
        <v>1169.2925668409516</v>
      </c>
    </row>
    <row r="48" spans="2:155">
      <c r="B48" s="1" t="s">
        <v>990</v>
      </c>
      <c r="C48" s="57">
        <v>9.3000000000000007</v>
      </c>
      <c r="D48" s="57">
        <v>10.3</v>
      </c>
      <c r="E48" s="57">
        <v>10.199999999999999</v>
      </c>
      <c r="F48" s="57">
        <v>12.6</v>
      </c>
      <c r="G48" s="57">
        <v>11</v>
      </c>
      <c r="H48" s="57">
        <v>12.5</v>
      </c>
      <c r="I48" s="57">
        <v>12.1</v>
      </c>
      <c r="J48" s="57">
        <v>13.5</v>
      </c>
      <c r="K48" s="57">
        <v>11.6</v>
      </c>
      <c r="L48" s="57">
        <v>13.6</v>
      </c>
      <c r="M48" s="57">
        <v>14.8</v>
      </c>
      <c r="N48" s="57">
        <v>16.399999999999999</v>
      </c>
      <c r="O48" s="57">
        <v>15</v>
      </c>
      <c r="P48" s="57">
        <v>16.5</v>
      </c>
      <c r="Q48" s="57">
        <v>15.6</v>
      </c>
      <c r="R48" s="57">
        <v>17.899999999999999</v>
      </c>
      <c r="S48" s="57">
        <v>14.1</v>
      </c>
      <c r="T48" s="57">
        <v>14.9</v>
      </c>
      <c r="U48" s="57">
        <v>14.8</v>
      </c>
      <c r="V48" s="57">
        <v>17.2</v>
      </c>
      <c r="W48" s="57">
        <v>12.9</v>
      </c>
      <c r="X48" s="57">
        <v>13.4</v>
      </c>
      <c r="Y48" s="57">
        <v>12.6</v>
      </c>
      <c r="Z48" s="57">
        <v>13.2</v>
      </c>
      <c r="AA48" s="57">
        <v>12.6</v>
      </c>
      <c r="AB48" s="57">
        <v>15</v>
      </c>
      <c r="AC48" s="57">
        <v>15.1</v>
      </c>
      <c r="AD48" s="57">
        <v>15.7</v>
      </c>
      <c r="AE48" s="57">
        <v>17.899999999999999</v>
      </c>
      <c r="AF48" s="57">
        <v>20.3</v>
      </c>
      <c r="AG48" s="57">
        <v>21</v>
      </c>
      <c r="AH48" s="57">
        <v>25.5</v>
      </c>
      <c r="AI48" s="57">
        <v>26</v>
      </c>
      <c r="AJ48" s="57">
        <v>26</v>
      </c>
      <c r="AK48" s="57">
        <v>26.4</v>
      </c>
      <c r="AL48" s="57">
        <v>27.8</v>
      </c>
      <c r="AM48" s="57">
        <v>27.3</v>
      </c>
      <c r="AN48" s="57">
        <v>27.5</v>
      </c>
      <c r="AO48" s="57">
        <v>28</v>
      </c>
      <c r="AP48" s="57">
        <v>30.8</v>
      </c>
      <c r="AQ48" s="57">
        <v>27.396000000000001</v>
      </c>
      <c r="AR48" s="57">
        <v>29.36</v>
      </c>
      <c r="AS48" s="57">
        <v>29.21</v>
      </c>
      <c r="AT48" s="57">
        <f>119.747-SUM(AQ48:AS48)</f>
        <v>33.780999999999992</v>
      </c>
      <c r="AU48" s="57">
        <v>29.94</v>
      </c>
      <c r="AV48" s="57">
        <v>33.283000000000001</v>
      </c>
      <c r="AW48" s="57">
        <v>31.815999999999999</v>
      </c>
      <c r="AX48" s="57">
        <f>130.84-SUM(AU48:AW48)</f>
        <v>35.801000000000002</v>
      </c>
      <c r="AY48" s="57">
        <v>36.36</v>
      </c>
      <c r="AZ48" s="57">
        <v>36.93</v>
      </c>
      <c r="BA48" s="57">
        <v>37.770000000000003</v>
      </c>
      <c r="BB48" s="57">
        <f>153.819-SUM(AY48:BA48)</f>
        <v>42.758999999999986</v>
      </c>
      <c r="BC48" s="57">
        <v>41.469000000000001</v>
      </c>
      <c r="BD48" s="57">
        <v>39.448</v>
      </c>
      <c r="BE48" s="57">
        <v>37.576000000000001</v>
      </c>
      <c r="BF48" s="57">
        <f>154.35-SUM(BC48:BE48)</f>
        <v>35.856999999999999</v>
      </c>
      <c r="BG48" s="57">
        <v>37.29</v>
      </c>
      <c r="BH48" s="57">
        <v>41.094000000000001</v>
      </c>
      <c r="BI48" s="57">
        <v>38.725999999999999</v>
      </c>
      <c r="BJ48" s="57">
        <f>161.67-SUM(BG48:BI48)</f>
        <v>44.559999999999988</v>
      </c>
      <c r="BK48" s="57">
        <v>36.404000000000003</v>
      </c>
      <c r="BL48" s="57">
        <v>38.521000000000001</v>
      </c>
      <c r="BM48" s="57">
        <v>57.22</v>
      </c>
      <c r="BN48" s="57">
        <f>144.781-SUM(BK48:BM48)</f>
        <v>12.635999999999996</v>
      </c>
      <c r="BO48" s="57">
        <v>44.386000000000003</v>
      </c>
      <c r="BP48" s="57">
        <v>45.122</v>
      </c>
      <c r="CA48" s="57">
        <f t="shared" si="52"/>
        <v>42.4</v>
      </c>
      <c r="CB48" s="57">
        <f t="shared" si="53"/>
        <v>49.1</v>
      </c>
      <c r="CC48" s="57">
        <f t="shared" si="54"/>
        <v>56.4</v>
      </c>
      <c r="CD48" s="57">
        <f t="shared" si="55"/>
        <v>65</v>
      </c>
      <c r="CE48" s="57">
        <f t="shared" si="56"/>
        <v>61</v>
      </c>
      <c r="CF48" s="57">
        <f t="shared" si="57"/>
        <v>52.099999999999994</v>
      </c>
      <c r="CG48" s="57">
        <f t="shared" si="58"/>
        <v>58.400000000000006</v>
      </c>
      <c r="CH48" s="57">
        <f t="shared" si="59"/>
        <v>84.7</v>
      </c>
      <c r="CI48" s="57">
        <f t="shared" si="60"/>
        <v>106.2</v>
      </c>
      <c r="CJ48" s="57">
        <f t="shared" si="61"/>
        <v>113.6</v>
      </c>
      <c r="CK48" s="57">
        <f t="shared" si="62"/>
        <v>119.747</v>
      </c>
      <c r="CL48" s="57">
        <f t="shared" si="63"/>
        <v>130.84</v>
      </c>
      <c r="CM48" s="57">
        <f t="shared" si="64"/>
        <v>153.81899999999999</v>
      </c>
      <c r="CN48" s="57">
        <f t="shared" si="65"/>
        <v>154.35</v>
      </c>
      <c r="CO48" s="57">
        <f t="shared" si="66"/>
        <v>161.66999999999999</v>
      </c>
      <c r="CP48" s="67">
        <f>CP44*CP64</f>
        <v>168.32017098</v>
      </c>
      <c r="CQ48" s="67">
        <f t="shared" ref="CQ48:CY48" si="73">CQ44*CQ64</f>
        <v>133.00242820245001</v>
      </c>
      <c r="CR48" s="67">
        <f t="shared" si="73"/>
        <v>148.29433535685655</v>
      </c>
      <c r="CS48" s="67">
        <f t="shared" si="73"/>
        <v>163.22375003461164</v>
      </c>
      <c r="CT48" s="67">
        <f t="shared" si="73"/>
        <v>177.48406493636443</v>
      </c>
      <c r="CU48" s="67">
        <f t="shared" si="73"/>
        <v>188.05051633534785</v>
      </c>
      <c r="CV48" s="67">
        <f t="shared" si="73"/>
        <v>198.32774034532727</v>
      </c>
      <c r="CW48" s="67">
        <f t="shared" si="73"/>
        <v>208.13622951144296</v>
      </c>
      <c r="CX48" s="67">
        <f t="shared" si="73"/>
        <v>217.39316297492616</v>
      </c>
      <c r="CY48" s="67">
        <f t="shared" si="73"/>
        <v>198.18518082050031</v>
      </c>
    </row>
    <row r="49" spans="2:155">
      <c r="B49" s="1" t="s">
        <v>991</v>
      </c>
      <c r="C49" s="57">
        <v>0</v>
      </c>
      <c r="D49" s="57">
        <v>0</v>
      </c>
      <c r="E49" s="57">
        <v>0</v>
      </c>
      <c r="F49" s="57">
        <v>0</v>
      </c>
      <c r="G49" s="57">
        <v>0</v>
      </c>
      <c r="H49" s="57">
        <v>0</v>
      </c>
      <c r="I49" s="57">
        <v>0</v>
      </c>
      <c r="J49" s="57">
        <v>0</v>
      </c>
      <c r="K49" s="57">
        <v>0</v>
      </c>
      <c r="L49" s="57">
        <v>0</v>
      </c>
      <c r="M49" s="57">
        <v>0</v>
      </c>
      <c r="N49" s="57">
        <v>0</v>
      </c>
      <c r="O49" s="57">
        <v>0</v>
      </c>
      <c r="P49" s="57">
        <v>0</v>
      </c>
      <c r="Q49" s="57">
        <v>0</v>
      </c>
      <c r="R49" s="57">
        <v>0</v>
      </c>
      <c r="S49" s="57">
        <v>0</v>
      </c>
      <c r="T49" s="57">
        <v>0</v>
      </c>
      <c r="U49" s="57">
        <v>0</v>
      </c>
      <c r="V49" s="57">
        <v>0</v>
      </c>
      <c r="W49" s="57">
        <v>0</v>
      </c>
      <c r="X49" s="57">
        <v>0</v>
      </c>
      <c r="Y49" s="57">
        <v>0</v>
      </c>
      <c r="Z49" s="57">
        <v>0</v>
      </c>
      <c r="AA49" s="57">
        <v>0</v>
      </c>
      <c r="AB49" s="57">
        <v>0</v>
      </c>
      <c r="AC49" s="57">
        <v>0</v>
      </c>
      <c r="AD49" s="57">
        <v>0</v>
      </c>
      <c r="AE49" s="57">
        <v>0</v>
      </c>
      <c r="AF49" s="57">
        <v>0</v>
      </c>
      <c r="AG49" s="57">
        <v>0</v>
      </c>
      <c r="AH49" s="57">
        <v>0</v>
      </c>
      <c r="AI49" s="57">
        <v>0</v>
      </c>
      <c r="AJ49" s="57">
        <v>0</v>
      </c>
      <c r="AK49" s="57">
        <v>0</v>
      </c>
      <c r="AL49" s="57">
        <v>0</v>
      </c>
      <c r="AM49" s="57">
        <v>0</v>
      </c>
      <c r="AN49" s="57">
        <v>0</v>
      </c>
      <c r="AO49" s="57">
        <v>0</v>
      </c>
      <c r="AP49" s="57">
        <v>0</v>
      </c>
      <c r="AQ49" s="57">
        <v>0</v>
      </c>
      <c r="AR49" s="57">
        <v>0</v>
      </c>
      <c r="AS49" s="57">
        <v>0</v>
      </c>
      <c r="AT49" s="57">
        <f>0-SUM(AQ49:AS49)</f>
        <v>0</v>
      </c>
      <c r="AU49" s="57">
        <v>0</v>
      </c>
      <c r="AV49" s="57">
        <v>0</v>
      </c>
      <c r="AW49" s="57">
        <v>0</v>
      </c>
      <c r="AX49" s="57">
        <f>0-SUM(AU49:AW49)</f>
        <v>0</v>
      </c>
      <c r="AY49" s="57">
        <v>0</v>
      </c>
      <c r="AZ49" s="57">
        <v>0</v>
      </c>
      <c r="BA49" s="57">
        <v>0</v>
      </c>
      <c r="BB49" s="57">
        <f>0-SUM(AY49:BA49)</f>
        <v>0</v>
      </c>
      <c r="BC49" s="57">
        <v>0</v>
      </c>
      <c r="BD49" s="57">
        <v>0</v>
      </c>
      <c r="BE49" s="57">
        <v>0</v>
      </c>
      <c r="BF49" s="57">
        <f>45.244-SUM(BC49:BE49)</f>
        <v>45.244</v>
      </c>
      <c r="BG49" s="57">
        <v>138.13900000000001</v>
      </c>
      <c r="BH49" s="57">
        <v>0</v>
      </c>
      <c r="BI49" s="57">
        <v>-5.407</v>
      </c>
      <c r="BJ49" s="57">
        <f>132.73-SUM(BG49:BI49)</f>
        <v>-2.0000000000095497E-3</v>
      </c>
      <c r="BK49" s="57">
        <v>0</v>
      </c>
      <c r="BL49" s="57">
        <v>0</v>
      </c>
      <c r="BM49" s="57">
        <v>0</v>
      </c>
      <c r="BN49" s="57">
        <f>0-SUM(BK49:BM49)</f>
        <v>0</v>
      </c>
      <c r="BO49" s="57">
        <v>0</v>
      </c>
      <c r="BP49" s="57">
        <v>0</v>
      </c>
      <c r="CA49" s="57">
        <f t="shared" si="52"/>
        <v>0</v>
      </c>
      <c r="CB49" s="57">
        <f t="shared" si="53"/>
        <v>0</v>
      </c>
      <c r="CC49" s="57">
        <f t="shared" si="54"/>
        <v>0</v>
      </c>
      <c r="CD49" s="57">
        <f t="shared" si="55"/>
        <v>0</v>
      </c>
      <c r="CE49" s="57">
        <f t="shared" si="56"/>
        <v>0</v>
      </c>
      <c r="CF49" s="57">
        <f t="shared" si="57"/>
        <v>0</v>
      </c>
      <c r="CG49" s="57">
        <f t="shared" si="58"/>
        <v>0</v>
      </c>
      <c r="CH49" s="57">
        <f t="shared" si="59"/>
        <v>0</v>
      </c>
      <c r="CI49" s="57">
        <f t="shared" si="60"/>
        <v>0</v>
      </c>
      <c r="CJ49" s="57">
        <f t="shared" si="61"/>
        <v>0</v>
      </c>
      <c r="CK49" s="57">
        <f t="shared" si="62"/>
        <v>0</v>
      </c>
      <c r="CL49" s="57">
        <f t="shared" si="63"/>
        <v>0</v>
      </c>
      <c r="CM49" s="57">
        <f t="shared" si="64"/>
        <v>0</v>
      </c>
      <c r="CN49" s="57">
        <f t="shared" si="65"/>
        <v>45.244</v>
      </c>
      <c r="CO49" s="57">
        <f t="shared" si="66"/>
        <v>132.72999999999999</v>
      </c>
      <c r="CP49" s="67">
        <v>0</v>
      </c>
      <c r="CQ49" s="67">
        <v>0</v>
      </c>
      <c r="CR49" s="67">
        <v>0</v>
      </c>
      <c r="CS49" s="67">
        <v>0</v>
      </c>
      <c r="CT49" s="67">
        <v>0</v>
      </c>
      <c r="CU49" s="67">
        <v>0</v>
      </c>
      <c r="CV49" s="67">
        <v>0</v>
      </c>
      <c r="CW49" s="67">
        <v>0</v>
      </c>
      <c r="CX49" s="67">
        <v>0</v>
      </c>
      <c r="CY49" s="67">
        <v>0</v>
      </c>
    </row>
    <row r="50" spans="2:155">
      <c r="B50" s="1" t="s">
        <v>1001</v>
      </c>
      <c r="C50" s="57">
        <v>0.40000000000000568</v>
      </c>
      <c r="D50" s="57">
        <v>0</v>
      </c>
      <c r="E50" s="57">
        <v>1.3000000000000114</v>
      </c>
      <c r="F50" s="57">
        <v>0.59999999999999432</v>
      </c>
      <c r="G50" s="57">
        <v>0.59999999999999432</v>
      </c>
      <c r="H50" s="57">
        <v>3.2000000000000028</v>
      </c>
      <c r="I50" s="57">
        <v>0</v>
      </c>
      <c r="J50" s="57">
        <v>2.3999999999999915</v>
      </c>
      <c r="K50" s="57">
        <v>330.79999999999995</v>
      </c>
      <c r="L50" s="57">
        <v>0</v>
      </c>
      <c r="M50" s="57">
        <v>0.99999999999998579</v>
      </c>
      <c r="N50" s="57">
        <v>2.9</v>
      </c>
      <c r="O50" s="57">
        <v>9.0999999999999943</v>
      </c>
      <c r="P50" s="57">
        <v>12.899999999999991</v>
      </c>
      <c r="Q50" s="57">
        <v>7.2000000000000028</v>
      </c>
      <c r="R50" s="57">
        <v>9.1</v>
      </c>
      <c r="S50" s="57">
        <v>7.6999999999999886</v>
      </c>
      <c r="T50" s="57">
        <v>7.5999999999999943</v>
      </c>
      <c r="U50" s="57">
        <v>1.2</v>
      </c>
      <c r="V50" s="57">
        <v>1.3</v>
      </c>
      <c r="W50" s="57">
        <v>4.4000000000000057</v>
      </c>
      <c r="X50" s="57">
        <v>0.6</v>
      </c>
      <c r="Y50" s="57">
        <v>0.2</v>
      </c>
      <c r="Z50" s="57">
        <v>2.2000000000000171</v>
      </c>
      <c r="AA50" s="57">
        <v>8.8000000000000007</v>
      </c>
      <c r="AB50" s="57">
        <v>0</v>
      </c>
      <c r="AC50" s="57">
        <v>0.19999999999998863</v>
      </c>
      <c r="AD50" s="57">
        <v>46.100000000000023</v>
      </c>
      <c r="AE50" s="57">
        <v>12.899999999999977</v>
      </c>
      <c r="AF50" s="57">
        <v>0.89999999999997726</v>
      </c>
      <c r="AG50" s="57">
        <v>0</v>
      </c>
      <c r="AH50" s="57">
        <v>1</v>
      </c>
      <c r="AI50" s="57">
        <v>3.0999999999999943</v>
      </c>
      <c r="AJ50" s="57">
        <v>55.400000000000006</v>
      </c>
      <c r="AK50" s="57">
        <v>19.199999999999989</v>
      </c>
      <c r="AL50" s="57">
        <v>0.19999999999998863</v>
      </c>
      <c r="AM50" s="57">
        <v>14.599999999999994</v>
      </c>
      <c r="AN50" s="57">
        <v>1.7000000000000171</v>
      </c>
      <c r="AO50" s="57">
        <v>0.19999999999998863</v>
      </c>
      <c r="AP50" s="57">
        <v>0</v>
      </c>
      <c r="AQ50" s="57">
        <v>0</v>
      </c>
      <c r="AR50" s="57">
        <v>0</v>
      </c>
      <c r="AS50" s="57">
        <v>0</v>
      </c>
      <c r="AT50" s="57">
        <f>0-SUM(AQ50:AS50)</f>
        <v>0</v>
      </c>
      <c r="AU50" s="57">
        <v>0</v>
      </c>
      <c r="AV50" s="57">
        <v>0</v>
      </c>
      <c r="AW50" s="57">
        <v>0</v>
      </c>
      <c r="AX50" s="57">
        <f>0-SUM(AU50:AW50)</f>
        <v>0</v>
      </c>
      <c r="AY50" s="57">
        <v>0</v>
      </c>
      <c r="AZ50" s="57">
        <v>0</v>
      </c>
      <c r="BA50" s="57">
        <v>0</v>
      </c>
      <c r="BB50" s="57">
        <f>0-SUM(AY50:BA50)</f>
        <v>0</v>
      </c>
      <c r="BC50" s="57">
        <v>0</v>
      </c>
      <c r="BD50" s="57">
        <v>0</v>
      </c>
      <c r="BE50" s="57">
        <v>0</v>
      </c>
      <c r="BF50" s="57">
        <f>0-SUM(BC50:BE50)</f>
        <v>0</v>
      </c>
      <c r="BG50" s="57">
        <v>0</v>
      </c>
      <c r="BH50" s="57">
        <v>0</v>
      </c>
      <c r="BI50" s="57">
        <v>0</v>
      </c>
      <c r="BJ50" s="57">
        <f>240-SUM(BG50:BI50)</f>
        <v>240</v>
      </c>
      <c r="BK50" s="57">
        <v>0</v>
      </c>
      <c r="BL50" s="57">
        <v>0</v>
      </c>
      <c r="BM50" s="57">
        <v>403.92</v>
      </c>
      <c r="BN50" s="57">
        <f>403.9-SUM(BK50:BM50)</f>
        <v>-2.0000000000038654E-2</v>
      </c>
      <c r="BO50" s="57">
        <v>0</v>
      </c>
      <c r="BP50" s="57">
        <v>0</v>
      </c>
      <c r="CA50" s="57">
        <f t="shared" si="52"/>
        <v>2.3000000000000114</v>
      </c>
      <c r="CB50" s="57">
        <f t="shared" si="53"/>
        <v>6.1999999999999886</v>
      </c>
      <c r="CC50" s="57">
        <f t="shared" si="54"/>
        <v>334.69999999999993</v>
      </c>
      <c r="CD50" s="57">
        <f t="shared" si="55"/>
        <v>38.29999999999999</v>
      </c>
      <c r="CE50" s="57">
        <f t="shared" si="56"/>
        <v>17.799999999999983</v>
      </c>
      <c r="CF50" s="57">
        <f t="shared" si="57"/>
        <v>7.4000000000000226</v>
      </c>
      <c r="CG50" s="57">
        <f t="shared" si="58"/>
        <v>55.100000000000009</v>
      </c>
      <c r="CH50" s="57">
        <f t="shared" si="59"/>
        <v>14.799999999999955</v>
      </c>
      <c r="CI50" s="57">
        <f t="shared" si="60"/>
        <v>77.899999999999977</v>
      </c>
      <c r="CJ50" s="57">
        <f t="shared" si="61"/>
        <v>16.5</v>
      </c>
      <c r="CK50" s="57">
        <f t="shared" si="62"/>
        <v>0</v>
      </c>
      <c r="CL50" s="57">
        <f t="shared" si="63"/>
        <v>0</v>
      </c>
      <c r="CM50" s="57">
        <f t="shared" si="64"/>
        <v>0</v>
      </c>
      <c r="CN50" s="57">
        <f t="shared" si="65"/>
        <v>0</v>
      </c>
      <c r="CO50" s="57">
        <f t="shared" si="66"/>
        <v>240</v>
      </c>
      <c r="CP50" s="67">
        <v>0</v>
      </c>
      <c r="CQ50" s="67">
        <v>0</v>
      </c>
      <c r="CR50" s="67">
        <v>0</v>
      </c>
      <c r="CS50" s="67">
        <v>0</v>
      </c>
      <c r="CT50" s="67">
        <v>0</v>
      </c>
      <c r="CU50" s="67">
        <v>0</v>
      </c>
      <c r="CV50" s="67">
        <v>0</v>
      </c>
      <c r="CW50" s="67">
        <v>0</v>
      </c>
      <c r="CX50" s="67">
        <v>0</v>
      </c>
      <c r="CY50" s="67">
        <v>0</v>
      </c>
    </row>
    <row r="51" spans="2:155">
      <c r="B51" s="1" t="s">
        <v>992</v>
      </c>
      <c r="C51" s="57">
        <v>0</v>
      </c>
      <c r="D51" s="57">
        <v>0</v>
      </c>
      <c r="E51" s="57">
        <v>0</v>
      </c>
      <c r="F51" s="57">
        <v>0</v>
      </c>
      <c r="G51" s="57">
        <v>0</v>
      </c>
      <c r="H51" s="57">
        <v>0</v>
      </c>
      <c r="I51" s="57">
        <v>0</v>
      </c>
      <c r="J51" s="57">
        <v>0</v>
      </c>
      <c r="K51" s="57">
        <v>0</v>
      </c>
      <c r="L51" s="57">
        <v>0</v>
      </c>
      <c r="M51" s="57">
        <v>0</v>
      </c>
      <c r="N51" s="57">
        <v>0</v>
      </c>
      <c r="O51" s="57">
        <v>0</v>
      </c>
      <c r="P51" s="57">
        <v>0</v>
      </c>
      <c r="Q51" s="57">
        <v>0</v>
      </c>
      <c r="R51" s="57">
        <v>0</v>
      </c>
      <c r="S51" s="57">
        <v>0</v>
      </c>
      <c r="T51" s="57">
        <v>0</v>
      </c>
      <c r="U51" s="57">
        <v>0</v>
      </c>
      <c r="V51" s="57">
        <v>0</v>
      </c>
      <c r="W51" s="57">
        <v>0</v>
      </c>
      <c r="X51" s="57">
        <v>0</v>
      </c>
      <c r="Y51" s="57">
        <v>0</v>
      </c>
      <c r="Z51" s="57">
        <v>0</v>
      </c>
      <c r="AA51" s="57">
        <v>0</v>
      </c>
      <c r="AB51" s="57">
        <v>0</v>
      </c>
      <c r="AC51" s="57">
        <v>0</v>
      </c>
      <c r="AD51" s="57">
        <v>0</v>
      </c>
      <c r="AE51" s="57">
        <v>0</v>
      </c>
      <c r="AF51" s="57">
        <v>0</v>
      </c>
      <c r="AG51" s="57">
        <v>0</v>
      </c>
      <c r="AH51" s="57">
        <v>0</v>
      </c>
      <c r="AI51" s="57">
        <v>0</v>
      </c>
      <c r="AJ51" s="57">
        <v>0</v>
      </c>
      <c r="AK51" s="57">
        <v>0</v>
      </c>
      <c r="AL51" s="57">
        <v>0</v>
      </c>
      <c r="AM51" s="57">
        <v>0</v>
      </c>
      <c r="AN51" s="57">
        <v>0</v>
      </c>
      <c r="AO51" s="57">
        <v>0</v>
      </c>
      <c r="AP51" s="57">
        <v>0</v>
      </c>
      <c r="AQ51" s="57">
        <v>1.3460000000000001</v>
      </c>
      <c r="AR51" s="57">
        <v>19.004999999999999</v>
      </c>
      <c r="AS51" s="57">
        <v>-3.6589999999999998</v>
      </c>
      <c r="AT51" s="57">
        <f>38.491-SUM(AQ51:AS51)</f>
        <v>21.798999999999999</v>
      </c>
      <c r="AU51" s="57">
        <v>7.9980000000000002</v>
      </c>
      <c r="AV51" s="57">
        <v>11.494</v>
      </c>
      <c r="AW51" s="57">
        <v>0.95899999999999996</v>
      </c>
      <c r="AX51" s="57">
        <f>21.738-SUM(AU51:AW51)</f>
        <v>1.286999999999999</v>
      </c>
      <c r="AY51" s="57">
        <v>2.4049999999999998</v>
      </c>
      <c r="AZ51" s="57">
        <v>-8.3000000000000004E-2</v>
      </c>
      <c r="BA51" s="57">
        <v>0.628</v>
      </c>
      <c r="BB51" s="57">
        <f>20.299-SUM(AY51:BA51)</f>
        <v>17.349</v>
      </c>
      <c r="BC51" s="57">
        <v>2.2200000000000002</v>
      </c>
      <c r="BD51" s="57">
        <v>1.5</v>
      </c>
      <c r="BE51" s="57">
        <v>0.23100000000000001</v>
      </c>
      <c r="BF51" s="57">
        <f>15.604-SUM(BC51:BE51)</f>
        <v>11.652999999999999</v>
      </c>
      <c r="BG51" s="57">
        <v>2.6589999999999998</v>
      </c>
      <c r="BH51" s="57">
        <v>7.8550000000000004</v>
      </c>
      <c r="BI51" s="57">
        <v>0.28499999999999998</v>
      </c>
      <c r="BJ51" s="57">
        <f>21.991-SUM(BG51:BI51)</f>
        <v>11.192</v>
      </c>
      <c r="BK51" s="57">
        <v>4.7549999999999999</v>
      </c>
      <c r="BL51" s="57">
        <v>22.17</v>
      </c>
      <c r="BM51" s="57">
        <v>117.62</v>
      </c>
      <c r="BN51" s="57">
        <f>21.991-SUM(BK51:BM51)</f>
        <v>-122.55400000000002</v>
      </c>
      <c r="BO51" s="57">
        <v>16.844999999999999</v>
      </c>
      <c r="BP51" s="57">
        <v>0.246</v>
      </c>
      <c r="CA51" s="57">
        <f t="shared" ref="CA51:CA58" si="74">SUM(C51:F51)</f>
        <v>0</v>
      </c>
      <c r="CB51" s="57">
        <f t="shared" ref="CB51:CB58" si="75">SUM(G51:J51)</f>
        <v>0</v>
      </c>
      <c r="CC51" s="57">
        <f t="shared" ref="CC51:CC58" si="76">SUM(K51:N51)</f>
        <v>0</v>
      </c>
      <c r="CD51" s="57">
        <f t="shared" ref="CD51:CD58" si="77">SUM(O51:R51)</f>
        <v>0</v>
      </c>
      <c r="CE51" s="57">
        <f t="shared" ref="CE51:CE58" si="78">SUM(S51:V51)</f>
        <v>0</v>
      </c>
      <c r="CF51" s="57">
        <f t="shared" ref="CF51:CF58" si="79">SUM(W51:Z51)</f>
        <v>0</v>
      </c>
      <c r="CG51" s="57">
        <f t="shared" ref="CG51:CG58" si="80">SUM(AA51:AD51)</f>
        <v>0</v>
      </c>
      <c r="CH51" s="57">
        <f t="shared" ref="CH51:CH58" si="81">SUM(AE51:AH51)</f>
        <v>0</v>
      </c>
      <c r="CI51" s="57">
        <f t="shared" ref="CI51:CI58" si="82">SUM(AI51:AL51)</f>
        <v>0</v>
      </c>
      <c r="CJ51" s="57">
        <f t="shared" ref="CJ51:CJ58" si="83">SUM(AM51:AP51)</f>
        <v>0</v>
      </c>
      <c r="CK51" s="57">
        <f t="shared" si="62"/>
        <v>38.491</v>
      </c>
      <c r="CL51" s="57">
        <f t="shared" si="63"/>
        <v>21.738</v>
      </c>
      <c r="CM51" s="57">
        <f t="shared" si="64"/>
        <v>20.298999999999999</v>
      </c>
      <c r="CN51" s="57">
        <f t="shared" si="65"/>
        <v>15.603999999999999</v>
      </c>
      <c r="CO51" s="57">
        <f t="shared" si="66"/>
        <v>21.991</v>
      </c>
      <c r="CP51" s="67">
        <v>40</v>
      </c>
      <c r="CQ51" s="67">
        <v>20</v>
      </c>
      <c r="CR51" s="67">
        <v>0</v>
      </c>
      <c r="CS51" s="67">
        <v>0</v>
      </c>
      <c r="CT51" s="67">
        <v>0</v>
      </c>
      <c r="CU51" s="67">
        <v>0</v>
      </c>
      <c r="CV51" s="67">
        <v>0</v>
      </c>
      <c r="CW51" s="67">
        <v>0</v>
      </c>
      <c r="CX51" s="67">
        <v>0</v>
      </c>
      <c r="CY51" s="67">
        <v>0</v>
      </c>
    </row>
    <row r="52" spans="2:155">
      <c r="B52" s="1" t="s">
        <v>1000</v>
      </c>
      <c r="C52" s="57">
        <v>0</v>
      </c>
      <c r="D52" s="57">
        <v>0</v>
      </c>
      <c r="E52" s="57">
        <v>0</v>
      </c>
      <c r="F52" s="57">
        <v>0</v>
      </c>
      <c r="G52" s="57">
        <v>0</v>
      </c>
      <c r="H52" s="57">
        <v>0</v>
      </c>
      <c r="I52" s="57">
        <v>0</v>
      </c>
      <c r="J52" s="57">
        <v>0</v>
      </c>
      <c r="K52" s="57">
        <v>0</v>
      </c>
      <c r="L52" s="57">
        <v>0</v>
      </c>
      <c r="M52" s="57">
        <v>0</v>
      </c>
      <c r="N52" s="57">
        <v>0</v>
      </c>
      <c r="O52" s="57">
        <v>0</v>
      </c>
      <c r="P52" s="57">
        <v>0</v>
      </c>
      <c r="Q52" s="57">
        <v>0</v>
      </c>
      <c r="R52" s="57">
        <v>0</v>
      </c>
      <c r="S52" s="57">
        <v>0</v>
      </c>
      <c r="T52" s="57">
        <v>0</v>
      </c>
      <c r="U52" s="57">
        <v>0</v>
      </c>
      <c r="V52" s="57">
        <v>0</v>
      </c>
      <c r="W52" s="57">
        <v>0</v>
      </c>
      <c r="X52" s="57">
        <v>0</v>
      </c>
      <c r="Y52" s="57">
        <v>0</v>
      </c>
      <c r="Z52" s="57">
        <v>0</v>
      </c>
      <c r="AA52" s="57">
        <v>0</v>
      </c>
      <c r="AB52" s="57">
        <v>0</v>
      </c>
      <c r="AC52" s="57">
        <v>0</v>
      </c>
      <c r="AD52" s="57">
        <v>0</v>
      </c>
      <c r="AE52" s="57">
        <v>0</v>
      </c>
      <c r="AF52" s="57">
        <v>0</v>
      </c>
      <c r="AG52" s="57">
        <v>0</v>
      </c>
      <c r="AH52" s="57">
        <v>0</v>
      </c>
      <c r="AI52" s="57">
        <v>0</v>
      </c>
      <c r="AJ52" s="57">
        <v>0</v>
      </c>
      <c r="AK52" s="57">
        <v>0</v>
      </c>
      <c r="AL52" s="57">
        <v>0</v>
      </c>
      <c r="AM52" s="57">
        <v>0</v>
      </c>
      <c r="AN52" s="57">
        <v>0</v>
      </c>
      <c r="AO52" s="57">
        <v>0</v>
      </c>
      <c r="AP52" s="57">
        <v>0</v>
      </c>
      <c r="AQ52" s="57">
        <v>0</v>
      </c>
      <c r="AR52" s="57">
        <v>0</v>
      </c>
      <c r="AS52" s="57">
        <v>0</v>
      </c>
      <c r="AT52" s="57">
        <f>0-SUM(AQ52:AS52)</f>
        <v>0</v>
      </c>
      <c r="AU52" s="57">
        <v>0</v>
      </c>
      <c r="AV52" s="57">
        <v>0</v>
      </c>
      <c r="AW52" s="57">
        <v>-91.156999999999996</v>
      </c>
      <c r="AX52" s="57">
        <f>-91.157-SUM(AU52:AW52)</f>
        <v>0</v>
      </c>
      <c r="AY52" s="57">
        <v>0</v>
      </c>
      <c r="AZ52" s="57">
        <v>0</v>
      </c>
      <c r="BA52" s="57">
        <v>-6.5</v>
      </c>
      <c r="BB52" s="57">
        <f>-6.5-SUM(AY52:BA52)</f>
        <v>0</v>
      </c>
      <c r="BC52" s="57">
        <v>0</v>
      </c>
      <c r="BD52" s="57">
        <v>0</v>
      </c>
      <c r="BE52" s="57">
        <v>0</v>
      </c>
      <c r="BF52" s="57">
        <f>-4.448-SUM(BC52:BE52)</f>
        <v>-4.4480000000000004</v>
      </c>
      <c r="BG52" s="57">
        <v>0</v>
      </c>
      <c r="BH52" s="57">
        <v>0</v>
      </c>
      <c r="BI52" s="57">
        <v>0</v>
      </c>
      <c r="BJ52" s="57">
        <f>0-SUM(BG52:BI52)</f>
        <v>0</v>
      </c>
      <c r="BK52" s="57">
        <v>0</v>
      </c>
      <c r="BL52" s="57">
        <v>0</v>
      </c>
      <c r="BM52" s="57">
        <v>0</v>
      </c>
      <c r="BN52" s="57">
        <f>0-SUM(BK52:BM52)</f>
        <v>0</v>
      </c>
      <c r="BO52" s="57">
        <v>0</v>
      </c>
      <c r="BP52" s="57">
        <v>0</v>
      </c>
      <c r="CA52" s="57">
        <f t="shared" si="74"/>
        <v>0</v>
      </c>
      <c r="CB52" s="57">
        <f t="shared" si="75"/>
        <v>0</v>
      </c>
      <c r="CC52" s="57">
        <f t="shared" si="76"/>
        <v>0</v>
      </c>
      <c r="CD52" s="57">
        <f t="shared" si="77"/>
        <v>0</v>
      </c>
      <c r="CE52" s="57">
        <f t="shared" si="78"/>
        <v>0</v>
      </c>
      <c r="CF52" s="57">
        <f t="shared" si="79"/>
        <v>0</v>
      </c>
      <c r="CG52" s="57">
        <f t="shared" si="80"/>
        <v>0</v>
      </c>
      <c r="CH52" s="57">
        <f t="shared" si="81"/>
        <v>0</v>
      </c>
      <c r="CI52" s="57">
        <f t="shared" si="82"/>
        <v>0</v>
      </c>
      <c r="CJ52" s="57">
        <f t="shared" si="83"/>
        <v>0</v>
      </c>
      <c r="CK52" s="57">
        <f t="shared" si="62"/>
        <v>0</v>
      </c>
      <c r="CL52" s="57">
        <f t="shared" si="63"/>
        <v>-91.156999999999996</v>
      </c>
      <c r="CM52" s="57">
        <f t="shared" ref="CM52" si="84">SUM(AY52:BB52)</f>
        <v>-6.5</v>
      </c>
      <c r="CN52" s="57">
        <f t="shared" ref="CN52" si="85">SUM(BC52:BF52)</f>
        <v>-4.4480000000000004</v>
      </c>
      <c r="CO52" s="57">
        <f t="shared" si="66"/>
        <v>0</v>
      </c>
      <c r="CP52" s="67">
        <v>0</v>
      </c>
      <c r="CQ52" s="67">
        <v>0</v>
      </c>
      <c r="CR52" s="67">
        <v>0</v>
      </c>
      <c r="CS52" s="67">
        <v>0</v>
      </c>
      <c r="CT52" s="67">
        <v>0</v>
      </c>
      <c r="CU52" s="67">
        <v>0</v>
      </c>
      <c r="CV52" s="67">
        <v>0</v>
      </c>
      <c r="CW52" s="67">
        <v>0</v>
      </c>
      <c r="CX52" s="67">
        <v>0</v>
      </c>
      <c r="CY52" s="67">
        <v>0</v>
      </c>
    </row>
    <row r="53" spans="2:155">
      <c r="B53" s="1" t="s">
        <v>998</v>
      </c>
      <c r="C53" s="57">
        <f t="shared" ref="C53:AV53" si="86">C46-SUM(C47:C52)</f>
        <v>66.600000000000009</v>
      </c>
      <c r="D53" s="57">
        <f t="shared" si="86"/>
        <v>64.199999999999989</v>
      </c>
      <c r="E53" s="57">
        <f t="shared" si="86"/>
        <v>53.499999999999986</v>
      </c>
      <c r="F53" s="57">
        <f t="shared" si="86"/>
        <v>46.09999999999998</v>
      </c>
      <c r="G53" s="57">
        <f t="shared" si="86"/>
        <v>49.7</v>
      </c>
      <c r="H53" s="57">
        <f t="shared" si="86"/>
        <v>55.899999999999977</v>
      </c>
      <c r="I53" s="57">
        <f t="shared" si="86"/>
        <v>61.900000000000006</v>
      </c>
      <c r="J53" s="57">
        <f t="shared" si="86"/>
        <v>62.100000000000023</v>
      </c>
      <c r="K53" s="57">
        <f t="shared" si="86"/>
        <v>-270.39999999999992</v>
      </c>
      <c r="L53" s="57">
        <f t="shared" si="86"/>
        <v>64.700000000000017</v>
      </c>
      <c r="M53" s="57">
        <f t="shared" si="86"/>
        <v>49.900000000000034</v>
      </c>
      <c r="N53" s="57">
        <f t="shared" si="86"/>
        <v>58.400000000000006</v>
      </c>
      <c r="O53" s="57">
        <f t="shared" si="86"/>
        <v>49.399999999999977</v>
      </c>
      <c r="P53" s="57">
        <f t="shared" si="86"/>
        <v>63.80000000000004</v>
      </c>
      <c r="Q53" s="57">
        <f t="shared" si="86"/>
        <v>66</v>
      </c>
      <c r="R53" s="57">
        <f t="shared" si="86"/>
        <v>54.099999999999994</v>
      </c>
      <c r="S53" s="57">
        <f t="shared" si="86"/>
        <v>59</v>
      </c>
      <c r="T53" s="57">
        <f t="shared" si="86"/>
        <v>74.800000000000011</v>
      </c>
      <c r="U53" s="57">
        <f t="shared" si="86"/>
        <v>81.899999999999977</v>
      </c>
      <c r="V53" s="57">
        <f t="shared" si="86"/>
        <v>69.199999999999989</v>
      </c>
      <c r="W53" s="57">
        <f t="shared" si="86"/>
        <v>65.599999999999966</v>
      </c>
      <c r="X53" s="57">
        <f t="shared" si="86"/>
        <v>77</v>
      </c>
      <c r="Y53" s="57">
        <f t="shared" si="86"/>
        <v>76.599999999999994</v>
      </c>
      <c r="Z53" s="57">
        <f t="shared" si="86"/>
        <v>96.700000000000017</v>
      </c>
      <c r="AA53" s="57">
        <f t="shared" si="86"/>
        <v>67.499999999999972</v>
      </c>
      <c r="AB53" s="57">
        <f t="shared" si="86"/>
        <v>98.400000000000034</v>
      </c>
      <c r="AC53" s="57">
        <f t="shared" si="86"/>
        <v>86.500000000000028</v>
      </c>
      <c r="AD53" s="57">
        <f t="shared" si="86"/>
        <v>67</v>
      </c>
      <c r="AE53" s="57">
        <f t="shared" si="86"/>
        <v>60.799999999999983</v>
      </c>
      <c r="AF53" s="57">
        <f t="shared" si="86"/>
        <v>110.20000000000002</v>
      </c>
      <c r="AG53" s="57">
        <f t="shared" si="86"/>
        <v>110.40000000000003</v>
      </c>
      <c r="AH53" s="57">
        <f t="shared" si="86"/>
        <v>90.900000000000034</v>
      </c>
      <c r="AI53" s="57">
        <f t="shared" si="86"/>
        <v>86.80000000000004</v>
      </c>
      <c r="AJ53" s="57">
        <f t="shared" si="86"/>
        <v>33.499999999999943</v>
      </c>
      <c r="AK53" s="57">
        <f t="shared" si="86"/>
        <v>82.100000000000023</v>
      </c>
      <c r="AL53" s="57">
        <f t="shared" si="86"/>
        <v>119.30000000000004</v>
      </c>
      <c r="AM53" s="57">
        <f t="shared" si="86"/>
        <v>75.199999999999989</v>
      </c>
      <c r="AN53" s="57">
        <f t="shared" si="86"/>
        <v>107.49999999999997</v>
      </c>
      <c r="AO53" s="57">
        <f t="shared" si="86"/>
        <v>117.59999999999997</v>
      </c>
      <c r="AP53" s="57">
        <f t="shared" si="86"/>
        <v>126.9</v>
      </c>
      <c r="AQ53" s="57">
        <f t="shared" si="86"/>
        <v>157.065</v>
      </c>
      <c r="AR53" s="57">
        <f t="shared" si="86"/>
        <v>38.811999999999955</v>
      </c>
      <c r="AS53" s="57">
        <f t="shared" si="86"/>
        <v>132.08100000000002</v>
      </c>
      <c r="AT53" s="57">
        <f t="shared" si="86"/>
        <v>35.601000000000056</v>
      </c>
      <c r="AU53" s="57">
        <f t="shared" si="86"/>
        <v>103.41800000000003</v>
      </c>
      <c r="AV53" s="57">
        <f t="shared" si="86"/>
        <v>128.74600000000004</v>
      </c>
      <c r="AW53" s="57">
        <f>AW46-SUM(AW47:AW52)</f>
        <v>240.95499999999998</v>
      </c>
      <c r="AX53" s="57">
        <f t="shared" ref="AX53:BP53" si="87">AX46-SUM(AX47:AX52)</f>
        <v>154.97500000000014</v>
      </c>
      <c r="AY53" s="57">
        <f t="shared" si="87"/>
        <v>103.51099999999988</v>
      </c>
      <c r="AZ53" s="57">
        <f t="shared" si="87"/>
        <v>135.13399999999999</v>
      </c>
      <c r="BA53" s="57">
        <f t="shared" si="87"/>
        <v>132.4079999999999</v>
      </c>
      <c r="BB53" s="57">
        <f t="shared" si="87"/>
        <v>128.65500000000003</v>
      </c>
      <c r="BC53" s="57">
        <f t="shared" si="87"/>
        <v>114.94499999999994</v>
      </c>
      <c r="BD53" s="57">
        <f t="shared" si="87"/>
        <v>143.54500000000002</v>
      </c>
      <c r="BE53" s="57">
        <f t="shared" si="87"/>
        <v>165.30199999999996</v>
      </c>
      <c r="BF53" s="57">
        <f t="shared" si="87"/>
        <v>82.525999999999954</v>
      </c>
      <c r="BG53" s="57">
        <f t="shared" si="87"/>
        <v>-4.8059999999999832</v>
      </c>
      <c r="BH53" s="57">
        <f t="shared" si="87"/>
        <v>116.85000000000002</v>
      </c>
      <c r="BI53" s="57">
        <f t="shared" si="87"/>
        <v>149.28199999999987</v>
      </c>
      <c r="BJ53" s="57">
        <f t="shared" si="87"/>
        <v>-110.32300000000009</v>
      </c>
      <c r="BK53" s="57">
        <f t="shared" si="87"/>
        <v>125.62099999999998</v>
      </c>
      <c r="BL53" s="57">
        <f t="shared" si="87"/>
        <v>155.27499999999992</v>
      </c>
      <c r="BM53" s="57">
        <f t="shared" si="87"/>
        <v>-408.90000000000009</v>
      </c>
      <c r="BN53" s="57">
        <f t="shared" si="87"/>
        <v>384.31900000000002</v>
      </c>
      <c r="BO53" s="57">
        <f t="shared" si="87"/>
        <v>20.181999999999903</v>
      </c>
      <c r="BP53" s="57">
        <f t="shared" si="87"/>
        <v>72.824000000000012</v>
      </c>
      <c r="CA53" s="57">
        <f t="shared" si="74"/>
        <v>230.39999999999998</v>
      </c>
      <c r="CB53" s="57">
        <f t="shared" si="75"/>
        <v>229.60000000000002</v>
      </c>
      <c r="CC53" s="57">
        <f t="shared" si="76"/>
        <v>-97.399999999999864</v>
      </c>
      <c r="CD53" s="57">
        <f t="shared" si="77"/>
        <v>233.3</v>
      </c>
      <c r="CE53" s="57">
        <f t="shared" si="78"/>
        <v>284.89999999999998</v>
      </c>
      <c r="CF53" s="57">
        <f t="shared" si="79"/>
        <v>315.89999999999998</v>
      </c>
      <c r="CG53" s="57">
        <f t="shared" si="80"/>
        <v>319.40000000000003</v>
      </c>
      <c r="CH53" s="57">
        <f t="shared" si="81"/>
        <v>372.30000000000007</v>
      </c>
      <c r="CI53" s="57">
        <f t="shared" si="82"/>
        <v>321.70000000000005</v>
      </c>
      <c r="CJ53" s="57">
        <f t="shared" si="83"/>
        <v>427.19999999999993</v>
      </c>
      <c r="CK53" s="57">
        <f t="shared" si="62"/>
        <v>363.55900000000003</v>
      </c>
      <c r="CL53" s="57">
        <f t="shared" si="63"/>
        <v>628.09400000000016</v>
      </c>
      <c r="CM53" s="57">
        <f t="shared" ref="CM53:CM59" si="88">SUM(AY53:BB53)</f>
        <v>499.7079999999998</v>
      </c>
      <c r="CN53" s="57">
        <f t="shared" ref="CN53:CN59" si="89">SUM(BC53:BF53)</f>
        <v>506.31799999999987</v>
      </c>
      <c r="CO53" s="57">
        <f t="shared" si="66"/>
        <v>151.00299999999982</v>
      </c>
      <c r="CP53" s="67">
        <f>CP46-SUM(CP47:CP52)</f>
        <v>617.09605209500023</v>
      </c>
      <c r="CQ53" s="67">
        <f t="shared" ref="CQ53:CY53" si="90">CQ46-SUM(CQ47:CQ52)</f>
        <v>419.64691544698746</v>
      </c>
      <c r="CR53" s="67">
        <f t="shared" si="90"/>
        <v>471.84561249908893</v>
      </c>
      <c r="CS53" s="67">
        <f t="shared" si="90"/>
        <v>521.7330581463475</v>
      </c>
      <c r="CT53" s="67">
        <f t="shared" si="90"/>
        <v>585.38603873748252</v>
      </c>
      <c r="CU53" s="67">
        <f t="shared" si="90"/>
        <v>653.22810937541885</v>
      </c>
      <c r="CV53" s="67">
        <f t="shared" si="90"/>
        <v>706.32511035265657</v>
      </c>
      <c r="CW53" s="67">
        <f t="shared" si="90"/>
        <v>759.51466207684416</v>
      </c>
      <c r="CX53" s="67">
        <f t="shared" si="90"/>
        <v>802.82913695126217</v>
      </c>
      <c r="CY53" s="67">
        <f t="shared" si="90"/>
        <v>872.01479561020119</v>
      </c>
    </row>
    <row r="54" spans="2:155">
      <c r="B54" s="1" t="s">
        <v>994</v>
      </c>
      <c r="C54" s="57">
        <v>-18.8</v>
      </c>
      <c r="D54" s="57">
        <v>-19.399999999999999</v>
      </c>
      <c r="E54" s="57">
        <v>-50.2</v>
      </c>
      <c r="F54" s="57">
        <v>-37.299999999999997</v>
      </c>
      <c r="G54" s="57">
        <v>-30.6</v>
      </c>
      <c r="H54" s="57">
        <v>-16.3</v>
      </c>
      <c r="I54" s="57">
        <v>-18.899999999999999</v>
      </c>
      <c r="J54" s="57">
        <v>-19.2</v>
      </c>
      <c r="K54" s="57">
        <v>-17.7</v>
      </c>
      <c r="L54" s="57">
        <v>-17.7</v>
      </c>
      <c r="M54" s="57">
        <v>-18.2</v>
      </c>
      <c r="N54" s="57">
        <v>-14.4</v>
      </c>
      <c r="O54" s="57">
        <v>-14</v>
      </c>
      <c r="P54" s="57">
        <v>-14.3</v>
      </c>
      <c r="Q54" s="57">
        <v>-15.1</v>
      </c>
      <c r="R54" s="57">
        <v>-14.2</v>
      </c>
      <c r="S54" s="57">
        <v>-15.2</v>
      </c>
      <c r="T54" s="57">
        <v>-15.9</v>
      </c>
      <c r="U54" s="57">
        <v>-17</v>
      </c>
      <c r="V54" s="57">
        <v>-16.600000000000001</v>
      </c>
      <c r="W54" s="57">
        <v>-17</v>
      </c>
      <c r="X54" s="57">
        <v>-26.5</v>
      </c>
      <c r="Y54" s="57">
        <v>-14.2</v>
      </c>
      <c r="Z54" s="57">
        <v>-13.6</v>
      </c>
      <c r="AA54" s="57">
        <v>-13.7</v>
      </c>
      <c r="AB54" s="57">
        <v>-31</v>
      </c>
      <c r="AC54" s="57">
        <v>-12.8</v>
      </c>
      <c r="AD54" s="57">
        <v>-16.2</v>
      </c>
      <c r="AE54" s="57">
        <v>-23.1</v>
      </c>
      <c r="AF54" s="57">
        <v>-19.7</v>
      </c>
      <c r="AG54" s="57">
        <v>-21</v>
      </c>
      <c r="AH54" s="57">
        <v>-23.5</v>
      </c>
      <c r="AI54" s="57">
        <v>-25.7</v>
      </c>
      <c r="AJ54" s="57">
        <v>-26.5</v>
      </c>
      <c r="AK54" s="57">
        <v>-26.9</v>
      </c>
      <c r="AL54" s="57">
        <v>-23.1</v>
      </c>
      <c r="AM54" s="57">
        <v>-22.4</v>
      </c>
      <c r="AN54" s="57">
        <v>-20.3</v>
      </c>
      <c r="AO54" s="57">
        <v>-19.100000000000001</v>
      </c>
      <c r="AP54" s="57">
        <v>-25.6</v>
      </c>
      <c r="AQ54" s="57">
        <v>15.439</v>
      </c>
      <c r="AR54" s="57">
        <v>15.682</v>
      </c>
      <c r="AS54" s="57">
        <v>16.649999999999999</v>
      </c>
      <c r="AT54" s="57">
        <f>66.494-SUM(AQ54:AS54)</f>
        <v>18.722999999999999</v>
      </c>
      <c r="AU54" s="57">
        <v>16.797999999999998</v>
      </c>
      <c r="AV54" s="57">
        <v>16.170999999999999</v>
      </c>
      <c r="AW54" s="57">
        <v>11.989000000000001</v>
      </c>
      <c r="AX54" s="57">
        <f>56.969-SUM(AU54:AW54)</f>
        <v>12.011000000000003</v>
      </c>
      <c r="AY54" s="57">
        <v>10.417999999999999</v>
      </c>
      <c r="AZ54" s="57">
        <v>11.419</v>
      </c>
      <c r="BA54" s="57">
        <v>13.375</v>
      </c>
      <c r="BB54" s="57">
        <f>54.264-SUM(AY54:BA54)</f>
        <v>19.052</v>
      </c>
      <c r="BC54" s="57">
        <v>18.337</v>
      </c>
      <c r="BD54" s="57">
        <v>17.760000000000002</v>
      </c>
      <c r="BE54" s="57">
        <v>23.192</v>
      </c>
      <c r="BF54" s="57">
        <f>85.082-SUM(BC54:BE54)</f>
        <v>25.792999999999992</v>
      </c>
      <c r="BG54" s="57">
        <v>22.683</v>
      </c>
      <c r="BH54" s="57">
        <v>21.167999999999999</v>
      </c>
      <c r="BI54" s="57">
        <v>21.058</v>
      </c>
      <c r="BJ54" s="57">
        <f>83.544-SUM(BG54:BI54)</f>
        <v>18.635000000000005</v>
      </c>
      <c r="BK54" s="57">
        <v>18.544</v>
      </c>
      <c r="BL54" s="57">
        <v>21.707999999999998</v>
      </c>
      <c r="BM54" s="57">
        <v>31.84</v>
      </c>
      <c r="BN54" s="57">
        <f>83.544-SUM(BK54:BM54)</f>
        <v>11.451999999999998</v>
      </c>
      <c r="BO54" s="57">
        <v>25.718</v>
      </c>
      <c r="BP54" s="57">
        <v>27.952999999999999</v>
      </c>
      <c r="CA54" s="57">
        <f t="shared" si="74"/>
        <v>-125.7</v>
      </c>
      <c r="CB54" s="57">
        <f t="shared" si="75"/>
        <v>-85.000000000000014</v>
      </c>
      <c r="CC54" s="57">
        <f t="shared" si="76"/>
        <v>-68</v>
      </c>
      <c r="CD54" s="57">
        <f t="shared" si="77"/>
        <v>-57.599999999999994</v>
      </c>
      <c r="CE54" s="57">
        <f t="shared" si="78"/>
        <v>-64.7</v>
      </c>
      <c r="CF54" s="57">
        <f t="shared" si="79"/>
        <v>-71.3</v>
      </c>
      <c r="CG54" s="57">
        <f t="shared" si="80"/>
        <v>-73.7</v>
      </c>
      <c r="CH54" s="57">
        <f t="shared" si="81"/>
        <v>-87.3</v>
      </c>
      <c r="CI54" s="57">
        <f t="shared" si="82"/>
        <v>-102.19999999999999</v>
      </c>
      <c r="CJ54" s="57">
        <f t="shared" si="83"/>
        <v>-87.4</v>
      </c>
      <c r="CK54" s="57">
        <f t="shared" si="62"/>
        <v>66.494</v>
      </c>
      <c r="CL54" s="57">
        <f t="shared" si="63"/>
        <v>56.969000000000001</v>
      </c>
      <c r="CM54" s="57">
        <f t="shared" si="88"/>
        <v>54.264000000000003</v>
      </c>
      <c r="CN54" s="57">
        <f t="shared" si="89"/>
        <v>85.081999999999994</v>
      </c>
      <c r="CO54" s="57">
        <f t="shared" si="66"/>
        <v>83.543999999999997</v>
      </c>
      <c r="CP54" s="67">
        <f>-$CO$93*5.5%</f>
        <v>-85.572849999999988</v>
      </c>
      <c r="CQ54" s="67">
        <f t="shared" ref="CQ54:CY54" si="91">-$CO$93*5.5%</f>
        <v>-85.572849999999988</v>
      </c>
      <c r="CR54" s="67">
        <f t="shared" si="91"/>
        <v>-85.572849999999988</v>
      </c>
      <c r="CS54" s="67">
        <f t="shared" si="91"/>
        <v>-85.572849999999988</v>
      </c>
      <c r="CT54" s="67">
        <f t="shared" si="91"/>
        <v>-85.572849999999988</v>
      </c>
      <c r="CU54" s="67">
        <f t="shared" si="91"/>
        <v>-85.572849999999988</v>
      </c>
      <c r="CV54" s="67">
        <f t="shared" si="91"/>
        <v>-85.572849999999988</v>
      </c>
      <c r="CW54" s="67">
        <f t="shared" si="91"/>
        <v>-85.572849999999988</v>
      </c>
      <c r="CX54" s="67">
        <f t="shared" si="91"/>
        <v>-85.572849999999988</v>
      </c>
      <c r="CY54" s="67">
        <f t="shared" si="91"/>
        <v>-85.572849999999988</v>
      </c>
    </row>
    <row r="55" spans="2:155">
      <c r="B55" s="1" t="s">
        <v>993</v>
      </c>
      <c r="C55" s="57">
        <v>0</v>
      </c>
      <c r="D55" s="57">
        <v>0</v>
      </c>
      <c r="E55" s="57">
        <v>0</v>
      </c>
      <c r="F55" s="57">
        <v>0</v>
      </c>
      <c r="G55" s="57">
        <v>0</v>
      </c>
      <c r="H55" s="57">
        <v>0</v>
      </c>
      <c r="I55" s="57">
        <v>0</v>
      </c>
      <c r="J55" s="57">
        <v>0</v>
      </c>
      <c r="K55" s="57">
        <v>0</v>
      </c>
      <c r="L55" s="57">
        <v>0</v>
      </c>
      <c r="M55" s="57">
        <v>0</v>
      </c>
      <c r="N55" s="57">
        <v>0</v>
      </c>
      <c r="O55" s="57">
        <v>0</v>
      </c>
      <c r="P55" s="57">
        <v>0</v>
      </c>
      <c r="Q55" s="57">
        <v>0</v>
      </c>
      <c r="R55" s="57">
        <v>0</v>
      </c>
      <c r="S55" s="57">
        <v>0</v>
      </c>
      <c r="T55" s="57">
        <v>0</v>
      </c>
      <c r="U55" s="57">
        <v>0</v>
      </c>
      <c r="V55" s="57">
        <v>0</v>
      </c>
      <c r="W55" s="57">
        <v>0</v>
      </c>
      <c r="X55" s="57">
        <v>0</v>
      </c>
      <c r="Y55" s="57">
        <v>0</v>
      </c>
      <c r="Z55" s="57">
        <v>0</v>
      </c>
      <c r="AA55" s="57">
        <v>0</v>
      </c>
      <c r="AB55" s="57">
        <v>0</v>
      </c>
      <c r="AC55" s="57">
        <v>0</v>
      </c>
      <c r="AD55" s="57">
        <v>0</v>
      </c>
      <c r="AE55" s="57">
        <v>0</v>
      </c>
      <c r="AF55" s="57">
        <v>0</v>
      </c>
      <c r="AG55" s="57">
        <v>0</v>
      </c>
      <c r="AH55" s="57">
        <v>0</v>
      </c>
      <c r="AI55" s="57">
        <v>0</v>
      </c>
      <c r="AJ55" s="57">
        <v>0</v>
      </c>
      <c r="AK55" s="57">
        <v>0</v>
      </c>
      <c r="AL55" s="57">
        <v>0</v>
      </c>
      <c r="AM55" s="57">
        <v>0</v>
      </c>
      <c r="AN55" s="57">
        <v>0</v>
      </c>
      <c r="AO55" s="57">
        <v>0</v>
      </c>
      <c r="AP55" s="57">
        <v>0</v>
      </c>
      <c r="AQ55" s="57">
        <v>-0.57899999999999996</v>
      </c>
      <c r="AR55" s="57">
        <v>-0.16300000000000001</v>
      </c>
      <c r="AS55" s="57">
        <v>-0.214</v>
      </c>
      <c r="AT55" s="57">
        <f>-1.158-SUM(AQ55:AS55)</f>
        <v>-0.20199999999999996</v>
      </c>
      <c r="AU55" s="57">
        <v>-0.65900000000000003</v>
      </c>
      <c r="AV55" s="57">
        <v>-0.23200000000000001</v>
      </c>
      <c r="AW55" s="57">
        <v>-0.215</v>
      </c>
      <c r="AX55" s="57">
        <f>-1.328-SUM(AU55:AW55)</f>
        <v>-0.22199999999999998</v>
      </c>
      <c r="AY55" s="57">
        <v>-0.22</v>
      </c>
      <c r="AZ55" s="57">
        <v>-0.22900000000000001</v>
      </c>
      <c r="BA55" s="57">
        <v>0.126</v>
      </c>
      <c r="BB55" s="57">
        <f>-0.912-SUM(AY55:BA55)</f>
        <v>-0.58899999999999997</v>
      </c>
      <c r="BC55" s="57">
        <v>-0.84299999999999997</v>
      </c>
      <c r="BD55" s="57">
        <v>-1.1499999999999999</v>
      </c>
      <c r="BE55" s="57">
        <v>-7.4870000000000001</v>
      </c>
      <c r="BF55" s="57">
        <f>-12.78-SUM(BC55:BE55)</f>
        <v>-3.2999999999999989</v>
      </c>
      <c r="BG55" s="57">
        <v>-1.66</v>
      </c>
      <c r="BH55" s="57">
        <v>-1.7869999999999999</v>
      </c>
      <c r="BI55" s="57">
        <v>-2.298</v>
      </c>
      <c r="BJ55" s="57">
        <f>-8.009-SUM(BG55:BI55)</f>
        <v>-2.2640000000000002</v>
      </c>
      <c r="BK55" s="57">
        <v>-1.917</v>
      </c>
      <c r="BL55" s="57">
        <v>-1.6</v>
      </c>
      <c r="BM55" s="57">
        <v>-2.16</v>
      </c>
      <c r="BN55" s="57">
        <f>-8.009-SUM(BK55:BM55)</f>
        <v>-2.3319999999999999</v>
      </c>
      <c r="BO55" s="57">
        <v>-1.708</v>
      </c>
      <c r="BP55" s="57">
        <v>-1.4159999999999999</v>
      </c>
      <c r="CA55" s="57">
        <f t="shared" si="74"/>
        <v>0</v>
      </c>
      <c r="CB55" s="57">
        <f t="shared" si="75"/>
        <v>0</v>
      </c>
      <c r="CC55" s="57">
        <f t="shared" si="76"/>
        <v>0</v>
      </c>
      <c r="CD55" s="57">
        <f t="shared" si="77"/>
        <v>0</v>
      </c>
      <c r="CE55" s="57">
        <f t="shared" si="78"/>
        <v>0</v>
      </c>
      <c r="CF55" s="57">
        <f t="shared" si="79"/>
        <v>0</v>
      </c>
      <c r="CG55" s="57">
        <f t="shared" si="80"/>
        <v>0</v>
      </c>
      <c r="CH55" s="57">
        <f t="shared" si="81"/>
        <v>0</v>
      </c>
      <c r="CI55" s="57">
        <f t="shared" si="82"/>
        <v>0</v>
      </c>
      <c r="CJ55" s="57">
        <f t="shared" si="83"/>
        <v>0</v>
      </c>
      <c r="CK55" s="57">
        <f t="shared" si="62"/>
        <v>-1.1579999999999999</v>
      </c>
      <c r="CL55" s="57">
        <f t="shared" si="63"/>
        <v>-1.3280000000000001</v>
      </c>
      <c r="CM55" s="57">
        <f t="shared" si="88"/>
        <v>-0.91199999999999992</v>
      </c>
      <c r="CN55" s="57">
        <f t="shared" si="89"/>
        <v>-12.78</v>
      </c>
      <c r="CO55" s="57">
        <f t="shared" si="66"/>
        <v>-8.0090000000000003</v>
      </c>
      <c r="CP55" s="67">
        <f>CO70*$CY$72</f>
        <v>20.892959999999999</v>
      </c>
      <c r="CQ55" s="67">
        <f>CP55*(1+$CY$72)</f>
        <v>22.397253119999998</v>
      </c>
      <c r="CR55" s="67">
        <f t="shared" ref="CR55:CY55" si="92">CQ55*(1+$CY$72)</f>
        <v>24.009855344639998</v>
      </c>
      <c r="CS55" s="67">
        <f t="shared" si="92"/>
        <v>25.738564929454078</v>
      </c>
      <c r="CT55" s="67">
        <f t="shared" si="92"/>
        <v>27.591741604374775</v>
      </c>
      <c r="CU55" s="67">
        <f t="shared" si="92"/>
        <v>29.57834699988976</v>
      </c>
      <c r="CV55" s="67">
        <f t="shared" si="92"/>
        <v>31.707987983881825</v>
      </c>
      <c r="CW55" s="67">
        <f t="shared" si="92"/>
        <v>33.990963118721318</v>
      </c>
      <c r="CX55" s="67">
        <f t="shared" si="92"/>
        <v>36.438312463269256</v>
      </c>
      <c r="CY55" s="67">
        <f t="shared" si="92"/>
        <v>39.061870960624645</v>
      </c>
    </row>
    <row r="56" spans="2:155">
      <c r="B56" s="1" t="s">
        <v>1002</v>
      </c>
      <c r="C56" s="57">
        <v>0</v>
      </c>
      <c r="D56" s="57">
        <v>0</v>
      </c>
      <c r="E56" s="57">
        <v>0</v>
      </c>
      <c r="F56" s="57">
        <v>0</v>
      </c>
      <c r="G56" s="57">
        <v>0</v>
      </c>
      <c r="H56" s="57">
        <v>0</v>
      </c>
      <c r="I56" s="57">
        <v>0</v>
      </c>
      <c r="J56" s="57">
        <v>0</v>
      </c>
      <c r="K56" s="57">
        <v>0</v>
      </c>
      <c r="L56" s="57">
        <v>0</v>
      </c>
      <c r="M56" s="57">
        <v>0</v>
      </c>
      <c r="N56" s="57">
        <v>0</v>
      </c>
      <c r="O56" s="57">
        <v>0</v>
      </c>
      <c r="P56" s="57">
        <v>0</v>
      </c>
      <c r="Q56" s="57">
        <v>0</v>
      </c>
      <c r="R56" s="57">
        <v>0</v>
      </c>
      <c r="S56" s="57">
        <v>0</v>
      </c>
      <c r="T56" s="57">
        <v>0</v>
      </c>
      <c r="U56" s="57">
        <v>0</v>
      </c>
      <c r="V56" s="57">
        <v>0</v>
      </c>
      <c r="W56" s="57">
        <v>0</v>
      </c>
      <c r="X56" s="57">
        <v>0</v>
      </c>
      <c r="Y56" s="57">
        <v>0</v>
      </c>
      <c r="Z56" s="57">
        <v>0</v>
      </c>
      <c r="AA56" s="57">
        <v>0</v>
      </c>
      <c r="AB56" s="57">
        <v>0</v>
      </c>
      <c r="AC56" s="57">
        <v>0</v>
      </c>
      <c r="AD56" s="57">
        <v>0</v>
      </c>
      <c r="AE56" s="57">
        <v>0</v>
      </c>
      <c r="AF56" s="57">
        <v>0</v>
      </c>
      <c r="AG56" s="57">
        <v>0</v>
      </c>
      <c r="AH56" s="57">
        <v>0</v>
      </c>
      <c r="AI56" s="57">
        <v>0</v>
      </c>
      <c r="AJ56" s="57">
        <v>0</v>
      </c>
      <c r="AK56" s="57">
        <v>0</v>
      </c>
      <c r="AL56" s="57">
        <v>0</v>
      </c>
      <c r="AM56" s="57">
        <v>0</v>
      </c>
      <c r="AN56" s="57">
        <v>0</v>
      </c>
      <c r="AO56" s="57">
        <v>0</v>
      </c>
      <c r="AP56" s="57">
        <v>0</v>
      </c>
      <c r="AQ56" s="57">
        <v>0</v>
      </c>
      <c r="AR56" s="57">
        <v>0</v>
      </c>
      <c r="AS56" s="57">
        <v>0</v>
      </c>
      <c r="AT56" s="57">
        <f>0-SUM(AQ56:AS56)</f>
        <v>0</v>
      </c>
      <c r="AU56" s="57">
        <v>0</v>
      </c>
      <c r="AV56" s="57">
        <v>12.986000000000001</v>
      </c>
      <c r="AW56" s="57">
        <v>0</v>
      </c>
      <c r="AX56" s="57">
        <f>-12.986-SUM(AU56:AW56)</f>
        <v>-25.972000000000001</v>
      </c>
      <c r="AY56" s="57">
        <v>0</v>
      </c>
      <c r="AZ56" s="57">
        <v>0</v>
      </c>
      <c r="BA56" s="57">
        <v>0</v>
      </c>
      <c r="BB56" s="57">
        <f>0.454-SUM(AY56:BA56)</f>
        <v>0.45400000000000001</v>
      </c>
      <c r="BC56" s="57">
        <v>0</v>
      </c>
      <c r="BD56" s="57">
        <v>0</v>
      </c>
      <c r="BE56" s="57">
        <v>0</v>
      </c>
      <c r="BF56" s="57">
        <f>0-SUM(BC56:BE56)</f>
        <v>0</v>
      </c>
      <c r="BG56" s="57">
        <v>0</v>
      </c>
      <c r="BH56" s="57">
        <v>0</v>
      </c>
      <c r="BI56" s="57">
        <v>0</v>
      </c>
      <c r="BJ56" s="57">
        <f>0-SUM(BG56:BI56)</f>
        <v>0</v>
      </c>
      <c r="BK56" s="57">
        <v>0</v>
      </c>
      <c r="BL56" s="57">
        <v>0</v>
      </c>
      <c r="BM56" s="57">
        <v>0</v>
      </c>
      <c r="BN56" s="57">
        <f>0-SUM(BK56:BM56)</f>
        <v>0</v>
      </c>
      <c r="BO56" s="57">
        <v>0</v>
      </c>
      <c r="BP56" s="57">
        <v>1.1499999999999999</v>
      </c>
      <c r="CA56" s="57">
        <f t="shared" si="74"/>
        <v>0</v>
      </c>
      <c r="CB56" s="57">
        <f t="shared" si="75"/>
        <v>0</v>
      </c>
      <c r="CC56" s="57">
        <f t="shared" si="76"/>
        <v>0</v>
      </c>
      <c r="CD56" s="57">
        <f t="shared" si="77"/>
        <v>0</v>
      </c>
      <c r="CE56" s="57">
        <f t="shared" si="78"/>
        <v>0</v>
      </c>
      <c r="CF56" s="57">
        <f t="shared" si="79"/>
        <v>0</v>
      </c>
      <c r="CG56" s="57">
        <f t="shared" si="80"/>
        <v>0</v>
      </c>
      <c r="CH56" s="57">
        <f t="shared" si="81"/>
        <v>0</v>
      </c>
      <c r="CI56" s="57">
        <f t="shared" si="82"/>
        <v>0</v>
      </c>
      <c r="CJ56" s="57">
        <f t="shared" si="83"/>
        <v>0</v>
      </c>
      <c r="CK56" s="57">
        <f t="shared" si="62"/>
        <v>0</v>
      </c>
      <c r="CL56" s="57">
        <f t="shared" si="63"/>
        <v>-12.986000000000001</v>
      </c>
      <c r="CM56" s="57">
        <f t="shared" si="88"/>
        <v>0.45400000000000001</v>
      </c>
      <c r="CN56" s="57">
        <f t="shared" si="89"/>
        <v>0</v>
      </c>
      <c r="CO56" s="57">
        <f t="shared" si="66"/>
        <v>0</v>
      </c>
      <c r="CP56" s="67">
        <v>0</v>
      </c>
      <c r="CQ56" s="67">
        <v>0</v>
      </c>
      <c r="CR56" s="67">
        <v>0</v>
      </c>
      <c r="CS56" s="67">
        <v>0</v>
      </c>
      <c r="CT56" s="67">
        <v>0</v>
      </c>
      <c r="CU56" s="67">
        <v>0</v>
      </c>
      <c r="CV56" s="67">
        <v>0</v>
      </c>
      <c r="CW56" s="67">
        <v>0</v>
      </c>
      <c r="CX56" s="67">
        <v>0</v>
      </c>
      <c r="CY56" s="67">
        <v>0</v>
      </c>
    </row>
    <row r="57" spans="2:155">
      <c r="B57" s="1" t="s">
        <v>995</v>
      </c>
      <c r="C57" s="57">
        <f>C53+C54</f>
        <v>47.800000000000011</v>
      </c>
      <c r="D57" s="57">
        <f t="shared" ref="D57:AP57" si="93">D53+D54</f>
        <v>44.79999999999999</v>
      </c>
      <c r="E57" s="57">
        <f t="shared" si="93"/>
        <v>3.2999999999999829</v>
      </c>
      <c r="F57" s="57">
        <f t="shared" si="93"/>
        <v>8.7999999999999829</v>
      </c>
      <c r="G57" s="57">
        <f t="shared" si="93"/>
        <v>19.100000000000001</v>
      </c>
      <c r="H57" s="57">
        <f t="shared" si="93"/>
        <v>39.59999999999998</v>
      </c>
      <c r="I57" s="57">
        <f t="shared" si="93"/>
        <v>43.000000000000007</v>
      </c>
      <c r="J57" s="57">
        <f t="shared" si="93"/>
        <v>42.90000000000002</v>
      </c>
      <c r="K57" s="57">
        <f t="shared" si="93"/>
        <v>-288.09999999999991</v>
      </c>
      <c r="L57" s="57">
        <f t="shared" si="93"/>
        <v>47.000000000000014</v>
      </c>
      <c r="M57" s="57">
        <f t="shared" si="93"/>
        <v>31.700000000000035</v>
      </c>
      <c r="N57" s="57">
        <f t="shared" si="93"/>
        <v>44.000000000000007</v>
      </c>
      <c r="O57" s="57">
        <f t="shared" si="93"/>
        <v>35.399999999999977</v>
      </c>
      <c r="P57" s="57">
        <f t="shared" si="93"/>
        <v>49.500000000000043</v>
      </c>
      <c r="Q57" s="57">
        <f t="shared" si="93"/>
        <v>50.9</v>
      </c>
      <c r="R57" s="57">
        <f t="shared" si="93"/>
        <v>39.899999999999991</v>
      </c>
      <c r="S57" s="57">
        <f t="shared" si="93"/>
        <v>43.8</v>
      </c>
      <c r="T57" s="57">
        <f t="shared" si="93"/>
        <v>58.900000000000013</v>
      </c>
      <c r="U57" s="57">
        <f t="shared" si="93"/>
        <v>64.899999999999977</v>
      </c>
      <c r="V57" s="57">
        <f t="shared" si="93"/>
        <v>52.599999999999987</v>
      </c>
      <c r="W57" s="57">
        <f t="shared" si="93"/>
        <v>48.599999999999966</v>
      </c>
      <c r="X57" s="57">
        <f t="shared" si="93"/>
        <v>50.5</v>
      </c>
      <c r="Y57" s="57">
        <f t="shared" si="93"/>
        <v>62.399999999999991</v>
      </c>
      <c r="Z57" s="57">
        <f t="shared" si="93"/>
        <v>83.100000000000023</v>
      </c>
      <c r="AA57" s="57">
        <f t="shared" si="93"/>
        <v>53.799999999999969</v>
      </c>
      <c r="AB57" s="57">
        <f t="shared" si="93"/>
        <v>67.400000000000034</v>
      </c>
      <c r="AC57" s="57">
        <f t="shared" si="93"/>
        <v>73.700000000000031</v>
      </c>
      <c r="AD57" s="57">
        <f t="shared" si="93"/>
        <v>50.8</v>
      </c>
      <c r="AE57" s="57">
        <f t="shared" si="93"/>
        <v>37.699999999999982</v>
      </c>
      <c r="AF57" s="57">
        <f t="shared" si="93"/>
        <v>90.500000000000014</v>
      </c>
      <c r="AG57" s="57">
        <f t="shared" si="93"/>
        <v>89.400000000000034</v>
      </c>
      <c r="AH57" s="57">
        <f t="shared" si="93"/>
        <v>67.400000000000034</v>
      </c>
      <c r="AI57" s="57">
        <f t="shared" si="93"/>
        <v>61.100000000000037</v>
      </c>
      <c r="AJ57" s="57">
        <f t="shared" si="93"/>
        <v>6.9999999999999432</v>
      </c>
      <c r="AK57" s="57">
        <f t="shared" si="93"/>
        <v>55.200000000000024</v>
      </c>
      <c r="AL57" s="57">
        <f t="shared" si="93"/>
        <v>96.200000000000045</v>
      </c>
      <c r="AM57" s="57">
        <f t="shared" si="93"/>
        <v>52.79999999999999</v>
      </c>
      <c r="AN57" s="57">
        <f t="shared" si="93"/>
        <v>87.199999999999974</v>
      </c>
      <c r="AO57" s="57">
        <f t="shared" si="93"/>
        <v>98.499999999999972</v>
      </c>
      <c r="AP57" s="57">
        <f t="shared" si="93"/>
        <v>101.30000000000001</v>
      </c>
      <c r="AQ57" s="57">
        <f>AQ53-SUM(AQ54:AQ56)</f>
        <v>142.20499999999998</v>
      </c>
      <c r="AR57" s="57">
        <f>AR53-SUM(AR54:AR56)</f>
        <v>23.292999999999957</v>
      </c>
      <c r="AS57" s="57">
        <f>AS53-SUM(AS54:AS56)</f>
        <v>115.64500000000001</v>
      </c>
      <c r="AT57" s="57">
        <f t="shared" ref="AT57:BP57" si="94">AT53-SUM(AT54:AT56)</f>
        <v>17.080000000000055</v>
      </c>
      <c r="AU57" s="57">
        <f t="shared" si="94"/>
        <v>87.279000000000039</v>
      </c>
      <c r="AV57" s="57">
        <f t="shared" si="94"/>
        <v>99.821000000000041</v>
      </c>
      <c r="AW57" s="57">
        <f t="shared" si="94"/>
        <v>229.18099999999998</v>
      </c>
      <c r="AX57" s="57">
        <f t="shared" si="94"/>
        <v>169.15800000000013</v>
      </c>
      <c r="AY57" s="57">
        <f t="shared" si="94"/>
        <v>93.312999999999889</v>
      </c>
      <c r="AZ57" s="57">
        <f t="shared" si="94"/>
        <v>123.94399999999999</v>
      </c>
      <c r="BA57" s="57">
        <f t="shared" si="94"/>
        <v>118.9069999999999</v>
      </c>
      <c r="BB57" s="57">
        <f t="shared" si="94"/>
        <v>109.73800000000003</v>
      </c>
      <c r="BC57" s="57">
        <f t="shared" si="94"/>
        <v>97.450999999999937</v>
      </c>
      <c r="BD57" s="57">
        <f t="shared" si="94"/>
        <v>126.93500000000002</v>
      </c>
      <c r="BE57" s="57">
        <f t="shared" si="94"/>
        <v>149.59699999999995</v>
      </c>
      <c r="BF57" s="57">
        <f t="shared" si="94"/>
        <v>60.032999999999959</v>
      </c>
      <c r="BG57" s="57">
        <f t="shared" si="94"/>
        <v>-25.828999999999983</v>
      </c>
      <c r="BH57" s="57">
        <f t="shared" si="94"/>
        <v>97.469000000000023</v>
      </c>
      <c r="BI57" s="57">
        <f t="shared" si="94"/>
        <v>130.52199999999988</v>
      </c>
      <c r="BJ57" s="57">
        <f t="shared" si="94"/>
        <v>-126.6940000000001</v>
      </c>
      <c r="BK57" s="57">
        <f t="shared" si="94"/>
        <v>108.99399999999999</v>
      </c>
      <c r="BL57" s="57">
        <f t="shared" si="94"/>
        <v>135.16699999999992</v>
      </c>
      <c r="BM57" s="57">
        <f t="shared" si="94"/>
        <v>-438.5800000000001</v>
      </c>
      <c r="BN57" s="57">
        <f t="shared" si="94"/>
        <v>375.19900000000001</v>
      </c>
      <c r="BO57" s="57">
        <f t="shared" si="94"/>
        <v>-3.8280000000000989</v>
      </c>
      <c r="BP57" s="57">
        <f t="shared" si="94"/>
        <v>45.137000000000015</v>
      </c>
      <c r="CA57" s="57">
        <f t="shared" si="74"/>
        <v>104.69999999999996</v>
      </c>
      <c r="CB57" s="57">
        <f t="shared" si="75"/>
        <v>144.60000000000002</v>
      </c>
      <c r="CC57" s="57">
        <f t="shared" si="76"/>
        <v>-165.39999999999986</v>
      </c>
      <c r="CD57" s="57">
        <f t="shared" si="77"/>
        <v>175.7</v>
      </c>
      <c r="CE57" s="57">
        <f t="shared" si="78"/>
        <v>220.2</v>
      </c>
      <c r="CF57" s="57">
        <f t="shared" si="79"/>
        <v>244.59999999999997</v>
      </c>
      <c r="CG57" s="57">
        <f t="shared" si="80"/>
        <v>245.70000000000005</v>
      </c>
      <c r="CH57" s="57">
        <f t="shared" si="81"/>
        <v>285.00000000000006</v>
      </c>
      <c r="CI57" s="57">
        <f t="shared" si="82"/>
        <v>219.50000000000006</v>
      </c>
      <c r="CJ57" s="57">
        <f t="shared" si="83"/>
        <v>339.79999999999995</v>
      </c>
      <c r="CK57" s="57">
        <f t="shared" si="62"/>
        <v>298.22299999999996</v>
      </c>
      <c r="CL57" s="57">
        <f t="shared" si="63"/>
        <v>585.43900000000019</v>
      </c>
      <c r="CM57" s="57">
        <f t="shared" si="88"/>
        <v>445.90199999999982</v>
      </c>
      <c r="CN57" s="57">
        <f t="shared" si="89"/>
        <v>434.01599999999991</v>
      </c>
      <c r="CO57" s="57">
        <f t="shared" si="66"/>
        <v>75.467999999999819</v>
      </c>
      <c r="CP57" s="67">
        <f>CP53+SUM(CP54:CP56)</f>
        <v>552.41616209500023</v>
      </c>
      <c r="CQ57" s="67">
        <f t="shared" ref="CQ57:CY57" si="95">CQ53+SUM(CQ54:CQ56)</f>
        <v>356.47131856698746</v>
      </c>
      <c r="CR57" s="67">
        <f t="shared" si="95"/>
        <v>410.28261784372893</v>
      </c>
      <c r="CS57" s="67">
        <f t="shared" si="95"/>
        <v>461.89877307580161</v>
      </c>
      <c r="CT57" s="67">
        <f t="shared" si="95"/>
        <v>527.40493034185727</v>
      </c>
      <c r="CU57" s="67">
        <f t="shared" si="95"/>
        <v>597.23360637530868</v>
      </c>
      <c r="CV57" s="67">
        <f t="shared" si="95"/>
        <v>652.46024833653837</v>
      </c>
      <c r="CW57" s="67">
        <f t="shared" si="95"/>
        <v>707.93277519556545</v>
      </c>
      <c r="CX57" s="67">
        <f t="shared" si="95"/>
        <v>753.69459941453147</v>
      </c>
      <c r="CY57" s="67">
        <f t="shared" si="95"/>
        <v>825.50381657082585</v>
      </c>
    </row>
    <row r="58" spans="2:155">
      <c r="B58" s="1" t="s">
        <v>996</v>
      </c>
      <c r="C58" s="57">
        <v>14.2</v>
      </c>
      <c r="D58" s="57">
        <v>12.4</v>
      </c>
      <c r="E58" s="57">
        <v>-7.7</v>
      </c>
      <c r="F58" s="57">
        <v>-2.1</v>
      </c>
      <c r="G58" s="57">
        <v>4.9000000000000004</v>
      </c>
      <c r="H58" s="57">
        <v>8.4</v>
      </c>
      <c r="I58" s="57">
        <v>10.1</v>
      </c>
      <c r="J58" s="57">
        <v>2.2999999999999998</v>
      </c>
      <c r="K58" s="57">
        <v>-4</v>
      </c>
      <c r="L58" s="57">
        <v>-0.3</v>
      </c>
      <c r="M58" s="57">
        <v>7.2</v>
      </c>
      <c r="N58" s="57">
        <v>13.5</v>
      </c>
      <c r="O58" s="57">
        <v>7.7</v>
      </c>
      <c r="P58" s="57">
        <v>6.1</v>
      </c>
      <c r="Q58" s="57">
        <v>5.2</v>
      </c>
      <c r="R58" s="57">
        <v>4.5999999999999996</v>
      </c>
      <c r="S58" s="57">
        <v>8.5</v>
      </c>
      <c r="T58" s="57">
        <v>10</v>
      </c>
      <c r="U58" s="57">
        <v>9.6999999999999993</v>
      </c>
      <c r="V58" s="57">
        <v>0.4</v>
      </c>
      <c r="W58" s="57">
        <v>9.3000000000000007</v>
      </c>
      <c r="X58" s="57">
        <v>5.3</v>
      </c>
      <c r="Y58" s="57">
        <v>0.8</v>
      </c>
      <c r="Z58" s="57">
        <v>-7.6</v>
      </c>
      <c r="AA58" s="57">
        <v>2.6</v>
      </c>
      <c r="AB58" s="57">
        <v>8</v>
      </c>
      <c r="AC58" s="57">
        <v>7.5</v>
      </c>
      <c r="AD58" s="57">
        <v>-10.1</v>
      </c>
      <c r="AE58" s="57">
        <v>-2.7</v>
      </c>
      <c r="AF58" s="57">
        <v>12.1</v>
      </c>
      <c r="AG58" s="57">
        <v>10</v>
      </c>
      <c r="AH58" s="57">
        <v>110.2</v>
      </c>
      <c r="AI58" s="57">
        <v>6.2</v>
      </c>
      <c r="AJ58" s="57">
        <v>9.6</v>
      </c>
      <c r="AK58" s="57">
        <v>-1.3</v>
      </c>
      <c r="AL58" s="57">
        <v>8.6999999999999993</v>
      </c>
      <c r="AM58" s="57">
        <v>11</v>
      </c>
      <c r="AN58" s="57">
        <v>3.8</v>
      </c>
      <c r="AO58" s="57">
        <v>-130.4</v>
      </c>
      <c r="AP58" s="57">
        <v>-6.5</v>
      </c>
      <c r="AQ58" s="57">
        <v>11.074</v>
      </c>
      <c r="AR58" s="57">
        <v>11.848000000000001</v>
      </c>
      <c r="AS58" s="57">
        <v>-0.95099999999999996</v>
      </c>
      <c r="AT58" s="57">
        <f>21.93-SUM(AQ58:AS58)</f>
        <v>-4.1000000000000369E-2</v>
      </c>
      <c r="AU58" s="57">
        <v>12.428000000000001</v>
      </c>
      <c r="AV58" s="57">
        <v>16.411999999999999</v>
      </c>
      <c r="AW58" s="57">
        <v>29.69</v>
      </c>
      <c r="AX58" s="57">
        <f>74.349-SUM(AU58:AW58)</f>
        <v>15.819000000000003</v>
      </c>
      <c r="AY58" s="57">
        <v>15.973000000000001</v>
      </c>
      <c r="AZ58" s="57">
        <v>18.411999999999999</v>
      </c>
      <c r="BA58" s="57">
        <v>17.315000000000001</v>
      </c>
      <c r="BB58" s="57">
        <f>83-SUM(AY58:BA58)</f>
        <v>31.299999999999997</v>
      </c>
      <c r="BC58" s="57">
        <v>20.184000000000001</v>
      </c>
      <c r="BD58" s="57">
        <v>15.53</v>
      </c>
      <c r="BE58" s="57">
        <v>11.935</v>
      </c>
      <c r="BF58" s="57">
        <f>76.44-SUM(BC58:BE58)</f>
        <v>28.790999999999997</v>
      </c>
      <c r="BG58" s="57">
        <v>-41.551000000000002</v>
      </c>
      <c r="BH58" s="57">
        <v>17.332000000000001</v>
      </c>
      <c r="BI58" s="57">
        <v>19.632999999999999</v>
      </c>
      <c r="BJ58" s="57">
        <f>5.316-SUM(BG58:BI58)</f>
        <v>9.902000000000001</v>
      </c>
      <c r="BK58" s="57">
        <f>13.83</f>
        <v>13.83</v>
      </c>
      <c r="BL58" s="57">
        <v>12.662000000000001</v>
      </c>
      <c r="BM58" s="57">
        <v>-29.69</v>
      </c>
      <c r="BN58" s="57">
        <f>5.316-SUM(BK58:BM58)</f>
        <v>8.5139999999999993</v>
      </c>
      <c r="BO58" s="57">
        <v>1.0109999999999999</v>
      </c>
      <c r="BP58" s="57">
        <v>3.375</v>
      </c>
      <c r="CA58" s="57">
        <f t="shared" si="74"/>
        <v>16.8</v>
      </c>
      <c r="CB58" s="57">
        <f t="shared" si="75"/>
        <v>25.7</v>
      </c>
      <c r="CC58" s="57">
        <f t="shared" si="76"/>
        <v>16.399999999999999</v>
      </c>
      <c r="CD58" s="57">
        <f t="shared" si="77"/>
        <v>23.6</v>
      </c>
      <c r="CE58" s="57">
        <f t="shared" si="78"/>
        <v>28.599999999999998</v>
      </c>
      <c r="CF58" s="57">
        <f t="shared" si="79"/>
        <v>7.8000000000000025</v>
      </c>
      <c r="CG58" s="57">
        <f t="shared" si="80"/>
        <v>8.0000000000000018</v>
      </c>
      <c r="CH58" s="57">
        <f t="shared" si="81"/>
        <v>129.6</v>
      </c>
      <c r="CI58" s="57">
        <f t="shared" si="82"/>
        <v>23.2</v>
      </c>
      <c r="CJ58" s="57">
        <f t="shared" si="83"/>
        <v>-122.10000000000001</v>
      </c>
      <c r="CK58" s="57">
        <f t="shared" si="62"/>
        <v>21.93</v>
      </c>
      <c r="CL58" s="57">
        <f t="shared" si="63"/>
        <v>74.349000000000004</v>
      </c>
      <c r="CM58" s="57">
        <f t="shared" si="88"/>
        <v>83</v>
      </c>
      <c r="CN58" s="57">
        <f t="shared" si="89"/>
        <v>76.44</v>
      </c>
      <c r="CO58" s="57">
        <f t="shared" si="66"/>
        <v>5.3159999999999989</v>
      </c>
      <c r="CP58" s="67">
        <f>CP57*CP67</f>
        <v>66.289939451400031</v>
      </c>
      <c r="CQ58" s="67">
        <f t="shared" ref="CQ58:CY58" si="96">CQ57*CQ67</f>
        <v>46.34127141370837</v>
      </c>
      <c r="CR58" s="67">
        <f t="shared" si="96"/>
        <v>61.542392676559338</v>
      </c>
      <c r="CS58" s="67">
        <f t="shared" si="96"/>
        <v>69.284815961370242</v>
      </c>
      <c r="CT58" s="67">
        <f t="shared" si="96"/>
        <v>79.110739551278584</v>
      </c>
      <c r="CU58" s="67">
        <f t="shared" si="96"/>
        <v>89.585040956296297</v>
      </c>
      <c r="CV58" s="67">
        <f t="shared" si="96"/>
        <v>97.869037250480758</v>
      </c>
      <c r="CW58" s="67">
        <f t="shared" si="96"/>
        <v>106.18991627933481</v>
      </c>
      <c r="CX58" s="67">
        <f t="shared" si="96"/>
        <v>113.05418991217972</v>
      </c>
      <c r="CY58" s="67">
        <f t="shared" si="96"/>
        <v>123.82557248562387</v>
      </c>
    </row>
    <row r="59" spans="2:155" s="2" customFormat="1" ht="15">
      <c r="B59" s="2" t="s">
        <v>997</v>
      </c>
      <c r="C59" s="58">
        <f>C57-C58</f>
        <v>33.600000000000009</v>
      </c>
      <c r="D59" s="58">
        <f t="shared" ref="D59:BH59" si="97">D57-D58</f>
        <v>32.399999999999991</v>
      </c>
      <c r="E59" s="58">
        <f t="shared" si="97"/>
        <v>10.999999999999982</v>
      </c>
      <c r="F59" s="58">
        <f t="shared" si="97"/>
        <v>10.899999999999983</v>
      </c>
      <c r="G59" s="58">
        <f t="shared" si="97"/>
        <v>14.200000000000001</v>
      </c>
      <c r="H59" s="58">
        <f t="shared" si="97"/>
        <v>31.199999999999982</v>
      </c>
      <c r="I59" s="58">
        <f t="shared" si="97"/>
        <v>32.900000000000006</v>
      </c>
      <c r="J59" s="58">
        <f t="shared" si="97"/>
        <v>40.600000000000023</v>
      </c>
      <c r="K59" s="58">
        <f t="shared" si="97"/>
        <v>-284.09999999999991</v>
      </c>
      <c r="L59" s="58">
        <f t="shared" si="97"/>
        <v>47.300000000000011</v>
      </c>
      <c r="M59" s="58">
        <f t="shared" si="97"/>
        <v>24.500000000000036</v>
      </c>
      <c r="N59" s="58">
        <f t="shared" si="97"/>
        <v>30.500000000000007</v>
      </c>
      <c r="O59" s="58">
        <f t="shared" si="97"/>
        <v>27.699999999999978</v>
      </c>
      <c r="P59" s="58">
        <f t="shared" si="97"/>
        <v>43.400000000000041</v>
      </c>
      <c r="Q59" s="58">
        <f t="shared" si="97"/>
        <v>45.699999999999996</v>
      </c>
      <c r="R59" s="58">
        <f t="shared" si="97"/>
        <v>35.29999999999999</v>
      </c>
      <c r="S59" s="58">
        <f t="shared" si="97"/>
        <v>35.299999999999997</v>
      </c>
      <c r="T59" s="58">
        <f t="shared" si="97"/>
        <v>48.900000000000013</v>
      </c>
      <c r="U59" s="58">
        <f t="shared" si="97"/>
        <v>55.199999999999974</v>
      </c>
      <c r="V59" s="58">
        <f t="shared" si="97"/>
        <v>52.199999999999989</v>
      </c>
      <c r="W59" s="58">
        <f t="shared" si="97"/>
        <v>39.299999999999969</v>
      </c>
      <c r="X59" s="58">
        <f t="shared" si="97"/>
        <v>45.2</v>
      </c>
      <c r="Y59" s="58">
        <f t="shared" si="97"/>
        <v>61.599999999999994</v>
      </c>
      <c r="Z59" s="58">
        <f t="shared" si="97"/>
        <v>90.700000000000017</v>
      </c>
      <c r="AA59" s="58">
        <f t="shared" si="97"/>
        <v>51.199999999999967</v>
      </c>
      <c r="AB59" s="58">
        <f t="shared" si="97"/>
        <v>59.400000000000034</v>
      </c>
      <c r="AC59" s="58">
        <f t="shared" si="97"/>
        <v>66.200000000000031</v>
      </c>
      <c r="AD59" s="58">
        <f t="shared" si="97"/>
        <v>60.9</v>
      </c>
      <c r="AE59" s="58">
        <f t="shared" si="97"/>
        <v>40.399999999999984</v>
      </c>
      <c r="AF59" s="58">
        <f t="shared" si="97"/>
        <v>78.40000000000002</v>
      </c>
      <c r="AG59" s="58">
        <f t="shared" si="97"/>
        <v>79.400000000000034</v>
      </c>
      <c r="AH59" s="58">
        <f t="shared" si="97"/>
        <v>-42.799999999999969</v>
      </c>
      <c r="AI59" s="58">
        <f t="shared" si="97"/>
        <v>54.900000000000034</v>
      </c>
      <c r="AJ59" s="58">
        <f t="shared" si="97"/>
        <v>-2.6000000000000565</v>
      </c>
      <c r="AK59" s="58">
        <f t="shared" si="97"/>
        <v>56.500000000000021</v>
      </c>
      <c r="AL59" s="58">
        <f t="shared" si="97"/>
        <v>87.500000000000043</v>
      </c>
      <c r="AM59" s="58">
        <f t="shared" si="97"/>
        <v>41.79999999999999</v>
      </c>
      <c r="AN59" s="58">
        <f t="shared" si="97"/>
        <v>83.399999999999977</v>
      </c>
      <c r="AO59" s="58">
        <f t="shared" si="97"/>
        <v>228.89999999999998</v>
      </c>
      <c r="AP59" s="58">
        <f t="shared" si="97"/>
        <v>107.80000000000001</v>
      </c>
      <c r="AQ59" s="58">
        <f t="shared" si="97"/>
        <v>131.13099999999997</v>
      </c>
      <c r="AR59" s="58">
        <f>AR57-AR58+0.013</f>
        <v>11.457999999999956</v>
      </c>
      <c r="AS59" s="58">
        <f>AS57-AS58-0.018</f>
        <v>116.578</v>
      </c>
      <c r="AT59" s="58">
        <f t="shared" si="97"/>
        <v>17.121000000000056</v>
      </c>
      <c r="AU59" s="58">
        <f t="shared" si="97"/>
        <v>74.851000000000042</v>
      </c>
      <c r="AV59" s="58">
        <f>AV57-AV58-0.035</f>
        <v>83.374000000000052</v>
      </c>
      <c r="AW59" s="58">
        <f>AW57-AW58-0.325</f>
        <v>199.166</v>
      </c>
      <c r="AX59" s="58">
        <f t="shared" si="97"/>
        <v>153.33900000000011</v>
      </c>
      <c r="AY59" s="58">
        <f>AY57-AY58-0.226</f>
        <v>77.113999999999891</v>
      </c>
      <c r="AZ59" s="58">
        <f>AZ57-AZ58-0.041</f>
        <v>105.49099999999999</v>
      </c>
      <c r="BA59" s="58">
        <f t="shared" si="97"/>
        <v>101.5919999999999</v>
      </c>
      <c r="BB59" s="58">
        <f t="shared" si="97"/>
        <v>78.438000000000031</v>
      </c>
      <c r="BC59" s="58">
        <f>BC57-BC58-0.548</f>
        <v>76.718999999999937</v>
      </c>
      <c r="BD59" s="58">
        <f>BD57-BD58-0.08</f>
        <v>111.32500000000002</v>
      </c>
      <c r="BE59" s="58">
        <f>BE57-BE58-0.53</f>
        <v>137.13199999999995</v>
      </c>
      <c r="BF59" s="58">
        <f>BF57-BF58-1.24</f>
        <v>30.001999999999963</v>
      </c>
      <c r="BG59" s="58">
        <f>BG57-BG58-0.452</f>
        <v>15.270000000000019</v>
      </c>
      <c r="BH59" s="58">
        <f t="shared" si="97"/>
        <v>80.137000000000029</v>
      </c>
      <c r="BI59" s="58">
        <f>BI57-BI58</f>
        <v>110.88899999999988</v>
      </c>
      <c r="BJ59" s="58">
        <f>BJ57-BJ58</f>
        <v>-136.59600000000012</v>
      </c>
      <c r="BK59" s="58">
        <f>BK57-BK58-0.1</f>
        <v>95.063999999999993</v>
      </c>
      <c r="BL59" s="58">
        <f>BL57-BL58</f>
        <v>122.50499999999991</v>
      </c>
      <c r="BM59" s="58">
        <f>BM57-BM58</f>
        <v>-408.8900000000001</v>
      </c>
      <c r="BN59" s="58">
        <f>BN57-BN58</f>
        <v>366.685</v>
      </c>
      <c r="BO59" s="58">
        <f>BO57-BO58-3.316</f>
        <v>-8.1550000000000988</v>
      </c>
      <c r="BP59" s="58">
        <f>BP57-BP58</f>
        <v>41.762000000000015</v>
      </c>
      <c r="BQ59" s="34"/>
      <c r="BR59" s="34"/>
      <c r="CA59" s="58">
        <f>SUM(C59:F59)</f>
        <v>87.899999999999963</v>
      </c>
      <c r="CB59" s="58">
        <f>SUM(G59:J59)</f>
        <v>118.9</v>
      </c>
      <c r="CC59" s="58">
        <f>SUM(K59:N59)</f>
        <v>-181.79999999999987</v>
      </c>
      <c r="CD59" s="58">
        <f>SUM(O59:R59)</f>
        <v>152.1</v>
      </c>
      <c r="CE59" s="58">
        <f>SUM(S59:V59)</f>
        <v>191.59999999999997</v>
      </c>
      <c r="CF59" s="58">
        <f>SUM(W59:Z59)</f>
        <v>236.79999999999998</v>
      </c>
      <c r="CG59" s="58">
        <f>SUM(AA59:AD59)</f>
        <v>237.70000000000002</v>
      </c>
      <c r="CH59" s="58">
        <f>SUM(AE59:AH59)</f>
        <v>155.40000000000009</v>
      </c>
      <c r="CI59" s="58">
        <f>SUM(AI59:AL59)</f>
        <v>196.30000000000004</v>
      </c>
      <c r="CJ59" s="58">
        <f>SUM(AM59:AP59)</f>
        <v>461.89999999999992</v>
      </c>
      <c r="CK59" s="58">
        <f t="shared" si="62"/>
        <v>276.28799999999995</v>
      </c>
      <c r="CL59" s="58">
        <f t="shared" si="63"/>
        <v>510.73000000000019</v>
      </c>
      <c r="CM59" s="58">
        <f t="shared" si="88"/>
        <v>362.63499999999982</v>
      </c>
      <c r="CN59" s="58">
        <f t="shared" si="89"/>
        <v>355.17799999999988</v>
      </c>
      <c r="CO59" s="58">
        <f t="shared" si="66"/>
        <v>69.699999999999818</v>
      </c>
      <c r="CP59" s="68">
        <f>CP57-CP58</f>
        <v>486.12622264360022</v>
      </c>
      <c r="CQ59" s="68">
        <f t="shared" ref="CQ59:CY59" si="98">CQ57-CQ58</f>
        <v>310.13004715327907</v>
      </c>
      <c r="CR59" s="68">
        <f t="shared" si="98"/>
        <v>348.74022516716957</v>
      </c>
      <c r="CS59" s="68">
        <f t="shared" si="98"/>
        <v>392.6139571144314</v>
      </c>
      <c r="CT59" s="68">
        <f t="shared" si="98"/>
        <v>448.29419079057868</v>
      </c>
      <c r="CU59" s="68">
        <f t="shared" si="98"/>
        <v>507.64856541901236</v>
      </c>
      <c r="CV59" s="68">
        <f t="shared" si="98"/>
        <v>554.59121108605757</v>
      </c>
      <c r="CW59" s="68">
        <f t="shared" si="98"/>
        <v>601.7428589162306</v>
      </c>
      <c r="CX59" s="68">
        <f t="shared" si="98"/>
        <v>640.64040950235176</v>
      </c>
      <c r="CY59" s="68">
        <f t="shared" si="98"/>
        <v>701.67824408520198</v>
      </c>
      <c r="CZ59" s="68">
        <f>CY59*(1+$CY$73)</f>
        <v>708.69502652605399</v>
      </c>
      <c r="DA59" s="68">
        <f t="shared" ref="DA59:EW59" si="99">CZ59*(1+$CY$73)</f>
        <v>715.78197679131449</v>
      </c>
      <c r="DB59" s="68">
        <f t="shared" si="99"/>
        <v>722.9397965592276</v>
      </c>
      <c r="DC59" s="68">
        <f t="shared" si="99"/>
        <v>730.16919452481989</v>
      </c>
      <c r="DD59" s="68">
        <f t="shared" si="99"/>
        <v>737.47088647006808</v>
      </c>
      <c r="DE59" s="68">
        <f t="shared" si="99"/>
        <v>744.84559533476875</v>
      </c>
      <c r="DF59" s="68">
        <f t="shared" si="99"/>
        <v>752.29405128811641</v>
      </c>
      <c r="DG59" s="68">
        <f t="shared" si="99"/>
        <v>759.81699180099758</v>
      </c>
      <c r="DH59" s="68">
        <f t="shared" si="99"/>
        <v>767.41516171900753</v>
      </c>
      <c r="DI59" s="68">
        <f t="shared" si="99"/>
        <v>775.08931333619762</v>
      </c>
      <c r="DJ59" s="68">
        <f t="shared" si="99"/>
        <v>782.84020646955958</v>
      </c>
      <c r="DK59" s="68">
        <f t="shared" si="99"/>
        <v>790.66860853425521</v>
      </c>
      <c r="DL59" s="68">
        <f t="shared" si="99"/>
        <v>798.5752946195978</v>
      </c>
      <c r="DM59" s="68">
        <f t="shared" si="99"/>
        <v>806.56104756579373</v>
      </c>
      <c r="DN59" s="68">
        <f t="shared" si="99"/>
        <v>814.62665804145172</v>
      </c>
      <c r="DO59" s="68">
        <f t="shared" si="99"/>
        <v>822.7729246218662</v>
      </c>
      <c r="DP59" s="68">
        <f t="shared" si="99"/>
        <v>831.0006538680849</v>
      </c>
      <c r="DQ59" s="68">
        <f t="shared" si="99"/>
        <v>839.31066040676581</v>
      </c>
      <c r="DR59" s="68">
        <f t="shared" si="99"/>
        <v>847.70376701083342</v>
      </c>
      <c r="DS59" s="68">
        <f t="shared" si="99"/>
        <v>856.18080468094172</v>
      </c>
      <c r="DT59" s="68">
        <f t="shared" si="99"/>
        <v>864.74261272775118</v>
      </c>
      <c r="DU59" s="68">
        <f t="shared" si="99"/>
        <v>873.39003885502871</v>
      </c>
      <c r="DV59" s="68">
        <f t="shared" si="99"/>
        <v>882.123939243579</v>
      </c>
      <c r="DW59" s="68">
        <f t="shared" si="99"/>
        <v>890.94517863601482</v>
      </c>
      <c r="DX59" s="68">
        <f t="shared" si="99"/>
        <v>899.85463042237495</v>
      </c>
      <c r="DY59" s="68">
        <f t="shared" si="99"/>
        <v>908.85317672659869</v>
      </c>
      <c r="DZ59" s="68">
        <f t="shared" si="99"/>
        <v>917.94170849386467</v>
      </c>
      <c r="EA59" s="68">
        <f t="shared" si="99"/>
        <v>927.12112557880334</v>
      </c>
      <c r="EB59" s="68">
        <f t="shared" si="99"/>
        <v>936.39233683459133</v>
      </c>
      <c r="EC59" s="68">
        <f t="shared" si="99"/>
        <v>945.75626020293726</v>
      </c>
      <c r="ED59" s="68">
        <f t="shared" si="99"/>
        <v>955.21382280496664</v>
      </c>
      <c r="EE59" s="68">
        <f t="shared" si="99"/>
        <v>964.76596103301631</v>
      </c>
      <c r="EF59" s="68">
        <f t="shared" si="99"/>
        <v>974.41362064334646</v>
      </c>
      <c r="EG59" s="68">
        <f t="shared" si="99"/>
        <v>984.15775684977996</v>
      </c>
      <c r="EH59" s="68">
        <f t="shared" si="99"/>
        <v>993.99933441827773</v>
      </c>
      <c r="EI59" s="68">
        <f t="shared" si="99"/>
        <v>1003.9393277624605</v>
      </c>
      <c r="EJ59" s="68">
        <f t="shared" si="99"/>
        <v>1013.9787210400851</v>
      </c>
      <c r="EK59" s="68">
        <f t="shared" si="99"/>
        <v>1024.118508250486</v>
      </c>
      <c r="EL59" s="68">
        <f t="shared" si="99"/>
        <v>1034.3596933329909</v>
      </c>
      <c r="EM59" s="68">
        <f t="shared" si="99"/>
        <v>1044.7032902663209</v>
      </c>
      <c r="EN59" s="68">
        <f t="shared" si="99"/>
        <v>1055.1503231689842</v>
      </c>
      <c r="EO59" s="68">
        <f t="shared" si="99"/>
        <v>1065.701826400674</v>
      </c>
      <c r="EP59" s="68">
        <f t="shared" si="99"/>
        <v>1076.3588446646806</v>
      </c>
      <c r="EQ59" s="68">
        <f t="shared" si="99"/>
        <v>1087.1224331113274</v>
      </c>
      <c r="ER59" s="68">
        <f t="shared" si="99"/>
        <v>1097.9936574424407</v>
      </c>
      <c r="ES59" s="68">
        <f t="shared" si="99"/>
        <v>1108.9735940168653</v>
      </c>
      <c r="ET59" s="68">
        <f t="shared" si="99"/>
        <v>1120.0633299570338</v>
      </c>
      <c r="EU59" s="68">
        <f t="shared" si="99"/>
        <v>1131.2639632566043</v>
      </c>
      <c r="EV59" s="68">
        <f t="shared" si="99"/>
        <v>1142.5766028891703</v>
      </c>
      <c r="EW59" s="68">
        <f t="shared" si="99"/>
        <v>1154.0023689180621</v>
      </c>
      <c r="EX59" s="34"/>
      <c r="EY59" s="34"/>
    </row>
    <row r="60" spans="2:155">
      <c r="B60" s="1" t="s">
        <v>137</v>
      </c>
      <c r="C60" s="57">
        <v>40</v>
      </c>
      <c r="D60" s="57">
        <v>40</v>
      </c>
      <c r="E60" s="57">
        <v>40</v>
      </c>
      <c r="F60" s="57">
        <v>40</v>
      </c>
      <c r="G60" s="57">
        <v>40</v>
      </c>
      <c r="H60" s="57">
        <v>41</v>
      </c>
      <c r="I60" s="57">
        <v>41</v>
      </c>
      <c r="J60" s="57">
        <v>41</v>
      </c>
      <c r="K60" s="57">
        <v>41</v>
      </c>
      <c r="L60" s="57">
        <v>41</v>
      </c>
      <c r="M60" s="57">
        <v>41</v>
      </c>
      <c r="N60" s="57">
        <v>41</v>
      </c>
      <c r="O60" s="57">
        <v>41</v>
      </c>
      <c r="P60" s="57">
        <v>41</v>
      </c>
      <c r="Q60" s="57">
        <v>41</v>
      </c>
      <c r="R60" s="57">
        <v>41</v>
      </c>
      <c r="S60" s="57">
        <v>41</v>
      </c>
      <c r="T60" s="57">
        <v>41</v>
      </c>
      <c r="U60" s="57">
        <v>41</v>
      </c>
      <c r="V60" s="57">
        <v>41</v>
      </c>
      <c r="W60" s="57">
        <v>41</v>
      </c>
      <c r="X60" s="57">
        <v>42</v>
      </c>
      <c r="Y60" s="57">
        <v>42</v>
      </c>
      <c r="Z60" s="57">
        <v>42</v>
      </c>
      <c r="AA60" s="57">
        <v>42</v>
      </c>
      <c r="AB60" s="57">
        <v>44</v>
      </c>
      <c r="AC60" s="57">
        <v>44</v>
      </c>
      <c r="AD60" s="57">
        <v>43</v>
      </c>
      <c r="AE60" s="57">
        <v>45</v>
      </c>
      <c r="AF60" s="57">
        <v>45</v>
      </c>
      <c r="AG60" s="57">
        <v>45</v>
      </c>
      <c r="AH60" s="57">
        <v>45</v>
      </c>
      <c r="AI60" s="57">
        <v>45</v>
      </c>
      <c r="AJ60" s="57">
        <v>46</v>
      </c>
      <c r="AK60" s="57">
        <v>46</v>
      </c>
      <c r="AL60" s="57">
        <v>46</v>
      </c>
      <c r="AM60" s="57">
        <v>46</v>
      </c>
      <c r="AN60" s="57">
        <v>46</v>
      </c>
      <c r="AO60" s="57">
        <v>46</v>
      </c>
      <c r="AP60" s="57">
        <v>46</v>
      </c>
      <c r="AQ60" s="57">
        <v>46.381999999999998</v>
      </c>
      <c r="AR60" s="57">
        <v>46.442</v>
      </c>
      <c r="AS60" s="57">
        <v>46.53</v>
      </c>
      <c r="AT60" s="57">
        <v>335.32400000000001</v>
      </c>
      <c r="AU60" s="57">
        <v>46.698</v>
      </c>
      <c r="AV60" s="57">
        <v>46.741</v>
      </c>
      <c r="AW60" s="57">
        <v>46.81</v>
      </c>
      <c r="AX60" s="57">
        <v>46.77</v>
      </c>
      <c r="AY60" s="57">
        <v>46.875999999999998</v>
      </c>
      <c r="AZ60" s="57">
        <v>46.901000000000003</v>
      </c>
      <c r="BA60" s="57">
        <v>46.905999999999999</v>
      </c>
      <c r="BB60" s="57">
        <v>46.898000000000003</v>
      </c>
      <c r="BC60" s="57">
        <v>46.948999999999998</v>
      </c>
      <c r="BD60" s="57">
        <v>46.981000000000002</v>
      </c>
      <c r="BE60" s="57">
        <v>46.991999999999997</v>
      </c>
      <c r="BF60" s="57">
        <v>46.981000000000002</v>
      </c>
      <c r="BG60" s="57">
        <v>47.067999999999998</v>
      </c>
      <c r="BH60" s="57">
        <v>47.151000000000003</v>
      </c>
      <c r="BI60" s="57">
        <v>46.723999999999997</v>
      </c>
      <c r="BJ60" s="57">
        <v>46.837000000000003</v>
      </c>
      <c r="BK60" s="57">
        <v>45.781999999999996</v>
      </c>
      <c r="BL60" s="57">
        <v>44.268999999999998</v>
      </c>
      <c r="BM60" s="57">
        <v>44.237000000000002</v>
      </c>
      <c r="BN60" s="57">
        <v>46.837000000000003</v>
      </c>
      <c r="BO60" s="57">
        <v>44.256999999999998</v>
      </c>
      <c r="BP60" s="57">
        <v>43.56</v>
      </c>
      <c r="CA60" s="57">
        <f>AVERAGE(C60:F60)</f>
        <v>40</v>
      </c>
      <c r="CB60" s="57">
        <f>AVERAGE(G60:J60)</f>
        <v>40.75</v>
      </c>
      <c r="CC60" s="57">
        <f>AVERAGE(K60:N60)</f>
        <v>41</v>
      </c>
      <c r="CD60" s="57">
        <f>AVERAGE(O60:R60)</f>
        <v>41</v>
      </c>
      <c r="CE60" s="57">
        <f>AVERAGE(S60:V60)</f>
        <v>41</v>
      </c>
      <c r="CF60" s="57">
        <f>AVERAGE(W60:Z60)</f>
        <v>41.75</v>
      </c>
      <c r="CG60" s="57">
        <f>AVERAGE(AA60:AD60)</f>
        <v>43.25</v>
      </c>
      <c r="CH60" s="57">
        <f>AVERAGE(AE60:AH60)</f>
        <v>45</v>
      </c>
      <c r="CI60" s="57">
        <f>AVERAGE(AI60:AL60)</f>
        <v>45.75</v>
      </c>
      <c r="CJ60" s="57">
        <f>AVERAGE(AM60:AP60)</f>
        <v>46</v>
      </c>
      <c r="CK60" s="57">
        <f>AVERAGE(AQ60:AT60)</f>
        <v>118.6695</v>
      </c>
      <c r="CL60" s="57">
        <f>AVERAGE(AU60:AX60)</f>
        <v>46.754750000000001</v>
      </c>
      <c r="CM60" s="57">
        <f>AVERAGE(AY60:BB60)</f>
        <v>46.895249999999997</v>
      </c>
      <c r="CN60" s="57">
        <f>AVERAGE(BC60:BF60)</f>
        <v>46.975749999999998</v>
      </c>
      <c r="CO60" s="57">
        <f>AVERAGE(BG60:BJ60)</f>
        <v>46.944999999999993</v>
      </c>
    </row>
    <row r="61" spans="2:155">
      <c r="B61" s="1" t="s">
        <v>999</v>
      </c>
      <c r="C61" s="39">
        <f t="shared" ref="C61:BK61" si="100">C59/C60</f>
        <v>0.84000000000000019</v>
      </c>
      <c r="D61" s="39">
        <f t="shared" si="100"/>
        <v>0.80999999999999983</v>
      </c>
      <c r="E61" s="39">
        <f t="shared" si="100"/>
        <v>0.27499999999999958</v>
      </c>
      <c r="F61" s="39">
        <f t="shared" si="100"/>
        <v>0.27249999999999958</v>
      </c>
      <c r="G61" s="39">
        <f t="shared" si="100"/>
        <v>0.35500000000000004</v>
      </c>
      <c r="H61" s="39">
        <f t="shared" si="100"/>
        <v>0.76097560975609713</v>
      </c>
      <c r="I61" s="39">
        <f t="shared" si="100"/>
        <v>0.80243902439024406</v>
      </c>
      <c r="J61" s="39">
        <f t="shared" si="100"/>
        <v>0.99024390243902494</v>
      </c>
      <c r="K61" s="39">
        <f t="shared" si="100"/>
        <v>-6.9292682926829245</v>
      </c>
      <c r="L61" s="39">
        <f t="shared" si="100"/>
        <v>1.1536585365853662</v>
      </c>
      <c r="M61" s="39">
        <f t="shared" si="100"/>
        <v>0.59756097560975696</v>
      </c>
      <c r="N61" s="39">
        <f t="shared" si="100"/>
        <v>0.74390243902439046</v>
      </c>
      <c r="O61" s="39">
        <f t="shared" si="100"/>
        <v>0.67560975609756047</v>
      </c>
      <c r="P61" s="39">
        <f t="shared" si="100"/>
        <v>1.0585365853658546</v>
      </c>
      <c r="Q61" s="39">
        <f t="shared" si="100"/>
        <v>1.1146341463414633</v>
      </c>
      <c r="R61" s="39">
        <f t="shared" si="100"/>
        <v>0.86097560975609733</v>
      </c>
      <c r="S61" s="39">
        <f t="shared" si="100"/>
        <v>0.86097560975609744</v>
      </c>
      <c r="T61" s="39">
        <f t="shared" si="100"/>
        <v>1.1926829268292687</v>
      </c>
      <c r="U61" s="39">
        <f t="shared" si="100"/>
        <v>1.3463414634146336</v>
      </c>
      <c r="V61" s="39">
        <f t="shared" si="100"/>
        <v>1.2731707317073169</v>
      </c>
      <c r="W61" s="39">
        <f t="shared" si="100"/>
        <v>0.95853658536585284</v>
      </c>
      <c r="X61" s="39">
        <f t="shared" si="100"/>
        <v>1.0761904761904764</v>
      </c>
      <c r="Y61" s="39">
        <f t="shared" si="100"/>
        <v>1.4666666666666666</v>
      </c>
      <c r="Z61" s="39">
        <f t="shared" si="100"/>
        <v>2.1595238095238098</v>
      </c>
      <c r="AA61" s="39">
        <f t="shared" si="100"/>
        <v>1.2190476190476183</v>
      </c>
      <c r="AB61" s="39">
        <f t="shared" si="100"/>
        <v>1.3500000000000008</v>
      </c>
      <c r="AC61" s="39">
        <f t="shared" si="100"/>
        <v>1.5045454545454553</v>
      </c>
      <c r="AD61" s="39">
        <f t="shared" si="100"/>
        <v>1.4162790697674419</v>
      </c>
      <c r="AE61" s="39">
        <f t="shared" si="100"/>
        <v>0.89777777777777745</v>
      </c>
      <c r="AF61" s="39">
        <f t="shared" si="100"/>
        <v>1.7422222222222226</v>
      </c>
      <c r="AG61" s="39">
        <f t="shared" si="100"/>
        <v>1.7644444444444451</v>
      </c>
      <c r="AH61" s="39">
        <f t="shared" si="100"/>
        <v>-0.95111111111111046</v>
      </c>
      <c r="AI61" s="39">
        <f t="shared" si="100"/>
        <v>1.2200000000000009</v>
      </c>
      <c r="AJ61" s="39">
        <f t="shared" si="100"/>
        <v>-5.6521739130436011E-2</v>
      </c>
      <c r="AK61" s="39">
        <f t="shared" si="100"/>
        <v>1.228260869565218</v>
      </c>
      <c r="AL61" s="39">
        <f t="shared" si="100"/>
        <v>1.9021739130434792</v>
      </c>
      <c r="AM61" s="39">
        <f t="shared" si="100"/>
        <v>0.90869565217391279</v>
      </c>
      <c r="AN61" s="39">
        <f t="shared" si="100"/>
        <v>1.8130434782608691</v>
      </c>
      <c r="AO61" s="39">
        <f t="shared" si="100"/>
        <v>4.9760869565217387</v>
      </c>
      <c r="AP61" s="39">
        <f t="shared" si="100"/>
        <v>2.3434782608695657</v>
      </c>
      <c r="AQ61" s="39">
        <f t="shared" si="100"/>
        <v>2.8271958949592508</v>
      </c>
      <c r="AR61" s="39">
        <f t="shared" si="100"/>
        <v>0.24671633435252477</v>
      </c>
      <c r="AS61" s="39">
        <f t="shared" si="100"/>
        <v>2.5054373522458628</v>
      </c>
      <c r="AT61" s="39">
        <f t="shared" si="100"/>
        <v>5.1058081139435454E-2</v>
      </c>
      <c r="AU61" s="39">
        <f t="shared" si="100"/>
        <v>1.6028737847445296</v>
      </c>
      <c r="AV61" s="39">
        <f t="shared" si="100"/>
        <v>1.7837444641749225</v>
      </c>
      <c r="AW61" s="39">
        <f t="shared" si="100"/>
        <v>4.2547746208075194</v>
      </c>
      <c r="AX61" s="39">
        <f t="shared" si="100"/>
        <v>3.2785760102629911</v>
      </c>
      <c r="AY61" s="39">
        <f t="shared" si="100"/>
        <v>1.6450635719771289</v>
      </c>
      <c r="AZ61" s="39">
        <f t="shared" si="100"/>
        <v>2.2492270953711002</v>
      </c>
      <c r="BA61" s="39">
        <f t="shared" si="100"/>
        <v>2.1658636421779707</v>
      </c>
      <c r="BB61" s="39">
        <f t="shared" si="100"/>
        <v>1.6725233485436484</v>
      </c>
      <c r="BC61" s="39">
        <f t="shared" si="100"/>
        <v>1.6340923129353115</v>
      </c>
      <c r="BD61" s="39">
        <f t="shared" si="100"/>
        <v>2.3695749345480093</v>
      </c>
      <c r="BE61" s="39">
        <f t="shared" si="100"/>
        <v>2.9181988423561447</v>
      </c>
      <c r="BF61" s="39">
        <f t="shared" si="100"/>
        <v>0.63859858240565259</v>
      </c>
      <c r="BG61" s="39">
        <f t="shared" si="100"/>
        <v>0.32442423727373204</v>
      </c>
      <c r="BH61" s="39">
        <f t="shared" si="100"/>
        <v>1.6995821933787199</v>
      </c>
      <c r="BI61" s="39">
        <f t="shared" si="100"/>
        <v>2.3732771166852129</v>
      </c>
      <c r="BJ61" s="39">
        <f t="shared" si="100"/>
        <v>-2.91641223818776</v>
      </c>
      <c r="BK61" s="39">
        <f t="shared" si="100"/>
        <v>2.0764492595343147</v>
      </c>
      <c r="BL61" s="39">
        <f>BL59/BL60</f>
        <v>2.7672863629176154</v>
      </c>
      <c r="BM61" s="39">
        <f>BM59/BM60</f>
        <v>-9.2431674842326572</v>
      </c>
      <c r="BN61" s="39">
        <f t="shared" ref="BN61" si="101">BN59/BN60</f>
        <v>7.8289600102483075</v>
      </c>
      <c r="BO61" s="39">
        <f>BO59/BO60</f>
        <v>-0.18426463610276564</v>
      </c>
      <c r="BP61" s="39">
        <f>BP59/BP60</f>
        <v>0.95872359963269083</v>
      </c>
      <c r="CA61" s="57">
        <f>SUM(C61:F61)</f>
        <v>2.1974999999999989</v>
      </c>
      <c r="CB61" s="57">
        <f>SUM(G61:J61)</f>
        <v>2.9086585365853659</v>
      </c>
      <c r="CC61" s="57">
        <f>SUM(K61:N61)</f>
        <v>-4.4341463414634106</v>
      </c>
      <c r="CD61" s="57">
        <f>SUM(O61:R61)</f>
        <v>3.7097560975609758</v>
      </c>
      <c r="CE61" s="57">
        <f>SUM(S61:V61)</f>
        <v>4.6731707317073159</v>
      </c>
      <c r="CF61" s="57">
        <f>SUM(W61:Z61)</f>
        <v>5.6609175377468057</v>
      </c>
      <c r="CG61" s="57">
        <f>SUM(AA61:AD61)</f>
        <v>5.4898721433605155</v>
      </c>
      <c r="CH61" s="57">
        <f>SUM(AE61:AH61)</f>
        <v>3.4533333333333349</v>
      </c>
      <c r="CI61" s="57">
        <f>SUM(AI61:AL61)</f>
        <v>4.2939130434782617</v>
      </c>
      <c r="CJ61" s="57">
        <f>SUM(AM61:AP61)</f>
        <v>10.041304347826086</v>
      </c>
      <c r="CK61" s="57">
        <f>SUM(AQ61:AT61)</f>
        <v>5.630407662697074</v>
      </c>
      <c r="CL61" s="57">
        <f>SUM(AU61:AX61)</f>
        <v>10.919968879989963</v>
      </c>
      <c r="CM61" s="57">
        <f>SUM(AY61:BB61)</f>
        <v>7.7326776580698473</v>
      </c>
      <c r="CN61" s="57">
        <f>SUM(BC61:BF61)</f>
        <v>7.5604646722451179</v>
      </c>
      <c r="CO61" s="57">
        <f>SUM(BG61:BJ61)</f>
        <v>1.4808713091499048</v>
      </c>
    </row>
    <row r="63" spans="2:155">
      <c r="B63" s="37" t="s">
        <v>119</v>
      </c>
      <c r="C63" s="59">
        <f t="shared" ref="C63:BK63" si="102">C46/C44</f>
        <v>0.4816226517832834</v>
      </c>
      <c r="D63" s="59">
        <f t="shared" si="102"/>
        <v>0.486328125</v>
      </c>
      <c r="E63" s="59">
        <f t="shared" si="102"/>
        <v>0.4826086956521739</v>
      </c>
      <c r="F63" s="59">
        <f t="shared" si="102"/>
        <v>0.49281125726521863</v>
      </c>
      <c r="G63" s="59">
        <f t="shared" si="102"/>
        <v>0.46468926553672318</v>
      </c>
      <c r="H63" s="59">
        <f t="shared" si="102"/>
        <v>0.47586568730325285</v>
      </c>
      <c r="I63" s="59">
        <f t="shared" si="102"/>
        <v>0.48414667769506481</v>
      </c>
      <c r="J63" s="59">
        <f t="shared" si="102"/>
        <v>0.47465788139888493</v>
      </c>
      <c r="K63" s="59">
        <f t="shared" si="102"/>
        <v>0.48370993168681031</v>
      </c>
      <c r="L63" s="59">
        <f t="shared" si="102"/>
        <v>0.48082441951474042</v>
      </c>
      <c r="M63" s="59">
        <f t="shared" si="102"/>
        <v>0.49062754686226573</v>
      </c>
      <c r="N63" s="59">
        <f t="shared" si="102"/>
        <v>0.47530422333571942</v>
      </c>
      <c r="O63" s="59">
        <f t="shared" si="102"/>
        <v>0.48676863316338914</v>
      </c>
      <c r="P63" s="59">
        <f t="shared" si="102"/>
        <v>0.4986907879076411</v>
      </c>
      <c r="Q63" s="59">
        <f t="shared" si="102"/>
        <v>0.4929917834702755</v>
      </c>
      <c r="R63" s="59">
        <f t="shared" si="102"/>
        <v>0.49922308546059935</v>
      </c>
      <c r="S63" s="59">
        <f t="shared" si="102"/>
        <v>0.50421892816419611</v>
      </c>
      <c r="T63" s="59">
        <f t="shared" si="102"/>
        <v>0.52146977141636408</v>
      </c>
      <c r="U63" s="59">
        <f t="shared" si="102"/>
        <v>0.51662292213473315</v>
      </c>
      <c r="V63" s="59">
        <f t="shared" si="102"/>
        <v>0.50630252100840334</v>
      </c>
      <c r="W63" s="59">
        <f t="shared" si="102"/>
        <v>0.51839776432231011</v>
      </c>
      <c r="X63" s="59">
        <f t="shared" si="102"/>
        <v>0.51592920353982297</v>
      </c>
      <c r="Y63" s="59">
        <f t="shared" si="102"/>
        <v>0.51431147171512281</v>
      </c>
      <c r="Z63" s="59">
        <f t="shared" si="102"/>
        <v>0.53725490196078429</v>
      </c>
      <c r="AA63" s="59">
        <f t="shared" si="102"/>
        <v>0.53000706048481994</v>
      </c>
      <c r="AB63" s="59">
        <f t="shared" si="102"/>
        <v>0.5413851351351352</v>
      </c>
      <c r="AC63" s="59">
        <f t="shared" si="102"/>
        <v>0.53028972783143113</v>
      </c>
      <c r="AD63" s="59">
        <f t="shared" si="102"/>
        <v>0.53123175715119675</v>
      </c>
      <c r="AE63" s="59">
        <f t="shared" si="102"/>
        <v>0.52387784382045499</v>
      </c>
      <c r="AF63" s="59">
        <f t="shared" si="102"/>
        <v>0.54918653045781307</v>
      </c>
      <c r="AG63" s="59">
        <f t="shared" si="102"/>
        <v>0.55208528146624281</v>
      </c>
      <c r="AH63" s="59">
        <f t="shared" si="102"/>
        <v>0.55570492354226186</v>
      </c>
      <c r="AI63" s="59">
        <f t="shared" si="102"/>
        <v>0.56403269754768393</v>
      </c>
      <c r="AJ63" s="59">
        <f t="shared" si="102"/>
        <v>0.56533858009509752</v>
      </c>
      <c r="AK63" s="59">
        <f t="shared" si="102"/>
        <v>0.56191569624405446</v>
      </c>
      <c r="AL63" s="59">
        <f t="shared" si="102"/>
        <v>0.44295511221945144</v>
      </c>
      <c r="AM63" s="59">
        <f t="shared" si="102"/>
        <v>0.52803129074315514</v>
      </c>
      <c r="AN63" s="59">
        <f t="shared" si="102"/>
        <v>0.53977011494252869</v>
      </c>
      <c r="AO63" s="59">
        <f t="shared" si="102"/>
        <v>0.54774024371432972</v>
      </c>
      <c r="AP63" s="59">
        <f t="shared" si="102"/>
        <v>0.55477239353891339</v>
      </c>
      <c r="AQ63" s="59">
        <f t="shared" si="102"/>
        <v>0.52900712155161345</v>
      </c>
      <c r="AR63" s="59">
        <f t="shared" si="102"/>
        <v>0.49092640601026394</v>
      </c>
      <c r="AS63" s="59">
        <f t="shared" si="102"/>
        <v>0.52413338660053899</v>
      </c>
      <c r="AT63" s="59">
        <f t="shared" si="102"/>
        <v>0.49728792493651369</v>
      </c>
      <c r="AU63" s="59">
        <f t="shared" si="102"/>
        <v>0.54346570921057202</v>
      </c>
      <c r="AV63" s="59">
        <f t="shared" si="102"/>
        <v>0.55719191522762956</v>
      </c>
      <c r="AW63" s="59">
        <f t="shared" si="102"/>
        <v>0.55377011300556533</v>
      </c>
      <c r="AX63" s="59">
        <f t="shared" si="102"/>
        <v>0.55093223864574414</v>
      </c>
      <c r="AY63" s="59">
        <f t="shared" si="102"/>
        <v>0.53952699754397759</v>
      </c>
      <c r="AZ63" s="59">
        <f t="shared" si="102"/>
        <v>0.55187753277077134</v>
      </c>
      <c r="BA63" s="59">
        <f t="shared" si="102"/>
        <v>0.54446594703373474</v>
      </c>
      <c r="BB63" s="59">
        <f t="shared" si="102"/>
        <v>0.5568711564184351</v>
      </c>
      <c r="BC63" s="59">
        <f t="shared" si="102"/>
        <v>0.55049936699957802</v>
      </c>
      <c r="BD63" s="59">
        <f t="shared" si="102"/>
        <v>0.54868110355405764</v>
      </c>
      <c r="BE63" s="59">
        <f t="shared" si="102"/>
        <v>0.55776803287364363</v>
      </c>
      <c r="BF63" s="59">
        <f t="shared" si="102"/>
        <v>0.55748814241250066</v>
      </c>
      <c r="BG63" s="59">
        <f t="shared" si="102"/>
        <v>0.56396960263042695</v>
      </c>
      <c r="BH63" s="59">
        <f t="shared" si="102"/>
        <v>0.55549182295974175</v>
      </c>
      <c r="BI63" s="59">
        <f t="shared" si="102"/>
        <v>0.56275953560298608</v>
      </c>
      <c r="BJ63" s="59">
        <f t="shared" si="102"/>
        <v>0.55310501577053073</v>
      </c>
      <c r="BK63" s="59">
        <f t="shared" si="102"/>
        <v>0.55584256193629411</v>
      </c>
      <c r="BL63" s="59">
        <f>BL46/BL44</f>
        <v>0.55202151501568797</v>
      </c>
      <c r="BM63" s="59">
        <f>BM46/BM44</f>
        <v>0.49466040153780438</v>
      </c>
      <c r="BN63" s="59">
        <f t="shared" ref="BN63" si="103">BN46/BN44</f>
        <v>0.55000000000000004</v>
      </c>
      <c r="BO63" s="59">
        <f>BO46/BO44</f>
        <v>0.56072746374445748</v>
      </c>
      <c r="BP63" s="59">
        <f>BP46/BP44</f>
        <v>0.58160334682255244</v>
      </c>
      <c r="CA63" s="59">
        <f t="shared" ref="CA63:CO63" si="104">CA46/CA44</f>
        <v>0.48568975386376645</v>
      </c>
      <c r="CB63" s="59">
        <f t="shared" si="104"/>
        <v>0.47490787269681739</v>
      </c>
      <c r="CC63" s="59">
        <f t="shared" si="104"/>
        <v>0.48236735220166338</v>
      </c>
      <c r="CD63" s="59">
        <f t="shared" si="104"/>
        <v>0.49454695513765251</v>
      </c>
      <c r="CE63" s="59">
        <f t="shared" si="104"/>
        <v>0.51222959017284497</v>
      </c>
      <c r="CF63" s="59">
        <f t="shared" si="104"/>
        <v>0.52182802829354558</v>
      </c>
      <c r="CG63" s="59">
        <f t="shared" si="104"/>
        <v>0.53329764453961459</v>
      </c>
      <c r="CH63" s="59">
        <f t="shared" si="104"/>
        <v>0.54596281973629035</v>
      </c>
      <c r="CI63" s="59">
        <f t="shared" si="104"/>
        <v>0.53210259761476886</v>
      </c>
      <c r="CJ63" s="59">
        <f t="shared" si="104"/>
        <v>0.5429220929336519</v>
      </c>
      <c r="CK63" s="59">
        <f t="shared" si="104"/>
        <v>0.51071279380217904</v>
      </c>
      <c r="CL63" s="59">
        <f t="shared" si="104"/>
        <v>0.55154444332129349</v>
      </c>
      <c r="CM63" s="59">
        <f t="shared" si="104"/>
        <v>0.54857070379903583</v>
      </c>
      <c r="CN63" s="59">
        <f t="shared" si="104"/>
        <v>0.55368744505351353</v>
      </c>
      <c r="CO63" s="59">
        <f t="shared" si="104"/>
        <v>0.55874438520082004</v>
      </c>
      <c r="CP63" s="63">
        <v>0.56000000000000005</v>
      </c>
      <c r="CQ63" s="63">
        <v>0.5625</v>
      </c>
      <c r="CR63" s="63">
        <v>0.56499999999999995</v>
      </c>
      <c r="CS63" s="63">
        <v>0.56499999999999995</v>
      </c>
      <c r="CT63" s="63">
        <v>0.56499999999999995</v>
      </c>
      <c r="CU63" s="63">
        <v>0.56499999999999995</v>
      </c>
      <c r="CV63" s="63">
        <v>0.56499999999999995</v>
      </c>
      <c r="CW63" s="63">
        <v>0.56499999999999995</v>
      </c>
      <c r="CX63" s="63">
        <v>0.56499999999999995</v>
      </c>
      <c r="CY63" s="63">
        <v>0.56499999999999995</v>
      </c>
      <c r="CZ63" s="63"/>
    </row>
    <row r="64" spans="2:155">
      <c r="B64" s="37" t="s">
        <v>120</v>
      </c>
      <c r="C64" s="59">
        <f t="shared" ref="C64:BK64" si="105">C48/C44</f>
        <v>2.531990198747618E-2</v>
      </c>
      <c r="D64" s="59">
        <f t="shared" si="105"/>
        <v>2.8738839285714291E-2</v>
      </c>
      <c r="E64" s="59">
        <f t="shared" si="105"/>
        <v>2.9565217391304344E-2</v>
      </c>
      <c r="F64" s="59">
        <f t="shared" si="105"/>
        <v>3.8543897216274089E-2</v>
      </c>
      <c r="G64" s="59">
        <f t="shared" si="105"/>
        <v>3.1073446327683617E-2</v>
      </c>
      <c r="H64" s="59">
        <f t="shared" si="105"/>
        <v>3.2791185729275973E-2</v>
      </c>
      <c r="I64" s="59">
        <f t="shared" si="105"/>
        <v>3.3360904328646267E-2</v>
      </c>
      <c r="J64" s="59">
        <f t="shared" si="105"/>
        <v>3.4211860111505323E-2</v>
      </c>
      <c r="K64" s="59">
        <f t="shared" si="105"/>
        <v>3.0478192327903306E-2</v>
      </c>
      <c r="L64" s="59">
        <f t="shared" si="105"/>
        <v>3.5481346204017737E-2</v>
      </c>
      <c r="M64" s="59">
        <f t="shared" si="105"/>
        <v>4.0206465634338495E-2</v>
      </c>
      <c r="N64" s="59">
        <f t="shared" si="105"/>
        <v>3.9131472202338341E-2</v>
      </c>
      <c r="O64" s="59">
        <f t="shared" si="105"/>
        <v>3.6416605972323379E-2</v>
      </c>
      <c r="P64" s="59">
        <f t="shared" si="105"/>
        <v>3.9276362770768861E-2</v>
      </c>
      <c r="Q64" s="59">
        <f t="shared" si="105"/>
        <v>3.7699371677138716E-2</v>
      </c>
      <c r="R64" s="59">
        <f t="shared" si="105"/>
        <v>3.973362930077691E-2</v>
      </c>
      <c r="S64" s="59">
        <f t="shared" si="105"/>
        <v>3.2155074116305589E-2</v>
      </c>
      <c r="T64" s="59">
        <f t="shared" si="105"/>
        <v>3.1830805383465069E-2</v>
      </c>
      <c r="U64" s="59">
        <f t="shared" si="105"/>
        <v>3.2370953630796152E-2</v>
      </c>
      <c r="V64" s="59">
        <f t="shared" si="105"/>
        <v>3.6134453781512602E-2</v>
      </c>
      <c r="W64" s="59">
        <f t="shared" si="105"/>
        <v>3.0041918956683747E-2</v>
      </c>
      <c r="X64" s="59">
        <f t="shared" si="105"/>
        <v>2.9646017699115044E-2</v>
      </c>
      <c r="Y64" s="59">
        <f t="shared" si="105"/>
        <v>2.8397565922920892E-2</v>
      </c>
      <c r="Z64" s="59">
        <f t="shared" si="105"/>
        <v>2.7244582043343651E-2</v>
      </c>
      <c r="AA64" s="59">
        <f t="shared" si="105"/>
        <v>2.9654036243822075E-2</v>
      </c>
      <c r="AB64" s="59">
        <f t="shared" si="105"/>
        <v>3.1672297297297293E-2</v>
      </c>
      <c r="AC64" s="59">
        <f t="shared" si="105"/>
        <v>3.3143107989464439E-2</v>
      </c>
      <c r="AD64" s="59">
        <f t="shared" si="105"/>
        <v>3.0550690795874684E-2</v>
      </c>
      <c r="AE64" s="59">
        <f t="shared" si="105"/>
        <v>3.6687845870055337E-2</v>
      </c>
      <c r="AF64" s="59">
        <f t="shared" si="105"/>
        <v>3.8403329549754069E-2</v>
      </c>
      <c r="AG64" s="59">
        <f t="shared" si="105"/>
        <v>3.9274359453899378E-2</v>
      </c>
      <c r="AH64" s="59">
        <f t="shared" si="105"/>
        <v>4.2849941186355232E-2</v>
      </c>
      <c r="AI64" s="59">
        <f t="shared" si="105"/>
        <v>4.4277929155313346E-2</v>
      </c>
      <c r="AJ64" s="59">
        <f t="shared" si="105"/>
        <v>4.26299393343171E-2</v>
      </c>
      <c r="AK64" s="59">
        <f t="shared" si="105"/>
        <v>4.3299983598491056E-2</v>
      </c>
      <c r="AL64" s="59">
        <f t="shared" si="105"/>
        <v>4.3329177057356609E-2</v>
      </c>
      <c r="AM64" s="59">
        <f t="shared" si="105"/>
        <v>4.4491525423728813E-2</v>
      </c>
      <c r="AN64" s="59">
        <f t="shared" si="105"/>
        <v>4.2145593869731802E-2</v>
      </c>
      <c r="AO64" s="59">
        <f t="shared" si="105"/>
        <v>4.3189881227826625E-2</v>
      </c>
      <c r="AP64" s="59">
        <f t="shared" si="105"/>
        <v>4.5227606461086638E-2</v>
      </c>
      <c r="AQ64" s="59">
        <f t="shared" si="105"/>
        <v>4.3442892006450788E-2</v>
      </c>
      <c r="AR64" s="59">
        <f t="shared" si="105"/>
        <v>5.1778565507997816E-2</v>
      </c>
      <c r="AS64" s="59">
        <f t="shared" si="105"/>
        <v>4.6492083930865111E-2</v>
      </c>
      <c r="AT64" s="59">
        <f t="shared" si="105"/>
        <v>5.1834007196397185E-2</v>
      </c>
      <c r="AU64" s="59">
        <f t="shared" si="105"/>
        <v>4.7231275496843361E-2</v>
      </c>
      <c r="AV64" s="59">
        <f t="shared" si="105"/>
        <v>4.6651435299394479E-2</v>
      </c>
      <c r="AW64" s="59">
        <f t="shared" si="105"/>
        <v>4.5436434548027718E-2</v>
      </c>
      <c r="AX64" s="59">
        <f t="shared" si="105"/>
        <v>4.6983987831749521E-2</v>
      </c>
      <c r="AY64" s="59">
        <f t="shared" si="105"/>
        <v>5.6663051202453539E-2</v>
      </c>
      <c r="AZ64" s="59">
        <f t="shared" si="105"/>
        <v>5.2419040048827921E-2</v>
      </c>
      <c r="BA64" s="59">
        <f t="shared" si="105"/>
        <v>5.4999060778549068E-2</v>
      </c>
      <c r="BB64" s="59">
        <f t="shared" si="105"/>
        <v>5.6404188465100064E-2</v>
      </c>
      <c r="BC64" s="59">
        <f t="shared" si="105"/>
        <v>5.8333098888732594E-2</v>
      </c>
      <c r="BD64" s="59">
        <f t="shared" si="105"/>
        <v>5.3076079571064333E-2</v>
      </c>
      <c r="BE64" s="59">
        <f t="shared" si="105"/>
        <v>5.0344800789953556E-2</v>
      </c>
      <c r="BF64" s="59">
        <f t="shared" si="105"/>
        <v>4.6328250064278403E-2</v>
      </c>
      <c r="BG64" s="59">
        <f t="shared" si="105"/>
        <v>5.0540302808110844E-2</v>
      </c>
      <c r="BH64" s="59">
        <f t="shared" si="105"/>
        <v>5.4816850305471808E-2</v>
      </c>
      <c r="BI64" s="59">
        <f t="shared" si="105"/>
        <v>5.0665536288539488E-2</v>
      </c>
      <c r="BJ64" s="59">
        <f t="shared" si="105"/>
        <v>5.60171269600023E-2</v>
      </c>
      <c r="BK64" s="59">
        <f t="shared" si="105"/>
        <v>5.1952277657266815E-2</v>
      </c>
      <c r="BL64" s="59">
        <f>BL48/BL44</f>
        <v>4.9332138054684005E-2</v>
      </c>
      <c r="BM64" s="59">
        <f>BM48/BM44</f>
        <v>6.2673194668068657E-2</v>
      </c>
      <c r="BN64" s="59">
        <f t="shared" ref="BN64" si="106">BN48/BN44</f>
        <v>2.5271999999999992E-2</v>
      </c>
      <c r="BO64" s="59">
        <f>BO48/BO44</f>
        <v>8.0957792000525303E-2</v>
      </c>
      <c r="BP64" s="59">
        <f>BP48/BP44</f>
        <v>7.9115322303500421E-2</v>
      </c>
      <c r="CA64" s="59">
        <f t="shared" ref="CA64:CO64" si="107">CA48/CA44</f>
        <v>3.0337721808815114E-2</v>
      </c>
      <c r="CB64" s="59">
        <f t="shared" si="107"/>
        <v>3.2897822445561137E-2</v>
      </c>
      <c r="CC64" s="59">
        <f t="shared" si="107"/>
        <v>3.6361291986332284E-2</v>
      </c>
      <c r="CD64" s="59">
        <f t="shared" si="107"/>
        <v>3.8318693627306492E-2</v>
      </c>
      <c r="CE64" s="59">
        <f t="shared" si="107"/>
        <v>3.3155777801934995E-2</v>
      </c>
      <c r="CF64" s="59">
        <f t="shared" si="107"/>
        <v>2.8790893015030943E-2</v>
      </c>
      <c r="CG64" s="59">
        <f t="shared" si="107"/>
        <v>3.126338329764454E-2</v>
      </c>
      <c r="CH64" s="59">
        <f t="shared" si="107"/>
        <v>3.9463262358477379E-2</v>
      </c>
      <c r="CI64" s="59">
        <f t="shared" si="107"/>
        <v>4.3375265479496813E-2</v>
      </c>
      <c r="CJ64" s="59">
        <f t="shared" si="107"/>
        <v>4.376974647453187E-2</v>
      </c>
      <c r="CK64" s="59">
        <f t="shared" si="107"/>
        <v>4.8330975583669167E-2</v>
      </c>
      <c r="CL64" s="59">
        <f t="shared" si="107"/>
        <v>4.656963591400206E-2</v>
      </c>
      <c r="CM64" s="59">
        <f t="shared" si="107"/>
        <v>5.5112030566559084E-2</v>
      </c>
      <c r="CN64" s="59">
        <f t="shared" si="107"/>
        <v>5.1891335811073185E-2</v>
      </c>
      <c r="CO64" s="59">
        <f t="shared" si="107"/>
        <v>5.3053453150719451E-2</v>
      </c>
      <c r="CP64" s="63">
        <v>5.1999999999999998E-2</v>
      </c>
      <c r="CQ64" s="63">
        <v>5.3999999999999999E-2</v>
      </c>
      <c r="CR64" s="63">
        <v>5.5E-2</v>
      </c>
      <c r="CS64" s="63">
        <v>5.6000000000000001E-2</v>
      </c>
      <c r="CT64" s="63">
        <v>5.7000000000000002E-2</v>
      </c>
      <c r="CU64" s="63">
        <v>5.7000000000000002E-2</v>
      </c>
      <c r="CV64" s="63">
        <v>5.7000000000000002E-2</v>
      </c>
      <c r="CW64" s="63">
        <v>5.7000000000000002E-2</v>
      </c>
      <c r="CX64" s="63">
        <v>5.7000000000000002E-2</v>
      </c>
      <c r="CY64" s="63">
        <v>0.05</v>
      </c>
      <c r="CZ64" s="63"/>
    </row>
    <row r="65" spans="2:104">
      <c r="B65" s="37" t="s">
        <v>121</v>
      </c>
      <c r="C65" s="59">
        <f t="shared" ref="C65:BK65" si="108">C47/C44</f>
        <v>0.27389055268173151</v>
      </c>
      <c r="D65" s="59">
        <f t="shared" si="108"/>
        <v>0.27845982142857145</v>
      </c>
      <c r="E65" s="59">
        <f t="shared" si="108"/>
        <v>0.29420289855072462</v>
      </c>
      <c r="F65" s="59">
        <f t="shared" si="108"/>
        <v>0.31141021719180179</v>
      </c>
      <c r="G65" s="59">
        <f t="shared" si="108"/>
        <v>0.29152542372881357</v>
      </c>
      <c r="H65" s="59">
        <f t="shared" si="108"/>
        <v>0.28803777544596015</v>
      </c>
      <c r="I65" s="59">
        <f t="shared" si="108"/>
        <v>0.28012131237937687</v>
      </c>
      <c r="J65" s="59">
        <f t="shared" si="108"/>
        <v>0.27698935631018751</v>
      </c>
      <c r="K65" s="59">
        <f t="shared" si="108"/>
        <v>0.29453494482396214</v>
      </c>
      <c r="L65" s="59">
        <f t="shared" si="108"/>
        <v>0.27654578659013829</v>
      </c>
      <c r="M65" s="59">
        <f t="shared" si="108"/>
        <v>0.31214343928280358</v>
      </c>
      <c r="N65" s="59">
        <f t="shared" si="108"/>
        <v>0.28990694345025053</v>
      </c>
      <c r="O65" s="59">
        <f t="shared" si="108"/>
        <v>0.30832726389900461</v>
      </c>
      <c r="P65" s="59">
        <f t="shared" si="108"/>
        <v>0.27683884789335872</v>
      </c>
      <c r="Q65" s="59">
        <f t="shared" si="108"/>
        <v>0.27839536007733207</v>
      </c>
      <c r="R65" s="59">
        <f t="shared" si="108"/>
        <v>0.31920088790233075</v>
      </c>
      <c r="S65" s="59">
        <f t="shared" si="108"/>
        <v>0.31995438996579251</v>
      </c>
      <c r="T65" s="59">
        <f t="shared" si="108"/>
        <v>0.31360820337534717</v>
      </c>
      <c r="U65" s="59">
        <f t="shared" si="108"/>
        <v>0.30249343832021003</v>
      </c>
      <c r="V65" s="59">
        <f t="shared" si="108"/>
        <v>0.32205882352941179</v>
      </c>
      <c r="W65" s="59">
        <f t="shared" si="108"/>
        <v>0.32533768048439682</v>
      </c>
      <c r="X65" s="59">
        <f t="shared" si="108"/>
        <v>0.3146017699115044</v>
      </c>
      <c r="Y65" s="59">
        <f t="shared" si="108"/>
        <v>0.31282398016677937</v>
      </c>
      <c r="Z65" s="59">
        <f t="shared" si="108"/>
        <v>0.30588235294117644</v>
      </c>
      <c r="AA65" s="59">
        <f t="shared" si="108"/>
        <v>0.32078136032007537</v>
      </c>
      <c r="AB65" s="59">
        <f t="shared" si="108"/>
        <v>0.30194256756756754</v>
      </c>
      <c r="AC65" s="59">
        <f t="shared" si="108"/>
        <v>0.30684811237928006</v>
      </c>
      <c r="AD65" s="59">
        <f t="shared" si="108"/>
        <v>0.28059933839268342</v>
      </c>
      <c r="AE65" s="59">
        <f t="shared" si="108"/>
        <v>0.33613445378151263</v>
      </c>
      <c r="AF65" s="59">
        <f t="shared" si="108"/>
        <v>0.30060537268255771</v>
      </c>
      <c r="AG65" s="59">
        <f t="shared" si="108"/>
        <v>0.3063400037404152</v>
      </c>
      <c r="AH65" s="59">
        <f t="shared" si="108"/>
        <v>0.35842715509998319</v>
      </c>
      <c r="AI65" s="59">
        <f t="shared" si="108"/>
        <v>0.36665531335149865</v>
      </c>
      <c r="AJ65" s="59">
        <f t="shared" si="108"/>
        <v>0.37694704049844241</v>
      </c>
      <c r="AK65" s="59">
        <f t="shared" si="108"/>
        <v>0.35246842709529275</v>
      </c>
      <c r="AL65" s="59">
        <f t="shared" si="108"/>
        <v>0.21337281795511223</v>
      </c>
      <c r="AM65" s="59">
        <f t="shared" si="108"/>
        <v>0.33719035202086051</v>
      </c>
      <c r="AN65" s="59">
        <f t="shared" si="108"/>
        <v>0.33026819923371648</v>
      </c>
      <c r="AO65" s="59">
        <f t="shared" si="108"/>
        <v>0.32284436217800405</v>
      </c>
      <c r="AP65" s="59">
        <f t="shared" si="108"/>
        <v>0.32320117474302495</v>
      </c>
      <c r="AQ65" s="59">
        <f t="shared" si="108"/>
        <v>0.23436580767212001</v>
      </c>
      <c r="AR65" s="59">
        <f t="shared" si="108"/>
        <v>0.33718321781916305</v>
      </c>
      <c r="AS65" s="59">
        <f t="shared" si="108"/>
        <v>0.27323848162997649</v>
      </c>
      <c r="AT65" s="59">
        <f t="shared" si="108"/>
        <v>0.35737860874768879</v>
      </c>
      <c r="AU65" s="59">
        <f t="shared" si="108"/>
        <v>0.32047224965373194</v>
      </c>
      <c r="AV65" s="59">
        <f t="shared" si="108"/>
        <v>0.31397174254317112</v>
      </c>
      <c r="AW65" s="59">
        <f t="shared" si="108"/>
        <v>0.2930375833117928</v>
      </c>
      <c r="AX65" s="59">
        <f t="shared" si="108"/>
        <v>0.29887543422884766</v>
      </c>
      <c r="AY65" s="59">
        <f t="shared" si="108"/>
        <v>0.31780553789380511</v>
      </c>
      <c r="AZ65" s="59">
        <f t="shared" si="108"/>
        <v>0.30776491628992997</v>
      </c>
      <c r="BA65" s="59">
        <f t="shared" si="108"/>
        <v>0.30521056762467258</v>
      </c>
      <c r="BB65" s="59">
        <f t="shared" si="108"/>
        <v>0.30787038869146094</v>
      </c>
      <c r="BC65" s="59">
        <f t="shared" si="108"/>
        <v>0.32735405823603886</v>
      </c>
      <c r="BD65" s="59">
        <f t="shared" si="108"/>
        <v>0.30045140500649192</v>
      </c>
      <c r="BE65" s="59">
        <f t="shared" si="108"/>
        <v>0.28564002181215026</v>
      </c>
      <c r="BF65" s="59">
        <f t="shared" si="108"/>
        <v>0.3367684052626887</v>
      </c>
      <c r="BG65" s="59">
        <f t="shared" si="108"/>
        <v>0.32911509066488487</v>
      </c>
      <c r="BH65" s="59">
        <f t="shared" si="108"/>
        <v>0.33432622788997673</v>
      </c>
      <c r="BI65" s="59">
        <f t="shared" si="108"/>
        <v>0.32348831550109508</v>
      </c>
      <c r="BJ65" s="59">
        <f t="shared" si="108"/>
        <v>0.32000160910957143</v>
      </c>
      <c r="BK65" s="59">
        <f t="shared" si="108"/>
        <v>0.31783023176161662</v>
      </c>
      <c r="BL65" s="59">
        <f>BL47/BL44</f>
        <v>0.27544342703464181</v>
      </c>
      <c r="BM65" s="59">
        <f>BM47/BM44</f>
        <v>0.30861236158117833</v>
      </c>
      <c r="BN65" s="59">
        <f t="shared" ref="BN65" si="109">BN47/BN44</f>
        <v>1.2380000000000563E-3</v>
      </c>
      <c r="BO65" s="59">
        <f>BO47/BO44</f>
        <v>0.41223431905607005</v>
      </c>
      <c r="BP65" s="59">
        <f>BP47/BP44</f>
        <v>0.3743696653878793</v>
      </c>
      <c r="CA65" s="59">
        <f t="shared" ref="CA65:CO65" si="110">CA47/CA44</f>
        <v>0.28885231825987406</v>
      </c>
      <c r="CB65" s="59">
        <f t="shared" si="110"/>
        <v>0.28402010050251258</v>
      </c>
      <c r="CC65" s="59">
        <f t="shared" si="110"/>
        <v>0.29301785829411386</v>
      </c>
      <c r="CD65" s="59">
        <f t="shared" si="110"/>
        <v>0.29611507398455461</v>
      </c>
      <c r="CE65" s="59">
        <f t="shared" si="110"/>
        <v>0.31454505924557019</v>
      </c>
      <c r="CF65" s="59">
        <f t="shared" si="110"/>
        <v>0.31437886825817862</v>
      </c>
      <c r="CG65" s="59">
        <f t="shared" si="110"/>
        <v>0.3015524625267666</v>
      </c>
      <c r="CH65" s="59">
        <f t="shared" si="110"/>
        <v>0.32614266411964776</v>
      </c>
      <c r="CI65" s="59">
        <f t="shared" si="110"/>
        <v>0.32551870609377553</v>
      </c>
      <c r="CJ65" s="59">
        <f t="shared" si="110"/>
        <v>0.32819603914618178</v>
      </c>
      <c r="CK65" s="59">
        <f t="shared" si="110"/>
        <v>0.30011079069035312</v>
      </c>
      <c r="CL65" s="59">
        <f t="shared" si="110"/>
        <v>0.30612666200638106</v>
      </c>
      <c r="CM65" s="59">
        <f t="shared" si="110"/>
        <v>0.30947351223063652</v>
      </c>
      <c r="CN65" s="59">
        <f t="shared" si="110"/>
        <v>0.31261445258590986</v>
      </c>
      <c r="CO65" s="59">
        <f t="shared" si="110"/>
        <v>0.32660673172089161</v>
      </c>
      <c r="CP65" s="63">
        <v>0.30499999999999999</v>
      </c>
      <c r="CQ65" s="63">
        <v>0.33</v>
      </c>
      <c r="CR65" s="63">
        <v>0.33500000000000002</v>
      </c>
      <c r="CS65" s="63">
        <v>0.33</v>
      </c>
      <c r="CT65" s="63">
        <v>0.32</v>
      </c>
      <c r="CU65" s="63">
        <v>0.31</v>
      </c>
      <c r="CV65" s="63">
        <v>0.30499999999999999</v>
      </c>
      <c r="CW65" s="63">
        <v>0.3</v>
      </c>
      <c r="CX65" s="63">
        <v>0.29749999999999999</v>
      </c>
      <c r="CY65" s="63">
        <v>0.29499999999999998</v>
      </c>
      <c r="CZ65" s="63"/>
    </row>
    <row r="66" spans="2:104">
      <c r="B66" s="37" t="s">
        <v>122</v>
      </c>
      <c r="C66" s="59">
        <f t="shared" ref="C66:BK66" si="111">C53/C44</f>
        <v>0.18132316907160362</v>
      </c>
      <c r="D66" s="59">
        <f t="shared" si="111"/>
        <v>0.17912946428571427</v>
      </c>
      <c r="E66" s="59">
        <f t="shared" si="111"/>
        <v>0.1550724637681159</v>
      </c>
      <c r="F66" s="59">
        <f t="shared" si="111"/>
        <v>0.14102171918017736</v>
      </c>
      <c r="G66" s="59">
        <f t="shared" si="111"/>
        <v>0.14039548022598872</v>
      </c>
      <c r="H66" s="59">
        <f t="shared" si="111"/>
        <v>0.14664218258132208</v>
      </c>
      <c r="I66" s="59">
        <f t="shared" si="111"/>
        <v>0.17066446098704166</v>
      </c>
      <c r="J66" s="59">
        <f t="shared" si="111"/>
        <v>0.15737455651292453</v>
      </c>
      <c r="K66" s="59">
        <f t="shared" si="111"/>
        <v>-0.71045717288491828</v>
      </c>
      <c r="L66" s="59">
        <f t="shared" si="111"/>
        <v>0.16879728672058444</v>
      </c>
      <c r="M66" s="59">
        <f t="shared" si="111"/>
        <v>0.13556098886172244</v>
      </c>
      <c r="N66" s="59">
        <f t="shared" si="111"/>
        <v>0.13934621808637557</v>
      </c>
      <c r="O66" s="59">
        <f t="shared" si="111"/>
        <v>0.11993202233551828</v>
      </c>
      <c r="P66" s="59">
        <f t="shared" si="111"/>
        <v>0.15186860271363969</v>
      </c>
      <c r="Q66" s="59">
        <f t="shared" si="111"/>
        <v>0.15949734171097149</v>
      </c>
      <c r="R66" s="59">
        <f t="shared" si="111"/>
        <v>0.12008879023307435</v>
      </c>
      <c r="S66" s="59">
        <f t="shared" si="111"/>
        <v>0.1345496009122007</v>
      </c>
      <c r="T66" s="59">
        <f t="shared" si="111"/>
        <v>0.15979491561632131</v>
      </c>
      <c r="U66" s="59">
        <f t="shared" si="111"/>
        <v>0.17913385826771649</v>
      </c>
      <c r="V66" s="59">
        <f t="shared" si="111"/>
        <v>0.14537815126050418</v>
      </c>
      <c r="W66" s="59">
        <f t="shared" si="111"/>
        <v>0.15277130880298084</v>
      </c>
      <c r="X66" s="59">
        <f t="shared" si="111"/>
        <v>0.17035398230088494</v>
      </c>
      <c r="Y66" s="59">
        <f t="shared" si="111"/>
        <v>0.17263917061077302</v>
      </c>
      <c r="Z66" s="59">
        <f t="shared" si="111"/>
        <v>0.19958720330237362</v>
      </c>
      <c r="AA66" s="59">
        <f t="shared" si="111"/>
        <v>0.15886090844904677</v>
      </c>
      <c r="AB66" s="59">
        <f t="shared" si="111"/>
        <v>0.20777027027027034</v>
      </c>
      <c r="AC66" s="59">
        <f t="shared" si="111"/>
        <v>0.18985952589991226</v>
      </c>
      <c r="AD66" s="59">
        <f t="shared" si="111"/>
        <v>0.13037555944736332</v>
      </c>
      <c r="AE66" s="59">
        <f t="shared" si="111"/>
        <v>0.12461569993851196</v>
      </c>
      <c r="AF66" s="59">
        <f t="shared" si="111"/>
        <v>0.20847521755580781</v>
      </c>
      <c r="AG66" s="59">
        <f t="shared" si="111"/>
        <v>0.20647091827192823</v>
      </c>
      <c r="AH66" s="59">
        <f t="shared" si="111"/>
        <v>0.15274743740547811</v>
      </c>
      <c r="AI66" s="59">
        <f t="shared" si="111"/>
        <v>0.14782016348773847</v>
      </c>
      <c r="AJ66" s="59">
        <f t="shared" si="111"/>
        <v>5.4927037219216171E-2</v>
      </c>
      <c r="AK66" s="59">
        <f t="shared" si="111"/>
        <v>0.1346563883877317</v>
      </c>
      <c r="AL66" s="59">
        <f t="shared" si="111"/>
        <v>0.18594139650872823</v>
      </c>
      <c r="AM66" s="59">
        <f t="shared" si="111"/>
        <v>0.12255541069100388</v>
      </c>
      <c r="AN66" s="59">
        <f t="shared" si="111"/>
        <v>0.16475095785440608</v>
      </c>
      <c r="AO66" s="59">
        <f t="shared" si="111"/>
        <v>0.18139750115687178</v>
      </c>
      <c r="AP66" s="59">
        <f t="shared" si="111"/>
        <v>0.18634361233480176</v>
      </c>
      <c r="AQ66" s="59">
        <f t="shared" si="111"/>
        <v>0.24906401784907259</v>
      </c>
      <c r="AR66" s="59">
        <f t="shared" si="111"/>
        <v>6.8447877537343632E-2</v>
      </c>
      <c r="AS66" s="59">
        <f t="shared" si="111"/>
        <v>0.21022666681522065</v>
      </c>
      <c r="AT66" s="59">
        <f t="shared" si="111"/>
        <v>5.4626638944937668E-2</v>
      </c>
      <c r="AU66" s="59">
        <f t="shared" si="111"/>
        <v>0.16314509182807441</v>
      </c>
      <c r="AV66" s="59">
        <f t="shared" si="111"/>
        <v>0.18045806234581749</v>
      </c>
      <c r="AW66" s="59">
        <f t="shared" si="111"/>
        <v>0.34410787297334733</v>
      </c>
      <c r="AX66" s="59">
        <f t="shared" si="111"/>
        <v>0.20338380252577826</v>
      </c>
      <c r="AY66" s="59">
        <f t="shared" si="111"/>
        <v>0.16131048110608256</v>
      </c>
      <c r="AZ66" s="59">
        <f t="shared" si="111"/>
        <v>0.1918113879761254</v>
      </c>
      <c r="BA66" s="59">
        <f t="shared" si="111"/>
        <v>0.19280687422732642</v>
      </c>
      <c r="BB66" s="59">
        <f t="shared" si="111"/>
        <v>0.16971119219292904</v>
      </c>
      <c r="BC66" s="59">
        <f t="shared" si="111"/>
        <v>0.16168940779293844</v>
      </c>
      <c r="BD66" s="59">
        <f t="shared" si="111"/>
        <v>0.19313541477460025</v>
      </c>
      <c r="BE66" s="59">
        <f t="shared" si="111"/>
        <v>0.22147371354537207</v>
      </c>
      <c r="BF66" s="59">
        <f t="shared" si="111"/>
        <v>0.10662590748820697</v>
      </c>
      <c r="BG66" s="59">
        <f t="shared" si="111"/>
        <v>-6.5137220513751641E-3</v>
      </c>
      <c r="BH66" s="59">
        <f t="shared" si="111"/>
        <v>0.15587066136648614</v>
      </c>
      <c r="BI66" s="59">
        <f t="shared" si="111"/>
        <v>0.19530683747936128</v>
      </c>
      <c r="BJ66" s="59">
        <f t="shared" si="111"/>
        <v>-0.13868890254955882</v>
      </c>
      <c r="BK66" s="59">
        <f t="shared" si="111"/>
        <v>0.1792741751341477</v>
      </c>
      <c r="BL66" s="59">
        <f>BL53/BL44</f>
        <v>0.19885381315233391</v>
      </c>
      <c r="BM66" s="59">
        <f>BM53/BM44</f>
        <v>-0.44786908947524079</v>
      </c>
      <c r="BN66" s="59">
        <f t="shared" ref="BN66" si="112">BN53/BN44</f>
        <v>0.76863800000000004</v>
      </c>
      <c r="BO66" s="59">
        <f>BO53/BO44</f>
        <v>3.681093493792173E-2</v>
      </c>
      <c r="BP66" s="59">
        <f>BP53/BP44</f>
        <v>0.12768703141328211</v>
      </c>
      <c r="CA66" s="59">
        <f t="shared" ref="CA66:CO66" si="113">CA53/CA44</f>
        <v>0.16485403548941041</v>
      </c>
      <c r="CB66" s="59">
        <f t="shared" si="113"/>
        <v>0.15383584589614741</v>
      </c>
      <c r="CC66" s="59">
        <f t="shared" si="113"/>
        <v>-6.2794146089871619E-2</v>
      </c>
      <c r="CD66" s="59">
        <f t="shared" si="113"/>
        <v>0.13753463420385545</v>
      </c>
      <c r="CE66" s="59">
        <f t="shared" si="113"/>
        <v>0.15485378845526687</v>
      </c>
      <c r="CF66" s="59">
        <f t="shared" si="113"/>
        <v>0.17456896551724138</v>
      </c>
      <c r="CG66" s="59">
        <f t="shared" si="113"/>
        <v>0.17098501070663813</v>
      </c>
      <c r="CH66" s="59">
        <f t="shared" si="113"/>
        <v>0.17346130550249267</v>
      </c>
      <c r="CI66" s="59">
        <f t="shared" si="113"/>
        <v>0.13139192942329686</v>
      </c>
      <c r="CJ66" s="59">
        <f t="shared" si="113"/>
        <v>0.16459890575633812</v>
      </c>
      <c r="CK66" s="59">
        <f t="shared" si="113"/>
        <v>0.1467357107253057</v>
      </c>
      <c r="CL66" s="59">
        <f t="shared" si="113"/>
        <v>0.22355631993097844</v>
      </c>
      <c r="CM66" s="59">
        <f t="shared" si="113"/>
        <v>0.1790410974610035</v>
      </c>
      <c r="CN66" s="59">
        <f t="shared" si="113"/>
        <v>0.17022039109291184</v>
      </c>
      <c r="CO66" s="59">
        <f t="shared" si="113"/>
        <v>4.9552981914505349E-2</v>
      </c>
      <c r="CP66" s="63">
        <f>CP53/CP44</f>
        <v>0.19064259810401965</v>
      </c>
      <c r="CQ66" s="63">
        <f t="shared" ref="CQ66:CY66" si="114">CQ53/CQ44</f>
        <v>0.1703798474990541</v>
      </c>
      <c r="CR66" s="63">
        <f t="shared" si="114"/>
        <v>0.17499999999999999</v>
      </c>
      <c r="CS66" s="63">
        <f t="shared" si="114"/>
        <v>0.17899999999999985</v>
      </c>
      <c r="CT66" s="63">
        <f t="shared" si="114"/>
        <v>0.18799999999999994</v>
      </c>
      <c r="CU66" s="63">
        <f t="shared" si="114"/>
        <v>0.19800000000000001</v>
      </c>
      <c r="CV66" s="63">
        <f t="shared" si="114"/>
        <v>0.20299999999999993</v>
      </c>
      <c r="CW66" s="63">
        <f t="shared" si="114"/>
        <v>0.20799999999999993</v>
      </c>
      <c r="CX66" s="63">
        <f t="shared" si="114"/>
        <v>0.21049999999999994</v>
      </c>
      <c r="CY66" s="63">
        <f t="shared" si="114"/>
        <v>0.21999999999999997</v>
      </c>
      <c r="CZ66" s="63"/>
    </row>
    <row r="67" spans="2:104">
      <c r="B67" s="37" t="s">
        <v>123</v>
      </c>
      <c r="C67" s="59">
        <f t="shared" ref="C67:BK67" si="115">C58/C57</f>
        <v>0.29707112970711286</v>
      </c>
      <c r="D67" s="59">
        <f t="shared" si="115"/>
        <v>0.27678571428571436</v>
      </c>
      <c r="E67" s="59">
        <f t="shared" si="115"/>
        <v>-2.3333333333333455</v>
      </c>
      <c r="F67" s="59">
        <f t="shared" si="115"/>
        <v>-0.23863636363636412</v>
      </c>
      <c r="G67" s="59">
        <f t="shared" si="115"/>
        <v>0.25654450261780104</v>
      </c>
      <c r="H67" s="59">
        <f t="shared" si="115"/>
        <v>0.21212121212121224</v>
      </c>
      <c r="I67" s="59">
        <f t="shared" si="115"/>
        <v>0.23488372093023252</v>
      </c>
      <c r="J67" s="59">
        <f t="shared" si="115"/>
        <v>5.3613053613053581E-2</v>
      </c>
      <c r="K67" s="59">
        <f t="shared" si="115"/>
        <v>1.3884068031933362E-2</v>
      </c>
      <c r="L67" s="59">
        <f t="shared" si="115"/>
        <v>-6.3829787234042533E-3</v>
      </c>
      <c r="M67" s="59">
        <f t="shared" si="115"/>
        <v>0.22712933753943193</v>
      </c>
      <c r="N67" s="59">
        <f t="shared" si="115"/>
        <v>0.30681818181818177</v>
      </c>
      <c r="O67" s="59">
        <f t="shared" si="115"/>
        <v>0.21751412429378544</v>
      </c>
      <c r="P67" s="59">
        <f t="shared" si="115"/>
        <v>0.12323232323232312</v>
      </c>
      <c r="Q67" s="59">
        <f t="shared" si="115"/>
        <v>0.10216110019646366</v>
      </c>
      <c r="R67" s="59">
        <f t="shared" si="115"/>
        <v>0.11528822055137847</v>
      </c>
      <c r="S67" s="59">
        <f t="shared" si="115"/>
        <v>0.19406392694063929</v>
      </c>
      <c r="T67" s="59">
        <f t="shared" si="115"/>
        <v>0.16977928692699487</v>
      </c>
      <c r="U67" s="59">
        <f t="shared" si="115"/>
        <v>0.14946070878274273</v>
      </c>
      <c r="V67" s="59">
        <f t="shared" si="115"/>
        <v>7.6045627376425881E-3</v>
      </c>
      <c r="W67" s="59">
        <f t="shared" si="115"/>
        <v>0.19135802469135818</v>
      </c>
      <c r="X67" s="59">
        <f t="shared" si="115"/>
        <v>0.10495049504950495</v>
      </c>
      <c r="Y67" s="59">
        <f t="shared" si="115"/>
        <v>1.2820512820512824E-2</v>
      </c>
      <c r="Z67" s="59">
        <f t="shared" si="115"/>
        <v>-9.1456077015643775E-2</v>
      </c>
      <c r="AA67" s="59">
        <f t="shared" si="115"/>
        <v>4.8327137546468432E-2</v>
      </c>
      <c r="AB67" s="59">
        <f t="shared" si="115"/>
        <v>0.11869436201780409</v>
      </c>
      <c r="AC67" s="59">
        <f t="shared" si="115"/>
        <v>0.10176390773405694</v>
      </c>
      <c r="AD67" s="59">
        <f t="shared" si="115"/>
        <v>-0.19881889763779528</v>
      </c>
      <c r="AE67" s="59">
        <f t="shared" si="115"/>
        <v>-7.1618037135278548E-2</v>
      </c>
      <c r="AF67" s="59">
        <f t="shared" si="115"/>
        <v>0.13370165745856352</v>
      </c>
      <c r="AG67" s="59">
        <f t="shared" si="115"/>
        <v>0.11185682326621919</v>
      </c>
      <c r="AH67" s="59">
        <f t="shared" si="115"/>
        <v>1.6350148367952515</v>
      </c>
      <c r="AI67" s="59">
        <f t="shared" si="115"/>
        <v>0.10147299509001631</v>
      </c>
      <c r="AJ67" s="59">
        <f t="shared" si="115"/>
        <v>1.3714285714285825</v>
      </c>
      <c r="AK67" s="59">
        <f t="shared" si="115"/>
        <v>-2.355072463768115E-2</v>
      </c>
      <c r="AL67" s="59">
        <f t="shared" si="115"/>
        <v>9.0436590436590386E-2</v>
      </c>
      <c r="AM67" s="59">
        <f t="shared" si="115"/>
        <v>0.20833333333333337</v>
      </c>
      <c r="AN67" s="59">
        <f t="shared" si="115"/>
        <v>4.3577981651376156E-2</v>
      </c>
      <c r="AO67" s="59">
        <f t="shared" si="115"/>
        <v>-1.323857868020305</v>
      </c>
      <c r="AP67" s="59">
        <f t="shared" si="115"/>
        <v>-6.4165844027640667E-2</v>
      </c>
      <c r="AQ67" s="59">
        <f t="shared" si="115"/>
        <v>7.7873492493231611E-2</v>
      </c>
      <c r="AR67" s="59">
        <f t="shared" si="115"/>
        <v>0.50865066758253652</v>
      </c>
      <c r="AS67" s="59">
        <f t="shared" si="115"/>
        <v>-8.2234424315794016E-3</v>
      </c>
      <c r="AT67" s="59">
        <f t="shared" si="115"/>
        <v>-2.4004683840749552E-3</v>
      </c>
      <c r="AU67" s="59">
        <f t="shared" si="115"/>
        <v>0.14239393210279672</v>
      </c>
      <c r="AV67" s="59">
        <f t="shared" si="115"/>
        <v>0.16441430159986367</v>
      </c>
      <c r="AW67" s="59">
        <f t="shared" si="115"/>
        <v>0.12954826098149499</v>
      </c>
      <c r="AX67" s="59">
        <f t="shared" si="115"/>
        <v>9.35161210229489E-2</v>
      </c>
      <c r="AY67" s="59">
        <f t="shared" si="115"/>
        <v>0.17117657775443956</v>
      </c>
      <c r="AZ67" s="59">
        <f t="shared" si="115"/>
        <v>0.14855095849738592</v>
      </c>
      <c r="BA67" s="59">
        <f t="shared" si="115"/>
        <v>0.14561800398630875</v>
      </c>
      <c r="BB67" s="59">
        <f t="shared" si="115"/>
        <v>0.28522480817948193</v>
      </c>
      <c r="BC67" s="59">
        <f t="shared" si="115"/>
        <v>0.20711947542867712</v>
      </c>
      <c r="BD67" s="59">
        <f t="shared" si="115"/>
        <v>0.12234608264072161</v>
      </c>
      <c r="BE67" s="59">
        <f t="shared" si="115"/>
        <v>7.9781011651303191E-2</v>
      </c>
      <c r="BF67" s="59">
        <f t="shared" si="115"/>
        <v>0.4795862275748341</v>
      </c>
      <c r="BG67" s="59">
        <f t="shared" si="115"/>
        <v>1.6086956521739142</v>
      </c>
      <c r="BH67" s="59">
        <f t="shared" si="115"/>
        <v>0.17782064040874532</v>
      </c>
      <c r="BI67" s="59">
        <f t="shared" si="115"/>
        <v>0.15041908643753557</v>
      </c>
      <c r="BJ67" s="59">
        <f t="shared" si="115"/>
        <v>-7.8156818791734362E-2</v>
      </c>
      <c r="BK67" s="59">
        <f t="shared" si="115"/>
        <v>0.12688771859001416</v>
      </c>
      <c r="BL67" s="59">
        <f>BL58/BL57</f>
        <v>9.3676711031538823E-2</v>
      </c>
      <c r="BM67" s="59">
        <f>BM58/BM57</f>
        <v>6.7695745360025525E-2</v>
      </c>
      <c r="BN67" s="59">
        <f t="shared" ref="BN67" si="116">BN58/BN57</f>
        <v>2.2691958134216775E-2</v>
      </c>
      <c r="BO67" s="59">
        <f>BO58/BO57</f>
        <v>-0.26410658307209345</v>
      </c>
      <c r="BP67" s="59">
        <f>BP58/BP57</f>
        <v>7.47723597048984E-2</v>
      </c>
      <c r="CA67" s="59">
        <f t="shared" ref="CA67:CO67" si="117">CA58/CA57</f>
        <v>0.16045845272206311</v>
      </c>
      <c r="CB67" s="59">
        <f t="shared" si="117"/>
        <v>0.17773167358229597</v>
      </c>
      <c r="CC67" s="59">
        <f t="shared" si="117"/>
        <v>-9.9153567110036353E-2</v>
      </c>
      <c r="CD67" s="59">
        <f t="shared" si="117"/>
        <v>0.13431986340352875</v>
      </c>
      <c r="CE67" s="59">
        <f t="shared" si="117"/>
        <v>0.1298819255222525</v>
      </c>
      <c r="CF67" s="59">
        <f t="shared" si="117"/>
        <v>3.1888798037612444E-2</v>
      </c>
      <c r="CG67" s="59">
        <f t="shared" si="117"/>
        <v>3.2560032560032565E-2</v>
      </c>
      <c r="CH67" s="59">
        <f t="shared" si="117"/>
        <v>0.45473684210526305</v>
      </c>
      <c r="CI67" s="59">
        <f t="shared" si="117"/>
        <v>0.10569476082004553</v>
      </c>
      <c r="CJ67" s="59">
        <f t="shared" si="117"/>
        <v>-0.35932901706886411</v>
      </c>
      <c r="CK67" s="59">
        <f t="shared" si="117"/>
        <v>7.3535575726888944E-2</v>
      </c>
      <c r="CL67" s="59">
        <f t="shared" si="117"/>
        <v>0.12699700566583363</v>
      </c>
      <c r="CM67" s="59">
        <f t="shared" si="117"/>
        <v>0.18613955532830093</v>
      </c>
      <c r="CN67" s="59">
        <f t="shared" si="117"/>
        <v>0.17612253926122542</v>
      </c>
      <c r="CO67" s="59">
        <f t="shared" si="117"/>
        <v>7.0440451582127681E-2</v>
      </c>
      <c r="CP67" s="63">
        <v>0.12</v>
      </c>
      <c r="CQ67" s="63">
        <v>0.13</v>
      </c>
      <c r="CR67" s="63">
        <v>0.15</v>
      </c>
      <c r="CS67" s="63">
        <v>0.15</v>
      </c>
      <c r="CT67" s="63">
        <v>0.15</v>
      </c>
      <c r="CU67" s="63">
        <v>0.15</v>
      </c>
      <c r="CV67" s="63">
        <v>0.15</v>
      </c>
      <c r="CW67" s="63">
        <v>0.15</v>
      </c>
      <c r="CX67" s="63">
        <v>0.15</v>
      </c>
      <c r="CY67" s="63">
        <v>0.15</v>
      </c>
      <c r="CZ67" s="63"/>
    </row>
    <row r="68" spans="2:104">
      <c r="B68" s="37" t="s">
        <v>124</v>
      </c>
      <c r="C68" s="59">
        <f t="shared" ref="C68:BK68" si="118">C59/C44</f>
        <v>9.1478355567655892E-2</v>
      </c>
      <c r="D68" s="59">
        <f t="shared" si="118"/>
        <v>9.0401785714285698E-2</v>
      </c>
      <c r="E68" s="59">
        <f t="shared" si="118"/>
        <v>3.1884057971014443E-2</v>
      </c>
      <c r="F68" s="59">
        <f t="shared" si="118"/>
        <v>3.3343530131538644E-2</v>
      </c>
      <c r="G68" s="59">
        <f t="shared" si="118"/>
        <v>4.011299435028249E-2</v>
      </c>
      <c r="H68" s="59">
        <f t="shared" si="118"/>
        <v>8.1846799580272772E-2</v>
      </c>
      <c r="I68" s="59">
        <f t="shared" si="118"/>
        <v>9.0708574579542345E-2</v>
      </c>
      <c r="J68" s="59">
        <f t="shared" si="118"/>
        <v>0.10288900152052717</v>
      </c>
      <c r="K68" s="59">
        <f t="shared" si="118"/>
        <v>-0.7464529689963213</v>
      </c>
      <c r="L68" s="59">
        <f t="shared" si="118"/>
        <v>0.12340203495956173</v>
      </c>
      <c r="M68" s="59">
        <f t="shared" si="118"/>
        <v>6.6558000543330706E-2</v>
      </c>
      <c r="N68" s="59">
        <f t="shared" si="118"/>
        <v>7.2774994034836574E-2</v>
      </c>
      <c r="O68" s="59">
        <f t="shared" si="118"/>
        <v>6.7249332362223788E-2</v>
      </c>
      <c r="P68" s="59">
        <f t="shared" si="118"/>
        <v>0.10330873601523456</v>
      </c>
      <c r="Q68" s="59">
        <f t="shared" si="118"/>
        <v>0.11043982600289994</v>
      </c>
      <c r="R68" s="59">
        <f t="shared" si="118"/>
        <v>7.8357380688124284E-2</v>
      </c>
      <c r="S68" s="59">
        <f t="shared" si="118"/>
        <v>8.0501710376282773E-2</v>
      </c>
      <c r="T68" s="59">
        <f t="shared" si="118"/>
        <v>0.10446485793633842</v>
      </c>
      <c r="U68" s="59">
        <f t="shared" si="118"/>
        <v>0.12073490813648288</v>
      </c>
      <c r="V68" s="59">
        <f t="shared" si="118"/>
        <v>0.10966386554621846</v>
      </c>
      <c r="W68" s="59">
        <f t="shared" si="118"/>
        <v>9.1523055426175989E-2</v>
      </c>
      <c r="X68" s="59">
        <f t="shared" si="118"/>
        <v>0.1</v>
      </c>
      <c r="Y68" s="59">
        <f t="shared" si="118"/>
        <v>0.13883254451205768</v>
      </c>
      <c r="Z68" s="59">
        <f t="shared" si="118"/>
        <v>0.18720330237358104</v>
      </c>
      <c r="AA68" s="59">
        <f t="shared" si="118"/>
        <v>0.12049894092727693</v>
      </c>
      <c r="AB68" s="59">
        <f t="shared" si="118"/>
        <v>0.12542229729729737</v>
      </c>
      <c r="AC68" s="59">
        <f t="shared" si="118"/>
        <v>0.14530289727831439</v>
      </c>
      <c r="AD68" s="59">
        <f t="shared" si="118"/>
        <v>0.1185055458260362</v>
      </c>
      <c r="AE68" s="59">
        <f t="shared" si="118"/>
        <v>8.2803853248616485E-2</v>
      </c>
      <c r="AF68" s="59">
        <f t="shared" si="118"/>
        <v>0.14831630722663644</v>
      </c>
      <c r="AG68" s="59">
        <f t="shared" si="118"/>
        <v>0.14849448288760059</v>
      </c>
      <c r="AH68" s="59">
        <f t="shared" si="118"/>
        <v>-7.1920685599058926E-2</v>
      </c>
      <c r="AI68" s="59">
        <f t="shared" si="118"/>
        <v>9.3494550408719401E-2</v>
      </c>
      <c r="AJ68" s="59">
        <f t="shared" si="118"/>
        <v>-4.2629939334318028E-3</v>
      </c>
      <c r="AK68" s="59">
        <f t="shared" si="118"/>
        <v>9.2668525504346427E-2</v>
      </c>
      <c r="AL68" s="59">
        <f t="shared" si="118"/>
        <v>0.13637780548628436</v>
      </c>
      <c r="AM68" s="59">
        <f t="shared" si="118"/>
        <v>6.8122555410690983E-2</v>
      </c>
      <c r="AN68" s="59">
        <f t="shared" si="118"/>
        <v>0.12781609195402296</v>
      </c>
      <c r="AO68" s="59">
        <f t="shared" si="118"/>
        <v>0.35307727903748265</v>
      </c>
      <c r="AP68" s="59">
        <f t="shared" si="118"/>
        <v>0.15829662261380326</v>
      </c>
      <c r="AQ68" s="59">
        <f t="shared" si="118"/>
        <v>0.20793947553284775</v>
      </c>
      <c r="AR68" s="59">
        <f t="shared" si="118"/>
        <v>2.0207043719027134E-2</v>
      </c>
      <c r="AS68" s="59">
        <f t="shared" si="118"/>
        <v>0.18555132353619969</v>
      </c>
      <c r="AT68" s="59">
        <f t="shared" si="118"/>
        <v>2.6270685805912176E-2</v>
      </c>
      <c r="AU68" s="59">
        <f t="shared" si="118"/>
        <v>0.11807976627302018</v>
      </c>
      <c r="AV68" s="59">
        <f t="shared" si="118"/>
        <v>0.11686196456604626</v>
      </c>
      <c r="AW68" s="59">
        <f t="shared" si="118"/>
        <v>0.28442899557431761</v>
      </c>
      <c r="AX68" s="59">
        <f t="shared" si="118"/>
        <v>0.20123677299887277</v>
      </c>
      <c r="AY68" s="59">
        <f t="shared" si="118"/>
        <v>0.12017366695341024</v>
      </c>
      <c r="AZ68" s="59">
        <f t="shared" si="118"/>
        <v>0.14973563373384524</v>
      </c>
      <c r="BA68" s="59">
        <f t="shared" si="118"/>
        <v>0.14793393123151577</v>
      </c>
      <c r="BB68" s="59">
        <f t="shared" si="118"/>
        <v>0.10346901786350293</v>
      </c>
      <c r="BC68" s="59">
        <f t="shared" si="118"/>
        <v>0.10791813194542121</v>
      </c>
      <c r="BD68" s="59">
        <f t="shared" si="118"/>
        <v>0.14978438851776357</v>
      </c>
      <c r="BE68" s="59">
        <f t="shared" si="118"/>
        <v>0.18373119070491559</v>
      </c>
      <c r="BF68" s="59">
        <f t="shared" si="118"/>
        <v>3.876342578655434E-2</v>
      </c>
      <c r="BG68" s="59">
        <f t="shared" si="118"/>
        <v>2.0695908390449276E-2</v>
      </c>
      <c r="BH68" s="59">
        <f t="shared" si="118"/>
        <v>0.10689779366646215</v>
      </c>
      <c r="BI68" s="59">
        <f t="shared" si="118"/>
        <v>0.14507696776067369</v>
      </c>
      <c r="BJ68" s="59">
        <f t="shared" si="118"/>
        <v>-0.17171713362272178</v>
      </c>
      <c r="BK68" s="59">
        <f t="shared" si="118"/>
        <v>0.13566617193743577</v>
      </c>
      <c r="BL68" s="59">
        <f>BL59/BL44</f>
        <v>0.15688672600371381</v>
      </c>
      <c r="BM68" s="59">
        <f>BM59/BM44</f>
        <v>-0.44785813645275424</v>
      </c>
      <c r="BN68" s="59">
        <f t="shared" ref="BN68" si="119">BN59/BN44</f>
        <v>0.73336999999999997</v>
      </c>
      <c r="BO68" s="59">
        <f>BO59/BO44</f>
        <v>-1.4874302567572925E-2</v>
      </c>
      <c r="BP68" s="59">
        <f>BP59/BP44</f>
        <v>7.3224016888408877E-2</v>
      </c>
      <c r="CA68" s="59">
        <f t="shared" ref="CA68:CO68" si="120">CA59/CA44</f>
        <v>6.2893531768746402E-2</v>
      </c>
      <c r="CB68" s="59">
        <f t="shared" si="120"/>
        <v>7.9664991624790626E-2</v>
      </c>
      <c r="CC68" s="59">
        <f t="shared" si="120"/>
        <v>-0.11720714331764547</v>
      </c>
      <c r="CD68" s="59">
        <f t="shared" si="120"/>
        <v>8.9665743087897182E-2</v>
      </c>
      <c r="CE68" s="59">
        <f t="shared" si="120"/>
        <v>0.10414175453853679</v>
      </c>
      <c r="CF68" s="59">
        <f t="shared" si="120"/>
        <v>0.13085764809902742</v>
      </c>
      <c r="CG68" s="59">
        <f t="shared" si="120"/>
        <v>0.12724839400428267</v>
      </c>
      <c r="CH68" s="59">
        <f t="shared" si="120"/>
        <v>7.2403671434561834E-2</v>
      </c>
      <c r="CI68" s="59">
        <f t="shared" si="120"/>
        <v>8.017480803790232E-2</v>
      </c>
      <c r="CJ68" s="59">
        <f t="shared" si="120"/>
        <v>0.17796871387840024</v>
      </c>
      <c r="CK68" s="59">
        <f t="shared" si="120"/>
        <v>0.11151234337445436</v>
      </c>
      <c r="CL68" s="59">
        <f t="shared" si="120"/>
        <v>0.18178317143349343</v>
      </c>
      <c r="CM68" s="59">
        <f t="shared" si="120"/>
        <v>0.12992901530047749</v>
      </c>
      <c r="CN68" s="59">
        <f t="shared" si="120"/>
        <v>0.11940823369423612</v>
      </c>
      <c r="CO68" s="59">
        <f t="shared" si="120"/>
        <v>2.2872676962980988E-2</v>
      </c>
      <c r="CP68" s="63">
        <f>CP59/CP44</f>
        <v>0.15018142763454559</v>
      </c>
      <c r="CQ68" s="63">
        <f t="shared" ref="CQ68:CY68" si="121">CQ59/CQ44</f>
        <v>0.12591516390050822</v>
      </c>
      <c r="CR68" s="63">
        <f t="shared" si="121"/>
        <v>0.12934217843208726</v>
      </c>
      <c r="CS68" s="63">
        <f t="shared" si="121"/>
        <v>0.13470087284323476</v>
      </c>
      <c r="CT68" s="63">
        <f t="shared" si="121"/>
        <v>0.14397218637191309</v>
      </c>
      <c r="CU68" s="63">
        <f t="shared" si="121"/>
        <v>0.15387337824312378</v>
      </c>
      <c r="CV68" s="63">
        <f t="shared" si="121"/>
        <v>0.159391212630483</v>
      </c>
      <c r="CW68" s="63">
        <f t="shared" si="121"/>
        <v>0.16479275635354695</v>
      </c>
      <c r="CX68" s="63">
        <f t="shared" si="121"/>
        <v>0.16797447924268813</v>
      </c>
      <c r="CY68" s="63">
        <f t="shared" si="121"/>
        <v>0.17702591111510096</v>
      </c>
      <c r="CZ68" s="63"/>
    </row>
    <row r="70" spans="2:104">
      <c r="B70" s="1" t="s">
        <v>125</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v>375.88</v>
      </c>
      <c r="AU70" s="57">
        <v>324.63</v>
      </c>
      <c r="AV70" s="57">
        <v>361.78</v>
      </c>
      <c r="AW70" s="57">
        <v>481.16</v>
      </c>
      <c r="AX70" s="57">
        <v>445.08</v>
      </c>
      <c r="AY70" s="57">
        <v>466.65600000000001</v>
      </c>
      <c r="AZ70" s="57">
        <v>308.12099999999998</v>
      </c>
      <c r="BA70" s="57">
        <v>397.25</v>
      </c>
      <c r="BB70" s="57">
        <v>292.02999999999997</v>
      </c>
      <c r="BC70" s="57">
        <v>264.13</v>
      </c>
      <c r="BD70" s="57">
        <v>250.816</v>
      </c>
      <c r="BE70" s="57">
        <v>881.49</v>
      </c>
      <c r="BF70" s="57">
        <v>222.84800000000001</v>
      </c>
      <c r="BG70" s="57">
        <v>237.42</v>
      </c>
      <c r="BH70" s="57">
        <v>238.56</v>
      </c>
      <c r="BI70" s="57">
        <v>243.24</v>
      </c>
      <c r="BJ70" s="57">
        <v>290.18</v>
      </c>
      <c r="BK70" s="57">
        <v>284.12200000000001</v>
      </c>
      <c r="BL70" s="57">
        <v>253.69</v>
      </c>
      <c r="BM70" s="57">
        <v>353.99700000000001</v>
      </c>
      <c r="BN70" s="57">
        <v>378.56400000000002</v>
      </c>
      <c r="BO70" s="57">
        <v>309.411</v>
      </c>
      <c r="BP70" s="57">
        <v>300.15899999999999</v>
      </c>
      <c r="CA70" s="57"/>
      <c r="CB70" s="57"/>
      <c r="CC70" s="57"/>
      <c r="CD70" s="57"/>
      <c r="CE70" s="57"/>
      <c r="CF70" s="57"/>
      <c r="CG70" s="57"/>
      <c r="CH70" s="57"/>
      <c r="CI70" s="57"/>
      <c r="CJ70" s="57"/>
      <c r="CK70" s="57">
        <f t="shared" ref="CK70:CK73" si="122">AT70</f>
        <v>375.88</v>
      </c>
      <c r="CL70" s="57">
        <f t="shared" ref="CL70:CL73" si="123">AX70</f>
        <v>445.08</v>
      </c>
      <c r="CM70" s="57">
        <f t="shared" ref="CM70:CM73" si="124">BB70</f>
        <v>292.02999999999997</v>
      </c>
      <c r="CN70" s="57">
        <f t="shared" ref="CN70:CN73" si="125">BF70</f>
        <v>222.84800000000001</v>
      </c>
      <c r="CO70" s="57">
        <f t="shared" ref="CO70:CO73" si="126">BJ70</f>
        <v>290.18</v>
      </c>
      <c r="CP70" s="67">
        <f>CO70+CP59</f>
        <v>776.30622264360022</v>
      </c>
      <c r="CQ70" s="67">
        <f>CP70+CQ59+1200</f>
        <v>2286.4362697968791</v>
      </c>
      <c r="CR70" s="67">
        <f t="shared" ref="CR70:CY70" si="127">CQ70+CR59</f>
        <v>2635.1764949640487</v>
      </c>
      <c r="CS70" s="67">
        <f t="shared" si="127"/>
        <v>3027.79045207848</v>
      </c>
      <c r="CT70" s="67">
        <f t="shared" si="127"/>
        <v>3476.0846428690588</v>
      </c>
      <c r="CU70" s="67">
        <f t="shared" si="127"/>
        <v>3983.7332082880712</v>
      </c>
      <c r="CV70" s="67">
        <f t="shared" si="127"/>
        <v>4538.3244193741284</v>
      </c>
      <c r="CW70" s="67">
        <f t="shared" si="127"/>
        <v>5140.0672782903594</v>
      </c>
      <c r="CX70" s="67">
        <f t="shared" si="127"/>
        <v>5780.7076877927111</v>
      </c>
      <c r="CY70" s="67">
        <f t="shared" si="127"/>
        <v>6482.3859318779132</v>
      </c>
    </row>
    <row r="71" spans="2:104">
      <c r="B71" s="1" t="s">
        <v>1003</v>
      </c>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v>395.07100000000003</v>
      </c>
      <c r="AU71" s="57">
        <v>401.11</v>
      </c>
      <c r="AV71" s="57">
        <v>414.19</v>
      </c>
      <c r="AW71" s="57">
        <v>399.74</v>
      </c>
      <c r="AX71" s="57">
        <v>383.56</v>
      </c>
      <c r="AY71" s="57">
        <v>407.15899999999999</v>
      </c>
      <c r="AZ71" s="57">
        <v>415.29</v>
      </c>
      <c r="BA71" s="57">
        <v>391.25</v>
      </c>
      <c r="BB71" s="57">
        <v>408.83</v>
      </c>
      <c r="BC71" s="57">
        <v>410.02</v>
      </c>
      <c r="BD71" s="57">
        <v>429.30900000000003</v>
      </c>
      <c r="BE71" s="57">
        <v>425.19</v>
      </c>
      <c r="BF71" s="57">
        <v>443.46699999999998</v>
      </c>
      <c r="BG71" s="57">
        <v>448.53</v>
      </c>
      <c r="BH71" s="57">
        <v>448.89</v>
      </c>
      <c r="BI71" s="57">
        <v>470.25</v>
      </c>
      <c r="BJ71" s="57">
        <v>459.49</v>
      </c>
      <c r="BK71" s="57">
        <v>464.52</v>
      </c>
      <c r="BL71" s="57">
        <v>513.80999999999995</v>
      </c>
      <c r="BM71" s="57">
        <v>592.65</v>
      </c>
      <c r="BN71" s="57">
        <v>345.58300000000003</v>
      </c>
      <c r="BO71" s="57">
        <v>365.52600000000001</v>
      </c>
      <c r="BP71" s="57">
        <v>364.60899999999998</v>
      </c>
      <c r="CA71" s="57"/>
      <c r="CB71" s="57"/>
      <c r="CC71" s="57"/>
      <c r="CD71" s="57"/>
      <c r="CE71" s="57"/>
      <c r="CF71" s="57"/>
      <c r="CG71" s="57"/>
      <c r="CH71" s="57"/>
      <c r="CI71" s="57"/>
      <c r="CJ71" s="57"/>
      <c r="CK71" s="57">
        <f t="shared" si="122"/>
        <v>395.07100000000003</v>
      </c>
      <c r="CL71" s="57">
        <f t="shared" si="123"/>
        <v>383.56</v>
      </c>
      <c r="CM71" s="57">
        <f t="shared" si="124"/>
        <v>408.83</v>
      </c>
      <c r="CN71" s="57">
        <f t="shared" si="125"/>
        <v>443.46699999999998</v>
      </c>
      <c r="CO71" s="57">
        <f t="shared" si="126"/>
        <v>459.49</v>
      </c>
    </row>
    <row r="72" spans="2:104">
      <c r="B72" s="1" t="s">
        <v>1004</v>
      </c>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v>513.19000000000005</v>
      </c>
      <c r="AU72" s="57">
        <v>512.29999999999995</v>
      </c>
      <c r="AV72" s="57">
        <v>490.3</v>
      </c>
      <c r="AW72" s="57">
        <v>484.34</v>
      </c>
      <c r="AX72" s="57">
        <v>477.64</v>
      </c>
      <c r="AY72" s="57">
        <v>491.42200000000003</v>
      </c>
      <c r="AZ72" s="57">
        <v>510.53</v>
      </c>
      <c r="BA72" s="57">
        <v>530.08000000000004</v>
      </c>
      <c r="BB72" s="57">
        <v>578.50699999999995</v>
      </c>
      <c r="BC72" s="57">
        <v>614.1</v>
      </c>
      <c r="BD72" s="57">
        <v>631.55499999999995</v>
      </c>
      <c r="BE72" s="57">
        <v>625.07500000000005</v>
      </c>
      <c r="BF72" s="57">
        <v>626.21600000000001</v>
      </c>
      <c r="BG72" s="57">
        <v>627.86</v>
      </c>
      <c r="BH72" s="57">
        <v>636.9</v>
      </c>
      <c r="BI72" s="57">
        <v>639.92999999999995</v>
      </c>
      <c r="BJ72" s="57">
        <v>600.13</v>
      </c>
      <c r="BK72" s="57">
        <v>643.97</v>
      </c>
      <c r="BL72" s="57">
        <v>693.68</v>
      </c>
      <c r="BM72" s="57">
        <v>802.46</v>
      </c>
      <c r="BN72" s="57">
        <v>404.39499999999998</v>
      </c>
      <c r="BO72" s="57">
        <v>380.86099999999999</v>
      </c>
      <c r="BP72" s="57">
        <v>351.91199999999998</v>
      </c>
      <c r="CA72" s="57"/>
      <c r="CB72" s="57"/>
      <c r="CC72" s="57"/>
      <c r="CD72" s="57"/>
      <c r="CE72" s="57"/>
      <c r="CF72" s="57"/>
      <c r="CG72" s="57"/>
      <c r="CH72" s="57"/>
      <c r="CI72" s="57"/>
      <c r="CJ72" s="57"/>
      <c r="CK72" s="57">
        <f t="shared" si="122"/>
        <v>513.19000000000005</v>
      </c>
      <c r="CL72" s="57">
        <f t="shared" si="123"/>
        <v>477.64</v>
      </c>
      <c r="CM72" s="57">
        <f t="shared" si="124"/>
        <v>578.50699999999995</v>
      </c>
      <c r="CN72" s="57">
        <f t="shared" si="125"/>
        <v>626.21600000000001</v>
      </c>
      <c r="CO72" s="57">
        <f t="shared" si="126"/>
        <v>600.13</v>
      </c>
      <c r="CQ72" s="49" t="s">
        <v>967</v>
      </c>
      <c r="CR72" s="48"/>
      <c r="CS72" s="48"/>
      <c r="CT72" s="49" t="s">
        <v>968</v>
      </c>
      <c r="CU72" s="48"/>
      <c r="CV72" s="50" t="s">
        <v>969</v>
      </c>
      <c r="CW72" s="48"/>
      <c r="CX72" s="51" t="s">
        <v>970</v>
      </c>
      <c r="CY72" s="52">
        <v>7.1999999999999995E-2</v>
      </c>
      <c r="CZ72" s="48"/>
    </row>
    <row r="73" spans="2:104">
      <c r="B73" s="1" t="s">
        <v>1020</v>
      </c>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v>115.43</v>
      </c>
      <c r="AU73" s="57">
        <v>121.87</v>
      </c>
      <c r="AV73" s="57">
        <v>116.818</v>
      </c>
      <c r="AW73" s="57">
        <v>123.776</v>
      </c>
      <c r="AX73" s="57">
        <v>117.277</v>
      </c>
      <c r="AY73" s="57">
        <v>123.87</v>
      </c>
      <c r="AZ73" s="57">
        <v>112.595</v>
      </c>
      <c r="BA73" s="57">
        <v>113.916</v>
      </c>
      <c r="BB73" s="57">
        <v>125.084</v>
      </c>
      <c r="BC73" s="57">
        <v>134.94</v>
      </c>
      <c r="BD73" s="57">
        <v>120.19</v>
      </c>
      <c r="BE73" s="57">
        <v>138.65</v>
      </c>
      <c r="BF73" s="57">
        <v>107.47</v>
      </c>
      <c r="BG73" s="57">
        <v>111.62</v>
      </c>
      <c r="BH73" s="57">
        <v>94.82</v>
      </c>
      <c r="BI73" s="57">
        <v>116.92</v>
      </c>
      <c r="BJ73" s="57">
        <v>117.85</v>
      </c>
      <c r="BK73" s="57">
        <v>141.6</v>
      </c>
      <c r="BL73" s="57">
        <v>199</v>
      </c>
      <c r="BM73" s="57">
        <v>154.6</v>
      </c>
      <c r="BN73" s="57">
        <v>150.678</v>
      </c>
      <c r="BO73" s="57">
        <v>149.80799999999999</v>
      </c>
      <c r="BP73" s="57">
        <v>148.22200000000001</v>
      </c>
      <c r="CA73" s="57"/>
      <c r="CB73" s="57"/>
      <c r="CC73" s="57"/>
      <c r="CD73" s="57"/>
      <c r="CE73" s="57"/>
      <c r="CF73" s="57"/>
      <c r="CG73" s="57"/>
      <c r="CH73" s="57"/>
      <c r="CI73" s="57"/>
      <c r="CJ73" s="57"/>
      <c r="CK73" s="57">
        <f t="shared" si="122"/>
        <v>115.43</v>
      </c>
      <c r="CL73" s="57">
        <f t="shared" si="123"/>
        <v>117.277</v>
      </c>
      <c r="CM73" s="57">
        <f t="shared" si="124"/>
        <v>125.084</v>
      </c>
      <c r="CN73" s="57">
        <f t="shared" si="125"/>
        <v>107.47</v>
      </c>
      <c r="CO73" s="57">
        <f t="shared" si="126"/>
        <v>117.85</v>
      </c>
      <c r="CQ73" s="48">
        <v>2025</v>
      </c>
      <c r="CR73" s="48"/>
      <c r="CS73" s="48">
        <v>2023</v>
      </c>
      <c r="CT73" s="48">
        <v>2024</v>
      </c>
      <c r="CU73" s="48"/>
      <c r="CV73" s="50" t="s">
        <v>971</v>
      </c>
      <c r="CW73" s="48"/>
      <c r="CX73" s="51" t="s">
        <v>972</v>
      </c>
      <c r="CY73" s="52">
        <v>0.01</v>
      </c>
      <c r="CZ73" s="48"/>
    </row>
    <row r="74" spans="2:104" ht="14.25" customHeight="1">
      <c r="B74" s="1" t="s">
        <v>1019</v>
      </c>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v>22.84</v>
      </c>
      <c r="AU74" s="57">
        <v>18.87</v>
      </c>
      <c r="AV74" s="57">
        <v>27.18</v>
      </c>
      <c r="AW74" s="57">
        <v>52.8</v>
      </c>
      <c r="AX74" s="57">
        <v>5.5449999999999999</v>
      </c>
      <c r="AY74" s="57">
        <v>5.0919999999999996</v>
      </c>
      <c r="AZ74" s="57">
        <v>38.799999999999997</v>
      </c>
      <c r="BA74" s="57">
        <v>26.867999999999999</v>
      </c>
      <c r="BB74" s="57">
        <v>6.524</v>
      </c>
      <c r="BC74" s="57">
        <v>4.84</v>
      </c>
      <c r="BD74" s="57">
        <v>13.929</v>
      </c>
      <c r="BE74" s="57">
        <v>26.84</v>
      </c>
      <c r="BF74" s="57">
        <v>7.4039999999999999</v>
      </c>
      <c r="BG74" s="57">
        <v>8.1630000000000003</v>
      </c>
      <c r="BH74" s="57">
        <v>18.89</v>
      </c>
      <c r="BI74" s="57">
        <v>28.94</v>
      </c>
      <c r="BJ74" s="57">
        <v>3.4</v>
      </c>
      <c r="BK74" s="57">
        <v>4.6900000000000004</v>
      </c>
      <c r="BL74" s="57">
        <v>63.66</v>
      </c>
      <c r="BM74" s="57">
        <v>82.26</v>
      </c>
      <c r="BN74" s="57">
        <v>19.565999999999999</v>
      </c>
      <c r="BO74" s="57">
        <v>16.792999999999999</v>
      </c>
      <c r="BP74" s="57">
        <v>36.457999999999998</v>
      </c>
      <c r="CA74" s="57"/>
      <c r="CB74" s="57"/>
      <c r="CC74" s="57"/>
      <c r="CD74" s="57"/>
      <c r="CE74" s="57"/>
      <c r="CF74" s="57"/>
      <c r="CG74" s="57"/>
      <c r="CH74" s="57"/>
      <c r="CI74" s="57"/>
      <c r="CJ74" s="57"/>
      <c r="CK74" s="57">
        <f>AT74</f>
        <v>22.84</v>
      </c>
      <c r="CL74" s="57">
        <f>AX74</f>
        <v>5.5449999999999999</v>
      </c>
      <c r="CM74" s="57">
        <f>BB74</f>
        <v>6.524</v>
      </c>
      <c r="CN74" s="57">
        <f>BF74</f>
        <v>7.4039999999999999</v>
      </c>
      <c r="CO74" s="57">
        <f>BJ74</f>
        <v>3.4</v>
      </c>
      <c r="CQ74" s="53">
        <f>AVERAGE(CP53)*(1-CP67)</f>
        <v>543.04452584360024</v>
      </c>
      <c r="CR74" s="48"/>
      <c r="CS74" s="54">
        <f>SUM(CN70:CN75)-CN86+CN76+CN79+CN78</f>
        <v>7171.0880000000006</v>
      </c>
      <c r="CT74" s="54">
        <f>SUM(CO70:CO75)-CO86+CO76+CO79+CO78</f>
        <v>6733.8799999999992</v>
      </c>
      <c r="CU74" s="48"/>
      <c r="CV74" s="54">
        <f>AVERAGE(CS74:CT74)</f>
        <v>6952.4840000000004</v>
      </c>
      <c r="CW74" s="48"/>
      <c r="CX74" s="51" t="s">
        <v>973</v>
      </c>
      <c r="CY74" s="52">
        <v>4.3400000000000001E-2</v>
      </c>
      <c r="CZ74" s="48"/>
    </row>
    <row r="75" spans="2:104" ht="14.25" customHeight="1">
      <c r="B75" s="1" t="s">
        <v>1030</v>
      </c>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v>0</v>
      </c>
      <c r="AU75" s="57">
        <v>0</v>
      </c>
      <c r="AV75" s="57">
        <v>26.936</v>
      </c>
      <c r="AW75" s="57">
        <v>0</v>
      </c>
      <c r="AX75" s="57">
        <v>0</v>
      </c>
      <c r="AY75" s="57">
        <v>0</v>
      </c>
      <c r="AZ75" s="57">
        <v>0</v>
      </c>
      <c r="BA75" s="57">
        <v>0</v>
      </c>
      <c r="BB75" s="57">
        <v>0</v>
      </c>
      <c r="BC75" s="57">
        <v>0</v>
      </c>
      <c r="BD75" s="57">
        <v>0</v>
      </c>
      <c r="BE75" s="57">
        <v>0</v>
      </c>
      <c r="BF75" s="57">
        <v>0</v>
      </c>
      <c r="BG75" s="57">
        <v>0</v>
      </c>
      <c r="BH75" s="57">
        <v>0</v>
      </c>
      <c r="BI75" s="57">
        <v>0</v>
      </c>
      <c r="BJ75" s="57">
        <v>0</v>
      </c>
      <c r="BK75" s="57">
        <v>0</v>
      </c>
      <c r="BL75" s="57">
        <v>0</v>
      </c>
      <c r="BM75" s="57">
        <v>0</v>
      </c>
      <c r="BN75" s="57">
        <v>639.55200000000002</v>
      </c>
      <c r="BO75" s="57">
        <v>637.27099999999996</v>
      </c>
      <c r="BP75" s="57">
        <v>674.51599999999996</v>
      </c>
      <c r="CA75" s="57"/>
      <c r="CB75" s="57"/>
      <c r="CC75" s="57"/>
      <c r="CD75" s="57"/>
      <c r="CE75" s="57"/>
      <c r="CF75" s="57"/>
      <c r="CG75" s="57"/>
      <c r="CH75" s="57"/>
      <c r="CI75" s="57"/>
      <c r="CJ75" s="57"/>
      <c r="CK75" s="57">
        <f t="shared" ref="CK75:CK83" si="128">AT75</f>
        <v>0</v>
      </c>
      <c r="CL75" s="57">
        <f t="shared" ref="CL75:CL83" si="129">AX75</f>
        <v>0</v>
      </c>
      <c r="CM75" s="57">
        <f t="shared" ref="CM75:CM83" si="130">BB75</f>
        <v>0</v>
      </c>
      <c r="CN75" s="57">
        <f t="shared" ref="CN75:CN83" si="131">BF75</f>
        <v>0</v>
      </c>
      <c r="CO75" s="57">
        <f t="shared" ref="CO75:CO83" si="132">BJ75</f>
        <v>0</v>
      </c>
      <c r="CQ75" s="55">
        <f>CQ74/CV74</f>
        <v>7.8107986418034223E-2</v>
      </c>
      <c r="CR75" s="48"/>
      <c r="CS75" s="48"/>
      <c r="CT75" s="48"/>
      <c r="CU75" s="48"/>
      <c r="CV75" s="48"/>
      <c r="CW75" s="48"/>
      <c r="CX75" s="51" t="s">
        <v>974</v>
      </c>
      <c r="CY75" s="52">
        <f>9.75%-CY74</f>
        <v>5.4100000000000002E-2</v>
      </c>
      <c r="CZ75" s="48"/>
    </row>
    <row r="76" spans="2:104" ht="14.25" customHeight="1">
      <c r="B76" s="1" t="s">
        <v>1005</v>
      </c>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v>473.91199999999998</v>
      </c>
      <c r="AU76" s="57">
        <v>467.64</v>
      </c>
      <c r="AV76" s="57">
        <v>449.75</v>
      </c>
      <c r="AW76" s="57">
        <v>446.31799999999998</v>
      </c>
      <c r="AX76" s="57">
        <v>443.75</v>
      </c>
      <c r="AY76" s="57">
        <v>436.02</v>
      </c>
      <c r="AZ76" s="57">
        <v>429.37</v>
      </c>
      <c r="BA76" s="57">
        <v>422.35500000000002</v>
      </c>
      <c r="BB76" s="57">
        <v>447.20499999999998</v>
      </c>
      <c r="BC76" s="57">
        <v>458.86</v>
      </c>
      <c r="BD76" s="57">
        <v>464.60899999999998</v>
      </c>
      <c r="BE76" s="57">
        <v>464.46699999999998</v>
      </c>
      <c r="BF76" s="57">
        <v>479.91300000000001</v>
      </c>
      <c r="BG76" s="57">
        <v>485.53500000000003</v>
      </c>
      <c r="BH76" s="57">
        <v>491.99</v>
      </c>
      <c r="BI76" s="57">
        <v>512.22400000000005</v>
      </c>
      <c r="BJ76" s="57">
        <v>502.85</v>
      </c>
      <c r="BK76" s="57">
        <v>518.91600000000005</v>
      </c>
      <c r="BL76" s="57">
        <v>548.96100000000001</v>
      </c>
      <c r="BM76" s="57">
        <v>700.58600000000001</v>
      </c>
      <c r="BN76" s="57">
        <v>498.28100000000001</v>
      </c>
      <c r="BO76" s="57">
        <v>476.95499999999998</v>
      </c>
      <c r="BP76" s="57">
        <v>475.637</v>
      </c>
      <c r="CA76" s="57"/>
      <c r="CB76" s="57"/>
      <c r="CC76" s="57"/>
      <c r="CD76" s="57"/>
      <c r="CE76" s="57"/>
      <c r="CF76" s="57"/>
      <c r="CG76" s="57"/>
      <c r="CH76" s="57"/>
      <c r="CI76" s="57"/>
      <c r="CJ76" s="57"/>
      <c r="CK76" s="57">
        <f t="shared" si="128"/>
        <v>473.91199999999998</v>
      </c>
      <c r="CL76" s="57">
        <f t="shared" si="129"/>
        <v>443.75</v>
      </c>
      <c r="CM76" s="57">
        <f t="shared" si="130"/>
        <v>447.20499999999998</v>
      </c>
      <c r="CN76" s="57">
        <f t="shared" si="131"/>
        <v>479.91300000000001</v>
      </c>
      <c r="CO76" s="57">
        <f t="shared" si="132"/>
        <v>502.85</v>
      </c>
      <c r="CP76" s="48"/>
      <c r="CQ76" s="48"/>
      <c r="CR76" s="48"/>
      <c r="CS76" s="48"/>
      <c r="CT76" s="48"/>
      <c r="CU76" s="48"/>
      <c r="CV76" s="48"/>
      <c r="CW76" s="48"/>
      <c r="CX76" s="51" t="s">
        <v>975</v>
      </c>
      <c r="CY76" s="48">
        <f>'Notes | Quant Analysis'!K204</f>
        <v>1.08</v>
      </c>
      <c r="CZ76" s="48"/>
    </row>
    <row r="77" spans="2:104" ht="14.25" customHeight="1">
      <c r="B77" s="1" t="s">
        <v>1006</v>
      </c>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v>100.63</v>
      </c>
      <c r="AU77" s="57">
        <v>94.55</v>
      </c>
      <c r="AV77" s="57">
        <v>115.11</v>
      </c>
      <c r="AW77" s="57">
        <v>129.99</v>
      </c>
      <c r="AX77" s="57">
        <v>129.65</v>
      </c>
      <c r="AY77" s="57">
        <v>124.39</v>
      </c>
      <c r="AZ77" s="57">
        <v>118.62</v>
      </c>
      <c r="BA77" s="57">
        <v>112.04</v>
      </c>
      <c r="BB77" s="57">
        <v>131.21100000000001</v>
      </c>
      <c r="BC77" s="57">
        <v>126.77</v>
      </c>
      <c r="BD77" s="57">
        <v>123.215</v>
      </c>
      <c r="BE77" s="57">
        <v>123.6</v>
      </c>
      <c r="BF77" s="57">
        <v>123.52</v>
      </c>
      <c r="BG77" s="57">
        <v>112.56</v>
      </c>
      <c r="BH77" s="57">
        <v>112.01</v>
      </c>
      <c r="BI77" s="57">
        <v>112.89</v>
      </c>
      <c r="BJ77" s="57">
        <v>108.9</v>
      </c>
      <c r="BK77" s="57">
        <v>108.34</v>
      </c>
      <c r="BL77" s="57">
        <v>99.09</v>
      </c>
      <c r="BM77" s="57">
        <v>107.05</v>
      </c>
      <c r="BN77" s="57">
        <v>91.816999999999993</v>
      </c>
      <c r="BO77" s="57">
        <v>84.912000000000006</v>
      </c>
      <c r="BP77" s="57">
        <v>77.158000000000001</v>
      </c>
      <c r="CA77" s="57"/>
      <c r="CB77" s="57"/>
      <c r="CC77" s="57"/>
      <c r="CD77" s="57"/>
      <c r="CE77" s="57"/>
      <c r="CF77" s="57"/>
      <c r="CG77" s="57"/>
      <c r="CH77" s="57"/>
      <c r="CI77" s="57"/>
      <c r="CJ77" s="57"/>
      <c r="CK77" s="57">
        <f t="shared" si="128"/>
        <v>100.63</v>
      </c>
      <c r="CL77" s="57">
        <f t="shared" si="129"/>
        <v>129.65</v>
      </c>
      <c r="CM77" s="57">
        <f t="shared" si="130"/>
        <v>131.21100000000001</v>
      </c>
      <c r="CN77" s="57">
        <f t="shared" si="131"/>
        <v>123.52</v>
      </c>
      <c r="CO77" s="57">
        <f t="shared" si="132"/>
        <v>108.9</v>
      </c>
      <c r="CP77" s="48"/>
      <c r="CQ77" s="48"/>
      <c r="CR77" s="48"/>
      <c r="CS77" s="48"/>
      <c r="CT77" s="48"/>
      <c r="CU77" s="48"/>
      <c r="CV77" s="48"/>
      <c r="CW77" s="48"/>
      <c r="CX77" s="51" t="s">
        <v>976</v>
      </c>
      <c r="CY77" s="52">
        <f>+CY74+(CY75*CY76)</f>
        <v>0.101828</v>
      </c>
      <c r="CZ77" s="61"/>
    </row>
    <row r="78" spans="2:104" ht="14.25" customHeight="1">
      <c r="B78" s="1" t="s">
        <v>1007</v>
      </c>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v>2585.9659999999999</v>
      </c>
      <c r="AU78" s="57">
        <v>2565.87</v>
      </c>
      <c r="AV78" s="57">
        <v>2537.4299999999998</v>
      </c>
      <c r="AW78" s="57">
        <v>2522.9499999999998</v>
      </c>
      <c r="AX78" s="57">
        <v>2504.2020000000002</v>
      </c>
      <c r="AY78" s="57">
        <v>2492.7199999999998</v>
      </c>
      <c r="AZ78" s="57">
        <v>2461.0830000000001</v>
      </c>
      <c r="BA78" s="57">
        <v>2415.29</v>
      </c>
      <c r="BB78" s="57">
        <v>2536.73</v>
      </c>
      <c r="BC78" s="57">
        <v>2547.84</v>
      </c>
      <c r="BD78" s="57">
        <v>2546.13</v>
      </c>
      <c r="BE78" s="57">
        <v>2528.3049999999998</v>
      </c>
      <c r="BF78" s="57">
        <v>2914.05</v>
      </c>
      <c r="BG78" s="57">
        <v>2898.3429999999998</v>
      </c>
      <c r="BH78" s="57">
        <v>2892.62</v>
      </c>
      <c r="BI78" s="57">
        <v>2918.56</v>
      </c>
      <c r="BJ78" s="57">
        <v>2632.31</v>
      </c>
      <c r="BK78" s="57">
        <v>2651.88</v>
      </c>
      <c r="BL78" s="57">
        <v>2694.1</v>
      </c>
      <c r="BM78" s="57">
        <v>2537.77</v>
      </c>
      <c r="BN78" s="57">
        <v>2305.0500000000002</v>
      </c>
      <c r="BO78" s="57">
        <v>2297.4470000000001</v>
      </c>
      <c r="BP78" s="57">
        <v>2292.4349999999999</v>
      </c>
      <c r="CA78" s="57"/>
      <c r="CB78" s="57"/>
      <c r="CC78" s="57"/>
      <c r="CD78" s="57"/>
      <c r="CE78" s="57"/>
      <c r="CF78" s="57"/>
      <c r="CG78" s="57"/>
      <c r="CH78" s="57"/>
      <c r="CI78" s="57"/>
      <c r="CJ78" s="57"/>
      <c r="CK78" s="57">
        <f t="shared" si="128"/>
        <v>2585.9659999999999</v>
      </c>
      <c r="CL78" s="57">
        <f t="shared" si="129"/>
        <v>2504.2020000000002</v>
      </c>
      <c r="CM78" s="57">
        <f t="shared" si="130"/>
        <v>2536.73</v>
      </c>
      <c r="CN78" s="57">
        <f t="shared" si="131"/>
        <v>2914.05</v>
      </c>
      <c r="CO78" s="57">
        <f t="shared" si="132"/>
        <v>2632.31</v>
      </c>
      <c r="CP78" s="48"/>
      <c r="CQ78" s="61"/>
      <c r="CR78" s="61"/>
      <c r="CS78" s="61"/>
      <c r="CT78" s="61"/>
      <c r="CU78" s="61"/>
      <c r="CV78" s="61"/>
      <c r="CW78" s="61"/>
      <c r="CX78" s="51"/>
      <c r="CY78" s="48"/>
      <c r="CZ78" s="48"/>
    </row>
    <row r="79" spans="2:104" ht="14.25" customHeight="1">
      <c r="B79" s="1" t="s">
        <v>1008</v>
      </c>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v>2519.7399999999998</v>
      </c>
      <c r="AU79" s="57">
        <v>2470.2440000000001</v>
      </c>
      <c r="AV79" s="57">
        <v>2381.3200000000002</v>
      </c>
      <c r="AW79" s="57">
        <v>2337.2399999999998</v>
      </c>
      <c r="AX79" s="57">
        <v>2289.06</v>
      </c>
      <c r="AY79" s="57">
        <v>2243.5500000000002</v>
      </c>
      <c r="AZ79" s="57">
        <v>2226.87</v>
      </c>
      <c r="BA79" s="57">
        <v>2176.25</v>
      </c>
      <c r="BB79" s="57">
        <v>2306.16</v>
      </c>
      <c r="BC79" s="57">
        <v>2269.5300000000002</v>
      </c>
      <c r="BD79" s="57">
        <v>2227.9470000000001</v>
      </c>
      <c r="BE79" s="57">
        <v>2180.5300000000002</v>
      </c>
      <c r="BF79" s="57">
        <v>2501.96</v>
      </c>
      <c r="BG79" s="57">
        <v>2429.46</v>
      </c>
      <c r="BH79" s="57">
        <v>2379.91</v>
      </c>
      <c r="BI79" s="57">
        <v>2325.1</v>
      </c>
      <c r="BJ79" s="57">
        <v>2268.6999999999998</v>
      </c>
      <c r="BK79" s="57">
        <v>2226.14</v>
      </c>
      <c r="BL79" s="57">
        <v>2184.3000000000002</v>
      </c>
      <c r="BM79" s="57">
        <v>2410.4</v>
      </c>
      <c r="BN79" s="57">
        <v>1524.15</v>
      </c>
      <c r="BO79" s="57">
        <v>1485.885</v>
      </c>
      <c r="BP79" s="57">
        <v>1448.6690000000001</v>
      </c>
      <c r="CA79" s="57"/>
      <c r="CB79" s="57"/>
      <c r="CC79" s="57"/>
      <c r="CD79" s="57"/>
      <c r="CE79" s="57"/>
      <c r="CF79" s="57"/>
      <c r="CG79" s="57"/>
      <c r="CH79" s="57"/>
      <c r="CI79" s="57"/>
      <c r="CJ79" s="57"/>
      <c r="CK79" s="57">
        <f t="shared" si="128"/>
        <v>2519.7399999999998</v>
      </c>
      <c r="CL79" s="57">
        <f t="shared" si="129"/>
        <v>2289.06</v>
      </c>
      <c r="CM79" s="57">
        <f t="shared" si="130"/>
        <v>2306.16</v>
      </c>
      <c r="CN79" s="57">
        <f t="shared" si="131"/>
        <v>2501.96</v>
      </c>
      <c r="CO79" s="57">
        <f t="shared" si="132"/>
        <v>2268.6999999999998</v>
      </c>
      <c r="CP79" s="48"/>
      <c r="CQ79" s="48"/>
      <c r="CR79" s="48"/>
      <c r="CS79" s="48"/>
      <c r="CT79" s="48"/>
      <c r="CU79" s="48"/>
      <c r="CV79" s="48"/>
      <c r="CW79" s="48"/>
      <c r="CX79" s="51" t="s">
        <v>977</v>
      </c>
      <c r="CY79" s="54">
        <f>NPV(CY77,CP59:EM59)</f>
        <v>5711.9749846048135</v>
      </c>
      <c r="CZ79" s="48"/>
    </row>
    <row r="80" spans="2:104" ht="14.25" customHeight="1">
      <c r="B80" s="1" t="s">
        <v>1009</v>
      </c>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v>8.0730000000000004</v>
      </c>
      <c r="AU80" s="57">
        <v>8.0449999999999999</v>
      </c>
      <c r="AV80" s="1">
        <v>8.44</v>
      </c>
      <c r="AW80" s="57">
        <v>8.4250000000000007</v>
      </c>
      <c r="AX80" s="57">
        <v>6.82</v>
      </c>
      <c r="AY80" s="57">
        <v>6.7910000000000004</v>
      </c>
      <c r="AZ80" s="57">
        <v>6.2430000000000003</v>
      </c>
      <c r="BA80" s="57">
        <v>5.7619999999999996</v>
      </c>
      <c r="BB80" s="57">
        <v>6.4020000000000001</v>
      </c>
      <c r="BC80" s="57">
        <v>6.4790000000000001</v>
      </c>
      <c r="BD80" s="57">
        <v>6.2779999999999996</v>
      </c>
      <c r="BE80" s="57">
        <v>6.1669999999999998</v>
      </c>
      <c r="BF80" s="57">
        <v>6.74</v>
      </c>
      <c r="BG80" s="57">
        <v>6.5880000000000001</v>
      </c>
      <c r="BH80" s="57">
        <v>6.4240000000000004</v>
      </c>
      <c r="BI80" s="57">
        <v>6.7789999999999999</v>
      </c>
      <c r="BJ80" s="57">
        <v>11.374000000000001</v>
      </c>
      <c r="BK80" s="57">
        <v>11.773</v>
      </c>
      <c r="BL80" s="57">
        <v>12.86</v>
      </c>
      <c r="BM80" s="57">
        <v>13.509</v>
      </c>
      <c r="BN80" s="57">
        <v>12.593</v>
      </c>
      <c r="BO80" s="57">
        <v>12.206</v>
      </c>
      <c r="BP80" s="57">
        <v>12.641999999999999</v>
      </c>
      <c r="CA80" s="57"/>
      <c r="CB80" s="57"/>
      <c r="CC80" s="57"/>
      <c r="CD80" s="57"/>
      <c r="CE80" s="57"/>
      <c r="CF80" s="57"/>
      <c r="CG80" s="57"/>
      <c r="CH80" s="57"/>
      <c r="CI80" s="57"/>
      <c r="CJ80" s="57"/>
      <c r="CK80" s="57">
        <f t="shared" si="128"/>
        <v>8.0730000000000004</v>
      </c>
      <c r="CL80" s="57">
        <f t="shared" si="129"/>
        <v>6.82</v>
      </c>
      <c r="CM80" s="57">
        <f t="shared" si="130"/>
        <v>6.4020000000000001</v>
      </c>
      <c r="CN80" s="57">
        <f t="shared" si="131"/>
        <v>6.74</v>
      </c>
      <c r="CO80" s="57">
        <f t="shared" si="132"/>
        <v>11.374000000000001</v>
      </c>
      <c r="CP80" s="48"/>
      <c r="CQ80" s="48"/>
      <c r="CR80" s="48"/>
      <c r="CS80" s="48"/>
      <c r="CT80" s="48"/>
      <c r="CU80" s="48"/>
      <c r="CV80" s="48"/>
      <c r="CW80" s="48"/>
      <c r="CX80" s="51" t="s">
        <v>137</v>
      </c>
      <c r="CY80" s="54">
        <f>Main!C6</f>
        <v>42.372</v>
      </c>
      <c r="CZ80" s="65" t="s">
        <v>942</v>
      </c>
    </row>
    <row r="81" spans="2:155" ht="14.25" customHeight="1">
      <c r="B81" s="1" t="s">
        <v>1010</v>
      </c>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v>41.802</v>
      </c>
      <c r="AU81" s="57">
        <v>42.87</v>
      </c>
      <c r="AV81" s="57">
        <v>41.66</v>
      </c>
      <c r="AW81" s="57">
        <v>53.3</v>
      </c>
      <c r="AX81" s="57">
        <v>69.103999999999999</v>
      </c>
      <c r="AY81" s="57">
        <v>75.622</v>
      </c>
      <c r="AZ81" s="57">
        <v>104.30800000000001</v>
      </c>
      <c r="BA81" s="57">
        <v>166.98</v>
      </c>
      <c r="BB81" s="57">
        <v>89.36</v>
      </c>
      <c r="BC81" s="57">
        <v>80.38</v>
      </c>
      <c r="BD81" s="57">
        <v>81.747</v>
      </c>
      <c r="BE81" s="57">
        <v>93.28</v>
      </c>
      <c r="BF81" s="57">
        <v>98.942999999999998</v>
      </c>
      <c r="BG81" s="57">
        <v>111.828</v>
      </c>
      <c r="BH81" s="57">
        <v>120.577</v>
      </c>
      <c r="BI81" s="57">
        <v>111.42</v>
      </c>
      <c r="BJ81" s="57">
        <v>102.624</v>
      </c>
      <c r="BK81" s="57">
        <v>107.31699999999999</v>
      </c>
      <c r="BL81" s="57">
        <v>112.06</v>
      </c>
      <c r="BM81" s="57">
        <v>116.626</v>
      </c>
      <c r="BN81" s="57">
        <v>112.98399999999999</v>
      </c>
      <c r="BO81" s="57">
        <v>113.557</v>
      </c>
      <c r="BP81" s="57">
        <v>120.31</v>
      </c>
      <c r="CA81" s="57"/>
      <c r="CB81" s="57"/>
      <c r="CC81" s="57"/>
      <c r="CD81" s="57"/>
      <c r="CE81" s="57"/>
      <c r="CF81" s="57"/>
      <c r="CG81" s="57"/>
      <c r="CH81" s="57"/>
      <c r="CI81" s="57"/>
      <c r="CJ81" s="57"/>
      <c r="CK81" s="57">
        <f t="shared" si="128"/>
        <v>41.802</v>
      </c>
      <c r="CL81" s="57">
        <f t="shared" si="129"/>
        <v>69.103999999999999</v>
      </c>
      <c r="CM81" s="57">
        <f t="shared" si="130"/>
        <v>89.36</v>
      </c>
      <c r="CN81" s="57">
        <f t="shared" si="131"/>
        <v>98.942999999999998</v>
      </c>
      <c r="CO81" s="57">
        <f t="shared" si="132"/>
        <v>102.624</v>
      </c>
      <c r="CP81" s="48"/>
      <c r="CQ81" s="48"/>
      <c r="CR81" s="48"/>
      <c r="CS81" s="48"/>
      <c r="CT81" s="48"/>
      <c r="CU81" s="48"/>
      <c r="CV81" s="48"/>
      <c r="CW81" s="48"/>
      <c r="CX81" s="51" t="s">
        <v>978</v>
      </c>
      <c r="CY81" s="56">
        <f>CY79/CY80</f>
        <v>134.80541358927624</v>
      </c>
      <c r="CZ81" s="49"/>
    </row>
    <row r="82" spans="2:155" ht="14.25" customHeight="1">
      <c r="B82" s="1" t="s">
        <v>1031</v>
      </c>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v>0</v>
      </c>
      <c r="AU82" s="57">
        <v>0</v>
      </c>
      <c r="AV82" s="57">
        <v>95.426000000000002</v>
      </c>
      <c r="AW82" s="57">
        <v>0</v>
      </c>
      <c r="AX82" s="57">
        <v>0</v>
      </c>
      <c r="AY82" s="57">
        <v>0</v>
      </c>
      <c r="AZ82" s="57">
        <v>0</v>
      </c>
      <c r="BA82" s="57">
        <v>0</v>
      </c>
      <c r="BB82" s="57">
        <v>0</v>
      </c>
      <c r="BC82" s="57">
        <v>0</v>
      </c>
      <c r="BD82" s="57">
        <v>0</v>
      </c>
      <c r="BE82" s="57">
        <v>0</v>
      </c>
      <c r="BF82" s="57">
        <v>0</v>
      </c>
      <c r="BG82" s="57">
        <v>0</v>
      </c>
      <c r="BH82" s="57">
        <v>0</v>
      </c>
      <c r="BI82" s="57">
        <v>0</v>
      </c>
      <c r="BJ82" s="57">
        <v>0</v>
      </c>
      <c r="BK82" s="57">
        <v>0</v>
      </c>
      <c r="BL82" s="57">
        <v>0</v>
      </c>
      <c r="BM82" s="57">
        <v>0</v>
      </c>
      <c r="BN82" s="57">
        <v>464.02600000000001</v>
      </c>
      <c r="BO82" s="57">
        <v>452.37</v>
      </c>
      <c r="BP82" s="57">
        <v>484.05099999999999</v>
      </c>
      <c r="CA82" s="57"/>
      <c r="CB82" s="57"/>
      <c r="CC82" s="57"/>
      <c r="CD82" s="57"/>
      <c r="CE82" s="57"/>
      <c r="CF82" s="57"/>
      <c r="CG82" s="57"/>
      <c r="CH82" s="57"/>
      <c r="CI82" s="57"/>
      <c r="CJ82" s="57"/>
      <c r="CK82" s="57">
        <f t="shared" si="128"/>
        <v>0</v>
      </c>
      <c r="CL82" s="57">
        <f t="shared" si="129"/>
        <v>0</v>
      </c>
      <c r="CM82" s="57">
        <f t="shared" si="130"/>
        <v>0</v>
      </c>
      <c r="CN82" s="57">
        <f t="shared" si="131"/>
        <v>0</v>
      </c>
      <c r="CO82" s="57">
        <f t="shared" si="132"/>
        <v>0</v>
      </c>
      <c r="CP82" s="48"/>
      <c r="CQ82" s="48"/>
      <c r="CR82" s="48"/>
      <c r="CS82" s="48"/>
      <c r="CT82" s="48"/>
      <c r="CU82" s="48"/>
      <c r="CV82" s="48"/>
      <c r="CW82" s="48"/>
      <c r="CX82" s="51" t="s">
        <v>979</v>
      </c>
      <c r="CY82" s="56">
        <f>Main!C5</f>
        <v>125.12</v>
      </c>
      <c r="CZ82" s="69" t="s">
        <v>1034</v>
      </c>
    </row>
    <row r="83" spans="2:155" s="2" customFormat="1" ht="14.25" customHeight="1">
      <c r="B83" s="2" t="s">
        <v>1011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f t="shared" ref="AT83:BK83" si="133">SUM(AT70:AT81)</f>
        <v>7152.5339999999997</v>
      </c>
      <c r="AU83" s="58">
        <f t="shared" si="133"/>
        <v>7027.9989999999989</v>
      </c>
      <c r="AV83" s="58">
        <f>SUM(AV70:AV82)</f>
        <v>7066.34</v>
      </c>
      <c r="AW83" s="58">
        <f>SUM(AW70:AW82)</f>
        <v>7040.0389999999998</v>
      </c>
      <c r="AX83" s="58">
        <f t="shared" si="133"/>
        <v>6871.688000000001</v>
      </c>
      <c r="AY83" s="58">
        <f t="shared" si="133"/>
        <v>6873.2920000000004</v>
      </c>
      <c r="AZ83" s="58">
        <f t="shared" si="133"/>
        <v>6731.83</v>
      </c>
      <c r="BA83" s="58">
        <f t="shared" si="133"/>
        <v>6758.0409999999993</v>
      </c>
      <c r="BB83" s="58">
        <f t="shared" si="133"/>
        <v>6928.0429999999988</v>
      </c>
      <c r="BC83" s="58">
        <f t="shared" si="133"/>
        <v>6917.889000000001</v>
      </c>
      <c r="BD83" s="58">
        <f t="shared" si="133"/>
        <v>6895.7250000000004</v>
      </c>
      <c r="BE83" s="58">
        <f t="shared" si="133"/>
        <v>7493.594000000001</v>
      </c>
      <c r="BF83" s="58">
        <f t="shared" si="133"/>
        <v>7532.5309999999999</v>
      </c>
      <c r="BG83" s="58">
        <f t="shared" si="133"/>
        <v>7477.9070000000002</v>
      </c>
      <c r="BH83" s="58">
        <f t="shared" si="133"/>
        <v>7441.5910000000003</v>
      </c>
      <c r="BI83" s="58">
        <f t="shared" si="133"/>
        <v>7486.2530000000006</v>
      </c>
      <c r="BJ83" s="58">
        <f t="shared" si="133"/>
        <v>7097.808</v>
      </c>
      <c r="BK83" s="58">
        <f t="shared" si="133"/>
        <v>7163.268</v>
      </c>
      <c r="BL83" s="58">
        <f>SUM(BL70:BL81)</f>
        <v>7375.2110000000002</v>
      </c>
      <c r="BM83" s="58">
        <f>SUM(BM70:BM81)</f>
        <v>7871.9079999999994</v>
      </c>
      <c r="BN83" s="58">
        <f>SUM(BN70:BN82)</f>
        <v>6947.2390000000005</v>
      </c>
      <c r="BO83" s="58">
        <f t="shared" ref="BO83:BP83" si="134">SUM(BO70:BO82)</f>
        <v>6783.0020000000004</v>
      </c>
      <c r="BP83" s="58">
        <f t="shared" si="134"/>
        <v>6786.7780000000002</v>
      </c>
      <c r="BQ83" s="34"/>
      <c r="BR83" s="34"/>
      <c r="CA83" s="58"/>
      <c r="CB83" s="58"/>
      <c r="CC83" s="58"/>
      <c r="CD83" s="58"/>
      <c r="CE83" s="58"/>
      <c r="CF83" s="58"/>
      <c r="CG83" s="58"/>
      <c r="CH83" s="58"/>
      <c r="CI83" s="58"/>
      <c r="CJ83" s="58"/>
      <c r="CK83" s="58">
        <f t="shared" si="128"/>
        <v>7152.5339999999997</v>
      </c>
      <c r="CL83" s="58">
        <f t="shared" si="129"/>
        <v>6871.688000000001</v>
      </c>
      <c r="CM83" s="58">
        <f t="shared" si="130"/>
        <v>6928.0429999999988</v>
      </c>
      <c r="CN83" s="58">
        <f t="shared" si="131"/>
        <v>7532.5309999999999</v>
      </c>
      <c r="CO83" s="58">
        <f t="shared" si="132"/>
        <v>7097.808</v>
      </c>
      <c r="CP83" s="61"/>
      <c r="CQ83" s="61"/>
      <c r="CR83" s="61"/>
      <c r="CS83" s="61"/>
      <c r="CT83" s="61"/>
      <c r="CU83" s="61"/>
      <c r="CV83" s="61"/>
      <c r="CW83" s="61"/>
      <c r="CX83" s="51" t="s">
        <v>980</v>
      </c>
      <c r="CY83" s="52">
        <f>CY81/CY82-1</f>
        <v>7.7408996077975134E-2</v>
      </c>
      <c r="CZ83" s="64" t="str">
        <f>IF(CY83&gt;0,"Upside","Downside")</f>
        <v>Upside</v>
      </c>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row>
    <row r="84" spans="2:155" ht="14.25" customHeight="1">
      <c r="CP84" s="48"/>
      <c r="CX84" s="130" t="str" cm="1">
        <f t="array" ref="CX84">_xlfn.IFS(CY83&gt;=25%,"Strong Buy",CY83&gt;=10.00001%,"Buy",AND(CY83&lt;=10%,CY83&gt;=-4.9999%),"Hold",AND(CY83&lt;=-5%,CY83&gt;=-14.999999%),"Sell",CY83&lt;=-15%,"Strong Sell")</f>
        <v>Hold</v>
      </c>
      <c r="CY84" s="130"/>
    </row>
    <row r="85" spans="2:155" ht="14.25" customHeight="1">
      <c r="B85" s="1" t="s">
        <v>1012</v>
      </c>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v>100.5</v>
      </c>
      <c r="AU85" s="57">
        <v>83.75</v>
      </c>
      <c r="AV85" s="57">
        <v>92.5</v>
      </c>
      <c r="AW85" s="57">
        <v>101.25</v>
      </c>
      <c r="AX85" s="57">
        <v>110</v>
      </c>
      <c r="AY85" s="57">
        <v>110</v>
      </c>
      <c r="AZ85" s="57">
        <v>110</v>
      </c>
      <c r="BA85" s="57">
        <v>114.37</v>
      </c>
      <c r="BB85" s="57">
        <v>87.5</v>
      </c>
      <c r="BC85" s="57">
        <v>87.5</v>
      </c>
      <c r="BD85" s="57">
        <v>87.5</v>
      </c>
      <c r="BE85" s="57">
        <v>87.5</v>
      </c>
      <c r="BF85" s="57">
        <v>87.5</v>
      </c>
      <c r="BG85" s="57">
        <v>90.625</v>
      </c>
      <c r="BH85" s="57">
        <v>93.75</v>
      </c>
      <c r="BI85" s="57">
        <v>96.87</v>
      </c>
      <c r="BJ85" s="57">
        <v>100</v>
      </c>
      <c r="BK85" s="57">
        <v>100</v>
      </c>
      <c r="BL85" s="57">
        <v>100</v>
      </c>
      <c r="BM85" s="57">
        <v>100</v>
      </c>
      <c r="BN85" s="57">
        <v>100</v>
      </c>
      <c r="BO85" s="57">
        <v>103.125</v>
      </c>
      <c r="BP85" s="57">
        <v>87.5</v>
      </c>
      <c r="CK85" s="57">
        <f t="shared" ref="CK85:CK101" si="135">AT85</f>
        <v>100.5</v>
      </c>
      <c r="CL85" s="57">
        <f t="shared" ref="CL85:CL101" si="136">AX85</f>
        <v>110</v>
      </c>
      <c r="CM85" s="57">
        <f t="shared" ref="CM85:CM101" si="137">BB85</f>
        <v>87.5</v>
      </c>
      <c r="CN85" s="57">
        <f t="shared" ref="CN85:CN101" si="138">BF85</f>
        <v>87.5</v>
      </c>
      <c r="CO85" s="57">
        <f t="shared" ref="CO85:CO101" si="139">BJ85</f>
        <v>100</v>
      </c>
      <c r="CP85" s="48"/>
    </row>
    <row r="86" spans="2:155" ht="14.25" customHeight="1">
      <c r="B86" s="1" t="s">
        <v>1013</v>
      </c>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v>102.52</v>
      </c>
      <c r="AU86" s="57">
        <v>101.34</v>
      </c>
      <c r="AV86" s="57">
        <v>106.56</v>
      </c>
      <c r="AW86" s="57">
        <v>104.139</v>
      </c>
      <c r="AX86" s="57">
        <v>118.236</v>
      </c>
      <c r="AY86" s="57">
        <v>117.464</v>
      </c>
      <c r="AZ86" s="57">
        <v>121.41800000000001</v>
      </c>
      <c r="BA86" s="57">
        <v>121.5</v>
      </c>
      <c r="BB86" s="57">
        <v>126.807</v>
      </c>
      <c r="BC86" s="57">
        <v>136.239</v>
      </c>
      <c r="BD86" s="57">
        <v>142.08000000000001</v>
      </c>
      <c r="BE86" s="57">
        <v>130.68600000000001</v>
      </c>
      <c r="BF86" s="57">
        <v>132.24</v>
      </c>
      <c r="BG86" s="57">
        <v>115.94499999999999</v>
      </c>
      <c r="BH86" s="57">
        <v>113.45</v>
      </c>
      <c r="BI86" s="57">
        <v>119.25</v>
      </c>
      <c r="BJ86" s="57">
        <v>141.03</v>
      </c>
      <c r="BK86" s="57">
        <v>143.03700000000001</v>
      </c>
      <c r="BL86" s="57">
        <v>157.55000000000001</v>
      </c>
      <c r="BM86" s="57">
        <v>165.9</v>
      </c>
      <c r="BN86" s="57">
        <v>130.20099999999999</v>
      </c>
      <c r="BO86" s="57">
        <v>143.62700000000001</v>
      </c>
      <c r="BP86" s="57">
        <v>143.292</v>
      </c>
      <c r="CK86" s="57">
        <f t="shared" si="135"/>
        <v>102.52</v>
      </c>
      <c r="CL86" s="57">
        <f t="shared" si="136"/>
        <v>118.236</v>
      </c>
      <c r="CM86" s="57">
        <f t="shared" si="137"/>
        <v>126.807</v>
      </c>
      <c r="CN86" s="57">
        <f t="shared" si="138"/>
        <v>132.24</v>
      </c>
      <c r="CO86" s="57">
        <f t="shared" si="139"/>
        <v>141.03</v>
      </c>
      <c r="CP86" s="48"/>
    </row>
    <row r="87" spans="2:155" ht="14.25" customHeight="1">
      <c r="B87" s="1" t="s">
        <v>1015</v>
      </c>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v>136.27600000000001</v>
      </c>
      <c r="AU87" s="57">
        <v>134.31100000000001</v>
      </c>
      <c r="AV87" s="57">
        <v>138.28</v>
      </c>
      <c r="AW87" s="57">
        <v>127.116</v>
      </c>
      <c r="AX87" s="57">
        <v>163.44</v>
      </c>
      <c r="AY87" s="57">
        <v>158.94499999999999</v>
      </c>
      <c r="AZ87" s="57">
        <v>151.715</v>
      </c>
      <c r="BA87" s="57">
        <v>140.86000000000001</v>
      </c>
      <c r="BB87" s="57">
        <v>140.64400000000001</v>
      </c>
      <c r="BC87" s="57">
        <v>123.45</v>
      </c>
      <c r="BD87" s="57">
        <v>127.86</v>
      </c>
      <c r="BE87" s="57">
        <v>133.06700000000001</v>
      </c>
      <c r="BF87" s="57">
        <v>146.88</v>
      </c>
      <c r="BG87" s="57">
        <v>136.614</v>
      </c>
      <c r="BH87" s="57">
        <v>153.4</v>
      </c>
      <c r="BI87" s="57">
        <v>157.78</v>
      </c>
      <c r="BJ87" s="57">
        <v>143.16</v>
      </c>
      <c r="BK87" s="57">
        <v>150.85</v>
      </c>
      <c r="BL87" s="57">
        <v>157.16999999999999</v>
      </c>
      <c r="BM87" s="57">
        <v>147.05000000000001</v>
      </c>
      <c r="BN87" s="57">
        <v>117.35</v>
      </c>
      <c r="BO87" s="57">
        <v>118.423</v>
      </c>
      <c r="BP87" s="57">
        <v>134.16999999999999</v>
      </c>
      <c r="CK87" s="57">
        <f t="shared" si="135"/>
        <v>136.27600000000001</v>
      </c>
      <c r="CL87" s="57">
        <f t="shared" si="136"/>
        <v>163.44</v>
      </c>
      <c r="CM87" s="57">
        <f t="shared" si="137"/>
        <v>140.64400000000001</v>
      </c>
      <c r="CN87" s="57">
        <f t="shared" si="138"/>
        <v>146.88</v>
      </c>
      <c r="CO87" s="57">
        <f t="shared" si="139"/>
        <v>143.16</v>
      </c>
      <c r="CP87" s="48"/>
      <c r="CQ87" s="48"/>
    </row>
    <row r="88" spans="2:155" ht="14.25" customHeight="1">
      <c r="B88" s="1" t="s">
        <v>1014</v>
      </c>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v>122.366</v>
      </c>
      <c r="AU88" s="57">
        <v>100.38</v>
      </c>
      <c r="AV88" s="57">
        <v>121.82</v>
      </c>
      <c r="AW88" s="57">
        <v>133.523</v>
      </c>
      <c r="AX88" s="57">
        <v>143.65</v>
      </c>
      <c r="AY88" s="57">
        <v>102.407</v>
      </c>
      <c r="AZ88" s="57">
        <v>114.38</v>
      </c>
      <c r="BA88" s="57">
        <v>121.59</v>
      </c>
      <c r="BB88" s="57">
        <v>133.09200000000001</v>
      </c>
      <c r="BC88" s="57">
        <v>102.08</v>
      </c>
      <c r="BD88" s="57">
        <v>106.17700000000001</v>
      </c>
      <c r="BE88" s="57">
        <v>127.1</v>
      </c>
      <c r="BF88" s="57">
        <v>146.535</v>
      </c>
      <c r="BG88" s="57">
        <v>106.05500000000001</v>
      </c>
      <c r="BH88" s="57">
        <v>113.11199999999999</v>
      </c>
      <c r="BI88" s="57">
        <v>142.619</v>
      </c>
      <c r="BJ88" s="57">
        <v>151.26</v>
      </c>
      <c r="BK88" s="57">
        <v>108.9</v>
      </c>
      <c r="BL88" s="57">
        <v>114.16</v>
      </c>
      <c r="BM88" s="57">
        <v>167.73</v>
      </c>
      <c r="BN88" s="57">
        <v>124.76900000000001</v>
      </c>
      <c r="BO88" s="57">
        <v>103.345</v>
      </c>
      <c r="BP88" s="57">
        <v>110.214</v>
      </c>
      <c r="CK88" s="57">
        <f t="shared" si="135"/>
        <v>122.366</v>
      </c>
      <c r="CL88" s="57">
        <f t="shared" si="136"/>
        <v>143.65</v>
      </c>
      <c r="CM88" s="57">
        <f t="shared" si="137"/>
        <v>133.09200000000001</v>
      </c>
      <c r="CN88" s="57">
        <f t="shared" si="138"/>
        <v>146.535</v>
      </c>
      <c r="CO88" s="57">
        <f t="shared" si="139"/>
        <v>151.26</v>
      </c>
      <c r="CP88" s="48"/>
      <c r="CQ88" s="48"/>
    </row>
    <row r="89" spans="2:155" ht="14.25" customHeight="1">
      <c r="B89" s="1" t="s">
        <v>1016</v>
      </c>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v>7.1349999999999998</v>
      </c>
      <c r="AU89" s="57">
        <v>23.4</v>
      </c>
      <c r="AV89" s="57">
        <v>5.5</v>
      </c>
      <c r="AW89" s="57">
        <v>15.757</v>
      </c>
      <c r="AX89" s="57">
        <v>5.2089999999999996</v>
      </c>
      <c r="AY89" s="57">
        <v>16.808</v>
      </c>
      <c r="AZ89" s="57">
        <v>4.7510000000000003</v>
      </c>
      <c r="BA89" s="57">
        <v>15.87</v>
      </c>
      <c r="BB89" s="57">
        <v>5.3319999999999999</v>
      </c>
      <c r="BC89" s="57">
        <v>16.86</v>
      </c>
      <c r="BD89" s="57">
        <v>5.7930000000000001</v>
      </c>
      <c r="BE89" s="57">
        <v>17.428000000000001</v>
      </c>
      <c r="BF89" s="57">
        <v>5.5830000000000002</v>
      </c>
      <c r="BG89" s="57">
        <v>16.989999999999998</v>
      </c>
      <c r="BH89" s="57">
        <v>5.77</v>
      </c>
      <c r="BI89" s="57">
        <v>16.657</v>
      </c>
      <c r="BJ89" s="57">
        <v>5.33</v>
      </c>
      <c r="BK89" s="57">
        <v>17.02</v>
      </c>
      <c r="BL89" s="57">
        <v>5.63</v>
      </c>
      <c r="BM89" s="57">
        <v>16.765999999999998</v>
      </c>
      <c r="BN89" s="57">
        <v>5.4039999999999999</v>
      </c>
      <c r="BO89" s="57">
        <v>16.478000000000002</v>
      </c>
      <c r="BP89" s="57">
        <v>3.5579999999999998</v>
      </c>
      <c r="CK89" s="57">
        <f t="shared" si="135"/>
        <v>7.1349999999999998</v>
      </c>
      <c r="CL89" s="57">
        <f t="shared" si="136"/>
        <v>5.2089999999999996</v>
      </c>
      <c r="CM89" s="57">
        <f t="shared" si="137"/>
        <v>5.3319999999999999</v>
      </c>
      <c r="CN89" s="57">
        <f t="shared" si="138"/>
        <v>5.5830000000000002</v>
      </c>
      <c r="CO89" s="57">
        <f t="shared" si="139"/>
        <v>5.33</v>
      </c>
      <c r="CP89" s="48"/>
      <c r="CQ89" s="48"/>
      <c r="CR89" s="48"/>
      <c r="CS89" s="48"/>
      <c r="CT89" s="48"/>
      <c r="CU89" s="48"/>
      <c r="CV89" s="48"/>
      <c r="CW89" s="48"/>
      <c r="CX89" s="48"/>
    </row>
    <row r="90" spans="2:155" ht="14.25" customHeight="1">
      <c r="B90" s="1" t="s">
        <v>1017</v>
      </c>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v>17.36</v>
      </c>
      <c r="AU90" s="57">
        <v>14.83</v>
      </c>
      <c r="AV90" s="57">
        <v>14.836</v>
      </c>
      <c r="AW90" s="57">
        <v>17.184999999999999</v>
      </c>
      <c r="AX90" s="57">
        <v>83.942999999999998</v>
      </c>
      <c r="AY90" s="57">
        <v>88.450999999999993</v>
      </c>
      <c r="AZ90" s="57">
        <v>52.173999999999999</v>
      </c>
      <c r="BA90" s="57">
        <v>41.32</v>
      </c>
      <c r="BB90" s="57">
        <v>24.736000000000001</v>
      </c>
      <c r="BC90" s="57">
        <v>30.17</v>
      </c>
      <c r="BD90" s="57">
        <v>20.18</v>
      </c>
      <c r="BE90" s="57">
        <v>24.375</v>
      </c>
      <c r="BF90" s="57">
        <v>41.45</v>
      </c>
      <c r="BG90" s="57">
        <v>48.905000000000001</v>
      </c>
      <c r="BH90" s="57">
        <v>19.731000000000002</v>
      </c>
      <c r="BI90" s="57">
        <v>18.68</v>
      </c>
      <c r="BJ90" s="57">
        <v>41.31</v>
      </c>
      <c r="BK90" s="57">
        <v>49.78</v>
      </c>
      <c r="BL90" s="57">
        <v>22.494</v>
      </c>
      <c r="BM90" s="57">
        <v>12.97</v>
      </c>
      <c r="BN90" s="57">
        <v>18.786999999999999</v>
      </c>
      <c r="BO90" s="57">
        <v>11.824</v>
      </c>
      <c r="BP90" s="57">
        <v>17.786999999999999</v>
      </c>
      <c r="CK90" s="57">
        <f t="shared" si="135"/>
        <v>17.36</v>
      </c>
      <c r="CL90" s="57">
        <f t="shared" si="136"/>
        <v>83.942999999999998</v>
      </c>
      <c r="CM90" s="57">
        <f t="shared" si="137"/>
        <v>24.736000000000001</v>
      </c>
      <c r="CN90" s="57">
        <f t="shared" si="138"/>
        <v>41.45</v>
      </c>
      <c r="CO90" s="57">
        <f t="shared" si="139"/>
        <v>41.31</v>
      </c>
    </row>
    <row r="91" spans="2:155" ht="14.25" customHeight="1">
      <c r="B91" s="1" t="s">
        <v>1018</v>
      </c>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v>53.869</v>
      </c>
      <c r="AU91" s="57">
        <v>50.04</v>
      </c>
      <c r="AV91" s="57">
        <v>46.26</v>
      </c>
      <c r="AW91" s="57">
        <v>63.24</v>
      </c>
      <c r="AX91" s="57">
        <v>55.633000000000003</v>
      </c>
      <c r="AY91" s="57">
        <v>62.125</v>
      </c>
      <c r="AZ91" s="57">
        <v>56.003999999999998</v>
      </c>
      <c r="BA91" s="57">
        <v>55.406999999999996</v>
      </c>
      <c r="BB91" s="57">
        <v>63.38</v>
      </c>
      <c r="BC91" s="57">
        <v>79.403000000000006</v>
      </c>
      <c r="BD91" s="57">
        <v>65.849999999999994</v>
      </c>
      <c r="BE91" s="57">
        <v>65.260000000000005</v>
      </c>
      <c r="BF91" s="57">
        <v>46.546999999999997</v>
      </c>
      <c r="BG91" s="57">
        <v>55.87</v>
      </c>
      <c r="BH91" s="57">
        <v>57.53</v>
      </c>
      <c r="BI91" s="57">
        <v>66.88</v>
      </c>
      <c r="BJ91" s="57">
        <v>67.239999999999995</v>
      </c>
      <c r="BK91" s="57">
        <v>103.31</v>
      </c>
      <c r="BL91" s="57">
        <v>159.119</v>
      </c>
      <c r="BM91" s="57">
        <v>162.6</v>
      </c>
      <c r="BN91" s="57">
        <v>137.19499999999999</v>
      </c>
      <c r="BO91" s="57">
        <f>103.929</f>
        <v>103.929</v>
      </c>
      <c r="BP91" s="57">
        <v>88.364000000000004</v>
      </c>
      <c r="CK91" s="57">
        <f t="shared" si="135"/>
        <v>53.869</v>
      </c>
      <c r="CL91" s="57">
        <f t="shared" si="136"/>
        <v>55.633000000000003</v>
      </c>
      <c r="CM91" s="57">
        <f t="shared" si="137"/>
        <v>63.38</v>
      </c>
      <c r="CN91" s="57">
        <f t="shared" si="138"/>
        <v>46.546999999999997</v>
      </c>
      <c r="CO91" s="57">
        <f t="shared" si="139"/>
        <v>67.239999999999995</v>
      </c>
    </row>
    <row r="92" spans="2:155" ht="14.25" customHeight="1">
      <c r="B92" s="1" t="s">
        <v>1032</v>
      </c>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v>0</v>
      </c>
      <c r="AU92" s="57">
        <v>0</v>
      </c>
      <c r="AV92" s="57">
        <v>1.056</v>
      </c>
      <c r="AW92" s="57">
        <v>0</v>
      </c>
      <c r="AX92" s="57">
        <v>0</v>
      </c>
      <c r="AY92" s="57">
        <v>0</v>
      </c>
      <c r="AZ92" s="57">
        <v>0</v>
      </c>
      <c r="BA92" s="57">
        <v>0</v>
      </c>
      <c r="BB92" s="57">
        <v>0</v>
      </c>
      <c r="BC92" s="57">
        <v>0</v>
      </c>
      <c r="BD92" s="57">
        <v>0</v>
      </c>
      <c r="BE92" s="57">
        <v>0</v>
      </c>
      <c r="BF92" s="57">
        <v>0</v>
      </c>
      <c r="BG92" s="57">
        <v>0</v>
      </c>
      <c r="BH92" s="57">
        <v>0</v>
      </c>
      <c r="BI92" s="57">
        <v>0</v>
      </c>
      <c r="BJ92" s="57">
        <v>0</v>
      </c>
      <c r="BK92" s="57">
        <v>0</v>
      </c>
      <c r="BL92" s="57">
        <v>0</v>
      </c>
      <c r="BM92" s="57">
        <v>0</v>
      </c>
      <c r="BN92" s="57">
        <v>128.32</v>
      </c>
      <c r="BO92" s="57">
        <v>127.298</v>
      </c>
      <c r="BP92" s="57">
        <v>135.494</v>
      </c>
      <c r="CK92" s="57">
        <f t="shared" si="135"/>
        <v>0</v>
      </c>
      <c r="CL92" s="57">
        <f t="shared" si="136"/>
        <v>0</v>
      </c>
      <c r="CM92" s="57">
        <f t="shared" si="137"/>
        <v>0</v>
      </c>
      <c r="CN92" s="57">
        <f t="shared" si="138"/>
        <v>0</v>
      </c>
      <c r="CO92" s="57">
        <f t="shared" si="139"/>
        <v>0</v>
      </c>
    </row>
    <row r="93" spans="2:155" ht="14.25" customHeight="1">
      <c r="B93" s="1" t="s">
        <v>1021</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v>2377.88</v>
      </c>
      <c r="AU93" s="57">
        <v>2295.4299999999998</v>
      </c>
      <c r="AV93" s="57">
        <v>2215.66</v>
      </c>
      <c r="AW93" s="57">
        <v>1948.6659999999999</v>
      </c>
      <c r="AX93" s="57">
        <v>1740.1</v>
      </c>
      <c r="AY93" s="57">
        <v>1740.778</v>
      </c>
      <c r="AZ93" s="57">
        <v>1605.95</v>
      </c>
      <c r="BA93" s="57">
        <v>1593.5</v>
      </c>
      <c r="BB93" s="57">
        <v>1624.02</v>
      </c>
      <c r="BC93" s="57">
        <v>1549.47</v>
      </c>
      <c r="BD93" s="57">
        <v>1470.67</v>
      </c>
      <c r="BE93" s="57">
        <v>1950.123</v>
      </c>
      <c r="BF93" s="57">
        <v>1727.57</v>
      </c>
      <c r="BG93" s="57">
        <v>1667.896</v>
      </c>
      <c r="BH93" s="57">
        <v>1624.22</v>
      </c>
      <c r="BI93" s="57">
        <v>1661.54</v>
      </c>
      <c r="BJ93" s="57">
        <v>1555.87</v>
      </c>
      <c r="BK93" s="57">
        <v>1807.3209999999999</v>
      </c>
      <c r="BL93" s="57">
        <v>1801.64</v>
      </c>
      <c r="BM93" s="57">
        <v>2571.5</v>
      </c>
      <c r="BN93" s="57">
        <v>2541.4490000000001</v>
      </c>
      <c r="BO93" s="57">
        <v>2514.268</v>
      </c>
      <c r="BP93" s="57">
        <v>2720.509</v>
      </c>
      <c r="CK93" s="57">
        <f t="shared" si="135"/>
        <v>2377.88</v>
      </c>
      <c r="CL93" s="57">
        <f t="shared" si="136"/>
        <v>1740.1</v>
      </c>
      <c r="CM93" s="57">
        <f t="shared" si="137"/>
        <v>1624.02</v>
      </c>
      <c r="CN93" s="57">
        <f t="shared" si="138"/>
        <v>1727.57</v>
      </c>
      <c r="CO93" s="57">
        <f t="shared" si="139"/>
        <v>1555.87</v>
      </c>
    </row>
    <row r="94" spans="2:155" ht="14.25" customHeight="1">
      <c r="B94" s="1" t="s">
        <v>1022</v>
      </c>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v>484.67</v>
      </c>
      <c r="AU94" s="57">
        <v>482.48</v>
      </c>
      <c r="AV94" s="57">
        <v>483.26900000000001</v>
      </c>
      <c r="AW94" s="57">
        <v>479.10500000000002</v>
      </c>
      <c r="AX94" s="57">
        <v>370.12</v>
      </c>
      <c r="AY94" s="57">
        <v>369.73</v>
      </c>
      <c r="AZ94" s="57">
        <v>379.93</v>
      </c>
      <c r="BA94" s="57">
        <v>387.33300000000003</v>
      </c>
      <c r="BB94" s="57">
        <v>388.88</v>
      </c>
      <c r="BC94" s="57">
        <v>388.18</v>
      </c>
      <c r="BD94" s="57">
        <v>385.11</v>
      </c>
      <c r="BE94" s="57">
        <v>389.08</v>
      </c>
      <c r="BF94" s="57">
        <v>456.08</v>
      </c>
      <c r="BG94" s="57">
        <v>456.36</v>
      </c>
      <c r="BH94" s="57">
        <v>453.02</v>
      </c>
      <c r="BI94" s="57">
        <v>445.84</v>
      </c>
      <c r="BJ94" s="57">
        <v>391.06599999999997</v>
      </c>
      <c r="BK94" s="57">
        <v>385.67</v>
      </c>
      <c r="BL94" s="57">
        <v>373.95499999999998</v>
      </c>
      <c r="BM94" s="57">
        <v>423.65</v>
      </c>
      <c r="BN94" s="57">
        <v>183.749</v>
      </c>
      <c r="BO94" s="57">
        <v>169.429</v>
      </c>
      <c r="BP94" s="57">
        <v>146.14099999999999</v>
      </c>
      <c r="CK94" s="57">
        <f t="shared" si="135"/>
        <v>484.67</v>
      </c>
      <c r="CL94" s="57">
        <f t="shared" si="136"/>
        <v>370.12</v>
      </c>
      <c r="CM94" s="57">
        <f t="shared" si="137"/>
        <v>388.88</v>
      </c>
      <c r="CN94" s="57">
        <f t="shared" si="138"/>
        <v>456.08</v>
      </c>
      <c r="CO94" s="57">
        <f t="shared" si="139"/>
        <v>391.06599999999997</v>
      </c>
    </row>
    <row r="95" spans="2:155" ht="14.25" customHeight="1">
      <c r="B95" s="1" t="s">
        <v>1023</v>
      </c>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v>74.498999999999995</v>
      </c>
      <c r="AU95" s="57">
        <v>57.118000000000002</v>
      </c>
      <c r="AV95" s="57">
        <v>51.179000000000002</v>
      </c>
      <c r="AW95" s="57">
        <v>49.843000000000004</v>
      </c>
      <c r="AX95" s="57">
        <v>45.18</v>
      </c>
      <c r="AY95" s="57">
        <v>43.42</v>
      </c>
      <c r="AZ95" s="57">
        <v>42.09</v>
      </c>
      <c r="BA95" s="57">
        <v>40.340000000000003</v>
      </c>
      <c r="BB95" s="57">
        <v>31.393999999999998</v>
      </c>
      <c r="BC95" s="57">
        <v>30.92</v>
      </c>
      <c r="BD95" s="57">
        <v>30.686</v>
      </c>
      <c r="BE95" s="57">
        <v>30.05</v>
      </c>
      <c r="BF95" s="57">
        <v>23.989000000000001</v>
      </c>
      <c r="BG95" s="57">
        <v>23.17</v>
      </c>
      <c r="BH95" s="57">
        <v>23.026</v>
      </c>
      <c r="BI95" s="57">
        <v>23.547999999999998</v>
      </c>
      <c r="BJ95" s="57">
        <v>20.18</v>
      </c>
      <c r="BK95" s="57">
        <v>20.3</v>
      </c>
      <c r="BL95" s="57">
        <v>21.484999999999999</v>
      </c>
      <c r="BM95" s="57">
        <v>32.808</v>
      </c>
      <c r="BN95" s="57">
        <v>3.536</v>
      </c>
      <c r="BO95" s="57">
        <v>3.831</v>
      </c>
      <c r="BP95" s="57">
        <v>3.802</v>
      </c>
      <c r="CK95" s="57">
        <f t="shared" si="135"/>
        <v>74.498999999999995</v>
      </c>
      <c r="CL95" s="57">
        <f t="shared" si="136"/>
        <v>45.18</v>
      </c>
      <c r="CM95" s="57">
        <f t="shared" si="137"/>
        <v>31.393999999999998</v>
      </c>
      <c r="CN95" s="57">
        <f t="shared" si="138"/>
        <v>23.989000000000001</v>
      </c>
      <c r="CO95" s="57">
        <f t="shared" si="139"/>
        <v>20.18</v>
      </c>
    </row>
    <row r="96" spans="2:155" ht="14.25" customHeight="1">
      <c r="B96" s="1" t="s">
        <v>1024</v>
      </c>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v>10.127000000000001</v>
      </c>
      <c r="AU96" s="57">
        <v>9.9870000000000001</v>
      </c>
      <c r="AV96" s="57">
        <v>10.077999999999999</v>
      </c>
      <c r="AW96" s="57">
        <v>10.077999999999999</v>
      </c>
      <c r="AX96" s="57">
        <v>8.6460000000000008</v>
      </c>
      <c r="AY96" s="57">
        <v>8.61</v>
      </c>
      <c r="AZ96" s="57">
        <v>8.5429999999999993</v>
      </c>
      <c r="BA96" s="57">
        <v>9</v>
      </c>
      <c r="BB96" s="57">
        <v>5.8</v>
      </c>
      <c r="BC96" s="57">
        <v>6.4640000000000004</v>
      </c>
      <c r="BD96" s="57">
        <v>6.53</v>
      </c>
      <c r="BE96" s="57">
        <v>6.5449999999999999</v>
      </c>
      <c r="BF96" s="57">
        <v>3.37</v>
      </c>
      <c r="BG96" s="57">
        <v>3.2879999999999998</v>
      </c>
      <c r="BH96" s="57">
        <v>3.2709999999999999</v>
      </c>
      <c r="BI96" s="57">
        <v>3.3690000000000002</v>
      </c>
      <c r="BJ96" s="57">
        <v>1.83</v>
      </c>
      <c r="BK96" s="57">
        <v>1.8959999999999999</v>
      </c>
      <c r="BL96" s="57">
        <v>1.96</v>
      </c>
      <c r="BM96" s="57">
        <v>4.5919999999999996</v>
      </c>
      <c r="BN96" s="57">
        <v>84.21</v>
      </c>
      <c r="BO96" s="57">
        <v>68.319999999999993</v>
      </c>
      <c r="BP96" s="57">
        <v>64.540000000000006</v>
      </c>
      <c r="CK96" s="57">
        <f t="shared" si="135"/>
        <v>10.127000000000001</v>
      </c>
      <c r="CL96" s="57">
        <f t="shared" si="136"/>
        <v>8.6460000000000008</v>
      </c>
      <c r="CM96" s="57">
        <f t="shared" si="137"/>
        <v>5.8</v>
      </c>
      <c r="CN96" s="57">
        <f t="shared" si="138"/>
        <v>3.37</v>
      </c>
      <c r="CO96" s="57">
        <f t="shared" si="139"/>
        <v>1.83</v>
      </c>
    </row>
    <row r="97" spans="2:155" ht="14.25" customHeight="1">
      <c r="B97" s="1" t="s">
        <v>1025</v>
      </c>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v>86.09</v>
      </c>
      <c r="AU97" s="57">
        <v>79.403000000000006</v>
      </c>
      <c r="AV97" s="57">
        <v>101.30200000000001</v>
      </c>
      <c r="AW97" s="57">
        <v>114.777</v>
      </c>
      <c r="AX97" s="57">
        <v>116.03</v>
      </c>
      <c r="AY97" s="57">
        <v>109.59</v>
      </c>
      <c r="AZ97" s="57">
        <v>104.702</v>
      </c>
      <c r="BA97" s="57">
        <v>99.6</v>
      </c>
      <c r="BB97" s="57">
        <v>120.43</v>
      </c>
      <c r="BC97" s="57">
        <v>115.83</v>
      </c>
      <c r="BD97" s="57">
        <v>112.229</v>
      </c>
      <c r="BE97" s="57">
        <v>111.81</v>
      </c>
      <c r="BF97" s="57">
        <v>111.3</v>
      </c>
      <c r="BG97" s="57">
        <v>104.37</v>
      </c>
      <c r="BH97" s="57">
        <v>102.572</v>
      </c>
      <c r="BI97" s="57">
        <v>102.938</v>
      </c>
      <c r="BJ97" s="57">
        <v>99.15</v>
      </c>
      <c r="BK97" s="57">
        <v>97.661000000000001</v>
      </c>
      <c r="BL97" s="57">
        <v>93.506</v>
      </c>
      <c r="BM97" s="57">
        <v>97.65</v>
      </c>
      <c r="BN97" s="57">
        <v>194.53200000000001</v>
      </c>
      <c r="BO97" s="57">
        <v>162.50700000000001</v>
      </c>
      <c r="BP97" s="57">
        <v>174.899</v>
      </c>
      <c r="CK97" s="57">
        <f t="shared" si="135"/>
        <v>86.09</v>
      </c>
      <c r="CL97" s="57">
        <f t="shared" si="136"/>
        <v>116.03</v>
      </c>
      <c r="CM97" s="57">
        <f t="shared" si="137"/>
        <v>120.43</v>
      </c>
      <c r="CN97" s="57">
        <f t="shared" si="138"/>
        <v>111.3</v>
      </c>
      <c r="CO97" s="57">
        <f t="shared" si="139"/>
        <v>99.15</v>
      </c>
    </row>
    <row r="98" spans="2:155" ht="14.25" customHeight="1">
      <c r="B98" s="1" t="s">
        <v>1026</v>
      </c>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v>242.78</v>
      </c>
      <c r="AU98" s="57">
        <v>219.75</v>
      </c>
      <c r="AV98" s="1">
        <v>211.94</v>
      </c>
      <c r="AW98" s="57">
        <v>217.411</v>
      </c>
      <c r="AX98" s="57">
        <v>156.76</v>
      </c>
      <c r="AY98" s="57">
        <v>149.41999999999999</v>
      </c>
      <c r="AZ98" s="57">
        <v>127.44</v>
      </c>
      <c r="BA98" s="57">
        <v>122.188</v>
      </c>
      <c r="BB98" s="57">
        <v>154.05000000000001</v>
      </c>
      <c r="BC98" s="57">
        <v>141.07</v>
      </c>
      <c r="BD98" s="57">
        <v>119.94799999999999</v>
      </c>
      <c r="BE98" s="57">
        <v>106.55500000000001</v>
      </c>
      <c r="BF98" s="57">
        <v>162.50200000000001</v>
      </c>
      <c r="BG98" s="57">
        <v>148.6</v>
      </c>
      <c r="BH98" s="57">
        <v>120.05</v>
      </c>
      <c r="BI98" s="57">
        <v>148.57</v>
      </c>
      <c r="BJ98" s="57">
        <v>102.307</v>
      </c>
      <c r="BK98" s="57">
        <v>79.364999999999995</v>
      </c>
      <c r="BL98" s="57">
        <v>123.64400000000001</v>
      </c>
      <c r="BM98" s="57">
        <v>146.83799999999999</v>
      </c>
      <c r="BN98" s="57">
        <v>52.969000000000001</v>
      </c>
      <c r="BO98" s="57">
        <v>52.161999999999999</v>
      </c>
      <c r="BP98" s="57">
        <v>51.973999999999997</v>
      </c>
      <c r="CK98" s="57">
        <f t="shared" si="135"/>
        <v>242.78</v>
      </c>
      <c r="CL98" s="57">
        <f t="shared" si="136"/>
        <v>156.76</v>
      </c>
      <c r="CM98" s="57">
        <f t="shared" si="137"/>
        <v>154.05000000000001</v>
      </c>
      <c r="CN98" s="57">
        <f t="shared" si="138"/>
        <v>162.50200000000001</v>
      </c>
      <c r="CO98" s="57">
        <f t="shared" si="139"/>
        <v>102.307</v>
      </c>
    </row>
    <row r="99" spans="2:155" s="2" customFormat="1" ht="14.25" customHeight="1">
      <c r="B99" s="2" t="s">
        <v>1027</v>
      </c>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f t="shared" ref="AT99:BP99" si="140">SUM(AT85:AT98)</f>
        <v>3816.0720000000001</v>
      </c>
      <c r="AU99" s="58">
        <f t="shared" si="140"/>
        <v>3652.2189999999996</v>
      </c>
      <c r="AV99" s="58">
        <f t="shared" si="140"/>
        <v>3600.2400000000002</v>
      </c>
      <c r="AW99" s="58">
        <f t="shared" si="140"/>
        <v>3382.09</v>
      </c>
      <c r="AX99" s="58">
        <f t="shared" si="140"/>
        <v>3116.9470000000001</v>
      </c>
      <c r="AY99" s="58">
        <f t="shared" si="140"/>
        <v>3077.7480000000005</v>
      </c>
      <c r="AZ99" s="58">
        <f t="shared" si="140"/>
        <v>2879.0970000000002</v>
      </c>
      <c r="BA99" s="58">
        <f t="shared" si="140"/>
        <v>2862.8780000000006</v>
      </c>
      <c r="BB99" s="58">
        <f t="shared" si="140"/>
        <v>2906.0650000000001</v>
      </c>
      <c r="BC99" s="58">
        <f t="shared" si="140"/>
        <v>2807.636</v>
      </c>
      <c r="BD99" s="58">
        <f t="shared" si="140"/>
        <v>2680.6130000000003</v>
      </c>
      <c r="BE99" s="58">
        <f t="shared" si="140"/>
        <v>3179.5790000000002</v>
      </c>
      <c r="BF99" s="58">
        <f t="shared" si="140"/>
        <v>3091.5459999999998</v>
      </c>
      <c r="BG99" s="58">
        <f t="shared" si="140"/>
        <v>2974.6880000000001</v>
      </c>
      <c r="BH99" s="58">
        <f t="shared" si="140"/>
        <v>2882.902</v>
      </c>
      <c r="BI99" s="58">
        <f t="shared" si="140"/>
        <v>3004.5410000000002</v>
      </c>
      <c r="BJ99" s="58">
        <f t="shared" si="140"/>
        <v>2819.7329999999993</v>
      </c>
      <c r="BK99" s="58">
        <f t="shared" si="140"/>
        <v>3065.11</v>
      </c>
      <c r="BL99" s="58">
        <f t="shared" si="140"/>
        <v>3132.3130000000001</v>
      </c>
      <c r="BM99" s="58">
        <f t="shared" si="140"/>
        <v>4050.0540000000005</v>
      </c>
      <c r="BN99" s="58">
        <f t="shared" si="140"/>
        <v>3822.471</v>
      </c>
      <c r="BO99" s="58">
        <f t="shared" si="140"/>
        <v>3698.5660000000003</v>
      </c>
      <c r="BP99" s="58">
        <f t="shared" si="140"/>
        <v>3882.2440000000001</v>
      </c>
      <c r="BQ99" s="34"/>
      <c r="BR99" s="34"/>
      <c r="CK99" s="58">
        <f t="shared" si="135"/>
        <v>3816.0720000000001</v>
      </c>
      <c r="CL99" s="58">
        <f t="shared" si="136"/>
        <v>3116.9470000000001</v>
      </c>
      <c r="CM99" s="58">
        <f t="shared" si="137"/>
        <v>2906.0650000000001</v>
      </c>
      <c r="CN99" s="58">
        <f t="shared" si="138"/>
        <v>3091.5459999999998</v>
      </c>
      <c r="CO99" s="58">
        <f t="shared" si="139"/>
        <v>2819.7329999999993</v>
      </c>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row>
    <row r="100" spans="2:155" ht="14.25" customHeight="1">
      <c r="B100" s="1" t="s">
        <v>1028</v>
      </c>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v>3336.4569999999999</v>
      </c>
      <c r="AU100" s="57">
        <v>3375.79</v>
      </c>
      <c r="AV100" s="57">
        <v>3466.1</v>
      </c>
      <c r="AW100" s="57">
        <v>3657.87</v>
      </c>
      <c r="AX100" s="57">
        <v>3754.74</v>
      </c>
      <c r="AY100" s="57">
        <v>3795.53</v>
      </c>
      <c r="AZ100" s="57">
        <v>3852.73</v>
      </c>
      <c r="BA100" s="57">
        <v>3895.16</v>
      </c>
      <c r="BB100" s="57">
        <v>4021.96</v>
      </c>
      <c r="BC100" s="57">
        <v>4110.25</v>
      </c>
      <c r="BD100" s="57">
        <v>4215.09</v>
      </c>
      <c r="BE100" s="57">
        <v>4314.0479999999998</v>
      </c>
      <c r="BF100" s="57">
        <v>4440.9880000000003</v>
      </c>
      <c r="BG100" s="57">
        <v>4503.21</v>
      </c>
      <c r="BH100" s="57">
        <v>4558.7190000000001</v>
      </c>
      <c r="BI100" s="57">
        <v>4481.7169999999996</v>
      </c>
      <c r="BJ100" s="57">
        <v>4278.1000000000004</v>
      </c>
      <c r="BK100" s="57">
        <v>4095.16</v>
      </c>
      <c r="BL100" s="57">
        <v>4242.8599999999997</v>
      </c>
      <c r="BM100" s="57">
        <v>3821.86</v>
      </c>
      <c r="BN100" s="57">
        <v>3124.768</v>
      </c>
      <c r="BO100" s="57">
        <v>3084.4360000000001</v>
      </c>
      <c r="BP100" s="57">
        <v>2904.5340000000001</v>
      </c>
      <c r="CK100" s="57">
        <f t="shared" si="135"/>
        <v>3336.4569999999999</v>
      </c>
      <c r="CL100" s="57">
        <f t="shared" si="136"/>
        <v>3754.74</v>
      </c>
      <c r="CM100" s="57">
        <f t="shared" si="137"/>
        <v>4021.96</v>
      </c>
      <c r="CN100" s="57">
        <f t="shared" si="138"/>
        <v>4440.9880000000003</v>
      </c>
      <c r="CO100" s="57">
        <f t="shared" si="139"/>
        <v>4278.1000000000004</v>
      </c>
    </row>
    <row r="101" spans="2:155" s="2" customFormat="1" ht="14.25" customHeight="1">
      <c r="B101" s="2" t="s">
        <v>1029</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f t="shared" ref="AT101:BK101" si="141">AT99+AT100</f>
        <v>7152.5290000000005</v>
      </c>
      <c r="AU101" s="58">
        <f t="shared" si="141"/>
        <v>7028.009</v>
      </c>
      <c r="AV101" s="58">
        <f t="shared" si="141"/>
        <v>7066.34</v>
      </c>
      <c r="AW101" s="58">
        <f t="shared" si="141"/>
        <v>7039.96</v>
      </c>
      <c r="AX101" s="58">
        <f t="shared" si="141"/>
        <v>6871.6869999999999</v>
      </c>
      <c r="AY101" s="58">
        <f t="shared" si="141"/>
        <v>6873.2780000000002</v>
      </c>
      <c r="AZ101" s="58">
        <f t="shared" si="141"/>
        <v>6731.8270000000002</v>
      </c>
      <c r="BA101" s="58">
        <f t="shared" si="141"/>
        <v>6758.0380000000005</v>
      </c>
      <c r="BB101" s="58">
        <f t="shared" si="141"/>
        <v>6928.0249999999996</v>
      </c>
      <c r="BC101" s="58">
        <f t="shared" si="141"/>
        <v>6917.8860000000004</v>
      </c>
      <c r="BD101" s="58">
        <f t="shared" si="141"/>
        <v>6895.7030000000004</v>
      </c>
      <c r="BE101" s="58">
        <f t="shared" si="141"/>
        <v>7493.6270000000004</v>
      </c>
      <c r="BF101" s="58">
        <f t="shared" si="141"/>
        <v>7532.5339999999997</v>
      </c>
      <c r="BG101" s="58">
        <f t="shared" si="141"/>
        <v>7477.8980000000001</v>
      </c>
      <c r="BH101" s="58">
        <f t="shared" si="141"/>
        <v>7441.6210000000001</v>
      </c>
      <c r="BI101" s="58">
        <f t="shared" si="141"/>
        <v>7486.2579999999998</v>
      </c>
      <c r="BJ101" s="58">
        <f t="shared" si="141"/>
        <v>7097.8329999999996</v>
      </c>
      <c r="BK101" s="58">
        <f t="shared" si="141"/>
        <v>7160.27</v>
      </c>
      <c r="BL101" s="58">
        <f>BL99+BL100</f>
        <v>7375.1729999999998</v>
      </c>
      <c r="BM101" s="58">
        <f>BM99+BM100</f>
        <v>7871.9140000000007</v>
      </c>
      <c r="BN101" s="58">
        <f t="shared" ref="BN101" si="142">BN99+BN100</f>
        <v>6947.2389999999996</v>
      </c>
      <c r="BO101" s="58">
        <f>BO99+BO100</f>
        <v>6783.0020000000004</v>
      </c>
      <c r="BP101" s="58">
        <f>BP99+BP100</f>
        <v>6786.7780000000002</v>
      </c>
      <c r="BQ101" s="34"/>
      <c r="BR101" s="34"/>
      <c r="CK101" s="58">
        <f t="shared" si="135"/>
        <v>7152.5290000000005</v>
      </c>
      <c r="CL101" s="58">
        <f t="shared" si="136"/>
        <v>6871.6869999999999</v>
      </c>
      <c r="CM101" s="58">
        <f t="shared" si="137"/>
        <v>6928.0249999999996</v>
      </c>
      <c r="CN101" s="58">
        <f t="shared" si="138"/>
        <v>7532.5339999999997</v>
      </c>
      <c r="CO101" s="58">
        <f t="shared" si="139"/>
        <v>7097.8329999999996</v>
      </c>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row>
    <row r="102" spans="2:155" ht="14.25" customHeight="1"/>
    <row r="103" spans="2:155" ht="14.25" customHeight="1">
      <c r="B103" s="1" t="s">
        <v>126</v>
      </c>
      <c r="AT103" s="39">
        <f t="shared" ref="AT103:BK103" si="143">SUM(AT70:AT75)/SUM(AT85:AT92)</f>
        <v>2.6339676237810776</v>
      </c>
      <c r="AU103" s="39">
        <f t="shared" si="143"/>
        <v>2.7138614036779769</v>
      </c>
      <c r="AV103" s="39">
        <f t="shared" si="143"/>
        <v>2.7281155326757927</v>
      </c>
      <c r="AW103" s="39">
        <f t="shared" si="143"/>
        <v>2.7424200921363902</v>
      </c>
      <c r="AX103" s="39">
        <f t="shared" si="143"/>
        <v>2.1012775855705907</v>
      </c>
      <c r="AY103" s="39">
        <f t="shared" si="143"/>
        <v>2.2770481560499851</v>
      </c>
      <c r="AZ103" s="39">
        <f t="shared" si="143"/>
        <v>2.2693982393085665</v>
      </c>
      <c r="BA103" s="39">
        <f t="shared" si="143"/>
        <v>2.3888089544078812</v>
      </c>
      <c r="BB103" s="39">
        <f t="shared" si="143"/>
        <v>2.4264777958730224</v>
      </c>
      <c r="BC103" s="39">
        <f t="shared" si="143"/>
        <v>2.4805020653046195</v>
      </c>
      <c r="BD103" s="39">
        <f t="shared" si="143"/>
        <v>2.6029796197609101</v>
      </c>
      <c r="BE103" s="39">
        <f t="shared" si="143"/>
        <v>3.5824866419776709</v>
      </c>
      <c r="BF103" s="39">
        <f t="shared" si="143"/>
        <v>2.3196370738460779</v>
      </c>
      <c r="BG103" s="39">
        <f t="shared" si="143"/>
        <v>2.5106531653018189</v>
      </c>
      <c r="BH103" s="39">
        <f t="shared" si="143"/>
        <v>2.5829871233226105</v>
      </c>
      <c r="BI103" s="39">
        <f t="shared" si="143"/>
        <v>2.4231336143363249</v>
      </c>
      <c r="BJ103" s="39">
        <f t="shared" si="143"/>
        <v>2.265489042551553</v>
      </c>
      <c r="BK103" s="39">
        <f t="shared" si="143"/>
        <v>2.286980028146953</v>
      </c>
      <c r="BL103" s="39">
        <f>SUM(BL70:BL75)/SUM(BL85:BL92)</f>
        <v>2.4071842406960813</v>
      </c>
      <c r="BM103" s="39">
        <f>SUM(BM70:BM75)/SUM(BM85:BM92)</f>
        <v>2.569114998913347</v>
      </c>
      <c r="BN103" s="39">
        <f t="shared" ref="BN103" si="144">SUM(BN70:BN75)/SUM(BN85:BN92)</f>
        <v>2.5436638644875638</v>
      </c>
      <c r="BO103" s="39">
        <f>SUM(BO70:BO75)/SUM(BO85:BO92)</f>
        <v>2.554319832868392</v>
      </c>
      <c r="BP103" s="39">
        <f>SUM(BP70:BP75)/SUM(BP85:BP92)</f>
        <v>2.6040126100288878</v>
      </c>
      <c r="CK103" s="57">
        <f t="shared" ref="CK103:CO103" si="145">SUM(CK70:CK75)/SUM(CK85:CK92)</f>
        <v>2.6339676237810776</v>
      </c>
      <c r="CL103" s="57">
        <f t="shared" si="145"/>
        <v>2.1012775855705907</v>
      </c>
      <c r="CM103" s="57">
        <f t="shared" si="145"/>
        <v>2.4264777958730224</v>
      </c>
      <c r="CN103" s="57">
        <f t="shared" si="145"/>
        <v>2.3196370738460779</v>
      </c>
      <c r="CO103" s="57">
        <f t="shared" si="145"/>
        <v>2.265489042551553</v>
      </c>
    </row>
    <row r="104" spans="2:155" ht="14.25" customHeight="1">
      <c r="B104" s="1" t="s">
        <v>127</v>
      </c>
      <c r="AT104" s="39">
        <f t="shared" ref="AT104:BK104" si="146">(SUM(AT70:AT75)-AT72)/SUM(AT85:AT92)</f>
        <v>1.6836615274079398</v>
      </c>
      <c r="AU104" s="39">
        <f t="shared" si="146"/>
        <v>1.7054980700756417</v>
      </c>
      <c r="AV104" s="39">
        <f t="shared" si="146"/>
        <v>1.7974229896053997</v>
      </c>
      <c r="AW104" s="39">
        <f t="shared" si="146"/>
        <v>1.8809270557265079</v>
      </c>
      <c r="AX104" s="39">
        <f t="shared" si="146"/>
        <v>1.3989804605424705</v>
      </c>
      <c r="AY104" s="39">
        <f t="shared" si="146"/>
        <v>1.5281575739103934</v>
      </c>
      <c r="AZ104" s="39">
        <f t="shared" si="146"/>
        <v>1.4330698084338889</v>
      </c>
      <c r="BA104" s="39">
        <f t="shared" si="146"/>
        <v>1.5211297115647453</v>
      </c>
      <c r="BB104" s="39">
        <f t="shared" si="146"/>
        <v>1.4316094316163102</v>
      </c>
      <c r="BC104" s="39">
        <f t="shared" si="146"/>
        <v>1.4138043640633522</v>
      </c>
      <c r="BD104" s="39">
        <f t="shared" si="146"/>
        <v>1.4659441163762061</v>
      </c>
      <c r="BE104" s="39">
        <f t="shared" si="146"/>
        <v>2.5147416537983247</v>
      </c>
      <c r="BF104" s="39">
        <f t="shared" si="146"/>
        <v>1.2875291519361829</v>
      </c>
      <c r="BG104" s="39">
        <f t="shared" si="146"/>
        <v>1.4110811833192058</v>
      </c>
      <c r="BH104" s="39">
        <f t="shared" si="146"/>
        <v>1.4390122552057234</v>
      </c>
      <c r="BI104" s="39">
        <f t="shared" si="146"/>
        <v>1.3888799100100855</v>
      </c>
      <c r="BJ104" s="39">
        <f t="shared" si="146"/>
        <v>1.3412594520505752</v>
      </c>
      <c r="BK104" s="39">
        <f t="shared" si="146"/>
        <v>1.329968776796449</v>
      </c>
      <c r="BL104" s="39">
        <f>(SUM(BL70:BL75)-BL72)/SUM(BL85:BL92)</f>
        <v>1.4385238290070279</v>
      </c>
      <c r="BM104" s="39">
        <f>(SUM(BM70:BM75)-BM72)/SUM(BM85:BM92)</f>
        <v>1.531025231043083</v>
      </c>
      <c r="BN104" s="39">
        <f t="shared" ref="BN104" si="147">(SUM(BN70:BN75)-BN72)/SUM(BN85:BN92)</f>
        <v>2.0129798720778558</v>
      </c>
      <c r="BO104" s="39">
        <f>(SUM(BO70:BO75)-BO72)/SUM(BO85:BO92)</f>
        <v>2.0311943289531333</v>
      </c>
      <c r="BP104" s="39">
        <f>(SUM(BP70:BP75)-BP72)/SUM(BP85:BP92)</f>
        <v>2.1155030893460252</v>
      </c>
      <c r="CK104" s="57">
        <f t="shared" ref="CK104:CO104" si="148">(SUM(CK70:CK75)-CK72)/SUM(CK85:CK92)</f>
        <v>1.6836615274079398</v>
      </c>
      <c r="CL104" s="57">
        <f t="shared" si="148"/>
        <v>1.3989804605424705</v>
      </c>
      <c r="CM104" s="57">
        <f t="shared" si="148"/>
        <v>1.4316094316163102</v>
      </c>
      <c r="CN104" s="57">
        <f t="shared" si="148"/>
        <v>1.2875291519361829</v>
      </c>
      <c r="CO104" s="57">
        <f t="shared" si="148"/>
        <v>1.3412594520505752</v>
      </c>
    </row>
    <row r="105" spans="2:155" ht="14.25" customHeight="1">
      <c r="B105" s="1" t="s">
        <v>128</v>
      </c>
      <c r="AT105" s="39">
        <f t="shared" ref="AT105:BK105" si="149">AT70/SUM(AT85:AT92)</f>
        <v>0.69604056101002554</v>
      </c>
      <c r="AU105" s="39">
        <f t="shared" si="149"/>
        <v>0.63897128437893047</v>
      </c>
      <c r="AV105" s="39">
        <f t="shared" si="149"/>
        <v>0.68673454666939993</v>
      </c>
      <c r="AW105" s="39">
        <f t="shared" si="149"/>
        <v>0.85583678696572452</v>
      </c>
      <c r="AX105" s="39">
        <f t="shared" si="149"/>
        <v>0.65442258690125577</v>
      </c>
      <c r="AY105" s="39">
        <f t="shared" si="149"/>
        <v>0.71114903992685163</v>
      </c>
      <c r="AZ105" s="39">
        <f t="shared" si="149"/>
        <v>0.50475065608198644</v>
      </c>
      <c r="BA105" s="39">
        <f t="shared" si="149"/>
        <v>0.65025199822561808</v>
      </c>
      <c r="BB105" s="39">
        <f t="shared" si="149"/>
        <v>0.50220897657917318</v>
      </c>
      <c r="BC105" s="39">
        <f t="shared" si="149"/>
        <v>0.4587963911884968</v>
      </c>
      <c r="BD105" s="39">
        <f t="shared" si="149"/>
        <v>0.45156272504680972</v>
      </c>
      <c r="BE105" s="39">
        <f t="shared" si="149"/>
        <v>1.5057497574374461</v>
      </c>
      <c r="BF105" s="39">
        <f t="shared" si="149"/>
        <v>0.36729049749890813</v>
      </c>
      <c r="BG105" s="39">
        <f t="shared" si="149"/>
        <v>0.41579393489362593</v>
      </c>
      <c r="BH105" s="39">
        <f t="shared" si="149"/>
        <v>0.42849214089804455</v>
      </c>
      <c r="BI105" s="39">
        <f t="shared" si="149"/>
        <v>0.39312404644307103</v>
      </c>
      <c r="BJ105" s="39">
        <f t="shared" si="149"/>
        <v>0.44689141114687436</v>
      </c>
      <c r="BK105" s="39">
        <f t="shared" si="149"/>
        <v>0.42223698426356493</v>
      </c>
      <c r="BL105" s="39">
        <f>BL70/SUM(BL85:BL92)</f>
        <v>0.3542547858398627</v>
      </c>
      <c r="BM105" s="39">
        <f>BM70/SUM(BM85:BM92)</f>
        <v>0.45794265577944054</v>
      </c>
      <c r="BN105" s="39">
        <f t="shared" ref="BN105" si="150">BN70/SUM(BN85:BN92)</f>
        <v>0.49678619889610082</v>
      </c>
      <c r="BO105" s="39">
        <f>BO70/SUM(BO85:BO92)</f>
        <v>0.42498650502919449</v>
      </c>
      <c r="BP105" s="39">
        <f>BP70/SUM(BP85:BP92)</f>
        <v>0.41666817050469263</v>
      </c>
      <c r="CK105" s="57">
        <f t="shared" ref="CK105:CO105" si="151">CK70/SUM(CK85:CK92)</f>
        <v>0.69604056101002554</v>
      </c>
      <c r="CL105" s="57">
        <f t="shared" si="151"/>
        <v>0.65442258690125577</v>
      </c>
      <c r="CM105" s="57">
        <f t="shared" si="151"/>
        <v>0.50220897657917318</v>
      </c>
      <c r="CN105" s="57">
        <f t="shared" si="151"/>
        <v>0.36729049749890813</v>
      </c>
      <c r="CO105" s="57">
        <f t="shared" si="151"/>
        <v>0.44689141114687436</v>
      </c>
    </row>
    <row r="106" spans="2:155" ht="14.25" customHeight="1">
      <c r="B106" s="1" t="s">
        <v>129</v>
      </c>
      <c r="AT106" s="39">
        <f t="shared" ref="AT106:BK106" si="152">AT44/AT83</f>
        <v>9.1116658795330444E-2</v>
      </c>
      <c r="AU106" s="39">
        <f t="shared" si="152"/>
        <v>9.0196654837315732E-2</v>
      </c>
      <c r="AV106" s="39">
        <f t="shared" si="152"/>
        <v>0.10096315773087625</v>
      </c>
      <c r="AW106" s="39">
        <f t="shared" si="152"/>
        <v>9.9464079673422273E-2</v>
      </c>
      <c r="AX106" s="39">
        <f t="shared" si="152"/>
        <v>0.11088731036682691</v>
      </c>
      <c r="AY106" s="39">
        <f t="shared" si="152"/>
        <v>9.3359630290696202E-2</v>
      </c>
      <c r="AZ106" s="39">
        <f t="shared" si="152"/>
        <v>0.10465430648129855</v>
      </c>
      <c r="BA106" s="39">
        <f t="shared" si="152"/>
        <v>0.10161805765901687</v>
      </c>
      <c r="BB106" s="39">
        <f t="shared" si="152"/>
        <v>0.10942224232730659</v>
      </c>
      <c r="BC106" s="39">
        <f t="shared" si="152"/>
        <v>0.10276256239439514</v>
      </c>
      <c r="BD106" s="39">
        <f t="shared" si="152"/>
        <v>0.10778199536669458</v>
      </c>
      <c r="BE106" s="39">
        <f t="shared" si="152"/>
        <v>9.9601472938085495E-2</v>
      </c>
      <c r="BF106" s="39">
        <f t="shared" si="152"/>
        <v>0.10275125319763037</v>
      </c>
      <c r="BG106" s="39">
        <f t="shared" si="152"/>
        <v>9.8667581717718611E-2</v>
      </c>
      <c r="BH106" s="39">
        <f t="shared" si="152"/>
        <v>0.10073921020383948</v>
      </c>
      <c r="BI106" s="39">
        <f t="shared" si="152"/>
        <v>0.10209994238773387</v>
      </c>
      <c r="BJ106" s="39">
        <f t="shared" si="152"/>
        <v>0.11207276950855814</v>
      </c>
      <c r="BK106" s="39">
        <f t="shared" si="152"/>
        <v>9.7821273753822977E-2</v>
      </c>
      <c r="BL106" s="39">
        <f>BL44/BL83</f>
        <v>0.10587493700180238</v>
      </c>
      <c r="BM106" s="39">
        <f>BM44/BM83</f>
        <v>0.11598077619809583</v>
      </c>
      <c r="BN106" s="39">
        <f t="shared" ref="BN106" si="153">BN44/BN83</f>
        <v>7.1971037702891746E-2</v>
      </c>
      <c r="BO106" s="39">
        <f>BO44/BO83</f>
        <v>8.0828665537766312E-2</v>
      </c>
      <c r="BP106" s="39">
        <f>BP44/BP83</f>
        <v>8.4035753048059034E-2</v>
      </c>
      <c r="CK106" s="39">
        <f t="shared" ref="CK106:CO106" si="154">CK44/CK83</f>
        <v>0.3464010097680067</v>
      </c>
      <c r="CL106" s="39">
        <f t="shared" si="154"/>
        <v>0.40885965719048945</v>
      </c>
      <c r="CM106" s="39">
        <f t="shared" si="154"/>
        <v>0.40285893144716339</v>
      </c>
      <c r="CN106" s="39">
        <f t="shared" si="154"/>
        <v>0.39488519861385235</v>
      </c>
      <c r="CO106" s="39">
        <f t="shared" si="154"/>
        <v>0.42933029464871408</v>
      </c>
    </row>
    <row r="107" spans="2:155" ht="14.25" customHeight="1">
      <c r="B107" s="1" t="s">
        <v>130</v>
      </c>
      <c r="AT107" s="39">
        <f t="shared" ref="AT107:BK107" si="155">AT45/(AVERAGE(AQ72:AT72))</f>
        <v>0.63840877647654859</v>
      </c>
      <c r="AU107" s="39">
        <f t="shared" si="155"/>
        <v>0.56440920925606297</v>
      </c>
      <c r="AV107" s="39">
        <f t="shared" si="155"/>
        <v>0.62525217873188232</v>
      </c>
      <c r="AW107" s="39">
        <f t="shared" si="155"/>
        <v>0.62488738232014918</v>
      </c>
      <c r="AX107" s="39">
        <f t="shared" si="155"/>
        <v>0.69670260310091725</v>
      </c>
      <c r="AY107" s="39">
        <f t="shared" si="155"/>
        <v>0.60807675250629989</v>
      </c>
      <c r="AZ107" s="39">
        <f t="shared" si="155"/>
        <v>0.64301411657837437</v>
      </c>
      <c r="BA107" s="39">
        <f t="shared" si="155"/>
        <v>0.62265484118801484</v>
      </c>
      <c r="BB107" s="39">
        <f t="shared" si="155"/>
        <v>0.63666769484003816</v>
      </c>
      <c r="BC107" s="39">
        <f t="shared" si="155"/>
        <v>0.57235817208985962</v>
      </c>
      <c r="BD107" s="39">
        <f t="shared" si="155"/>
        <v>0.56992611634657786</v>
      </c>
      <c r="BE107" s="39">
        <f t="shared" si="155"/>
        <v>0.5390576738796613</v>
      </c>
      <c r="BF107" s="39">
        <f t="shared" si="155"/>
        <v>0.54866064384251789</v>
      </c>
      <c r="BG107" s="39">
        <f t="shared" si="155"/>
        <v>0.51254905990585908</v>
      </c>
      <c r="BH107" s="39">
        <f t="shared" si="155"/>
        <v>0.52976668596940202</v>
      </c>
      <c r="BI107" s="39">
        <f t="shared" si="155"/>
        <v>0.52819504161750774</v>
      </c>
      <c r="BJ107" s="39">
        <f t="shared" si="155"/>
        <v>0.56769268849657883</v>
      </c>
      <c r="BK107" s="39">
        <f t="shared" si="155"/>
        <v>0.49383362489240079</v>
      </c>
      <c r="BL107" s="39">
        <f>BL45/(AVERAGE(BI72:BL72))</f>
        <v>0.54281358259850798</v>
      </c>
      <c r="BM107" s="39">
        <f>BM45/(AVERAGE(BJ72:BM72))</f>
        <v>0.67347385630455736</v>
      </c>
      <c r="BN107" s="39">
        <f t="shared" ref="BN107" si="156">BN45/(AVERAGE(BK72:BN72))</f>
        <v>0.35370337256165735</v>
      </c>
      <c r="BO107" s="39">
        <f>BO45/(AVERAGE(BL72:BO72))</f>
        <v>0.42226075613352532</v>
      </c>
      <c r="BP107" s="39">
        <f>BP45/(AVERAGE(BM72:BP72))</f>
        <v>0.4921046716174442</v>
      </c>
      <c r="CK107" s="39">
        <f t="shared" ref="CK107:CO107" si="157">CK45/(AVERAGE(CH72:CK72))</f>
        <v>2.3622440031956971</v>
      </c>
      <c r="CL107" s="39">
        <f t="shared" si="157"/>
        <v>2.5432435432919873</v>
      </c>
      <c r="CM107" s="39">
        <f t="shared" si="157"/>
        <v>2.4085648907787172</v>
      </c>
      <c r="CN107" s="39">
        <f t="shared" si="157"/>
        <v>2.4186161755147793</v>
      </c>
      <c r="CO107" s="39">
        <f t="shared" si="157"/>
        <v>2.3564409617028401</v>
      </c>
    </row>
    <row r="108" spans="2:155" ht="14.25" customHeight="1">
      <c r="B108" s="1" t="s">
        <v>131</v>
      </c>
      <c r="AT108" s="108">
        <f t="shared" ref="AT108:BK108" si="158">AT59/AT101</f>
        <v>2.3936987882188319E-3</v>
      </c>
      <c r="AU108" s="108">
        <f t="shared" si="158"/>
        <v>1.0650384767577851E-2</v>
      </c>
      <c r="AV108" s="108">
        <f t="shared" si="158"/>
        <v>1.1798752961221799E-2</v>
      </c>
      <c r="AW108" s="108">
        <f t="shared" si="158"/>
        <v>2.8290785743100812E-2</v>
      </c>
      <c r="AX108" s="108">
        <f t="shared" si="158"/>
        <v>2.2314607752070215E-2</v>
      </c>
      <c r="AY108" s="108">
        <f t="shared" si="158"/>
        <v>1.1219391969886841E-2</v>
      </c>
      <c r="AZ108" s="108">
        <f t="shared" si="158"/>
        <v>1.5670485887412138E-2</v>
      </c>
      <c r="BA108" s="108">
        <f t="shared" si="158"/>
        <v>1.5032765426888675E-2</v>
      </c>
      <c r="BB108" s="108">
        <f t="shared" si="158"/>
        <v>1.1321841361715646E-2</v>
      </c>
      <c r="BC108" s="108">
        <f t="shared" si="158"/>
        <v>1.108994857677619E-2</v>
      </c>
      <c r="BD108" s="108">
        <f t="shared" si="158"/>
        <v>1.6144111775115606E-2</v>
      </c>
      <c r="BE108" s="108">
        <f t="shared" si="158"/>
        <v>1.8299816630851781E-2</v>
      </c>
      <c r="BF108" s="108">
        <f t="shared" si="158"/>
        <v>3.9829889914867909E-3</v>
      </c>
      <c r="BG108" s="108">
        <f t="shared" si="158"/>
        <v>2.0420176899979135E-3</v>
      </c>
      <c r="BH108" s="108">
        <f t="shared" si="158"/>
        <v>1.0768755893373234E-2</v>
      </c>
      <c r="BI108" s="108">
        <f t="shared" si="158"/>
        <v>1.4812340157125214E-2</v>
      </c>
      <c r="BJ108" s="108">
        <f t="shared" si="158"/>
        <v>-1.9244746953048928E-2</v>
      </c>
      <c r="BK108" s="108">
        <f t="shared" si="158"/>
        <v>1.3276594318370675E-2</v>
      </c>
      <c r="BL108" s="108">
        <f>BL59/BL101</f>
        <v>1.6610457815701397E-2</v>
      </c>
      <c r="BM108" s="108">
        <f>BM59/BM101</f>
        <v>-5.1942894701339476E-2</v>
      </c>
      <c r="BN108" s="108">
        <f t="shared" ref="BN108" si="159">BN59/BN101</f>
        <v>5.2781399920169732E-2</v>
      </c>
      <c r="BO108" s="108">
        <f>BO59/BO101</f>
        <v>-1.2022700273418905E-3</v>
      </c>
      <c r="BP108" s="108">
        <f>BP59/BP101</f>
        <v>6.1534354004212331E-3</v>
      </c>
      <c r="CK108" s="59">
        <f t="shared" ref="CK108:CO108" si="160">CK59/CK101</f>
        <v>3.8628015349535798E-2</v>
      </c>
      <c r="CL108" s="59">
        <f t="shared" si="160"/>
        <v>7.4323815971245516E-2</v>
      </c>
      <c r="CM108" s="59">
        <f t="shared" si="160"/>
        <v>5.234320026270111E-2</v>
      </c>
      <c r="CN108" s="59">
        <f t="shared" si="160"/>
        <v>4.7152525298923297E-2</v>
      </c>
      <c r="CO108" s="59">
        <f t="shared" si="160"/>
        <v>9.8198985521355357E-3</v>
      </c>
    </row>
    <row r="109" spans="2:155" ht="14.25" customHeight="1">
      <c r="B109" s="1" t="s">
        <v>132</v>
      </c>
      <c r="AT109" s="108">
        <f t="shared" ref="AT109:BK109" si="161">AT59/AT100</f>
        <v>5.1314912795219769E-3</v>
      </c>
      <c r="AU109" s="108">
        <f t="shared" si="161"/>
        <v>2.2172883976787669E-2</v>
      </c>
      <c r="AV109" s="108">
        <f t="shared" si="161"/>
        <v>2.4054124231845605E-2</v>
      </c>
      <c r="AW109" s="108">
        <f t="shared" si="161"/>
        <v>5.4448627206543698E-2</v>
      </c>
      <c r="AX109" s="108">
        <f t="shared" si="161"/>
        <v>4.0838779782355138E-2</v>
      </c>
      <c r="AY109" s="108">
        <f t="shared" si="161"/>
        <v>2.0317057169881383E-2</v>
      </c>
      <c r="AZ109" s="108">
        <f t="shared" si="161"/>
        <v>2.7380844232531214E-2</v>
      </c>
      <c r="BA109" s="108">
        <f t="shared" si="161"/>
        <v>2.6081598701978841E-2</v>
      </c>
      <c r="BB109" s="108">
        <f t="shared" si="161"/>
        <v>1.9502431650240189E-2</v>
      </c>
      <c r="BC109" s="108">
        <f t="shared" si="161"/>
        <v>1.8665287999513395E-2</v>
      </c>
      <c r="BD109" s="108">
        <f t="shared" si="161"/>
        <v>2.6411061211029898E-2</v>
      </c>
      <c r="BE109" s="108">
        <f t="shared" si="161"/>
        <v>3.1787314373878071E-2</v>
      </c>
      <c r="BF109" s="108">
        <f t="shared" si="161"/>
        <v>6.755703910931523E-3</v>
      </c>
      <c r="BG109" s="108">
        <f t="shared" si="161"/>
        <v>3.3909144810035552E-3</v>
      </c>
      <c r="BH109" s="108">
        <f t="shared" si="161"/>
        <v>1.7578841775507555E-2</v>
      </c>
      <c r="BI109" s="108">
        <f t="shared" si="161"/>
        <v>2.4742526134514938E-2</v>
      </c>
      <c r="BJ109" s="108">
        <f t="shared" si="161"/>
        <v>-3.1929127416376456E-2</v>
      </c>
      <c r="BK109" s="108">
        <f t="shared" si="161"/>
        <v>2.3213745006300118E-2</v>
      </c>
      <c r="BL109" s="108">
        <f>BL59/BL100</f>
        <v>2.8873212879991308E-2</v>
      </c>
      <c r="BM109" s="108">
        <f>BM59/BM100</f>
        <v>-0.10698717378449239</v>
      </c>
      <c r="BN109" s="108">
        <f t="shared" ref="BN109" si="162">BN59/BN100</f>
        <v>0.11734791190898013</v>
      </c>
      <c r="BO109" s="108">
        <f>BO59/BO100</f>
        <v>-2.6439193421423229E-3</v>
      </c>
      <c r="BP109" s="108">
        <f>BP59/BP100</f>
        <v>1.4378210067432508E-2</v>
      </c>
      <c r="CK109" s="59">
        <f t="shared" ref="CK109:CO109" si="163">CK59/CK100</f>
        <v>8.28087998736384E-2</v>
      </c>
      <c r="CL109" s="59">
        <f t="shared" si="163"/>
        <v>0.13602273393097797</v>
      </c>
      <c r="CM109" s="59">
        <f t="shared" si="163"/>
        <v>9.0163751006971674E-2</v>
      </c>
      <c r="CN109" s="59">
        <f t="shared" si="163"/>
        <v>7.9977248306007553E-2</v>
      </c>
      <c r="CO109" s="59">
        <f t="shared" si="163"/>
        <v>1.629227928285917E-2</v>
      </c>
    </row>
    <row r="110" spans="2:155" ht="14.25" customHeight="1"/>
    <row r="111" spans="2:155">
      <c r="B111" s="1" t="s">
        <v>133</v>
      </c>
      <c r="C111" s="57">
        <f>C59</f>
        <v>33.600000000000009</v>
      </c>
      <c r="D111" s="57">
        <f t="shared" ref="D111:BO111" si="164">D59</f>
        <v>32.399999999999991</v>
      </c>
      <c r="E111" s="57">
        <f t="shared" si="164"/>
        <v>10.999999999999982</v>
      </c>
      <c r="F111" s="57">
        <f t="shared" si="164"/>
        <v>10.899999999999983</v>
      </c>
      <c r="G111" s="57">
        <f t="shared" si="164"/>
        <v>14.200000000000001</v>
      </c>
      <c r="H111" s="57">
        <f t="shared" si="164"/>
        <v>31.199999999999982</v>
      </c>
      <c r="I111" s="57">
        <f t="shared" si="164"/>
        <v>32.900000000000006</v>
      </c>
      <c r="J111" s="57">
        <f t="shared" si="164"/>
        <v>40.600000000000023</v>
      </c>
      <c r="K111" s="57">
        <f t="shared" si="164"/>
        <v>-284.09999999999991</v>
      </c>
      <c r="L111" s="57">
        <f t="shared" si="164"/>
        <v>47.300000000000011</v>
      </c>
      <c r="M111" s="57">
        <f t="shared" si="164"/>
        <v>24.500000000000036</v>
      </c>
      <c r="N111" s="57">
        <f t="shared" si="164"/>
        <v>30.500000000000007</v>
      </c>
      <c r="O111" s="57">
        <f t="shared" si="164"/>
        <v>27.699999999999978</v>
      </c>
      <c r="P111" s="57">
        <f t="shared" si="164"/>
        <v>43.400000000000041</v>
      </c>
      <c r="Q111" s="57">
        <f t="shared" si="164"/>
        <v>45.699999999999996</v>
      </c>
      <c r="R111" s="57">
        <f t="shared" si="164"/>
        <v>35.29999999999999</v>
      </c>
      <c r="S111" s="57">
        <f t="shared" si="164"/>
        <v>35.299999999999997</v>
      </c>
      <c r="T111" s="57">
        <f t="shared" si="164"/>
        <v>48.900000000000013</v>
      </c>
      <c r="U111" s="57">
        <f t="shared" si="164"/>
        <v>55.199999999999974</v>
      </c>
      <c r="V111" s="57">
        <f t="shared" si="164"/>
        <v>52.199999999999989</v>
      </c>
      <c r="W111" s="57">
        <f t="shared" si="164"/>
        <v>39.299999999999969</v>
      </c>
      <c r="X111" s="57">
        <f t="shared" si="164"/>
        <v>45.2</v>
      </c>
      <c r="Y111" s="57">
        <f t="shared" si="164"/>
        <v>61.599999999999994</v>
      </c>
      <c r="Z111" s="57">
        <f t="shared" si="164"/>
        <v>90.700000000000017</v>
      </c>
      <c r="AA111" s="57">
        <f t="shared" si="164"/>
        <v>51.199999999999967</v>
      </c>
      <c r="AB111" s="57">
        <f t="shared" si="164"/>
        <v>59.400000000000034</v>
      </c>
      <c r="AC111" s="57">
        <f t="shared" si="164"/>
        <v>66.200000000000031</v>
      </c>
      <c r="AD111" s="57">
        <f t="shared" si="164"/>
        <v>60.9</v>
      </c>
      <c r="AE111" s="57">
        <f t="shared" si="164"/>
        <v>40.399999999999984</v>
      </c>
      <c r="AF111" s="57">
        <f t="shared" si="164"/>
        <v>78.40000000000002</v>
      </c>
      <c r="AG111" s="57">
        <f t="shared" si="164"/>
        <v>79.400000000000034</v>
      </c>
      <c r="AH111" s="57">
        <f t="shared" si="164"/>
        <v>-42.799999999999969</v>
      </c>
      <c r="AI111" s="57">
        <f t="shared" si="164"/>
        <v>54.900000000000034</v>
      </c>
      <c r="AJ111" s="57">
        <f t="shared" si="164"/>
        <v>-2.6000000000000565</v>
      </c>
      <c r="AK111" s="57">
        <f t="shared" si="164"/>
        <v>56.500000000000021</v>
      </c>
      <c r="AL111" s="57">
        <f t="shared" si="164"/>
        <v>87.500000000000043</v>
      </c>
      <c r="AM111" s="57">
        <f t="shared" si="164"/>
        <v>41.79999999999999</v>
      </c>
      <c r="AN111" s="57">
        <f t="shared" si="164"/>
        <v>83.399999999999977</v>
      </c>
      <c r="AO111" s="57">
        <f t="shared" si="164"/>
        <v>228.89999999999998</v>
      </c>
      <c r="AP111" s="57">
        <f t="shared" si="164"/>
        <v>107.80000000000001</v>
      </c>
      <c r="AQ111" s="57">
        <f t="shared" si="164"/>
        <v>131.13099999999997</v>
      </c>
      <c r="AR111" s="57">
        <f t="shared" si="164"/>
        <v>11.457999999999956</v>
      </c>
      <c r="AS111" s="57">
        <f t="shared" si="164"/>
        <v>116.578</v>
      </c>
      <c r="AT111" s="57">
        <f t="shared" si="164"/>
        <v>17.121000000000056</v>
      </c>
      <c r="AU111" s="57">
        <f t="shared" si="164"/>
        <v>74.851000000000042</v>
      </c>
      <c r="AV111" s="57">
        <f t="shared" si="164"/>
        <v>83.374000000000052</v>
      </c>
      <c r="AW111" s="57">
        <f t="shared" si="164"/>
        <v>199.166</v>
      </c>
      <c r="AX111" s="57">
        <f t="shared" si="164"/>
        <v>153.33900000000011</v>
      </c>
      <c r="AY111" s="57">
        <f t="shared" si="164"/>
        <v>77.113999999999891</v>
      </c>
      <c r="AZ111" s="57">
        <f t="shared" si="164"/>
        <v>105.49099999999999</v>
      </c>
      <c r="BA111" s="57">
        <f t="shared" si="164"/>
        <v>101.5919999999999</v>
      </c>
      <c r="BB111" s="57">
        <f t="shared" si="164"/>
        <v>78.438000000000031</v>
      </c>
      <c r="BC111" s="57">
        <f t="shared" si="164"/>
        <v>76.718999999999937</v>
      </c>
      <c r="BD111" s="57">
        <f t="shared" si="164"/>
        <v>111.32500000000002</v>
      </c>
      <c r="BE111" s="57">
        <f t="shared" si="164"/>
        <v>137.13199999999995</v>
      </c>
      <c r="BF111" s="57">
        <f t="shared" si="164"/>
        <v>30.001999999999963</v>
      </c>
      <c r="BG111" s="57">
        <f t="shared" si="164"/>
        <v>15.270000000000019</v>
      </c>
      <c r="BH111" s="57">
        <f t="shared" si="164"/>
        <v>80.137000000000029</v>
      </c>
      <c r="BI111" s="57">
        <f t="shared" si="164"/>
        <v>110.88899999999988</v>
      </c>
      <c r="BJ111" s="57">
        <f t="shared" si="164"/>
        <v>-136.59600000000012</v>
      </c>
      <c r="BK111" s="57">
        <f t="shared" si="164"/>
        <v>95.063999999999993</v>
      </c>
      <c r="BL111" s="57">
        <f t="shared" si="164"/>
        <v>122.50499999999991</v>
      </c>
      <c r="BM111" s="57">
        <f t="shared" si="164"/>
        <v>-408.8900000000001</v>
      </c>
      <c r="BN111" s="57">
        <f t="shared" si="164"/>
        <v>366.685</v>
      </c>
      <c r="BO111" s="57">
        <f t="shared" si="164"/>
        <v>-8.1550000000000988</v>
      </c>
      <c r="BP111" s="57">
        <f t="shared" ref="BP111" si="165">BP59</f>
        <v>41.762000000000015</v>
      </c>
      <c r="CA111" s="57">
        <f>CA59</f>
        <v>87.899999999999963</v>
      </c>
      <c r="CB111" s="57">
        <f t="shared" ref="CB111:CO111" si="166">CB59</f>
        <v>118.9</v>
      </c>
      <c r="CC111" s="57">
        <f t="shared" si="166"/>
        <v>-181.79999999999987</v>
      </c>
      <c r="CD111" s="57">
        <f t="shared" si="166"/>
        <v>152.1</v>
      </c>
      <c r="CE111" s="57">
        <f t="shared" si="166"/>
        <v>191.59999999999997</v>
      </c>
      <c r="CF111" s="57">
        <f t="shared" si="166"/>
        <v>236.79999999999998</v>
      </c>
      <c r="CG111" s="57">
        <f t="shared" si="166"/>
        <v>237.70000000000002</v>
      </c>
      <c r="CH111" s="57">
        <f t="shared" si="166"/>
        <v>155.40000000000009</v>
      </c>
      <c r="CI111" s="57">
        <f t="shared" si="166"/>
        <v>196.30000000000004</v>
      </c>
      <c r="CJ111" s="57">
        <f t="shared" si="166"/>
        <v>461.89999999999992</v>
      </c>
      <c r="CK111" s="57">
        <f t="shared" si="166"/>
        <v>276.28799999999995</v>
      </c>
      <c r="CL111" s="57">
        <f t="shared" si="166"/>
        <v>510.73000000000019</v>
      </c>
      <c r="CM111" s="57">
        <f t="shared" si="166"/>
        <v>362.63499999999982</v>
      </c>
      <c r="CN111" s="57">
        <f t="shared" si="166"/>
        <v>355.17799999999988</v>
      </c>
      <c r="CO111" s="57">
        <f t="shared" si="166"/>
        <v>69.699999999999818</v>
      </c>
    </row>
    <row r="112" spans="2:155" s="2" customFormat="1" ht="15">
      <c r="B112" s="2" t="s">
        <v>134</v>
      </c>
      <c r="C112" s="58">
        <v>34.4</v>
      </c>
      <c r="D112" s="58">
        <v>45.4</v>
      </c>
      <c r="E112" s="58">
        <v>24.1</v>
      </c>
      <c r="F112" s="58">
        <v>40</v>
      </c>
      <c r="G112" s="58">
        <v>7.3</v>
      </c>
      <c r="H112" s="58">
        <v>30.5</v>
      </c>
      <c r="I112" s="58">
        <v>22.4</v>
      </c>
      <c r="J112" s="58">
        <v>34.1</v>
      </c>
      <c r="K112" s="58">
        <v>26.3</v>
      </c>
      <c r="L112" s="58">
        <v>62.9</v>
      </c>
      <c r="M112" s="58">
        <v>49.9</v>
      </c>
      <c r="N112" s="58">
        <v>55.5</v>
      </c>
      <c r="O112" s="58">
        <v>5.3</v>
      </c>
      <c r="P112" s="58">
        <v>51</v>
      </c>
      <c r="Q112" s="58">
        <v>79.599999999999994</v>
      </c>
      <c r="R112" s="58">
        <v>95.4</v>
      </c>
      <c r="S112" s="58">
        <v>41.9</v>
      </c>
      <c r="T112" s="58">
        <v>78.2</v>
      </c>
      <c r="U112" s="58">
        <v>88.6</v>
      </c>
      <c r="V112" s="58">
        <v>81.400000000000006</v>
      </c>
      <c r="W112" s="58">
        <v>42.4</v>
      </c>
      <c r="X112" s="58">
        <v>67.2</v>
      </c>
      <c r="Y112" s="58">
        <v>67.2</v>
      </c>
      <c r="Z112" s="58">
        <v>126.7</v>
      </c>
      <c r="AA112" s="58">
        <v>66.8</v>
      </c>
      <c r="AB112" s="58">
        <v>114.7</v>
      </c>
      <c r="AC112" s="58">
        <v>120.1</v>
      </c>
      <c r="AD112" s="58">
        <v>109</v>
      </c>
      <c r="AE112" s="58">
        <v>90.9</v>
      </c>
      <c r="AF112" s="58">
        <v>106.8</v>
      </c>
      <c r="AG112" s="58">
        <v>122</v>
      </c>
      <c r="AH112" s="58">
        <v>106.6</v>
      </c>
      <c r="AI112" s="58">
        <v>86.8</v>
      </c>
      <c r="AJ112" s="58">
        <v>94.7</v>
      </c>
      <c r="AK112" s="58">
        <v>121.4</v>
      </c>
      <c r="AL112" s="58">
        <v>132.1</v>
      </c>
      <c r="AM112" s="58">
        <v>60.2</v>
      </c>
      <c r="AN112" s="58">
        <v>97.1</v>
      </c>
      <c r="AO112" s="58">
        <v>131.9</v>
      </c>
      <c r="AP112" s="58">
        <v>147.9</v>
      </c>
      <c r="AQ112" s="58">
        <v>-11.5</v>
      </c>
      <c r="AR112" s="58">
        <v>145.5</v>
      </c>
      <c r="AS112" s="58">
        <v>107.5</v>
      </c>
      <c r="AT112" s="58">
        <v>195.7</v>
      </c>
      <c r="AU112" s="58">
        <v>110.8</v>
      </c>
      <c r="AV112" s="58">
        <v>154.30000000000001</v>
      </c>
      <c r="AW112" s="58">
        <v>185.4</v>
      </c>
      <c r="AX112" s="58">
        <v>201.7</v>
      </c>
      <c r="AY112" s="58">
        <v>62.1</v>
      </c>
      <c r="AZ112" s="58">
        <v>39.799999999999997</v>
      </c>
      <c r="BA112" s="58">
        <v>142.6</v>
      </c>
      <c r="BB112" s="58">
        <v>98.4</v>
      </c>
      <c r="BC112" s="58">
        <v>84.3</v>
      </c>
      <c r="BD112" s="58">
        <v>86.3</v>
      </c>
      <c r="BE112" s="58">
        <v>201.7</v>
      </c>
      <c r="BF112" s="58">
        <v>139.30000000000001</v>
      </c>
      <c r="BG112" s="58">
        <v>112.8</v>
      </c>
      <c r="BH112" s="58">
        <v>91.7</v>
      </c>
      <c r="BI112" s="58">
        <v>231.1</v>
      </c>
      <c r="BJ112" s="58">
        <v>202.6</v>
      </c>
      <c r="BK112" s="58">
        <v>73.3</v>
      </c>
      <c r="BL112" s="58">
        <v>7.8</v>
      </c>
      <c r="BM112" s="58">
        <v>107.8</v>
      </c>
      <c r="BN112" s="58">
        <v>202.6</v>
      </c>
      <c r="BO112" s="58">
        <v>107.8</v>
      </c>
      <c r="BP112" s="58">
        <f>138.559-BO112</f>
        <v>30.759</v>
      </c>
      <c r="BQ112" s="34"/>
      <c r="BR112" s="34"/>
      <c r="CA112" s="58">
        <f t="shared" ref="CA112:CA116" si="167">SUM(C112:F112)</f>
        <v>143.9</v>
      </c>
      <c r="CB112" s="58">
        <f t="shared" ref="CB112:CB116" si="168">SUM(G112:J112)</f>
        <v>94.3</v>
      </c>
      <c r="CC112" s="58">
        <f t="shared" ref="CC112:CC116" si="169">SUM(K112:N112)</f>
        <v>194.6</v>
      </c>
      <c r="CD112" s="58">
        <f t="shared" ref="CD112:CD116" si="170">SUM(O112:R112)</f>
        <v>231.29999999999998</v>
      </c>
      <c r="CE112" s="58">
        <f t="shared" ref="CE112:CE116" si="171">SUM(S112:V112)</f>
        <v>290.10000000000002</v>
      </c>
      <c r="CF112" s="58">
        <f t="shared" ref="CF112:CF116" si="172">SUM(W112:Z112)</f>
        <v>303.5</v>
      </c>
      <c r="CG112" s="58">
        <f t="shared" ref="CG112:CG116" si="173">SUM(AA112:AD112)</f>
        <v>410.6</v>
      </c>
      <c r="CH112" s="58">
        <f t="shared" ref="CH112:CH116" si="174">SUM(AE112:AH112)</f>
        <v>426.29999999999995</v>
      </c>
      <c r="CI112" s="58">
        <f t="shared" ref="CI112:CI116" si="175">SUM(AI112:AL112)</f>
        <v>435</v>
      </c>
      <c r="CJ112" s="58">
        <f t="shared" ref="CJ112:CJ116" si="176">SUM(AM112:AP112)</f>
        <v>437.1</v>
      </c>
      <c r="CK112" s="58">
        <f t="shared" ref="CK112:CK116" si="177">SUM(AQ112:AT112)</f>
        <v>437.2</v>
      </c>
      <c r="CL112" s="58">
        <f t="shared" ref="CL112:CL116" si="178">SUM(AU112:AX112)</f>
        <v>652.20000000000005</v>
      </c>
      <c r="CM112" s="58">
        <f t="shared" ref="CM112:CM116" si="179">SUM(AY112:BB112)</f>
        <v>342.9</v>
      </c>
      <c r="CN112" s="58">
        <f t="shared" ref="CN112:CN116" si="180">SUM(BC112:BF112)</f>
        <v>511.59999999999997</v>
      </c>
      <c r="CO112" s="58">
        <f t="shared" ref="CO112:CO116" si="181">SUM(BG112:BJ112)</f>
        <v>638.20000000000005</v>
      </c>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c r="EY112" s="34"/>
    </row>
    <row r="113" spans="2:155">
      <c r="B113" s="1" t="s">
        <v>135</v>
      </c>
      <c r="C113" s="57">
        <v>-6.7370000000000001</v>
      </c>
      <c r="D113" s="57">
        <v>-6.9</v>
      </c>
      <c r="E113" s="57">
        <v>-7.6</v>
      </c>
      <c r="F113" s="57">
        <v>-8.0670000000000002</v>
      </c>
      <c r="G113" s="57">
        <v>-5.89</v>
      </c>
      <c r="H113" s="57">
        <v>-9.24</v>
      </c>
      <c r="I113" s="57">
        <v>-12.17</v>
      </c>
      <c r="J113" s="57">
        <v>-17.27</v>
      </c>
      <c r="K113" s="57">
        <v>-13.3</v>
      </c>
      <c r="L113" s="57">
        <v>-15.563000000000001</v>
      </c>
      <c r="M113" s="57">
        <v>-17.190000000000001</v>
      </c>
      <c r="N113" s="57">
        <v>-19.3</v>
      </c>
      <c r="O113" s="57">
        <v>-15.63</v>
      </c>
      <c r="P113" s="57">
        <v>-21.26</v>
      </c>
      <c r="Q113" s="57">
        <v>-17.739999999999998</v>
      </c>
      <c r="R113" s="57">
        <v>-8.94</v>
      </c>
      <c r="S113" s="57">
        <v>-12.1</v>
      </c>
      <c r="T113" s="57">
        <v>-14.602</v>
      </c>
      <c r="U113" s="57">
        <v>-16.25</v>
      </c>
      <c r="V113" s="57">
        <v>-24.6</v>
      </c>
      <c r="W113" s="57">
        <v>-14.4</v>
      </c>
      <c r="X113" s="57">
        <v>-16.899999999999999</v>
      </c>
      <c r="Y113" s="57">
        <v>-13.83</v>
      </c>
      <c r="Z113" s="57">
        <v>-16.29</v>
      </c>
      <c r="AA113" s="57">
        <v>-6.57</v>
      </c>
      <c r="AB113" s="57">
        <v>-8.9700000000000006</v>
      </c>
      <c r="AC113" s="57">
        <v>-10.57</v>
      </c>
      <c r="AD113" s="57">
        <v>-27.01</v>
      </c>
      <c r="AE113" s="57">
        <v>-6.56</v>
      </c>
      <c r="AF113" s="57">
        <v>-23.9</v>
      </c>
      <c r="AG113" s="57">
        <v>-17.100000000000001</v>
      </c>
      <c r="AH113" s="57">
        <v>-23.257999999999999</v>
      </c>
      <c r="AI113" s="57">
        <v>-15.7</v>
      </c>
      <c r="AJ113" s="57">
        <v>-22.3</v>
      </c>
      <c r="AK113" s="57">
        <v>-17.7</v>
      </c>
      <c r="AL113" s="57">
        <v>-25</v>
      </c>
      <c r="AM113" s="57">
        <v>-22.5</v>
      </c>
      <c r="AN113" s="57">
        <v>-32.4</v>
      </c>
      <c r="AO113" s="57">
        <v>-25.7</v>
      </c>
      <c r="AP113" s="57">
        <v>-18.899999999999999</v>
      </c>
      <c r="AQ113" s="57">
        <v>-19.7</v>
      </c>
      <c r="AR113" s="57">
        <v>-19.399999999999999</v>
      </c>
      <c r="AS113" s="57">
        <v>-23.3</v>
      </c>
      <c r="AT113" s="57">
        <v>-28.3</v>
      </c>
      <c r="AU113" s="57">
        <v>-19.3</v>
      </c>
      <c r="AV113" s="57">
        <v>-17.399999999999999</v>
      </c>
      <c r="AW113" s="57">
        <v>-15.4</v>
      </c>
      <c r="AX113" s="57">
        <v>-19.5</v>
      </c>
      <c r="AY113" s="57">
        <v>-13.1</v>
      </c>
      <c r="AZ113" s="57">
        <v>-19.36</v>
      </c>
      <c r="BA113" s="57">
        <v>-7.76</v>
      </c>
      <c r="BB113" s="57">
        <v>-38.97</v>
      </c>
      <c r="BC113" s="57">
        <v>-21.8</v>
      </c>
      <c r="BD113" s="57">
        <v>-17.5</v>
      </c>
      <c r="BE113" s="57">
        <v>-24.4</v>
      </c>
      <c r="BF113" s="57">
        <v>-27.7</v>
      </c>
      <c r="BG113" s="57">
        <v>-38.4</v>
      </c>
      <c r="BH113" s="57">
        <v>-34.799999999999997</v>
      </c>
      <c r="BI113" s="57">
        <v>-21.2</v>
      </c>
      <c r="BJ113" s="57">
        <v>-32</v>
      </c>
      <c r="BK113" s="57">
        <v>-30</v>
      </c>
      <c r="BL113" s="57">
        <v>-34.6</v>
      </c>
      <c r="BM113" s="57">
        <v>-29.9</v>
      </c>
      <c r="BN113" s="57">
        <v>-32</v>
      </c>
      <c r="BO113" s="57">
        <v>-29.9</v>
      </c>
      <c r="BP113" s="57">
        <f>-32.82-BO113</f>
        <v>-2.9200000000000017</v>
      </c>
      <c r="CA113" s="57">
        <f t="shared" si="167"/>
        <v>-29.304000000000002</v>
      </c>
      <c r="CB113" s="57">
        <f t="shared" si="168"/>
        <v>-44.569999999999993</v>
      </c>
      <c r="CC113" s="57">
        <f t="shared" si="169"/>
        <v>-65.352999999999994</v>
      </c>
      <c r="CD113" s="57">
        <f t="shared" si="170"/>
        <v>-63.569999999999993</v>
      </c>
      <c r="CE113" s="57">
        <f t="shared" si="171"/>
        <v>-67.551999999999992</v>
      </c>
      <c r="CF113" s="57">
        <f t="shared" si="172"/>
        <v>-61.419999999999995</v>
      </c>
      <c r="CG113" s="57">
        <f t="shared" si="173"/>
        <v>-53.120000000000005</v>
      </c>
      <c r="CH113" s="57">
        <f t="shared" si="174"/>
        <v>-70.817999999999998</v>
      </c>
      <c r="CI113" s="57">
        <f t="shared" si="175"/>
        <v>-80.7</v>
      </c>
      <c r="CJ113" s="57">
        <f t="shared" si="176"/>
        <v>-99.5</v>
      </c>
      <c r="CK113" s="57">
        <f t="shared" si="177"/>
        <v>-90.699999999999989</v>
      </c>
      <c r="CL113" s="57">
        <f t="shared" si="178"/>
        <v>-71.599999999999994</v>
      </c>
      <c r="CM113" s="57">
        <f t="shared" si="179"/>
        <v>-79.19</v>
      </c>
      <c r="CN113" s="57">
        <f t="shared" si="180"/>
        <v>-91.399999999999991</v>
      </c>
      <c r="CO113" s="57">
        <f t="shared" si="181"/>
        <v>-126.39999999999999</v>
      </c>
    </row>
    <row r="114" spans="2:155" s="2" customFormat="1" ht="15">
      <c r="B114" s="2" t="s">
        <v>136</v>
      </c>
      <c r="C114" s="58">
        <f t="shared" ref="C114:BK114" si="182">C112+C113</f>
        <v>27.662999999999997</v>
      </c>
      <c r="D114" s="58">
        <f t="shared" si="182"/>
        <v>38.5</v>
      </c>
      <c r="E114" s="58">
        <f t="shared" si="182"/>
        <v>16.5</v>
      </c>
      <c r="F114" s="58">
        <f t="shared" si="182"/>
        <v>31.933</v>
      </c>
      <c r="G114" s="58">
        <f t="shared" si="182"/>
        <v>1.4100000000000001</v>
      </c>
      <c r="H114" s="58">
        <f t="shared" si="182"/>
        <v>21.259999999999998</v>
      </c>
      <c r="I114" s="58">
        <f t="shared" si="182"/>
        <v>10.229999999999999</v>
      </c>
      <c r="J114" s="58">
        <f t="shared" si="182"/>
        <v>16.830000000000002</v>
      </c>
      <c r="K114" s="58">
        <f t="shared" si="182"/>
        <v>13</v>
      </c>
      <c r="L114" s="58">
        <f t="shared" si="182"/>
        <v>47.336999999999996</v>
      </c>
      <c r="M114" s="58">
        <f t="shared" si="182"/>
        <v>32.709999999999994</v>
      </c>
      <c r="N114" s="58">
        <f t="shared" si="182"/>
        <v>36.200000000000003</v>
      </c>
      <c r="O114" s="58">
        <f t="shared" si="182"/>
        <v>-10.330000000000002</v>
      </c>
      <c r="P114" s="58">
        <f t="shared" si="182"/>
        <v>29.74</v>
      </c>
      <c r="Q114" s="58">
        <f t="shared" si="182"/>
        <v>61.86</v>
      </c>
      <c r="R114" s="58">
        <f t="shared" si="182"/>
        <v>86.460000000000008</v>
      </c>
      <c r="S114" s="58">
        <f t="shared" si="182"/>
        <v>29.799999999999997</v>
      </c>
      <c r="T114" s="58">
        <f t="shared" si="182"/>
        <v>63.597999999999999</v>
      </c>
      <c r="U114" s="58">
        <f t="shared" si="182"/>
        <v>72.349999999999994</v>
      </c>
      <c r="V114" s="58">
        <f t="shared" si="182"/>
        <v>56.800000000000004</v>
      </c>
      <c r="W114" s="58">
        <f t="shared" si="182"/>
        <v>28</v>
      </c>
      <c r="X114" s="58">
        <f t="shared" si="182"/>
        <v>50.300000000000004</v>
      </c>
      <c r="Y114" s="58">
        <f t="shared" si="182"/>
        <v>53.370000000000005</v>
      </c>
      <c r="Z114" s="58">
        <f t="shared" si="182"/>
        <v>110.41</v>
      </c>
      <c r="AA114" s="58">
        <f t="shared" si="182"/>
        <v>60.23</v>
      </c>
      <c r="AB114" s="58">
        <f t="shared" si="182"/>
        <v>105.73</v>
      </c>
      <c r="AC114" s="58">
        <f t="shared" si="182"/>
        <v>109.53</v>
      </c>
      <c r="AD114" s="58">
        <f t="shared" si="182"/>
        <v>81.99</v>
      </c>
      <c r="AE114" s="58">
        <f t="shared" si="182"/>
        <v>84.34</v>
      </c>
      <c r="AF114" s="58">
        <f t="shared" si="182"/>
        <v>82.9</v>
      </c>
      <c r="AG114" s="58">
        <f t="shared" si="182"/>
        <v>104.9</v>
      </c>
      <c r="AH114" s="58">
        <f t="shared" si="182"/>
        <v>83.341999999999999</v>
      </c>
      <c r="AI114" s="58">
        <f t="shared" si="182"/>
        <v>71.099999999999994</v>
      </c>
      <c r="AJ114" s="58">
        <f t="shared" si="182"/>
        <v>72.400000000000006</v>
      </c>
      <c r="AK114" s="58">
        <f t="shared" si="182"/>
        <v>103.7</v>
      </c>
      <c r="AL114" s="58">
        <f t="shared" si="182"/>
        <v>107.1</v>
      </c>
      <c r="AM114" s="58">
        <f t="shared" si="182"/>
        <v>37.700000000000003</v>
      </c>
      <c r="AN114" s="58">
        <f t="shared" si="182"/>
        <v>64.699999999999989</v>
      </c>
      <c r="AO114" s="58">
        <f t="shared" si="182"/>
        <v>106.2</v>
      </c>
      <c r="AP114" s="58">
        <f t="shared" si="182"/>
        <v>129</v>
      </c>
      <c r="AQ114" s="58">
        <f t="shared" si="182"/>
        <v>-31.2</v>
      </c>
      <c r="AR114" s="58">
        <f t="shared" si="182"/>
        <v>126.1</v>
      </c>
      <c r="AS114" s="58">
        <f t="shared" si="182"/>
        <v>84.2</v>
      </c>
      <c r="AT114" s="58">
        <f t="shared" si="182"/>
        <v>167.39999999999998</v>
      </c>
      <c r="AU114" s="58">
        <f t="shared" si="182"/>
        <v>91.5</v>
      </c>
      <c r="AV114" s="58">
        <f t="shared" si="182"/>
        <v>136.9</v>
      </c>
      <c r="AW114" s="58">
        <f t="shared" si="182"/>
        <v>170</v>
      </c>
      <c r="AX114" s="58">
        <f t="shared" si="182"/>
        <v>182.2</v>
      </c>
      <c r="AY114" s="58">
        <f t="shared" si="182"/>
        <v>49</v>
      </c>
      <c r="AZ114" s="58">
        <f t="shared" si="182"/>
        <v>20.439999999999998</v>
      </c>
      <c r="BA114" s="58">
        <f t="shared" si="182"/>
        <v>134.84</v>
      </c>
      <c r="BB114" s="58">
        <f t="shared" si="182"/>
        <v>59.430000000000007</v>
      </c>
      <c r="BC114" s="58">
        <f t="shared" si="182"/>
        <v>62.5</v>
      </c>
      <c r="BD114" s="58">
        <f t="shared" si="182"/>
        <v>68.8</v>
      </c>
      <c r="BE114" s="58">
        <f t="shared" si="182"/>
        <v>177.29999999999998</v>
      </c>
      <c r="BF114" s="58">
        <f t="shared" si="182"/>
        <v>111.60000000000001</v>
      </c>
      <c r="BG114" s="58">
        <f t="shared" si="182"/>
        <v>74.400000000000006</v>
      </c>
      <c r="BH114" s="58">
        <f t="shared" si="182"/>
        <v>56.900000000000006</v>
      </c>
      <c r="BI114" s="58">
        <f t="shared" si="182"/>
        <v>209.9</v>
      </c>
      <c r="BJ114" s="58">
        <f t="shared" si="182"/>
        <v>170.6</v>
      </c>
      <c r="BK114" s="58">
        <f t="shared" si="182"/>
        <v>43.3</v>
      </c>
      <c r="BL114" s="58">
        <f>BL112+BL113</f>
        <v>-26.8</v>
      </c>
      <c r="BM114" s="58">
        <f>BM112+BM113</f>
        <v>77.900000000000006</v>
      </c>
      <c r="BN114" s="58">
        <f t="shared" ref="BN114" si="183">BN112+BN113</f>
        <v>170.6</v>
      </c>
      <c r="BO114" s="58">
        <f>BO112+BO113</f>
        <v>77.900000000000006</v>
      </c>
      <c r="BP114" s="58">
        <f>BP112+BP113</f>
        <v>27.838999999999999</v>
      </c>
      <c r="BQ114" s="34"/>
      <c r="BR114" s="34"/>
      <c r="CA114" s="58">
        <f t="shared" ref="CA114:CN114" si="184">CA112+CA113</f>
        <v>114.596</v>
      </c>
      <c r="CB114" s="58">
        <f t="shared" si="184"/>
        <v>49.730000000000004</v>
      </c>
      <c r="CC114" s="58">
        <f t="shared" si="184"/>
        <v>129.24700000000001</v>
      </c>
      <c r="CD114" s="58">
        <f t="shared" si="184"/>
        <v>167.73</v>
      </c>
      <c r="CE114" s="58">
        <f t="shared" si="184"/>
        <v>222.54800000000003</v>
      </c>
      <c r="CF114" s="58">
        <f t="shared" si="184"/>
        <v>242.08</v>
      </c>
      <c r="CG114" s="58">
        <f t="shared" si="184"/>
        <v>357.48</v>
      </c>
      <c r="CH114" s="58">
        <f t="shared" si="184"/>
        <v>355.48199999999997</v>
      </c>
      <c r="CI114" s="58">
        <f t="shared" si="184"/>
        <v>354.3</v>
      </c>
      <c r="CJ114" s="58">
        <f t="shared" si="184"/>
        <v>337.6</v>
      </c>
      <c r="CK114" s="58">
        <f t="shared" si="184"/>
        <v>346.5</v>
      </c>
      <c r="CL114" s="58">
        <f t="shared" si="184"/>
        <v>580.6</v>
      </c>
      <c r="CM114" s="58">
        <f t="shared" si="184"/>
        <v>263.70999999999998</v>
      </c>
      <c r="CN114" s="58">
        <f t="shared" si="184"/>
        <v>420.2</v>
      </c>
      <c r="CO114" s="58">
        <f>CO112+CO113</f>
        <v>511.80000000000007</v>
      </c>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c r="EV114" s="34"/>
      <c r="EW114" s="34"/>
      <c r="EX114" s="34"/>
      <c r="EY114" s="34"/>
    </row>
    <row r="115" spans="2:155">
      <c r="B115" s="1" t="s">
        <v>137</v>
      </c>
      <c r="C115" s="57">
        <f t="shared" ref="C115:BK115" si="185">C60</f>
        <v>40</v>
      </c>
      <c r="D115" s="57">
        <f t="shared" si="185"/>
        <v>40</v>
      </c>
      <c r="E115" s="57">
        <f t="shared" si="185"/>
        <v>40</v>
      </c>
      <c r="F115" s="57">
        <f t="shared" si="185"/>
        <v>40</v>
      </c>
      <c r="G115" s="57">
        <f t="shared" si="185"/>
        <v>40</v>
      </c>
      <c r="H115" s="57">
        <f t="shared" si="185"/>
        <v>41</v>
      </c>
      <c r="I115" s="57">
        <f t="shared" si="185"/>
        <v>41</v>
      </c>
      <c r="J115" s="57">
        <f t="shared" si="185"/>
        <v>41</v>
      </c>
      <c r="K115" s="57">
        <f t="shared" si="185"/>
        <v>41</v>
      </c>
      <c r="L115" s="57">
        <f t="shared" si="185"/>
        <v>41</v>
      </c>
      <c r="M115" s="57">
        <f t="shared" si="185"/>
        <v>41</v>
      </c>
      <c r="N115" s="57">
        <f t="shared" si="185"/>
        <v>41</v>
      </c>
      <c r="O115" s="57">
        <f t="shared" si="185"/>
        <v>41</v>
      </c>
      <c r="P115" s="57">
        <f t="shared" si="185"/>
        <v>41</v>
      </c>
      <c r="Q115" s="57">
        <f t="shared" si="185"/>
        <v>41</v>
      </c>
      <c r="R115" s="57">
        <f t="shared" si="185"/>
        <v>41</v>
      </c>
      <c r="S115" s="57">
        <f t="shared" si="185"/>
        <v>41</v>
      </c>
      <c r="T115" s="57">
        <f t="shared" si="185"/>
        <v>41</v>
      </c>
      <c r="U115" s="57">
        <f t="shared" si="185"/>
        <v>41</v>
      </c>
      <c r="V115" s="57">
        <f t="shared" si="185"/>
        <v>41</v>
      </c>
      <c r="W115" s="57">
        <f t="shared" si="185"/>
        <v>41</v>
      </c>
      <c r="X115" s="57">
        <f t="shared" si="185"/>
        <v>42</v>
      </c>
      <c r="Y115" s="57">
        <f t="shared" si="185"/>
        <v>42</v>
      </c>
      <c r="Z115" s="57">
        <f t="shared" si="185"/>
        <v>42</v>
      </c>
      <c r="AA115" s="57">
        <f t="shared" si="185"/>
        <v>42</v>
      </c>
      <c r="AB115" s="57">
        <f t="shared" si="185"/>
        <v>44</v>
      </c>
      <c r="AC115" s="57">
        <f t="shared" si="185"/>
        <v>44</v>
      </c>
      <c r="AD115" s="57">
        <f t="shared" si="185"/>
        <v>43</v>
      </c>
      <c r="AE115" s="57">
        <f t="shared" si="185"/>
        <v>45</v>
      </c>
      <c r="AF115" s="57">
        <f t="shared" si="185"/>
        <v>45</v>
      </c>
      <c r="AG115" s="57">
        <f t="shared" si="185"/>
        <v>45</v>
      </c>
      <c r="AH115" s="57">
        <f t="shared" si="185"/>
        <v>45</v>
      </c>
      <c r="AI115" s="57">
        <f t="shared" si="185"/>
        <v>45</v>
      </c>
      <c r="AJ115" s="57">
        <f t="shared" si="185"/>
        <v>46</v>
      </c>
      <c r="AK115" s="57">
        <f t="shared" si="185"/>
        <v>46</v>
      </c>
      <c r="AL115" s="57">
        <f t="shared" si="185"/>
        <v>46</v>
      </c>
      <c r="AM115" s="57">
        <f t="shared" si="185"/>
        <v>46</v>
      </c>
      <c r="AN115" s="57">
        <f t="shared" si="185"/>
        <v>46</v>
      </c>
      <c r="AO115" s="57">
        <f t="shared" si="185"/>
        <v>46</v>
      </c>
      <c r="AP115" s="57">
        <f t="shared" si="185"/>
        <v>46</v>
      </c>
      <c r="AQ115" s="57">
        <f t="shared" si="185"/>
        <v>46.381999999999998</v>
      </c>
      <c r="AR115" s="57">
        <f t="shared" si="185"/>
        <v>46.442</v>
      </c>
      <c r="AS115" s="57">
        <f t="shared" si="185"/>
        <v>46.53</v>
      </c>
      <c r="AT115" s="57">
        <f t="shared" si="185"/>
        <v>335.32400000000001</v>
      </c>
      <c r="AU115" s="57">
        <f t="shared" si="185"/>
        <v>46.698</v>
      </c>
      <c r="AV115" s="57">
        <f t="shared" si="185"/>
        <v>46.741</v>
      </c>
      <c r="AW115" s="57">
        <f t="shared" si="185"/>
        <v>46.81</v>
      </c>
      <c r="AX115" s="57">
        <f t="shared" si="185"/>
        <v>46.77</v>
      </c>
      <c r="AY115" s="57">
        <f t="shared" si="185"/>
        <v>46.875999999999998</v>
      </c>
      <c r="AZ115" s="57">
        <f t="shared" si="185"/>
        <v>46.901000000000003</v>
      </c>
      <c r="BA115" s="57">
        <f t="shared" si="185"/>
        <v>46.905999999999999</v>
      </c>
      <c r="BB115" s="57">
        <f t="shared" si="185"/>
        <v>46.898000000000003</v>
      </c>
      <c r="BC115" s="57">
        <f t="shared" si="185"/>
        <v>46.948999999999998</v>
      </c>
      <c r="BD115" s="57">
        <f t="shared" si="185"/>
        <v>46.981000000000002</v>
      </c>
      <c r="BE115" s="57">
        <f t="shared" si="185"/>
        <v>46.991999999999997</v>
      </c>
      <c r="BF115" s="57">
        <f t="shared" si="185"/>
        <v>46.981000000000002</v>
      </c>
      <c r="BG115" s="57">
        <f t="shared" si="185"/>
        <v>47.067999999999998</v>
      </c>
      <c r="BH115" s="57">
        <f t="shared" si="185"/>
        <v>47.151000000000003</v>
      </c>
      <c r="BI115" s="57">
        <f t="shared" si="185"/>
        <v>46.723999999999997</v>
      </c>
      <c r="BJ115" s="57">
        <f t="shared" si="185"/>
        <v>46.837000000000003</v>
      </c>
      <c r="BK115" s="57">
        <f t="shared" si="185"/>
        <v>45.781999999999996</v>
      </c>
      <c r="BL115" s="57">
        <f>BL60</f>
        <v>44.268999999999998</v>
      </c>
      <c r="BM115" s="57">
        <f>BM60</f>
        <v>44.237000000000002</v>
      </c>
      <c r="BN115" s="57">
        <f t="shared" ref="BN115" si="186">BN60</f>
        <v>46.837000000000003</v>
      </c>
      <c r="BO115" s="57">
        <f>BO60</f>
        <v>44.256999999999998</v>
      </c>
      <c r="BP115" s="57">
        <f>BP60</f>
        <v>43.56</v>
      </c>
      <c r="CA115" s="57">
        <f t="shared" ref="CA115:CN115" si="187">CA60</f>
        <v>40</v>
      </c>
      <c r="CB115" s="57">
        <f t="shared" si="187"/>
        <v>40.75</v>
      </c>
      <c r="CC115" s="57">
        <f t="shared" si="187"/>
        <v>41</v>
      </c>
      <c r="CD115" s="57">
        <f t="shared" si="187"/>
        <v>41</v>
      </c>
      <c r="CE115" s="57">
        <f t="shared" si="187"/>
        <v>41</v>
      </c>
      <c r="CF115" s="57">
        <f t="shared" si="187"/>
        <v>41.75</v>
      </c>
      <c r="CG115" s="57">
        <f t="shared" si="187"/>
        <v>43.25</v>
      </c>
      <c r="CH115" s="57">
        <f t="shared" si="187"/>
        <v>45</v>
      </c>
      <c r="CI115" s="57">
        <f t="shared" si="187"/>
        <v>45.75</v>
      </c>
      <c r="CJ115" s="57">
        <f t="shared" si="187"/>
        <v>46</v>
      </c>
      <c r="CK115" s="57">
        <f t="shared" si="187"/>
        <v>118.6695</v>
      </c>
      <c r="CL115" s="57">
        <f t="shared" si="187"/>
        <v>46.754750000000001</v>
      </c>
      <c r="CM115" s="57">
        <f t="shared" si="187"/>
        <v>46.895249999999997</v>
      </c>
      <c r="CN115" s="57">
        <f t="shared" si="187"/>
        <v>46.975749999999998</v>
      </c>
      <c r="CO115" s="57">
        <f>CO60</f>
        <v>46.944999999999993</v>
      </c>
    </row>
    <row r="116" spans="2:155">
      <c r="B116" s="1" t="s">
        <v>138</v>
      </c>
      <c r="C116" s="62">
        <f t="shared" ref="C116:BJ116" si="188">C114/C115</f>
        <v>0.69157499999999994</v>
      </c>
      <c r="D116" s="62">
        <f t="shared" si="188"/>
        <v>0.96250000000000002</v>
      </c>
      <c r="E116" s="62">
        <f t="shared" si="188"/>
        <v>0.41249999999999998</v>
      </c>
      <c r="F116" s="62">
        <f t="shared" si="188"/>
        <v>0.79832499999999995</v>
      </c>
      <c r="G116" s="62">
        <f t="shared" si="188"/>
        <v>3.5250000000000004E-2</v>
      </c>
      <c r="H116" s="62">
        <f t="shared" si="188"/>
        <v>0.51853658536585356</v>
      </c>
      <c r="I116" s="62">
        <f t="shared" si="188"/>
        <v>0.24951219512195119</v>
      </c>
      <c r="J116" s="62">
        <f t="shared" si="188"/>
        <v>0.41048780487804881</v>
      </c>
      <c r="K116" s="62">
        <f t="shared" si="188"/>
        <v>0.31707317073170732</v>
      </c>
      <c r="L116" s="62">
        <f t="shared" si="188"/>
        <v>1.1545609756097559</v>
      </c>
      <c r="M116" s="62">
        <f t="shared" si="188"/>
        <v>0.79780487804878031</v>
      </c>
      <c r="N116" s="62">
        <f t="shared" si="188"/>
        <v>0.8829268292682928</v>
      </c>
      <c r="O116" s="62">
        <f t="shared" si="188"/>
        <v>-0.25195121951219518</v>
      </c>
      <c r="P116" s="62">
        <f t="shared" si="188"/>
        <v>0.72536585365853656</v>
      </c>
      <c r="Q116" s="62">
        <f t="shared" si="188"/>
        <v>1.5087804878048781</v>
      </c>
      <c r="R116" s="62">
        <f t="shared" si="188"/>
        <v>2.1087804878048781</v>
      </c>
      <c r="S116" s="62">
        <f t="shared" si="188"/>
        <v>0.72682926829268291</v>
      </c>
      <c r="T116" s="62">
        <f t="shared" si="188"/>
        <v>1.5511707317073171</v>
      </c>
      <c r="U116" s="62">
        <f t="shared" si="188"/>
        <v>1.7646341463414632</v>
      </c>
      <c r="V116" s="62">
        <f t="shared" si="188"/>
        <v>1.3853658536585367</v>
      </c>
      <c r="W116" s="62">
        <f t="shared" si="188"/>
        <v>0.68292682926829273</v>
      </c>
      <c r="X116" s="62">
        <f t="shared" si="188"/>
        <v>1.1976190476190478</v>
      </c>
      <c r="Y116" s="62">
        <f t="shared" si="188"/>
        <v>1.2707142857142859</v>
      </c>
      <c r="Z116" s="62">
        <f t="shared" si="188"/>
        <v>2.6288095238095237</v>
      </c>
      <c r="AA116" s="62">
        <f t="shared" si="188"/>
        <v>1.434047619047619</v>
      </c>
      <c r="AB116" s="62">
        <f t="shared" si="188"/>
        <v>2.4029545454545453</v>
      </c>
      <c r="AC116" s="62">
        <f t="shared" si="188"/>
        <v>2.4893181818181818</v>
      </c>
      <c r="AD116" s="62">
        <f t="shared" si="188"/>
        <v>1.9067441860465115</v>
      </c>
      <c r="AE116" s="62">
        <f t="shared" si="188"/>
        <v>1.8742222222222222</v>
      </c>
      <c r="AF116" s="62">
        <f t="shared" si="188"/>
        <v>1.8422222222222224</v>
      </c>
      <c r="AG116" s="62">
        <f t="shared" si="188"/>
        <v>2.3311111111111114</v>
      </c>
      <c r="AH116" s="62">
        <f t="shared" si="188"/>
        <v>1.8520444444444444</v>
      </c>
      <c r="AI116" s="62">
        <f t="shared" si="188"/>
        <v>1.5799999999999998</v>
      </c>
      <c r="AJ116" s="62">
        <f t="shared" si="188"/>
        <v>1.5739130434782609</v>
      </c>
      <c r="AK116" s="62">
        <f t="shared" si="188"/>
        <v>2.2543478260869567</v>
      </c>
      <c r="AL116" s="62">
        <f t="shared" si="188"/>
        <v>2.3282608695652174</v>
      </c>
      <c r="AM116" s="62">
        <f t="shared" si="188"/>
        <v>0.81956521739130439</v>
      </c>
      <c r="AN116" s="62">
        <f t="shared" si="188"/>
        <v>1.4065217391304345</v>
      </c>
      <c r="AO116" s="62">
        <f t="shared" si="188"/>
        <v>2.3086956521739133</v>
      </c>
      <c r="AP116" s="62">
        <f t="shared" si="188"/>
        <v>2.8043478260869565</v>
      </c>
      <c r="AQ116" s="62">
        <f t="shared" si="188"/>
        <v>-0.67267474451295761</v>
      </c>
      <c r="AR116" s="62">
        <f t="shared" si="188"/>
        <v>2.7152146763705267</v>
      </c>
      <c r="AS116" s="62">
        <f t="shared" si="188"/>
        <v>1.8095852138405331</v>
      </c>
      <c r="AT116" s="62">
        <f t="shared" si="188"/>
        <v>0.49921866612589605</v>
      </c>
      <c r="AU116" s="62">
        <f t="shared" si="188"/>
        <v>1.9593986894513684</v>
      </c>
      <c r="AV116" s="62">
        <f t="shared" si="188"/>
        <v>2.9289060995699709</v>
      </c>
      <c r="AW116" s="62">
        <f t="shared" si="188"/>
        <v>3.6317026276436657</v>
      </c>
      <c r="AX116" s="62">
        <f t="shared" si="188"/>
        <v>3.8956596108616628</v>
      </c>
      <c r="AY116" s="62">
        <f t="shared" si="188"/>
        <v>1.0453110333646216</v>
      </c>
      <c r="AZ116" s="62">
        <f t="shared" si="188"/>
        <v>0.43581160316411155</v>
      </c>
      <c r="BA116" s="62">
        <f t="shared" si="188"/>
        <v>2.8746855412953569</v>
      </c>
      <c r="BB116" s="62">
        <f t="shared" si="188"/>
        <v>1.2672182182609066</v>
      </c>
      <c r="BC116" s="62">
        <f t="shared" si="188"/>
        <v>1.3312317621248591</v>
      </c>
      <c r="BD116" s="62">
        <f t="shared" si="188"/>
        <v>1.4644217875311294</v>
      </c>
      <c r="BE116" s="62">
        <f t="shared" si="188"/>
        <v>3.7729826353421858</v>
      </c>
      <c r="BF116" s="62">
        <f t="shared" si="188"/>
        <v>2.3754283646580534</v>
      </c>
      <c r="BG116" s="62">
        <f t="shared" si="188"/>
        <v>1.5806917651058046</v>
      </c>
      <c r="BH116" s="62">
        <f t="shared" si="188"/>
        <v>1.206761256389048</v>
      </c>
      <c r="BI116" s="62">
        <f t="shared" si="188"/>
        <v>4.492337984761579</v>
      </c>
      <c r="BJ116" s="62">
        <f t="shared" si="188"/>
        <v>3.6424194547046134</v>
      </c>
      <c r="BK116" s="62">
        <f>BK114/BK115</f>
        <v>0.94578655366738018</v>
      </c>
      <c r="BL116" s="62">
        <f>BL114/BL115</f>
        <v>-0.60538977614131784</v>
      </c>
      <c r="BM116" s="62">
        <f>BM114/BM115</f>
        <v>1.7609693243212696</v>
      </c>
      <c r="BN116" s="62">
        <f t="shared" ref="BN116" si="189">BN114/BN115</f>
        <v>3.6424194547046134</v>
      </c>
      <c r="BO116" s="62">
        <f>BO114/BO115</f>
        <v>1.7601735318706648</v>
      </c>
      <c r="BP116" s="62">
        <f>BP114/BP115</f>
        <v>0.63909550045913677</v>
      </c>
      <c r="CA116" s="39">
        <f t="shared" si="167"/>
        <v>2.8648999999999996</v>
      </c>
      <c r="CB116" s="39">
        <f t="shared" si="168"/>
        <v>1.2137865853658536</v>
      </c>
      <c r="CC116" s="39">
        <f t="shared" si="169"/>
        <v>3.1523658536585364</v>
      </c>
      <c r="CD116" s="39">
        <f t="shared" si="170"/>
        <v>4.0909756097560974</v>
      </c>
      <c r="CE116" s="39">
        <f t="shared" si="171"/>
        <v>5.4279999999999999</v>
      </c>
      <c r="CF116" s="39">
        <f t="shared" si="172"/>
        <v>5.7800696864111503</v>
      </c>
      <c r="CG116" s="39">
        <f t="shared" si="173"/>
        <v>8.233064532366857</v>
      </c>
      <c r="CH116" s="39">
        <f t="shared" si="174"/>
        <v>7.8996000000000004</v>
      </c>
      <c r="CI116" s="39">
        <f t="shared" si="175"/>
        <v>7.7365217391304348</v>
      </c>
      <c r="CJ116" s="39">
        <f t="shared" si="176"/>
        <v>7.339130434782609</v>
      </c>
      <c r="CK116" s="39">
        <f t="shared" si="177"/>
        <v>4.3513438118239982</v>
      </c>
      <c r="CL116" s="39">
        <f t="shared" si="178"/>
        <v>12.41566702752667</v>
      </c>
      <c r="CM116" s="39">
        <f t="shared" si="179"/>
        <v>5.6230263960849971</v>
      </c>
      <c r="CN116" s="39">
        <f t="shared" si="180"/>
        <v>8.944064549656229</v>
      </c>
      <c r="CO116" s="39">
        <f t="shared" si="181"/>
        <v>10.922210460961045</v>
      </c>
    </row>
  </sheetData>
  <mergeCells count="1">
    <mergeCell ref="CX84:CY84"/>
  </mergeCells>
  <conditionalFormatting sqref="CX84:CY84">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Sell",CX84)))</formula>
    </cfRule>
    <cfRule type="containsText" dxfId="3" priority="3" operator="containsText" text="Sell">
      <formula>NOT(ISERROR(SEARCH("Sell",CX84)))</formula>
    </cfRule>
    <cfRule type="containsText" dxfId="2" priority="4" operator="containsText" text="Hold">
      <formula>NOT(ISERROR(SEARCH("Hold",CX84)))</formula>
    </cfRule>
    <cfRule type="beginsWith" dxfId="1" priority="5" operator="beginsWith" text="Buy">
      <formula>LEFT(CX84,LEN("Buy"))="Buy"</formula>
    </cfRule>
    <cfRule type="beginsWith" dxfId="0" priority="6" operator="beginsWith" text="Strong">
      <formula>LEFT(CX84,LEN("Strong"))="Strong"</formula>
    </cfRule>
  </conditionalFormatting>
  <pageMargins left="0.7" right="0.7" top="0.75" bottom="0.75" header="0.3" footer="0.3"/>
  <ignoredErrors>
    <ignoredError sqref="CO21 CK21:CN28 CO23:CO28 CA63:CO68" evalError="1"/>
    <ignoredError sqref="CA112:CO114 CA116:CO116 CJ61 CJ50:CJ58 CA50:CI58" formulaRange="1"/>
    <ignoredError sqref="CK60:CO60 CJ59 CJ45:CJ49 CA45:CI49 CA44:CJ44" formula="1" formulaRange="1"/>
    <ignoredError sqref="CM6:CN6 CK44:CO44 CK45:CO51 CA59:CI59 CK53:CO59 CK52:CL52 CO52 CQ70" formula="1"/>
    <ignoredError sqref="CA115:CO115" evalError="1" formulaRange="1"/>
    <ignoredError sqref="CA60:CJ60" evalError="1" formula="1"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07"/>
  <sheetViews>
    <sheetView topLeftCell="H1" zoomScale="85" zoomScaleNormal="85" workbookViewId="0">
      <selection activeCell="Y125" sqref="Y125"/>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161</v>
      </c>
      <c r="AC2" s="1" t="s">
        <v>946</v>
      </c>
    </row>
    <row r="30" spans="9:10">
      <c r="I30" s="1" t="s">
        <v>15</v>
      </c>
      <c r="J30" s="1" t="s">
        <v>16</v>
      </c>
    </row>
    <row r="31" spans="9:10">
      <c r="J31" s="1" t="s">
        <v>17</v>
      </c>
    </row>
    <row r="32" spans="9:10">
      <c r="J32" s="1" t="s">
        <v>18</v>
      </c>
    </row>
    <row r="34" spans="8:32" ht="15">
      <c r="H34" s="2" t="s">
        <v>187</v>
      </c>
      <c r="AC34" s="2" t="s">
        <v>139</v>
      </c>
    </row>
    <row r="35" spans="8:32" ht="15">
      <c r="AD35" s="1" t="s">
        <v>1204</v>
      </c>
    </row>
    <row r="36" spans="8:32">
      <c r="AE36" s="1" t="s">
        <v>1187</v>
      </c>
    </row>
    <row r="37" spans="8:32">
      <c r="AF37" s="1" t="s">
        <v>1188</v>
      </c>
    </row>
    <row r="38" spans="8:32">
      <c r="AF38" s="1" t="s">
        <v>1189</v>
      </c>
    </row>
    <row r="39" spans="8:32">
      <c r="AF39" s="1" t="s">
        <v>1190</v>
      </c>
    </row>
    <row r="40" spans="8:32">
      <c r="AE40" s="1" t="s">
        <v>1191</v>
      </c>
    </row>
    <row r="41" spans="8:32">
      <c r="AF41" s="1" t="s">
        <v>1192</v>
      </c>
    </row>
    <row r="42" spans="8:32">
      <c r="AF42" s="1" t="s">
        <v>1193</v>
      </c>
    </row>
    <row r="43" spans="8:32">
      <c r="AF43" s="1" t="s">
        <v>1194</v>
      </c>
    </row>
    <row r="44" spans="8:32">
      <c r="AE44" s="1" t="s">
        <v>1195</v>
      </c>
    </row>
    <row r="45" spans="8:32">
      <c r="AE45" s="1" t="s">
        <v>1196</v>
      </c>
    </row>
    <row r="46" spans="8:32">
      <c r="AF46" s="1" t="s">
        <v>1197</v>
      </c>
    </row>
    <row r="47" spans="8:32">
      <c r="AF47" s="1" t="s">
        <v>1198</v>
      </c>
    </row>
    <row r="48" spans="8:32" ht="15">
      <c r="AD48" s="2" t="s">
        <v>1199</v>
      </c>
    </row>
    <row r="49" spans="9:31">
      <c r="AE49" s="1" t="s">
        <v>1200</v>
      </c>
    </row>
    <row r="50" spans="9:31">
      <c r="AE50" s="1" t="s">
        <v>1201</v>
      </c>
    </row>
    <row r="51" spans="9:31">
      <c r="AE51" s="1" t="s">
        <v>1202</v>
      </c>
    </row>
    <row r="52" spans="9:31">
      <c r="AE52" s="1" t="s">
        <v>1203</v>
      </c>
    </row>
    <row r="63" spans="9:31">
      <c r="I63" s="1" t="s">
        <v>15</v>
      </c>
      <c r="J63" s="1" t="s">
        <v>16</v>
      </c>
    </row>
    <row r="64" spans="9:31">
      <c r="J64" s="1" t="s">
        <v>17</v>
      </c>
    </row>
    <row r="65" spans="8:29">
      <c r="J65" s="1" t="s">
        <v>18</v>
      </c>
    </row>
    <row r="66" spans="8:29" ht="15">
      <c r="AC66" s="2" t="s">
        <v>140</v>
      </c>
    </row>
    <row r="67" spans="8:29" ht="15">
      <c r="H67" s="2" t="s">
        <v>1270</v>
      </c>
      <c r="AC67" s="2" t="s">
        <v>141</v>
      </c>
    </row>
    <row r="99" spans="8:29">
      <c r="I99" s="1" t="s">
        <v>15</v>
      </c>
      <c r="J99" s="1" t="s">
        <v>16</v>
      </c>
    </row>
    <row r="100" spans="8:29">
      <c r="J100" s="1" t="s">
        <v>17</v>
      </c>
    </row>
    <row r="101" spans="8:29">
      <c r="J101" s="1" t="s">
        <v>18</v>
      </c>
    </row>
    <row r="103" spans="8:29" ht="15">
      <c r="H103" s="2" t="s">
        <v>165</v>
      </c>
      <c r="AC103" s="2" t="s">
        <v>142</v>
      </c>
    </row>
    <row r="132" spans="8:29">
      <c r="I132" s="1" t="s">
        <v>15</v>
      </c>
      <c r="J132" s="1" t="s">
        <v>16</v>
      </c>
    </row>
    <row r="133" spans="8:29">
      <c r="J133" s="1" t="s">
        <v>17</v>
      </c>
    </row>
    <row r="134" spans="8:29">
      <c r="J134" s="1" t="s">
        <v>18</v>
      </c>
    </row>
    <row r="136" spans="8:29" ht="15">
      <c r="H136" s="2" t="s">
        <v>164</v>
      </c>
      <c r="AC136" s="2" t="s">
        <v>143</v>
      </c>
    </row>
    <row r="165" spans="9:10">
      <c r="I165" s="1" t="s">
        <v>15</v>
      </c>
      <c r="J165" s="1" t="s">
        <v>16</v>
      </c>
    </row>
    <row r="166" spans="9:10">
      <c r="J166" s="1" t="s">
        <v>17</v>
      </c>
    </row>
    <row r="167" spans="9:10">
      <c r="J167" s="1" t="s">
        <v>18</v>
      </c>
    </row>
    <row r="181" spans="1:30" ht="15">
      <c r="AC181" s="2" t="s">
        <v>144</v>
      </c>
    </row>
    <row r="182" spans="1:30">
      <c r="AD182" s="1" t="s">
        <v>145</v>
      </c>
    </row>
    <row r="183" spans="1:30">
      <c r="A183" s="1" t="s">
        <v>940</v>
      </c>
    </row>
    <row r="184" spans="1:30">
      <c r="A184" s="24" t="s">
        <v>19</v>
      </c>
      <c r="B184" s="24" t="s">
        <v>20</v>
      </c>
      <c r="C184" s="24" t="s">
        <v>21</v>
      </c>
      <c r="D184" s="24" t="s">
        <v>22</v>
      </c>
      <c r="E184" s="24" t="s">
        <v>23</v>
      </c>
      <c r="F184" s="24" t="s">
        <v>24</v>
      </c>
      <c r="G184" s="24" t="s">
        <v>25</v>
      </c>
    </row>
    <row r="185" spans="1:30">
      <c r="A185" s="45">
        <v>113.91</v>
      </c>
      <c r="B185" s="45">
        <v>116.13</v>
      </c>
      <c r="C185" s="45">
        <v>113.78</v>
      </c>
      <c r="D185" s="45">
        <v>115.1</v>
      </c>
      <c r="E185" s="45">
        <v>522319</v>
      </c>
      <c r="F185" s="45" t="s">
        <v>188</v>
      </c>
      <c r="G185" s="25">
        <f>A185/D185-1</f>
        <v>-1.0338835794960866E-2</v>
      </c>
    </row>
    <row r="186" spans="1:30">
      <c r="A186" s="45">
        <v>115.49</v>
      </c>
      <c r="B186" s="45">
        <v>116.21</v>
      </c>
      <c r="C186" s="45">
        <v>114.5701</v>
      </c>
      <c r="D186" s="45">
        <v>115.19</v>
      </c>
      <c r="E186" s="45">
        <v>309568</v>
      </c>
      <c r="F186" s="45" t="s">
        <v>189</v>
      </c>
      <c r="G186" s="25">
        <f t="shared" ref="G186:G249" si="0">A186/D186-1</f>
        <v>2.6043927424255209E-3</v>
      </c>
    </row>
    <row r="187" spans="1:30">
      <c r="A187" s="45">
        <v>115.56</v>
      </c>
      <c r="B187" s="45">
        <v>117.25</v>
      </c>
      <c r="C187" s="45">
        <v>115.38500000000001</v>
      </c>
      <c r="D187" s="45">
        <v>116.12</v>
      </c>
      <c r="E187" s="45">
        <v>395730</v>
      </c>
      <c r="F187" s="45" t="s">
        <v>190</v>
      </c>
      <c r="G187" s="25">
        <f t="shared" si="0"/>
        <v>-4.8225973131243993E-3</v>
      </c>
    </row>
    <row r="188" spans="1:30">
      <c r="A188" s="45">
        <v>117.19</v>
      </c>
      <c r="B188" s="45">
        <v>117.36</v>
      </c>
      <c r="C188" s="45">
        <v>114.98439999999999</v>
      </c>
      <c r="D188" s="45">
        <v>116.17</v>
      </c>
      <c r="E188" s="45">
        <v>326398</v>
      </c>
      <c r="F188" s="45" t="s">
        <v>191</v>
      </c>
      <c r="G188" s="25">
        <f t="shared" si="0"/>
        <v>8.7802358612378839E-3</v>
      </c>
    </row>
    <row r="189" spans="1:30">
      <c r="A189" s="45">
        <v>116.2</v>
      </c>
      <c r="B189" s="45">
        <v>118.81</v>
      </c>
      <c r="C189" s="45">
        <v>116.125</v>
      </c>
      <c r="D189" s="45">
        <v>117.31</v>
      </c>
      <c r="E189" s="45">
        <v>541318</v>
      </c>
      <c r="F189" s="45" t="s">
        <v>192</v>
      </c>
      <c r="G189" s="25">
        <f t="shared" si="0"/>
        <v>-9.4621089421191851E-3</v>
      </c>
    </row>
    <row r="190" spans="1:30">
      <c r="A190" s="45">
        <v>117.24</v>
      </c>
      <c r="B190" s="45">
        <v>117.64</v>
      </c>
      <c r="C190" s="45">
        <v>115.51</v>
      </c>
      <c r="D190" s="45">
        <v>116.85</v>
      </c>
      <c r="E190" s="45">
        <v>651680</v>
      </c>
      <c r="F190" s="45" t="s">
        <v>193</v>
      </c>
      <c r="G190" s="25">
        <f t="shared" si="0"/>
        <v>3.3376123234916122E-3</v>
      </c>
    </row>
    <row r="191" spans="1:30">
      <c r="A191" s="45">
        <v>115.2</v>
      </c>
      <c r="B191" s="45">
        <v>115.22</v>
      </c>
      <c r="C191" s="45">
        <v>108.9</v>
      </c>
      <c r="D191" s="45">
        <v>110.8</v>
      </c>
      <c r="E191" s="45">
        <v>670064</v>
      </c>
      <c r="F191" s="45" t="s">
        <v>194</v>
      </c>
      <c r="G191" s="25">
        <f t="shared" si="0"/>
        <v>3.9711191335740192E-2</v>
      </c>
    </row>
    <row r="192" spans="1:30">
      <c r="A192" s="45">
        <v>109.79</v>
      </c>
      <c r="B192" s="45">
        <v>112.0843</v>
      </c>
      <c r="C192" s="45">
        <v>109.73</v>
      </c>
      <c r="D192" s="45">
        <v>111.72</v>
      </c>
      <c r="E192" s="45">
        <v>703646</v>
      </c>
      <c r="F192" s="45" t="s">
        <v>195</v>
      </c>
      <c r="G192" s="25">
        <f t="shared" si="0"/>
        <v>-1.7275331185105602E-2</v>
      </c>
    </row>
    <row r="193" spans="1:16">
      <c r="A193" s="45">
        <v>111.06</v>
      </c>
      <c r="B193" s="45">
        <v>114.35550000000001</v>
      </c>
      <c r="C193" s="45">
        <v>110.83</v>
      </c>
      <c r="D193" s="45">
        <v>114.03</v>
      </c>
      <c r="E193" s="45">
        <v>845803</v>
      </c>
      <c r="F193" s="45" t="s">
        <v>196</v>
      </c>
      <c r="G193" s="25">
        <f t="shared" si="0"/>
        <v>-2.6045777426992878E-2</v>
      </c>
    </row>
    <row r="194" spans="1:16">
      <c r="A194" s="45">
        <v>113.59</v>
      </c>
      <c r="B194" s="45">
        <v>114</v>
      </c>
      <c r="C194" s="45">
        <v>112.5</v>
      </c>
      <c r="D194" s="45">
        <v>112.66</v>
      </c>
      <c r="E194" s="45">
        <v>543539</v>
      </c>
      <c r="F194" s="45" t="s">
        <v>197</v>
      </c>
      <c r="G194" s="25">
        <f t="shared" si="0"/>
        <v>8.2549263270017548E-3</v>
      </c>
    </row>
    <row r="195" spans="1:16">
      <c r="A195" s="45">
        <v>113.32</v>
      </c>
      <c r="B195" s="45">
        <v>114.625</v>
      </c>
      <c r="C195" s="45">
        <v>112.32</v>
      </c>
      <c r="D195" s="45">
        <v>114.01</v>
      </c>
      <c r="E195" s="45">
        <v>683972</v>
      </c>
      <c r="F195" s="45" t="s">
        <v>198</v>
      </c>
      <c r="G195" s="25">
        <f t="shared" si="0"/>
        <v>-6.0521006929217247E-3</v>
      </c>
    </row>
    <row r="196" spans="1:16">
      <c r="A196" s="45">
        <v>113.47</v>
      </c>
      <c r="B196" s="45">
        <v>116.395</v>
      </c>
      <c r="C196" s="45">
        <v>113.32</v>
      </c>
      <c r="D196" s="45">
        <v>116.01</v>
      </c>
      <c r="E196" s="45">
        <v>685267</v>
      </c>
      <c r="F196" s="45" t="s">
        <v>199</v>
      </c>
      <c r="G196" s="25">
        <f t="shared" si="0"/>
        <v>-2.189466425308173E-2</v>
      </c>
    </row>
    <row r="197" spans="1:16">
      <c r="A197" s="45">
        <v>115.75</v>
      </c>
      <c r="B197" s="45">
        <v>116.72499999999999</v>
      </c>
      <c r="C197" s="45">
        <v>114.5</v>
      </c>
      <c r="D197" s="45">
        <v>115.8</v>
      </c>
      <c r="E197" s="45">
        <v>641744</v>
      </c>
      <c r="F197" s="45" t="s">
        <v>200</v>
      </c>
      <c r="G197" s="25">
        <f t="shared" si="0"/>
        <v>-4.3177892918822014E-4</v>
      </c>
    </row>
    <row r="198" spans="1:16">
      <c r="A198" s="45">
        <v>116.4</v>
      </c>
      <c r="B198" s="45">
        <v>119.02500000000001</v>
      </c>
      <c r="C198" s="45">
        <v>116.215</v>
      </c>
      <c r="D198" s="45">
        <v>118.32</v>
      </c>
      <c r="E198" s="45">
        <v>307857</v>
      </c>
      <c r="F198" s="45" t="s">
        <v>201</v>
      </c>
      <c r="G198" s="25">
        <f t="shared" si="0"/>
        <v>-1.6227180527383256E-2</v>
      </c>
      <c r="I198" s="26"/>
      <c r="J198" s="26" t="s">
        <v>26</v>
      </c>
      <c r="K198" s="27">
        <f>MIN(G185:G936)</f>
        <v>-0.11111821086261975</v>
      </c>
    </row>
    <row r="199" spans="1:16">
      <c r="A199" s="45">
        <v>119.94</v>
      </c>
      <c r="B199" s="45">
        <v>121.75</v>
      </c>
      <c r="C199" s="45">
        <v>118.21</v>
      </c>
      <c r="D199" s="45">
        <v>118.41</v>
      </c>
      <c r="E199" s="45">
        <v>444206</v>
      </c>
      <c r="F199" s="45" t="s">
        <v>202</v>
      </c>
      <c r="G199" s="25">
        <f t="shared" si="0"/>
        <v>1.2921205979224748E-2</v>
      </c>
      <c r="I199" s="26"/>
      <c r="J199" s="26" t="s">
        <v>27</v>
      </c>
      <c r="K199" s="27">
        <f>MAX(G185:G936)</f>
        <v>8.975828297561983E-2</v>
      </c>
    </row>
    <row r="200" spans="1:16">
      <c r="A200" s="45">
        <v>118.93</v>
      </c>
      <c r="B200" s="45">
        <v>120</v>
      </c>
      <c r="C200" s="45">
        <v>117.83</v>
      </c>
      <c r="D200" s="45">
        <v>119.29</v>
      </c>
      <c r="E200" s="45">
        <v>452191</v>
      </c>
      <c r="F200" s="45" t="s">
        <v>203</v>
      </c>
      <c r="G200" s="25">
        <f t="shared" si="0"/>
        <v>-3.0178556459049544E-3</v>
      </c>
      <c r="I200" s="26"/>
      <c r="J200" s="26" t="s">
        <v>28</v>
      </c>
      <c r="K200" s="27">
        <f>AVERAGE(G185:G936)</f>
        <v>-3.1910528203142255E-4</v>
      </c>
    </row>
    <row r="201" spans="1:16">
      <c r="A201" s="45">
        <v>119.68</v>
      </c>
      <c r="B201" s="45">
        <v>121.7196</v>
      </c>
      <c r="C201" s="45">
        <v>116.88</v>
      </c>
      <c r="D201" s="45">
        <v>116.93</v>
      </c>
      <c r="E201" s="45">
        <v>632490</v>
      </c>
      <c r="F201" s="45" t="s">
        <v>204</v>
      </c>
      <c r="G201" s="25">
        <f t="shared" si="0"/>
        <v>2.3518344308560701E-2</v>
      </c>
      <c r="I201" s="26"/>
      <c r="J201" s="26" t="s">
        <v>29</v>
      </c>
      <c r="K201" s="27">
        <f>MEDIAN(G185:G936)</f>
        <v>2.8094622689156523E-5</v>
      </c>
    </row>
    <row r="202" spans="1:16" ht="15">
      <c r="A202" s="45">
        <v>116.67</v>
      </c>
      <c r="B202" s="45">
        <v>120</v>
      </c>
      <c r="C202" s="45">
        <v>116.32</v>
      </c>
      <c r="D202" s="45">
        <v>119.26</v>
      </c>
      <c r="E202" s="45">
        <v>457948</v>
      </c>
      <c r="F202" s="45" t="s">
        <v>205</v>
      </c>
      <c r="G202" s="25">
        <f t="shared" si="0"/>
        <v>-2.1717256414556463E-2</v>
      </c>
      <c r="I202" s="26"/>
      <c r="J202" s="26" t="s">
        <v>30</v>
      </c>
      <c r="K202" s="27">
        <f>_xlfn.STDEV.P(G185:G936)</f>
        <v>1.6628619941106478E-2</v>
      </c>
      <c r="M202" s="2"/>
    </row>
    <row r="203" spans="1:16" ht="15">
      <c r="A203" s="45">
        <v>119.9</v>
      </c>
      <c r="B203" s="45">
        <v>122.39</v>
      </c>
      <c r="C203" s="45">
        <v>119.79</v>
      </c>
      <c r="D203" s="45">
        <v>122.16</v>
      </c>
      <c r="E203" s="45">
        <v>360058</v>
      </c>
      <c r="F203" s="45" t="s">
        <v>206</v>
      </c>
      <c r="G203" s="25">
        <f t="shared" si="0"/>
        <v>-1.8500327439423647E-2</v>
      </c>
      <c r="I203" s="26"/>
      <c r="J203" s="28" t="s">
        <v>31</v>
      </c>
      <c r="K203" s="27">
        <f>3*K202</f>
        <v>4.9885859823319431E-2</v>
      </c>
      <c r="L203" s="26"/>
      <c r="M203" s="2" t="s">
        <v>155</v>
      </c>
    </row>
    <row r="204" spans="1:16" ht="15" customHeight="1">
      <c r="A204" s="45">
        <v>121.59</v>
      </c>
      <c r="B204" s="45">
        <v>122.42</v>
      </c>
      <c r="C204" s="45">
        <v>120.58</v>
      </c>
      <c r="D204" s="45">
        <v>122.33</v>
      </c>
      <c r="E204" s="45">
        <v>532464</v>
      </c>
      <c r="F204" s="45" t="s">
        <v>207</v>
      </c>
      <c r="G204" s="25">
        <f t="shared" si="0"/>
        <v>-6.0492111501675438E-3</v>
      </c>
      <c r="I204" s="26"/>
      <c r="J204" s="28" t="s">
        <v>32</v>
      </c>
      <c r="K204" s="26">
        <v>1.08</v>
      </c>
      <c r="L204" s="26"/>
      <c r="M204" s="2" t="s">
        <v>33</v>
      </c>
    </row>
    <row r="205" spans="1:16">
      <c r="A205" s="45">
        <v>121.83</v>
      </c>
      <c r="B205" s="45">
        <v>123.965</v>
      </c>
      <c r="C205" s="45">
        <v>118.09</v>
      </c>
      <c r="D205" s="45">
        <v>118.77</v>
      </c>
      <c r="E205" s="45">
        <v>735471</v>
      </c>
      <c r="F205" s="45" t="s">
        <v>208</v>
      </c>
      <c r="G205" s="25">
        <f t="shared" si="0"/>
        <v>2.5764081838848263E-2</v>
      </c>
    </row>
    <row r="206" spans="1:16">
      <c r="A206" s="45">
        <v>118.36</v>
      </c>
      <c r="B206" s="45">
        <v>120</v>
      </c>
      <c r="C206" s="45">
        <v>117.41</v>
      </c>
      <c r="D206" s="45">
        <v>120</v>
      </c>
      <c r="E206" s="45">
        <v>934722</v>
      </c>
      <c r="F206" s="45" t="s">
        <v>209</v>
      </c>
      <c r="G206" s="25">
        <f t="shared" si="0"/>
        <v>-1.3666666666666716E-2</v>
      </c>
    </row>
    <row r="207" spans="1:16">
      <c r="A207" s="45">
        <v>119.47</v>
      </c>
      <c r="B207" s="45">
        <v>119.99</v>
      </c>
      <c r="C207" s="45">
        <v>118.31</v>
      </c>
      <c r="D207" s="45">
        <v>119.11</v>
      </c>
      <c r="E207" s="45">
        <v>712257</v>
      </c>
      <c r="F207" s="45" t="s">
        <v>210</v>
      </c>
      <c r="G207" s="25">
        <f t="shared" si="0"/>
        <v>3.0224162538829979E-3</v>
      </c>
      <c r="I207" s="29" t="s">
        <v>34</v>
      </c>
      <c r="J207" s="30">
        <v>752</v>
      </c>
    </row>
    <row r="208" spans="1:16" ht="15" thickBot="1">
      <c r="A208" s="45">
        <v>119.58</v>
      </c>
      <c r="B208" s="45">
        <v>120.38</v>
      </c>
      <c r="C208" s="45">
        <v>118.95</v>
      </c>
      <c r="D208" s="45">
        <v>119.48</v>
      </c>
      <c r="E208" s="45">
        <v>303574</v>
      </c>
      <c r="F208" s="45" t="s">
        <v>211</v>
      </c>
      <c r="G208" s="25">
        <f t="shared" si="0"/>
        <v>8.3696016069634283E-4</v>
      </c>
      <c r="I208" s="1" t="s">
        <v>35</v>
      </c>
      <c r="L208" s="1" t="s">
        <v>36</v>
      </c>
      <c r="P208" s="1" t="s">
        <v>37</v>
      </c>
    </row>
    <row r="209" spans="1:17" ht="15" customHeight="1">
      <c r="A209" s="45">
        <v>119.15</v>
      </c>
      <c r="B209" s="45">
        <v>120.32</v>
      </c>
      <c r="C209" s="45">
        <v>118.68</v>
      </c>
      <c r="D209" s="45">
        <v>120.02</v>
      </c>
      <c r="E209" s="45">
        <v>431644</v>
      </c>
      <c r="F209" s="45" t="s">
        <v>212</v>
      </c>
      <c r="G209" s="25">
        <f t="shared" si="0"/>
        <v>-7.2487918680219643E-3</v>
      </c>
      <c r="I209" s="47" t="s">
        <v>38</v>
      </c>
      <c r="J209" s="47" t="s">
        <v>39</v>
      </c>
      <c r="L209" s="31" t="s">
        <v>40</v>
      </c>
      <c r="M209" s="32" t="s">
        <v>41</v>
      </c>
      <c r="P209" s="31" t="s">
        <v>42</v>
      </c>
      <c r="Q209" s="32" t="s">
        <v>43</v>
      </c>
    </row>
    <row r="210" spans="1:17" ht="15">
      <c r="A210" s="45">
        <v>120.1</v>
      </c>
      <c r="B210" s="45">
        <v>120.27</v>
      </c>
      <c r="C210" s="45">
        <v>117.52500000000001</v>
      </c>
      <c r="D210" s="45">
        <v>118.59</v>
      </c>
      <c r="E210" s="45">
        <v>461848</v>
      </c>
      <c r="F210" s="45" t="s">
        <v>213</v>
      </c>
      <c r="G210" s="25">
        <f t="shared" si="0"/>
        <v>1.2732945442279986E-2</v>
      </c>
      <c r="I210" s="44">
        <v>-0.05</v>
      </c>
      <c r="J210">
        <v>1</v>
      </c>
      <c r="L210" s="44">
        <v>-0.05</v>
      </c>
      <c r="M210" s="1">
        <f>_xlfn.NORM.DIST(L210,$K$200,$K$202,FALSE)</f>
        <v>0.27653817822481974</v>
      </c>
      <c r="O210" s="1" t="s">
        <v>146</v>
      </c>
      <c r="P210" s="25">
        <f>K200</f>
        <v>-3.1910528203142255E-4</v>
      </c>
      <c r="Q210" s="1">
        <v>0</v>
      </c>
    </row>
    <row r="211" spans="1:17" ht="15">
      <c r="A211" s="45">
        <v>118.06</v>
      </c>
      <c r="B211" s="45">
        <v>118.85</v>
      </c>
      <c r="C211" s="45">
        <v>115.9397</v>
      </c>
      <c r="D211" s="45">
        <v>117.94</v>
      </c>
      <c r="E211" s="45">
        <v>447478</v>
      </c>
      <c r="F211" s="45" t="s">
        <v>214</v>
      </c>
      <c r="G211" s="25">
        <f t="shared" si="0"/>
        <v>1.0174665083941825E-3</v>
      </c>
      <c r="I211" s="44">
        <v>-4.7500000000000001E-2</v>
      </c>
      <c r="J211">
        <v>2</v>
      </c>
      <c r="L211" s="44">
        <v>-4.7500000000000001E-2</v>
      </c>
      <c r="M211" s="1">
        <f t="shared" ref="M211:M250" si="1">_xlfn.NORM.DIST(L211,$K$200,$K$202,FALSE)</f>
        <v>0.42847132816750982</v>
      </c>
      <c r="P211" s="25">
        <f>K200</f>
        <v>-3.1910528203142255E-4</v>
      </c>
      <c r="Q211" s="1">
        <v>25</v>
      </c>
    </row>
    <row r="212" spans="1:17" ht="15">
      <c r="A212" s="45">
        <v>118.31</v>
      </c>
      <c r="B212" s="45">
        <v>118.995</v>
      </c>
      <c r="C212" s="45">
        <v>116.6</v>
      </c>
      <c r="D212" s="45">
        <v>118.62</v>
      </c>
      <c r="E212" s="45">
        <v>1262901</v>
      </c>
      <c r="F212" s="45" t="s">
        <v>215</v>
      </c>
      <c r="G212" s="25">
        <f t="shared" si="0"/>
        <v>-2.6133872871354491E-3</v>
      </c>
      <c r="I212" s="44">
        <v>-4.4999999999999998E-2</v>
      </c>
      <c r="J212">
        <v>2</v>
      </c>
      <c r="L212" s="44">
        <v>-4.4999999999999998E-2</v>
      </c>
      <c r="M212" s="1">
        <f t="shared" si="1"/>
        <v>0.64904086461345623</v>
      </c>
      <c r="O212" s="38" t="s">
        <v>147</v>
      </c>
      <c r="P212" s="25">
        <f>($K$202*-3)+$K$200</f>
        <v>-5.020496510535085E-2</v>
      </c>
      <c r="Q212" s="1">
        <v>0</v>
      </c>
    </row>
    <row r="213" spans="1:17" ht="15">
      <c r="A213" s="45">
        <v>117.72</v>
      </c>
      <c r="B213" s="45">
        <v>118.61750000000001</v>
      </c>
      <c r="C213" s="45">
        <v>117.04</v>
      </c>
      <c r="D213" s="45">
        <v>117.89</v>
      </c>
      <c r="E213" s="45">
        <v>556011</v>
      </c>
      <c r="F213" s="45" t="s">
        <v>216</v>
      </c>
      <c r="G213" s="25">
        <f t="shared" si="0"/>
        <v>-1.4420222241072755E-3</v>
      </c>
      <c r="I213" s="44">
        <v>-4.2500000000000003E-2</v>
      </c>
      <c r="J213">
        <v>1</v>
      </c>
      <c r="L213" s="44">
        <v>-4.2500000000000003E-2</v>
      </c>
      <c r="M213" s="1">
        <f t="shared" si="1"/>
        <v>0.96118265424591809</v>
      </c>
      <c r="O213" s="39"/>
      <c r="P213" s="25">
        <f>($K$202*-3)+$K$200</f>
        <v>-5.020496510535085E-2</v>
      </c>
      <c r="Q213" s="1">
        <v>3</v>
      </c>
    </row>
    <row r="214" spans="1:17" ht="15">
      <c r="A214" s="45">
        <v>117.53</v>
      </c>
      <c r="B214" s="45">
        <v>120.8892</v>
      </c>
      <c r="C214" s="45">
        <v>117.24</v>
      </c>
      <c r="D214" s="45">
        <v>119.63</v>
      </c>
      <c r="E214" s="45">
        <v>496923</v>
      </c>
      <c r="F214" s="45" t="s">
        <v>217</v>
      </c>
      <c r="G214" s="25">
        <f t="shared" si="0"/>
        <v>-1.7554125219426564E-2</v>
      </c>
      <c r="I214" s="44">
        <v>-0.04</v>
      </c>
      <c r="J214">
        <v>1</v>
      </c>
      <c r="L214" s="44">
        <v>-0.04</v>
      </c>
      <c r="M214" s="1">
        <f t="shared" si="1"/>
        <v>1.3916288245541646</v>
      </c>
      <c r="O214" s="38" t="s">
        <v>148</v>
      </c>
      <c r="P214" s="25">
        <f>($K$202*-2)+$K$200</f>
        <v>-3.3576345164244376E-2</v>
      </c>
      <c r="Q214" s="1">
        <v>0</v>
      </c>
    </row>
    <row r="215" spans="1:17" ht="15">
      <c r="A215" s="45">
        <v>121.11</v>
      </c>
      <c r="B215" s="45">
        <v>121.5325</v>
      </c>
      <c r="C215" s="45">
        <v>119.61960000000001</v>
      </c>
      <c r="D215" s="45">
        <v>120.38</v>
      </c>
      <c r="E215" s="45">
        <v>360756</v>
      </c>
      <c r="F215" s="45" t="s">
        <v>218</v>
      </c>
      <c r="G215" s="25">
        <f t="shared" si="0"/>
        <v>6.0641302541950548E-3</v>
      </c>
      <c r="I215" s="44">
        <v>-3.7499999999999999E-2</v>
      </c>
      <c r="J215">
        <v>1</v>
      </c>
      <c r="L215" s="44">
        <v>-3.7499999999999999E-2</v>
      </c>
      <c r="M215" s="1">
        <f t="shared" si="1"/>
        <v>1.9698107987355109</v>
      </c>
      <c r="O215" s="39"/>
      <c r="P215" s="25">
        <f>($K$202*-2)+$K$200</f>
        <v>-3.3576345164244376E-2</v>
      </c>
      <c r="Q215" s="1">
        <v>5</v>
      </c>
    </row>
    <row r="216" spans="1:17" ht="15">
      <c r="A216" s="45">
        <v>119.93</v>
      </c>
      <c r="B216" s="45">
        <v>122.17</v>
      </c>
      <c r="C216" s="45">
        <v>119.89</v>
      </c>
      <c r="D216" s="45">
        <v>120.42</v>
      </c>
      <c r="E216" s="45">
        <v>368994</v>
      </c>
      <c r="F216" s="45" t="s">
        <v>219</v>
      </c>
      <c r="G216" s="25">
        <f t="shared" si="0"/>
        <v>-4.0690915130376926E-3</v>
      </c>
      <c r="I216" s="44">
        <v>-3.5000000000000003E-2</v>
      </c>
      <c r="J216">
        <v>1</v>
      </c>
      <c r="L216" s="44">
        <v>-3.5000000000000003E-2</v>
      </c>
      <c r="M216" s="1">
        <f t="shared" si="1"/>
        <v>2.7258956076013843</v>
      </c>
      <c r="O216" s="40" t="s">
        <v>149</v>
      </c>
      <c r="P216" s="25">
        <f>($K$202*-1)+$K$200</f>
        <v>-1.6947725223137901E-2</v>
      </c>
      <c r="Q216" s="1">
        <v>0</v>
      </c>
    </row>
    <row r="217" spans="1:17" ht="15">
      <c r="A217" s="45">
        <v>122.1</v>
      </c>
      <c r="B217" s="45">
        <v>122.34990000000001</v>
      </c>
      <c r="C217" s="45">
        <v>120.72</v>
      </c>
      <c r="D217" s="45">
        <v>120.72</v>
      </c>
      <c r="E217" s="45">
        <v>348599</v>
      </c>
      <c r="F217" s="45" t="s">
        <v>220</v>
      </c>
      <c r="G217" s="25">
        <f t="shared" si="0"/>
        <v>1.1431411530815172E-2</v>
      </c>
      <c r="I217" s="44">
        <v>-3.2500000000000001E-2</v>
      </c>
      <c r="J217">
        <v>6</v>
      </c>
      <c r="L217" s="44">
        <v>-3.2500000000000001E-2</v>
      </c>
      <c r="M217" s="1">
        <f t="shared" si="1"/>
        <v>3.6878863868072709</v>
      </c>
      <c r="P217" s="25">
        <f>($K$202*-1)+$K$200</f>
        <v>-1.6947725223137901E-2</v>
      </c>
      <c r="Q217" s="1">
        <v>15</v>
      </c>
    </row>
    <row r="218" spans="1:17" ht="15">
      <c r="A218" s="45">
        <v>122.47</v>
      </c>
      <c r="B218" s="45">
        <v>125.99</v>
      </c>
      <c r="C218" s="45">
        <v>121.41</v>
      </c>
      <c r="D218" s="45">
        <v>125.78</v>
      </c>
      <c r="E218" s="45">
        <v>465377</v>
      </c>
      <c r="F218" s="45" t="s">
        <v>221</v>
      </c>
      <c r="G218" s="25">
        <f t="shared" si="0"/>
        <v>-2.6315789473684181E-2</v>
      </c>
      <c r="I218" s="44">
        <v>-0.03</v>
      </c>
      <c r="J218">
        <v>5</v>
      </c>
      <c r="L218" s="44">
        <v>-0.03</v>
      </c>
      <c r="M218" s="1">
        <f t="shared" si="1"/>
        <v>4.8778613781855009</v>
      </c>
      <c r="O218" s="1" t="s">
        <v>150</v>
      </c>
      <c r="P218" s="25">
        <f>($K$202*1)+$K$200</f>
        <v>1.6309514659075056E-2</v>
      </c>
      <c r="Q218" s="1">
        <v>0</v>
      </c>
    </row>
    <row r="219" spans="1:17" ht="15">
      <c r="A219" s="45">
        <v>125.44</v>
      </c>
      <c r="B219" s="45">
        <v>126.87</v>
      </c>
      <c r="C219" s="45">
        <v>123.9</v>
      </c>
      <c r="D219" s="45">
        <v>125.34</v>
      </c>
      <c r="E219" s="45">
        <v>565031</v>
      </c>
      <c r="F219" s="45" t="s">
        <v>222</v>
      </c>
      <c r="G219" s="25">
        <f t="shared" si="0"/>
        <v>7.978299026647484E-4</v>
      </c>
      <c r="I219" s="44">
        <v>-2.75E-2</v>
      </c>
      <c r="J219">
        <v>6</v>
      </c>
      <c r="L219" s="44">
        <v>-2.75E-2</v>
      </c>
      <c r="M219" s="1">
        <f t="shared" si="1"/>
        <v>6.3076121717275733</v>
      </c>
      <c r="P219" s="25">
        <f>($K$202*1)+$K$200</f>
        <v>1.6309514659075056E-2</v>
      </c>
      <c r="Q219" s="1">
        <v>15</v>
      </c>
    </row>
    <row r="220" spans="1:17" ht="15">
      <c r="A220" s="45">
        <v>123.27</v>
      </c>
      <c r="B220" s="45">
        <v>124.54</v>
      </c>
      <c r="C220" s="45">
        <v>121.285</v>
      </c>
      <c r="D220" s="45">
        <v>123.62</v>
      </c>
      <c r="E220" s="45">
        <v>433256</v>
      </c>
      <c r="F220" s="45" t="s">
        <v>223</v>
      </c>
      <c r="G220" s="25">
        <f t="shared" si="0"/>
        <v>-2.8312570781428015E-3</v>
      </c>
      <c r="I220" s="44">
        <v>-2.5000000000000001E-2</v>
      </c>
      <c r="J220">
        <v>16</v>
      </c>
      <c r="L220" s="44">
        <v>-2.5000000000000001E-2</v>
      </c>
      <c r="M220" s="1">
        <f t="shared" si="1"/>
        <v>7.9741448163193507</v>
      </c>
      <c r="O220" s="41" t="s">
        <v>151</v>
      </c>
      <c r="P220" s="25">
        <f>($K$202*2)+$K$200</f>
        <v>3.2938134600181537E-2</v>
      </c>
      <c r="Q220" s="1">
        <v>0</v>
      </c>
    </row>
    <row r="221" spans="1:17" ht="15">
      <c r="A221" s="45">
        <v>122.8</v>
      </c>
      <c r="B221" s="45">
        <v>123.75</v>
      </c>
      <c r="C221" s="45">
        <v>122.1</v>
      </c>
      <c r="D221" s="45">
        <v>122.76</v>
      </c>
      <c r="E221" s="45">
        <v>361939</v>
      </c>
      <c r="F221" s="45" t="s">
        <v>224</v>
      </c>
      <c r="G221" s="25">
        <f t="shared" si="0"/>
        <v>3.2583903551630655E-4</v>
      </c>
      <c r="I221" s="44">
        <v>-2.2499999999999999E-2</v>
      </c>
      <c r="J221">
        <v>14</v>
      </c>
      <c r="L221" s="44">
        <v>-2.2499999999999999E-2</v>
      </c>
      <c r="M221" s="1">
        <f t="shared" si="1"/>
        <v>9.8556860785482581</v>
      </c>
      <c r="P221" s="25">
        <f>($K$202*2)+$K$200</f>
        <v>3.2938134600181537E-2</v>
      </c>
      <c r="Q221" s="1">
        <v>5</v>
      </c>
    </row>
    <row r="222" spans="1:17" ht="15">
      <c r="A222" s="45">
        <v>122.46</v>
      </c>
      <c r="B222" s="45">
        <v>124.01</v>
      </c>
      <c r="C222" s="45">
        <v>121.71</v>
      </c>
      <c r="D222" s="45">
        <v>123.23</v>
      </c>
      <c r="E222" s="45">
        <v>501734</v>
      </c>
      <c r="F222" s="45" t="s">
        <v>225</v>
      </c>
      <c r="G222" s="25">
        <f t="shared" si="0"/>
        <v>-6.2484784549218242E-3</v>
      </c>
      <c r="I222" s="44">
        <v>-0.02</v>
      </c>
      <c r="J222">
        <v>13</v>
      </c>
      <c r="L222" s="44">
        <v>-0.02</v>
      </c>
      <c r="M222" s="1">
        <f t="shared" si="1"/>
        <v>11.908942900565105</v>
      </c>
      <c r="O222" s="41" t="s">
        <v>152</v>
      </c>
      <c r="P222" s="25">
        <f>($K$202*3)+$K$200</f>
        <v>4.9566754541288012E-2</v>
      </c>
      <c r="Q222" s="1">
        <v>0</v>
      </c>
    </row>
    <row r="223" spans="1:17" ht="15">
      <c r="A223" s="45">
        <v>122.75</v>
      </c>
      <c r="B223" s="45">
        <v>123.44</v>
      </c>
      <c r="C223" s="45">
        <v>120.93</v>
      </c>
      <c r="D223" s="45">
        <v>121.57</v>
      </c>
      <c r="E223" s="45">
        <v>376076</v>
      </c>
      <c r="F223" s="45" t="s">
        <v>226</v>
      </c>
      <c r="G223" s="25">
        <f t="shared" si="0"/>
        <v>9.7063420251708443E-3</v>
      </c>
      <c r="I223" s="44">
        <v>-1.7500000000000002E-2</v>
      </c>
      <c r="J223">
        <v>25</v>
      </c>
      <c r="L223" s="44">
        <v>-1.7500000000000002E-2</v>
      </c>
      <c r="M223" s="1">
        <f t="shared" si="1"/>
        <v>14.068350229614744</v>
      </c>
      <c r="O223" s="41"/>
      <c r="P223" s="25">
        <f>($K$202*3)+$K$200</f>
        <v>4.9566754541288012E-2</v>
      </c>
      <c r="Q223" s="1">
        <v>3</v>
      </c>
    </row>
    <row r="224" spans="1:17" ht="15">
      <c r="A224" s="45">
        <v>121.44</v>
      </c>
      <c r="B224" s="45">
        <v>122.175</v>
      </c>
      <c r="C224" s="45">
        <v>118.7</v>
      </c>
      <c r="D224" s="45">
        <v>119.13</v>
      </c>
      <c r="E224" s="45">
        <v>514742</v>
      </c>
      <c r="F224" s="45" t="s">
        <v>227</v>
      </c>
      <c r="G224" s="25">
        <f t="shared" si="0"/>
        <v>1.939058171745156E-2</v>
      </c>
      <c r="I224" s="44">
        <v>-1.4999999999999999E-2</v>
      </c>
      <c r="J224">
        <v>22</v>
      </c>
      <c r="L224" s="44">
        <v>-1.4999999999999999E-2</v>
      </c>
      <c r="M224" s="1">
        <f t="shared" si="1"/>
        <v>16.247881295291535</v>
      </c>
    </row>
    <row r="225" spans="1:13" ht="15">
      <c r="A225" s="45">
        <v>119.66</v>
      </c>
      <c r="B225" s="45">
        <v>122.16500000000001</v>
      </c>
      <c r="C225" s="45">
        <v>119.2</v>
      </c>
      <c r="D225" s="45">
        <v>121.71</v>
      </c>
      <c r="E225" s="45">
        <v>538380</v>
      </c>
      <c r="F225" s="45" t="s">
        <v>228</v>
      </c>
      <c r="G225" s="25">
        <f t="shared" si="0"/>
        <v>-1.684331607920464E-2</v>
      </c>
      <c r="I225" s="44">
        <v>-1.2500000000000001E-2</v>
      </c>
      <c r="J225">
        <v>26</v>
      </c>
      <c r="L225" s="44">
        <v>-1.2500000000000001E-2</v>
      </c>
      <c r="M225" s="1">
        <f t="shared" si="1"/>
        <v>18.345684103615699</v>
      </c>
    </row>
    <row r="226" spans="1:13" ht="15">
      <c r="A226" s="45">
        <v>122.27</v>
      </c>
      <c r="B226" s="45">
        <v>123.13</v>
      </c>
      <c r="C226" s="45">
        <v>119.1</v>
      </c>
      <c r="D226" s="45">
        <v>121.38</v>
      </c>
      <c r="E226" s="45">
        <v>683820</v>
      </c>
      <c r="F226" s="45" t="s">
        <v>229</v>
      </c>
      <c r="G226" s="25">
        <f t="shared" si="0"/>
        <v>7.3323447025868127E-3</v>
      </c>
      <c r="I226" s="44">
        <v>-0.01</v>
      </c>
      <c r="J226">
        <v>31</v>
      </c>
      <c r="L226" s="44">
        <v>-0.01</v>
      </c>
      <c r="M226" s="1">
        <f t="shared" si="1"/>
        <v>20.251383228758385</v>
      </c>
    </row>
    <row r="227" spans="1:13" ht="15">
      <c r="A227" s="45">
        <v>122.53</v>
      </c>
      <c r="B227" s="45">
        <v>122.91</v>
      </c>
      <c r="C227" s="45">
        <v>120.95</v>
      </c>
      <c r="D227" s="45">
        <v>122.27</v>
      </c>
      <c r="E227" s="45">
        <v>392468</v>
      </c>
      <c r="F227" s="45" t="s">
        <v>230</v>
      </c>
      <c r="G227" s="25">
        <f t="shared" si="0"/>
        <v>2.1264414819661681E-3</v>
      </c>
      <c r="I227" s="44">
        <v>-7.4999999999999997E-3</v>
      </c>
      <c r="J227">
        <v>43</v>
      </c>
      <c r="L227" s="44">
        <v>-7.4999999999999997E-3</v>
      </c>
      <c r="M227" s="1">
        <f t="shared" si="1"/>
        <v>21.855416171198545</v>
      </c>
    </row>
    <row r="228" spans="1:13" ht="15">
      <c r="A228" s="45">
        <v>121.09</v>
      </c>
      <c r="B228" s="45">
        <v>123.33</v>
      </c>
      <c r="C228" s="45">
        <v>121.01</v>
      </c>
      <c r="D228" s="45">
        <v>122.89</v>
      </c>
      <c r="E228" s="45">
        <v>284817</v>
      </c>
      <c r="F228" s="45" t="s">
        <v>231</v>
      </c>
      <c r="G228" s="25">
        <f t="shared" si="0"/>
        <v>-1.4647245504109341E-2</v>
      </c>
      <c r="I228" s="44">
        <v>-5.0000000000000001E-3</v>
      </c>
      <c r="J228">
        <v>45</v>
      </c>
      <c r="L228" s="44">
        <v>-5.0000000000000001E-3</v>
      </c>
      <c r="M228" s="1">
        <f t="shared" si="1"/>
        <v>23.059350832887752</v>
      </c>
    </row>
    <row r="229" spans="1:13" ht="15">
      <c r="A229" s="45">
        <v>122.96</v>
      </c>
      <c r="B229" s="45">
        <v>123.31</v>
      </c>
      <c r="C229" s="45">
        <v>121.035</v>
      </c>
      <c r="D229" s="45">
        <v>122.28</v>
      </c>
      <c r="E229" s="45">
        <v>393493</v>
      </c>
      <c r="F229" s="45" t="s">
        <v>232</v>
      </c>
      <c r="G229" s="25">
        <f t="shared" si="0"/>
        <v>5.5610075237160217E-3</v>
      </c>
      <c r="I229" s="44">
        <v>-2.5000000000000001E-3</v>
      </c>
      <c r="J229">
        <v>54</v>
      </c>
      <c r="L229" s="44">
        <v>-2.5000000000000001E-3</v>
      </c>
      <c r="M229" s="1">
        <f t="shared" si="1"/>
        <v>23.785850259149505</v>
      </c>
    </row>
    <row r="230" spans="1:13" ht="15">
      <c r="A230" s="45">
        <v>120.78</v>
      </c>
      <c r="B230" s="45">
        <v>121.54</v>
      </c>
      <c r="C230" s="45">
        <v>119.08</v>
      </c>
      <c r="D230" s="45">
        <v>119.08</v>
      </c>
      <c r="E230" s="45">
        <v>504862</v>
      </c>
      <c r="F230" s="45" t="s">
        <v>233</v>
      </c>
      <c r="G230" s="25">
        <f t="shared" si="0"/>
        <v>1.4276116896204227E-2</v>
      </c>
      <c r="I230" s="44">
        <v>0</v>
      </c>
      <c r="J230">
        <v>59</v>
      </c>
      <c r="L230" s="44">
        <v>0</v>
      </c>
      <c r="M230" s="1">
        <f t="shared" si="1"/>
        <v>23.98688713564496</v>
      </c>
    </row>
    <row r="231" spans="1:13" ht="15">
      <c r="A231" s="45">
        <v>120.94</v>
      </c>
      <c r="B231" s="45">
        <v>121.625</v>
      </c>
      <c r="C231" s="45">
        <v>119.6</v>
      </c>
      <c r="D231" s="45">
        <v>120.88</v>
      </c>
      <c r="E231" s="45">
        <v>426349</v>
      </c>
      <c r="F231" s="45" t="s">
        <v>234</v>
      </c>
      <c r="G231" s="25">
        <f t="shared" si="0"/>
        <v>4.9636002647246436E-4</v>
      </c>
      <c r="I231" s="44">
        <v>2.5000000000000001E-3</v>
      </c>
      <c r="J231">
        <v>64</v>
      </c>
      <c r="L231" s="44">
        <v>2.5000000000000001E-3</v>
      </c>
      <c r="M231" s="1">
        <f t="shared" si="1"/>
        <v>23.648996137825414</v>
      </c>
    </row>
    <row r="232" spans="1:13" ht="15">
      <c r="A232" s="45">
        <v>121.97</v>
      </c>
      <c r="B232" s="45">
        <v>126.43</v>
      </c>
      <c r="C232" s="45">
        <v>121.79</v>
      </c>
      <c r="D232" s="45">
        <v>125.98</v>
      </c>
      <c r="E232" s="45">
        <v>391174</v>
      </c>
      <c r="F232" s="45" t="s">
        <v>235</v>
      </c>
      <c r="G232" s="25">
        <f t="shared" si="0"/>
        <v>-3.1830449277663209E-2</v>
      </c>
      <c r="I232" s="44">
        <v>5.0000000000000001E-3</v>
      </c>
      <c r="J232">
        <v>52</v>
      </c>
      <c r="L232" s="44">
        <v>5.0000000000000001E-3</v>
      </c>
      <c r="M232" s="1">
        <f t="shared" si="1"/>
        <v>22.794765908580427</v>
      </c>
    </row>
    <row r="233" spans="1:13" ht="15">
      <c r="A233" s="45">
        <v>126.86</v>
      </c>
      <c r="B233" s="45">
        <v>128.28</v>
      </c>
      <c r="C233" s="45">
        <v>126.065</v>
      </c>
      <c r="D233" s="45">
        <v>127.48</v>
      </c>
      <c r="E233" s="45">
        <v>327442</v>
      </c>
      <c r="F233" s="45" t="s">
        <v>236</v>
      </c>
      <c r="G233" s="25">
        <f t="shared" si="0"/>
        <v>-4.8635080012551235E-3</v>
      </c>
      <c r="I233" s="44">
        <v>7.4999999999999997E-3</v>
      </c>
      <c r="J233">
        <v>54</v>
      </c>
      <c r="L233" s="44">
        <v>7.4999999999999997E-3</v>
      </c>
      <c r="M233" s="1">
        <f t="shared" si="1"/>
        <v>21.480340940221691</v>
      </c>
    </row>
    <row r="234" spans="1:13" ht="15">
      <c r="A234" s="45">
        <v>127.79000000000002</v>
      </c>
      <c r="B234" s="45">
        <v>128.03933661125421</v>
      </c>
      <c r="C234" s="45">
        <v>125.8626279950051</v>
      </c>
      <c r="D234" s="45">
        <v>127.10183095293844</v>
      </c>
      <c r="E234" s="45">
        <v>394167.9463181782</v>
      </c>
      <c r="F234" s="45" t="s">
        <v>237</v>
      </c>
      <c r="G234" s="25">
        <f t="shared" si="0"/>
        <v>5.4143126177024214E-3</v>
      </c>
      <c r="I234" s="44">
        <v>0.01</v>
      </c>
      <c r="J234">
        <v>42</v>
      </c>
      <c r="L234" s="44">
        <v>0.01</v>
      </c>
      <c r="M234" s="1">
        <f t="shared" si="1"/>
        <v>19.789317279203669</v>
      </c>
    </row>
    <row r="235" spans="1:13" ht="15">
      <c r="A235" s="45">
        <v>128.94692187621948</v>
      </c>
      <c r="B235" s="45">
        <v>128.94692187621948</v>
      </c>
      <c r="C235" s="45">
        <v>125.58426860220092</v>
      </c>
      <c r="D235" s="45">
        <v>127.19159213298997</v>
      </c>
      <c r="E235" s="45">
        <v>544254.20846701611</v>
      </c>
      <c r="F235" s="45" t="s">
        <v>238</v>
      </c>
      <c r="G235" s="25">
        <f t="shared" si="0"/>
        <v>1.3800674351132969E-2</v>
      </c>
      <c r="I235" s="44">
        <v>1.2500000000000001E-2</v>
      </c>
      <c r="J235">
        <v>34</v>
      </c>
      <c r="L235" s="44">
        <v>1.2500000000000001E-2</v>
      </c>
      <c r="M235" s="1">
        <f t="shared" si="1"/>
        <v>17.823954313544245</v>
      </c>
    </row>
    <row r="236" spans="1:13" ht="15">
      <c r="A236" s="45">
        <v>126.1543518301725</v>
      </c>
      <c r="B236" s="45">
        <v>126.32390072582535</v>
      </c>
      <c r="C236" s="45">
        <v>123.4315960352767</v>
      </c>
      <c r="D236" s="45">
        <v>124.48878326699447</v>
      </c>
      <c r="E236" s="45">
        <v>450161.52836685179</v>
      </c>
      <c r="F236" s="45" t="s">
        <v>239</v>
      </c>
      <c r="G236" s="25">
        <f t="shared" si="0"/>
        <v>1.337926614324636E-2</v>
      </c>
      <c r="I236" s="44">
        <v>1.4999999999999999E-2</v>
      </c>
      <c r="J236">
        <v>31</v>
      </c>
      <c r="L236" s="44">
        <v>1.4999999999999999E-2</v>
      </c>
      <c r="M236" s="1">
        <f t="shared" si="1"/>
        <v>15.694985420226141</v>
      </c>
    </row>
    <row r="237" spans="1:13" ht="15">
      <c r="A237" s="45">
        <v>124.92761570280187</v>
      </c>
      <c r="B237" s="45">
        <v>127.46087567314449</v>
      </c>
      <c r="C237" s="45">
        <v>124.638385233747</v>
      </c>
      <c r="D237" s="45">
        <v>127.07191055958795</v>
      </c>
      <c r="E237" s="45">
        <v>448355.7365991078</v>
      </c>
      <c r="F237" s="45" t="s">
        <v>240</v>
      </c>
      <c r="G237" s="25">
        <f t="shared" si="0"/>
        <v>-1.6874656620359474E-2</v>
      </c>
      <c r="I237" s="44">
        <v>1.7500000000000002E-2</v>
      </c>
      <c r="J237">
        <v>23</v>
      </c>
      <c r="L237" s="44">
        <v>1.7500000000000002E-2</v>
      </c>
      <c r="M237" s="1">
        <f t="shared" si="1"/>
        <v>13.511432016949794</v>
      </c>
    </row>
    <row r="238" spans="1:13" ht="15">
      <c r="A238" s="45">
        <v>126.46352922812771</v>
      </c>
      <c r="B238" s="45">
        <v>128.52803636931245</v>
      </c>
      <c r="C238" s="45">
        <v>125.99477639896982</v>
      </c>
      <c r="D238" s="45">
        <v>128.52803636931245</v>
      </c>
      <c r="E238" s="45">
        <v>416498.20087643783</v>
      </c>
      <c r="F238" s="45" t="s">
        <v>241</v>
      </c>
      <c r="G238" s="25">
        <f t="shared" si="0"/>
        <v>-1.6062698843796075E-2</v>
      </c>
      <c r="I238" s="44">
        <v>0.02</v>
      </c>
      <c r="J238">
        <v>15</v>
      </c>
      <c r="L238" s="44">
        <v>0.02</v>
      </c>
      <c r="M238" s="1">
        <f t="shared" si="1"/>
        <v>11.371701514049793</v>
      </c>
    </row>
    <row r="239" spans="1:13" ht="15">
      <c r="A239" s="45">
        <v>128.89705455396867</v>
      </c>
      <c r="B239" s="45">
        <v>131.89906735346915</v>
      </c>
      <c r="C239" s="45">
        <v>126.79265355498325</v>
      </c>
      <c r="D239" s="45">
        <v>126.79265355498325</v>
      </c>
      <c r="E239" s="45">
        <v>569115.17841771641</v>
      </c>
      <c r="F239" s="45" t="s">
        <v>242</v>
      </c>
      <c r="G239" s="25">
        <f t="shared" si="0"/>
        <v>1.6597183984897512E-2</v>
      </c>
      <c r="I239" s="44">
        <v>2.2499999999999999E-2</v>
      </c>
      <c r="J239">
        <v>10</v>
      </c>
      <c r="L239" s="44">
        <v>2.2499999999999999E-2</v>
      </c>
      <c r="M239" s="1">
        <f t="shared" si="1"/>
        <v>9.356924616075835</v>
      </c>
    </row>
    <row r="240" spans="1:13" ht="15">
      <c r="A240" s="45">
        <v>124.77801373604935</v>
      </c>
      <c r="B240" s="45">
        <v>127.21153906189029</v>
      </c>
      <c r="C240" s="45">
        <v>124.03000390228677</v>
      </c>
      <c r="D240" s="45">
        <v>126.2540864746742</v>
      </c>
      <c r="E240" s="45">
        <v>597946.68440410029</v>
      </c>
      <c r="F240" s="45" t="s">
        <v>243</v>
      </c>
      <c r="G240" s="25">
        <f t="shared" si="0"/>
        <v>-1.1691286831503445E-2</v>
      </c>
      <c r="I240" s="44">
        <v>2.5000000000000001E-2</v>
      </c>
      <c r="J240">
        <v>13</v>
      </c>
      <c r="L240" s="44">
        <v>2.5000000000000001E-2</v>
      </c>
      <c r="M240" s="1">
        <f t="shared" si="1"/>
        <v>7.5270433454291981</v>
      </c>
    </row>
    <row r="241" spans="1:13" ht="15">
      <c r="A241" s="45">
        <v>125.84517443221732</v>
      </c>
      <c r="B241" s="45">
        <v>127.07191055958795</v>
      </c>
      <c r="C241" s="45">
        <v>122.56141126199957</v>
      </c>
      <c r="D241" s="45">
        <v>122.80326777491612</v>
      </c>
      <c r="E241" s="45">
        <v>636301.46091243427</v>
      </c>
      <c r="F241" s="45" t="s">
        <v>244</v>
      </c>
      <c r="G241" s="25">
        <f t="shared" si="0"/>
        <v>2.4770567692682599E-2</v>
      </c>
      <c r="I241" s="44">
        <v>2.75E-2</v>
      </c>
      <c r="J241">
        <v>9</v>
      </c>
      <c r="L241" s="44">
        <v>2.75E-2</v>
      </c>
      <c r="M241" s="1">
        <f t="shared" si="1"/>
        <v>5.9196947233294432</v>
      </c>
    </row>
    <row r="242" spans="1:13" ht="15">
      <c r="A242" s="45">
        <v>121.7560540076485</v>
      </c>
      <c r="B242" s="45">
        <v>122.55113859361589</v>
      </c>
      <c r="C242" s="45">
        <v>119.97010572855696</v>
      </c>
      <c r="D242" s="45">
        <v>120.55923827362837</v>
      </c>
      <c r="E242" s="45">
        <v>522583.70459347358</v>
      </c>
      <c r="F242" s="45" t="s">
        <v>245</v>
      </c>
      <c r="G242" s="25">
        <f t="shared" si="0"/>
        <v>9.9272005294506194E-3</v>
      </c>
      <c r="I242" s="44">
        <v>0.03</v>
      </c>
      <c r="J242">
        <v>3</v>
      </c>
      <c r="L242" s="44">
        <v>0.03</v>
      </c>
      <c r="M242" s="1">
        <f t="shared" si="1"/>
        <v>4.5515342204706393</v>
      </c>
    </row>
    <row r="243" spans="1:13" ht="15">
      <c r="A243" s="45">
        <v>120.25006087567316</v>
      </c>
      <c r="B243" s="45">
        <v>123.19223288847267</v>
      </c>
      <c r="C243" s="45">
        <v>119.74141418871461</v>
      </c>
      <c r="D243" s="45">
        <v>122.39435573245925</v>
      </c>
      <c r="E243" s="45">
        <v>468385.8877063932</v>
      </c>
      <c r="F243" s="45" t="s">
        <v>246</v>
      </c>
      <c r="G243" s="25">
        <f t="shared" si="0"/>
        <v>-1.7519556714472029E-2</v>
      </c>
      <c r="I243" s="44">
        <v>3.2500000000000001E-2</v>
      </c>
      <c r="J243">
        <v>4</v>
      </c>
      <c r="L243" s="44">
        <v>3.2500000000000001E-2</v>
      </c>
      <c r="M243" s="1">
        <f t="shared" si="1"/>
        <v>3.4213690408918072</v>
      </c>
    </row>
    <row r="244" spans="1:13" ht="15">
      <c r="A244" s="45">
        <v>122.57387809256227</v>
      </c>
      <c r="B244" s="45">
        <v>126.11445797237184</v>
      </c>
      <c r="C244" s="45">
        <v>122.40432919690942</v>
      </c>
      <c r="D244" s="45">
        <v>126.064590650121</v>
      </c>
      <c r="E244" s="45">
        <v>712936.81704358698</v>
      </c>
      <c r="F244" s="45" t="s">
        <v>247</v>
      </c>
      <c r="G244" s="25">
        <f t="shared" si="0"/>
        <v>-2.7689873417721556E-2</v>
      </c>
      <c r="I244" s="44">
        <v>3.5000000000000003E-2</v>
      </c>
      <c r="J244">
        <v>2</v>
      </c>
      <c r="L244" s="44">
        <v>3.5000000000000003E-2</v>
      </c>
      <c r="M244" s="1">
        <f t="shared" si="1"/>
        <v>2.5143494553567787</v>
      </c>
    </row>
    <row r="245" spans="1:13" ht="15">
      <c r="A245" s="45">
        <v>126.07456411457116</v>
      </c>
      <c r="B245" s="45">
        <v>128.20888550690708</v>
      </c>
      <c r="C245" s="45">
        <v>125.1021513306798</v>
      </c>
      <c r="D245" s="45">
        <v>128.20888550690708</v>
      </c>
      <c r="E245" s="45">
        <v>755296.22004851699</v>
      </c>
      <c r="F245" s="45" t="s">
        <v>248</v>
      </c>
      <c r="G245" s="25">
        <f t="shared" si="0"/>
        <v>-1.6647218980941347E-2</v>
      </c>
      <c r="I245" s="44">
        <v>3.7499999999999999E-2</v>
      </c>
      <c r="J245">
        <v>4</v>
      </c>
      <c r="L245" s="44">
        <v>3.7499999999999999E-2</v>
      </c>
      <c r="M245" s="1">
        <f t="shared" si="1"/>
        <v>1.8064875036470911</v>
      </c>
    </row>
    <row r="246" spans="1:13" ht="15">
      <c r="A246" s="45">
        <v>125.53599703426211</v>
      </c>
      <c r="B246" s="45">
        <v>135.38977991102789</v>
      </c>
      <c r="C246" s="45">
        <v>125.53599703426211</v>
      </c>
      <c r="D246" s="45">
        <v>132.57726293608059</v>
      </c>
      <c r="E246" s="45">
        <v>1203724.1482119099</v>
      </c>
      <c r="F246" s="45" t="s">
        <v>249</v>
      </c>
      <c r="G246" s="25">
        <f t="shared" si="0"/>
        <v>-5.3110659745730926E-2</v>
      </c>
      <c r="I246" s="44">
        <v>0.04</v>
      </c>
      <c r="J246">
        <v>4</v>
      </c>
      <c r="L246" s="44">
        <v>0.04</v>
      </c>
      <c r="M246" s="1">
        <f t="shared" si="1"/>
        <v>1.268901448637034</v>
      </c>
    </row>
    <row r="247" spans="1:13" ht="15">
      <c r="A247" s="45">
        <v>136.68633028954972</v>
      </c>
      <c r="B247" s="45">
        <v>137.78341137906816</v>
      </c>
      <c r="C247" s="45">
        <v>133.53471552329665</v>
      </c>
      <c r="D247" s="45">
        <v>137.78341137906816</v>
      </c>
      <c r="E247" s="45">
        <v>972514.62101885886</v>
      </c>
      <c r="F247" s="45" t="s">
        <v>250</v>
      </c>
      <c r="G247" s="25">
        <f t="shared" si="0"/>
        <v>-7.962359753890591E-3</v>
      </c>
      <c r="I247" s="44">
        <v>4.2500000000000003E-2</v>
      </c>
      <c r="J247">
        <v>3</v>
      </c>
      <c r="L247" s="44">
        <v>4.2500000000000003E-2</v>
      </c>
      <c r="M247" s="1">
        <f t="shared" si="1"/>
        <v>0.87137366869719557</v>
      </c>
    </row>
    <row r="248" spans="1:13" ht="15">
      <c r="A248" s="45">
        <v>137.85322563021933</v>
      </c>
      <c r="B248" s="45">
        <v>138.56134160618126</v>
      </c>
      <c r="C248" s="45">
        <v>133.93365410130338</v>
      </c>
      <c r="D248" s="45">
        <v>135.04070865527203</v>
      </c>
      <c r="E248" s="45">
        <v>818083.83042491565</v>
      </c>
      <c r="F248" s="45" t="s">
        <v>251</v>
      </c>
      <c r="G248" s="25">
        <f t="shared" si="0"/>
        <v>2.0827178729689644E-2</v>
      </c>
      <c r="I248" s="44">
        <v>4.4999999999999998E-2</v>
      </c>
      <c r="J248">
        <v>1</v>
      </c>
      <c r="L248" s="44">
        <v>4.4999999999999998E-2</v>
      </c>
      <c r="M248" s="1">
        <f t="shared" si="1"/>
        <v>0.58501173621439773</v>
      </c>
    </row>
    <row r="249" spans="1:13" ht="15">
      <c r="A249" s="45">
        <v>134.54203543276364</v>
      </c>
      <c r="B249" s="45">
        <v>136.23752438929216</v>
      </c>
      <c r="C249" s="45">
        <v>133.90373370795288</v>
      </c>
      <c r="D249" s="45">
        <v>135.04070865527203</v>
      </c>
      <c r="E249" s="45">
        <v>867073.82807731419</v>
      </c>
      <c r="F249" s="45" t="s">
        <v>252</v>
      </c>
      <c r="G249" s="25">
        <f t="shared" si="0"/>
        <v>-3.6927621861151394E-3</v>
      </c>
      <c r="I249" s="44">
        <v>4.7500000000000001E-2</v>
      </c>
      <c r="J249">
        <v>4</v>
      </c>
      <c r="L249" s="44">
        <v>4.7500000000000001E-2</v>
      </c>
      <c r="M249" s="1">
        <f t="shared" si="1"/>
        <v>0.38397976001180939</v>
      </c>
    </row>
    <row r="250" spans="1:13" ht="15">
      <c r="A250" s="45">
        <v>134.85121283071885</v>
      </c>
      <c r="B250" s="45">
        <v>134.92102708186999</v>
      </c>
      <c r="C250" s="45">
        <v>132.7168914383829</v>
      </c>
      <c r="D250" s="45">
        <v>134.29269882150945</v>
      </c>
      <c r="E250" s="45">
        <v>680517.79137647687</v>
      </c>
      <c r="F250" s="45" t="s">
        <v>253</v>
      </c>
      <c r="G250" s="25">
        <f t="shared" ref="G250:G313" si="2">A250/D250-1</f>
        <v>4.1589305607130367E-3</v>
      </c>
      <c r="I250" s="44">
        <v>0.05</v>
      </c>
      <c r="J250">
        <v>1</v>
      </c>
      <c r="L250" s="44">
        <v>0.05</v>
      </c>
      <c r="M250" s="1">
        <f t="shared" si="1"/>
        <v>0.246397158090264</v>
      </c>
    </row>
    <row r="251" spans="1:13" ht="15.75" thickBot="1">
      <c r="A251" s="45">
        <v>135.30001873097638</v>
      </c>
      <c r="B251" s="45">
        <v>135.30001873097638</v>
      </c>
      <c r="C251" s="45">
        <v>132.92633419183645</v>
      </c>
      <c r="D251" s="45">
        <v>133.30532584094283</v>
      </c>
      <c r="E251" s="45">
        <v>693616.54965177225</v>
      </c>
      <c r="F251" s="45" t="s">
        <v>254</v>
      </c>
      <c r="G251" s="25">
        <f t="shared" si="2"/>
        <v>1.496333981744713E-2</v>
      </c>
      <c r="I251" s="46" t="s">
        <v>941</v>
      </c>
      <c r="J251" s="46">
        <v>5</v>
      </c>
    </row>
    <row r="252" spans="1:13" ht="15">
      <c r="A252" s="45">
        <v>132.6670241161321</v>
      </c>
      <c r="B252" s="45">
        <v>136.9655872941544</v>
      </c>
      <c r="C252" s="45">
        <v>132.18829782252402</v>
      </c>
      <c r="D252" s="45">
        <v>134.00346835245458</v>
      </c>
      <c r="E252" s="45">
        <v>690170.40511777124</v>
      </c>
      <c r="F252" s="45" t="s">
        <v>255</v>
      </c>
      <c r="G252" s="25">
        <f t="shared" si="2"/>
        <v>-9.973206311402194E-3</v>
      </c>
      <c r="L252"/>
      <c r="M252"/>
    </row>
    <row r="253" spans="1:13" ht="15">
      <c r="A253" s="45">
        <v>131.09121673300558</v>
      </c>
      <c r="B253" s="45">
        <v>131.46043438695079</v>
      </c>
      <c r="C253" s="45">
        <v>129.096523842972</v>
      </c>
      <c r="D253" s="45">
        <v>130.08389682353862</v>
      </c>
      <c r="E253" s="45">
        <v>549073.99804366531</v>
      </c>
      <c r="F253" s="45" t="s">
        <v>256</v>
      </c>
      <c r="G253" s="25">
        <f t="shared" si="2"/>
        <v>7.743617265966396E-3</v>
      </c>
      <c r="L253"/>
      <c r="M253"/>
    </row>
    <row r="254" spans="1:13" ht="15">
      <c r="A254" s="45">
        <v>128.80729337391716</v>
      </c>
      <c r="B254" s="45">
        <v>129.46554202762823</v>
      </c>
      <c r="C254" s="45">
        <v>125.93992234449391</v>
      </c>
      <c r="D254" s="45">
        <v>128.2388059002576</v>
      </c>
      <c r="E254" s="45">
        <v>1035998.0778621173</v>
      </c>
      <c r="F254" s="45" t="s">
        <v>257</v>
      </c>
      <c r="G254" s="25">
        <f t="shared" si="2"/>
        <v>4.433037797480166E-3</v>
      </c>
      <c r="L254"/>
      <c r="M254"/>
    </row>
    <row r="255" spans="1:13" ht="15">
      <c r="A255" s="45">
        <v>129.13641770077268</v>
      </c>
      <c r="B255" s="45">
        <v>129.66501131663156</v>
      </c>
      <c r="C255" s="45">
        <v>127.21153906189029</v>
      </c>
      <c r="D255" s="45">
        <v>127.21153906189029</v>
      </c>
      <c r="E255" s="45">
        <v>477487.03810939816</v>
      </c>
      <c r="F255" s="45" t="s">
        <v>258</v>
      </c>
      <c r="G255" s="25">
        <f t="shared" si="2"/>
        <v>1.5131321050568358E-2</v>
      </c>
      <c r="L255"/>
      <c r="M255"/>
    </row>
    <row r="256" spans="1:13" ht="15">
      <c r="A256" s="45">
        <v>127.86978771560138</v>
      </c>
      <c r="B256" s="45">
        <v>129.01673612737068</v>
      </c>
      <c r="C256" s="45">
        <v>126.02469679232033</v>
      </c>
      <c r="D256" s="45">
        <v>128.06925700460474</v>
      </c>
      <c r="E256" s="45">
        <v>557692.86869082076</v>
      </c>
      <c r="F256" s="45" t="s">
        <v>259</v>
      </c>
      <c r="G256" s="25">
        <f t="shared" si="2"/>
        <v>-1.5575110972666506E-3</v>
      </c>
      <c r="L256"/>
      <c r="M256"/>
    </row>
    <row r="257" spans="1:13" ht="15">
      <c r="A257" s="45">
        <v>128.1689916491064</v>
      </c>
      <c r="B257" s="45">
        <v>131.81927963786779</v>
      </c>
      <c r="C257" s="45">
        <v>127.85981425115119</v>
      </c>
      <c r="D257" s="45">
        <v>131.01142901740425</v>
      </c>
      <c r="E257" s="45">
        <v>476707.97081148747</v>
      </c>
      <c r="F257" s="45" t="s">
        <v>260</v>
      </c>
      <c r="G257" s="25">
        <f t="shared" si="2"/>
        <v>-2.169610231425112E-2</v>
      </c>
      <c r="L257"/>
      <c r="M257"/>
    </row>
    <row r="258" spans="1:13" ht="15">
      <c r="A258" s="45">
        <v>131.73949192226647</v>
      </c>
      <c r="B258" s="45">
        <v>132.15837742917353</v>
      </c>
      <c r="C258" s="45">
        <v>129.44559509872786</v>
      </c>
      <c r="D258" s="45">
        <v>131.0812432685554</v>
      </c>
      <c r="E258" s="45">
        <v>767386.30174505035</v>
      </c>
      <c r="F258" s="45" t="s">
        <v>261</v>
      </c>
      <c r="G258" s="25">
        <f t="shared" si="2"/>
        <v>5.0216845469071014E-3</v>
      </c>
      <c r="L258"/>
      <c r="M258"/>
    </row>
    <row r="259" spans="1:13" ht="15">
      <c r="A259" s="45">
        <v>129.54532974322956</v>
      </c>
      <c r="B259" s="45">
        <v>130.17445588074617</v>
      </c>
      <c r="C259" s="45">
        <v>125.19689924295641</v>
      </c>
      <c r="D259" s="45">
        <v>128.7574260516663</v>
      </c>
      <c r="E259" s="45">
        <v>643958.78002973611</v>
      </c>
      <c r="F259" s="45" t="s">
        <v>262</v>
      </c>
      <c r="G259" s="25">
        <f t="shared" si="2"/>
        <v>6.1192873741287013E-3</v>
      </c>
      <c r="L259"/>
      <c r="M259"/>
    </row>
    <row r="260" spans="1:13" ht="15">
      <c r="A260" s="45">
        <v>128.72750565831581</v>
      </c>
      <c r="B260" s="45">
        <v>133.18564426754079</v>
      </c>
      <c r="C260" s="45">
        <v>125.71053266214004</v>
      </c>
      <c r="D260" s="45">
        <v>133.18564426754079</v>
      </c>
      <c r="E260" s="45">
        <v>1199230.223335159</v>
      </c>
      <c r="F260" s="45" t="s">
        <v>263</v>
      </c>
      <c r="G260" s="25">
        <f t="shared" si="2"/>
        <v>-3.3473116669162639E-2</v>
      </c>
      <c r="L260"/>
      <c r="M260"/>
    </row>
    <row r="261" spans="1:13" ht="15">
      <c r="A261" s="45">
        <v>134.80134550846799</v>
      </c>
      <c r="B261" s="45">
        <v>135.13046983532354</v>
      </c>
      <c r="C261" s="45">
        <v>124.32920783579179</v>
      </c>
      <c r="D261" s="45">
        <v>124.66830562709751</v>
      </c>
      <c r="E261" s="45">
        <v>1277589.1530636197</v>
      </c>
      <c r="F261" s="45" t="s">
        <v>264</v>
      </c>
      <c r="G261" s="25">
        <f t="shared" si="2"/>
        <v>8.1280000000000019E-2</v>
      </c>
      <c r="L261"/>
      <c r="M261"/>
    </row>
    <row r="262" spans="1:13" ht="15">
      <c r="A262" s="45">
        <v>126.80262701943342</v>
      </c>
      <c r="B262" s="45">
        <v>133.39508702099434</v>
      </c>
      <c r="C262" s="45">
        <v>125.58087762428787</v>
      </c>
      <c r="D262" s="45">
        <v>133.39508702099434</v>
      </c>
      <c r="E262" s="45">
        <v>1743326.0114249939</v>
      </c>
      <c r="F262" s="45" t="s">
        <v>265</v>
      </c>
      <c r="G262" s="25">
        <f t="shared" si="2"/>
        <v>-4.9420560747663544E-2</v>
      </c>
      <c r="L262"/>
      <c r="M262"/>
    </row>
    <row r="263" spans="1:13" ht="15">
      <c r="A263" s="45">
        <v>130.34320689924297</v>
      </c>
      <c r="B263" s="45">
        <v>135.29004526652622</v>
      </c>
      <c r="C263" s="45">
        <v>126.84252087723409</v>
      </c>
      <c r="D263" s="45">
        <v>129.02670959182083</v>
      </c>
      <c r="E263" s="45">
        <v>1487614.4667814379</v>
      </c>
      <c r="F263" s="45" t="s">
        <v>266</v>
      </c>
      <c r="G263" s="25">
        <f t="shared" si="2"/>
        <v>1.0203292880884174E-2</v>
      </c>
      <c r="L263"/>
      <c r="M263"/>
    </row>
    <row r="264" spans="1:13" ht="15">
      <c r="A264" s="45">
        <v>131.57991649106381</v>
      </c>
      <c r="B264" s="45">
        <v>136.24749785374235</v>
      </c>
      <c r="C264" s="45">
        <v>129.95424178568646</v>
      </c>
      <c r="D264" s="45">
        <v>136.24749785374235</v>
      </c>
      <c r="E264" s="45">
        <v>1749937.555520776</v>
      </c>
      <c r="F264" s="45" t="s">
        <v>267</v>
      </c>
      <c r="G264" s="25">
        <f t="shared" si="2"/>
        <v>-3.4258107019983886E-2</v>
      </c>
      <c r="L264"/>
      <c r="M264"/>
    </row>
    <row r="265" spans="1:13" ht="15">
      <c r="A265" s="45">
        <v>137.6238359478655</v>
      </c>
      <c r="B265" s="45">
        <v>141.26415047217671</v>
      </c>
      <c r="C265" s="45">
        <v>137.19497697650826</v>
      </c>
      <c r="D265" s="45">
        <v>139.48887380004686</v>
      </c>
      <c r="E265" s="45">
        <v>1211121.7782299081</v>
      </c>
      <c r="F265" s="45" t="s">
        <v>268</v>
      </c>
      <c r="G265" s="25">
        <f t="shared" si="2"/>
        <v>-1.3370513370513204E-2</v>
      </c>
      <c r="L265"/>
      <c r="M265"/>
    </row>
    <row r="266" spans="1:13" ht="15">
      <c r="A266" s="45">
        <v>141.00484039647236</v>
      </c>
      <c r="B266" s="45">
        <v>141.53343401233124</v>
      </c>
      <c r="C266" s="45">
        <v>139.09492195426523</v>
      </c>
      <c r="D266" s="45">
        <v>139.09990868649032</v>
      </c>
      <c r="E266" s="45">
        <v>618142.27451287257</v>
      </c>
      <c r="F266" s="45" t="s">
        <v>269</v>
      </c>
      <c r="G266" s="25">
        <f t="shared" si="2"/>
        <v>1.3694701369470152E-2</v>
      </c>
      <c r="L266"/>
      <c r="M266"/>
    </row>
    <row r="267" spans="1:13" ht="15">
      <c r="A267" s="45">
        <v>139.92770623585426</v>
      </c>
      <c r="B267" s="45">
        <v>140.72558339186767</v>
      </c>
      <c r="C267" s="45">
        <v>137.77343791461797</v>
      </c>
      <c r="D267" s="45">
        <v>138.71094357293379</v>
      </c>
      <c r="E267" s="45">
        <v>936049.8597699349</v>
      </c>
      <c r="F267" s="45" t="s">
        <v>270</v>
      </c>
      <c r="G267" s="25">
        <f t="shared" si="2"/>
        <v>8.7719298245614308E-3</v>
      </c>
      <c r="L267"/>
      <c r="M267"/>
    </row>
    <row r="268" spans="1:13" ht="15">
      <c r="A268" s="45">
        <v>137.82330523686883</v>
      </c>
      <c r="B268" s="45">
        <v>138.67104971513308</v>
      </c>
      <c r="C268" s="45">
        <v>134.83625263404357</v>
      </c>
      <c r="D268" s="45">
        <v>136.61651603839852</v>
      </c>
      <c r="E268" s="45">
        <v>1112172.210110337</v>
      </c>
      <c r="F268" s="45" t="s">
        <v>271</v>
      </c>
      <c r="G268" s="25">
        <f t="shared" si="2"/>
        <v>8.8334063366914961E-3</v>
      </c>
      <c r="L268"/>
      <c r="M268"/>
    </row>
    <row r="269" spans="1:13" ht="15">
      <c r="A269" s="45">
        <v>137.4343401233123</v>
      </c>
      <c r="B269" s="45">
        <v>139.74818387575124</v>
      </c>
      <c r="C269" s="45">
        <v>136.80601186295172</v>
      </c>
      <c r="D269" s="45">
        <v>138.60123546398191</v>
      </c>
      <c r="E269" s="45">
        <v>778483.74943266285</v>
      </c>
      <c r="F269" s="45" t="s">
        <v>272</v>
      </c>
      <c r="G269" s="25">
        <f t="shared" si="2"/>
        <v>-8.4190832553786565E-3</v>
      </c>
      <c r="L269"/>
      <c r="M269"/>
    </row>
    <row r="270" spans="1:13" ht="15">
      <c r="A270" s="45">
        <v>139.00017404198863</v>
      </c>
      <c r="B270" s="45">
        <v>140.60091508624055</v>
      </c>
      <c r="C270" s="45">
        <v>138.45163349722941</v>
      </c>
      <c r="D270" s="45">
        <v>139.46892687114652</v>
      </c>
      <c r="E270" s="45">
        <v>841225.23742076824</v>
      </c>
      <c r="F270" s="45" t="s">
        <v>273</v>
      </c>
      <c r="G270" s="25">
        <f t="shared" si="2"/>
        <v>-3.3609839816933773E-3</v>
      </c>
      <c r="L270"/>
      <c r="M270"/>
    </row>
    <row r="271" spans="1:13" ht="15">
      <c r="A271" s="45">
        <v>139.85789198470306</v>
      </c>
      <c r="B271" s="45">
        <v>140.15709591820811</v>
      </c>
      <c r="C271" s="45">
        <v>137.42436665886211</v>
      </c>
      <c r="D271" s="45">
        <v>138.74086396628428</v>
      </c>
      <c r="E271" s="45">
        <v>749529.91885124019</v>
      </c>
      <c r="F271" s="45" t="s">
        <v>274</v>
      </c>
      <c r="G271" s="25">
        <f t="shared" si="2"/>
        <v>8.0511825174320872E-3</v>
      </c>
      <c r="L271"/>
      <c r="M271"/>
    </row>
    <row r="272" spans="1:13" ht="15">
      <c r="A272" s="45">
        <v>138.88049246858662</v>
      </c>
      <c r="B272" s="45">
        <v>142.58064777959888</v>
      </c>
      <c r="C272" s="45">
        <v>138.42171310387889</v>
      </c>
      <c r="D272" s="45">
        <v>141.00484039647236</v>
      </c>
      <c r="E272" s="45">
        <v>1148100.5479301978</v>
      </c>
      <c r="F272" s="45" t="s">
        <v>275</v>
      </c>
      <c r="G272" s="25">
        <f t="shared" si="2"/>
        <v>-1.5065780166925946E-2</v>
      </c>
      <c r="L272"/>
      <c r="M272"/>
    </row>
    <row r="273" spans="1:13" ht="15">
      <c r="A273" s="45">
        <v>141.15444236322489</v>
      </c>
      <c r="B273" s="45">
        <v>142.93470576757983</v>
      </c>
      <c r="C273" s="45">
        <v>140.45629985171314</v>
      </c>
      <c r="D273" s="45">
        <v>142.22160305939283</v>
      </c>
      <c r="E273" s="45">
        <v>1279651.6259488221</v>
      </c>
      <c r="F273" s="45" t="s">
        <v>276</v>
      </c>
      <c r="G273" s="25">
        <f t="shared" si="2"/>
        <v>-7.5035063113604306E-3</v>
      </c>
      <c r="L273"/>
      <c r="M273"/>
    </row>
    <row r="274" spans="1:13" ht="15">
      <c r="A274" s="45">
        <v>141.18436275657538</v>
      </c>
      <c r="B274" s="45">
        <v>141.59327479903226</v>
      </c>
      <c r="C274" s="45">
        <v>137.79338484351834</v>
      </c>
      <c r="D274" s="45">
        <v>138.13248263482404</v>
      </c>
      <c r="E274" s="45">
        <v>12085270.930902259</v>
      </c>
      <c r="F274" s="45" t="s">
        <v>277</v>
      </c>
      <c r="G274" s="25">
        <f t="shared" si="2"/>
        <v>2.2093862815884435E-2</v>
      </c>
      <c r="L274"/>
      <c r="M274"/>
    </row>
    <row r="275" spans="1:13" ht="15">
      <c r="A275" s="45">
        <v>139.06001482868965</v>
      </c>
      <c r="B275" s="45">
        <v>139.68834308905022</v>
      </c>
      <c r="C275" s="45">
        <v>137.23487083430894</v>
      </c>
      <c r="D275" s="45">
        <v>138.78075782408496</v>
      </c>
      <c r="E275" s="45">
        <v>846243.55379920162</v>
      </c>
      <c r="F275" s="45" t="s">
        <v>278</v>
      </c>
      <c r="G275" s="25">
        <f t="shared" si="2"/>
        <v>2.012217031979846E-3</v>
      </c>
      <c r="L275"/>
      <c r="M275"/>
    </row>
    <row r="276" spans="1:13" ht="15">
      <c r="A276" s="45">
        <v>138.86054553968629</v>
      </c>
      <c r="B276" s="45">
        <v>140.94499960977134</v>
      </c>
      <c r="C276" s="45">
        <v>137.67370327011631</v>
      </c>
      <c r="D276" s="45">
        <v>139.22956372434248</v>
      </c>
      <c r="E276" s="45">
        <v>1175912.3480710539</v>
      </c>
      <c r="F276" s="45" t="s">
        <v>279</v>
      </c>
      <c r="G276" s="25">
        <f t="shared" si="2"/>
        <v>-2.6504297994268677E-3</v>
      </c>
      <c r="L276"/>
      <c r="M276"/>
    </row>
    <row r="277" spans="1:13" ht="15">
      <c r="A277" s="45">
        <v>139.58860844454856</v>
      </c>
      <c r="B277" s="45">
        <v>141.44367283227973</v>
      </c>
      <c r="C277" s="45">
        <v>138.56134160618126</v>
      </c>
      <c r="D277" s="45">
        <v>139.19964333099199</v>
      </c>
      <c r="E277" s="45">
        <v>798943.03928319877</v>
      </c>
      <c r="F277" s="45" t="s">
        <v>280</v>
      </c>
      <c r="G277" s="25">
        <f t="shared" si="2"/>
        <v>2.7942967686467313E-3</v>
      </c>
      <c r="L277"/>
      <c r="M277"/>
    </row>
    <row r="278" spans="1:13" ht="15">
      <c r="A278" s="45">
        <v>139.37916569109501</v>
      </c>
      <c r="B278" s="45">
        <v>139.37916569109501</v>
      </c>
      <c r="C278" s="45">
        <v>136.35720596269417</v>
      </c>
      <c r="D278" s="45">
        <v>137.25481776320927</v>
      </c>
      <c r="E278" s="45">
        <v>962717.62414899422</v>
      </c>
      <c r="F278" s="45" t="s">
        <v>281</v>
      </c>
      <c r="G278" s="25">
        <f t="shared" si="2"/>
        <v>1.5477401540473723E-2</v>
      </c>
      <c r="L278"/>
      <c r="M278"/>
    </row>
    <row r="279" spans="1:13" ht="15">
      <c r="A279" s="45">
        <v>137.34457894326079</v>
      </c>
      <c r="B279" s="45">
        <v>138.29205806602673</v>
      </c>
      <c r="C279" s="45">
        <v>135.87847966908612</v>
      </c>
      <c r="D279" s="45">
        <v>138.23221727932571</v>
      </c>
      <c r="E279" s="45">
        <v>902608.12027545169</v>
      </c>
      <c r="F279" s="45" t="s">
        <v>282</v>
      </c>
      <c r="G279" s="25">
        <f t="shared" si="2"/>
        <v>-6.4213564213563279E-3</v>
      </c>
      <c r="L279"/>
      <c r="M279"/>
    </row>
    <row r="280" spans="1:13" ht="15">
      <c r="A280" s="45">
        <v>135.9183735268868</v>
      </c>
      <c r="B280" s="45">
        <v>137.90309295247019</v>
      </c>
      <c r="C280" s="45">
        <v>134.01344181690473</v>
      </c>
      <c r="D280" s="45">
        <v>135.09057597752286</v>
      </c>
      <c r="E280" s="45">
        <v>1018702.1822521322</v>
      </c>
      <c r="F280" s="45" t="s">
        <v>283</v>
      </c>
      <c r="G280" s="25">
        <f t="shared" si="2"/>
        <v>6.1277224067921576E-3</v>
      </c>
      <c r="L280"/>
      <c r="M280"/>
    </row>
    <row r="281" spans="1:13" ht="15">
      <c r="A281" s="45">
        <v>135.16039022867403</v>
      </c>
      <c r="B281" s="45">
        <v>138.65090331694375</v>
      </c>
      <c r="C281" s="45">
        <v>134.32261921485994</v>
      </c>
      <c r="D281" s="45">
        <v>138.18234995707488</v>
      </c>
      <c r="E281" s="45">
        <v>1036954.6160888956</v>
      </c>
      <c r="F281" s="45" t="s">
        <v>284</v>
      </c>
      <c r="G281" s="25">
        <f t="shared" si="2"/>
        <v>-2.1869361241429131E-2</v>
      </c>
      <c r="L281"/>
      <c r="M281"/>
    </row>
    <row r="282" spans="1:13" ht="15">
      <c r="A282" s="45">
        <v>138.45163349722941</v>
      </c>
      <c r="B282" s="45">
        <v>139.81799812690238</v>
      </c>
      <c r="C282" s="45">
        <v>134.8911066885195</v>
      </c>
      <c r="D282" s="45">
        <v>138.09258877702337</v>
      </c>
      <c r="E282" s="45">
        <v>1447050.8289381012</v>
      </c>
      <c r="F282" s="45" t="s">
        <v>285</v>
      </c>
      <c r="G282" s="25">
        <f t="shared" si="2"/>
        <v>2.6000288892098489E-3</v>
      </c>
      <c r="L282"/>
      <c r="M282"/>
    </row>
    <row r="283" spans="1:13" ht="15">
      <c r="A283" s="45">
        <v>138.10256224147352</v>
      </c>
      <c r="B283" s="45">
        <v>142.76017013970187</v>
      </c>
      <c r="C283" s="45">
        <v>137.31964528213535</v>
      </c>
      <c r="D283" s="45">
        <v>138.7308905018341</v>
      </c>
      <c r="E283" s="45">
        <v>1709276.6595977773</v>
      </c>
      <c r="F283" s="45" t="s">
        <v>286</v>
      </c>
      <c r="G283" s="25">
        <f t="shared" si="2"/>
        <v>-4.5291157440690011E-3</v>
      </c>
      <c r="L283"/>
      <c r="M283"/>
    </row>
    <row r="284" spans="1:13" ht="15">
      <c r="A284" s="45">
        <v>139.47890033559668</v>
      </c>
      <c r="B284" s="45">
        <v>139.93767970030441</v>
      </c>
      <c r="C284" s="45">
        <v>134.68814668695859</v>
      </c>
      <c r="D284" s="45">
        <v>135.63911652228208</v>
      </c>
      <c r="E284" s="45">
        <v>1130582.0616636667</v>
      </c>
      <c r="F284" s="45" t="s">
        <v>287</v>
      </c>
      <c r="G284" s="25">
        <f t="shared" si="2"/>
        <v>2.8308823529411775E-2</v>
      </c>
      <c r="L284"/>
      <c r="M284"/>
    </row>
    <row r="285" spans="1:13" ht="15">
      <c r="A285" s="45">
        <v>135.55932880668078</v>
      </c>
      <c r="B285" s="45">
        <v>136.76808107807457</v>
      </c>
      <c r="C285" s="45">
        <v>133.04233848023938</v>
      </c>
      <c r="D285" s="45">
        <v>133.10202995043167</v>
      </c>
      <c r="E285" s="45">
        <v>903309.96750970325</v>
      </c>
      <c r="F285" s="45" t="s">
        <v>288</v>
      </c>
      <c r="G285" s="25">
        <f t="shared" si="2"/>
        <v>1.846176844308256E-2</v>
      </c>
      <c r="L285"/>
      <c r="M285"/>
    </row>
    <row r="286" spans="1:13" ht="15">
      <c r="A286" s="45">
        <v>133.48007592831615</v>
      </c>
      <c r="B286" s="45">
        <v>136.84766970499763</v>
      </c>
      <c r="C286" s="45">
        <v>130.2865822730289</v>
      </c>
      <c r="D286" s="45">
        <v>130.2865822730289</v>
      </c>
      <c r="E286" s="45">
        <v>1407450.3397113096</v>
      </c>
      <c r="F286" s="45" t="s">
        <v>289</v>
      </c>
      <c r="G286" s="25">
        <f t="shared" si="2"/>
        <v>2.4511301160659471E-2</v>
      </c>
      <c r="L286"/>
      <c r="M286"/>
    </row>
    <row r="287" spans="1:13" ht="15">
      <c r="A287" s="45">
        <v>130.11745644081739</v>
      </c>
      <c r="B287" s="45">
        <v>135.09671991269056</v>
      </c>
      <c r="C287" s="45">
        <v>129.17234149610621</v>
      </c>
      <c r="D287" s="45">
        <v>133.8780190629314</v>
      </c>
      <c r="E287" s="45">
        <v>1531350.45435375</v>
      </c>
      <c r="F287" s="45" t="s">
        <v>290</v>
      </c>
      <c r="G287" s="25">
        <f t="shared" si="2"/>
        <v>-2.8089470164226915E-2</v>
      </c>
      <c r="L287"/>
      <c r="M287"/>
    </row>
    <row r="288" spans="1:13" ht="15">
      <c r="A288" s="45">
        <v>134.43513945139273</v>
      </c>
      <c r="B288" s="45">
        <v>138.08626771148755</v>
      </c>
      <c r="C288" s="45">
        <v>127.88897488697208</v>
      </c>
      <c r="D288" s="45">
        <v>133.51987024177768</v>
      </c>
      <c r="E288" s="45">
        <v>2125436.3410937781</v>
      </c>
      <c r="F288" s="45" t="s">
        <v>291</v>
      </c>
      <c r="G288" s="25">
        <f t="shared" si="2"/>
        <v>6.854928842858321E-3</v>
      </c>
      <c r="L288"/>
      <c r="M288"/>
    </row>
    <row r="289" spans="1:13" ht="15">
      <c r="A289" s="45">
        <v>132.06737780043207</v>
      </c>
      <c r="B289" s="45">
        <v>137.210792815334</v>
      </c>
      <c r="C289" s="45">
        <v>129.92843345187515</v>
      </c>
      <c r="D289" s="45">
        <v>134.75349395908492</v>
      </c>
      <c r="E289" s="45">
        <v>5891369.3843889926</v>
      </c>
      <c r="F289" s="45" t="s">
        <v>292</v>
      </c>
      <c r="G289" s="25">
        <f t="shared" si="2"/>
        <v>-1.9933554817275767E-2</v>
      </c>
      <c r="L289"/>
      <c r="M289"/>
    </row>
    <row r="290" spans="1:13" ht="15">
      <c r="A290" s="45">
        <v>138.39467364081437</v>
      </c>
      <c r="B290" s="45">
        <v>155.79473720186562</v>
      </c>
      <c r="C290" s="45">
        <v>135.25092287735396</v>
      </c>
      <c r="D290" s="45">
        <v>155.69525141821183</v>
      </c>
      <c r="E290" s="45">
        <v>3353885.2260648948</v>
      </c>
      <c r="F290" s="45" t="s">
        <v>293</v>
      </c>
      <c r="G290" s="25">
        <f t="shared" si="2"/>
        <v>-0.11111821086261975</v>
      </c>
      <c r="L290"/>
      <c r="M290"/>
    </row>
    <row r="291" spans="1:13" ht="15">
      <c r="A291" s="45">
        <v>176.71659750426176</v>
      </c>
      <c r="B291" s="45">
        <v>177.87063259464594</v>
      </c>
      <c r="C291" s="45">
        <v>172.8267033633978</v>
      </c>
      <c r="D291" s="45">
        <v>175.48297378695452</v>
      </c>
      <c r="E291" s="45">
        <v>769550.15267720039</v>
      </c>
      <c r="F291" s="45" t="s">
        <v>294</v>
      </c>
      <c r="G291" s="25">
        <f t="shared" si="2"/>
        <v>7.0298769771528491E-3</v>
      </c>
      <c r="L291"/>
      <c r="M291"/>
    </row>
    <row r="292" spans="1:13" ht="15">
      <c r="A292" s="45">
        <v>176.71659750426176</v>
      </c>
      <c r="B292" s="45">
        <v>179.65142812204914</v>
      </c>
      <c r="C292" s="45">
        <v>174.94575055522395</v>
      </c>
      <c r="D292" s="45">
        <v>177.13443779560777</v>
      </c>
      <c r="E292" s="45">
        <v>806636.85858122248</v>
      </c>
      <c r="F292" s="45" t="s">
        <v>295</v>
      </c>
      <c r="G292" s="25">
        <f t="shared" si="2"/>
        <v>-2.3588879528223528E-3</v>
      </c>
      <c r="L292"/>
      <c r="M292"/>
    </row>
    <row r="293" spans="1:13" ht="15">
      <c r="A293" s="45">
        <v>176.72654608262712</v>
      </c>
      <c r="B293" s="45">
        <v>177.53238093022298</v>
      </c>
      <c r="C293" s="45">
        <v>172.36906875859029</v>
      </c>
      <c r="D293" s="45">
        <v>174.45827021532028</v>
      </c>
      <c r="E293" s="45">
        <v>614317.92317856231</v>
      </c>
      <c r="F293" s="45" t="s">
        <v>296</v>
      </c>
      <c r="G293" s="25">
        <f t="shared" si="2"/>
        <v>1.3001824817518104E-2</v>
      </c>
      <c r="L293"/>
      <c r="M293"/>
    </row>
    <row r="294" spans="1:13" ht="15">
      <c r="A294" s="45">
        <v>174.73683040955095</v>
      </c>
      <c r="B294" s="45">
        <v>175.29892508719499</v>
      </c>
      <c r="C294" s="45">
        <v>172.98588061724391</v>
      </c>
      <c r="D294" s="45">
        <v>174.05037850233964</v>
      </c>
      <c r="E294" s="45">
        <v>399756.61385341204</v>
      </c>
      <c r="F294" s="45" t="s">
        <v>297</v>
      </c>
      <c r="G294" s="25">
        <f t="shared" si="2"/>
        <v>3.9439839954273914E-3</v>
      </c>
      <c r="L294"/>
      <c r="M294"/>
    </row>
    <row r="295" spans="1:13" ht="15">
      <c r="A295" s="45">
        <v>174.22945291291651</v>
      </c>
      <c r="B295" s="45">
        <v>175.80132829464671</v>
      </c>
      <c r="C295" s="45">
        <v>172.44865738551334</v>
      </c>
      <c r="D295" s="45">
        <v>173.67233252445519</v>
      </c>
      <c r="E295" s="45">
        <v>771660.00186661223</v>
      </c>
      <c r="F295" s="45" t="s">
        <v>298</v>
      </c>
      <c r="G295" s="25">
        <f t="shared" si="2"/>
        <v>3.2078822248953198E-3</v>
      </c>
      <c r="L295"/>
      <c r="M295"/>
    </row>
    <row r="296" spans="1:13" ht="15">
      <c r="A296" s="45">
        <v>173.92104698358969</v>
      </c>
      <c r="B296" s="45">
        <v>175.35364226820457</v>
      </c>
      <c r="C296" s="45">
        <v>166.91724781436153</v>
      </c>
      <c r="D296" s="45">
        <v>168.38963741243791</v>
      </c>
      <c r="E296" s="45">
        <v>594306.01869452139</v>
      </c>
      <c r="F296" s="45" t="s">
        <v>299</v>
      </c>
      <c r="G296" s="25">
        <f t="shared" si="2"/>
        <v>3.2848871558548876E-2</v>
      </c>
      <c r="L296"/>
      <c r="M296"/>
    </row>
    <row r="297" spans="1:13" ht="15">
      <c r="A297" s="45">
        <v>168.45927746099559</v>
      </c>
      <c r="B297" s="45">
        <v>169.32480377878369</v>
      </c>
      <c r="C297" s="45">
        <v>164.76835488743924</v>
      </c>
      <c r="D297" s="45">
        <v>166.15618156940988</v>
      </c>
      <c r="E297" s="45">
        <v>540584.7752795046</v>
      </c>
      <c r="F297" s="45" t="s">
        <v>300</v>
      </c>
      <c r="G297" s="25">
        <f t="shared" si="2"/>
        <v>1.3861030446367328E-2</v>
      </c>
      <c r="L297"/>
      <c r="M297"/>
    </row>
    <row r="298" spans="1:13" ht="15">
      <c r="A298" s="45">
        <v>166.56904757157321</v>
      </c>
      <c r="B298" s="45">
        <v>168.96665495763</v>
      </c>
      <c r="C298" s="45">
        <v>165.90249282109266</v>
      </c>
      <c r="D298" s="45">
        <v>168.24040873695719</v>
      </c>
      <c r="E298" s="45">
        <v>521026.20189809572</v>
      </c>
      <c r="F298" s="45" t="s">
        <v>301</v>
      </c>
      <c r="G298" s="25">
        <f t="shared" si="2"/>
        <v>-9.9343622494233452E-3</v>
      </c>
      <c r="L298"/>
      <c r="M298"/>
    </row>
    <row r="299" spans="1:13" ht="15">
      <c r="A299" s="45">
        <v>166.74812198215005</v>
      </c>
      <c r="B299" s="45">
        <v>168.41948314753404</v>
      </c>
      <c r="C299" s="45">
        <v>166.03679862902533</v>
      </c>
      <c r="D299" s="45">
        <v>167.81261986724581</v>
      </c>
      <c r="E299" s="45">
        <v>597552.71373111045</v>
      </c>
      <c r="F299" s="45" t="s">
        <v>302</v>
      </c>
      <c r="G299" s="25">
        <f t="shared" si="2"/>
        <v>-6.3433720654493264E-3</v>
      </c>
      <c r="L299"/>
      <c r="M299"/>
    </row>
    <row r="300" spans="1:13" ht="15">
      <c r="A300" s="45">
        <v>167.46441962445749</v>
      </c>
      <c r="B300" s="45">
        <v>169.60833826219709</v>
      </c>
      <c r="C300" s="45">
        <v>166.91724781436153</v>
      </c>
      <c r="D300" s="45">
        <v>169.12583221147611</v>
      </c>
      <c r="E300" s="45">
        <v>490598.73890967818</v>
      </c>
      <c r="F300" s="45" t="s">
        <v>303</v>
      </c>
      <c r="G300" s="25">
        <f t="shared" si="2"/>
        <v>-9.8235294117646754E-3</v>
      </c>
      <c r="L300"/>
      <c r="M300"/>
    </row>
    <row r="301" spans="1:13" ht="15">
      <c r="A301" s="45">
        <v>170.42909597734101</v>
      </c>
      <c r="B301" s="45">
        <v>170.6429904121967</v>
      </c>
      <c r="C301" s="45">
        <v>169.11588363311071</v>
      </c>
      <c r="D301" s="45">
        <v>169.20542083839916</v>
      </c>
      <c r="E301" s="45">
        <v>407659.25050284341</v>
      </c>
      <c r="F301" s="45" t="s">
        <v>304</v>
      </c>
      <c r="G301" s="25">
        <f t="shared" si="2"/>
        <v>7.2318908748822963E-3</v>
      </c>
      <c r="L301"/>
      <c r="M301"/>
    </row>
    <row r="302" spans="1:13" ht="15">
      <c r="A302" s="45">
        <v>170.57832465282172</v>
      </c>
      <c r="B302" s="45">
        <v>171.30457087349453</v>
      </c>
      <c r="C302" s="45">
        <v>169.33226521255776</v>
      </c>
      <c r="D302" s="45">
        <v>170.88673058214854</v>
      </c>
      <c r="E302" s="45">
        <v>472665.52338404779</v>
      </c>
      <c r="F302" s="45" t="s">
        <v>305</v>
      </c>
      <c r="G302" s="25">
        <f t="shared" si="2"/>
        <v>-1.8047388950341858E-3</v>
      </c>
      <c r="L302"/>
      <c r="M302"/>
    </row>
    <row r="303" spans="1:13" ht="15">
      <c r="A303" s="45">
        <v>170.220175831668</v>
      </c>
      <c r="B303" s="45">
        <v>173.34402943839763</v>
      </c>
      <c r="C303" s="45">
        <v>169.42428956243754</v>
      </c>
      <c r="D303" s="45">
        <v>172.39891449368642</v>
      </c>
      <c r="E303" s="45">
        <v>468795.62372743234</v>
      </c>
      <c r="F303" s="45" t="s">
        <v>306</v>
      </c>
      <c r="G303" s="25">
        <f t="shared" si="2"/>
        <v>-1.2637774828322401E-2</v>
      </c>
      <c r="L303"/>
      <c r="M303"/>
    </row>
    <row r="304" spans="1:13" ht="15">
      <c r="A304" s="45">
        <v>172.72721757974401</v>
      </c>
      <c r="B304" s="45">
        <v>175.83614831892555</v>
      </c>
      <c r="C304" s="45">
        <v>172.57798890426329</v>
      </c>
      <c r="D304" s="45">
        <v>174.71693325282018</v>
      </c>
      <c r="E304" s="45">
        <v>458474.55108480173</v>
      </c>
      <c r="F304" s="45" t="s">
        <v>307</v>
      </c>
      <c r="G304" s="25">
        <f t="shared" si="2"/>
        <v>-1.1388224575788586E-2</v>
      </c>
      <c r="L304"/>
      <c r="M304"/>
    </row>
    <row r="305" spans="1:13" ht="15">
      <c r="A305" s="45">
        <v>175.1248249658008</v>
      </c>
      <c r="B305" s="45">
        <v>175.67199677589676</v>
      </c>
      <c r="C305" s="45">
        <v>173.39377233022452</v>
      </c>
      <c r="D305" s="45">
        <v>175.09497923070467</v>
      </c>
      <c r="E305" s="45">
        <v>418175.32588141778</v>
      </c>
      <c r="F305" s="45" t="s">
        <v>308</v>
      </c>
      <c r="G305" s="25">
        <f t="shared" si="2"/>
        <v>1.7045454545439043E-4</v>
      </c>
      <c r="L305"/>
      <c r="M305"/>
    </row>
    <row r="306" spans="1:13" ht="15">
      <c r="A306" s="45">
        <v>174.00063561051277</v>
      </c>
      <c r="B306" s="45">
        <v>176.18932285089656</v>
      </c>
      <c r="C306" s="45">
        <v>173.707152548734</v>
      </c>
      <c r="D306" s="45">
        <v>174.23940149128188</v>
      </c>
      <c r="E306" s="45">
        <v>417180.20882685948</v>
      </c>
      <c r="F306" s="45" t="s">
        <v>309</v>
      </c>
      <c r="G306" s="25">
        <f t="shared" si="2"/>
        <v>-1.3703323055839212E-3</v>
      </c>
      <c r="L306"/>
      <c r="M306"/>
    </row>
    <row r="307" spans="1:13" ht="15">
      <c r="A307" s="45">
        <v>174.19960717782038</v>
      </c>
      <c r="B307" s="45">
        <v>179.11917917950123</v>
      </c>
      <c r="C307" s="45">
        <v>171.7920512133982</v>
      </c>
      <c r="D307" s="45">
        <v>178.09944989704971</v>
      </c>
      <c r="E307" s="45">
        <v>944304.76948253601</v>
      </c>
      <c r="F307" s="45" t="s">
        <v>310</v>
      </c>
      <c r="G307" s="25">
        <f t="shared" si="2"/>
        <v>-2.1896994749190046E-2</v>
      </c>
      <c r="L307"/>
      <c r="M307"/>
    </row>
    <row r="308" spans="1:13" ht="15">
      <c r="A308" s="45">
        <v>179.31317645762618</v>
      </c>
      <c r="B308" s="45">
        <v>183.39209358743238</v>
      </c>
      <c r="C308" s="45">
        <v>179.03461626339552</v>
      </c>
      <c r="D308" s="45">
        <v>181.80032104897143</v>
      </c>
      <c r="E308" s="45">
        <v>439001.41704646096</v>
      </c>
      <c r="F308" s="45" t="s">
        <v>311</v>
      </c>
      <c r="G308" s="25">
        <f t="shared" si="2"/>
        <v>-1.3680639159461605E-2</v>
      </c>
      <c r="L308"/>
      <c r="M308"/>
    </row>
    <row r="309" spans="1:13" ht="15">
      <c r="A309" s="45">
        <v>181.89980683262525</v>
      </c>
      <c r="B309" s="45">
        <v>183.63085946820152</v>
      </c>
      <c r="C309" s="45">
        <v>180.39757149945271</v>
      </c>
      <c r="D309" s="45">
        <v>181.13376629849088</v>
      </c>
      <c r="E309" s="45">
        <v>442452.16133767163</v>
      </c>
      <c r="F309" s="45" t="s">
        <v>312</v>
      </c>
      <c r="G309" s="25">
        <f t="shared" si="2"/>
        <v>4.2291426374472252E-3</v>
      </c>
      <c r="L309"/>
      <c r="M309"/>
    </row>
    <row r="310" spans="1:13" ht="15">
      <c r="A310" s="45">
        <v>179.65142812204914</v>
      </c>
      <c r="B310" s="45">
        <v>181.14868916603896</v>
      </c>
      <c r="C310" s="45">
        <v>178.43272727228995</v>
      </c>
      <c r="D310" s="45">
        <v>180.31798287252965</v>
      </c>
      <c r="E310" s="45">
        <v>332587.21783947089</v>
      </c>
      <c r="F310" s="45" t="s">
        <v>313</v>
      </c>
      <c r="G310" s="25">
        <f t="shared" si="2"/>
        <v>-3.6965517241378532E-3</v>
      </c>
      <c r="L310"/>
      <c r="M310"/>
    </row>
    <row r="311" spans="1:13" ht="15">
      <c r="A311" s="45">
        <v>180.248342823972</v>
      </c>
      <c r="B311" s="45">
        <v>182.94440756099021</v>
      </c>
      <c r="C311" s="45">
        <v>179.06446199849168</v>
      </c>
      <c r="D311" s="45">
        <v>182.2380584970482</v>
      </c>
      <c r="E311" s="45">
        <v>478737.74775433721</v>
      </c>
      <c r="F311" s="45" t="s">
        <v>314</v>
      </c>
      <c r="G311" s="25">
        <f t="shared" si="2"/>
        <v>-1.0918222513374931E-2</v>
      </c>
      <c r="L311"/>
      <c r="M311"/>
    </row>
    <row r="312" spans="1:13" ht="15">
      <c r="A312" s="45">
        <v>182.71559025858647</v>
      </c>
      <c r="B312" s="45">
        <v>184.98386612589331</v>
      </c>
      <c r="C312" s="45">
        <v>180.29808571579889</v>
      </c>
      <c r="D312" s="45">
        <v>181.18350919031781</v>
      </c>
      <c r="E312" s="45">
        <v>495112.9517299016</v>
      </c>
      <c r="F312" s="45" t="s">
        <v>315</v>
      </c>
      <c r="G312" s="25">
        <f t="shared" si="2"/>
        <v>8.455963101251962E-3</v>
      </c>
      <c r="L312" s="44"/>
    </row>
    <row r="313" spans="1:13">
      <c r="A313" s="45">
        <v>180.04937125666436</v>
      </c>
      <c r="B313" s="45">
        <v>180.87510326099098</v>
      </c>
      <c r="C313" s="45">
        <v>178.2088842590689</v>
      </c>
      <c r="D313" s="45">
        <v>179.25348498743389</v>
      </c>
      <c r="E313" s="45">
        <v>588415.72986653005</v>
      </c>
      <c r="F313" s="45" t="s">
        <v>316</v>
      </c>
      <c r="G313" s="25">
        <f t="shared" si="2"/>
        <v>4.4400044400043637E-3</v>
      </c>
    </row>
    <row r="314" spans="1:13">
      <c r="A314" s="45">
        <v>179.81060537589525</v>
      </c>
      <c r="B314" s="45">
        <v>180.91489757445251</v>
      </c>
      <c r="C314" s="45">
        <v>175.74661111363713</v>
      </c>
      <c r="D314" s="45">
        <v>180.53685159656803</v>
      </c>
      <c r="E314" s="45">
        <v>654375.90788387158</v>
      </c>
      <c r="F314" s="45" t="s">
        <v>317</v>
      </c>
      <c r="G314" s="25">
        <f t="shared" ref="G314:G377" si="3">A314/D314-1</f>
        <v>-4.0227034771586068E-3</v>
      </c>
    </row>
    <row r="315" spans="1:13">
      <c r="A315" s="45">
        <v>179.83050253262599</v>
      </c>
      <c r="B315" s="45">
        <v>181.3874550468081</v>
      </c>
      <c r="C315" s="45">
        <v>179.00477052829939</v>
      </c>
      <c r="D315" s="45">
        <v>179.49225086820303</v>
      </c>
      <c r="E315" s="45">
        <v>644933.35272172978</v>
      </c>
      <c r="F315" s="45" t="s">
        <v>318</v>
      </c>
      <c r="G315" s="25">
        <f t="shared" si="3"/>
        <v>1.8844917414921891E-3</v>
      </c>
    </row>
    <row r="316" spans="1:13">
      <c r="A316" s="45">
        <v>181.51181227637537</v>
      </c>
      <c r="B316" s="45">
        <v>183.44183647925925</v>
      </c>
      <c r="C316" s="45">
        <v>178.60185310450146</v>
      </c>
      <c r="D316" s="45">
        <v>181.86996109752909</v>
      </c>
      <c r="E316" s="45">
        <v>596078.13118662871</v>
      </c>
      <c r="F316" s="45" t="s">
        <v>319</v>
      </c>
      <c r="G316" s="25">
        <f t="shared" si="3"/>
        <v>-1.9692576992506039E-3</v>
      </c>
    </row>
    <row r="317" spans="1:13">
      <c r="A317" s="45">
        <v>180.33788002926042</v>
      </c>
      <c r="B317" s="45">
        <v>181.94954972445211</v>
      </c>
      <c r="C317" s="45">
        <v>178.30837004272269</v>
      </c>
      <c r="D317" s="45">
        <v>181.04422909320246</v>
      </c>
      <c r="E317" s="45">
        <v>592891.74627455825</v>
      </c>
      <c r="F317" s="45" t="s">
        <v>320</v>
      </c>
      <c r="G317" s="25">
        <f t="shared" si="3"/>
        <v>-3.901527640399971E-3</v>
      </c>
    </row>
    <row r="318" spans="1:13">
      <c r="A318" s="45">
        <v>180.51695443983726</v>
      </c>
      <c r="B318" s="45">
        <v>181.1287920093082</v>
      </c>
      <c r="C318" s="45">
        <v>174.53288455306065</v>
      </c>
      <c r="D318" s="45">
        <v>176.05999133214661</v>
      </c>
      <c r="E318" s="45">
        <v>689051.21397588833</v>
      </c>
      <c r="F318" s="45" t="s">
        <v>321</v>
      </c>
      <c r="G318" s="25">
        <f t="shared" si="3"/>
        <v>2.5315025145504766E-2</v>
      </c>
    </row>
    <row r="319" spans="1:13">
      <c r="A319" s="45">
        <v>175.64215104080063</v>
      </c>
      <c r="B319" s="45">
        <v>180.96464046627943</v>
      </c>
      <c r="C319" s="45">
        <v>175.11487638743543</v>
      </c>
      <c r="D319" s="45">
        <v>179.9399368946452</v>
      </c>
      <c r="E319" s="45">
        <v>603594.78303914052</v>
      </c>
      <c r="F319" s="45" t="s">
        <v>322</v>
      </c>
      <c r="G319" s="25">
        <f t="shared" si="3"/>
        <v>-2.3884557969812592E-2</v>
      </c>
    </row>
    <row r="320" spans="1:13">
      <c r="A320" s="45">
        <v>178.24867857253042</v>
      </c>
      <c r="B320" s="45">
        <v>180.21849708887586</v>
      </c>
      <c r="C320" s="45">
        <v>177.58212382204991</v>
      </c>
      <c r="D320" s="45">
        <v>178.47749587493419</v>
      </c>
      <c r="E320" s="45">
        <v>443015.05583317933</v>
      </c>
      <c r="F320" s="45" t="s">
        <v>323</v>
      </c>
      <c r="G320" s="25">
        <f t="shared" si="3"/>
        <v>-1.2820512820512775E-3</v>
      </c>
    </row>
    <row r="321" spans="1:7">
      <c r="A321" s="45">
        <v>177.62191813551141</v>
      </c>
      <c r="B321" s="45">
        <v>178.55708450185722</v>
      </c>
      <c r="C321" s="45">
        <v>171.78906663988857</v>
      </c>
      <c r="D321" s="45">
        <v>173.60269247589753</v>
      </c>
      <c r="E321" s="45">
        <v>482712.18496011838</v>
      </c>
      <c r="F321" s="45" t="s">
        <v>324</v>
      </c>
      <c r="G321" s="25">
        <f t="shared" si="3"/>
        <v>2.3151862464183326E-2</v>
      </c>
    </row>
    <row r="322" spans="1:7">
      <c r="A322" s="45">
        <v>173.71212683791671</v>
      </c>
      <c r="B322" s="45">
        <v>176.58229169632912</v>
      </c>
      <c r="C322" s="45">
        <v>173.26444081147457</v>
      </c>
      <c r="D322" s="45">
        <v>174.51796168551255</v>
      </c>
      <c r="E322" s="45">
        <v>761207.25211878261</v>
      </c>
      <c r="F322" s="45" t="s">
        <v>325</v>
      </c>
      <c r="G322" s="25">
        <f t="shared" si="3"/>
        <v>-4.6174894538819622E-3</v>
      </c>
    </row>
    <row r="323" spans="1:7">
      <c r="A323" s="45">
        <v>177.04490059031934</v>
      </c>
      <c r="B323" s="45">
        <v>178.48744445329956</v>
      </c>
      <c r="C323" s="45">
        <v>175.9107626566659</v>
      </c>
      <c r="D323" s="45">
        <v>178.48744445329956</v>
      </c>
      <c r="E323" s="45">
        <v>449778.8362979496</v>
      </c>
      <c r="F323" s="45" t="s">
        <v>326</v>
      </c>
      <c r="G323" s="25">
        <f t="shared" si="3"/>
        <v>-8.0820467086559766E-3</v>
      </c>
    </row>
    <row r="324" spans="1:7">
      <c r="A324" s="45">
        <v>178.86549043118404</v>
      </c>
      <c r="B324" s="45">
        <v>183.92931681916295</v>
      </c>
      <c r="C324" s="45">
        <v>178.49739303166493</v>
      </c>
      <c r="D324" s="45">
        <v>180.41746865618347</v>
      </c>
      <c r="E324" s="45">
        <v>350676.23452010786</v>
      </c>
      <c r="F324" s="45" t="s">
        <v>327</v>
      </c>
      <c r="G324" s="25">
        <f t="shared" si="3"/>
        <v>-8.6021505376344676E-3</v>
      </c>
    </row>
    <row r="325" spans="1:7">
      <c r="A325" s="45">
        <v>179.56189091676072</v>
      </c>
      <c r="B325" s="45">
        <v>184.39690000233585</v>
      </c>
      <c r="C325" s="45">
        <v>178.95502763647247</v>
      </c>
      <c r="D325" s="45">
        <v>180.15880561868357</v>
      </c>
      <c r="E325" s="45">
        <v>499559.81824441248</v>
      </c>
      <c r="F325" s="45" t="s">
        <v>328</v>
      </c>
      <c r="G325" s="25">
        <f t="shared" si="3"/>
        <v>-3.313269644927952E-3</v>
      </c>
    </row>
    <row r="326" spans="1:7">
      <c r="A326" s="45">
        <v>180.81541179079872</v>
      </c>
      <c r="B326" s="45">
        <v>181.77047531387529</v>
      </c>
      <c r="C326" s="45">
        <v>176.50767735858875</v>
      </c>
      <c r="D326" s="45">
        <v>178.91523332301094</v>
      </c>
      <c r="E326" s="45">
        <v>364611.89395889151</v>
      </c>
      <c r="F326" s="45" t="s">
        <v>329</v>
      </c>
      <c r="G326" s="25">
        <f t="shared" si="3"/>
        <v>1.06205516014235E-2</v>
      </c>
    </row>
    <row r="327" spans="1:7">
      <c r="A327" s="45">
        <v>178.12929563214587</v>
      </c>
      <c r="B327" s="45">
        <v>179.99336076046728</v>
      </c>
      <c r="C327" s="45">
        <v>176.97526054176166</v>
      </c>
      <c r="D327" s="45">
        <v>178.77595322589559</v>
      </c>
      <c r="E327" s="45">
        <v>445243.51493414468</v>
      </c>
      <c r="F327" s="45" t="s">
        <v>330</v>
      </c>
      <c r="G327" s="25">
        <f t="shared" si="3"/>
        <v>-3.6171396772396447E-3</v>
      </c>
    </row>
    <row r="328" spans="1:7">
      <c r="A328" s="45">
        <v>177.06479774705008</v>
      </c>
      <c r="B328" s="45">
        <v>178.84061898527057</v>
      </c>
      <c r="C328" s="45">
        <v>176.41316586411762</v>
      </c>
      <c r="D328" s="45">
        <v>177.05484916868471</v>
      </c>
      <c r="E328" s="45">
        <v>268136.80327258038</v>
      </c>
      <c r="F328" s="45" t="s">
        <v>331</v>
      </c>
      <c r="G328" s="25">
        <f t="shared" si="3"/>
        <v>5.6189245378313046E-5</v>
      </c>
    </row>
    <row r="329" spans="1:7">
      <c r="A329" s="45">
        <v>176.13957995906966</v>
      </c>
      <c r="B329" s="45">
        <v>177.57714953286722</v>
      </c>
      <c r="C329" s="45">
        <v>174.36873301003186</v>
      </c>
      <c r="D329" s="45">
        <v>177.26376931435772</v>
      </c>
      <c r="E329" s="45">
        <v>337264.26799589471</v>
      </c>
      <c r="F329" s="45" t="s">
        <v>332</v>
      </c>
      <c r="G329" s="25">
        <f t="shared" si="3"/>
        <v>-6.3419014479739744E-3</v>
      </c>
    </row>
    <row r="330" spans="1:7">
      <c r="A330" s="45">
        <v>178.58693023695338</v>
      </c>
      <c r="B330" s="45">
        <v>180.25829140233736</v>
      </c>
      <c r="C330" s="45">
        <v>177.23392357926159</v>
      </c>
      <c r="D330" s="45">
        <v>178.4675472965688</v>
      </c>
      <c r="E330" s="45">
        <v>319097.85332212545</v>
      </c>
      <c r="F330" s="45" t="s">
        <v>333</v>
      </c>
      <c r="G330" s="25">
        <f t="shared" si="3"/>
        <v>6.6893360833941706E-4</v>
      </c>
    </row>
    <row r="331" spans="1:7">
      <c r="A331" s="45">
        <v>179.21369067397237</v>
      </c>
      <c r="B331" s="45">
        <v>179.83050253262599</v>
      </c>
      <c r="C331" s="45">
        <v>174.64729320426252</v>
      </c>
      <c r="D331" s="45">
        <v>175.04523633887774</v>
      </c>
      <c r="E331" s="45">
        <v>460723.11356060661</v>
      </c>
      <c r="F331" s="45" t="s">
        <v>334</v>
      </c>
      <c r="G331" s="25">
        <f t="shared" si="3"/>
        <v>2.3813583404376226E-2</v>
      </c>
    </row>
    <row r="332" spans="1:7">
      <c r="A332" s="45">
        <v>176.34850010474264</v>
      </c>
      <c r="B332" s="45">
        <v>177.99001553503052</v>
      </c>
      <c r="C332" s="45">
        <v>175.47302520858912</v>
      </c>
      <c r="D332" s="45">
        <v>177.99001553503052</v>
      </c>
      <c r="E332" s="45">
        <v>115558.21925276441</v>
      </c>
      <c r="F332" s="45" t="s">
        <v>335</v>
      </c>
      <c r="G332" s="25">
        <f t="shared" si="3"/>
        <v>-9.2225141132414867E-3</v>
      </c>
    </row>
    <row r="333" spans="1:7">
      <c r="A333" s="45">
        <v>177.33340936291538</v>
      </c>
      <c r="B333" s="45">
        <v>177.6816096057037</v>
      </c>
      <c r="C333" s="45">
        <v>174.50801310714718</v>
      </c>
      <c r="D333" s="45">
        <v>176.1196828023389</v>
      </c>
      <c r="E333" s="45">
        <v>345696.62857234856</v>
      </c>
      <c r="F333" s="45" t="s">
        <v>336</v>
      </c>
      <c r="G333" s="25">
        <f t="shared" si="3"/>
        <v>6.8914873185335068E-3</v>
      </c>
    </row>
    <row r="334" spans="1:7">
      <c r="A334" s="45">
        <v>177.24387215762695</v>
      </c>
      <c r="B334" s="45">
        <v>178.16908994560737</v>
      </c>
      <c r="C334" s="45">
        <v>174.06530136988775</v>
      </c>
      <c r="D334" s="45">
        <v>174.3488358533011</v>
      </c>
      <c r="E334" s="45">
        <v>1362922.3696104242</v>
      </c>
      <c r="F334" s="45" t="s">
        <v>337</v>
      </c>
      <c r="G334" s="25">
        <f t="shared" si="3"/>
        <v>1.6604850213979949E-2</v>
      </c>
    </row>
    <row r="335" spans="1:7">
      <c r="A335" s="45">
        <v>173.89120124849356</v>
      </c>
      <c r="B335" s="45">
        <v>175.09497923070467</v>
      </c>
      <c r="C335" s="45">
        <v>170.80714195522546</v>
      </c>
      <c r="D335" s="45">
        <v>171.12549646291765</v>
      </c>
      <c r="E335" s="45">
        <v>755926.09554842988</v>
      </c>
      <c r="F335" s="45" t="s">
        <v>338</v>
      </c>
      <c r="G335" s="25">
        <f t="shared" si="3"/>
        <v>1.6161851055171317E-2</v>
      </c>
    </row>
    <row r="336" spans="1:7">
      <c r="A336" s="45">
        <v>171.77215405666743</v>
      </c>
      <c r="B336" s="45">
        <v>177.62191813551141</v>
      </c>
      <c r="C336" s="45">
        <v>171.55825962181174</v>
      </c>
      <c r="D336" s="45">
        <v>176.48778020185799</v>
      </c>
      <c r="E336" s="45">
        <v>385382.70084312593</v>
      </c>
      <c r="F336" s="45" t="s">
        <v>339</v>
      </c>
      <c r="G336" s="25">
        <f t="shared" si="3"/>
        <v>-2.6719278466741714E-2</v>
      </c>
    </row>
    <row r="337" spans="1:7">
      <c r="A337" s="45">
        <v>177.36325509801151</v>
      </c>
      <c r="B337" s="45">
        <v>180.19859993214507</v>
      </c>
      <c r="C337" s="45">
        <v>175.97045412685819</v>
      </c>
      <c r="D337" s="45">
        <v>175.97045412685819</v>
      </c>
      <c r="E337" s="45">
        <v>413062.03249097546</v>
      </c>
      <c r="F337" s="45" t="s">
        <v>340</v>
      </c>
      <c r="G337" s="25">
        <f t="shared" si="3"/>
        <v>7.9149706015377852E-3</v>
      </c>
    </row>
    <row r="338" spans="1:7">
      <c r="A338" s="45">
        <v>176.33855152637727</v>
      </c>
      <c r="B338" s="45">
        <v>181.17853490113512</v>
      </c>
      <c r="C338" s="45">
        <v>175.74163682445442</v>
      </c>
      <c r="D338" s="45">
        <v>178.47749587493419</v>
      </c>
      <c r="E338" s="45">
        <v>670439.50954942277</v>
      </c>
      <c r="F338" s="45" t="s">
        <v>341</v>
      </c>
      <c r="G338" s="25">
        <f t="shared" si="3"/>
        <v>-1.1984392419175149E-2</v>
      </c>
    </row>
    <row r="339" spans="1:7">
      <c r="A339" s="45">
        <v>179.21369067397237</v>
      </c>
      <c r="B339" s="45">
        <v>183.42343160928331</v>
      </c>
      <c r="C339" s="45">
        <v>178.89533616628017</v>
      </c>
      <c r="D339" s="45">
        <v>182.11867555666362</v>
      </c>
      <c r="E339" s="45">
        <v>328852.01079428045</v>
      </c>
      <c r="F339" s="45" t="s">
        <v>342</v>
      </c>
      <c r="G339" s="25">
        <f t="shared" si="3"/>
        <v>-1.5951054299137013E-2</v>
      </c>
    </row>
    <row r="340" spans="1:7">
      <c r="A340" s="45">
        <v>182.36739001579815</v>
      </c>
      <c r="B340" s="45">
        <v>184.82468887204723</v>
      </c>
      <c r="C340" s="45">
        <v>181.90975541099061</v>
      </c>
      <c r="D340" s="45">
        <v>182.41713290762505</v>
      </c>
      <c r="E340" s="45">
        <v>384255.90668336849</v>
      </c>
      <c r="F340" s="45" t="s">
        <v>343</v>
      </c>
      <c r="G340" s="25">
        <f t="shared" si="3"/>
        <v>-2.7268760907495082E-4</v>
      </c>
    </row>
    <row r="341" spans="1:7">
      <c r="A341" s="45">
        <v>182.67579594512495</v>
      </c>
      <c r="B341" s="45">
        <v>186.38910282000339</v>
      </c>
      <c r="C341" s="45">
        <v>181.86001251916372</v>
      </c>
      <c r="D341" s="45">
        <v>185.85934102204683</v>
      </c>
      <c r="E341" s="45">
        <v>365561.77842006076</v>
      </c>
      <c r="F341" s="45" t="s">
        <v>344</v>
      </c>
      <c r="G341" s="25">
        <f t="shared" si="3"/>
        <v>-1.7128787067765661E-2</v>
      </c>
    </row>
    <row r="342" spans="1:7">
      <c r="A342" s="45">
        <v>185.56088367108543</v>
      </c>
      <c r="B342" s="45">
        <v>187.80916289587785</v>
      </c>
      <c r="C342" s="45">
        <v>182.95435613935561</v>
      </c>
      <c r="D342" s="45">
        <v>186.14784979464289</v>
      </c>
      <c r="E342" s="45">
        <v>328405.71587284218</v>
      </c>
      <c r="F342" s="45" t="s">
        <v>345</v>
      </c>
      <c r="G342" s="25">
        <f t="shared" si="3"/>
        <v>-3.1532253754474882E-3</v>
      </c>
    </row>
    <row r="343" spans="1:7">
      <c r="A343" s="45">
        <v>186.07820974608521</v>
      </c>
      <c r="B343" s="45">
        <v>187.89879958694993</v>
      </c>
      <c r="C343" s="45">
        <v>183.24286491195164</v>
      </c>
      <c r="D343" s="45">
        <v>183.24286491195164</v>
      </c>
      <c r="E343" s="45">
        <v>399389.72726259002</v>
      </c>
      <c r="F343" s="45" t="s">
        <v>346</v>
      </c>
      <c r="G343" s="25">
        <f t="shared" si="3"/>
        <v>1.5473152722731864E-2</v>
      </c>
    </row>
    <row r="344" spans="1:7">
      <c r="A344" s="45">
        <v>183.70049951675918</v>
      </c>
      <c r="B344" s="45">
        <v>187.63018797108464</v>
      </c>
      <c r="C344" s="45">
        <v>183.28265922541317</v>
      </c>
      <c r="D344" s="45">
        <v>186.52589577252738</v>
      </c>
      <c r="E344" s="45">
        <v>271961.47033580684</v>
      </c>
      <c r="F344" s="45" t="s">
        <v>347</v>
      </c>
      <c r="G344" s="25">
        <f t="shared" si="3"/>
        <v>-1.5147474531975069E-2</v>
      </c>
    </row>
    <row r="345" spans="1:7">
      <c r="A345" s="45">
        <v>185.51114077925851</v>
      </c>
      <c r="B345" s="45">
        <v>187.80926238166151</v>
      </c>
      <c r="C345" s="45">
        <v>185.12314622300866</v>
      </c>
      <c r="D345" s="45">
        <v>185.8294952869507</v>
      </c>
      <c r="E345" s="45">
        <v>497301.20408118778</v>
      </c>
      <c r="F345" s="45" t="s">
        <v>348</v>
      </c>
      <c r="G345" s="25">
        <f t="shared" si="3"/>
        <v>-1.7131538090904286E-3</v>
      </c>
    </row>
    <row r="346" spans="1:7">
      <c r="A346" s="45">
        <v>186.3667185186813</v>
      </c>
      <c r="B346" s="45">
        <v>188.63041803994005</v>
      </c>
      <c r="C346" s="45">
        <v>184.5759744129127</v>
      </c>
      <c r="D346" s="45">
        <v>187.22229625810402</v>
      </c>
      <c r="E346" s="45">
        <v>527837.225293739</v>
      </c>
      <c r="F346" s="45" t="s">
        <v>349</v>
      </c>
      <c r="G346" s="25">
        <f t="shared" si="3"/>
        <v>-4.569849620064681E-3</v>
      </c>
    </row>
    <row r="347" spans="1:7">
      <c r="A347" s="45">
        <v>187.16260478791176</v>
      </c>
      <c r="B347" s="45">
        <v>194.23604400569761</v>
      </c>
      <c r="C347" s="45">
        <v>184.3173113754128</v>
      </c>
      <c r="D347" s="45">
        <v>192.63432288887128</v>
      </c>
      <c r="E347" s="45">
        <v>521333.78353314096</v>
      </c>
      <c r="F347" s="45" t="s">
        <v>350</v>
      </c>
      <c r="G347" s="25">
        <f t="shared" si="3"/>
        <v>-2.8404689355988277E-2</v>
      </c>
    </row>
    <row r="348" spans="1:7">
      <c r="A348" s="45">
        <v>193.31082621771719</v>
      </c>
      <c r="B348" s="45">
        <v>193.94753523310155</v>
      </c>
      <c r="C348" s="45">
        <v>189.02298894223799</v>
      </c>
      <c r="D348" s="45">
        <v>190.71424726435274</v>
      </c>
      <c r="E348" s="45">
        <v>517529.21984475409</v>
      </c>
      <c r="F348" s="45" t="s">
        <v>351</v>
      </c>
      <c r="G348" s="25">
        <f t="shared" si="3"/>
        <v>1.3615023474178534E-2</v>
      </c>
    </row>
    <row r="349" spans="1:7">
      <c r="A349" s="45">
        <v>191.85833377637155</v>
      </c>
      <c r="B349" s="45">
        <v>192.42540274319825</v>
      </c>
      <c r="C349" s="45">
        <v>190.06758967060301</v>
      </c>
      <c r="D349" s="45">
        <v>190.07753824896838</v>
      </c>
      <c r="E349" s="45">
        <v>402597.220718242</v>
      </c>
      <c r="F349" s="45" t="s">
        <v>352</v>
      </c>
      <c r="G349" s="25">
        <f t="shared" si="3"/>
        <v>9.3687846749710424E-3</v>
      </c>
    </row>
    <row r="350" spans="1:7">
      <c r="A350" s="45">
        <v>191.01270461531419</v>
      </c>
      <c r="B350" s="45">
        <v>192.95267739656344</v>
      </c>
      <c r="C350" s="45">
        <v>190.41578991339134</v>
      </c>
      <c r="D350" s="45">
        <v>191.66931078742931</v>
      </c>
      <c r="E350" s="45">
        <v>280052.07353998814</v>
      </c>
      <c r="F350" s="45" t="s">
        <v>353</v>
      </c>
      <c r="G350" s="25">
        <f t="shared" si="3"/>
        <v>-3.4257240734972827E-3</v>
      </c>
    </row>
    <row r="351" spans="1:7">
      <c r="A351" s="45">
        <v>190.02779535714146</v>
      </c>
      <c r="B351" s="45">
        <v>194.35542694608219</v>
      </c>
      <c r="C351" s="45">
        <v>187.97838821387299</v>
      </c>
      <c r="D351" s="45">
        <v>194.35542694608219</v>
      </c>
      <c r="E351" s="45">
        <v>441682.20208131644</v>
      </c>
      <c r="F351" s="45" t="s">
        <v>354</v>
      </c>
      <c r="G351" s="25">
        <f t="shared" si="3"/>
        <v>-2.2266584766584829E-2</v>
      </c>
    </row>
    <row r="352" spans="1:7">
      <c r="A352" s="45">
        <v>193.63912930377472</v>
      </c>
      <c r="B352" s="45">
        <v>194.41511841627445</v>
      </c>
      <c r="C352" s="45">
        <v>191.65936220906394</v>
      </c>
      <c r="D352" s="45">
        <v>192.81339729944813</v>
      </c>
      <c r="E352" s="45">
        <v>877882.21384388453</v>
      </c>
      <c r="F352" s="45" t="s">
        <v>355</v>
      </c>
      <c r="G352" s="25">
        <f t="shared" si="3"/>
        <v>4.2825447603320743E-3</v>
      </c>
    </row>
    <row r="353" spans="1:7">
      <c r="A353" s="45">
        <v>190.72419584271813</v>
      </c>
      <c r="B353" s="45">
        <v>192.49504279175594</v>
      </c>
      <c r="C353" s="45">
        <v>189.47564925786284</v>
      </c>
      <c r="D353" s="45">
        <v>190.43568707012207</v>
      </c>
      <c r="E353" s="45">
        <v>311038.41034894547</v>
      </c>
      <c r="F353" s="45" t="s">
        <v>356</v>
      </c>
      <c r="G353" s="25">
        <f t="shared" si="3"/>
        <v>1.5149932086511164E-3</v>
      </c>
    </row>
    <row r="354" spans="1:7">
      <c r="A354" s="45">
        <v>189.65969795762234</v>
      </c>
      <c r="B354" s="45">
        <v>190.24666408117983</v>
      </c>
      <c r="C354" s="45">
        <v>186.50599861579661</v>
      </c>
      <c r="D354" s="45">
        <v>187.24219341483482</v>
      </c>
      <c r="E354" s="45">
        <v>362536.22050670686</v>
      </c>
      <c r="F354" s="45" t="s">
        <v>357</v>
      </c>
      <c r="G354" s="25">
        <f t="shared" si="3"/>
        <v>1.291110993039668E-2</v>
      </c>
    </row>
    <row r="355" spans="1:7">
      <c r="A355" s="45">
        <v>186.46620430233509</v>
      </c>
      <c r="B355" s="45">
        <v>191.36090485810251</v>
      </c>
      <c r="C355" s="45">
        <v>184.70530593166265</v>
      </c>
      <c r="D355" s="45">
        <v>191.27136765281406</v>
      </c>
      <c r="E355" s="45">
        <v>591543.81499156577</v>
      </c>
      <c r="F355" s="45" t="s">
        <v>358</v>
      </c>
      <c r="G355" s="25">
        <f t="shared" si="3"/>
        <v>-2.5122230313117555E-2</v>
      </c>
    </row>
    <row r="356" spans="1:7">
      <c r="A356" s="45">
        <v>192.07720250040992</v>
      </c>
      <c r="B356" s="45">
        <v>193.41031200137098</v>
      </c>
      <c r="C356" s="45">
        <v>188.95334889368033</v>
      </c>
      <c r="D356" s="45">
        <v>191.31116196627562</v>
      </c>
      <c r="E356" s="45">
        <v>570183.97922453214</v>
      </c>
      <c r="F356" s="45" t="s">
        <v>359</v>
      </c>
      <c r="G356" s="25">
        <f t="shared" si="3"/>
        <v>4.0041601664064785E-3</v>
      </c>
    </row>
    <row r="357" spans="1:7">
      <c r="A357" s="45">
        <v>193.43020915810175</v>
      </c>
      <c r="B357" s="45">
        <v>194.46486130810138</v>
      </c>
      <c r="C357" s="45">
        <v>190.485429961949</v>
      </c>
      <c r="D357" s="45">
        <v>190.485429961949</v>
      </c>
      <c r="E357" s="45">
        <v>483056.95783861686</v>
      </c>
      <c r="F357" s="45" t="s">
        <v>360</v>
      </c>
      <c r="G357" s="25">
        <f t="shared" si="3"/>
        <v>1.5459340888912099E-2</v>
      </c>
    </row>
    <row r="358" spans="1:7">
      <c r="A358" s="45">
        <v>191.16193329079491</v>
      </c>
      <c r="B358" s="45">
        <v>192.00756245185227</v>
      </c>
      <c r="C358" s="45">
        <v>188.97036096268513</v>
      </c>
      <c r="D358" s="45">
        <v>189.79897805473772</v>
      </c>
      <c r="E358" s="45">
        <v>518326.31865714263</v>
      </c>
      <c r="F358" s="45" t="s">
        <v>361</v>
      </c>
      <c r="G358" s="25">
        <f t="shared" si="3"/>
        <v>7.1810462312611456E-3</v>
      </c>
    </row>
    <row r="359" spans="1:7">
      <c r="A359" s="45">
        <v>189.46072639031479</v>
      </c>
      <c r="B359" s="45">
        <v>192.96135046268012</v>
      </c>
      <c r="C359" s="45">
        <v>189.19259348264424</v>
      </c>
      <c r="D359" s="45">
        <v>192.17184801231687</v>
      </c>
      <c r="E359" s="45">
        <v>286559.60459135764</v>
      </c>
      <c r="F359" s="45" t="s">
        <v>362</v>
      </c>
      <c r="G359" s="25">
        <f t="shared" si="3"/>
        <v>-1.4107798046612552E-2</v>
      </c>
    </row>
    <row r="360" spans="1:7">
      <c r="A360" s="45">
        <v>192.63859788863223</v>
      </c>
      <c r="B360" s="45">
        <v>196.06474059775579</v>
      </c>
      <c r="C360" s="45">
        <v>192.1519863154524</v>
      </c>
      <c r="D360" s="45">
        <v>194.42615060643584</v>
      </c>
      <c r="E360" s="45">
        <v>367619.14401464298</v>
      </c>
      <c r="F360" s="45" t="s">
        <v>363</v>
      </c>
      <c r="G360" s="25">
        <f t="shared" si="3"/>
        <v>-9.1939932577383976E-3</v>
      </c>
    </row>
    <row r="361" spans="1:7">
      <c r="A361" s="45">
        <v>194.227533637791</v>
      </c>
      <c r="B361" s="45">
        <v>198.76593137132562</v>
      </c>
      <c r="C361" s="45">
        <v>194.01898582071391</v>
      </c>
      <c r="D361" s="45">
        <v>196.87907016919962</v>
      </c>
      <c r="E361" s="45">
        <v>456419.21039536624</v>
      </c>
      <c r="F361" s="45" t="s">
        <v>364</v>
      </c>
      <c r="G361" s="25">
        <f t="shared" si="3"/>
        <v>-1.3467843631777998E-2</v>
      </c>
    </row>
    <row r="362" spans="1:7">
      <c r="A362" s="45">
        <v>196.65066065525806</v>
      </c>
      <c r="B362" s="45">
        <v>198.12042622322988</v>
      </c>
      <c r="C362" s="45">
        <v>194.13815600190082</v>
      </c>
      <c r="D362" s="45">
        <v>194.67442181724189</v>
      </c>
      <c r="E362" s="45">
        <v>505482.49067040265</v>
      </c>
      <c r="F362" s="45" t="s">
        <v>365</v>
      </c>
      <c r="G362" s="25">
        <f t="shared" si="3"/>
        <v>1.0151507422333284E-2</v>
      </c>
    </row>
    <row r="363" spans="1:7">
      <c r="A363" s="45">
        <v>194.19774109249428</v>
      </c>
      <c r="B363" s="45">
        <v>197.97146349674625</v>
      </c>
      <c r="C363" s="45">
        <v>193.23454810305108</v>
      </c>
      <c r="D363" s="45">
        <v>196.70031489741928</v>
      </c>
      <c r="E363" s="45">
        <v>650092.4914974689</v>
      </c>
      <c r="F363" s="45" t="s">
        <v>366</v>
      </c>
      <c r="G363" s="25">
        <f t="shared" si="3"/>
        <v>-1.2722774776594004E-2</v>
      </c>
    </row>
    <row r="364" spans="1:7">
      <c r="A364" s="45">
        <v>196.66059150369031</v>
      </c>
      <c r="B364" s="45">
        <v>201.92394117277863</v>
      </c>
      <c r="C364" s="45">
        <v>194.62476757508065</v>
      </c>
      <c r="D364" s="45">
        <v>201.53663808392116</v>
      </c>
      <c r="E364" s="45">
        <v>612428.03588201327</v>
      </c>
      <c r="F364" s="45" t="s">
        <v>367</v>
      </c>
      <c r="G364" s="25">
        <f t="shared" si="3"/>
        <v>-2.4194343155612419E-2</v>
      </c>
    </row>
    <row r="365" spans="1:7">
      <c r="A365" s="45">
        <v>200.52369154383246</v>
      </c>
      <c r="B365" s="45">
        <v>206.82978029830622</v>
      </c>
      <c r="C365" s="45">
        <v>198.78579306819009</v>
      </c>
      <c r="D365" s="45">
        <v>206.82978029830622</v>
      </c>
      <c r="E365" s="45">
        <v>645211.7403380177</v>
      </c>
      <c r="F365" s="45" t="s">
        <v>368</v>
      </c>
      <c r="G365" s="25">
        <f t="shared" si="3"/>
        <v>-3.0489268737696418E-2</v>
      </c>
    </row>
    <row r="366" spans="1:7">
      <c r="A366" s="45">
        <v>202.09276559612672</v>
      </c>
      <c r="B366" s="45">
        <v>208.22009907882008</v>
      </c>
      <c r="C366" s="45">
        <v>201.98352626337206</v>
      </c>
      <c r="D366" s="45">
        <v>204.56554685575503</v>
      </c>
      <c r="E366" s="45">
        <v>536554.35750085162</v>
      </c>
      <c r="F366" s="45" t="s">
        <v>369</v>
      </c>
      <c r="G366" s="25">
        <f t="shared" si="3"/>
        <v>-1.2087965435215398E-2</v>
      </c>
    </row>
    <row r="367" spans="1:7">
      <c r="A367" s="45">
        <v>205.89628054567547</v>
      </c>
      <c r="B367" s="45">
        <v>210.69288033844839</v>
      </c>
      <c r="C367" s="45">
        <v>204.8237489149933</v>
      </c>
      <c r="D367" s="45">
        <v>208.8556733784836</v>
      </c>
      <c r="E367" s="45">
        <v>779095.56799601566</v>
      </c>
      <c r="F367" s="45" t="s">
        <v>370</v>
      </c>
      <c r="G367" s="25">
        <f t="shared" si="3"/>
        <v>-1.4169559222100614E-2</v>
      </c>
    </row>
    <row r="368" spans="1:7">
      <c r="A368" s="45">
        <v>209.74944973738539</v>
      </c>
      <c r="B368" s="45">
        <v>211.29866209281516</v>
      </c>
      <c r="C368" s="45">
        <v>200.54355324069695</v>
      </c>
      <c r="D368" s="45">
        <v>200.54355324069695</v>
      </c>
      <c r="E368" s="45">
        <v>1064883.8386925643</v>
      </c>
      <c r="F368" s="45" t="s">
        <v>371</v>
      </c>
      <c r="G368" s="25">
        <f t="shared" si="3"/>
        <v>4.5904724175497735E-2</v>
      </c>
    </row>
    <row r="369" spans="1:7">
      <c r="A369" s="45">
        <v>199.66963857865966</v>
      </c>
      <c r="B369" s="45">
        <v>213.64234232282428</v>
      </c>
      <c r="C369" s="45">
        <v>194.15811700724961</v>
      </c>
      <c r="D369" s="45">
        <v>205.92607309097218</v>
      </c>
      <c r="E369" s="45">
        <v>1495309.298225526</v>
      </c>
      <c r="F369" s="45" t="s">
        <v>372</v>
      </c>
      <c r="G369" s="25">
        <f t="shared" si="3"/>
        <v>-3.038194444444442E-2</v>
      </c>
    </row>
    <row r="370" spans="1:7">
      <c r="A370" s="45">
        <v>233.59341682319868</v>
      </c>
      <c r="B370" s="45">
        <v>236.74149577621941</v>
      </c>
      <c r="C370" s="45">
        <v>233.14652864374779</v>
      </c>
      <c r="D370" s="45">
        <v>234.00058160892058</v>
      </c>
      <c r="E370" s="45">
        <v>442155.57512125309</v>
      </c>
      <c r="F370" s="45" t="s">
        <v>373</v>
      </c>
      <c r="G370" s="25">
        <f t="shared" si="3"/>
        <v>-1.7400161269786052E-3</v>
      </c>
    </row>
    <row r="371" spans="1:7">
      <c r="A371" s="45">
        <v>234.8049803319322</v>
      </c>
      <c r="B371" s="45">
        <v>237.47141313598922</v>
      </c>
      <c r="C371" s="45">
        <v>233.67286361065661</v>
      </c>
      <c r="D371" s="45">
        <v>234.50705487896494</v>
      </c>
      <c r="E371" s="45">
        <v>245851.09889234079</v>
      </c>
      <c r="F371" s="45" t="s">
        <v>374</v>
      </c>
      <c r="G371" s="25">
        <f t="shared" si="3"/>
        <v>1.270432794105103E-3</v>
      </c>
    </row>
    <row r="372" spans="1:7">
      <c r="A372" s="45">
        <v>234.99366645214479</v>
      </c>
      <c r="B372" s="45">
        <v>236.35419268736197</v>
      </c>
      <c r="C372" s="45">
        <v>231.58738543988576</v>
      </c>
      <c r="D372" s="45">
        <v>233.76224124654678</v>
      </c>
      <c r="E372" s="45">
        <v>247501.51175603803</v>
      </c>
      <c r="F372" s="45" t="s">
        <v>375</v>
      </c>
      <c r="G372" s="25">
        <f t="shared" si="3"/>
        <v>5.2678533497598767E-3</v>
      </c>
    </row>
    <row r="373" spans="1:7">
      <c r="A373" s="45">
        <v>232.01441192247216</v>
      </c>
      <c r="B373" s="45">
        <v>234.52691657582943</v>
      </c>
      <c r="C373" s="45">
        <v>231.33911422907971</v>
      </c>
      <c r="D373" s="45">
        <v>233.40473070298609</v>
      </c>
      <c r="E373" s="45">
        <v>253911.84018208849</v>
      </c>
      <c r="F373" s="45" t="s">
        <v>376</v>
      </c>
      <c r="G373" s="25">
        <f t="shared" si="3"/>
        <v>-5.9566863804622061E-3</v>
      </c>
    </row>
    <row r="374" spans="1:7">
      <c r="A374" s="45">
        <v>233.99065076048836</v>
      </c>
      <c r="B374" s="45">
        <v>237.80409655846933</v>
      </c>
      <c r="C374" s="45">
        <v>233.92113482146266</v>
      </c>
      <c r="D374" s="45">
        <v>237.32741583372169</v>
      </c>
      <c r="E374" s="45">
        <v>243277.30067415276</v>
      </c>
      <c r="F374" s="45" t="s">
        <v>377</v>
      </c>
      <c r="G374" s="25">
        <f t="shared" si="3"/>
        <v>-1.4059753954305698E-2</v>
      </c>
    </row>
    <row r="375" spans="1:7">
      <c r="A375" s="45">
        <v>236.1754374155816</v>
      </c>
      <c r="B375" s="45">
        <v>236.30453844520076</v>
      </c>
      <c r="C375" s="45">
        <v>233.22101000698959</v>
      </c>
      <c r="D375" s="45">
        <v>235.04332069430603</v>
      </c>
      <c r="E375" s="45">
        <v>234822.83673052734</v>
      </c>
      <c r="F375" s="45" t="s">
        <v>378</v>
      </c>
      <c r="G375" s="25">
        <f t="shared" si="3"/>
        <v>4.8166300490111169E-3</v>
      </c>
    </row>
    <row r="376" spans="1:7">
      <c r="A376" s="45">
        <v>235.07311323960275</v>
      </c>
      <c r="B376" s="45">
        <v>235.65903329710503</v>
      </c>
      <c r="C376" s="45">
        <v>232.55067773781323</v>
      </c>
      <c r="D376" s="45">
        <v>234.65601760544857</v>
      </c>
      <c r="E376" s="45">
        <v>224133.92120389751</v>
      </c>
      <c r="F376" s="45" t="s">
        <v>379</v>
      </c>
      <c r="G376" s="25">
        <f t="shared" si="3"/>
        <v>1.7774768293199461E-3</v>
      </c>
    </row>
    <row r="377" spans="1:7">
      <c r="A377" s="45">
        <v>234.7851186350677</v>
      </c>
      <c r="B377" s="45">
        <v>238.16160710203002</v>
      </c>
      <c r="C377" s="45">
        <v>233.81189548870799</v>
      </c>
      <c r="D377" s="45">
        <v>237.65513383198569</v>
      </c>
      <c r="E377" s="45">
        <v>275427.62520870171</v>
      </c>
      <c r="F377" s="45" t="s">
        <v>380</v>
      </c>
      <c r="G377" s="25">
        <f t="shared" si="3"/>
        <v>-1.2076386277213746E-2</v>
      </c>
    </row>
    <row r="378" spans="1:7">
      <c r="A378" s="45">
        <v>238.28077728321693</v>
      </c>
      <c r="B378" s="45">
        <v>239.74061200275654</v>
      </c>
      <c r="C378" s="45">
        <v>232.80887979705156</v>
      </c>
      <c r="D378" s="45">
        <v>234.139613486972</v>
      </c>
      <c r="E378" s="45">
        <v>435101.79714065563</v>
      </c>
      <c r="F378" s="45" t="s">
        <v>381</v>
      </c>
      <c r="G378" s="25">
        <f t="shared" ref="G378:G441" si="4">A378/D378-1</f>
        <v>1.7686728591423728E-2</v>
      </c>
    </row>
    <row r="379" spans="1:7">
      <c r="A379" s="45">
        <v>232.52088519251652</v>
      </c>
      <c r="B379" s="45">
        <v>234.68581015074528</v>
      </c>
      <c r="C379" s="45">
        <v>232.08889328571399</v>
      </c>
      <c r="D379" s="45">
        <v>233.78210294341127</v>
      </c>
      <c r="E379" s="45">
        <v>305915.45331984357</v>
      </c>
      <c r="F379" s="45" t="s">
        <v>382</v>
      </c>
      <c r="G379" s="25">
        <f t="shared" si="4"/>
        <v>-5.3948430398029767E-3</v>
      </c>
    </row>
    <row r="380" spans="1:7">
      <c r="A380" s="45">
        <v>233.49410833887626</v>
      </c>
      <c r="B380" s="45">
        <v>236.25984962725568</v>
      </c>
      <c r="C380" s="45">
        <v>233.13659779531554</v>
      </c>
      <c r="D380" s="45">
        <v>235.56965566121485</v>
      </c>
      <c r="E380" s="45">
        <v>215073.26534816364</v>
      </c>
      <c r="F380" s="45" t="s">
        <v>383</v>
      </c>
      <c r="G380" s="25">
        <f t="shared" si="4"/>
        <v>-8.810758399730223E-3</v>
      </c>
    </row>
    <row r="381" spans="1:7">
      <c r="A381" s="45">
        <v>233.75231039811453</v>
      </c>
      <c r="B381" s="45">
        <v>238.60352985726479</v>
      </c>
      <c r="C381" s="45">
        <v>233.40473070298609</v>
      </c>
      <c r="D381" s="45">
        <v>236.12578317342042</v>
      </c>
      <c r="E381" s="45">
        <v>280284.2092487333</v>
      </c>
      <c r="F381" s="45" t="s">
        <v>384</v>
      </c>
      <c r="G381" s="25">
        <f t="shared" si="4"/>
        <v>-1.0051730664087266E-2</v>
      </c>
    </row>
    <row r="382" spans="1:7">
      <c r="A382" s="45">
        <v>235.69875669083399</v>
      </c>
      <c r="B382" s="45">
        <v>237.43665516647636</v>
      </c>
      <c r="C382" s="45">
        <v>232.66984791900015</v>
      </c>
      <c r="D382" s="45">
        <v>234.56663996955839</v>
      </c>
      <c r="E382" s="45">
        <v>257206.62412962806</v>
      </c>
      <c r="F382" s="45" t="s">
        <v>385</v>
      </c>
      <c r="G382" s="25">
        <f t="shared" si="4"/>
        <v>4.8264182895849661E-3</v>
      </c>
    </row>
    <row r="383" spans="1:7">
      <c r="A383" s="45">
        <v>234.3978155462103</v>
      </c>
      <c r="B383" s="45">
        <v>237.62534128668898</v>
      </c>
      <c r="C383" s="45">
        <v>233.89134227616594</v>
      </c>
      <c r="D383" s="45">
        <v>234.32829960718459</v>
      </c>
      <c r="E383" s="45">
        <v>215344.13847832504</v>
      </c>
      <c r="F383" s="45" t="s">
        <v>386</v>
      </c>
      <c r="G383" s="25">
        <f t="shared" si="4"/>
        <v>2.9666045092402449E-4</v>
      </c>
    </row>
    <row r="384" spans="1:7">
      <c r="A384" s="45">
        <v>232.99756591726415</v>
      </c>
      <c r="B384" s="45">
        <v>235.34124614727327</v>
      </c>
      <c r="C384" s="45">
        <v>231.68669392420819</v>
      </c>
      <c r="D384" s="45">
        <v>231.68669392420819</v>
      </c>
      <c r="E384" s="45">
        <v>322350.10148848471</v>
      </c>
      <c r="F384" s="45" t="s">
        <v>387</v>
      </c>
      <c r="G384" s="25">
        <f t="shared" si="4"/>
        <v>5.6579511358765266E-3</v>
      </c>
    </row>
    <row r="385" spans="1:7">
      <c r="A385" s="45">
        <v>232.78901810018706</v>
      </c>
      <c r="B385" s="45">
        <v>234.58153624220677</v>
      </c>
      <c r="C385" s="45">
        <v>231.86544919598853</v>
      </c>
      <c r="D385" s="45">
        <v>233.32528391552813</v>
      </c>
      <c r="E385" s="45">
        <v>185391.00788434196</v>
      </c>
      <c r="F385" s="45" t="s">
        <v>388</v>
      </c>
      <c r="G385" s="25">
        <f t="shared" si="4"/>
        <v>-2.2983613534794944E-3</v>
      </c>
    </row>
    <row r="386" spans="1:7">
      <c r="A386" s="45">
        <v>233.32528391552813</v>
      </c>
      <c r="B386" s="45">
        <v>234.64608675701635</v>
      </c>
      <c r="C386" s="45">
        <v>230.91208774649331</v>
      </c>
      <c r="D386" s="45">
        <v>232.65991707056793</v>
      </c>
      <c r="E386" s="45">
        <v>350941.81768849667</v>
      </c>
      <c r="F386" s="45" t="s">
        <v>389</v>
      </c>
      <c r="G386" s="25">
        <f t="shared" si="4"/>
        <v>2.859825849410802E-3</v>
      </c>
    </row>
    <row r="387" spans="1:7">
      <c r="A387" s="45">
        <v>231.34904507751196</v>
      </c>
      <c r="B387" s="45">
        <v>236.53294795914235</v>
      </c>
      <c r="C387" s="45">
        <v>230.84257180746761</v>
      </c>
      <c r="D387" s="45">
        <v>236.23502250617506</v>
      </c>
      <c r="E387" s="45">
        <v>363301.28534500673</v>
      </c>
      <c r="F387" s="45" t="s">
        <v>390</v>
      </c>
      <c r="G387" s="25">
        <f t="shared" si="4"/>
        <v>-2.0682697158231012E-2</v>
      </c>
    </row>
    <row r="388" spans="1:7">
      <c r="A388" s="45">
        <v>237.52603280236656</v>
      </c>
      <c r="B388" s="45">
        <v>239.10503770309305</v>
      </c>
      <c r="C388" s="45">
        <v>235.87254653839821</v>
      </c>
      <c r="D388" s="45">
        <v>239.10503770309305</v>
      </c>
      <c r="E388" s="45">
        <v>212134.94641206323</v>
      </c>
      <c r="F388" s="45" t="s">
        <v>391</v>
      </c>
      <c r="G388" s="25">
        <f t="shared" si="4"/>
        <v>-6.6038127673713198E-3</v>
      </c>
    </row>
    <row r="389" spans="1:7">
      <c r="A389" s="45">
        <v>237.88354334592725</v>
      </c>
      <c r="B389" s="45">
        <v>242.21339326238481</v>
      </c>
      <c r="C389" s="45">
        <v>237.6352721351212</v>
      </c>
      <c r="D389" s="45">
        <v>242.21339326238481</v>
      </c>
      <c r="E389" s="45">
        <v>267846.19845410954</v>
      </c>
      <c r="F389" s="45" t="s">
        <v>392</v>
      </c>
      <c r="G389" s="25">
        <f t="shared" si="4"/>
        <v>-1.7876178761787598E-2</v>
      </c>
    </row>
    <row r="390" spans="1:7">
      <c r="A390" s="45">
        <v>242.24318580768156</v>
      </c>
      <c r="B390" s="45">
        <v>243.62357373976317</v>
      </c>
      <c r="C390" s="45">
        <v>241.33947860034752</v>
      </c>
      <c r="D390" s="45">
        <v>241.4785104783989</v>
      </c>
      <c r="E390" s="45">
        <v>215417.64679989303</v>
      </c>
      <c r="F390" s="45" t="s">
        <v>393</v>
      </c>
      <c r="G390" s="25">
        <f t="shared" si="4"/>
        <v>3.1666392498765905E-3</v>
      </c>
    </row>
    <row r="391" spans="1:7">
      <c r="A391" s="45">
        <v>243.43488761955058</v>
      </c>
      <c r="B391" s="45">
        <v>245.73884445583076</v>
      </c>
      <c r="C391" s="45">
        <v>240.42584054458123</v>
      </c>
      <c r="D391" s="45">
        <v>245.40119560913453</v>
      </c>
      <c r="E391" s="45">
        <v>270351.52316727536</v>
      </c>
      <c r="F391" s="45" t="s">
        <v>394</v>
      </c>
      <c r="G391" s="25">
        <f t="shared" si="4"/>
        <v>-8.0126259560520108E-3</v>
      </c>
    </row>
    <row r="392" spans="1:7">
      <c r="A392" s="45">
        <v>245.60974342621159</v>
      </c>
      <c r="B392" s="45">
        <v>246.82130693494514</v>
      </c>
      <c r="C392" s="45">
        <v>243.76260561781459</v>
      </c>
      <c r="D392" s="45">
        <v>244.66631282514862</v>
      </c>
      <c r="E392" s="45">
        <v>262824.47243137727</v>
      </c>
      <c r="F392" s="45" t="s">
        <v>395</v>
      </c>
      <c r="G392" s="25">
        <f t="shared" si="4"/>
        <v>3.855988959694745E-3</v>
      </c>
    </row>
    <row r="393" spans="1:7">
      <c r="A393" s="45">
        <v>245.12313185303177</v>
      </c>
      <c r="B393" s="45">
        <v>248.1768677459462</v>
      </c>
      <c r="C393" s="45">
        <v>243.62357373976317</v>
      </c>
      <c r="D393" s="45">
        <v>244.29887143315565</v>
      </c>
      <c r="E393" s="45">
        <v>323748.77352489438</v>
      </c>
      <c r="F393" s="45" t="s">
        <v>396</v>
      </c>
      <c r="G393" s="25">
        <f t="shared" si="4"/>
        <v>3.3739837398374384E-3</v>
      </c>
    </row>
    <row r="394" spans="1:7">
      <c r="A394" s="45">
        <v>243.25613234777023</v>
      </c>
      <c r="B394" s="45">
        <v>246.08145872674311</v>
      </c>
      <c r="C394" s="45">
        <v>241.77643593136617</v>
      </c>
      <c r="D394" s="45">
        <v>244.97416912654813</v>
      </c>
      <c r="E394" s="45">
        <v>421595.39827502344</v>
      </c>
      <c r="F394" s="45" t="s">
        <v>397</v>
      </c>
      <c r="G394" s="25">
        <f t="shared" si="4"/>
        <v>-7.0131344251662675E-3</v>
      </c>
    </row>
    <row r="395" spans="1:7">
      <c r="A395" s="45">
        <v>243.32564828679594</v>
      </c>
      <c r="B395" s="45">
        <v>246.44393469451995</v>
      </c>
      <c r="C395" s="45">
        <v>239.4277902771409</v>
      </c>
      <c r="D395" s="45">
        <v>244.88479149065793</v>
      </c>
      <c r="E395" s="45">
        <v>484749.11613499915</v>
      </c>
      <c r="F395" s="45" t="s">
        <v>398</v>
      </c>
      <c r="G395" s="25">
        <f t="shared" si="4"/>
        <v>-6.3668437487326424E-3</v>
      </c>
    </row>
    <row r="396" spans="1:7">
      <c r="A396" s="45">
        <v>244.19956294883323</v>
      </c>
      <c r="B396" s="45">
        <v>244.87982606644184</v>
      </c>
      <c r="C396" s="45">
        <v>242.55600753329716</v>
      </c>
      <c r="D396" s="45">
        <v>243.43488761955058</v>
      </c>
      <c r="E396" s="45">
        <v>253761.80264902511</v>
      </c>
      <c r="F396" s="45" t="s">
        <v>399</v>
      </c>
      <c r="G396" s="25">
        <f t="shared" si="4"/>
        <v>3.1411903887732517E-3</v>
      </c>
    </row>
    <row r="397" spans="1:7">
      <c r="A397" s="45">
        <v>243.17668556031231</v>
      </c>
      <c r="B397" s="45">
        <v>243.20647810560902</v>
      </c>
      <c r="C397" s="45">
        <v>240.28680866652985</v>
      </c>
      <c r="D397" s="45">
        <v>241.75657423450167</v>
      </c>
      <c r="E397" s="45">
        <v>158638.00668683831</v>
      </c>
      <c r="F397" s="45" t="s">
        <v>400</v>
      </c>
      <c r="G397" s="25">
        <f t="shared" si="4"/>
        <v>5.8741373644430883E-3</v>
      </c>
    </row>
    <row r="398" spans="1:7">
      <c r="A398" s="45">
        <v>240.82307448187092</v>
      </c>
      <c r="B398" s="45">
        <v>242.72979738086138</v>
      </c>
      <c r="C398" s="45">
        <v>239.38310145919581</v>
      </c>
      <c r="D398" s="45">
        <v>242.72979738086138</v>
      </c>
      <c r="E398" s="45">
        <v>633948.85572517221</v>
      </c>
      <c r="F398" s="45" t="s">
        <v>401</v>
      </c>
      <c r="G398" s="25">
        <f t="shared" si="4"/>
        <v>-7.8553309876441269E-3</v>
      </c>
    </row>
    <row r="399" spans="1:7">
      <c r="A399" s="45">
        <v>243.98108428332392</v>
      </c>
      <c r="B399" s="45">
        <v>244.93444573281914</v>
      </c>
      <c r="C399" s="45">
        <v>241.05644942002863</v>
      </c>
      <c r="D399" s="45">
        <v>241.97505290001101</v>
      </c>
      <c r="E399" s="45">
        <v>301666.06815522956</v>
      </c>
      <c r="F399" s="45" t="s">
        <v>402</v>
      </c>
      <c r="G399" s="25">
        <f t="shared" si="4"/>
        <v>8.290240499056134E-3</v>
      </c>
    </row>
    <row r="400" spans="1:7">
      <c r="A400" s="45">
        <v>239.85978218394342</v>
      </c>
      <c r="B400" s="45">
        <v>242.96813774323522</v>
      </c>
      <c r="C400" s="45">
        <v>238.12188370830108</v>
      </c>
      <c r="D400" s="45">
        <v>238.6482186752099</v>
      </c>
      <c r="E400" s="45">
        <v>262394.49909837014</v>
      </c>
      <c r="F400" s="45" t="s">
        <v>403</v>
      </c>
      <c r="G400" s="25">
        <f t="shared" si="4"/>
        <v>5.0767758312180167E-3</v>
      </c>
    </row>
    <row r="401" spans="1:7">
      <c r="A401" s="45">
        <v>239.77040454805325</v>
      </c>
      <c r="B401" s="45">
        <v>245.6991210621018</v>
      </c>
      <c r="C401" s="45">
        <v>238.89817813024945</v>
      </c>
      <c r="D401" s="45">
        <v>244.39817991747807</v>
      </c>
      <c r="E401" s="45">
        <v>320242.52728243324</v>
      </c>
      <c r="F401" s="45" t="s">
        <v>404</v>
      </c>
      <c r="G401" s="25">
        <f t="shared" si="4"/>
        <v>-1.8935392117025662E-2</v>
      </c>
    </row>
    <row r="402" spans="1:7">
      <c r="A402" s="45">
        <v>244.34852567531686</v>
      </c>
      <c r="B402" s="45">
        <v>246.95537338878043</v>
      </c>
      <c r="C402" s="45">
        <v>243.66329713349216</v>
      </c>
      <c r="D402" s="45">
        <v>245.88780718231439</v>
      </c>
      <c r="E402" s="45">
        <v>291705.18710111536</v>
      </c>
      <c r="F402" s="45" t="s">
        <v>405</v>
      </c>
      <c r="G402" s="25">
        <f t="shared" si="4"/>
        <v>-6.2600969305330878E-3</v>
      </c>
    </row>
    <row r="403" spans="1:7">
      <c r="A403" s="45">
        <v>244.34852567531686</v>
      </c>
      <c r="B403" s="45">
        <v>245.14299354989623</v>
      </c>
      <c r="C403" s="45">
        <v>240.35632460555553</v>
      </c>
      <c r="D403" s="45">
        <v>241.00182975365129</v>
      </c>
      <c r="E403" s="45">
        <v>292616.48889589636</v>
      </c>
      <c r="F403" s="45" t="s">
        <v>406</v>
      </c>
      <c r="G403" s="25">
        <f t="shared" si="4"/>
        <v>1.388659963738248E-2</v>
      </c>
    </row>
    <row r="404" spans="1:7">
      <c r="A404" s="45">
        <v>241.05148399581248</v>
      </c>
      <c r="B404" s="45">
        <v>242.92841434950626</v>
      </c>
      <c r="C404" s="45">
        <v>239.3533089138991</v>
      </c>
      <c r="D404" s="45">
        <v>242.40207938259741</v>
      </c>
      <c r="E404" s="45">
        <v>209487.63987230725</v>
      </c>
      <c r="F404" s="45" t="s">
        <v>407</v>
      </c>
      <c r="G404" s="25">
        <f t="shared" si="4"/>
        <v>-5.5717153508951789E-3</v>
      </c>
    </row>
    <row r="405" spans="1:7">
      <c r="A405" s="45">
        <v>242.83903671361605</v>
      </c>
      <c r="B405" s="45">
        <v>243.82219070840804</v>
      </c>
      <c r="C405" s="45">
        <v>238.42974000970057</v>
      </c>
      <c r="D405" s="45">
        <v>243.82219070840804</v>
      </c>
      <c r="E405" s="45">
        <v>234421.05837017638</v>
      </c>
      <c r="F405" s="45" t="s">
        <v>408</v>
      </c>
      <c r="G405" s="25">
        <f t="shared" si="4"/>
        <v>-4.0322580645162365E-3</v>
      </c>
    </row>
    <row r="406" spans="1:7">
      <c r="A406" s="45">
        <v>245.09333930773502</v>
      </c>
      <c r="B406" s="45">
        <v>245.78849869799197</v>
      </c>
      <c r="C406" s="45">
        <v>242.52124956378432</v>
      </c>
      <c r="D406" s="45">
        <v>243.63350458819545</v>
      </c>
      <c r="E406" s="45">
        <v>277853.39982044464</v>
      </c>
      <c r="F406" s="45" t="s">
        <v>409</v>
      </c>
      <c r="G406" s="25">
        <f t="shared" si="4"/>
        <v>5.991929238168936E-3</v>
      </c>
    </row>
    <row r="407" spans="1:7">
      <c r="A407" s="45">
        <v>243.34550998366041</v>
      </c>
      <c r="B407" s="45">
        <v>246.42407299765546</v>
      </c>
      <c r="C407" s="45">
        <v>242.83903671361605</v>
      </c>
      <c r="D407" s="45">
        <v>243.28592489306695</v>
      </c>
      <c r="E407" s="45">
        <v>330165.14373079973</v>
      </c>
      <c r="F407" s="45" t="s">
        <v>410</v>
      </c>
      <c r="G407" s="25">
        <f t="shared" si="4"/>
        <v>2.4491795248593462E-4</v>
      </c>
    </row>
    <row r="408" spans="1:7">
      <c r="A408" s="45">
        <v>242.83903671361605</v>
      </c>
      <c r="B408" s="45">
        <v>246.27511027117185</v>
      </c>
      <c r="C408" s="45">
        <v>240.11798424318172</v>
      </c>
      <c r="D408" s="45">
        <v>242.13394647492686</v>
      </c>
      <c r="E408" s="45">
        <v>333376.34972367983</v>
      </c>
      <c r="F408" s="45" t="s">
        <v>411</v>
      </c>
      <c r="G408" s="25">
        <f t="shared" si="4"/>
        <v>2.9119842506768467E-3</v>
      </c>
    </row>
    <row r="409" spans="1:7">
      <c r="A409" s="45">
        <v>241.46857962996665</v>
      </c>
      <c r="B409" s="45">
        <v>243.20647810560902</v>
      </c>
      <c r="C409" s="45">
        <v>239.58171842784066</v>
      </c>
      <c r="D409" s="45">
        <v>243.20647810560902</v>
      </c>
      <c r="E409" s="45">
        <v>223213.55673933419</v>
      </c>
      <c r="F409" s="45" t="s">
        <v>412</v>
      </c>
      <c r="G409" s="25">
        <f t="shared" si="4"/>
        <v>-7.1457737852184122E-3</v>
      </c>
    </row>
    <row r="410" spans="1:7">
      <c r="A410" s="45">
        <v>243.26606319620248</v>
      </c>
      <c r="B410" s="45">
        <v>246.27511027117185</v>
      </c>
      <c r="C410" s="45">
        <v>242.47159532162311</v>
      </c>
      <c r="D410" s="45">
        <v>242.75958992615813</v>
      </c>
      <c r="E410" s="45">
        <v>227535.44326220703</v>
      </c>
      <c r="F410" s="45" t="s">
        <v>413</v>
      </c>
      <c r="G410" s="25">
        <f t="shared" si="4"/>
        <v>2.0863162200859264E-3</v>
      </c>
    </row>
    <row r="411" spans="1:7">
      <c r="A411" s="45">
        <v>243.14689301501556</v>
      </c>
      <c r="B411" s="45">
        <v>246.28504111960407</v>
      </c>
      <c r="C411" s="45">
        <v>241.78636677979841</v>
      </c>
      <c r="D411" s="45">
        <v>242.40207938259741</v>
      </c>
      <c r="E411" s="45">
        <v>275936.14167982258</v>
      </c>
      <c r="F411" s="45" t="s">
        <v>414</v>
      </c>
      <c r="G411" s="25">
        <f t="shared" si="4"/>
        <v>3.0726371420377596E-3</v>
      </c>
    </row>
    <row r="412" spans="1:7">
      <c r="A412" s="45">
        <v>243.47461101327954</v>
      </c>
      <c r="B412" s="45">
        <v>243.90163749586597</v>
      </c>
      <c r="C412" s="45">
        <v>240.22722357593639</v>
      </c>
      <c r="D412" s="45">
        <v>243.02772283382868</v>
      </c>
      <c r="E412" s="45">
        <v>438673.49599821155</v>
      </c>
      <c r="F412" s="45" t="s">
        <v>415</v>
      </c>
      <c r="G412" s="25">
        <f t="shared" si="4"/>
        <v>1.8388362209871278E-3</v>
      </c>
    </row>
    <row r="413" spans="1:7">
      <c r="A413" s="45">
        <v>241.85588271882409</v>
      </c>
      <c r="B413" s="45">
        <v>243.39516422582162</v>
      </c>
      <c r="C413" s="45">
        <v>238.94614412817717</v>
      </c>
      <c r="D413" s="45">
        <v>242.05449968746896</v>
      </c>
      <c r="E413" s="45">
        <v>197437.30995170629</v>
      </c>
      <c r="F413" s="45" t="s">
        <v>416</v>
      </c>
      <c r="G413" s="25">
        <f t="shared" si="4"/>
        <v>-8.2054648395846197E-4</v>
      </c>
    </row>
    <row r="414" spans="1:7">
      <c r="A414" s="45">
        <v>240.24708527280086</v>
      </c>
      <c r="B414" s="45">
        <v>242.57964295256591</v>
      </c>
      <c r="C414" s="45">
        <v>238.14174540516555</v>
      </c>
      <c r="D414" s="45">
        <v>240.91245211776109</v>
      </c>
      <c r="E414" s="45">
        <v>220956.9519635285</v>
      </c>
      <c r="F414" s="45" t="s">
        <v>417</v>
      </c>
      <c r="G414" s="25">
        <f t="shared" si="4"/>
        <v>-2.7618615771466404E-3</v>
      </c>
    </row>
    <row r="415" spans="1:7">
      <c r="A415" s="45">
        <v>240.13784594004622</v>
      </c>
      <c r="B415" s="45">
        <v>241.00182975365129</v>
      </c>
      <c r="C415" s="45">
        <v>237.81402740690157</v>
      </c>
      <c r="D415" s="45">
        <v>240.42584054458123</v>
      </c>
      <c r="E415" s="45">
        <v>281471.41899022146</v>
      </c>
      <c r="F415" s="45" t="s">
        <v>418</v>
      </c>
      <c r="G415" s="25">
        <f t="shared" si="4"/>
        <v>-1.1978521272201226E-3</v>
      </c>
    </row>
    <row r="416" spans="1:7">
      <c r="A416" s="45">
        <v>240.08819169788501</v>
      </c>
      <c r="B416" s="45">
        <v>243.58881577025033</v>
      </c>
      <c r="C416" s="45">
        <v>239.67109606373083</v>
      </c>
      <c r="D416" s="45">
        <v>241.35934029721199</v>
      </c>
      <c r="E416" s="45">
        <v>270573.05509528838</v>
      </c>
      <c r="F416" s="45" t="s">
        <v>419</v>
      </c>
      <c r="G416" s="25">
        <f t="shared" si="4"/>
        <v>-5.2666227781434927E-3</v>
      </c>
    </row>
    <row r="417" spans="1:7">
      <c r="A417" s="45">
        <v>240.73369684598075</v>
      </c>
      <c r="B417" s="45">
        <v>241.65726575017925</v>
      </c>
      <c r="C417" s="45">
        <v>236.88052765427082</v>
      </c>
      <c r="D417" s="45">
        <v>238.22119219262348</v>
      </c>
      <c r="E417" s="45">
        <v>183261.28048548917</v>
      </c>
      <c r="F417" s="45" t="s">
        <v>420</v>
      </c>
      <c r="G417" s="25">
        <f t="shared" si="4"/>
        <v>1.0546940136735072E-2</v>
      </c>
    </row>
    <row r="418" spans="1:7">
      <c r="A418" s="45">
        <v>237.41679346961186</v>
      </c>
      <c r="B418" s="45">
        <v>240.04846830415605</v>
      </c>
      <c r="C418" s="45">
        <v>236.79115001838062</v>
      </c>
      <c r="D418" s="45">
        <v>238.00271352711417</v>
      </c>
      <c r="E418" s="45">
        <v>255510.89791701906</v>
      </c>
      <c r="F418" s="45" t="s">
        <v>421</v>
      </c>
      <c r="G418" s="25">
        <f t="shared" si="4"/>
        <v>-2.4618209129600999E-3</v>
      </c>
    </row>
    <row r="419" spans="1:7">
      <c r="A419" s="45">
        <v>236.62232559503252</v>
      </c>
      <c r="B419" s="45">
        <v>237.23108660392896</v>
      </c>
      <c r="C419" s="45">
        <v>234.41767724307476</v>
      </c>
      <c r="D419" s="45">
        <v>237.05928292605117</v>
      </c>
      <c r="E419" s="45">
        <v>202213.3369270059</v>
      </c>
      <c r="F419" s="45" t="s">
        <v>422</v>
      </c>
      <c r="G419" s="25">
        <f t="shared" si="4"/>
        <v>-1.8432407523772953E-3</v>
      </c>
    </row>
    <row r="420" spans="1:7">
      <c r="A420" s="45">
        <v>235.40083123786673</v>
      </c>
      <c r="B420" s="45">
        <v>237.2827270157766</v>
      </c>
      <c r="C420" s="45">
        <v>234.30347248610397</v>
      </c>
      <c r="D420" s="45">
        <v>235.91723535634333</v>
      </c>
      <c r="E420" s="45">
        <v>161207.77705178974</v>
      </c>
      <c r="F420" s="45" t="s">
        <v>423</v>
      </c>
      <c r="G420" s="25">
        <f t="shared" si="4"/>
        <v>-2.1889206937195649E-3</v>
      </c>
    </row>
    <row r="421" spans="1:7">
      <c r="A421" s="45">
        <v>236.35419268736197</v>
      </c>
      <c r="B421" s="45">
        <v>237.27279616734438</v>
      </c>
      <c r="C421" s="45">
        <v>235.53986311591814</v>
      </c>
      <c r="D421" s="45">
        <v>237.11886801664463</v>
      </c>
      <c r="E421" s="45">
        <v>467414.24276797776</v>
      </c>
      <c r="F421" s="45" t="s">
        <v>424</v>
      </c>
      <c r="G421" s="25">
        <f t="shared" si="4"/>
        <v>-3.2248607446496713E-3</v>
      </c>
    </row>
    <row r="422" spans="1:7">
      <c r="A422" s="45">
        <v>237.59554874139224</v>
      </c>
      <c r="B422" s="45">
        <v>238.10450472354464</v>
      </c>
      <c r="C422" s="45">
        <v>234.66594845388082</v>
      </c>
      <c r="D422" s="45">
        <v>236.62232559503252</v>
      </c>
      <c r="E422" s="45">
        <v>293871.16517909756</v>
      </c>
      <c r="F422" s="45" t="s">
        <v>425</v>
      </c>
      <c r="G422" s="25">
        <f t="shared" si="4"/>
        <v>4.1129810718931736E-3</v>
      </c>
    </row>
    <row r="423" spans="1:7">
      <c r="A423" s="45">
        <v>236.05626723439471</v>
      </c>
      <c r="B423" s="45">
        <v>237.65513383198569</v>
      </c>
      <c r="C423" s="45">
        <v>233.12666694688329</v>
      </c>
      <c r="D423" s="45">
        <v>233.12666694688329</v>
      </c>
      <c r="E423" s="45">
        <v>394099.25815536693</v>
      </c>
      <c r="F423" s="45" t="s">
        <v>426</v>
      </c>
      <c r="G423" s="25">
        <f t="shared" si="4"/>
        <v>1.2566560170394148E-2</v>
      </c>
    </row>
    <row r="424" spans="1:7">
      <c r="A424" s="45">
        <v>230.70353992941634</v>
      </c>
      <c r="B424" s="45">
        <v>231.30843638055299</v>
      </c>
      <c r="C424" s="45">
        <v>227.35181861000336</v>
      </c>
      <c r="D424" s="45">
        <v>229.78132074981454</v>
      </c>
      <c r="E424" s="45">
        <v>355634.40584874415</v>
      </c>
      <c r="F424" s="45" t="s">
        <v>427</v>
      </c>
      <c r="G424" s="25">
        <f t="shared" si="4"/>
        <v>4.013464526152255E-3</v>
      </c>
    </row>
    <row r="425" spans="1:7">
      <c r="A425" s="45">
        <v>230.12839248407326</v>
      </c>
      <c r="B425" s="45">
        <v>230.43084070964161</v>
      </c>
      <c r="C425" s="45">
        <v>226.25110539563994</v>
      </c>
      <c r="D425" s="45">
        <v>226.25110539563994</v>
      </c>
      <c r="E425" s="45">
        <v>330322.63559248106</v>
      </c>
      <c r="F425" s="45" t="s">
        <v>428</v>
      </c>
      <c r="G425" s="25">
        <f t="shared" si="4"/>
        <v>1.7137096774193505E-2</v>
      </c>
    </row>
    <row r="426" spans="1:7">
      <c r="A426" s="45">
        <v>226.39985042460796</v>
      </c>
      <c r="B426" s="45">
        <v>230.67379092362273</v>
      </c>
      <c r="C426" s="45">
        <v>226.10236036667189</v>
      </c>
      <c r="D426" s="45">
        <v>227.50056363897139</v>
      </c>
      <c r="E426" s="45">
        <v>305563.4888461954</v>
      </c>
      <c r="F426" s="45" t="s">
        <v>429</v>
      </c>
      <c r="G426" s="25">
        <f t="shared" si="4"/>
        <v>-4.8382878563333342E-3</v>
      </c>
    </row>
    <row r="427" spans="1:7">
      <c r="A427" s="45">
        <v>227.66914133846851</v>
      </c>
      <c r="B427" s="45">
        <v>231.2935618776562</v>
      </c>
      <c r="C427" s="45">
        <v>225.62637627397422</v>
      </c>
      <c r="D427" s="45">
        <v>229.32516932764591</v>
      </c>
      <c r="E427" s="45">
        <v>671343.77997574687</v>
      </c>
      <c r="F427" s="45" t="s">
        <v>430</v>
      </c>
      <c r="G427" s="25">
        <f t="shared" si="4"/>
        <v>-7.2213093487848434E-3</v>
      </c>
    </row>
    <row r="428" spans="1:7">
      <c r="A428" s="45">
        <v>228.07571108431443</v>
      </c>
      <c r="B428" s="45">
        <v>229.64249205611105</v>
      </c>
      <c r="C428" s="45">
        <v>223.25637214575022</v>
      </c>
      <c r="D428" s="45">
        <v>223.42494984524734</v>
      </c>
      <c r="E428" s="45">
        <v>1388408.0794685637</v>
      </c>
      <c r="F428" s="45" t="s">
        <v>431</v>
      </c>
      <c r="G428" s="25">
        <f t="shared" si="4"/>
        <v>2.0815764946074289E-2</v>
      </c>
    </row>
    <row r="429" spans="1:7">
      <c r="A429" s="45">
        <v>223.42494984524734</v>
      </c>
      <c r="B429" s="45">
        <v>230.94153197576517</v>
      </c>
      <c r="C429" s="45">
        <v>223.42494984524734</v>
      </c>
      <c r="D429" s="45">
        <v>229.067344610768</v>
      </c>
      <c r="E429" s="45">
        <v>803147.51241653727</v>
      </c>
      <c r="F429" s="45" t="s">
        <v>432</v>
      </c>
      <c r="G429" s="25">
        <f t="shared" si="4"/>
        <v>-2.4632034632034672E-2</v>
      </c>
    </row>
    <row r="430" spans="1:7">
      <c r="A430" s="45">
        <v>228.89876691127091</v>
      </c>
      <c r="B430" s="45">
        <v>234.41224931835256</v>
      </c>
      <c r="C430" s="45">
        <v>228.07571108431443</v>
      </c>
      <c r="D430" s="45">
        <v>232.18107388383208</v>
      </c>
      <c r="E430" s="45">
        <v>902875.8872262137</v>
      </c>
      <c r="F430" s="45" t="s">
        <v>433</v>
      </c>
      <c r="G430" s="25">
        <f t="shared" si="4"/>
        <v>-1.4136841206115802E-2</v>
      </c>
    </row>
    <row r="431" spans="1:7">
      <c r="A431" s="45">
        <v>231.37785072740476</v>
      </c>
      <c r="B431" s="45">
        <v>235.91457411092969</v>
      </c>
      <c r="C431" s="45">
        <v>228.08562741957897</v>
      </c>
      <c r="D431" s="45">
        <v>230.94153197576517</v>
      </c>
      <c r="E431" s="45">
        <v>581098.74729714193</v>
      </c>
      <c r="F431" s="45" t="s">
        <v>434</v>
      </c>
      <c r="G431" s="25">
        <f t="shared" si="4"/>
        <v>1.889303963244604E-3</v>
      </c>
    </row>
    <row r="432" spans="1:7">
      <c r="A432" s="45">
        <v>235.1460581279282</v>
      </c>
      <c r="B432" s="45">
        <v>240.30255246548663</v>
      </c>
      <c r="C432" s="45">
        <v>231.60096827085678</v>
      </c>
      <c r="D432" s="45">
        <v>235.38405017427706</v>
      </c>
      <c r="E432" s="45">
        <v>751458.05392947444</v>
      </c>
      <c r="F432" s="45" t="s">
        <v>435</v>
      </c>
      <c r="G432" s="25">
        <f t="shared" si="4"/>
        <v>-1.0110797489152334E-3</v>
      </c>
    </row>
    <row r="433" spans="1:7">
      <c r="A433" s="45">
        <v>233.975930566713</v>
      </c>
      <c r="B433" s="45">
        <v>241.83958443148958</v>
      </c>
      <c r="C433" s="45">
        <v>224.82811128517909</v>
      </c>
      <c r="D433" s="45">
        <v>224.82811128517909</v>
      </c>
      <c r="E433" s="45">
        <v>777989.02459369856</v>
      </c>
      <c r="F433" s="45" t="s">
        <v>436</v>
      </c>
      <c r="G433" s="25">
        <f t="shared" si="4"/>
        <v>4.0688058220310852E-2</v>
      </c>
    </row>
    <row r="434" spans="1:7">
      <c r="A434" s="45">
        <v>219.07167866411629</v>
      </c>
      <c r="B434" s="45">
        <v>221.63009316236642</v>
      </c>
      <c r="C434" s="45">
        <v>217.62389371549412</v>
      </c>
      <c r="D434" s="45">
        <v>220.1327265374216</v>
      </c>
      <c r="E434" s="45">
        <v>732973.40258296835</v>
      </c>
      <c r="F434" s="45" t="s">
        <v>437</v>
      </c>
      <c r="G434" s="25">
        <f t="shared" si="4"/>
        <v>-4.8200369386008912E-3</v>
      </c>
    </row>
    <row r="435" spans="1:7">
      <c r="A435" s="45">
        <v>220.84670267646814</v>
      </c>
      <c r="B435" s="45">
        <v>222.30440396035485</v>
      </c>
      <c r="C435" s="45">
        <v>219.70632412104658</v>
      </c>
      <c r="D435" s="45">
        <v>221.0053640407007</v>
      </c>
      <c r="E435" s="45">
        <v>365426.32972078858</v>
      </c>
      <c r="F435" s="45" t="s">
        <v>438</v>
      </c>
      <c r="G435" s="25">
        <f t="shared" si="4"/>
        <v>-7.1790730021981108E-4</v>
      </c>
    </row>
    <row r="436" spans="1:7">
      <c r="A436" s="45">
        <v>220.76737199435183</v>
      </c>
      <c r="B436" s="45">
        <v>221.88791787924436</v>
      </c>
      <c r="C436" s="45">
        <v>216.58763668035016</v>
      </c>
      <c r="D436" s="45">
        <v>218.66510891827033</v>
      </c>
      <c r="E436" s="45">
        <v>281005.02107524819</v>
      </c>
      <c r="F436" s="45" t="s">
        <v>439</v>
      </c>
      <c r="G436" s="25">
        <f t="shared" si="4"/>
        <v>9.6140764591174932E-3</v>
      </c>
    </row>
    <row r="437" spans="1:7">
      <c r="A437" s="45">
        <v>218.4568658777151</v>
      </c>
      <c r="B437" s="45">
        <v>221.43672462470801</v>
      </c>
      <c r="C437" s="45">
        <v>215.48196529835448</v>
      </c>
      <c r="D437" s="45">
        <v>220.27155523112506</v>
      </c>
      <c r="E437" s="45">
        <v>504806.44980840385</v>
      </c>
      <c r="F437" s="45" t="s">
        <v>440</v>
      </c>
      <c r="G437" s="25">
        <f t="shared" si="4"/>
        <v>-8.2384189438615696E-3</v>
      </c>
    </row>
    <row r="438" spans="1:7">
      <c r="A438" s="45">
        <v>220.62854330064837</v>
      </c>
      <c r="B438" s="45">
        <v>226.44943210093066</v>
      </c>
      <c r="C438" s="45">
        <v>220.38063491903497</v>
      </c>
      <c r="D438" s="45">
        <v>221.74908918554087</v>
      </c>
      <c r="E438" s="45">
        <v>269027.81408984435</v>
      </c>
      <c r="F438" s="45" t="s">
        <v>441</v>
      </c>
      <c r="G438" s="25">
        <f t="shared" si="4"/>
        <v>-5.0532152759145132E-3</v>
      </c>
    </row>
    <row r="439" spans="1:7">
      <c r="A439" s="45">
        <v>222.69114103567171</v>
      </c>
      <c r="B439" s="45">
        <v>224.3372526895846</v>
      </c>
      <c r="C439" s="45">
        <v>218.15937581977903</v>
      </c>
      <c r="D439" s="45">
        <v>222.2349896135031</v>
      </c>
      <c r="E439" s="45">
        <v>169373.05518569404</v>
      </c>
      <c r="F439" s="45" t="s">
        <v>442</v>
      </c>
      <c r="G439" s="25">
        <f t="shared" si="4"/>
        <v>2.0525634732941889E-3</v>
      </c>
    </row>
    <row r="440" spans="1:7">
      <c r="A440" s="45">
        <v>221.50118080392747</v>
      </c>
      <c r="B440" s="45">
        <v>222.97276495718455</v>
      </c>
      <c r="C440" s="45">
        <v>219.60716076840123</v>
      </c>
      <c r="D440" s="45">
        <v>221.40201745128212</v>
      </c>
      <c r="E440" s="45">
        <v>158333.69466795254</v>
      </c>
      <c r="F440" s="45" t="s">
        <v>443</v>
      </c>
      <c r="G440" s="25">
        <f t="shared" si="4"/>
        <v>4.4788820710350841E-4</v>
      </c>
    </row>
    <row r="441" spans="1:7">
      <c r="A441" s="45">
        <v>220.72770665329372</v>
      </c>
      <c r="B441" s="45">
        <v>222.14574259612229</v>
      </c>
      <c r="C441" s="45">
        <v>218.44694954245057</v>
      </c>
      <c r="D441" s="45">
        <v>220.72770665329372</v>
      </c>
      <c r="E441" s="45">
        <v>377767.58248557529</v>
      </c>
      <c r="F441" s="45" t="s">
        <v>444</v>
      </c>
      <c r="G441" s="25">
        <f t="shared" si="4"/>
        <v>0</v>
      </c>
    </row>
    <row r="442" spans="1:7">
      <c r="A442" s="45">
        <v>219.93439983213088</v>
      </c>
      <c r="B442" s="45">
        <v>223.06796177572406</v>
      </c>
      <c r="C442" s="45">
        <v>215.3530529399155</v>
      </c>
      <c r="D442" s="45">
        <v>220.39055125429951</v>
      </c>
      <c r="E442" s="45">
        <v>294883.13192252675</v>
      </c>
      <c r="F442" s="45" t="s">
        <v>445</v>
      </c>
      <c r="G442" s="25">
        <f t="shared" ref="G442:G505" si="5">A442/D442-1</f>
        <v>-2.069741282339721E-3</v>
      </c>
    </row>
    <row r="443" spans="1:7">
      <c r="A443" s="45">
        <v>218.4271168719215</v>
      </c>
      <c r="B443" s="45">
        <v>226.37010141881436</v>
      </c>
      <c r="C443" s="45">
        <v>217.16278412569324</v>
      </c>
      <c r="D443" s="45">
        <v>226.37010141881436</v>
      </c>
      <c r="E443" s="45">
        <v>539652.99248590064</v>
      </c>
      <c r="F443" s="45" t="s">
        <v>446</v>
      </c>
      <c r="G443" s="25">
        <f t="shared" si="5"/>
        <v>-3.5088487821973047E-2</v>
      </c>
    </row>
    <row r="444" spans="1:7">
      <c r="A444" s="45">
        <v>228.37320114225051</v>
      </c>
      <c r="B444" s="45">
        <v>234.50149633573338</v>
      </c>
      <c r="C444" s="45">
        <v>227.03449588153822</v>
      </c>
      <c r="D444" s="45">
        <v>227.95671506114002</v>
      </c>
      <c r="E444" s="45">
        <v>595151.31775614701</v>
      </c>
      <c r="F444" s="45" t="s">
        <v>447</v>
      </c>
      <c r="G444" s="25">
        <f t="shared" si="5"/>
        <v>1.8270401948843329E-3</v>
      </c>
    </row>
    <row r="445" spans="1:7">
      <c r="A445" s="45">
        <v>227.3617349452679</v>
      </c>
      <c r="B445" s="45">
        <v>227.57989432108766</v>
      </c>
      <c r="C445" s="45">
        <v>217.71314073287496</v>
      </c>
      <c r="D445" s="45">
        <v>218.84360295303199</v>
      </c>
      <c r="E445" s="45">
        <v>359026.78812532063</v>
      </c>
      <c r="F445" s="45" t="s">
        <v>448</v>
      </c>
      <c r="G445" s="25">
        <f t="shared" si="5"/>
        <v>3.8923376682223898E-2</v>
      </c>
    </row>
    <row r="446" spans="1:7">
      <c r="A446" s="45">
        <v>218.00071445554647</v>
      </c>
      <c r="B446" s="45">
        <v>219.52783008628492</v>
      </c>
      <c r="C446" s="45">
        <v>215.74970635049692</v>
      </c>
      <c r="D446" s="45">
        <v>217.89163476763656</v>
      </c>
      <c r="E446" s="45">
        <v>247319.18945611626</v>
      </c>
      <c r="F446" s="45" t="s">
        <v>449</v>
      </c>
      <c r="G446" s="25">
        <f t="shared" si="5"/>
        <v>5.0061439038828759E-4</v>
      </c>
    </row>
    <row r="447" spans="1:7">
      <c r="A447" s="45">
        <v>218.6254435772122</v>
      </c>
      <c r="B447" s="45">
        <v>224.58516107119797</v>
      </c>
      <c r="C447" s="45">
        <v>218.18912482557263</v>
      </c>
      <c r="D447" s="45">
        <v>223.46461518630548</v>
      </c>
      <c r="E447" s="45">
        <v>497202.83436090493</v>
      </c>
      <c r="F447" s="45" t="s">
        <v>450</v>
      </c>
      <c r="G447" s="25">
        <f t="shared" si="5"/>
        <v>-2.1655203017528324E-2</v>
      </c>
    </row>
    <row r="448" spans="1:7">
      <c r="A448" s="45">
        <v>222.60189401829089</v>
      </c>
      <c r="B448" s="45">
        <v>225.16030851654105</v>
      </c>
      <c r="C448" s="45">
        <v>219.42866673363957</v>
      </c>
      <c r="D448" s="45">
        <v>220.12281020215704</v>
      </c>
      <c r="E448" s="45">
        <v>379485.95923922758</v>
      </c>
      <c r="F448" s="45" t="s">
        <v>451</v>
      </c>
      <c r="G448" s="25">
        <f t="shared" si="5"/>
        <v>1.1262275880709938E-2</v>
      </c>
    </row>
    <row r="449" spans="1:7">
      <c r="A449" s="45">
        <v>218.73452326512211</v>
      </c>
      <c r="B449" s="45">
        <v>218.83368661776746</v>
      </c>
      <c r="C449" s="45">
        <v>213.99947317630645</v>
      </c>
      <c r="D449" s="45">
        <v>216.36451913689814</v>
      </c>
      <c r="E449" s="45">
        <v>367415.97604411951</v>
      </c>
      <c r="F449" s="45" t="s">
        <v>452</v>
      </c>
      <c r="G449" s="25">
        <f t="shared" si="5"/>
        <v>1.0953755900820372E-2</v>
      </c>
    </row>
    <row r="450" spans="1:7">
      <c r="A450" s="45">
        <v>216.24552311372369</v>
      </c>
      <c r="B450" s="45">
        <v>216.25543944898826</v>
      </c>
      <c r="C450" s="45">
        <v>208.88760234743845</v>
      </c>
      <c r="D450" s="45">
        <v>210.77170604770018</v>
      </c>
      <c r="E450" s="45">
        <v>457064.01398201886</v>
      </c>
      <c r="F450" s="45" t="s">
        <v>453</v>
      </c>
      <c r="G450" s="25">
        <f t="shared" si="5"/>
        <v>2.5970359915313823E-2</v>
      </c>
    </row>
    <row r="451" spans="1:7">
      <c r="A451" s="45">
        <v>209.95856655600824</v>
      </c>
      <c r="B451" s="45">
        <v>212.00133162050253</v>
      </c>
      <c r="C451" s="45">
        <v>209.10576172325821</v>
      </c>
      <c r="D451" s="45">
        <v>212.00133162050253</v>
      </c>
      <c r="E451" s="45">
        <v>285613.57844859967</v>
      </c>
      <c r="F451" s="45" t="s">
        <v>454</v>
      </c>
      <c r="G451" s="25">
        <f t="shared" si="5"/>
        <v>-9.6356237429252589E-3</v>
      </c>
    </row>
    <row r="452" spans="1:7">
      <c r="A452" s="45">
        <v>212.269072672645</v>
      </c>
      <c r="B452" s="45">
        <v>212.4971483837293</v>
      </c>
      <c r="C452" s="45">
        <v>208.18354254365642</v>
      </c>
      <c r="D452" s="45">
        <v>210.14697692603443</v>
      </c>
      <c r="E452" s="45">
        <v>259374.0460952943</v>
      </c>
      <c r="F452" s="45" t="s">
        <v>455</v>
      </c>
      <c r="G452" s="25">
        <f t="shared" si="5"/>
        <v>1.0098150245375637E-2</v>
      </c>
    </row>
    <row r="453" spans="1:7">
      <c r="A453" s="45">
        <v>209.67099283333673</v>
      </c>
      <c r="B453" s="45">
        <v>210.95020008246178</v>
      </c>
      <c r="C453" s="45">
        <v>208.86776967690935</v>
      </c>
      <c r="D453" s="45">
        <v>210.73204070664201</v>
      </c>
      <c r="E453" s="45">
        <v>230151.55691258548</v>
      </c>
      <c r="F453" s="45" t="s">
        <v>456</v>
      </c>
      <c r="G453" s="25">
        <f t="shared" si="5"/>
        <v>-5.0350571737800554E-3</v>
      </c>
    </row>
    <row r="454" spans="1:7">
      <c r="A454" s="45">
        <v>209.48258246331056</v>
      </c>
      <c r="B454" s="45">
        <v>212.56656273058107</v>
      </c>
      <c r="C454" s="45">
        <v>209.12559439378725</v>
      </c>
      <c r="D454" s="45">
        <v>209.61149482174952</v>
      </c>
      <c r="E454" s="45">
        <v>465669.00743208634</v>
      </c>
      <c r="F454" s="45" t="s">
        <v>457</v>
      </c>
      <c r="G454" s="25">
        <f t="shared" si="5"/>
        <v>-6.1500615006149228E-4</v>
      </c>
    </row>
    <row r="455" spans="1:7">
      <c r="A455" s="45">
        <v>209.67099283333673</v>
      </c>
      <c r="B455" s="45">
        <v>216.36451913689814</v>
      </c>
      <c r="C455" s="45">
        <v>209.12559439378725</v>
      </c>
      <c r="D455" s="45">
        <v>212.47731571320026</v>
      </c>
      <c r="E455" s="45">
        <v>591158.91542767908</v>
      </c>
      <c r="F455" s="45" t="s">
        <v>458</v>
      </c>
      <c r="G455" s="25">
        <f t="shared" si="5"/>
        <v>-1.3207635226583303E-2</v>
      </c>
    </row>
    <row r="456" spans="1:7">
      <c r="A456" s="45">
        <v>208.5702796189733</v>
      </c>
      <c r="B456" s="45">
        <v>209.40325178119426</v>
      </c>
      <c r="C456" s="45">
        <v>204.35583713154577</v>
      </c>
      <c r="D456" s="45">
        <v>205.92261810334233</v>
      </c>
      <c r="E456" s="45">
        <v>1159148.9893558503</v>
      </c>
      <c r="F456" s="45" t="s">
        <v>459</v>
      </c>
      <c r="G456" s="25">
        <f t="shared" si="5"/>
        <v>1.2857555619763206E-2</v>
      </c>
    </row>
    <row r="457" spans="1:7">
      <c r="A457" s="45">
        <v>205.4962156869673</v>
      </c>
      <c r="B457" s="45">
        <v>205.94245077387143</v>
      </c>
      <c r="C457" s="45">
        <v>198.05896423856575</v>
      </c>
      <c r="D457" s="45">
        <v>198.35645429650182</v>
      </c>
      <c r="E457" s="45">
        <v>622536.43461188721</v>
      </c>
      <c r="F457" s="45" t="s">
        <v>460</v>
      </c>
      <c r="G457" s="25">
        <f t="shared" si="5"/>
        <v>3.5994600809878374E-2</v>
      </c>
    </row>
    <row r="458" spans="1:7">
      <c r="A458" s="45">
        <v>198.35645429650182</v>
      </c>
      <c r="B458" s="45">
        <v>201.36110388165605</v>
      </c>
      <c r="C458" s="45">
        <v>194.84607161285629</v>
      </c>
      <c r="D458" s="45">
        <v>195.5798804224319</v>
      </c>
      <c r="E458" s="45">
        <v>440171.68475641479</v>
      </c>
      <c r="F458" s="45" t="s">
        <v>461</v>
      </c>
      <c r="G458" s="25">
        <f t="shared" si="5"/>
        <v>1.4196623231759853E-2</v>
      </c>
    </row>
    <row r="459" spans="1:7">
      <c r="A459" s="45">
        <v>196.95825102420233</v>
      </c>
      <c r="B459" s="45">
        <v>199.26875714083906</v>
      </c>
      <c r="C459" s="45">
        <v>195.75837445719355</v>
      </c>
      <c r="D459" s="45">
        <v>199.05059776501929</v>
      </c>
      <c r="E459" s="45">
        <v>318470.47480276553</v>
      </c>
      <c r="F459" s="45" t="s">
        <v>462</v>
      </c>
      <c r="G459" s="25">
        <f t="shared" si="5"/>
        <v>-1.0511632541224447E-2</v>
      </c>
    </row>
    <row r="460" spans="1:7">
      <c r="A460" s="45">
        <v>199.05059776501929</v>
      </c>
      <c r="B460" s="45">
        <v>202.16432703808343</v>
      </c>
      <c r="C460" s="45">
        <v>199.02580692685797</v>
      </c>
      <c r="D460" s="45">
        <v>202.04533101490898</v>
      </c>
      <c r="E460" s="45">
        <v>347365.22194032354</v>
      </c>
      <c r="F460" s="45" t="s">
        <v>463</v>
      </c>
      <c r="G460" s="25">
        <f t="shared" si="5"/>
        <v>-1.4822085889570569E-2</v>
      </c>
    </row>
    <row r="461" spans="1:7">
      <c r="A461" s="45">
        <v>201.69825928065026</v>
      </c>
      <c r="B461" s="45">
        <v>202.14449436755433</v>
      </c>
      <c r="C461" s="45">
        <v>199.44725117560071</v>
      </c>
      <c r="D461" s="45">
        <v>201.05369748845544</v>
      </c>
      <c r="E461" s="45">
        <v>773653.75366414979</v>
      </c>
      <c r="F461" s="45" t="s">
        <v>464</v>
      </c>
      <c r="G461" s="25">
        <f t="shared" si="5"/>
        <v>3.205918618989001E-3</v>
      </c>
    </row>
    <row r="462" spans="1:7">
      <c r="A462" s="45">
        <v>200.38930302573161</v>
      </c>
      <c r="B462" s="45">
        <v>201.7081756159148</v>
      </c>
      <c r="C462" s="45">
        <v>198.69360969549604</v>
      </c>
      <c r="D462" s="45">
        <v>199.04068142975476</v>
      </c>
      <c r="E462" s="45">
        <v>663714.95360169781</v>
      </c>
      <c r="F462" s="45" t="s">
        <v>465</v>
      </c>
      <c r="G462" s="25">
        <f t="shared" si="5"/>
        <v>6.775607811877471E-3</v>
      </c>
    </row>
    <row r="463" spans="1:7">
      <c r="A463" s="45">
        <v>200.39921936099611</v>
      </c>
      <c r="B463" s="45">
        <v>206.85475361820866</v>
      </c>
      <c r="C463" s="45">
        <v>199.61582887509783</v>
      </c>
      <c r="D463" s="45">
        <v>204.90123557109519</v>
      </c>
      <c r="E463" s="45">
        <v>381912.25881040562</v>
      </c>
      <c r="F463" s="45" t="s">
        <v>466</v>
      </c>
      <c r="G463" s="25">
        <f t="shared" si="5"/>
        <v>-2.1971640129700432E-2</v>
      </c>
    </row>
    <row r="464" spans="1:7">
      <c r="A464" s="45">
        <v>204.04843073834516</v>
      </c>
      <c r="B464" s="45">
        <v>206.52751455447901</v>
      </c>
      <c r="C464" s="45">
        <v>202.10482902649622</v>
      </c>
      <c r="D464" s="45">
        <v>204.41533514313295</v>
      </c>
      <c r="E464" s="45">
        <v>509416.01561881736</v>
      </c>
      <c r="F464" s="45" t="s">
        <v>467</v>
      </c>
      <c r="G464" s="25">
        <f t="shared" si="5"/>
        <v>-1.794896672164481E-3</v>
      </c>
    </row>
    <row r="465" spans="1:7">
      <c r="A465" s="45">
        <v>206.54734722500805</v>
      </c>
      <c r="B465" s="45">
        <v>206.96383330611857</v>
      </c>
      <c r="C465" s="45">
        <v>204.98056625321149</v>
      </c>
      <c r="D465" s="45">
        <v>206.80517194188602</v>
      </c>
      <c r="E465" s="45">
        <v>194878.44535786158</v>
      </c>
      <c r="F465" s="45" t="s">
        <v>468</v>
      </c>
      <c r="G465" s="25">
        <f t="shared" si="5"/>
        <v>-1.2467034284345813E-3</v>
      </c>
    </row>
    <row r="466" spans="1:7">
      <c r="A466" s="45">
        <v>207.54889708672616</v>
      </c>
      <c r="B466" s="45">
        <v>208.19345887892095</v>
      </c>
      <c r="C466" s="45">
        <v>203.67160999829278</v>
      </c>
      <c r="D466" s="45">
        <v>207.72739112148778</v>
      </c>
      <c r="E466" s="45">
        <v>342402.70315820916</v>
      </c>
      <c r="F466" s="45" t="s">
        <v>469</v>
      </c>
      <c r="G466" s="25">
        <f t="shared" si="5"/>
        <v>-8.5927057475654323E-4</v>
      </c>
    </row>
    <row r="467" spans="1:7">
      <c r="A467" s="45">
        <v>209.33383743434251</v>
      </c>
      <c r="B467" s="45">
        <v>213.03263048801423</v>
      </c>
      <c r="C467" s="45">
        <v>206.6960922539761</v>
      </c>
      <c r="D467" s="45">
        <v>206.6960922539761</v>
      </c>
      <c r="E467" s="45">
        <v>344352.01199906005</v>
      </c>
      <c r="F467" s="45" t="s">
        <v>470</v>
      </c>
      <c r="G467" s="25">
        <f t="shared" si="5"/>
        <v>1.2761466129341814E-2</v>
      </c>
    </row>
    <row r="468" spans="1:7">
      <c r="A468" s="45">
        <v>204.81198855371437</v>
      </c>
      <c r="B468" s="45">
        <v>206.25481533470429</v>
      </c>
      <c r="C468" s="45">
        <v>202.67997647183924</v>
      </c>
      <c r="D468" s="45">
        <v>205.54579736329001</v>
      </c>
      <c r="E468" s="45">
        <v>342965.4110388066</v>
      </c>
      <c r="F468" s="45" t="s">
        <v>471</v>
      </c>
      <c r="G468" s="25">
        <f t="shared" si="5"/>
        <v>-3.5700501736781742E-3</v>
      </c>
    </row>
    <row r="469" spans="1:7">
      <c r="A469" s="45">
        <v>205.35738699326382</v>
      </c>
      <c r="B469" s="45">
        <v>209.42308445172333</v>
      </c>
      <c r="C469" s="45">
        <v>201.43051822850779</v>
      </c>
      <c r="D469" s="45">
        <v>209.31400476381347</v>
      </c>
      <c r="E469" s="45">
        <v>555035.69142968697</v>
      </c>
      <c r="F469" s="45" t="s">
        <v>472</v>
      </c>
      <c r="G469" s="25">
        <f t="shared" si="5"/>
        <v>-1.8902785673678313E-2</v>
      </c>
    </row>
    <row r="470" spans="1:7">
      <c r="A470" s="45">
        <v>210.79153871822922</v>
      </c>
      <c r="B470" s="45">
        <v>214.36141941346196</v>
      </c>
      <c r="C470" s="45">
        <v>208.12404453206921</v>
      </c>
      <c r="D470" s="45">
        <v>213.37970222227298</v>
      </c>
      <c r="E470" s="45">
        <v>431419.45949529501</v>
      </c>
      <c r="F470" s="45" t="s">
        <v>473</v>
      </c>
      <c r="G470" s="25">
        <f t="shared" si="5"/>
        <v>-1.2129380053908401E-2</v>
      </c>
    </row>
    <row r="471" spans="1:7">
      <c r="A471" s="45">
        <v>214.58949512454629</v>
      </c>
      <c r="B471" s="45">
        <v>217.92138377343016</v>
      </c>
      <c r="C471" s="45">
        <v>213.01279781748516</v>
      </c>
      <c r="D471" s="45">
        <v>213.01279781748516</v>
      </c>
      <c r="E471" s="45">
        <v>515598.74324595474</v>
      </c>
      <c r="F471" s="45" t="s">
        <v>474</v>
      </c>
      <c r="G471" s="25">
        <f t="shared" si="5"/>
        <v>7.401890042362913E-3</v>
      </c>
    </row>
    <row r="472" spans="1:7">
      <c r="A472" s="45">
        <v>213.54827992177007</v>
      </c>
      <c r="B472" s="45">
        <v>215.3828019457091</v>
      </c>
      <c r="C472" s="45">
        <v>211.05927977037169</v>
      </c>
      <c r="D472" s="45">
        <v>213.15162651118865</v>
      </c>
      <c r="E472" s="45">
        <v>388651.64369576843</v>
      </c>
      <c r="F472" s="45" t="s">
        <v>475</v>
      </c>
      <c r="G472" s="25">
        <f t="shared" si="5"/>
        <v>1.8608978832286294E-3</v>
      </c>
    </row>
    <row r="473" spans="1:7">
      <c r="A473" s="45">
        <v>213.25078986383403</v>
      </c>
      <c r="B473" s="45">
        <v>213.96476600288057</v>
      </c>
      <c r="C473" s="45">
        <v>210.38496897238326</v>
      </c>
      <c r="D473" s="45">
        <v>213.20120818751133</v>
      </c>
      <c r="E473" s="45">
        <v>445433.70934594393</v>
      </c>
      <c r="F473" s="45" t="s">
        <v>476</v>
      </c>
      <c r="G473" s="25">
        <f t="shared" si="5"/>
        <v>2.3255813953504401E-4</v>
      </c>
    </row>
    <row r="474" spans="1:7">
      <c r="A474" s="45">
        <v>213.13179384065958</v>
      </c>
      <c r="B474" s="45">
        <v>215.65054299785157</v>
      </c>
      <c r="C474" s="45">
        <v>206.52751455447901</v>
      </c>
      <c r="D474" s="45">
        <v>206.59692890133076</v>
      </c>
      <c r="E474" s="45">
        <v>699396.48216653278</v>
      </c>
      <c r="F474" s="45" t="s">
        <v>477</v>
      </c>
      <c r="G474" s="25">
        <f t="shared" si="5"/>
        <v>3.1630987808390021E-2</v>
      </c>
    </row>
    <row r="475" spans="1:7">
      <c r="A475" s="45">
        <v>207.32082137564183</v>
      </c>
      <c r="B475" s="45">
        <v>208.62977763056048</v>
      </c>
      <c r="C475" s="45">
        <v>204.28146461706172</v>
      </c>
      <c r="D475" s="45">
        <v>205.24830730535393</v>
      </c>
      <c r="E475" s="45">
        <v>1172939.3661787347</v>
      </c>
      <c r="F475" s="45" t="s">
        <v>478</v>
      </c>
      <c r="G475" s="25">
        <f t="shared" si="5"/>
        <v>1.0097593970431973E-2</v>
      </c>
    </row>
    <row r="476" spans="1:7">
      <c r="A476" s="45">
        <v>204.91115190635972</v>
      </c>
      <c r="B476" s="45">
        <v>206.6663432481825</v>
      </c>
      <c r="C476" s="45">
        <v>200.93470146528102</v>
      </c>
      <c r="D476" s="45">
        <v>201.7081756159148</v>
      </c>
      <c r="E476" s="45">
        <v>895027.22157264815</v>
      </c>
      <c r="F476" s="45" t="s">
        <v>479</v>
      </c>
      <c r="G476" s="25">
        <f t="shared" si="5"/>
        <v>1.5879258640184801E-2</v>
      </c>
    </row>
    <row r="477" spans="1:7">
      <c r="A477" s="45">
        <v>200.81570544210661</v>
      </c>
      <c r="B477" s="45">
        <v>203.30470559350499</v>
      </c>
      <c r="C477" s="45">
        <v>200.31988867887983</v>
      </c>
      <c r="D477" s="45">
        <v>201.15286084110079</v>
      </c>
      <c r="E477" s="45">
        <v>473621.54210303817</v>
      </c>
      <c r="F477" s="45" t="s">
        <v>480</v>
      </c>
      <c r="G477" s="25">
        <f t="shared" si="5"/>
        <v>-1.6761153561744013E-3</v>
      </c>
    </row>
    <row r="478" spans="1:7">
      <c r="A478" s="45">
        <v>202.92788485345264</v>
      </c>
      <c r="B478" s="45">
        <v>204.86157023003705</v>
      </c>
      <c r="C478" s="45">
        <v>201.80733896856015</v>
      </c>
      <c r="D478" s="45">
        <v>204.07817974413877</v>
      </c>
      <c r="E478" s="45">
        <v>1126404.0295155668</v>
      </c>
      <c r="F478" s="45" t="s">
        <v>481</v>
      </c>
      <c r="G478" s="25">
        <f t="shared" si="5"/>
        <v>-5.6365403304179384E-3</v>
      </c>
    </row>
    <row r="479" spans="1:7">
      <c r="A479" s="45">
        <v>204.62357818368821</v>
      </c>
      <c r="B479" s="45">
        <v>206.3886858607755</v>
      </c>
      <c r="C479" s="45">
        <v>202.9179685181881</v>
      </c>
      <c r="D479" s="45">
        <v>204.81198855371437</v>
      </c>
      <c r="E479" s="45">
        <v>480880.27207533224</v>
      </c>
      <c r="F479" s="45" t="s">
        <v>482</v>
      </c>
      <c r="G479" s="25">
        <f t="shared" si="5"/>
        <v>-9.1991865982365972E-4</v>
      </c>
    </row>
    <row r="480" spans="1:7">
      <c r="A480" s="45">
        <v>204.81198855371437</v>
      </c>
      <c r="B480" s="45">
        <v>210.18664226709257</v>
      </c>
      <c r="C480" s="45">
        <v>204.10792874993237</v>
      </c>
      <c r="D480" s="45">
        <v>210.18664226709257</v>
      </c>
      <c r="E480" s="45">
        <v>1051585.0585744143</v>
      </c>
      <c r="F480" s="45" t="s">
        <v>483</v>
      </c>
      <c r="G480" s="25">
        <f t="shared" si="5"/>
        <v>-2.5570862426873009E-2</v>
      </c>
    </row>
    <row r="481" spans="1:7">
      <c r="A481" s="45">
        <v>211.30718815198506</v>
      </c>
      <c r="B481" s="45">
        <v>212.67564241849095</v>
      </c>
      <c r="C481" s="45">
        <v>210.79649688586147</v>
      </c>
      <c r="D481" s="45">
        <v>211.07911244090076</v>
      </c>
      <c r="E481" s="45">
        <v>285479.45631935337</v>
      </c>
      <c r="F481" s="45" t="s">
        <v>484</v>
      </c>
      <c r="G481" s="25">
        <f t="shared" si="5"/>
        <v>1.0805224090950638E-3</v>
      </c>
    </row>
    <row r="482" spans="1:7">
      <c r="A482" s="45">
        <v>211.20802479933971</v>
      </c>
      <c r="B482" s="45">
        <v>213.22252830833008</v>
      </c>
      <c r="C482" s="45">
        <v>210.88078573561003</v>
      </c>
      <c r="D482" s="45">
        <v>212.06082963208976</v>
      </c>
      <c r="E482" s="45">
        <v>642418.77972632879</v>
      </c>
      <c r="F482" s="45" t="s">
        <v>485</v>
      </c>
      <c r="G482" s="25">
        <f t="shared" si="5"/>
        <v>-4.0215104044891703E-3</v>
      </c>
    </row>
    <row r="483" spans="1:7">
      <c r="A483" s="45">
        <v>212.79463844166537</v>
      </c>
      <c r="B483" s="45">
        <v>215.61087765679343</v>
      </c>
      <c r="C483" s="45">
        <v>212.06082963208976</v>
      </c>
      <c r="D483" s="45">
        <v>215.61087765679343</v>
      </c>
      <c r="E483" s="45">
        <v>531905.17053853534</v>
      </c>
      <c r="F483" s="45" t="s">
        <v>486</v>
      </c>
      <c r="G483" s="25">
        <f t="shared" si="5"/>
        <v>-1.3061675021846186E-2</v>
      </c>
    </row>
    <row r="484" spans="1:7">
      <c r="A484" s="45">
        <v>215.81912069734867</v>
      </c>
      <c r="B484" s="45">
        <v>217.64372638602319</v>
      </c>
      <c r="C484" s="45">
        <v>213.00288148222063</v>
      </c>
      <c r="D484" s="45">
        <v>217.64372638602319</v>
      </c>
      <c r="E484" s="45">
        <v>396228.03134259331</v>
      </c>
      <c r="F484" s="45" t="s">
        <v>487</v>
      </c>
      <c r="G484" s="25">
        <f t="shared" si="5"/>
        <v>-8.3834517951522081E-3</v>
      </c>
    </row>
    <row r="485" spans="1:7">
      <c r="A485" s="45">
        <v>216.74133987695046</v>
      </c>
      <c r="B485" s="45">
        <v>217.72305706813947</v>
      </c>
      <c r="C485" s="45">
        <v>210.53371400135131</v>
      </c>
      <c r="D485" s="45">
        <v>212.20957466105779</v>
      </c>
      <c r="E485" s="45">
        <v>1249216.5371115427</v>
      </c>
      <c r="F485" s="45" t="s">
        <v>488</v>
      </c>
      <c r="G485" s="25">
        <f t="shared" si="5"/>
        <v>2.1355140186915866E-2</v>
      </c>
    </row>
    <row r="486" spans="1:7">
      <c r="A486" s="45">
        <v>217.9511327792238</v>
      </c>
      <c r="B486" s="45">
        <v>218.4271168719215</v>
      </c>
      <c r="C486" s="45">
        <v>212.40790136634848</v>
      </c>
      <c r="D486" s="45">
        <v>212.90371812957525</v>
      </c>
      <c r="E486" s="45">
        <v>494019.198556163</v>
      </c>
      <c r="F486" s="45" t="s">
        <v>489</v>
      </c>
      <c r="G486" s="25">
        <f t="shared" si="5"/>
        <v>2.370749883558454E-2</v>
      </c>
    </row>
    <row r="487" spans="1:7">
      <c r="A487" s="45">
        <v>210.84112039455192</v>
      </c>
      <c r="B487" s="45">
        <v>212.13024397894151</v>
      </c>
      <c r="C487" s="45">
        <v>206.6465105776534</v>
      </c>
      <c r="D487" s="45">
        <v>207.17207634667378</v>
      </c>
      <c r="E487" s="45">
        <v>474426.27487851615</v>
      </c>
      <c r="F487" s="45" t="s">
        <v>490</v>
      </c>
      <c r="G487" s="25">
        <f t="shared" si="5"/>
        <v>1.7710128278767279E-2</v>
      </c>
    </row>
    <row r="488" spans="1:7">
      <c r="A488" s="45">
        <v>205.24830730535388</v>
      </c>
      <c r="B488" s="45">
        <v>205.72846083151197</v>
      </c>
      <c r="C488" s="45">
        <v>201.34767865986336</v>
      </c>
      <c r="D488" s="45">
        <v>202.47628694815251</v>
      </c>
      <c r="E488" s="45">
        <v>461957.21350792714</v>
      </c>
      <c r="F488" s="45" t="s">
        <v>491</v>
      </c>
      <c r="G488" s="25">
        <f t="shared" si="5"/>
        <v>1.3690592607079832E-2</v>
      </c>
    </row>
    <row r="489" spans="1:7">
      <c r="A489" s="45">
        <v>201.89218265859935</v>
      </c>
      <c r="B489" s="45">
        <v>204.62460272498356</v>
      </c>
      <c r="C489" s="45">
        <v>201.24867793282044</v>
      </c>
      <c r="D489" s="45">
        <v>202.52578731167392</v>
      </c>
      <c r="E489" s="45">
        <v>319701.69255709305</v>
      </c>
      <c r="F489" s="45" t="s">
        <v>492</v>
      </c>
      <c r="G489" s="25">
        <f t="shared" si="5"/>
        <v>-3.1285134672726089E-3</v>
      </c>
    </row>
    <row r="490" spans="1:7">
      <c r="A490" s="45">
        <v>202.65448825682969</v>
      </c>
      <c r="B490" s="45">
        <v>203.32769320072148</v>
      </c>
      <c r="C490" s="45">
        <v>197.76385234091012</v>
      </c>
      <c r="D490" s="45">
        <v>199.38746426441381</v>
      </c>
      <c r="E490" s="45">
        <v>411889.90442794649</v>
      </c>
      <c r="F490" s="45" t="s">
        <v>493</v>
      </c>
      <c r="G490" s="25">
        <f t="shared" si="5"/>
        <v>1.6385302879840857E-2</v>
      </c>
    </row>
    <row r="491" spans="1:7">
      <c r="A491" s="45">
        <v>198.44695735750619</v>
      </c>
      <c r="B491" s="45">
        <v>199.32311379183591</v>
      </c>
      <c r="C491" s="45">
        <v>196.01153947225069</v>
      </c>
      <c r="D491" s="45">
        <v>198.00145408581312</v>
      </c>
      <c r="E491" s="45">
        <v>465536.98519835528</v>
      </c>
      <c r="F491" s="45" t="s">
        <v>494</v>
      </c>
      <c r="G491" s="25">
        <f t="shared" si="5"/>
        <v>2.2499999999998632E-3</v>
      </c>
    </row>
    <row r="492" spans="1:7">
      <c r="A492" s="45">
        <v>199.5062651368653</v>
      </c>
      <c r="B492" s="45">
        <v>201.74863160438713</v>
      </c>
      <c r="C492" s="45">
        <v>199.17956273762368</v>
      </c>
      <c r="D492" s="45">
        <v>199.70426659095111</v>
      </c>
      <c r="E492" s="45">
        <v>467270.30580241134</v>
      </c>
      <c r="F492" s="45" t="s">
        <v>495</v>
      </c>
      <c r="G492" s="25">
        <f t="shared" si="5"/>
        <v>-9.914733293674427E-4</v>
      </c>
    </row>
    <row r="493" spans="1:7">
      <c r="A493" s="45">
        <v>198.95186106542502</v>
      </c>
      <c r="B493" s="45">
        <v>202.98614069242345</v>
      </c>
      <c r="C493" s="45">
        <v>197.29854892380845</v>
      </c>
      <c r="D493" s="45">
        <v>202.88218992902841</v>
      </c>
      <c r="E493" s="45">
        <v>557005.00033803622</v>
      </c>
      <c r="F493" s="45" t="s">
        <v>496</v>
      </c>
      <c r="G493" s="25">
        <f t="shared" si="5"/>
        <v>-1.9372468647830932E-2</v>
      </c>
    </row>
    <row r="494" spans="1:7">
      <c r="A494" s="45">
        <v>200.98137596980459</v>
      </c>
      <c r="B494" s="45">
        <v>204.45135145265846</v>
      </c>
      <c r="C494" s="45">
        <v>197.13024768783555</v>
      </c>
      <c r="D494" s="45">
        <v>199.17956273762368</v>
      </c>
      <c r="E494" s="45">
        <v>610195.51880481257</v>
      </c>
      <c r="F494" s="45" t="s">
        <v>497</v>
      </c>
      <c r="G494" s="25">
        <f t="shared" si="5"/>
        <v>9.0461752572195131E-3</v>
      </c>
    </row>
    <row r="495" spans="1:7">
      <c r="A495" s="45">
        <v>196.74414485236818</v>
      </c>
      <c r="B495" s="45">
        <v>211.27745158226688</v>
      </c>
      <c r="C495" s="45">
        <v>196.22439103539296</v>
      </c>
      <c r="D495" s="45">
        <v>206.37691559364302</v>
      </c>
      <c r="E495" s="45">
        <v>713680.61740979354</v>
      </c>
      <c r="F495" s="45" t="s">
        <v>498</v>
      </c>
      <c r="G495" s="25">
        <f t="shared" si="5"/>
        <v>-4.6675621222296959E-2</v>
      </c>
    </row>
    <row r="496" spans="1:7">
      <c r="A496" s="45">
        <v>209.42613798656453</v>
      </c>
      <c r="B496" s="45">
        <v>211.14380060075896</v>
      </c>
      <c r="C496" s="45">
        <v>205.06515596032449</v>
      </c>
      <c r="D496" s="45">
        <v>205.71361072245551</v>
      </c>
      <c r="E496" s="45">
        <v>626966.10271456942</v>
      </c>
      <c r="F496" s="45" t="s">
        <v>499</v>
      </c>
      <c r="G496" s="25">
        <f t="shared" si="5"/>
        <v>1.8047066750084273E-2</v>
      </c>
    </row>
    <row r="497" spans="1:7">
      <c r="A497" s="45">
        <v>206.66401770206744</v>
      </c>
      <c r="B497" s="45">
        <v>207.42632330029784</v>
      </c>
      <c r="C497" s="45">
        <v>203.40194374600367</v>
      </c>
      <c r="D497" s="45">
        <v>204.61470265227928</v>
      </c>
      <c r="E497" s="45">
        <v>494489.29782892572</v>
      </c>
      <c r="F497" s="45" t="s">
        <v>500</v>
      </c>
      <c r="G497" s="25">
        <f t="shared" si="5"/>
        <v>1.0015482872072656E-2</v>
      </c>
    </row>
    <row r="498" spans="1:7">
      <c r="A498" s="45">
        <v>206.39671573905159</v>
      </c>
      <c r="B498" s="45">
        <v>208.03517777161167</v>
      </c>
      <c r="C498" s="45">
        <v>205.25820737805819</v>
      </c>
      <c r="D498" s="45">
        <v>205.51560926836973</v>
      </c>
      <c r="E498" s="45">
        <v>507398.29393605649</v>
      </c>
      <c r="F498" s="45" t="s">
        <v>501</v>
      </c>
      <c r="G498" s="25">
        <f t="shared" si="5"/>
        <v>4.2872970759670892E-3</v>
      </c>
    </row>
    <row r="499" spans="1:7">
      <c r="A499" s="45">
        <v>204.64440287039216</v>
      </c>
      <c r="B499" s="45">
        <v>206.47591632068591</v>
      </c>
      <c r="C499" s="45">
        <v>204.29790032574198</v>
      </c>
      <c r="D499" s="45">
        <v>204.77310381554793</v>
      </c>
      <c r="E499" s="45">
        <v>437541.2311995104</v>
      </c>
      <c r="F499" s="45" t="s">
        <v>502</v>
      </c>
      <c r="G499" s="25">
        <f t="shared" si="5"/>
        <v>-6.2850512473400233E-4</v>
      </c>
    </row>
    <row r="500" spans="1:7">
      <c r="A500" s="45">
        <v>204.64440287039216</v>
      </c>
      <c r="B500" s="45">
        <v>207.42632330029784</v>
      </c>
      <c r="C500" s="45">
        <v>203.33759327342577</v>
      </c>
      <c r="D500" s="45">
        <v>207.42632330029784</v>
      </c>
      <c r="E500" s="45">
        <v>348571.17751311068</v>
      </c>
      <c r="F500" s="45" t="s">
        <v>503</v>
      </c>
      <c r="G500" s="25">
        <f t="shared" si="5"/>
        <v>-1.3411607483772459E-2</v>
      </c>
    </row>
    <row r="501" spans="1:7">
      <c r="A501" s="45">
        <v>209.05983529650575</v>
      </c>
      <c r="B501" s="45">
        <v>210.37159492982428</v>
      </c>
      <c r="C501" s="45">
        <v>207.64412489979222</v>
      </c>
      <c r="D501" s="45">
        <v>207.64412489979222</v>
      </c>
      <c r="E501" s="45">
        <v>203448.0008542841</v>
      </c>
      <c r="F501" s="45" t="s">
        <v>504</v>
      </c>
      <c r="G501" s="25">
        <f t="shared" si="5"/>
        <v>6.8179650996469388E-3</v>
      </c>
    </row>
    <row r="502" spans="1:7">
      <c r="A502" s="45">
        <v>209.00043486028005</v>
      </c>
      <c r="B502" s="45">
        <v>210.43594540240218</v>
      </c>
      <c r="C502" s="45">
        <v>205.43640868673538</v>
      </c>
      <c r="D502" s="45">
        <v>206.22841450307865</v>
      </c>
      <c r="E502" s="45">
        <v>287227.18357084459</v>
      </c>
      <c r="F502" s="45" t="s">
        <v>505</v>
      </c>
      <c r="G502" s="25">
        <f t="shared" si="5"/>
        <v>1.3441505448610336E-2</v>
      </c>
    </row>
    <row r="503" spans="1:7">
      <c r="A503" s="45">
        <v>205.19880694183243</v>
      </c>
      <c r="B503" s="45">
        <v>207.18872155539484</v>
      </c>
      <c r="C503" s="45">
        <v>203.49342041779133</v>
      </c>
      <c r="D503" s="45">
        <v>206.08981348521857</v>
      </c>
      <c r="E503" s="45">
        <v>333074.32162300107</v>
      </c>
      <c r="F503" s="45" t="s">
        <v>506</v>
      </c>
      <c r="G503" s="25">
        <f t="shared" si="5"/>
        <v>-4.3233895373971931E-3</v>
      </c>
    </row>
    <row r="504" spans="1:7">
      <c r="A504" s="45">
        <v>204.49590177982779</v>
      </c>
      <c r="B504" s="45">
        <v>206.81251879263181</v>
      </c>
      <c r="C504" s="45">
        <v>203.20889232827</v>
      </c>
      <c r="D504" s="45">
        <v>206.58481712043309</v>
      </c>
      <c r="E504" s="45">
        <v>420614.08278297691</v>
      </c>
      <c r="F504" s="45" t="s">
        <v>507</v>
      </c>
      <c r="G504" s="25">
        <f t="shared" si="5"/>
        <v>-1.0111659558153852E-2</v>
      </c>
    </row>
    <row r="505" spans="1:7">
      <c r="A505" s="45">
        <v>205.30770774157961</v>
      </c>
      <c r="B505" s="45">
        <v>207.83717631752589</v>
      </c>
      <c r="C505" s="45">
        <v>204.68400316120929</v>
      </c>
      <c r="D505" s="45">
        <v>206.65411762936316</v>
      </c>
      <c r="E505" s="45">
        <v>155876.63304040051</v>
      </c>
      <c r="F505" s="45" t="s">
        <v>508</v>
      </c>
      <c r="G505" s="25">
        <f t="shared" si="5"/>
        <v>-6.5152821692058271E-3</v>
      </c>
    </row>
    <row r="506" spans="1:7">
      <c r="A506" s="45">
        <v>206.21851443037437</v>
      </c>
      <c r="B506" s="45">
        <v>208.56483166129124</v>
      </c>
      <c r="C506" s="45">
        <v>205.02060563315518</v>
      </c>
      <c r="D506" s="45">
        <v>208.56483166129124</v>
      </c>
      <c r="E506" s="45">
        <v>172078.53425780099</v>
      </c>
      <c r="F506" s="45" t="s">
        <v>509</v>
      </c>
      <c r="G506" s="25">
        <f t="shared" ref="G506:G569" si="6">A506/D506-1</f>
        <v>-1.1249821996487275E-2</v>
      </c>
    </row>
    <row r="507" spans="1:7">
      <c r="A507" s="45">
        <v>208.00052751714668</v>
      </c>
      <c r="B507" s="45">
        <v>211.09925027358963</v>
      </c>
      <c r="C507" s="45">
        <v>205.71440272827186</v>
      </c>
      <c r="D507" s="45">
        <v>208.15892868041533</v>
      </c>
      <c r="E507" s="45">
        <v>204605.56811083903</v>
      </c>
      <c r="F507" s="45" t="s">
        <v>510</v>
      </c>
      <c r="G507" s="25">
        <f t="shared" si="6"/>
        <v>-7.6096261771141371E-4</v>
      </c>
    </row>
    <row r="508" spans="1:7">
      <c r="A508" s="45">
        <v>208.55493158858695</v>
      </c>
      <c r="B508" s="45">
        <v>214.18312292097619</v>
      </c>
      <c r="C508" s="45">
        <v>207.7629257722437</v>
      </c>
      <c r="D508" s="45">
        <v>214.05937201217256</v>
      </c>
      <c r="E508" s="45">
        <v>291244.32578665519</v>
      </c>
      <c r="F508" s="45" t="s">
        <v>511</v>
      </c>
      <c r="G508" s="25">
        <f t="shared" si="6"/>
        <v>-2.5714549995375036E-2</v>
      </c>
    </row>
    <row r="509" spans="1:7">
      <c r="A509" s="45">
        <v>212.29715907080882</v>
      </c>
      <c r="B509" s="45">
        <v>214.0197717213554</v>
      </c>
      <c r="C509" s="45">
        <v>210.66364707460085</v>
      </c>
      <c r="D509" s="45">
        <v>213.11886510526494</v>
      </c>
      <c r="E509" s="45">
        <v>191397.58430044446</v>
      </c>
      <c r="F509" s="45" t="s">
        <v>512</v>
      </c>
      <c r="G509" s="25">
        <f t="shared" si="6"/>
        <v>-3.8556231709017119E-3</v>
      </c>
    </row>
    <row r="510" spans="1:7">
      <c r="A510" s="45">
        <v>215.24738073668743</v>
      </c>
      <c r="B510" s="45">
        <v>218.70250611048488</v>
      </c>
      <c r="C510" s="45">
        <v>214.07422212122901</v>
      </c>
      <c r="D510" s="45">
        <v>218.69260603778059</v>
      </c>
      <c r="E510" s="45">
        <v>179811.81079897418</v>
      </c>
      <c r="F510" s="45" t="s">
        <v>513</v>
      </c>
      <c r="G510" s="25">
        <f t="shared" si="6"/>
        <v>-1.5753734721593582E-2</v>
      </c>
    </row>
    <row r="511" spans="1:7">
      <c r="A511" s="45">
        <v>216.05918669843928</v>
      </c>
      <c r="B511" s="45">
        <v>218.15800211174889</v>
      </c>
      <c r="C511" s="45">
        <v>214.10887237569401</v>
      </c>
      <c r="D511" s="45">
        <v>217.15809476861551</v>
      </c>
      <c r="E511" s="45">
        <v>162780.62274245365</v>
      </c>
      <c r="F511" s="45" t="s">
        <v>514</v>
      </c>
      <c r="G511" s="25">
        <f t="shared" si="6"/>
        <v>-5.0604057442442674E-3</v>
      </c>
    </row>
    <row r="512" spans="1:7">
      <c r="A512" s="45">
        <v>221.55372704932057</v>
      </c>
      <c r="B512" s="45">
        <v>221.70222813988494</v>
      </c>
      <c r="C512" s="45">
        <v>213.53466815884514</v>
      </c>
      <c r="D512" s="45">
        <v>215.34638146373035</v>
      </c>
      <c r="E512" s="45">
        <v>230558.91286644302</v>
      </c>
      <c r="F512" s="45" t="s">
        <v>515</v>
      </c>
      <c r="G512" s="25">
        <f t="shared" si="6"/>
        <v>2.8824935638102067E-2</v>
      </c>
    </row>
    <row r="513" spans="1:7">
      <c r="A513" s="45">
        <v>214.73257695606432</v>
      </c>
      <c r="B513" s="45">
        <v>218.02930116659309</v>
      </c>
      <c r="C513" s="45">
        <v>213.79038703679697</v>
      </c>
      <c r="D513" s="45">
        <v>215.25728080939174</v>
      </c>
      <c r="E513" s="45">
        <v>247703.23140527954</v>
      </c>
      <c r="F513" s="45" t="s">
        <v>516</v>
      </c>
      <c r="G513" s="25">
        <f t="shared" si="6"/>
        <v>-2.4375661132319815E-3</v>
      </c>
    </row>
    <row r="514" spans="1:7">
      <c r="A514" s="45">
        <v>214.60387601090855</v>
      </c>
      <c r="B514" s="45">
        <v>215.68298393567625</v>
      </c>
      <c r="C514" s="45">
        <v>208.43118067978332</v>
      </c>
      <c r="D514" s="45">
        <v>208.97073464216717</v>
      </c>
      <c r="E514" s="45">
        <v>307445.21691046352</v>
      </c>
      <c r="F514" s="45" t="s">
        <v>517</v>
      </c>
      <c r="G514" s="25">
        <f t="shared" si="6"/>
        <v>2.6956604131135098E-2</v>
      </c>
    </row>
    <row r="515" spans="1:7">
      <c r="A515" s="45">
        <v>209.77264053121468</v>
      </c>
      <c r="B515" s="45">
        <v>214.60387601090855</v>
      </c>
      <c r="C515" s="45">
        <v>209.42613798656453</v>
      </c>
      <c r="D515" s="45">
        <v>214.60387601090855</v>
      </c>
      <c r="E515" s="45">
        <v>336918.73783456133</v>
      </c>
      <c r="F515" s="45" t="s">
        <v>518</v>
      </c>
      <c r="G515" s="25">
        <f t="shared" si="6"/>
        <v>-2.2512340268487474E-2</v>
      </c>
    </row>
    <row r="516" spans="1:7">
      <c r="A516" s="45">
        <v>212.59416125193755</v>
      </c>
      <c r="B516" s="45">
        <v>215.81168488083202</v>
      </c>
      <c r="C516" s="45">
        <v>212.44566016137318</v>
      </c>
      <c r="D516" s="45">
        <v>214.56427572009136</v>
      </c>
      <c r="E516" s="45">
        <v>332133.92448874924</v>
      </c>
      <c r="F516" s="45" t="s">
        <v>519</v>
      </c>
      <c r="G516" s="25">
        <f t="shared" si="6"/>
        <v>-9.1819314354264492E-3</v>
      </c>
    </row>
    <row r="517" spans="1:7">
      <c r="A517" s="45">
        <v>215.21768051857455</v>
      </c>
      <c r="B517" s="45">
        <v>219.18760967299511</v>
      </c>
      <c r="C517" s="45">
        <v>214.34647412059698</v>
      </c>
      <c r="D517" s="45">
        <v>219.18760967299511</v>
      </c>
      <c r="E517" s="45">
        <v>432790.76103582996</v>
      </c>
      <c r="F517" s="45" t="s">
        <v>520</v>
      </c>
      <c r="G517" s="25">
        <f t="shared" si="6"/>
        <v>-1.8112014453477876E-2</v>
      </c>
    </row>
    <row r="518" spans="1:7">
      <c r="A518" s="45">
        <v>220.65282043323012</v>
      </c>
      <c r="B518" s="45">
        <v>224.79105082362364</v>
      </c>
      <c r="C518" s="45">
        <v>218.57875520168125</v>
      </c>
      <c r="D518" s="45">
        <v>223.543641662883</v>
      </c>
      <c r="E518" s="45">
        <v>197854.10254119409</v>
      </c>
      <c r="F518" s="45" t="s">
        <v>521</v>
      </c>
      <c r="G518" s="25">
        <f t="shared" si="6"/>
        <v>-1.2931798051373011E-2</v>
      </c>
    </row>
    <row r="519" spans="1:7">
      <c r="A519" s="45">
        <v>223.90994435294175</v>
      </c>
      <c r="B519" s="45">
        <v>225.37515511317679</v>
      </c>
      <c r="C519" s="45">
        <v>220.67757061499086</v>
      </c>
      <c r="D519" s="45">
        <v>221.62302755825064</v>
      </c>
      <c r="E519" s="45">
        <v>291869.57372016954</v>
      </c>
      <c r="F519" s="45" t="s">
        <v>522</v>
      </c>
      <c r="G519" s="25">
        <f t="shared" si="6"/>
        <v>1.0318949343339545E-2</v>
      </c>
    </row>
    <row r="520" spans="1:7">
      <c r="A520" s="45">
        <v>221.63292763095492</v>
      </c>
      <c r="B520" s="45">
        <v>221.84082915774502</v>
      </c>
      <c r="C520" s="45">
        <v>215.74733440825412</v>
      </c>
      <c r="D520" s="45">
        <v>216.06908677114356</v>
      </c>
      <c r="E520" s="45">
        <v>309866.41125074466</v>
      </c>
      <c r="F520" s="45" t="s">
        <v>523</v>
      </c>
      <c r="G520" s="25">
        <f t="shared" si="6"/>
        <v>2.5750286368843245E-2</v>
      </c>
    </row>
    <row r="521" spans="1:7">
      <c r="A521" s="45">
        <v>214.22767324814549</v>
      </c>
      <c r="B521" s="45">
        <v>218.42609608058106</v>
      </c>
      <c r="C521" s="45">
        <v>213.76236983104383</v>
      </c>
      <c r="D521" s="45">
        <v>218.32630334772182</v>
      </c>
      <c r="E521" s="45">
        <v>364573.08019927394</v>
      </c>
      <c r="F521" s="45" t="s">
        <v>524</v>
      </c>
      <c r="G521" s="25">
        <f t="shared" si="6"/>
        <v>-1.877295606039997E-2</v>
      </c>
    </row>
    <row r="522" spans="1:7">
      <c r="A522" s="45">
        <v>217.45509694974425</v>
      </c>
      <c r="B522" s="45">
        <v>219.69251338091394</v>
      </c>
      <c r="C522" s="45">
        <v>216.72249156962673</v>
      </c>
      <c r="D522" s="45">
        <v>218.38570378394758</v>
      </c>
      <c r="E522" s="45">
        <v>290888.77284223342</v>
      </c>
      <c r="F522" s="45" t="s">
        <v>525</v>
      </c>
      <c r="G522" s="25">
        <f t="shared" si="6"/>
        <v>-4.261299242939387E-3</v>
      </c>
    </row>
    <row r="523" spans="1:7">
      <c r="A523" s="45">
        <v>218.73220632859775</v>
      </c>
      <c r="B523" s="45">
        <v>222.75163584653976</v>
      </c>
      <c r="C523" s="45">
        <v>217.21749520484127</v>
      </c>
      <c r="D523" s="45">
        <v>222.75163584653976</v>
      </c>
      <c r="E523" s="45">
        <v>200922.76687401594</v>
      </c>
      <c r="F523" s="45" t="s">
        <v>526</v>
      </c>
      <c r="G523" s="25">
        <f t="shared" si="6"/>
        <v>-1.8044444444444419E-2</v>
      </c>
    </row>
    <row r="524" spans="1:7">
      <c r="A524" s="45">
        <v>222.14773141157801</v>
      </c>
      <c r="B524" s="45">
        <v>222.5041340289325</v>
      </c>
      <c r="C524" s="45">
        <v>218.60350538344196</v>
      </c>
      <c r="D524" s="45">
        <v>219.6232128719839</v>
      </c>
      <c r="E524" s="45">
        <v>315350.20936229499</v>
      </c>
      <c r="F524" s="45" t="s">
        <v>527</v>
      </c>
      <c r="G524" s="25">
        <f t="shared" si="6"/>
        <v>1.1494771006130611E-2</v>
      </c>
    </row>
    <row r="525" spans="1:7">
      <c r="A525" s="45">
        <v>218.27680298420037</v>
      </c>
      <c r="B525" s="45">
        <v>218.94505789173999</v>
      </c>
      <c r="C525" s="45">
        <v>214.36627426600558</v>
      </c>
      <c r="D525" s="45">
        <v>214.7622771741772</v>
      </c>
      <c r="E525" s="45">
        <v>180630.99670217317</v>
      </c>
      <c r="F525" s="45" t="s">
        <v>528</v>
      </c>
      <c r="G525" s="25">
        <f t="shared" si="6"/>
        <v>1.63647259484625E-2</v>
      </c>
    </row>
    <row r="526" spans="1:7">
      <c r="A526" s="45">
        <v>215.89088546246631</v>
      </c>
      <c r="B526" s="45">
        <v>217.43529680433565</v>
      </c>
      <c r="C526" s="45">
        <v>213.05946466903922</v>
      </c>
      <c r="D526" s="45">
        <v>214.64347630172571</v>
      </c>
      <c r="E526" s="45">
        <v>380959.82854403002</v>
      </c>
      <c r="F526" s="45" t="s">
        <v>529</v>
      </c>
      <c r="G526" s="25">
        <f t="shared" si="6"/>
        <v>5.8115400581153498E-3</v>
      </c>
    </row>
    <row r="527" spans="1:7">
      <c r="A527" s="45">
        <v>214.30687382977982</v>
      </c>
      <c r="B527" s="45">
        <v>216.62844087893598</v>
      </c>
      <c r="C527" s="45">
        <v>211.34675209119692</v>
      </c>
      <c r="D527" s="45">
        <v>215.17808022775739</v>
      </c>
      <c r="E527" s="45">
        <v>227396.30982955516</v>
      </c>
      <c r="F527" s="45" t="s">
        <v>530</v>
      </c>
      <c r="G527" s="25">
        <f t="shared" si="6"/>
        <v>-4.0487692661606012E-3</v>
      </c>
    </row>
    <row r="528" spans="1:7">
      <c r="A528" s="45">
        <v>213.2376659777164</v>
      </c>
      <c r="B528" s="45">
        <v>214.95037855555873</v>
      </c>
      <c r="C528" s="45">
        <v>212.00015688968008</v>
      </c>
      <c r="D528" s="45">
        <v>213.16836546878639</v>
      </c>
      <c r="E528" s="45">
        <v>513570.975877424</v>
      </c>
      <c r="F528" s="45" t="s">
        <v>531</v>
      </c>
      <c r="G528" s="25">
        <f t="shared" si="6"/>
        <v>3.2509752925857782E-4</v>
      </c>
    </row>
    <row r="529" spans="1:7">
      <c r="A529" s="45">
        <v>216.0294864803264</v>
      </c>
      <c r="B529" s="45">
        <v>218.45005425652545</v>
      </c>
      <c r="C529" s="45">
        <v>214.51477535656994</v>
      </c>
      <c r="D529" s="45">
        <v>217.89070014873303</v>
      </c>
      <c r="E529" s="45">
        <v>230919.51627882529</v>
      </c>
      <c r="F529" s="45" t="s">
        <v>532</v>
      </c>
      <c r="G529" s="25">
        <f t="shared" si="6"/>
        <v>-8.541960107228852E-3</v>
      </c>
    </row>
    <row r="530" spans="1:7">
      <c r="A530" s="45">
        <v>219.94991527122548</v>
      </c>
      <c r="B530" s="45">
        <v>225.50385605833256</v>
      </c>
      <c r="C530" s="45">
        <v>219.35591090896804</v>
      </c>
      <c r="D530" s="45">
        <v>224.40494798815627</v>
      </c>
      <c r="E530" s="45">
        <v>198843.99426145921</v>
      </c>
      <c r="F530" s="45" t="s">
        <v>533</v>
      </c>
      <c r="G530" s="25">
        <f t="shared" si="6"/>
        <v>-1.9852649225746699E-2</v>
      </c>
    </row>
    <row r="531" spans="1:7">
      <c r="A531" s="45">
        <v>224.29604718840909</v>
      </c>
      <c r="B531" s="45">
        <v>225.20685387720383</v>
      </c>
      <c r="C531" s="45">
        <v>222.33583279295956</v>
      </c>
      <c r="D531" s="45">
        <v>223.78124340778598</v>
      </c>
      <c r="E531" s="45">
        <v>174751.24190251681</v>
      </c>
      <c r="F531" s="45" t="s">
        <v>534</v>
      </c>
      <c r="G531" s="25">
        <f t="shared" si="6"/>
        <v>2.300477791541411E-3</v>
      </c>
    </row>
    <row r="532" spans="1:7">
      <c r="A532" s="45">
        <v>224.84055118714508</v>
      </c>
      <c r="B532" s="45">
        <v>225.23655409531671</v>
      </c>
      <c r="C532" s="45">
        <v>220.21721723424133</v>
      </c>
      <c r="D532" s="45">
        <v>221.48442654039056</v>
      </c>
      <c r="E532" s="45">
        <v>241994.18242268931</v>
      </c>
      <c r="F532" s="45" t="s">
        <v>535</v>
      </c>
      <c r="G532" s="25">
        <f t="shared" si="6"/>
        <v>1.5152869658501711E-2</v>
      </c>
    </row>
    <row r="533" spans="1:7">
      <c r="A533" s="45">
        <v>222.15763148428232</v>
      </c>
      <c r="B533" s="45">
        <v>229.05798215917289</v>
      </c>
      <c r="C533" s="45">
        <v>221.88042944856218</v>
      </c>
      <c r="D533" s="45">
        <v>226.10776049329428</v>
      </c>
      <c r="E533" s="45">
        <v>308255.31197133358</v>
      </c>
      <c r="F533" s="45" t="s">
        <v>536</v>
      </c>
      <c r="G533" s="25">
        <f t="shared" si="6"/>
        <v>-1.7470116905293542E-2</v>
      </c>
    </row>
    <row r="534" spans="1:7">
      <c r="A534" s="45">
        <v>226.59286405580451</v>
      </c>
      <c r="B534" s="45">
        <v>227.80562296208012</v>
      </c>
      <c r="C534" s="45">
        <v>222.73678573748333</v>
      </c>
      <c r="D534" s="45">
        <v>224.07824558891471</v>
      </c>
      <c r="E534" s="45">
        <v>394743.56570192572</v>
      </c>
      <c r="F534" s="45" t="s">
        <v>537</v>
      </c>
      <c r="G534" s="25">
        <f t="shared" si="6"/>
        <v>1.1222055315012636E-2</v>
      </c>
    </row>
    <row r="535" spans="1:7">
      <c r="A535" s="45">
        <v>222.26653228402949</v>
      </c>
      <c r="B535" s="45">
        <v>223.74154411624178</v>
      </c>
      <c r="C535" s="45">
        <v>220.58351992430011</v>
      </c>
      <c r="D535" s="45">
        <v>221.65272777636346</v>
      </c>
      <c r="E535" s="45">
        <v>277697.96062290471</v>
      </c>
      <c r="F535" s="45" t="s">
        <v>538</v>
      </c>
      <c r="G535" s="25">
        <f t="shared" si="6"/>
        <v>2.7692170262183513E-3</v>
      </c>
    </row>
    <row r="536" spans="1:7">
      <c r="A536" s="45">
        <v>221.04882334140177</v>
      </c>
      <c r="B536" s="45">
        <v>223.77629337143384</v>
      </c>
      <c r="C536" s="45">
        <v>219.00940836431789</v>
      </c>
      <c r="D536" s="45">
        <v>221.72202828529353</v>
      </c>
      <c r="E536" s="45">
        <v>299660.42559609289</v>
      </c>
      <c r="F536" s="45" t="s">
        <v>539</v>
      </c>
      <c r="G536" s="25">
        <f t="shared" si="6"/>
        <v>-3.0362564743704468E-3</v>
      </c>
    </row>
    <row r="537" spans="1:7">
      <c r="A537" s="45">
        <v>222.75163584653976</v>
      </c>
      <c r="B537" s="45">
        <v>223.16743890011995</v>
      </c>
      <c r="C537" s="45">
        <v>218.34610349313041</v>
      </c>
      <c r="D537" s="45">
        <v>219.4153113451938</v>
      </c>
      <c r="E537" s="45">
        <v>200521.75971794938</v>
      </c>
      <c r="F537" s="45" t="s">
        <v>540</v>
      </c>
      <c r="G537" s="25">
        <f t="shared" si="6"/>
        <v>1.5205522718043651E-2</v>
      </c>
    </row>
    <row r="538" spans="1:7">
      <c r="A538" s="45">
        <v>220.77162130568161</v>
      </c>
      <c r="B538" s="45">
        <v>222.40513330188958</v>
      </c>
      <c r="C538" s="45">
        <v>215.8215849535363</v>
      </c>
      <c r="D538" s="45">
        <v>218.06890145741028</v>
      </c>
      <c r="E538" s="45">
        <v>242552.76417912461</v>
      </c>
      <c r="F538" s="45" t="s">
        <v>541</v>
      </c>
      <c r="G538" s="25">
        <f t="shared" si="6"/>
        <v>1.2393880237889787E-2</v>
      </c>
    </row>
    <row r="539" spans="1:7">
      <c r="A539" s="45">
        <v>220.56371977889151</v>
      </c>
      <c r="B539" s="45">
        <v>223.29613984527575</v>
      </c>
      <c r="C539" s="45">
        <v>219.34601083626376</v>
      </c>
      <c r="D539" s="45">
        <v>222.84073650087836</v>
      </c>
      <c r="E539" s="45">
        <v>409747.49591908703</v>
      </c>
      <c r="F539" s="45" t="s">
        <v>542</v>
      </c>
      <c r="G539" s="25">
        <f t="shared" si="6"/>
        <v>-1.0218134968234982E-2</v>
      </c>
    </row>
    <row r="540" spans="1:7">
      <c r="A540" s="45">
        <v>222.20713184780374</v>
      </c>
      <c r="B540" s="45">
        <v>224.83656808035482</v>
      </c>
      <c r="C540" s="45">
        <v>221.87103849477089</v>
      </c>
      <c r="D540" s="45">
        <v>222.68161658149717</v>
      </c>
      <c r="E540" s="45">
        <v>306006.05180653237</v>
      </c>
      <c r="F540" s="45" t="s">
        <v>543</v>
      </c>
      <c r="G540" s="25">
        <f t="shared" si="6"/>
        <v>-2.1307764016513797E-3</v>
      </c>
    </row>
    <row r="541" spans="1:7">
      <c r="A541" s="45">
        <v>223.44276917513037</v>
      </c>
      <c r="B541" s="45">
        <v>225.79048009705099</v>
      </c>
      <c r="C541" s="45">
        <v>223.26977994930465</v>
      </c>
      <c r="D541" s="45">
        <v>225.23197202509934</v>
      </c>
      <c r="E541" s="45">
        <v>386134.74152021488</v>
      </c>
      <c r="F541" s="45" t="s">
        <v>544</v>
      </c>
      <c r="G541" s="25">
        <f t="shared" si="6"/>
        <v>-7.943822690366531E-3</v>
      </c>
    </row>
    <row r="542" spans="1:7">
      <c r="A542" s="45">
        <v>225.22208692648073</v>
      </c>
      <c r="B542" s="45">
        <v>234.15821607770695</v>
      </c>
      <c r="C542" s="45">
        <v>224.54990022041505</v>
      </c>
      <c r="D542" s="45">
        <v>234.00005449980915</v>
      </c>
      <c r="E542" s="45">
        <v>692561.62878428807</v>
      </c>
      <c r="F542" s="45" t="s">
        <v>545</v>
      </c>
      <c r="G542" s="25">
        <f t="shared" si="6"/>
        <v>-3.7512673200405522E-2</v>
      </c>
    </row>
    <row r="543" spans="1:7">
      <c r="A543" s="45">
        <v>235.01821965752632</v>
      </c>
      <c r="B543" s="45">
        <v>239.46651403590221</v>
      </c>
      <c r="C543" s="45">
        <v>232.44809401668692</v>
      </c>
      <c r="D543" s="45">
        <v>236.23408678761572</v>
      </c>
      <c r="E543" s="45">
        <v>518187.04067908193</v>
      </c>
      <c r="F543" s="45" t="s">
        <v>546</v>
      </c>
      <c r="G543" s="25">
        <f t="shared" si="6"/>
        <v>-5.1468742154154867E-3</v>
      </c>
    </row>
    <row r="544" spans="1:7">
      <c r="A544" s="45">
        <v>234.96879416443323</v>
      </c>
      <c r="B544" s="45">
        <v>243.11411542617043</v>
      </c>
      <c r="C544" s="45">
        <v>234.02476724635571</v>
      </c>
      <c r="D544" s="45">
        <v>240.21283898160749</v>
      </c>
      <c r="E544" s="45">
        <v>794801.37762169482</v>
      </c>
      <c r="F544" s="45" t="s">
        <v>547</v>
      </c>
      <c r="G544" s="25">
        <f t="shared" si="6"/>
        <v>-2.1830826526203162E-2</v>
      </c>
    </row>
    <row r="545" spans="1:7">
      <c r="A545" s="45">
        <v>248.06654983409558</v>
      </c>
      <c r="B545" s="45">
        <v>249.65805071169231</v>
      </c>
      <c r="C545" s="45">
        <v>244.14710823181551</v>
      </c>
      <c r="D545" s="45">
        <v>248.47183887745874</v>
      </c>
      <c r="E545" s="45">
        <v>505380.89631127176</v>
      </c>
      <c r="F545" s="45" t="s">
        <v>548</v>
      </c>
      <c r="G545" s="25">
        <f t="shared" si="6"/>
        <v>-1.6311266709103656E-3</v>
      </c>
    </row>
    <row r="546" spans="1:7">
      <c r="A546" s="45">
        <v>248.06654983409558</v>
      </c>
      <c r="B546" s="45">
        <v>250.15230564262296</v>
      </c>
      <c r="C546" s="45">
        <v>244.60676531758099</v>
      </c>
      <c r="D546" s="45">
        <v>247.14723566256458</v>
      </c>
      <c r="E546" s="45">
        <v>287769.51143853227</v>
      </c>
      <c r="F546" s="45" t="s">
        <v>549</v>
      </c>
      <c r="G546" s="25">
        <f t="shared" si="6"/>
        <v>3.7197024238060372E-3</v>
      </c>
    </row>
    <row r="547" spans="1:7">
      <c r="A547" s="45">
        <v>248.18517101751894</v>
      </c>
      <c r="B547" s="45">
        <v>253.89875801907735</v>
      </c>
      <c r="C547" s="45">
        <v>247.48332901559743</v>
      </c>
      <c r="D547" s="45">
        <v>251.30886218100068</v>
      </c>
      <c r="E547" s="45">
        <v>220887.02240042493</v>
      </c>
      <c r="F547" s="45" t="s">
        <v>550</v>
      </c>
      <c r="G547" s="25">
        <f t="shared" si="6"/>
        <v>-1.2429689651103359E-2</v>
      </c>
    </row>
    <row r="548" spans="1:7">
      <c r="A548" s="45">
        <v>252.11944026772699</v>
      </c>
      <c r="B548" s="45">
        <v>252.29737204286198</v>
      </c>
      <c r="C548" s="45">
        <v>248.11597532718866</v>
      </c>
      <c r="D548" s="45">
        <v>248.29390710232371</v>
      </c>
      <c r="E548" s="45">
        <v>169139.43547834634</v>
      </c>
      <c r="F548" s="45" t="s">
        <v>551</v>
      </c>
      <c r="G548" s="25">
        <f t="shared" si="6"/>
        <v>1.5407277649494455E-2</v>
      </c>
    </row>
    <row r="549" spans="1:7">
      <c r="A549" s="45">
        <v>246.20815129379633</v>
      </c>
      <c r="B549" s="45">
        <v>247.20654625427628</v>
      </c>
      <c r="C549" s="45">
        <v>243.01032189067502</v>
      </c>
      <c r="D549" s="45">
        <v>246.71229132334562</v>
      </c>
      <c r="E549" s="45">
        <v>143692.04140517593</v>
      </c>
      <c r="F549" s="45" t="s">
        <v>552</v>
      </c>
      <c r="G549" s="25">
        <f t="shared" si="6"/>
        <v>-2.0434329673852947E-3</v>
      </c>
    </row>
    <row r="550" spans="1:7">
      <c r="A550" s="45">
        <v>245.10102024851165</v>
      </c>
      <c r="B550" s="45">
        <v>247.84907766448609</v>
      </c>
      <c r="C550" s="45">
        <v>242.81756246761202</v>
      </c>
      <c r="D550" s="45">
        <v>244.92308847337665</v>
      </c>
      <c r="E550" s="45">
        <v>175727.12898677352</v>
      </c>
      <c r="F550" s="45" t="s">
        <v>553</v>
      </c>
      <c r="G550" s="25">
        <f t="shared" si="6"/>
        <v>7.2648020341437025E-4</v>
      </c>
    </row>
    <row r="551" spans="1:7">
      <c r="A551" s="45">
        <v>249.82609738820872</v>
      </c>
      <c r="B551" s="45">
        <v>250.54770958736748</v>
      </c>
      <c r="C551" s="45">
        <v>248.72885144154267</v>
      </c>
      <c r="D551" s="45">
        <v>249.86563778268319</v>
      </c>
      <c r="E551" s="45">
        <v>103467.86000436485</v>
      </c>
      <c r="F551" s="45" t="s">
        <v>554</v>
      </c>
      <c r="G551" s="25">
        <f t="shared" si="6"/>
        <v>-1.5824662736885209E-4</v>
      </c>
    </row>
    <row r="552" spans="1:7">
      <c r="A552" s="45">
        <v>249.14402558352441</v>
      </c>
      <c r="B552" s="45">
        <v>249.40103814760838</v>
      </c>
      <c r="C552" s="45">
        <v>245.73297460319961</v>
      </c>
      <c r="D552" s="45">
        <v>247.36470783217408</v>
      </c>
      <c r="E552" s="45">
        <v>149899.36440390276</v>
      </c>
      <c r="F552" s="45" t="s">
        <v>555</v>
      </c>
      <c r="G552" s="25">
        <f t="shared" si="6"/>
        <v>7.1930946291558495E-3</v>
      </c>
    </row>
    <row r="553" spans="1:7">
      <c r="A553" s="45">
        <v>248.43229848298427</v>
      </c>
      <c r="B553" s="45">
        <v>248.57068986364487</v>
      </c>
      <c r="C553" s="45">
        <v>243.87526801980366</v>
      </c>
      <c r="D553" s="45">
        <v>246.4651638578803</v>
      </c>
      <c r="E553" s="45">
        <v>113533.51577967973</v>
      </c>
      <c r="F553" s="45" t="s">
        <v>556</v>
      </c>
      <c r="G553" s="25">
        <f t="shared" si="6"/>
        <v>7.9813901255363362E-3</v>
      </c>
    </row>
    <row r="554" spans="1:7">
      <c r="A554" s="45">
        <v>248.00723924238389</v>
      </c>
      <c r="B554" s="45">
        <v>250.83437744730725</v>
      </c>
      <c r="C554" s="45">
        <v>247.0928676201622</v>
      </c>
      <c r="D554" s="45">
        <v>249.40103814760838</v>
      </c>
      <c r="E554" s="45">
        <v>184868.16070393386</v>
      </c>
      <c r="F554" s="45" t="s">
        <v>557</v>
      </c>
      <c r="G554" s="25">
        <f t="shared" si="6"/>
        <v>-5.5885850178361007E-3</v>
      </c>
    </row>
    <row r="555" spans="1:7">
      <c r="A555" s="45">
        <v>249.35161265451529</v>
      </c>
      <c r="B555" s="45">
        <v>249.93483347301347</v>
      </c>
      <c r="C555" s="45">
        <v>241.15686589968504</v>
      </c>
      <c r="D555" s="45">
        <v>241.89824829608102</v>
      </c>
      <c r="E555" s="45">
        <v>205261.48279183061</v>
      </c>
      <c r="F555" s="45" t="s">
        <v>558</v>
      </c>
      <c r="G555" s="25">
        <f t="shared" si="6"/>
        <v>3.0811981529156984E-2</v>
      </c>
    </row>
    <row r="556" spans="1:7">
      <c r="A556" s="45">
        <v>241.29525728034562</v>
      </c>
      <c r="B556" s="45">
        <v>243.28216210268687</v>
      </c>
      <c r="C556" s="45">
        <v>240.26720702400988</v>
      </c>
      <c r="D556" s="45">
        <v>240.26720702400988</v>
      </c>
      <c r="E556" s="45">
        <v>142008.6995750127</v>
      </c>
      <c r="F556" s="45" t="s">
        <v>559</v>
      </c>
      <c r="G556" s="25">
        <f t="shared" si="6"/>
        <v>4.2787789023286393E-3</v>
      </c>
    </row>
    <row r="557" spans="1:7">
      <c r="A557" s="45">
        <v>242.91641345379819</v>
      </c>
      <c r="B557" s="45">
        <v>244.19159117559926</v>
      </c>
      <c r="C557" s="45">
        <v>239.995366811998</v>
      </c>
      <c r="D557" s="45">
        <v>242.74836677728175</v>
      </c>
      <c r="E557" s="45">
        <v>180888.43308382444</v>
      </c>
      <c r="F557" s="45" t="s">
        <v>560</v>
      </c>
      <c r="G557" s="25">
        <f t="shared" si="6"/>
        <v>6.9226697072122256E-4</v>
      </c>
    </row>
    <row r="558" spans="1:7">
      <c r="A558" s="45">
        <v>244.80446728995327</v>
      </c>
      <c r="B558" s="45">
        <v>245.48653909463758</v>
      </c>
      <c r="C558" s="45">
        <v>236.40213346413216</v>
      </c>
      <c r="D558" s="45">
        <v>239.47639913452082</v>
      </c>
      <c r="E558" s="45">
        <v>176506.07923270241</v>
      </c>
      <c r="F558" s="45" t="s">
        <v>561</v>
      </c>
      <c r="G558" s="25">
        <f t="shared" si="6"/>
        <v>2.2248823577974086E-2</v>
      </c>
    </row>
    <row r="559" spans="1:7">
      <c r="A559" s="45">
        <v>240.03984975578177</v>
      </c>
      <c r="B559" s="45">
        <v>245.7336665601029</v>
      </c>
      <c r="C559" s="45">
        <v>239.86191798064672</v>
      </c>
      <c r="D559" s="45">
        <v>244.22124647145509</v>
      </c>
      <c r="E559" s="45">
        <v>249113.34676653906</v>
      </c>
      <c r="F559" s="45" t="s">
        <v>562</v>
      </c>
      <c r="G559" s="25">
        <f t="shared" si="6"/>
        <v>-1.7121347041204493E-2</v>
      </c>
    </row>
    <row r="560" spans="1:7">
      <c r="A560" s="45">
        <v>242.0366396767416</v>
      </c>
      <c r="B560" s="45">
        <v>245.02193945956276</v>
      </c>
      <c r="C560" s="45">
        <v>241.73020161956458</v>
      </c>
      <c r="D560" s="45">
        <v>242.75825187590038</v>
      </c>
      <c r="E560" s="45">
        <v>132353.76302027851</v>
      </c>
      <c r="F560" s="45" t="s">
        <v>563</v>
      </c>
      <c r="G560" s="25">
        <f t="shared" si="6"/>
        <v>-2.9725547683037146E-3</v>
      </c>
    </row>
    <row r="561" spans="1:7">
      <c r="A561" s="45">
        <v>244.18170607698065</v>
      </c>
      <c r="B561" s="45">
        <v>244.54251217656002</v>
      </c>
      <c r="C561" s="45">
        <v>240.53410468671242</v>
      </c>
      <c r="D561" s="45">
        <v>240.53410468671242</v>
      </c>
      <c r="E561" s="45">
        <v>128795.88248140592</v>
      </c>
      <c r="F561" s="45" t="s">
        <v>564</v>
      </c>
      <c r="G561" s="25">
        <f t="shared" si="6"/>
        <v>1.516459129577119E-2</v>
      </c>
    </row>
    <row r="562" spans="1:7">
      <c r="A562" s="45">
        <v>241.64123573199709</v>
      </c>
      <c r="B562" s="45">
        <v>244.13228058388759</v>
      </c>
      <c r="C562" s="45">
        <v>239.21938657043688</v>
      </c>
      <c r="D562" s="45">
        <v>244.13228058388759</v>
      </c>
      <c r="E562" s="45">
        <v>151430.96267966426</v>
      </c>
      <c r="F562" s="45" t="s">
        <v>565</v>
      </c>
      <c r="G562" s="25">
        <f t="shared" si="6"/>
        <v>-1.0203668461756465E-2</v>
      </c>
    </row>
    <row r="563" spans="1:7">
      <c r="A563" s="45">
        <v>242.06629497259743</v>
      </c>
      <c r="B563" s="45">
        <v>242.95595384827263</v>
      </c>
      <c r="C563" s="45">
        <v>240.03984975578177</v>
      </c>
      <c r="D563" s="45">
        <v>242.95595384827263</v>
      </c>
      <c r="E563" s="45">
        <v>170325.05845007187</v>
      </c>
      <c r="F563" s="45" t="s">
        <v>566</v>
      </c>
      <c r="G563" s="25">
        <f t="shared" si="6"/>
        <v>-3.6618113760273907E-3</v>
      </c>
    </row>
    <row r="564" spans="1:7">
      <c r="A564" s="45">
        <v>239.17984617596244</v>
      </c>
      <c r="B564" s="45">
        <v>246.77654446436659</v>
      </c>
      <c r="C564" s="45">
        <v>238.66582104779454</v>
      </c>
      <c r="D564" s="45">
        <v>245.49642419325619</v>
      </c>
      <c r="E564" s="45">
        <v>157943.79603458656</v>
      </c>
      <c r="F564" s="45" t="s">
        <v>567</v>
      </c>
      <c r="G564" s="25">
        <f t="shared" si="6"/>
        <v>-2.5729816790819315E-2</v>
      </c>
    </row>
    <row r="565" spans="1:7">
      <c r="A565" s="45">
        <v>245.05159475541862</v>
      </c>
      <c r="B565" s="45">
        <v>252.0699159236477</v>
      </c>
      <c r="C565" s="45">
        <v>243.17342601788212</v>
      </c>
      <c r="D565" s="45">
        <v>251.20012609619596</v>
      </c>
      <c r="E565" s="45">
        <v>164193.60722854591</v>
      </c>
      <c r="F565" s="45" t="s">
        <v>568</v>
      </c>
      <c r="G565" s="25">
        <f t="shared" si="6"/>
        <v>-2.4476625216433123E-2</v>
      </c>
    </row>
    <row r="566" spans="1:7">
      <c r="A566" s="45">
        <v>249.67782090892953</v>
      </c>
      <c r="B566" s="45">
        <v>250.58724998184192</v>
      </c>
      <c r="C566" s="45">
        <v>244.46837393692044</v>
      </c>
      <c r="D566" s="45">
        <v>244.77481199409743</v>
      </c>
      <c r="E566" s="45">
        <v>396162.96721877728</v>
      </c>
      <c r="F566" s="45" t="s">
        <v>569</v>
      </c>
      <c r="G566" s="25">
        <f t="shared" si="6"/>
        <v>2.0030692189645372E-2</v>
      </c>
    </row>
    <row r="567" spans="1:7">
      <c r="A567" s="45">
        <v>243.99388920322701</v>
      </c>
      <c r="B567" s="45">
        <v>246.96930388742953</v>
      </c>
      <c r="C567" s="45">
        <v>240.799420733636</v>
      </c>
      <c r="D567" s="45">
        <v>244.08285509079451</v>
      </c>
      <c r="E567" s="45">
        <v>252617.61124952306</v>
      </c>
      <c r="F567" s="45" t="s">
        <v>570</v>
      </c>
      <c r="G567" s="25">
        <f t="shared" si="6"/>
        <v>-3.6449052324627473E-4</v>
      </c>
    </row>
    <row r="568" spans="1:7">
      <c r="A568" s="45">
        <v>243.54905976538942</v>
      </c>
      <c r="B568" s="45">
        <v>243.78630213223613</v>
      </c>
      <c r="C568" s="45">
        <v>240.20789643229818</v>
      </c>
      <c r="D568" s="45">
        <v>243.381013088873</v>
      </c>
      <c r="E568" s="45">
        <v>148855.36874961885</v>
      </c>
      <c r="F568" s="45" t="s">
        <v>571</v>
      </c>
      <c r="G568" s="25">
        <f t="shared" si="6"/>
        <v>6.9046748710444028E-4</v>
      </c>
    </row>
    <row r="569" spans="1:7">
      <c r="A569" s="45">
        <v>242.12560556430913</v>
      </c>
      <c r="B569" s="45">
        <v>242.83733266484927</v>
      </c>
      <c r="C569" s="45">
        <v>239.73341169860475</v>
      </c>
      <c r="D569" s="45">
        <v>240.33640271434015</v>
      </c>
      <c r="E569" s="45">
        <v>229239.99925839226</v>
      </c>
      <c r="F569" s="45" t="s">
        <v>572</v>
      </c>
      <c r="G569" s="25">
        <f t="shared" si="6"/>
        <v>7.4445769752806701E-3</v>
      </c>
    </row>
    <row r="570" spans="1:7">
      <c r="A570" s="45">
        <v>243.0844601303146</v>
      </c>
      <c r="B570" s="45">
        <v>244.26572941523884</v>
      </c>
      <c r="C570" s="45">
        <v>240.53410468671242</v>
      </c>
      <c r="D570" s="45">
        <v>244.04331469632007</v>
      </c>
      <c r="E570" s="45">
        <v>257427.88192405796</v>
      </c>
      <c r="F570" s="45" t="s">
        <v>573</v>
      </c>
      <c r="G570" s="25">
        <f t="shared" ref="G570:G633" si="7">A570/D570-1</f>
        <v>-3.929034348671423E-3</v>
      </c>
    </row>
    <row r="571" spans="1:7">
      <c r="A571" s="45">
        <v>246.28723208274525</v>
      </c>
      <c r="B571" s="45">
        <v>251.55589079547983</v>
      </c>
      <c r="C571" s="45">
        <v>245.219641431935</v>
      </c>
      <c r="D571" s="45">
        <v>249.05505969595688</v>
      </c>
      <c r="E571" s="45">
        <v>121568.84279709944</v>
      </c>
      <c r="F571" s="45" t="s">
        <v>574</v>
      </c>
      <c r="G571" s="25">
        <f t="shared" si="7"/>
        <v>-1.111331613415345E-2</v>
      </c>
    </row>
    <row r="572" spans="1:7">
      <c r="A572" s="45">
        <v>245.48653909463758</v>
      </c>
      <c r="B572" s="45">
        <v>246.54424464682918</v>
      </c>
      <c r="C572" s="45">
        <v>243.16354091926351</v>
      </c>
      <c r="D572" s="45">
        <v>245.11090534713028</v>
      </c>
      <c r="E572" s="45">
        <v>253008.09799618353</v>
      </c>
      <c r="F572" s="45" t="s">
        <v>575</v>
      </c>
      <c r="G572" s="25">
        <f t="shared" si="7"/>
        <v>1.5325052427810348E-3</v>
      </c>
    </row>
    <row r="573" spans="1:7">
      <c r="A573" s="45">
        <v>245.64470067253538</v>
      </c>
      <c r="B573" s="45">
        <v>246.35642777307552</v>
      </c>
      <c r="C573" s="45">
        <v>243.71710644190586</v>
      </c>
      <c r="D573" s="45">
        <v>245.69412616562846</v>
      </c>
      <c r="E573" s="45">
        <v>188467.51781434292</v>
      </c>
      <c r="F573" s="45" t="s">
        <v>576</v>
      </c>
      <c r="G573" s="25">
        <f t="shared" si="7"/>
        <v>-2.0116676725012717E-4</v>
      </c>
    </row>
    <row r="574" spans="1:7">
      <c r="A574" s="45">
        <v>244.99228416370693</v>
      </c>
      <c r="B574" s="45">
        <v>247.94792865067225</v>
      </c>
      <c r="C574" s="45">
        <v>243.52928956815219</v>
      </c>
      <c r="D574" s="45">
        <v>243.52928956815219</v>
      </c>
      <c r="E574" s="45">
        <v>266978.62123810296</v>
      </c>
      <c r="F574" s="45" t="s">
        <v>577</v>
      </c>
      <c r="G574" s="25">
        <f t="shared" si="7"/>
        <v>6.0074687449260811E-3</v>
      </c>
    </row>
    <row r="575" spans="1:7">
      <c r="A575" s="45">
        <v>246.14884070208464</v>
      </c>
      <c r="B575" s="45">
        <v>246.40585326616861</v>
      </c>
      <c r="C575" s="45">
        <v>237.44570332529915</v>
      </c>
      <c r="D575" s="45">
        <v>237.6476558900774</v>
      </c>
      <c r="E575" s="45">
        <v>215839.02015732732</v>
      </c>
      <c r="F575" s="45" t="s">
        <v>578</v>
      </c>
      <c r="G575" s="25">
        <f t="shared" si="7"/>
        <v>3.57722224533088E-2</v>
      </c>
    </row>
    <row r="576" spans="1:7">
      <c r="A576" s="45">
        <v>236.70857152130915</v>
      </c>
      <c r="B576" s="45">
        <v>241.10744040659196</v>
      </c>
      <c r="C576" s="45">
        <v>234.99528622873112</v>
      </c>
      <c r="D576" s="45">
        <v>237.1336307619095</v>
      </c>
      <c r="E576" s="45">
        <v>230035.13548345733</v>
      </c>
      <c r="F576" s="45" t="s">
        <v>579</v>
      </c>
      <c r="G576" s="25">
        <f t="shared" si="7"/>
        <v>-1.7924882237692064E-3</v>
      </c>
    </row>
    <row r="577" spans="1:7">
      <c r="A577" s="45">
        <v>238.29018730028724</v>
      </c>
      <c r="B577" s="45">
        <v>240.79111725079636</v>
      </c>
      <c r="C577" s="45">
        <v>237.33133273428177</v>
      </c>
      <c r="D577" s="45">
        <v>238.22099160995697</v>
      </c>
      <c r="E577" s="45">
        <v>338777.60143882636</v>
      </c>
      <c r="F577" s="45" t="s">
        <v>580</v>
      </c>
      <c r="G577" s="25">
        <f t="shared" si="7"/>
        <v>2.9046848416935944E-4</v>
      </c>
    </row>
    <row r="578" spans="1:7">
      <c r="A578" s="45">
        <v>239.2391567676741</v>
      </c>
      <c r="B578" s="45">
        <v>245.35803281259561</v>
      </c>
      <c r="C578" s="45">
        <v>238.78444223121789</v>
      </c>
      <c r="D578" s="45">
        <v>245.35803281259561</v>
      </c>
      <c r="E578" s="45">
        <v>258348.45948742845</v>
      </c>
      <c r="F578" s="45" t="s">
        <v>581</v>
      </c>
      <c r="G578" s="25">
        <f t="shared" si="7"/>
        <v>-2.4938560090246198E-2</v>
      </c>
    </row>
    <row r="579" spans="1:7">
      <c r="A579" s="45">
        <v>247.56240980454632</v>
      </c>
      <c r="B579" s="45">
        <v>248.88701301944047</v>
      </c>
      <c r="C579" s="45">
        <v>244.0466756298504</v>
      </c>
      <c r="D579" s="45">
        <v>244.41894844382736</v>
      </c>
      <c r="E579" s="45">
        <v>219662.95772825097</v>
      </c>
      <c r="F579" s="45" t="s">
        <v>582</v>
      </c>
      <c r="G579" s="25">
        <f t="shared" si="7"/>
        <v>1.2860956078621699E-2</v>
      </c>
    </row>
    <row r="580" spans="1:7">
      <c r="A580" s="45">
        <v>246.47504895649888</v>
      </c>
      <c r="B580" s="45">
        <v>248.54103456778904</v>
      </c>
      <c r="C580" s="45">
        <v>244.71055885307646</v>
      </c>
      <c r="D580" s="45">
        <v>246.04998971589853</v>
      </c>
      <c r="E580" s="45">
        <v>119059.00440729479</v>
      </c>
      <c r="F580" s="45" t="s">
        <v>583</v>
      </c>
      <c r="G580" s="25">
        <f t="shared" si="7"/>
        <v>1.7275320396930027E-3</v>
      </c>
    </row>
    <row r="581" spans="1:7">
      <c r="A581" s="45">
        <v>246.90010819709926</v>
      </c>
      <c r="B581" s="45">
        <v>248.59046006088207</v>
      </c>
      <c r="C581" s="45">
        <v>245.92158228484274</v>
      </c>
      <c r="D581" s="45">
        <v>246.73206152058282</v>
      </c>
      <c r="E581" s="45">
        <v>157328.72882741154</v>
      </c>
      <c r="F581" s="45" t="s">
        <v>584</v>
      </c>
      <c r="G581" s="25">
        <f t="shared" si="7"/>
        <v>6.8108974358982444E-4</v>
      </c>
    </row>
    <row r="582" spans="1:7">
      <c r="A582" s="45">
        <v>247.6316054948766</v>
      </c>
      <c r="B582" s="45">
        <v>248.39275808850982</v>
      </c>
      <c r="C582" s="45">
        <v>245.94125363109379</v>
      </c>
      <c r="D582" s="45">
        <v>248.27413690508646</v>
      </c>
      <c r="E582" s="45">
        <v>231334.06030913617</v>
      </c>
      <c r="F582" s="45" t="s">
        <v>585</v>
      </c>
      <c r="G582" s="25">
        <f t="shared" si="7"/>
        <v>-2.5879917184266077E-3</v>
      </c>
    </row>
    <row r="583" spans="1:7">
      <c r="A583" s="45">
        <v>249.21322127385471</v>
      </c>
      <c r="B583" s="45">
        <v>250.71575626388389</v>
      </c>
      <c r="C583" s="45">
        <v>246.78030080184166</v>
      </c>
      <c r="D583" s="45">
        <v>248.24448160923063</v>
      </c>
      <c r="E583" s="45">
        <v>167409.5589581666</v>
      </c>
      <c r="F583" s="45" t="s">
        <v>586</v>
      </c>
      <c r="G583" s="25">
        <f t="shared" si="7"/>
        <v>3.9023613268027724E-3</v>
      </c>
    </row>
    <row r="584" spans="1:7">
      <c r="A584" s="45">
        <v>248.06654983409558</v>
      </c>
      <c r="B584" s="45">
        <v>250.55759468598609</v>
      </c>
      <c r="C584" s="45">
        <v>247.86884786172334</v>
      </c>
      <c r="D584" s="45">
        <v>249.61851031721787</v>
      </c>
      <c r="E584" s="45">
        <v>164374.68787013198</v>
      </c>
      <c r="F584" s="45" t="s">
        <v>587</v>
      </c>
      <c r="G584" s="25">
        <f t="shared" si="7"/>
        <v>-6.217329320449938E-3</v>
      </c>
    </row>
    <row r="585" spans="1:7">
      <c r="A585" s="45">
        <v>248.54103456778904</v>
      </c>
      <c r="B585" s="45">
        <v>249.10448518904997</v>
      </c>
      <c r="C585" s="45">
        <v>246.27734698412661</v>
      </c>
      <c r="D585" s="45">
        <v>246.27734698412661</v>
      </c>
      <c r="E585" s="45">
        <v>156174.46619026238</v>
      </c>
      <c r="F585" s="45" t="s">
        <v>588</v>
      </c>
      <c r="G585" s="25">
        <f t="shared" si="7"/>
        <v>9.1916191699448202E-3</v>
      </c>
    </row>
    <row r="586" spans="1:7">
      <c r="A586" s="45">
        <v>244.76492689547882</v>
      </c>
      <c r="B586" s="45">
        <v>250.68610096802806</v>
      </c>
      <c r="C586" s="45">
        <v>244.66607590929269</v>
      </c>
      <c r="D586" s="45">
        <v>250.68610096802806</v>
      </c>
      <c r="E586" s="45">
        <v>180532.34154282836</v>
      </c>
      <c r="F586" s="45" t="s">
        <v>589</v>
      </c>
      <c r="G586" s="25">
        <f t="shared" si="7"/>
        <v>-2.3619873817034676E-2</v>
      </c>
    </row>
    <row r="587" spans="1:7">
      <c r="A587" s="45">
        <v>250.91345823625619</v>
      </c>
      <c r="B587" s="45">
        <v>252.06012967601529</v>
      </c>
      <c r="C587" s="45">
        <v>246.59367013992224</v>
      </c>
      <c r="D587" s="45">
        <v>249.60862521859923</v>
      </c>
      <c r="E587" s="45">
        <v>330259.7299184092</v>
      </c>
      <c r="F587" s="45" t="s">
        <v>590</v>
      </c>
      <c r="G587" s="25">
        <f t="shared" si="7"/>
        <v>5.2275157419510165E-3</v>
      </c>
    </row>
    <row r="588" spans="1:7">
      <c r="A588" s="45">
        <v>250.33023741775801</v>
      </c>
      <c r="B588" s="45">
        <v>254.88726788093865</v>
      </c>
      <c r="C588" s="45">
        <v>247.38447802941127</v>
      </c>
      <c r="D588" s="45">
        <v>254.88726788093865</v>
      </c>
      <c r="E588" s="45">
        <v>301434.52432425617</v>
      </c>
      <c r="F588" s="45" t="s">
        <v>591</v>
      </c>
      <c r="G588" s="25">
        <f t="shared" si="7"/>
        <v>-1.7878611595889105E-2</v>
      </c>
    </row>
    <row r="589" spans="1:7">
      <c r="A589" s="45">
        <v>251.65484063265217</v>
      </c>
      <c r="B589" s="45">
        <v>253.32542229919775</v>
      </c>
      <c r="C589" s="45">
        <v>248.10114767926075</v>
      </c>
      <c r="D589" s="45">
        <v>250.14242054400435</v>
      </c>
      <c r="E589" s="45">
        <v>585329.51700706419</v>
      </c>
      <c r="F589" s="45" t="s">
        <v>592</v>
      </c>
      <c r="G589" s="25">
        <f t="shared" si="7"/>
        <v>6.0462359217545725E-3</v>
      </c>
    </row>
    <row r="590" spans="1:7">
      <c r="A590" s="45">
        <v>253.26611170748606</v>
      </c>
      <c r="B590" s="45">
        <v>254.4819788375755</v>
      </c>
      <c r="C590" s="45">
        <v>241.95755888779271</v>
      </c>
      <c r="D590" s="45">
        <v>241.95755888779271</v>
      </c>
      <c r="E590" s="45">
        <v>608382.39779177529</v>
      </c>
      <c r="F590" s="45" t="s">
        <v>593</v>
      </c>
      <c r="G590" s="25">
        <f t="shared" si="7"/>
        <v>4.673775380969869E-2</v>
      </c>
    </row>
    <row r="591" spans="1:7">
      <c r="A591" s="45">
        <v>239.8421477834095</v>
      </c>
      <c r="B591" s="45">
        <v>240.02996465716313</v>
      </c>
      <c r="C591" s="45">
        <v>229.42325383939129</v>
      </c>
      <c r="D591" s="45">
        <v>230.37222330677818</v>
      </c>
      <c r="E591" s="45">
        <v>287894.95277683769</v>
      </c>
      <c r="F591" s="45" t="s">
        <v>594</v>
      </c>
      <c r="G591" s="25">
        <f t="shared" si="7"/>
        <v>4.1107058571121957E-2</v>
      </c>
    </row>
    <row r="592" spans="1:7">
      <c r="A592" s="45">
        <v>230.40187860263401</v>
      </c>
      <c r="B592" s="45">
        <v>231.36073316863948</v>
      </c>
      <c r="C592" s="45">
        <v>227.06071526954275</v>
      </c>
      <c r="D592" s="45">
        <v>229.25520716287485</v>
      </c>
      <c r="E592" s="45">
        <v>152298.93581084214</v>
      </c>
      <c r="F592" s="45" t="s">
        <v>595</v>
      </c>
      <c r="G592" s="25">
        <f t="shared" si="7"/>
        <v>5.0017247326665792E-3</v>
      </c>
    </row>
    <row r="593" spans="1:7">
      <c r="A593" s="45">
        <v>228.89934361260481</v>
      </c>
      <c r="B593" s="45">
        <v>229.46279423386574</v>
      </c>
      <c r="C593" s="45">
        <v>226.91243879026359</v>
      </c>
      <c r="D593" s="45">
        <v>227.71313177837123</v>
      </c>
      <c r="E593" s="45">
        <v>225689.20008539173</v>
      </c>
      <c r="F593" s="45" t="s">
        <v>596</v>
      </c>
      <c r="G593" s="25">
        <f t="shared" si="7"/>
        <v>5.209237714881132E-3</v>
      </c>
    </row>
    <row r="594" spans="1:7">
      <c r="A594" s="45">
        <v>228.42485887891138</v>
      </c>
      <c r="B594" s="45">
        <v>231.41015866173254</v>
      </c>
      <c r="C594" s="45">
        <v>228.26669730101355</v>
      </c>
      <c r="D594" s="45">
        <v>230.00647465788947</v>
      </c>
      <c r="E594" s="45">
        <v>238352.70551206425</v>
      </c>
      <c r="F594" s="45" t="s">
        <v>597</v>
      </c>
      <c r="G594" s="25">
        <f t="shared" si="7"/>
        <v>-6.8763967680934845E-3</v>
      </c>
    </row>
    <row r="595" spans="1:7">
      <c r="A595" s="45">
        <v>229.90762367170336</v>
      </c>
      <c r="B595" s="45">
        <v>230.03612995374533</v>
      </c>
      <c r="C595" s="45">
        <v>225.81193076105339</v>
      </c>
      <c r="D595" s="45">
        <v>227.9009486521249</v>
      </c>
      <c r="E595" s="45">
        <v>209468.82574354261</v>
      </c>
      <c r="F595" s="45" t="s">
        <v>598</v>
      </c>
      <c r="G595" s="25">
        <f t="shared" si="7"/>
        <v>8.8050314465408785E-3</v>
      </c>
    </row>
    <row r="596" spans="1:7">
      <c r="A596" s="45">
        <v>226.81358780407743</v>
      </c>
      <c r="B596" s="45">
        <v>227.02611742437762</v>
      </c>
      <c r="C596" s="45">
        <v>223.73932213368877</v>
      </c>
      <c r="D596" s="45">
        <v>226.28967757729095</v>
      </c>
      <c r="E596" s="45">
        <v>258653.96984362396</v>
      </c>
      <c r="F596" s="45" t="s">
        <v>599</v>
      </c>
      <c r="G596" s="25">
        <f t="shared" si="7"/>
        <v>2.3152192905817603E-3</v>
      </c>
    </row>
    <row r="597" spans="1:7">
      <c r="A597" s="45">
        <v>224.94530416515957</v>
      </c>
      <c r="B597" s="45">
        <v>227.52531490461757</v>
      </c>
      <c r="C597" s="45">
        <v>222.56299539807381</v>
      </c>
      <c r="D597" s="45">
        <v>226.35887326762125</v>
      </c>
      <c r="E597" s="45">
        <v>206185.09522628915</v>
      </c>
      <c r="F597" s="45" t="s">
        <v>600</v>
      </c>
      <c r="G597" s="25">
        <f t="shared" si="7"/>
        <v>-6.24481418402556E-3</v>
      </c>
    </row>
    <row r="598" spans="1:7">
      <c r="A598" s="45">
        <v>226.72462191650993</v>
      </c>
      <c r="B598" s="45">
        <v>228.67198634437671</v>
      </c>
      <c r="C598" s="45">
        <v>224.96507436239682</v>
      </c>
      <c r="D598" s="45">
        <v>225.03427005272709</v>
      </c>
      <c r="E598" s="45">
        <v>271270.94058027997</v>
      </c>
      <c r="F598" s="45" t="s">
        <v>601</v>
      </c>
      <c r="G598" s="25">
        <f t="shared" si="7"/>
        <v>7.5115308587743179E-3</v>
      </c>
    </row>
    <row r="599" spans="1:7">
      <c r="A599" s="45">
        <v>225.05404024996429</v>
      </c>
      <c r="B599" s="45">
        <v>225.419788898853</v>
      </c>
      <c r="C599" s="45">
        <v>221.53000259242873</v>
      </c>
      <c r="D599" s="45">
        <v>221.93034908648258</v>
      </c>
      <c r="E599" s="45">
        <v>226665.41695204287</v>
      </c>
      <c r="F599" s="45" t="s">
        <v>602</v>
      </c>
      <c r="G599" s="25">
        <f t="shared" si="7"/>
        <v>1.4075096877644411E-2</v>
      </c>
    </row>
    <row r="600" spans="1:7">
      <c r="A600" s="45">
        <v>223.0967907234789</v>
      </c>
      <c r="B600" s="45">
        <v>223.80357527470974</v>
      </c>
      <c r="C600" s="45">
        <v>217.81814806113951</v>
      </c>
      <c r="D600" s="45">
        <v>218.46067947134938</v>
      </c>
      <c r="E600" s="45">
        <v>726737.31210664602</v>
      </c>
      <c r="F600" s="45" t="s">
        <v>603</v>
      </c>
      <c r="G600" s="25">
        <f t="shared" si="7"/>
        <v>2.1221719457013455E-2</v>
      </c>
    </row>
    <row r="601" spans="1:7">
      <c r="A601" s="45">
        <v>218.70780693681471</v>
      </c>
      <c r="B601" s="45">
        <v>221.77218750858475</v>
      </c>
      <c r="C601" s="45">
        <v>217.11304397667385</v>
      </c>
      <c r="D601" s="45">
        <v>218.24320730173989</v>
      </c>
      <c r="E601" s="45">
        <v>354561.96596769453</v>
      </c>
      <c r="F601" s="45" t="s">
        <v>604</v>
      </c>
      <c r="G601" s="25">
        <f t="shared" si="7"/>
        <v>2.1288160159433911E-3</v>
      </c>
    </row>
    <row r="602" spans="1:7">
      <c r="A602" s="45">
        <v>217.30412293297167</v>
      </c>
      <c r="B602" s="45">
        <v>218.53976026029829</v>
      </c>
      <c r="C602" s="45">
        <v>214.00744254366418</v>
      </c>
      <c r="D602" s="45">
        <v>215.62365616780741</v>
      </c>
      <c r="E602" s="45">
        <v>324696.81121404166</v>
      </c>
      <c r="F602" s="45" t="s">
        <v>605</v>
      </c>
      <c r="G602" s="25">
        <f t="shared" si="7"/>
        <v>7.7935176271033413E-3</v>
      </c>
    </row>
    <row r="603" spans="1:7">
      <c r="A603" s="45">
        <v>216.33538326834756</v>
      </c>
      <c r="B603" s="45">
        <v>218.02573513213039</v>
      </c>
      <c r="C603" s="45">
        <v>214.49705147824409</v>
      </c>
      <c r="D603" s="45">
        <v>216.4441193531523</v>
      </c>
      <c r="E603" s="45">
        <v>186073.00452588359</v>
      </c>
      <c r="F603" s="45" t="s">
        <v>606</v>
      </c>
      <c r="G603" s="25">
        <f t="shared" si="7"/>
        <v>-5.0237486298865264E-4</v>
      </c>
    </row>
    <row r="604" spans="1:7">
      <c r="A604" s="45">
        <v>217.42274411639499</v>
      </c>
      <c r="B604" s="45">
        <v>217.99598098528838</v>
      </c>
      <c r="C604" s="45">
        <v>215.03114335660774</v>
      </c>
      <c r="D604" s="45">
        <v>215.82135814017968</v>
      </c>
      <c r="E604" s="45">
        <v>76924.877468413921</v>
      </c>
      <c r="F604" s="45" t="s">
        <v>607</v>
      </c>
      <c r="G604" s="25">
        <f t="shared" si="7"/>
        <v>7.4199606100855409E-3</v>
      </c>
    </row>
    <row r="605" spans="1:7">
      <c r="A605" s="45">
        <v>215.71262205537494</v>
      </c>
      <c r="B605" s="45">
        <v>216.93837428408298</v>
      </c>
      <c r="C605" s="45">
        <v>213.84433841645708</v>
      </c>
      <c r="D605" s="45">
        <v>215.99928991531471</v>
      </c>
      <c r="E605" s="45">
        <v>125865.20863406047</v>
      </c>
      <c r="F605" s="45" t="s">
        <v>608</v>
      </c>
      <c r="G605" s="25">
        <f t="shared" si="7"/>
        <v>-1.3271703812182123E-3</v>
      </c>
    </row>
    <row r="606" spans="1:7">
      <c r="A606" s="45">
        <v>214.08158078330376</v>
      </c>
      <c r="B606" s="45">
        <v>215.6137710691888</v>
      </c>
      <c r="C606" s="45">
        <v>211.7706424282444</v>
      </c>
      <c r="D606" s="45">
        <v>212.9744497380191</v>
      </c>
      <c r="E606" s="45">
        <v>171569.35559616607</v>
      </c>
      <c r="F606" s="45" t="s">
        <v>609</v>
      </c>
      <c r="G606" s="25">
        <f t="shared" si="7"/>
        <v>5.1984219076350868E-3</v>
      </c>
    </row>
    <row r="607" spans="1:7">
      <c r="A607" s="45">
        <v>212.26272263747896</v>
      </c>
      <c r="B607" s="45">
        <v>213.2611175979589</v>
      </c>
      <c r="C607" s="45">
        <v>207.57718589225638</v>
      </c>
      <c r="D607" s="45">
        <v>209.91995426486767</v>
      </c>
      <c r="E607" s="45">
        <v>197267.63234594738</v>
      </c>
      <c r="F607" s="45" t="s">
        <v>610</v>
      </c>
      <c r="G607" s="25">
        <f t="shared" si="7"/>
        <v>1.1160293840647872E-2</v>
      </c>
    </row>
    <row r="608" spans="1:7">
      <c r="A608" s="45">
        <v>210.34501350546802</v>
      </c>
      <c r="B608" s="45">
        <v>213.40939407723806</v>
      </c>
      <c r="C608" s="45">
        <v>208.81094505084548</v>
      </c>
      <c r="D608" s="45">
        <v>212.82617325873991</v>
      </c>
      <c r="E608" s="45">
        <v>226562.2313350497</v>
      </c>
      <c r="F608" s="45" t="s">
        <v>611</v>
      </c>
      <c r="G608" s="25">
        <f t="shared" si="7"/>
        <v>-1.165815141662796E-2</v>
      </c>
    </row>
    <row r="609" spans="1:7">
      <c r="A609" s="45">
        <v>211.18524688805013</v>
      </c>
      <c r="B609" s="45">
        <v>213.4835323168777</v>
      </c>
      <c r="C609" s="45">
        <v>209.3466185449881</v>
      </c>
      <c r="D609" s="45">
        <v>211.03697040877094</v>
      </c>
      <c r="E609" s="45">
        <v>350692.50533045037</v>
      </c>
      <c r="F609" s="45" t="s">
        <v>612</v>
      </c>
      <c r="G609" s="25">
        <f t="shared" si="7"/>
        <v>7.0260902149987814E-4</v>
      </c>
    </row>
    <row r="610" spans="1:7">
      <c r="A610" s="45">
        <v>209.15880167123447</v>
      </c>
      <c r="B610" s="45">
        <v>210.14731153309577</v>
      </c>
      <c r="C610" s="45">
        <v>205.3332685058312</v>
      </c>
      <c r="D610" s="45">
        <v>207.10270115856292</v>
      </c>
      <c r="E610" s="45">
        <v>374347.30221428833</v>
      </c>
      <c r="F610" s="45" t="s">
        <v>613</v>
      </c>
      <c r="G610" s="25">
        <f t="shared" si="7"/>
        <v>9.9279270679204501E-3</v>
      </c>
    </row>
    <row r="611" spans="1:7">
      <c r="A611" s="45">
        <v>207.48822000468886</v>
      </c>
      <c r="B611" s="45">
        <v>210.40926664648902</v>
      </c>
      <c r="C611" s="45">
        <v>204.33487354535129</v>
      </c>
      <c r="D611" s="45">
        <v>205.491430083729</v>
      </c>
      <c r="E611" s="45">
        <v>248107.79281270358</v>
      </c>
      <c r="F611" s="45" t="s">
        <v>614</v>
      </c>
      <c r="G611" s="25">
        <f t="shared" si="7"/>
        <v>9.7171445064461182E-3</v>
      </c>
    </row>
    <row r="612" spans="1:7">
      <c r="A612" s="45">
        <v>201.18152708601369</v>
      </c>
      <c r="B612" s="45">
        <v>204.77370190497319</v>
      </c>
      <c r="C612" s="45">
        <v>199.74564401964386</v>
      </c>
      <c r="D612" s="45">
        <v>200.10584836275382</v>
      </c>
      <c r="E612" s="45">
        <v>296970.83626597811</v>
      </c>
      <c r="F612" s="45" t="s">
        <v>615</v>
      </c>
      <c r="G612" s="25">
        <f t="shared" si="7"/>
        <v>5.3755486511812833E-3</v>
      </c>
    </row>
    <row r="613" spans="1:7">
      <c r="A613" s="45">
        <v>197.42158586067416</v>
      </c>
      <c r="B613" s="45">
        <v>198.04824273156407</v>
      </c>
      <c r="C613" s="45">
        <v>193.98740752207601</v>
      </c>
      <c r="D613" s="45">
        <v>196.67157133803425</v>
      </c>
      <c r="E613" s="45">
        <v>219192.92898669775</v>
      </c>
      <c r="F613" s="45" t="s">
        <v>616</v>
      </c>
      <c r="G613" s="25">
        <f t="shared" si="7"/>
        <v>3.8135380601134194E-3</v>
      </c>
    </row>
    <row r="614" spans="1:7">
      <c r="A614" s="45">
        <v>196.28669546457431</v>
      </c>
      <c r="B614" s="45">
        <v>199.58281191933389</v>
      </c>
      <c r="C614" s="45">
        <v>195.94622834574434</v>
      </c>
      <c r="D614" s="45">
        <v>197.68803838845412</v>
      </c>
      <c r="E614" s="45">
        <v>250805.27686037158</v>
      </c>
      <c r="F614" s="45" t="s">
        <v>617</v>
      </c>
      <c r="G614" s="25">
        <f t="shared" si="7"/>
        <v>-7.0886581469647991E-3</v>
      </c>
    </row>
    <row r="615" spans="1:7">
      <c r="A615" s="45">
        <v>197.84593618269409</v>
      </c>
      <c r="B615" s="45">
        <v>204.77370190497319</v>
      </c>
      <c r="C615" s="45">
        <v>197.35250557569415</v>
      </c>
      <c r="D615" s="45">
        <v>203.97434432163328</v>
      </c>
      <c r="E615" s="45">
        <v>381001.90246209153</v>
      </c>
      <c r="F615" s="45" t="s">
        <v>618</v>
      </c>
      <c r="G615" s="25">
        <f t="shared" si="7"/>
        <v>-3.0044994919928403E-2</v>
      </c>
    </row>
    <row r="616" spans="1:7">
      <c r="A616" s="45">
        <v>202.11904523931355</v>
      </c>
      <c r="B616" s="45">
        <v>209.07641679801264</v>
      </c>
      <c r="C616" s="45">
        <v>201.60587740803359</v>
      </c>
      <c r="D616" s="45">
        <v>209.06654818587262</v>
      </c>
      <c r="E616" s="45">
        <v>466827.54724218021</v>
      </c>
      <c r="F616" s="45" t="s">
        <v>619</v>
      </c>
      <c r="G616" s="25">
        <f t="shared" si="7"/>
        <v>-3.3231059712060307E-2</v>
      </c>
    </row>
    <row r="617" spans="1:7">
      <c r="A617" s="45">
        <v>210.23104441839249</v>
      </c>
      <c r="B617" s="45">
        <v>211.6323873422723</v>
      </c>
      <c r="C617" s="45">
        <v>207.00894255468287</v>
      </c>
      <c r="D617" s="45">
        <v>208.22771615397275</v>
      </c>
      <c r="E617" s="45">
        <v>461908.92248406843</v>
      </c>
      <c r="F617" s="45" t="s">
        <v>620</v>
      </c>
      <c r="G617" s="25">
        <f t="shared" si="7"/>
        <v>9.6208530805688142E-3</v>
      </c>
    </row>
    <row r="618" spans="1:7">
      <c r="A618" s="45">
        <v>208.25732199039274</v>
      </c>
      <c r="B618" s="45">
        <v>210.21130719411246</v>
      </c>
      <c r="C618" s="45">
        <v>200.2390746266438</v>
      </c>
      <c r="D618" s="45">
        <v>209.09615402229264</v>
      </c>
      <c r="E618" s="45">
        <v>490992.03933255747</v>
      </c>
      <c r="F618" s="45" t="s">
        <v>621</v>
      </c>
      <c r="G618" s="25">
        <f t="shared" si="7"/>
        <v>-4.0117047385312965E-3</v>
      </c>
    </row>
    <row r="619" spans="1:7">
      <c r="A619" s="45">
        <v>206.44149735663296</v>
      </c>
      <c r="B619" s="45">
        <v>206.77703016939293</v>
      </c>
      <c r="C619" s="45">
        <v>187.98225834876541</v>
      </c>
      <c r="D619" s="45">
        <v>189.4378786394152</v>
      </c>
      <c r="E619" s="45">
        <v>730797.79584902641</v>
      </c>
      <c r="F619" s="45" t="s">
        <v>622</v>
      </c>
      <c r="G619" s="25">
        <f t="shared" si="7"/>
        <v>8.975828297561983E-2</v>
      </c>
    </row>
    <row r="620" spans="1:7">
      <c r="A620" s="45">
        <v>185.04634623711576</v>
      </c>
      <c r="B620" s="45">
        <v>185.90491549329565</v>
      </c>
      <c r="C620" s="45">
        <v>181.49256031938083</v>
      </c>
      <c r="D620" s="45">
        <v>182.81603989347607</v>
      </c>
      <c r="E620" s="45">
        <v>854208.25952139439</v>
      </c>
      <c r="F620" s="45" t="s">
        <v>623</v>
      </c>
      <c r="G620" s="25">
        <f t="shared" si="7"/>
        <v>1.2199730094466732E-2</v>
      </c>
    </row>
    <row r="621" spans="1:7">
      <c r="A621" s="45">
        <v>182.32260928647614</v>
      </c>
      <c r="B621" s="45">
        <v>183.79303249533595</v>
      </c>
      <c r="C621" s="45">
        <v>176.48029221347551</v>
      </c>
      <c r="D621" s="45">
        <v>178.39490165475667</v>
      </c>
      <c r="E621" s="45">
        <v>470255.58752992062</v>
      </c>
      <c r="F621" s="45" t="s">
        <v>624</v>
      </c>
      <c r="G621" s="25">
        <f t="shared" si="7"/>
        <v>2.2016927587542146E-2</v>
      </c>
    </row>
    <row r="622" spans="1:7">
      <c r="A622" s="45">
        <v>177.03303317943681</v>
      </c>
      <c r="B622" s="45">
        <v>180.34888685847639</v>
      </c>
      <c r="C622" s="45">
        <v>175.29911802643906</v>
      </c>
      <c r="D622" s="45">
        <v>178.37516443047664</v>
      </c>
      <c r="E622" s="45">
        <v>322932.94688146666</v>
      </c>
      <c r="F622" s="45" t="s">
        <v>625</v>
      </c>
      <c r="G622" s="25">
        <f t="shared" si="7"/>
        <v>-7.5242047026279346E-3</v>
      </c>
    </row>
    <row r="623" spans="1:7">
      <c r="A623" s="45">
        <v>177.03303317943681</v>
      </c>
      <c r="B623" s="45">
        <v>180.50678465271636</v>
      </c>
      <c r="C623" s="45">
        <v>176.3224931053569</v>
      </c>
      <c r="D623" s="45">
        <v>180.50678465271636</v>
      </c>
      <c r="E623" s="45">
        <v>209107.41761103098</v>
      </c>
      <c r="F623" s="45" t="s">
        <v>626</v>
      </c>
      <c r="G623" s="25">
        <f t="shared" si="7"/>
        <v>-1.9244437154884886E-2</v>
      </c>
    </row>
    <row r="624" spans="1:7">
      <c r="A624" s="45">
        <v>178.5725366732766</v>
      </c>
      <c r="B624" s="45">
        <v>183.53220507647578</v>
      </c>
      <c r="C624" s="45">
        <v>178.46398193973664</v>
      </c>
      <c r="D624" s="45">
        <v>182.02655092227616</v>
      </c>
      <c r="E624" s="45">
        <v>222605.76956875797</v>
      </c>
      <c r="F624" s="45" t="s">
        <v>627</v>
      </c>
      <c r="G624" s="25">
        <f t="shared" si="7"/>
        <v>-1.8975332068311257E-2</v>
      </c>
    </row>
    <row r="625" spans="1:7">
      <c r="A625" s="45">
        <v>182.93446323915606</v>
      </c>
      <c r="B625" s="45">
        <v>185.50030239555571</v>
      </c>
      <c r="C625" s="45">
        <v>181.33574807247626</v>
      </c>
      <c r="D625" s="45">
        <v>184.67133897579583</v>
      </c>
      <c r="E625" s="45">
        <v>187458.98346758232</v>
      </c>
      <c r="F625" s="45" t="s">
        <v>628</v>
      </c>
      <c r="G625" s="25">
        <f t="shared" si="7"/>
        <v>-9.4052263132581304E-3</v>
      </c>
    </row>
    <row r="626" spans="1:7">
      <c r="A626" s="45">
        <v>187.07928033795551</v>
      </c>
      <c r="B626" s="45">
        <v>187.86876930915543</v>
      </c>
      <c r="C626" s="45">
        <v>183.99040473813591</v>
      </c>
      <c r="D626" s="45">
        <v>185.02660901283579</v>
      </c>
      <c r="E626" s="45">
        <v>278032.00298845256</v>
      </c>
      <c r="F626" s="45" t="s">
        <v>629</v>
      </c>
      <c r="G626" s="25">
        <f t="shared" si="7"/>
        <v>1.1093925009333816E-2</v>
      </c>
    </row>
    <row r="627" spans="1:7">
      <c r="A627" s="45">
        <v>185.21411264349575</v>
      </c>
      <c r="B627" s="45">
        <v>186.77335336161553</v>
      </c>
      <c r="C627" s="45">
        <v>183.62033178288596</v>
      </c>
      <c r="D627" s="45">
        <v>184.26672587805587</v>
      </c>
      <c r="E627" s="45">
        <v>267719.50934129488</v>
      </c>
      <c r="F627" s="45" t="s">
        <v>630</v>
      </c>
      <c r="G627" s="25">
        <f t="shared" si="7"/>
        <v>5.1413881748072487E-3</v>
      </c>
    </row>
    <row r="628" spans="1:7">
      <c r="A628" s="45">
        <v>185.09568929781577</v>
      </c>
      <c r="B628" s="45">
        <v>187.21744090791549</v>
      </c>
      <c r="C628" s="45">
        <v>183.47042756447937</v>
      </c>
      <c r="D628" s="45">
        <v>183.88185000459595</v>
      </c>
      <c r="E628" s="45">
        <v>232572.7232401192</v>
      </c>
      <c r="F628" s="45" t="s">
        <v>631</v>
      </c>
      <c r="G628" s="25">
        <f t="shared" si="7"/>
        <v>6.6011914345514011E-3</v>
      </c>
    </row>
    <row r="629" spans="1:7">
      <c r="A629" s="45">
        <v>183.57592302825597</v>
      </c>
      <c r="B629" s="45">
        <v>189.58590782151521</v>
      </c>
      <c r="C629" s="45">
        <v>183.40815662187597</v>
      </c>
      <c r="D629" s="45">
        <v>188.90497358385525</v>
      </c>
      <c r="E629" s="45">
        <v>292202.18193724426</v>
      </c>
      <c r="F629" s="45" t="s">
        <v>632</v>
      </c>
      <c r="G629" s="25">
        <f t="shared" si="7"/>
        <v>-2.8210218367986539E-2</v>
      </c>
    </row>
    <row r="630" spans="1:7">
      <c r="A630" s="45">
        <v>189.29971806945522</v>
      </c>
      <c r="B630" s="45">
        <v>192.09253530507485</v>
      </c>
      <c r="C630" s="45">
        <v>188.78655023817529</v>
      </c>
      <c r="D630" s="45">
        <v>192.09253530507485</v>
      </c>
      <c r="E630" s="45">
        <v>211110.73881968096</v>
      </c>
      <c r="F630" s="45" t="s">
        <v>633</v>
      </c>
      <c r="G630" s="25">
        <f t="shared" si="7"/>
        <v>-1.4538916003082436E-2</v>
      </c>
    </row>
    <row r="631" spans="1:7">
      <c r="A631" s="45">
        <v>191.52015580095491</v>
      </c>
      <c r="B631" s="45">
        <v>193.2076884768947</v>
      </c>
      <c r="C631" s="45">
        <v>184.71081342435582</v>
      </c>
      <c r="D631" s="45">
        <v>185.72728047477568</v>
      </c>
      <c r="E631" s="45">
        <v>353358.70439837314</v>
      </c>
      <c r="F631" s="45" t="s">
        <v>634</v>
      </c>
      <c r="G631" s="25">
        <f t="shared" si="7"/>
        <v>3.1190223166843722E-2</v>
      </c>
    </row>
    <row r="632" spans="1:7">
      <c r="A632" s="45">
        <v>188.65825828035528</v>
      </c>
      <c r="B632" s="45">
        <v>190.3030598657289</v>
      </c>
      <c r="C632" s="45">
        <v>186.3588716517356</v>
      </c>
      <c r="D632" s="45">
        <v>189.08260860237525</v>
      </c>
      <c r="E632" s="45">
        <v>336161.75739179819</v>
      </c>
      <c r="F632" s="45" t="s">
        <v>635</v>
      </c>
      <c r="G632" s="25">
        <f t="shared" si="7"/>
        <v>-2.2442588726514501E-3</v>
      </c>
    </row>
    <row r="633" spans="1:7">
      <c r="A633" s="45">
        <v>187.08914895009553</v>
      </c>
      <c r="B633" s="45">
        <v>187.39507592643545</v>
      </c>
      <c r="C633" s="45">
        <v>184.44436089657586</v>
      </c>
      <c r="D633" s="45">
        <v>184.44436089657586</v>
      </c>
      <c r="E633" s="45">
        <v>313535.47551625682</v>
      </c>
      <c r="F633" s="45" t="s">
        <v>636</v>
      </c>
      <c r="G633" s="25">
        <f t="shared" si="7"/>
        <v>1.4339218833600897E-2</v>
      </c>
    </row>
    <row r="634" spans="1:7">
      <c r="A634" s="45">
        <v>184.88844844287578</v>
      </c>
      <c r="B634" s="45">
        <v>189.72406839147516</v>
      </c>
      <c r="C634" s="45">
        <v>184.49370395727584</v>
      </c>
      <c r="D634" s="45">
        <v>189.72406839147516</v>
      </c>
      <c r="E634" s="45">
        <v>288237.08538213687</v>
      </c>
      <c r="F634" s="45" t="s">
        <v>637</v>
      </c>
      <c r="G634" s="25">
        <f t="shared" ref="G634:G697" si="8">A634/D634-1</f>
        <v>-2.5487646293888222E-2</v>
      </c>
    </row>
    <row r="635" spans="1:7">
      <c r="A635" s="45">
        <v>189.70433116719516</v>
      </c>
      <c r="B635" s="45">
        <v>195.95116265181434</v>
      </c>
      <c r="C635" s="45">
        <v>188.33259407973534</v>
      </c>
      <c r="D635" s="45">
        <v>195.95116265181434</v>
      </c>
      <c r="E635" s="45">
        <v>190010.50739443139</v>
      </c>
      <c r="F635" s="45" t="s">
        <v>638</v>
      </c>
      <c r="G635" s="25">
        <f t="shared" si="8"/>
        <v>-3.1879532634971786E-2</v>
      </c>
    </row>
    <row r="636" spans="1:7">
      <c r="A636" s="45">
        <v>196.62222827733427</v>
      </c>
      <c r="B636" s="45">
        <v>196.80973190799423</v>
      </c>
      <c r="C636" s="45">
        <v>190.76027266617504</v>
      </c>
      <c r="D636" s="45">
        <v>192.23069587503483</v>
      </c>
      <c r="E636" s="45">
        <v>273324.14748243953</v>
      </c>
      <c r="F636" s="45" t="s">
        <v>639</v>
      </c>
      <c r="G636" s="25">
        <f t="shared" si="8"/>
        <v>2.2845115252323023E-2</v>
      </c>
    </row>
    <row r="637" spans="1:7">
      <c r="A637" s="45">
        <v>192.3885936692748</v>
      </c>
      <c r="B637" s="45">
        <v>193.94290008132461</v>
      </c>
      <c r="C637" s="45">
        <v>191.19449160033497</v>
      </c>
      <c r="D637" s="45">
        <v>192.68465203347478</v>
      </c>
      <c r="E637" s="45">
        <v>159490.51170230773</v>
      </c>
      <c r="F637" s="45" t="s">
        <v>640</v>
      </c>
      <c r="G637" s="25">
        <f t="shared" si="8"/>
        <v>-1.5364916773368265E-3</v>
      </c>
    </row>
    <row r="638" spans="1:7">
      <c r="A638" s="45">
        <v>194.11560079377458</v>
      </c>
      <c r="B638" s="45">
        <v>196.05961869923294</v>
      </c>
      <c r="C638" s="45">
        <v>192.25467660253503</v>
      </c>
      <c r="D638" s="45">
        <v>192.50701701495478</v>
      </c>
      <c r="E638" s="45">
        <v>271991.63995114225</v>
      </c>
      <c r="F638" s="45" t="s">
        <v>641</v>
      </c>
      <c r="G638" s="25">
        <f t="shared" si="8"/>
        <v>8.3559747782846472E-3</v>
      </c>
    </row>
    <row r="639" spans="1:7">
      <c r="A639" s="45">
        <v>193.76033075673465</v>
      </c>
      <c r="B639" s="45">
        <v>194.81627225571449</v>
      </c>
      <c r="C639" s="45">
        <v>192.10240391721484</v>
      </c>
      <c r="D639" s="45">
        <v>193.05965929479473</v>
      </c>
      <c r="E639" s="45">
        <v>255852.59245990901</v>
      </c>
      <c r="F639" s="45" t="s">
        <v>642</v>
      </c>
      <c r="G639" s="25">
        <f t="shared" si="8"/>
        <v>3.6293002095793003E-3</v>
      </c>
    </row>
    <row r="640" spans="1:7">
      <c r="A640" s="45">
        <v>192.92149872483475</v>
      </c>
      <c r="B640" s="45">
        <v>193.31130890436469</v>
      </c>
      <c r="C640" s="45">
        <v>189.33425821194521</v>
      </c>
      <c r="D640" s="45">
        <v>191.44120690383494</v>
      </c>
      <c r="E640" s="45">
        <v>303639.45380473655</v>
      </c>
      <c r="F640" s="45" t="s">
        <v>643</v>
      </c>
      <c r="G640" s="25">
        <f t="shared" si="8"/>
        <v>7.7323573380070343E-3</v>
      </c>
    </row>
    <row r="641" spans="1:7">
      <c r="A641" s="45">
        <v>191.01685658181501</v>
      </c>
      <c r="B641" s="45">
        <v>193.2866373740147</v>
      </c>
      <c r="C641" s="45">
        <v>190.2668420591751</v>
      </c>
      <c r="D641" s="45">
        <v>192.93136733697474</v>
      </c>
      <c r="E641" s="45">
        <v>286208.43133068655</v>
      </c>
      <c r="F641" s="45" t="s">
        <v>644</v>
      </c>
      <c r="G641" s="25">
        <f t="shared" si="8"/>
        <v>-9.9232736572889557E-3</v>
      </c>
    </row>
    <row r="642" spans="1:7">
      <c r="A642" s="45">
        <v>193.32611182257469</v>
      </c>
      <c r="B642" s="45">
        <v>193.60243296249467</v>
      </c>
      <c r="C642" s="45">
        <v>191.01685658181501</v>
      </c>
      <c r="D642" s="45">
        <v>192.62544036063477</v>
      </c>
      <c r="E642" s="45">
        <v>215226.81911787833</v>
      </c>
      <c r="F642" s="45" t="s">
        <v>645</v>
      </c>
      <c r="G642" s="25">
        <f t="shared" si="8"/>
        <v>3.637481428351963E-3</v>
      </c>
    </row>
    <row r="643" spans="1:7">
      <c r="A643" s="45">
        <v>193.82941104171462</v>
      </c>
      <c r="B643" s="45">
        <v>197.25381945429416</v>
      </c>
      <c r="C643" s="45">
        <v>193.41492933183468</v>
      </c>
      <c r="D643" s="45">
        <v>197.25381945429416</v>
      </c>
      <c r="E643" s="45">
        <v>225383.26245338598</v>
      </c>
      <c r="F643" s="45" t="s">
        <v>646</v>
      </c>
      <c r="G643" s="25">
        <f t="shared" si="8"/>
        <v>-1.7360416249749822E-2</v>
      </c>
    </row>
    <row r="644" spans="1:7">
      <c r="A644" s="45">
        <v>195.71431596045437</v>
      </c>
      <c r="B644" s="45">
        <v>197.50053475779413</v>
      </c>
      <c r="C644" s="45">
        <v>192.4675425663948</v>
      </c>
      <c r="D644" s="45">
        <v>194.83600947999449</v>
      </c>
      <c r="E644" s="45">
        <v>261258.6211134991</v>
      </c>
      <c r="F644" s="45" t="s">
        <v>647</v>
      </c>
      <c r="G644" s="25">
        <f t="shared" si="8"/>
        <v>4.5079268601528888E-3</v>
      </c>
    </row>
    <row r="645" spans="1:7">
      <c r="A645" s="45">
        <v>193.92809716311461</v>
      </c>
      <c r="B645" s="45">
        <v>197.86567340697411</v>
      </c>
      <c r="C645" s="45">
        <v>191.57936747379492</v>
      </c>
      <c r="D645" s="45">
        <v>197.86567340697411</v>
      </c>
      <c r="E645" s="45">
        <v>279726.26351493853</v>
      </c>
      <c r="F645" s="45" t="s">
        <v>648</v>
      </c>
      <c r="G645" s="25">
        <f t="shared" si="8"/>
        <v>-1.9900249376558654E-2</v>
      </c>
    </row>
    <row r="646" spans="1:7">
      <c r="A646" s="45">
        <v>197.36237418783418</v>
      </c>
      <c r="B646" s="45">
        <v>201.41837377737363</v>
      </c>
      <c r="C646" s="45">
        <v>196.81960052013423</v>
      </c>
      <c r="D646" s="45">
        <v>201.01376067963369</v>
      </c>
      <c r="E646" s="45">
        <v>384718.73715775571</v>
      </c>
      <c r="F646" s="45" t="s">
        <v>649</v>
      </c>
      <c r="G646" s="25">
        <f t="shared" si="8"/>
        <v>-1.8164858363198921E-2</v>
      </c>
    </row>
    <row r="647" spans="1:7">
      <c r="A647" s="45">
        <v>200.76704537613372</v>
      </c>
      <c r="B647" s="45">
        <v>201.35916210453362</v>
      </c>
      <c r="C647" s="45">
        <v>198.36897262611402</v>
      </c>
      <c r="D647" s="45">
        <v>198.36897262611402</v>
      </c>
      <c r="E647" s="45">
        <v>298242.54497455456</v>
      </c>
      <c r="F647" s="45" t="s">
        <v>650</v>
      </c>
      <c r="G647" s="25">
        <f t="shared" si="8"/>
        <v>1.2088950798467835E-2</v>
      </c>
    </row>
    <row r="648" spans="1:7">
      <c r="A648" s="45">
        <v>201.33942488025366</v>
      </c>
      <c r="B648" s="45">
        <v>202.04009634219355</v>
      </c>
      <c r="C648" s="45">
        <v>198.655162378174</v>
      </c>
      <c r="D648" s="45">
        <v>200.62888480617374</v>
      </c>
      <c r="E648" s="45">
        <v>400482.85857554409</v>
      </c>
      <c r="F648" s="45" t="s">
        <v>651</v>
      </c>
      <c r="G648" s="25">
        <f t="shared" si="8"/>
        <v>3.5415641908509432E-3</v>
      </c>
    </row>
    <row r="649" spans="1:7">
      <c r="A649" s="45">
        <v>200.78678260041372</v>
      </c>
      <c r="B649" s="45">
        <v>205.05357574526357</v>
      </c>
      <c r="C649" s="45">
        <v>200.72757092757374</v>
      </c>
      <c r="D649" s="45">
        <v>204.96120553563316</v>
      </c>
      <c r="E649" s="45">
        <v>178269.24141333517</v>
      </c>
      <c r="F649" s="45" t="s">
        <v>652</v>
      </c>
      <c r="G649" s="25">
        <f t="shared" si="8"/>
        <v>-2.0366892965477335E-2</v>
      </c>
    </row>
    <row r="650" spans="1:7">
      <c r="A650" s="45">
        <v>205.99740981033304</v>
      </c>
      <c r="B650" s="45">
        <v>208.90865039163265</v>
      </c>
      <c r="C650" s="45">
        <v>205.55332226403308</v>
      </c>
      <c r="D650" s="45">
        <v>208.50403729389271</v>
      </c>
      <c r="E650" s="45">
        <v>210875.65003849391</v>
      </c>
      <c r="F650" s="45" t="s">
        <v>653</v>
      </c>
      <c r="G650" s="25">
        <f t="shared" si="8"/>
        <v>-1.2021961378265833E-2</v>
      </c>
    </row>
    <row r="651" spans="1:7">
      <c r="A651" s="45">
        <v>207.11256298215289</v>
      </c>
      <c r="B651" s="45">
        <v>208.74088398525268</v>
      </c>
      <c r="C651" s="45">
        <v>206.03688425889302</v>
      </c>
      <c r="D651" s="45">
        <v>208.46456284533272</v>
      </c>
      <c r="E651" s="45">
        <v>315642.15472353215</v>
      </c>
      <c r="F651" s="45" t="s">
        <v>654</v>
      </c>
      <c r="G651" s="25">
        <f t="shared" si="8"/>
        <v>-6.485514107176682E-3</v>
      </c>
    </row>
    <row r="652" spans="1:7">
      <c r="A652" s="45">
        <v>208.49416868175271</v>
      </c>
      <c r="B652" s="45">
        <v>210.43335096726247</v>
      </c>
      <c r="C652" s="45">
        <v>208.30666505109275</v>
      </c>
      <c r="D652" s="45">
        <v>210.1126210727125</v>
      </c>
      <c r="E652" s="45">
        <v>282278.80075549963</v>
      </c>
      <c r="F652" s="45" t="s">
        <v>655</v>
      </c>
      <c r="G652" s="25">
        <f t="shared" si="8"/>
        <v>-7.702785214409813E-3</v>
      </c>
    </row>
    <row r="653" spans="1:7">
      <c r="A653" s="45">
        <v>210.64552612827242</v>
      </c>
      <c r="B653" s="45">
        <v>213.54689809743203</v>
      </c>
      <c r="C653" s="45">
        <v>210.49749694617245</v>
      </c>
      <c r="D653" s="45">
        <v>211.99752599145225</v>
      </c>
      <c r="E653" s="45">
        <v>697217.59274662309</v>
      </c>
      <c r="F653" s="45" t="s">
        <v>656</v>
      </c>
      <c r="G653" s="25">
        <f t="shared" si="8"/>
        <v>-6.3774322688763263E-3</v>
      </c>
    </row>
    <row r="654" spans="1:7">
      <c r="A654" s="45">
        <v>211.80015374865229</v>
      </c>
      <c r="B654" s="45">
        <v>213.66532144311202</v>
      </c>
      <c r="C654" s="45">
        <v>210.67513196469241</v>
      </c>
      <c r="D654" s="45">
        <v>211.67186179083231</v>
      </c>
      <c r="E654" s="45">
        <v>520112.64878839103</v>
      </c>
      <c r="F654" s="45" t="s">
        <v>657</v>
      </c>
      <c r="G654" s="25">
        <f t="shared" si="8"/>
        <v>6.0608886195168132E-4</v>
      </c>
    </row>
    <row r="655" spans="1:7">
      <c r="A655" s="45">
        <v>210.53697139473243</v>
      </c>
      <c r="B655" s="45">
        <v>212.22450407067222</v>
      </c>
      <c r="C655" s="45">
        <v>206.97094839794389</v>
      </c>
      <c r="D655" s="45">
        <v>207.33954106137284</v>
      </c>
      <c r="E655" s="45">
        <v>377797.804504706</v>
      </c>
      <c r="F655" s="45" t="s">
        <v>658</v>
      </c>
      <c r="G655" s="25">
        <f t="shared" si="8"/>
        <v>1.5421227986673003E-2</v>
      </c>
    </row>
    <row r="656" spans="1:7">
      <c r="A656" s="45">
        <v>207.74415415911278</v>
      </c>
      <c r="B656" s="45">
        <v>209.09615402229264</v>
      </c>
      <c r="C656" s="45">
        <v>207.06321992145288</v>
      </c>
      <c r="D656" s="45">
        <v>208.41521978463271</v>
      </c>
      <c r="E656" s="45">
        <v>225548.43258844412</v>
      </c>
      <c r="F656" s="45" t="s">
        <v>659</v>
      </c>
      <c r="G656" s="25">
        <f t="shared" si="8"/>
        <v>-3.219849424688781E-3</v>
      </c>
    </row>
    <row r="657" spans="1:7">
      <c r="A657" s="45">
        <v>209.00733651303264</v>
      </c>
      <c r="B657" s="45">
        <v>210.73434363753242</v>
      </c>
      <c r="C657" s="45">
        <v>205.25726389983313</v>
      </c>
      <c r="D657" s="45">
        <v>205.25726389983313</v>
      </c>
      <c r="E657" s="45">
        <v>392683.38293417898</v>
      </c>
      <c r="F657" s="45" t="s">
        <v>660</v>
      </c>
      <c r="G657" s="25">
        <f t="shared" si="8"/>
        <v>1.8270109139862489E-2</v>
      </c>
    </row>
    <row r="658" spans="1:7">
      <c r="A658" s="45">
        <v>204.0828990551733</v>
      </c>
      <c r="B658" s="45">
        <v>205.38555585765312</v>
      </c>
      <c r="C658" s="45">
        <v>201.85259271153356</v>
      </c>
      <c r="D658" s="45">
        <v>203.22432979899341</v>
      </c>
      <c r="E658" s="45">
        <v>216037.47008748882</v>
      </c>
      <c r="F658" s="45" t="s">
        <v>661</v>
      </c>
      <c r="G658" s="25">
        <f t="shared" si="8"/>
        <v>4.2247365609673349E-3</v>
      </c>
    </row>
    <row r="659" spans="1:7">
      <c r="A659" s="45">
        <v>203.9250012609333</v>
      </c>
      <c r="B659" s="45">
        <v>207.37901550993283</v>
      </c>
      <c r="C659" s="45">
        <v>202.86905976195342</v>
      </c>
      <c r="D659" s="45">
        <v>207.37901550993283</v>
      </c>
      <c r="E659" s="45">
        <v>246145.04709882315</v>
      </c>
      <c r="F659" s="45" t="s">
        <v>662</v>
      </c>
      <c r="G659" s="25">
        <f t="shared" si="8"/>
        <v>-1.6655562958027836E-2</v>
      </c>
    </row>
    <row r="660" spans="1:7">
      <c r="A660" s="45">
        <v>207.26059216425287</v>
      </c>
      <c r="B660" s="45">
        <v>207.53691330417286</v>
      </c>
      <c r="C660" s="45">
        <v>203.10590645331342</v>
      </c>
      <c r="D660" s="45">
        <v>205.73095728255308</v>
      </c>
      <c r="E660" s="45">
        <v>294694.93366879656</v>
      </c>
      <c r="F660" s="45" t="s">
        <v>663</v>
      </c>
      <c r="G660" s="25">
        <f t="shared" si="8"/>
        <v>7.4351225596007708E-3</v>
      </c>
    </row>
    <row r="661" spans="1:7">
      <c r="A661" s="45">
        <v>205.6026653247331</v>
      </c>
      <c r="B661" s="45">
        <v>209.48102989575258</v>
      </c>
      <c r="C661" s="45">
        <v>205.5927967125931</v>
      </c>
      <c r="D661" s="45">
        <v>209.48102989575258</v>
      </c>
      <c r="E661" s="45">
        <v>284810.05840810842</v>
      </c>
      <c r="F661" s="45" t="s">
        <v>664</v>
      </c>
      <c r="G661" s="25">
        <f t="shared" si="8"/>
        <v>-1.8514156498798728E-2</v>
      </c>
    </row>
    <row r="662" spans="1:7">
      <c r="A662" s="45">
        <v>210.74421224967242</v>
      </c>
      <c r="B662" s="45">
        <v>213.01399304187211</v>
      </c>
      <c r="C662" s="45">
        <v>209.92511744205251</v>
      </c>
      <c r="D662" s="45">
        <v>212.03700044001226</v>
      </c>
      <c r="E662" s="45">
        <v>288079.00844306283</v>
      </c>
      <c r="F662" s="45" t="s">
        <v>665</v>
      </c>
      <c r="G662" s="25">
        <f t="shared" si="8"/>
        <v>-6.0969933910454133E-3</v>
      </c>
    </row>
    <row r="663" spans="1:7">
      <c r="A663" s="45">
        <v>209.94485466633253</v>
      </c>
      <c r="B663" s="45">
        <v>216.74432843079163</v>
      </c>
      <c r="C663" s="45">
        <v>209.01720512517264</v>
      </c>
      <c r="D663" s="45">
        <v>215.85615333819175</v>
      </c>
      <c r="E663" s="45">
        <v>545193.17647442815</v>
      </c>
      <c r="F663" s="45" t="s">
        <v>666</v>
      </c>
      <c r="G663" s="25">
        <f t="shared" si="8"/>
        <v>-2.7385360947286497E-2</v>
      </c>
    </row>
    <row r="664" spans="1:7">
      <c r="A664" s="45">
        <v>215.84628472605175</v>
      </c>
      <c r="B664" s="45">
        <v>216.81548112432102</v>
      </c>
      <c r="C664" s="45">
        <v>214.22783233509196</v>
      </c>
      <c r="D664" s="45">
        <v>215.11600742769184</v>
      </c>
      <c r="E664" s="45">
        <v>432770.07338141865</v>
      </c>
      <c r="F664" s="45" t="s">
        <v>667</v>
      </c>
      <c r="G664" s="25">
        <f t="shared" si="8"/>
        <v>3.3948068630149653E-3</v>
      </c>
    </row>
    <row r="665" spans="1:7">
      <c r="A665" s="45">
        <v>214.81994906349189</v>
      </c>
      <c r="B665" s="45">
        <v>214.98771546987186</v>
      </c>
      <c r="C665" s="45">
        <v>211.67186179083231</v>
      </c>
      <c r="D665" s="45">
        <v>213.03373026615211</v>
      </c>
      <c r="E665" s="45">
        <v>371284.22396388551</v>
      </c>
      <c r="F665" s="45" t="s">
        <v>668</v>
      </c>
      <c r="G665" s="25">
        <f t="shared" si="8"/>
        <v>8.3846759623849021E-3</v>
      </c>
    </row>
    <row r="666" spans="1:7">
      <c r="A666" s="45">
        <v>212.70806606553214</v>
      </c>
      <c r="B666" s="45">
        <v>216.45813867873167</v>
      </c>
      <c r="C666" s="45">
        <v>212.19489823425224</v>
      </c>
      <c r="D666" s="45">
        <v>215.25416799765182</v>
      </c>
      <c r="E666" s="45">
        <v>218104.63005999563</v>
      </c>
      <c r="F666" s="45" t="s">
        <v>669</v>
      </c>
      <c r="G666" s="25">
        <f t="shared" si="8"/>
        <v>-1.1828351366220513E-2</v>
      </c>
    </row>
    <row r="667" spans="1:7">
      <c r="A667" s="45">
        <v>213.30018279393207</v>
      </c>
      <c r="B667" s="45">
        <v>214.87916073633187</v>
      </c>
      <c r="C667" s="45">
        <v>212.00739460359225</v>
      </c>
      <c r="D667" s="45">
        <v>212.4416135377522</v>
      </c>
      <c r="E667" s="45">
        <v>156699.84573942353</v>
      </c>
      <c r="F667" s="45" t="s">
        <v>670</v>
      </c>
      <c r="G667" s="25">
        <f t="shared" si="8"/>
        <v>4.0414363357643701E-3</v>
      </c>
    </row>
    <row r="668" spans="1:7">
      <c r="A668" s="45">
        <v>212.15542378569222</v>
      </c>
      <c r="B668" s="45">
        <v>216.04365696885171</v>
      </c>
      <c r="C668" s="45">
        <v>211.68173040297228</v>
      </c>
      <c r="D668" s="45">
        <v>213.83308784949202</v>
      </c>
      <c r="E668" s="45">
        <v>180348.56115038614</v>
      </c>
      <c r="F668" s="45" t="s">
        <v>671</v>
      </c>
      <c r="G668" s="25">
        <f t="shared" si="8"/>
        <v>-7.8456710356286097E-3</v>
      </c>
    </row>
    <row r="669" spans="1:7">
      <c r="A669" s="45">
        <v>214.69165710567191</v>
      </c>
      <c r="B669" s="45">
        <v>216.63577369725166</v>
      </c>
      <c r="C669" s="45">
        <v>214.39559874147193</v>
      </c>
      <c r="D669" s="45">
        <v>215.34298550691182</v>
      </c>
      <c r="E669" s="45">
        <v>185703.92411837558</v>
      </c>
      <c r="F669" s="45" t="s">
        <v>672</v>
      </c>
      <c r="G669" s="25">
        <f t="shared" si="8"/>
        <v>-3.0246093212960012E-3</v>
      </c>
    </row>
    <row r="670" spans="1:7">
      <c r="A670" s="45">
        <v>214.36599290505194</v>
      </c>
      <c r="B670" s="45">
        <v>215.77720444107175</v>
      </c>
      <c r="C670" s="45">
        <v>212.34292741635218</v>
      </c>
      <c r="D670" s="45">
        <v>214.98771546987186</v>
      </c>
      <c r="E670" s="45">
        <v>182679.18268801636</v>
      </c>
      <c r="F670" s="45" t="s">
        <v>673</v>
      </c>
      <c r="G670" s="25">
        <f t="shared" si="8"/>
        <v>-2.8918980950195516E-3</v>
      </c>
    </row>
    <row r="671" spans="1:7">
      <c r="A671" s="45">
        <v>215.52062052543178</v>
      </c>
      <c r="B671" s="45">
        <v>217.33151085312156</v>
      </c>
      <c r="C671" s="45">
        <v>213.1225477754121</v>
      </c>
      <c r="D671" s="45">
        <v>215.09627020341185</v>
      </c>
      <c r="E671" s="45">
        <v>196128.89558756672</v>
      </c>
      <c r="F671" s="45" t="s">
        <v>674</v>
      </c>
      <c r="G671" s="25">
        <f t="shared" si="8"/>
        <v>1.9728390530371342E-3</v>
      </c>
    </row>
    <row r="672" spans="1:7">
      <c r="A672" s="45">
        <v>214.75086877851192</v>
      </c>
      <c r="B672" s="45">
        <v>219.38911648431127</v>
      </c>
      <c r="C672" s="45">
        <v>214.23770094723196</v>
      </c>
      <c r="D672" s="45">
        <v>216.99104373429159</v>
      </c>
      <c r="E672" s="45">
        <v>253626.34223461614</v>
      </c>
      <c r="F672" s="45" t="s">
        <v>675</v>
      </c>
      <c r="G672" s="25">
        <f t="shared" si="8"/>
        <v>-1.0323812988902947E-2</v>
      </c>
    </row>
    <row r="673" spans="1:7">
      <c r="A673" s="45">
        <v>218.33317498533142</v>
      </c>
      <c r="B673" s="45">
        <v>220.76085357177109</v>
      </c>
      <c r="C673" s="45">
        <v>218.13580274253144</v>
      </c>
      <c r="D673" s="45">
        <v>220.76085357177109</v>
      </c>
      <c r="E673" s="45">
        <v>189166.41707232446</v>
      </c>
      <c r="F673" s="45" t="s">
        <v>676</v>
      </c>
      <c r="G673" s="25">
        <f t="shared" si="8"/>
        <v>-1.0996870809119264E-2</v>
      </c>
    </row>
    <row r="674" spans="1:7">
      <c r="A674" s="45">
        <v>219.47793399357127</v>
      </c>
      <c r="B674" s="45">
        <v>222.3299629020309</v>
      </c>
      <c r="C674" s="45">
        <v>219.45819676929128</v>
      </c>
      <c r="D674" s="45">
        <v>220.98783165099107</v>
      </c>
      <c r="E674" s="45">
        <v>174996.23812353273</v>
      </c>
      <c r="F674" s="45" t="s">
        <v>677</v>
      </c>
      <c r="G674" s="25">
        <f t="shared" si="8"/>
        <v>-6.8324922966997992E-3</v>
      </c>
    </row>
    <row r="675" spans="1:7">
      <c r="A675" s="45">
        <v>221.40231336087101</v>
      </c>
      <c r="B675" s="45">
        <v>225.55699907181048</v>
      </c>
      <c r="C675" s="45">
        <v>221.28389001519102</v>
      </c>
      <c r="D675" s="45">
        <v>223.87933500801071</v>
      </c>
      <c r="E675" s="45">
        <v>174775.33573431388</v>
      </c>
      <c r="F675" s="45" t="s">
        <v>678</v>
      </c>
      <c r="G675" s="25">
        <f t="shared" si="8"/>
        <v>-1.1064092391783631E-2</v>
      </c>
    </row>
    <row r="676" spans="1:7">
      <c r="A676" s="45">
        <v>224.77737871275059</v>
      </c>
      <c r="B676" s="45">
        <v>227.04715950495026</v>
      </c>
      <c r="C676" s="45">
        <v>223.64248831665074</v>
      </c>
      <c r="D676" s="45">
        <v>223.64248831665074</v>
      </c>
      <c r="E676" s="45">
        <v>279509.41438056773</v>
      </c>
      <c r="F676" s="45" t="s">
        <v>679</v>
      </c>
      <c r="G676" s="25">
        <f t="shared" si="8"/>
        <v>5.0745741770363839E-3</v>
      </c>
    </row>
    <row r="677" spans="1:7">
      <c r="A677" s="45">
        <v>223.90894084443062</v>
      </c>
      <c r="B677" s="45">
        <v>224.6479792884447</v>
      </c>
      <c r="C677" s="45">
        <v>222.38652164976159</v>
      </c>
      <c r="D677" s="45">
        <v>223.6724485423461</v>
      </c>
      <c r="E677" s="45">
        <v>240607.5779145915</v>
      </c>
      <c r="F677" s="45" t="s">
        <v>680</v>
      </c>
      <c r="G677" s="25">
        <f t="shared" si="8"/>
        <v>1.0573153002335633E-3</v>
      </c>
    </row>
    <row r="678" spans="1:7">
      <c r="A678" s="45">
        <v>224.52973313740247</v>
      </c>
      <c r="B678" s="45">
        <v>228.33331766259499</v>
      </c>
      <c r="C678" s="45">
        <v>223.9976254577123</v>
      </c>
      <c r="D678" s="45">
        <v>226.43152539999872</v>
      </c>
      <c r="E678" s="45">
        <v>203707.26478354706</v>
      </c>
      <c r="F678" s="45" t="s">
        <v>681</v>
      </c>
      <c r="G678" s="25">
        <f t="shared" si="8"/>
        <v>-8.398972975325214E-3</v>
      </c>
    </row>
    <row r="679" spans="1:7">
      <c r="A679" s="45">
        <v>225.53482542126162</v>
      </c>
      <c r="B679" s="45">
        <v>228.86542534228514</v>
      </c>
      <c r="C679" s="45">
        <v>225.35745619469824</v>
      </c>
      <c r="D679" s="45">
        <v>226.88480231232737</v>
      </c>
      <c r="E679" s="45">
        <v>238917.88232417349</v>
      </c>
      <c r="F679" s="45" t="s">
        <v>682</v>
      </c>
      <c r="G679" s="25">
        <f t="shared" si="8"/>
        <v>-5.9500542888165642E-3</v>
      </c>
    </row>
    <row r="680" spans="1:7">
      <c r="A680" s="45">
        <v>226.39211001631799</v>
      </c>
      <c r="B680" s="45">
        <v>234.52153290047303</v>
      </c>
      <c r="C680" s="45">
        <v>223.88923315259024</v>
      </c>
      <c r="D680" s="45">
        <v>234.52153290047303</v>
      </c>
      <c r="E680" s="45">
        <v>601795.48655728286</v>
      </c>
      <c r="F680" s="45" t="s">
        <v>683</v>
      </c>
      <c r="G680" s="25">
        <f t="shared" si="8"/>
        <v>-3.4663865546218475E-2</v>
      </c>
    </row>
    <row r="681" spans="1:7">
      <c r="A681" s="45">
        <v>236.65981746515379</v>
      </c>
      <c r="B681" s="45">
        <v>237.33973283364679</v>
      </c>
      <c r="C681" s="45">
        <v>233.54353869289437</v>
      </c>
      <c r="D681" s="45">
        <v>234.47226367087208</v>
      </c>
      <c r="E681" s="45">
        <v>191889.54397248541</v>
      </c>
      <c r="F681" s="45" t="s">
        <v>684</v>
      </c>
      <c r="G681" s="25">
        <f t="shared" si="8"/>
        <v>9.3296911115781089E-3</v>
      </c>
    </row>
    <row r="682" spans="1:7">
      <c r="A682" s="45">
        <v>234.40328674943078</v>
      </c>
      <c r="B682" s="45">
        <v>238.93605587271722</v>
      </c>
      <c r="C682" s="45">
        <v>232.8315983251608</v>
      </c>
      <c r="D682" s="45">
        <v>235.2802790363275</v>
      </c>
      <c r="E682" s="45">
        <v>226265.96945586044</v>
      </c>
      <c r="F682" s="45" t="s">
        <v>685</v>
      </c>
      <c r="G682" s="25">
        <f t="shared" si="8"/>
        <v>-3.7274364451145292E-3</v>
      </c>
    </row>
    <row r="683" spans="1:7">
      <c r="A683" s="45">
        <v>235.97004825074066</v>
      </c>
      <c r="B683" s="45">
        <v>241.61630196300834</v>
      </c>
      <c r="C683" s="45">
        <v>233.99927906670308</v>
      </c>
      <c r="D683" s="45">
        <v>241.41922504460459</v>
      </c>
      <c r="E683" s="45">
        <v>614712.27062625613</v>
      </c>
      <c r="F683" s="45" t="s">
        <v>686</v>
      </c>
      <c r="G683" s="25">
        <f t="shared" si="8"/>
        <v>-2.2571428571428576E-2</v>
      </c>
    </row>
    <row r="684" spans="1:7">
      <c r="A684" s="45">
        <v>244.97646342179246</v>
      </c>
      <c r="B684" s="45">
        <v>245.90272493829011</v>
      </c>
      <c r="C684" s="45">
        <v>240.31559430154354</v>
      </c>
      <c r="D684" s="45">
        <v>243.59692499296614</v>
      </c>
      <c r="E684" s="45">
        <v>434457.77767127362</v>
      </c>
      <c r="F684" s="45" t="s">
        <v>687</v>
      </c>
      <c r="G684" s="25">
        <f t="shared" si="8"/>
        <v>5.663201326807199E-3</v>
      </c>
    </row>
    <row r="685" spans="1:7">
      <c r="A685" s="45">
        <v>245.63667109844502</v>
      </c>
      <c r="B685" s="45">
        <v>248.24794026729484</v>
      </c>
      <c r="C685" s="45">
        <v>244.06005575121497</v>
      </c>
      <c r="D685" s="45">
        <v>245.21295572387695</v>
      </c>
      <c r="E685" s="45">
        <v>265999.69405143766</v>
      </c>
      <c r="F685" s="45" t="s">
        <v>688</v>
      </c>
      <c r="G685" s="25">
        <f t="shared" si="8"/>
        <v>1.7279485633916458E-3</v>
      </c>
    </row>
    <row r="686" spans="1:7">
      <c r="A686" s="45">
        <v>247.49904797736053</v>
      </c>
      <c r="B686" s="45">
        <v>250.47490944525731</v>
      </c>
      <c r="C686" s="45">
        <v>246.79942491702721</v>
      </c>
      <c r="D686" s="45">
        <v>249.49937869915868</v>
      </c>
      <c r="E686" s="45">
        <v>228812.18341163147</v>
      </c>
      <c r="F686" s="45" t="s">
        <v>689</v>
      </c>
      <c r="G686" s="25">
        <f t="shared" si="8"/>
        <v>-8.0173775671406045E-3</v>
      </c>
    </row>
    <row r="687" spans="1:7">
      <c r="A687" s="45">
        <v>248.63224025818215</v>
      </c>
      <c r="B687" s="45">
        <v>250.42564021565636</v>
      </c>
      <c r="C687" s="45">
        <v>246.11950954853424</v>
      </c>
      <c r="D687" s="45">
        <v>249.53879408283947</v>
      </c>
      <c r="E687" s="45">
        <v>267589.93608758482</v>
      </c>
      <c r="F687" s="45" t="s">
        <v>690</v>
      </c>
      <c r="G687" s="25">
        <f t="shared" si="8"/>
        <v>-3.6329173906177736E-3</v>
      </c>
    </row>
    <row r="688" spans="1:7">
      <c r="A688" s="45">
        <v>246.41512492613987</v>
      </c>
      <c r="B688" s="45">
        <v>255.10621702774563</v>
      </c>
      <c r="C688" s="45">
        <v>245.66623263620559</v>
      </c>
      <c r="D688" s="45">
        <v>255.08650933590528</v>
      </c>
      <c r="E688" s="45">
        <v>323187.51742154895</v>
      </c>
      <c r="F688" s="45" t="s">
        <v>691</v>
      </c>
      <c r="G688" s="25">
        <f t="shared" si="8"/>
        <v>-3.39938965503922E-2</v>
      </c>
    </row>
    <row r="689" spans="1:7">
      <c r="A689" s="45">
        <v>252.32743247825263</v>
      </c>
      <c r="B689" s="45">
        <v>256.16057854120572</v>
      </c>
      <c r="C689" s="45">
        <v>241.04477889963746</v>
      </c>
      <c r="D689" s="45">
        <v>246.29687877509761</v>
      </c>
      <c r="E689" s="45">
        <v>463696.10779471695</v>
      </c>
      <c r="F689" s="45" t="s">
        <v>692</v>
      </c>
      <c r="G689" s="25">
        <f t="shared" si="8"/>
        <v>2.448489697939582E-2</v>
      </c>
    </row>
    <row r="690" spans="1:7">
      <c r="A690" s="45">
        <v>252.34714017009298</v>
      </c>
      <c r="B690" s="45">
        <v>254.46571704293345</v>
      </c>
      <c r="C690" s="45">
        <v>250.13987868397092</v>
      </c>
      <c r="D690" s="45">
        <v>252.1796247894498</v>
      </c>
      <c r="E690" s="45">
        <v>365763.78697133693</v>
      </c>
      <c r="F690" s="45" t="s">
        <v>693</v>
      </c>
      <c r="G690" s="25">
        <f t="shared" si="8"/>
        <v>6.642700844012861E-4</v>
      </c>
    </row>
    <row r="691" spans="1:7">
      <c r="A691" s="45">
        <v>253.41135552947333</v>
      </c>
      <c r="B691" s="45">
        <v>259.12658616318237</v>
      </c>
      <c r="C691" s="45">
        <v>253.24384014883012</v>
      </c>
      <c r="D691" s="45">
        <v>255.47080932679259</v>
      </c>
      <c r="E691" s="45">
        <v>541280.02844784386</v>
      </c>
      <c r="F691" s="45" t="s">
        <v>694</v>
      </c>
      <c r="G691" s="25">
        <f t="shared" si="8"/>
        <v>-8.0614055388412709E-3</v>
      </c>
    </row>
    <row r="692" spans="1:7">
      <c r="A692" s="45">
        <v>254.98797087670337</v>
      </c>
      <c r="B692" s="45">
        <v>258.25944772220578</v>
      </c>
      <c r="C692" s="45">
        <v>254.22922474084891</v>
      </c>
      <c r="D692" s="45">
        <v>254.2390785867691</v>
      </c>
      <c r="E692" s="45">
        <v>318166.12776305754</v>
      </c>
      <c r="F692" s="45" t="s">
        <v>695</v>
      </c>
      <c r="G692" s="25">
        <f t="shared" si="8"/>
        <v>2.9456222627028961E-3</v>
      </c>
    </row>
    <row r="693" spans="1:7">
      <c r="A693" s="45">
        <v>254.01244013060474</v>
      </c>
      <c r="B693" s="45">
        <v>254.4903516577339</v>
      </c>
      <c r="C693" s="45">
        <v>247.99942627318768</v>
      </c>
      <c r="D693" s="45">
        <v>248.88844025210707</v>
      </c>
      <c r="E693" s="45">
        <v>271900.94321557024</v>
      </c>
      <c r="F693" s="45" t="s">
        <v>696</v>
      </c>
      <c r="G693" s="25">
        <f t="shared" si="8"/>
        <v>2.0587536622060032E-2</v>
      </c>
    </row>
    <row r="694" spans="1:7">
      <c r="A694" s="45">
        <v>247.62714797432301</v>
      </c>
      <c r="B694" s="45">
        <v>249.70630946348265</v>
      </c>
      <c r="C694" s="45">
        <v>245.14890572539574</v>
      </c>
      <c r="D694" s="45">
        <v>247.98188642744975</v>
      </c>
      <c r="E694" s="45">
        <v>184256.99109829092</v>
      </c>
      <c r="F694" s="45" t="s">
        <v>697</v>
      </c>
      <c r="G694" s="25">
        <f t="shared" si="8"/>
        <v>-1.4305014702374885E-3</v>
      </c>
    </row>
    <row r="695" spans="1:7">
      <c r="A695" s="45">
        <v>247.93261719784883</v>
      </c>
      <c r="B695" s="45">
        <v>248.70121717962346</v>
      </c>
      <c r="C695" s="45">
        <v>243.41955576640274</v>
      </c>
      <c r="D695" s="45">
        <v>243.41955576640274</v>
      </c>
      <c r="E695" s="45">
        <v>360436.93282472785</v>
      </c>
      <c r="F695" s="45" t="s">
        <v>698</v>
      </c>
      <c r="G695" s="25">
        <f t="shared" si="8"/>
        <v>1.8540258268226584E-2</v>
      </c>
    </row>
    <row r="696" spans="1:7">
      <c r="A696" s="45">
        <v>243.63634037664687</v>
      </c>
      <c r="B696" s="45">
        <v>243.63634037664687</v>
      </c>
      <c r="C696" s="45">
        <v>238.62960126459939</v>
      </c>
      <c r="D696" s="45">
        <v>241.29112504764214</v>
      </c>
      <c r="E696" s="45">
        <v>202604.14219688976</v>
      </c>
      <c r="F696" s="45" t="s">
        <v>699</v>
      </c>
      <c r="G696" s="25">
        <f t="shared" si="8"/>
        <v>9.7194429697391449E-3</v>
      </c>
    </row>
    <row r="697" spans="1:7">
      <c r="A697" s="45">
        <v>242.26665579374077</v>
      </c>
      <c r="B697" s="45">
        <v>246.24760954549669</v>
      </c>
      <c r="C697" s="45">
        <v>241.6557173466891</v>
      </c>
      <c r="D697" s="45">
        <v>243.50824037968445</v>
      </c>
      <c r="E697" s="45">
        <v>305763.86361260799</v>
      </c>
      <c r="F697" s="45" t="s">
        <v>700</v>
      </c>
      <c r="G697" s="25">
        <f t="shared" si="8"/>
        <v>-5.0987374554872789E-3</v>
      </c>
    </row>
    <row r="698" spans="1:7">
      <c r="A698" s="45">
        <v>243.4589711500835</v>
      </c>
      <c r="B698" s="45">
        <v>245.28193264531825</v>
      </c>
      <c r="C698" s="45">
        <v>241.335467354283</v>
      </c>
      <c r="D698" s="45">
        <v>243.14364808063749</v>
      </c>
      <c r="E698" s="45">
        <v>215510.77794399858</v>
      </c>
      <c r="F698" s="45" t="s">
        <v>701</v>
      </c>
      <c r="G698" s="25">
        <f t="shared" ref="G698:G761" si="9">A698/D698-1</f>
        <v>1.2968591691995268E-3</v>
      </c>
    </row>
    <row r="699" spans="1:7">
      <c r="A699" s="45">
        <v>243.0352557755154</v>
      </c>
      <c r="B699" s="45">
        <v>244.48377112578305</v>
      </c>
      <c r="C699" s="45">
        <v>239.28094047992383</v>
      </c>
      <c r="D699" s="45">
        <v>241.50790965788627</v>
      </c>
      <c r="E699" s="45">
        <v>164536.77205144247</v>
      </c>
      <c r="F699" s="45" t="s">
        <v>702</v>
      </c>
      <c r="G699" s="25">
        <f t="shared" si="9"/>
        <v>6.324207434003748E-3</v>
      </c>
    </row>
    <row r="700" spans="1:7">
      <c r="A700" s="45">
        <v>239.42874816872663</v>
      </c>
      <c r="B700" s="45">
        <v>239.94114815657639</v>
      </c>
      <c r="C700" s="45">
        <v>235.69414056497538</v>
      </c>
      <c r="D700" s="45">
        <v>236.52186362227118</v>
      </c>
      <c r="E700" s="45">
        <v>182697.19402773687</v>
      </c>
      <c r="F700" s="45" t="s">
        <v>703</v>
      </c>
      <c r="G700" s="25">
        <f t="shared" si="9"/>
        <v>1.2290130400366639E-2</v>
      </c>
    </row>
    <row r="701" spans="1:7">
      <c r="A701" s="45">
        <v>235.62516364353408</v>
      </c>
      <c r="B701" s="45">
        <v>236.98499438052002</v>
      </c>
      <c r="C701" s="45">
        <v>232.59017910011619</v>
      </c>
      <c r="D701" s="45">
        <v>233.21097139308802</v>
      </c>
      <c r="E701" s="45">
        <v>176851.76063385839</v>
      </c>
      <c r="F701" s="45" t="s">
        <v>704</v>
      </c>
      <c r="G701" s="25">
        <f t="shared" si="9"/>
        <v>1.0351966873705987E-2</v>
      </c>
    </row>
    <row r="702" spans="1:7">
      <c r="A702" s="45">
        <v>232.47193294907393</v>
      </c>
      <c r="B702" s="45">
        <v>234.56094828415377</v>
      </c>
      <c r="C702" s="45">
        <v>229.66358686182036</v>
      </c>
      <c r="D702" s="45">
        <v>230.35335607623355</v>
      </c>
      <c r="E702" s="45">
        <v>155314.99197328728</v>
      </c>
      <c r="F702" s="45" t="s">
        <v>705</v>
      </c>
      <c r="G702" s="25">
        <f t="shared" si="9"/>
        <v>9.197074047140319E-3</v>
      </c>
    </row>
    <row r="703" spans="1:7">
      <c r="A703" s="45">
        <v>230.954440677365</v>
      </c>
      <c r="B703" s="45">
        <v>232.42266371947301</v>
      </c>
      <c r="C703" s="45">
        <v>229.94934839350583</v>
      </c>
      <c r="D703" s="45">
        <v>232.32412526027113</v>
      </c>
      <c r="E703" s="45">
        <v>185862.45561723463</v>
      </c>
      <c r="F703" s="45" t="s">
        <v>706</v>
      </c>
      <c r="G703" s="25">
        <f t="shared" si="9"/>
        <v>-5.8955761971413168E-3</v>
      </c>
    </row>
    <row r="704" spans="1:7">
      <c r="A704" s="45">
        <v>234.13723290958572</v>
      </c>
      <c r="B704" s="45">
        <v>234.98466365872187</v>
      </c>
      <c r="C704" s="45">
        <v>232.67886371339787</v>
      </c>
      <c r="D704" s="45">
        <v>234.18650213918664</v>
      </c>
      <c r="E704" s="45">
        <v>142030.83865282382</v>
      </c>
      <c r="F704" s="45" t="s">
        <v>707</v>
      </c>
      <c r="G704" s="25">
        <f t="shared" si="9"/>
        <v>-2.1038458301769758E-4</v>
      </c>
    </row>
    <row r="705" spans="1:7">
      <c r="A705" s="45">
        <v>235.24086365264674</v>
      </c>
      <c r="B705" s="45">
        <v>239.12327894520078</v>
      </c>
      <c r="C705" s="45">
        <v>233.90074060750121</v>
      </c>
      <c r="D705" s="45">
        <v>237.43827129284867</v>
      </c>
      <c r="E705" s="45">
        <v>101915.5371551462</v>
      </c>
      <c r="F705" s="45" t="s">
        <v>708</v>
      </c>
      <c r="G705" s="25">
        <f t="shared" si="9"/>
        <v>-9.254648074369265E-3</v>
      </c>
    </row>
    <row r="706" spans="1:7">
      <c r="A706" s="45">
        <v>238.49263280630876</v>
      </c>
      <c r="B706" s="45">
        <v>240.88711736491445</v>
      </c>
      <c r="C706" s="45">
        <v>234.0584021422242</v>
      </c>
      <c r="D706" s="45">
        <v>234.0584021422242</v>
      </c>
      <c r="E706" s="45">
        <v>347256.29238728096</v>
      </c>
      <c r="F706" s="45" t="s">
        <v>709</v>
      </c>
      <c r="G706" s="25">
        <f t="shared" si="9"/>
        <v>1.8944975371532058E-2</v>
      </c>
    </row>
    <row r="707" spans="1:7">
      <c r="A707" s="45">
        <v>231.51610989481568</v>
      </c>
      <c r="B707" s="45">
        <v>232.78725601851997</v>
      </c>
      <c r="C707" s="45">
        <v>229.05264841476873</v>
      </c>
      <c r="D707" s="45">
        <v>230.18584069559034</v>
      </c>
      <c r="E707" s="45">
        <v>185208.90368916906</v>
      </c>
      <c r="F707" s="45" t="s">
        <v>710</v>
      </c>
      <c r="G707" s="25">
        <f t="shared" si="9"/>
        <v>5.7791095890409316E-3</v>
      </c>
    </row>
    <row r="708" spans="1:7">
      <c r="A708" s="45">
        <v>231.50625604889552</v>
      </c>
      <c r="B708" s="45">
        <v>233.5854175380552</v>
      </c>
      <c r="C708" s="45">
        <v>229.50592532709737</v>
      </c>
      <c r="D708" s="45">
        <v>233.30950985228992</v>
      </c>
      <c r="E708" s="45">
        <v>305047.39208898332</v>
      </c>
      <c r="F708" s="45" t="s">
        <v>711</v>
      </c>
      <c r="G708" s="25">
        <f t="shared" si="9"/>
        <v>-7.7290197237825931E-3</v>
      </c>
    </row>
    <row r="709" spans="1:7">
      <c r="A709" s="45">
        <v>233.16170216348709</v>
      </c>
      <c r="B709" s="45">
        <v>235.68428671905522</v>
      </c>
      <c r="C709" s="45">
        <v>231.36337528305279</v>
      </c>
      <c r="D709" s="45">
        <v>235.68428671905522</v>
      </c>
      <c r="E709" s="45">
        <v>240512.18368906641</v>
      </c>
      <c r="F709" s="45" t="s">
        <v>712</v>
      </c>
      <c r="G709" s="25">
        <f t="shared" si="9"/>
        <v>-1.0703236056526566E-2</v>
      </c>
    </row>
    <row r="710" spans="1:7">
      <c r="A710" s="45">
        <v>236.02917132626177</v>
      </c>
      <c r="B710" s="45">
        <v>236.53171746819137</v>
      </c>
      <c r="C710" s="45">
        <v>231.3165695149319</v>
      </c>
      <c r="D710" s="45">
        <v>233.97957137486267</v>
      </c>
      <c r="E710" s="45">
        <v>272172.91824153537</v>
      </c>
      <c r="F710" s="45" t="s">
        <v>713</v>
      </c>
      <c r="G710" s="25">
        <f t="shared" si="9"/>
        <v>8.7597388923983388E-3</v>
      </c>
    </row>
    <row r="711" spans="1:7">
      <c r="A711" s="45">
        <v>233.83176368605987</v>
      </c>
      <c r="B711" s="45">
        <v>238.90649433495665</v>
      </c>
      <c r="C711" s="45">
        <v>231.57030604737673</v>
      </c>
      <c r="D711" s="45">
        <v>237.95067128069843</v>
      </c>
      <c r="E711" s="45">
        <v>698212.66292631219</v>
      </c>
      <c r="F711" s="45" t="s">
        <v>714</v>
      </c>
      <c r="G711" s="25">
        <f t="shared" si="9"/>
        <v>-1.7309922146761636E-2</v>
      </c>
    </row>
    <row r="712" spans="1:7">
      <c r="A712" s="45">
        <v>239.87217123513508</v>
      </c>
      <c r="B712" s="45">
        <v>242.89730193263279</v>
      </c>
      <c r="C712" s="45">
        <v>239.35977124728529</v>
      </c>
      <c r="D712" s="45">
        <v>242.06957887533699</v>
      </c>
      <c r="E712" s="45">
        <v>385842.24177999771</v>
      </c>
      <c r="F712" s="45" t="s">
        <v>715</v>
      </c>
      <c r="G712" s="25">
        <f t="shared" si="9"/>
        <v>-9.0775869087356131E-3</v>
      </c>
    </row>
    <row r="713" spans="1:7">
      <c r="A713" s="45">
        <v>241.31083273948252</v>
      </c>
      <c r="B713" s="45">
        <v>243.11408654287692</v>
      </c>
      <c r="C713" s="45">
        <v>236.5070828533909</v>
      </c>
      <c r="D713" s="45">
        <v>241.77396349773136</v>
      </c>
      <c r="E713" s="45">
        <v>522649.73916922905</v>
      </c>
      <c r="F713" s="45" t="s">
        <v>716</v>
      </c>
      <c r="G713" s="25">
        <f t="shared" si="9"/>
        <v>-1.9155526573199078E-3</v>
      </c>
    </row>
    <row r="714" spans="1:7">
      <c r="A714" s="45">
        <v>249.28259408891455</v>
      </c>
      <c r="B714" s="45">
        <v>251.8840094118442</v>
      </c>
      <c r="C714" s="45">
        <v>244.8582172707502</v>
      </c>
      <c r="D714" s="45">
        <v>246.631909536384</v>
      </c>
      <c r="E714" s="45">
        <v>379953.17060210241</v>
      </c>
      <c r="F714" s="45" t="s">
        <v>717</v>
      </c>
      <c r="G714" s="25">
        <f t="shared" si="9"/>
        <v>1.0747532861880238E-2</v>
      </c>
    </row>
    <row r="715" spans="1:7">
      <c r="A715" s="45">
        <v>248.71107102554367</v>
      </c>
      <c r="B715" s="45">
        <v>249.5831363894803</v>
      </c>
      <c r="C715" s="45">
        <v>245.39032495044034</v>
      </c>
      <c r="D715" s="45">
        <v>247.2822633671164</v>
      </c>
      <c r="E715" s="45">
        <v>449821.32214174699</v>
      </c>
      <c r="F715" s="45" t="s">
        <v>718</v>
      </c>
      <c r="G715" s="25">
        <f t="shared" si="9"/>
        <v>5.7780434349472554E-3</v>
      </c>
    </row>
    <row r="716" spans="1:7">
      <c r="A716" s="45">
        <v>245.16368649427602</v>
      </c>
      <c r="B716" s="45">
        <v>246.54322492310231</v>
      </c>
      <c r="C716" s="45">
        <v>238.36453280934634</v>
      </c>
      <c r="D716" s="45">
        <v>240.59150198730879</v>
      </c>
      <c r="E716" s="45">
        <v>318678.6180172083</v>
      </c>
      <c r="F716" s="45" t="s">
        <v>719</v>
      </c>
      <c r="G716" s="25">
        <f t="shared" si="9"/>
        <v>1.9003931847968669E-2</v>
      </c>
    </row>
    <row r="717" spans="1:7">
      <c r="A717" s="45">
        <v>240.95609428635575</v>
      </c>
      <c r="B717" s="45">
        <v>248.78990179290517</v>
      </c>
      <c r="C717" s="45">
        <v>236.74357515547541</v>
      </c>
      <c r="D717" s="45">
        <v>239.23167125032288</v>
      </c>
      <c r="E717" s="45">
        <v>466499.07429365662</v>
      </c>
      <c r="F717" s="45" t="s">
        <v>720</v>
      </c>
      <c r="G717" s="25">
        <f t="shared" si="9"/>
        <v>7.2081720075787281E-3</v>
      </c>
    </row>
    <row r="718" spans="1:7">
      <c r="A718" s="45">
        <v>235.56604056801297</v>
      </c>
      <c r="B718" s="45">
        <v>236.57113285187214</v>
      </c>
      <c r="C718" s="45">
        <v>231.01356375288611</v>
      </c>
      <c r="D718" s="45">
        <v>231.41757143561384</v>
      </c>
      <c r="E718" s="45">
        <v>252672.91777914384</v>
      </c>
      <c r="F718" s="45" t="s">
        <v>721</v>
      </c>
      <c r="G718" s="25">
        <f t="shared" si="9"/>
        <v>1.7926335959122852E-2</v>
      </c>
    </row>
    <row r="719" spans="1:7">
      <c r="A719" s="45">
        <v>231.9989483449049</v>
      </c>
      <c r="B719" s="45">
        <v>235.06349442608337</v>
      </c>
      <c r="C719" s="45">
        <v>231.57523297033683</v>
      </c>
      <c r="D719" s="45">
        <v>233.72337138093781</v>
      </c>
      <c r="E719" s="45">
        <v>242582.44134939837</v>
      </c>
      <c r="F719" s="45" t="s">
        <v>722</v>
      </c>
      <c r="G719" s="25">
        <f t="shared" si="9"/>
        <v>-7.3780513512374801E-3</v>
      </c>
    </row>
    <row r="720" spans="1:7">
      <c r="A720" s="45">
        <v>233.59527138397536</v>
      </c>
      <c r="B720" s="45">
        <v>235.45764826289087</v>
      </c>
      <c r="C720" s="45">
        <v>232.74784063483918</v>
      </c>
      <c r="D720" s="45">
        <v>235.45764826289087</v>
      </c>
      <c r="E720" s="45">
        <v>200513.58789282906</v>
      </c>
      <c r="F720" s="45" t="s">
        <v>723</v>
      </c>
      <c r="G720" s="25">
        <f t="shared" si="9"/>
        <v>-7.9096045197739606E-3</v>
      </c>
    </row>
    <row r="721" spans="1:7">
      <c r="A721" s="45">
        <v>235.07334827200356</v>
      </c>
      <c r="B721" s="45">
        <v>237.72403282453411</v>
      </c>
      <c r="C721" s="45">
        <v>234.24562521470776</v>
      </c>
      <c r="D721" s="45">
        <v>237.02440976420075</v>
      </c>
      <c r="E721" s="45">
        <v>193123.57991119308</v>
      </c>
      <c r="F721" s="45" t="s">
        <v>724</v>
      </c>
      <c r="G721" s="25">
        <f t="shared" si="9"/>
        <v>-8.2314791718632874E-3</v>
      </c>
    </row>
    <row r="722" spans="1:7">
      <c r="A722" s="45">
        <v>236.58098669779233</v>
      </c>
      <c r="B722" s="45">
        <v>237.48754052244959</v>
      </c>
      <c r="C722" s="45">
        <v>231.31903297641196</v>
      </c>
      <c r="D722" s="45">
        <v>233.33907139005049</v>
      </c>
      <c r="E722" s="45">
        <v>314158.55545881687</v>
      </c>
      <c r="F722" s="45" t="s">
        <v>725</v>
      </c>
      <c r="G722" s="25">
        <f t="shared" si="9"/>
        <v>1.3893581081081186E-2</v>
      </c>
    </row>
    <row r="723" spans="1:7">
      <c r="A723" s="45">
        <v>232.53105602459505</v>
      </c>
      <c r="B723" s="45">
        <v>239.14298663704116</v>
      </c>
      <c r="C723" s="45">
        <v>230.17845031115019</v>
      </c>
      <c r="D723" s="45">
        <v>237.07367899380171</v>
      </c>
      <c r="E723" s="45">
        <v>338574.40303231042</v>
      </c>
      <c r="F723" s="45" t="s">
        <v>726</v>
      </c>
      <c r="G723" s="25">
        <f t="shared" si="9"/>
        <v>-1.9161228646244699E-2</v>
      </c>
    </row>
    <row r="724" spans="1:7">
      <c r="A724" s="45">
        <v>237.1525097611632</v>
      </c>
      <c r="B724" s="45">
        <v>237.1525097611632</v>
      </c>
      <c r="C724" s="45">
        <v>231.0234175988063</v>
      </c>
      <c r="D724" s="45">
        <v>232.92520986140258</v>
      </c>
      <c r="E724" s="45">
        <v>325113.66891140689</v>
      </c>
      <c r="F724" s="45" t="s">
        <v>727</v>
      </c>
      <c r="G724" s="25">
        <f t="shared" si="9"/>
        <v>1.8148743548523472E-2</v>
      </c>
    </row>
    <row r="725" spans="1:7">
      <c r="A725" s="45">
        <v>233.01389447468426</v>
      </c>
      <c r="B725" s="45">
        <v>233.13214062572652</v>
      </c>
      <c r="C725" s="45">
        <v>230.01339839198707</v>
      </c>
      <c r="D725" s="45">
        <v>231.40771758969365</v>
      </c>
      <c r="E725" s="45">
        <v>322341.14737806033</v>
      </c>
      <c r="F725" s="45" t="s">
        <v>728</v>
      </c>
      <c r="G725" s="25">
        <f t="shared" si="9"/>
        <v>6.9408959291432648E-3</v>
      </c>
    </row>
    <row r="726" spans="1:7">
      <c r="A726" s="45">
        <v>230.35335607623355</v>
      </c>
      <c r="B726" s="45">
        <v>232.37339448987206</v>
      </c>
      <c r="C726" s="45">
        <v>227.02275615521</v>
      </c>
      <c r="D726" s="45">
        <v>231.25005605497063</v>
      </c>
      <c r="E726" s="45">
        <v>269966.67306822084</v>
      </c>
      <c r="F726" s="45" t="s">
        <v>729</v>
      </c>
      <c r="G726" s="25">
        <f t="shared" si="9"/>
        <v>-3.8776205897390614E-3</v>
      </c>
    </row>
    <row r="727" spans="1:7">
      <c r="A727" s="45">
        <v>231.31903297641196</v>
      </c>
      <c r="B727" s="45">
        <v>233.03360216652467</v>
      </c>
      <c r="C727" s="45">
        <v>227.7659332145106</v>
      </c>
      <c r="D727" s="45">
        <v>228.50083304323817</v>
      </c>
      <c r="E727" s="45">
        <v>443324.36648417579</v>
      </c>
      <c r="F727" s="45" t="s">
        <v>730</v>
      </c>
      <c r="G727" s="25">
        <f t="shared" si="9"/>
        <v>1.2333433955755035E-2</v>
      </c>
    </row>
    <row r="728" spans="1:7">
      <c r="A728" s="45">
        <v>228.66834842388138</v>
      </c>
      <c r="B728" s="45">
        <v>231.0234175988063</v>
      </c>
      <c r="C728" s="45">
        <v>227.48598545191803</v>
      </c>
      <c r="D728" s="45">
        <v>228.89498688004571</v>
      </c>
      <c r="E728" s="45">
        <v>183832.79124436015</v>
      </c>
      <c r="F728" s="45" t="s">
        <v>731</v>
      </c>
      <c r="G728" s="25">
        <f t="shared" si="9"/>
        <v>-9.9014163330324312E-4</v>
      </c>
    </row>
    <row r="729" spans="1:7">
      <c r="A729" s="45">
        <v>228.95410995556685</v>
      </c>
      <c r="B729" s="45">
        <v>231.90040988570306</v>
      </c>
      <c r="C729" s="45">
        <v>228.53039458099875</v>
      </c>
      <c r="D729" s="45">
        <v>230.39277145991429</v>
      </c>
      <c r="E729" s="45">
        <v>189242.86163025707</v>
      </c>
      <c r="F729" s="45" t="s">
        <v>732</v>
      </c>
      <c r="G729" s="25">
        <f t="shared" si="9"/>
        <v>-6.2443864676446914E-3</v>
      </c>
    </row>
    <row r="730" spans="1:7">
      <c r="A730" s="45">
        <v>229.76212532102224</v>
      </c>
      <c r="B730" s="45">
        <v>230.01832531494713</v>
      </c>
      <c r="C730" s="45">
        <v>224.60363698180387</v>
      </c>
      <c r="D730" s="45">
        <v>227.82091767474523</v>
      </c>
      <c r="E730" s="45">
        <v>266182.36384499638</v>
      </c>
      <c r="F730" s="45" t="s">
        <v>733</v>
      </c>
      <c r="G730" s="25">
        <f t="shared" si="9"/>
        <v>8.5207612456745796E-3</v>
      </c>
    </row>
    <row r="731" spans="1:7">
      <c r="A731" s="45">
        <v>229.68329455366074</v>
      </c>
      <c r="B731" s="45">
        <v>232.36354064395186</v>
      </c>
      <c r="C731" s="45">
        <v>229.17582148877105</v>
      </c>
      <c r="D731" s="45">
        <v>232.36354064395186</v>
      </c>
      <c r="E731" s="45">
        <v>212886.42190987189</v>
      </c>
      <c r="F731" s="45" t="s">
        <v>734</v>
      </c>
      <c r="G731" s="25">
        <f t="shared" si="9"/>
        <v>-1.153471014800056E-2</v>
      </c>
    </row>
    <row r="732" spans="1:7">
      <c r="A732" s="45">
        <v>233.80220214829933</v>
      </c>
      <c r="B732" s="45">
        <v>241.05955966851772</v>
      </c>
      <c r="C732" s="45">
        <v>233.09272524204579</v>
      </c>
      <c r="D732" s="45">
        <v>240.22690968826186</v>
      </c>
      <c r="E732" s="45">
        <v>198582.362242039</v>
      </c>
      <c r="F732" s="45" t="s">
        <v>735</v>
      </c>
      <c r="G732" s="25">
        <f t="shared" si="9"/>
        <v>-2.6744329135731548E-2</v>
      </c>
    </row>
    <row r="733" spans="1:7">
      <c r="A733" s="45">
        <v>241.75425580589098</v>
      </c>
      <c r="B733" s="45">
        <v>243.43926345824312</v>
      </c>
      <c r="C733" s="45">
        <v>239.84260969737451</v>
      </c>
      <c r="D733" s="45">
        <v>240.04954046169848</v>
      </c>
      <c r="E733" s="45">
        <v>188527.40493881883</v>
      </c>
      <c r="F733" s="45" t="s">
        <v>736</v>
      </c>
      <c r="G733" s="25">
        <f t="shared" si="9"/>
        <v>7.101514716144619E-3</v>
      </c>
    </row>
    <row r="734" spans="1:7">
      <c r="A734" s="45">
        <v>240.21705584234167</v>
      </c>
      <c r="B734" s="45">
        <v>243.97137113793326</v>
      </c>
      <c r="C734" s="45">
        <v>239.56670201160927</v>
      </c>
      <c r="D734" s="45">
        <v>242.7297865519896</v>
      </c>
      <c r="E734" s="45">
        <v>197903.43950931248</v>
      </c>
      <c r="F734" s="45" t="s">
        <v>737</v>
      </c>
      <c r="G734" s="25">
        <f t="shared" si="9"/>
        <v>-1.0351966873706098E-2</v>
      </c>
    </row>
    <row r="735" spans="1:7">
      <c r="A735" s="45">
        <v>241.60644811708815</v>
      </c>
      <c r="B735" s="45">
        <v>242.75934808975018</v>
      </c>
      <c r="C735" s="45">
        <v>239.46816355240739</v>
      </c>
      <c r="D735" s="45">
        <v>242.28636348558112</v>
      </c>
      <c r="E735" s="45">
        <v>200145.20380915233</v>
      </c>
      <c r="F735" s="45" t="s">
        <v>738</v>
      </c>
      <c r="G735" s="25">
        <f t="shared" si="9"/>
        <v>-2.8062469497316389E-3</v>
      </c>
    </row>
    <row r="736" spans="1:7">
      <c r="A736" s="45">
        <v>241.89220964877362</v>
      </c>
      <c r="B736" s="45">
        <v>243.83341729505062</v>
      </c>
      <c r="C736" s="45">
        <v>238.15267512206228</v>
      </c>
      <c r="D736" s="45">
        <v>243.83341729505062</v>
      </c>
      <c r="E736" s="45">
        <v>209994.15017852574</v>
      </c>
      <c r="F736" s="45" t="s">
        <v>739</v>
      </c>
      <c r="G736" s="25">
        <f t="shared" si="9"/>
        <v>-7.9612042836936237E-3</v>
      </c>
    </row>
    <row r="737" spans="1:7">
      <c r="A737" s="45">
        <v>243.10423269695673</v>
      </c>
      <c r="B737" s="45">
        <v>244.73997111970795</v>
      </c>
      <c r="C737" s="45">
        <v>242.12870195085813</v>
      </c>
      <c r="D737" s="45">
        <v>243.15350192655765</v>
      </c>
      <c r="E737" s="45">
        <v>183096.02307700671</v>
      </c>
      <c r="F737" s="45" t="s">
        <v>740</v>
      </c>
      <c r="G737" s="25">
        <f t="shared" si="9"/>
        <v>-2.0262603339271656E-4</v>
      </c>
    </row>
    <row r="738" spans="1:7">
      <c r="A738" s="45">
        <v>244.6808480441868</v>
      </c>
      <c r="B738" s="45">
        <v>247.0359172191117</v>
      </c>
      <c r="C738" s="45">
        <v>244.26205959257879</v>
      </c>
      <c r="D738" s="45">
        <v>246.44468646390044</v>
      </c>
      <c r="E738" s="45">
        <v>162554.80479133056</v>
      </c>
      <c r="F738" s="45" t="s">
        <v>741</v>
      </c>
      <c r="G738" s="25">
        <f t="shared" si="9"/>
        <v>-7.1571371451418786E-3</v>
      </c>
    </row>
    <row r="739" spans="1:7">
      <c r="A739" s="45">
        <v>245.94214032197087</v>
      </c>
      <c r="B739" s="45">
        <v>247.4596325936798</v>
      </c>
      <c r="C739" s="45">
        <v>244.04034805937459</v>
      </c>
      <c r="D739" s="45">
        <v>245.8041864790882</v>
      </c>
      <c r="E739" s="45">
        <v>244692.27746500139</v>
      </c>
      <c r="F739" s="45" t="s">
        <v>742</v>
      </c>
      <c r="G739" s="25">
        <f t="shared" si="9"/>
        <v>5.6123471637614664E-4</v>
      </c>
    </row>
    <row r="740" spans="1:7">
      <c r="A740" s="45">
        <v>245.70564801988638</v>
      </c>
      <c r="B740" s="45">
        <v>245.9418182931243</v>
      </c>
      <c r="C740" s="45">
        <v>241.22825325641773</v>
      </c>
      <c r="D740" s="45">
        <v>244.59367965005791</v>
      </c>
      <c r="E740" s="45">
        <v>216619.64183131931</v>
      </c>
      <c r="F740" s="45" t="s">
        <v>743</v>
      </c>
      <c r="G740" s="25">
        <f t="shared" si="9"/>
        <v>4.5461860315416658E-3</v>
      </c>
    </row>
    <row r="741" spans="1:7">
      <c r="A741" s="45">
        <v>245.52852031495794</v>
      </c>
      <c r="B741" s="45">
        <v>248.96282970495918</v>
      </c>
      <c r="C741" s="45">
        <v>240.79527442214825</v>
      </c>
      <c r="D741" s="45">
        <v>248.96282970495918</v>
      </c>
      <c r="E741" s="45">
        <v>292047.25495033077</v>
      </c>
      <c r="F741" s="45" t="s">
        <v>744</v>
      </c>
      <c r="G741" s="25">
        <f t="shared" si="9"/>
        <v>-1.3794466403162176E-2</v>
      </c>
    </row>
    <row r="742" spans="1:7">
      <c r="A742" s="45">
        <v>247.96894647174966</v>
      </c>
      <c r="B742" s="45">
        <v>254.61123540656575</v>
      </c>
      <c r="C742" s="45">
        <v>247.0341058068496</v>
      </c>
      <c r="D742" s="45">
        <v>254.61123540656575</v>
      </c>
      <c r="E742" s="45">
        <v>360880.64273078245</v>
      </c>
      <c r="F742" s="45" t="s">
        <v>745</v>
      </c>
      <c r="G742" s="25">
        <f t="shared" si="9"/>
        <v>-2.6087964752260939E-2</v>
      </c>
    </row>
    <row r="743" spans="1:7">
      <c r="A743" s="45">
        <v>255.04421424083526</v>
      </c>
      <c r="B743" s="45">
        <v>255.3886292226405</v>
      </c>
      <c r="C743" s="45">
        <v>245.24806811548794</v>
      </c>
      <c r="D743" s="45">
        <v>252.75139450481728</v>
      </c>
      <c r="E743" s="45">
        <v>429154.09551947162</v>
      </c>
      <c r="F743" s="45" t="s">
        <v>746</v>
      </c>
      <c r="G743" s="25">
        <f t="shared" si="9"/>
        <v>9.0714424761533241E-3</v>
      </c>
    </row>
    <row r="744" spans="1:7">
      <c r="A744" s="45">
        <v>253.83384159049098</v>
      </c>
      <c r="B744" s="45">
        <v>254.19301721437364</v>
      </c>
      <c r="C744" s="45">
        <v>246.81761638971486</v>
      </c>
      <c r="D744" s="45">
        <v>246.97506323854012</v>
      </c>
      <c r="E744" s="45">
        <v>444401.39972347097</v>
      </c>
      <c r="F744" s="45" t="s">
        <v>747</v>
      </c>
      <c r="G744" s="25">
        <f t="shared" si="9"/>
        <v>2.7771137142401869E-2</v>
      </c>
    </row>
    <row r="745" spans="1:7">
      <c r="A745" s="45">
        <v>244.92825420381163</v>
      </c>
      <c r="B745" s="45">
        <v>256.8351721462227</v>
      </c>
      <c r="C745" s="45">
        <v>240.56894457696194</v>
      </c>
      <c r="D745" s="45">
        <v>256.8351721462227</v>
      </c>
      <c r="E745" s="45">
        <v>902423.14190536668</v>
      </c>
      <c r="F745" s="45" t="s">
        <v>748</v>
      </c>
      <c r="G745" s="25">
        <f t="shared" si="9"/>
        <v>-4.636015325670495E-2</v>
      </c>
    </row>
    <row r="746" spans="1:7">
      <c r="A746" s="45">
        <v>267.77772813957904</v>
      </c>
      <c r="B746" s="45">
        <v>272.01895262980975</v>
      </c>
      <c r="C746" s="45">
        <v>264.18597190075258</v>
      </c>
      <c r="D746" s="45">
        <v>266.79368533442107</v>
      </c>
      <c r="E746" s="45">
        <v>449022.13367545616</v>
      </c>
      <c r="F746" s="45" t="s">
        <v>749</v>
      </c>
      <c r="G746" s="25">
        <f t="shared" si="9"/>
        <v>3.6884036588964442E-3</v>
      </c>
    </row>
    <row r="747" spans="1:7">
      <c r="A747" s="45">
        <v>264.41230174593886</v>
      </c>
      <c r="B747" s="45">
        <v>271.24155881373497</v>
      </c>
      <c r="C747" s="45">
        <v>263.89075905920515</v>
      </c>
      <c r="D747" s="45">
        <v>269.30299448757381</v>
      </c>
      <c r="E747" s="45">
        <v>321882.33920287789</v>
      </c>
      <c r="F747" s="45" t="s">
        <v>750</v>
      </c>
      <c r="G747" s="25">
        <f t="shared" si="9"/>
        <v>-1.8160558336682842E-2</v>
      </c>
    </row>
    <row r="748" spans="1:7">
      <c r="A748" s="45">
        <v>269.73597332184335</v>
      </c>
      <c r="B748" s="45">
        <v>271.7926227846234</v>
      </c>
      <c r="C748" s="45">
        <v>266.76416405026629</v>
      </c>
      <c r="D748" s="45">
        <v>267.1676216003811</v>
      </c>
      <c r="E748" s="45">
        <v>266469.09933751664</v>
      </c>
      <c r="F748" s="45" t="s">
        <v>751</v>
      </c>
      <c r="G748" s="25">
        <f t="shared" si="9"/>
        <v>9.6132596685083449E-3</v>
      </c>
    </row>
    <row r="749" spans="1:7">
      <c r="A749" s="45">
        <v>268.17134526164216</v>
      </c>
      <c r="B749" s="45">
        <v>269.65232968340484</v>
      </c>
      <c r="C749" s="45">
        <v>264.95352528877572</v>
      </c>
      <c r="D749" s="45">
        <v>264.95352528877572</v>
      </c>
      <c r="E749" s="45">
        <v>288699.83959122829</v>
      </c>
      <c r="F749" s="45" t="s">
        <v>752</v>
      </c>
      <c r="G749" s="25">
        <f t="shared" si="9"/>
        <v>1.2144846796657172E-2</v>
      </c>
    </row>
    <row r="750" spans="1:7">
      <c r="A750" s="45">
        <v>264.37294003373256</v>
      </c>
      <c r="B750" s="45">
        <v>265.5488711858963</v>
      </c>
      <c r="C750" s="45">
        <v>259.47240686404598</v>
      </c>
      <c r="D750" s="45">
        <v>260.60405608997763</v>
      </c>
      <c r="E750" s="45">
        <v>217479.36053010519</v>
      </c>
      <c r="F750" s="45" t="s">
        <v>753</v>
      </c>
      <c r="G750" s="25">
        <f t="shared" si="9"/>
        <v>1.4462107767246879E-2</v>
      </c>
    </row>
    <row r="751" spans="1:7">
      <c r="A751" s="45">
        <v>261.44049247436186</v>
      </c>
      <c r="B751" s="45">
        <v>262.14900329407556</v>
      </c>
      <c r="C751" s="45">
        <v>257.48464039762695</v>
      </c>
      <c r="D751" s="45">
        <v>258.83277904069331</v>
      </c>
      <c r="E751" s="45">
        <v>331070.9638771356</v>
      </c>
      <c r="F751" s="45" t="s">
        <v>754</v>
      </c>
      <c r="G751" s="25">
        <f t="shared" si="9"/>
        <v>1.0074896399650202E-2</v>
      </c>
    </row>
    <row r="752" spans="1:7">
      <c r="A752" s="45">
        <v>264.05804633608199</v>
      </c>
      <c r="B752" s="45">
        <v>265.85884466952103</v>
      </c>
      <c r="C752" s="45">
        <v>263.23145037974933</v>
      </c>
      <c r="D752" s="45">
        <v>263.45778022493568</v>
      </c>
      <c r="E752" s="45">
        <v>165787.50349565869</v>
      </c>
      <c r="F752" s="45" t="s">
        <v>755</v>
      </c>
      <c r="G752" s="25">
        <f t="shared" si="9"/>
        <v>2.2784148209016308E-3</v>
      </c>
    </row>
    <row r="753" spans="1:7">
      <c r="A753" s="45">
        <v>265.02240828513675</v>
      </c>
      <c r="B753" s="45">
        <v>268.87001565330434</v>
      </c>
      <c r="C753" s="45">
        <v>264.6386315911252</v>
      </c>
      <c r="D753" s="45">
        <v>265.96708937808836</v>
      </c>
      <c r="E753" s="45">
        <v>159242.0565229874</v>
      </c>
      <c r="F753" s="45" t="s">
        <v>756</v>
      </c>
      <c r="G753" s="25">
        <f t="shared" si="9"/>
        <v>-3.5518721326032177E-3</v>
      </c>
    </row>
    <row r="754" spans="1:7">
      <c r="A754" s="45">
        <v>264.91416357656936</v>
      </c>
      <c r="B754" s="45">
        <v>266.98065346740111</v>
      </c>
      <c r="C754" s="45">
        <v>264.07772719218519</v>
      </c>
      <c r="D754" s="45">
        <v>264.5795890228157</v>
      </c>
      <c r="E754" s="45">
        <v>268308.45021789777</v>
      </c>
      <c r="F754" s="45" t="s">
        <v>757</v>
      </c>
      <c r="G754" s="25">
        <f t="shared" si="9"/>
        <v>1.2645516420572989E-3</v>
      </c>
    </row>
    <row r="755" spans="1:7">
      <c r="A755" s="45">
        <v>263.26097166390406</v>
      </c>
      <c r="B755" s="45">
        <v>263.93996119946308</v>
      </c>
      <c r="C755" s="45">
        <v>259.97426869467654</v>
      </c>
      <c r="D755" s="45">
        <v>263.27081209195569</v>
      </c>
      <c r="E755" s="45">
        <v>300352.7879588143</v>
      </c>
      <c r="F755" s="45" t="s">
        <v>758</v>
      </c>
      <c r="G755" s="25">
        <f t="shared" si="9"/>
        <v>-3.7377588398168626E-5</v>
      </c>
    </row>
    <row r="756" spans="1:7">
      <c r="A756" s="45">
        <v>264.20565275685567</v>
      </c>
      <c r="B756" s="45">
        <v>265.17493491993628</v>
      </c>
      <c r="C756" s="45">
        <v>253.86336287464573</v>
      </c>
      <c r="D756" s="45">
        <v>254.6309162626689</v>
      </c>
      <c r="E756" s="45">
        <v>480827.66066670994</v>
      </c>
      <c r="F756" s="45" t="s">
        <v>759</v>
      </c>
      <c r="G756" s="25">
        <f t="shared" si="9"/>
        <v>3.760241150100474E-2</v>
      </c>
    </row>
    <row r="757" spans="1:7">
      <c r="A757" s="45">
        <v>255.54607607146579</v>
      </c>
      <c r="B757" s="45">
        <v>258.88198118095119</v>
      </c>
      <c r="C757" s="45">
        <v>254.00112886736784</v>
      </c>
      <c r="D757" s="45">
        <v>257.77985323917432</v>
      </c>
      <c r="E757" s="45">
        <v>253984.88631791304</v>
      </c>
      <c r="F757" s="45" t="s">
        <v>760</v>
      </c>
      <c r="G757" s="25">
        <f t="shared" si="9"/>
        <v>-8.6654451061231041E-3</v>
      </c>
    </row>
    <row r="758" spans="1:7">
      <c r="A758" s="45">
        <v>256.4907571644174</v>
      </c>
      <c r="B758" s="45">
        <v>260.1710772557081</v>
      </c>
      <c r="C758" s="45">
        <v>253.7944798782847</v>
      </c>
      <c r="D758" s="45">
        <v>260.1710772557081</v>
      </c>
      <c r="E758" s="45">
        <v>223609.17517676769</v>
      </c>
      <c r="F758" s="45" t="s">
        <v>761</v>
      </c>
      <c r="G758" s="25">
        <f t="shared" si="9"/>
        <v>-1.4145769507167394E-2</v>
      </c>
    </row>
    <row r="759" spans="1:7">
      <c r="A759" s="45">
        <v>259.62001328481966</v>
      </c>
      <c r="B759" s="45">
        <v>260.54501352166812</v>
      </c>
      <c r="C759" s="45">
        <v>256.28410817533427</v>
      </c>
      <c r="D759" s="45">
        <v>258.20299164539222</v>
      </c>
      <c r="E759" s="45">
        <v>159246.12138681146</v>
      </c>
      <c r="F759" s="45" t="s">
        <v>762</v>
      </c>
      <c r="G759" s="25">
        <f t="shared" si="9"/>
        <v>5.4880140249247145E-3</v>
      </c>
    </row>
    <row r="760" spans="1:7">
      <c r="A760" s="45">
        <v>258.50804491499122</v>
      </c>
      <c r="B760" s="45">
        <v>260.84613062004649</v>
      </c>
      <c r="C760" s="45">
        <v>256.26442731923112</v>
      </c>
      <c r="D760" s="45">
        <v>259.1181514541891</v>
      </c>
      <c r="E760" s="45">
        <v>261662.39786558133</v>
      </c>
      <c r="F760" s="45" t="s">
        <v>763</v>
      </c>
      <c r="G760" s="25">
        <f t="shared" si="9"/>
        <v>-2.3545495974478525E-3</v>
      </c>
    </row>
    <row r="761" spans="1:7">
      <c r="A761" s="45">
        <v>257.37639568905956</v>
      </c>
      <c r="B761" s="45">
        <v>265.07653063942047</v>
      </c>
      <c r="C761" s="45">
        <v>256.60884230103636</v>
      </c>
      <c r="D761" s="45">
        <v>264.36309960568093</v>
      </c>
      <c r="E761" s="45">
        <v>244041.21318833868</v>
      </c>
      <c r="F761" s="45" t="s">
        <v>764</v>
      </c>
      <c r="G761" s="25">
        <f t="shared" si="9"/>
        <v>-2.642843848873988E-2</v>
      </c>
    </row>
    <row r="762" spans="1:7">
      <c r="A762" s="45">
        <v>262.24740757459136</v>
      </c>
      <c r="B762" s="45">
        <v>262.95591839430512</v>
      </c>
      <c r="C762" s="45">
        <v>257.24847012438903</v>
      </c>
      <c r="D762" s="45">
        <v>258.71469390407441</v>
      </c>
      <c r="E762" s="45">
        <v>215054.66925906131</v>
      </c>
      <c r="F762" s="45" t="s">
        <v>765</v>
      </c>
      <c r="G762" s="25">
        <f t="shared" ref="G762:G825" si="10">A762/D762-1</f>
        <v>1.3654862880833507E-2</v>
      </c>
    </row>
    <row r="763" spans="1:7">
      <c r="A763" s="45">
        <v>257.4255978293175</v>
      </c>
      <c r="B763" s="45">
        <v>258.42932149057856</v>
      </c>
      <c r="C763" s="45">
        <v>255.20658130368633</v>
      </c>
      <c r="D763" s="45">
        <v>256.44155502415953</v>
      </c>
      <c r="E763" s="45">
        <v>158055.11628636578</v>
      </c>
      <c r="F763" s="45" t="s">
        <v>766</v>
      </c>
      <c r="G763" s="25">
        <f t="shared" si="10"/>
        <v>3.8372985418266836E-3</v>
      </c>
    </row>
    <row r="764" spans="1:7">
      <c r="A764" s="45">
        <v>258.30139592590803</v>
      </c>
      <c r="B764" s="45">
        <v>260.52533266556497</v>
      </c>
      <c r="C764" s="45">
        <v>254.90644824811315</v>
      </c>
      <c r="D764" s="45">
        <v>258.30139592590803</v>
      </c>
      <c r="E764" s="45">
        <v>317095.9620500629</v>
      </c>
      <c r="F764" s="45" t="s">
        <v>767</v>
      </c>
      <c r="G764" s="25">
        <f t="shared" si="10"/>
        <v>0</v>
      </c>
    </row>
    <row r="765" spans="1:7">
      <c r="A765" s="45">
        <v>257.98650222825751</v>
      </c>
      <c r="B765" s="45">
        <v>258.86230032484809</v>
      </c>
      <c r="C765" s="45">
        <v>250.07971828881344</v>
      </c>
      <c r="D765" s="45">
        <v>252.09208582536144</v>
      </c>
      <c r="E765" s="45">
        <v>336502.63816201809</v>
      </c>
      <c r="F765" s="45" t="s">
        <v>768</v>
      </c>
      <c r="G765" s="25">
        <f t="shared" si="10"/>
        <v>2.3381997033335988E-2</v>
      </c>
    </row>
    <row r="766" spans="1:7">
      <c r="A766" s="45">
        <v>252.00352197289718</v>
      </c>
      <c r="B766" s="45">
        <v>252.32825609859935</v>
      </c>
      <c r="C766" s="45">
        <v>247.98370711382702</v>
      </c>
      <c r="D766" s="45">
        <v>248.49048915848337</v>
      </c>
      <c r="E766" s="45">
        <v>196129.67951025566</v>
      </c>
      <c r="F766" s="45" t="s">
        <v>769</v>
      </c>
      <c r="G766" s="25">
        <f t="shared" si="10"/>
        <v>1.4137494059876188E-2</v>
      </c>
    </row>
    <row r="767" spans="1:7">
      <c r="A767" s="45">
        <v>247.82134005097598</v>
      </c>
      <c r="B767" s="45">
        <v>249.55325538805394</v>
      </c>
      <c r="C767" s="45">
        <v>246.09926514194956</v>
      </c>
      <c r="D767" s="45">
        <v>248.39208487796756</v>
      </c>
      <c r="E767" s="45">
        <v>223687.42380538059</v>
      </c>
      <c r="F767" s="45" t="s">
        <v>770</v>
      </c>
      <c r="G767" s="25">
        <f t="shared" si="10"/>
        <v>-2.2977577054115184E-3</v>
      </c>
    </row>
    <row r="768" spans="1:7">
      <c r="A768" s="45">
        <v>249.26788297455815</v>
      </c>
      <c r="B768" s="45">
        <v>249.59261710026024</v>
      </c>
      <c r="C768" s="45">
        <v>245.16442447704949</v>
      </c>
      <c r="D768" s="45">
        <v>246.01070128948535</v>
      </c>
      <c r="E768" s="45">
        <v>215307.70703210821</v>
      </c>
      <c r="F768" s="45" t="s">
        <v>771</v>
      </c>
      <c r="G768" s="25">
        <f t="shared" si="10"/>
        <v>1.3240000000000141E-2</v>
      </c>
    </row>
    <row r="769" spans="1:7">
      <c r="A769" s="45">
        <v>244.97745634406951</v>
      </c>
      <c r="B769" s="45">
        <v>246.54208440427064</v>
      </c>
      <c r="C769" s="45">
        <v>243.56043470464206</v>
      </c>
      <c r="D769" s="45">
        <v>244.94793505991476</v>
      </c>
      <c r="E769" s="45">
        <v>204765.48270444298</v>
      </c>
      <c r="F769" s="45" t="s">
        <v>772</v>
      </c>
      <c r="G769" s="25">
        <f t="shared" si="10"/>
        <v>1.2052064920453631E-4</v>
      </c>
    </row>
    <row r="770" spans="1:7">
      <c r="A770" s="45">
        <v>242.39926419455571</v>
      </c>
      <c r="B770" s="45">
        <v>245.19640586821717</v>
      </c>
      <c r="C770" s="45">
        <v>242.02532792859569</v>
      </c>
      <c r="D770" s="45">
        <v>243.66867941320945</v>
      </c>
      <c r="E770" s="45">
        <v>295002.4109504128</v>
      </c>
      <c r="F770" s="45" t="s">
        <v>773</v>
      </c>
      <c r="G770" s="25">
        <f t="shared" si="10"/>
        <v>-5.2095953477101498E-3</v>
      </c>
    </row>
    <row r="771" spans="1:7">
      <c r="A771" s="45">
        <v>242.42878547871047</v>
      </c>
      <c r="B771" s="45">
        <v>244.8664563156477</v>
      </c>
      <c r="C771" s="45">
        <v>241.66123209068726</v>
      </c>
      <c r="D771" s="45">
        <v>242.21229606157567</v>
      </c>
      <c r="E771" s="45">
        <v>248199.56888033851</v>
      </c>
      <c r="F771" s="45" t="s">
        <v>774</v>
      </c>
      <c r="G771" s="25">
        <f t="shared" si="10"/>
        <v>8.9380027626573266E-4</v>
      </c>
    </row>
    <row r="772" spans="1:7">
      <c r="A772" s="45">
        <v>243.07825373011468</v>
      </c>
      <c r="B772" s="45">
        <v>249.63197881246657</v>
      </c>
      <c r="C772" s="45">
        <v>242.86176431297994</v>
      </c>
      <c r="D772" s="45">
        <v>247.41788250086123</v>
      </c>
      <c r="E772" s="45">
        <v>344253.31725851918</v>
      </c>
      <c r="F772" s="45" t="s">
        <v>775</v>
      </c>
      <c r="G772" s="25">
        <f t="shared" si="10"/>
        <v>-1.7539673070039452E-2</v>
      </c>
    </row>
    <row r="773" spans="1:7">
      <c r="A773" s="45">
        <v>244.95777548796636</v>
      </c>
      <c r="B773" s="45">
        <v>245.1742649051011</v>
      </c>
      <c r="C773" s="45">
        <v>235.46176241819222</v>
      </c>
      <c r="D773" s="45">
        <v>237.16415647111546</v>
      </c>
      <c r="E773" s="45">
        <v>292759.62233549496</v>
      </c>
      <c r="F773" s="45" t="s">
        <v>776</v>
      </c>
      <c r="G773" s="25">
        <f t="shared" si="10"/>
        <v>3.2861706983112748E-2</v>
      </c>
    </row>
    <row r="774" spans="1:7">
      <c r="A774" s="45">
        <v>237.48889059681758</v>
      </c>
      <c r="B774" s="45">
        <v>241.85804065171885</v>
      </c>
      <c r="C774" s="45">
        <v>236.78037977710386</v>
      </c>
      <c r="D774" s="45">
        <v>237.85298643472603</v>
      </c>
      <c r="E774" s="45">
        <v>348576.29993539292</v>
      </c>
      <c r="F774" s="45" t="s">
        <v>777</v>
      </c>
      <c r="G774" s="25">
        <f t="shared" si="10"/>
        <v>-1.5307600016549738E-3</v>
      </c>
    </row>
    <row r="775" spans="1:7">
      <c r="A775" s="45">
        <v>236.9575074820323</v>
      </c>
      <c r="B775" s="45">
        <v>243.09793458621783</v>
      </c>
      <c r="C775" s="45">
        <v>236.80006063320701</v>
      </c>
      <c r="D775" s="45">
        <v>241.04128512343775</v>
      </c>
      <c r="E775" s="45">
        <v>502702.72533581749</v>
      </c>
      <c r="F775" s="45" t="s">
        <v>778</v>
      </c>
      <c r="G775" s="25">
        <f t="shared" si="10"/>
        <v>-1.6942233108797722E-2</v>
      </c>
    </row>
    <row r="776" spans="1:7">
      <c r="A776" s="45">
        <v>240.96256169902512</v>
      </c>
      <c r="B776" s="45">
        <v>242.03516835664726</v>
      </c>
      <c r="C776" s="45">
        <v>233.54287894813424</v>
      </c>
      <c r="D776" s="45">
        <v>234.87133673509746</v>
      </c>
      <c r="E776" s="45">
        <v>565751.81189465057</v>
      </c>
      <c r="F776" s="45" t="s">
        <v>779</v>
      </c>
      <c r="G776" s="25">
        <f t="shared" si="10"/>
        <v>2.5934305346070108E-2</v>
      </c>
    </row>
    <row r="777" spans="1:7">
      <c r="A777" s="45">
        <v>233.53303852008264</v>
      </c>
      <c r="B777" s="45">
        <v>233.96601735435215</v>
      </c>
      <c r="C777" s="45">
        <v>230.35458025942251</v>
      </c>
      <c r="D777" s="45">
        <v>231.11229321939413</v>
      </c>
      <c r="E777" s="45">
        <v>298385.39386797568</v>
      </c>
      <c r="F777" s="45" t="s">
        <v>780</v>
      </c>
      <c r="G777" s="25">
        <f t="shared" si="10"/>
        <v>1.0474325129864459E-2</v>
      </c>
    </row>
    <row r="778" spans="1:7">
      <c r="A778" s="45">
        <v>232.07665516844889</v>
      </c>
      <c r="B778" s="45">
        <v>233.14926182607107</v>
      </c>
      <c r="C778" s="45">
        <v>226.01987170270178</v>
      </c>
      <c r="D778" s="45">
        <v>228.4455372174161</v>
      </c>
      <c r="E778" s="45">
        <v>640743.46836853307</v>
      </c>
      <c r="F778" s="45" t="s">
        <v>781</v>
      </c>
      <c r="G778" s="25">
        <f t="shared" si="10"/>
        <v>1.5894895541675558E-2</v>
      </c>
    </row>
    <row r="779" spans="1:7">
      <c r="A779" s="45">
        <v>228.51442021377716</v>
      </c>
      <c r="B779" s="45">
        <v>231.37798477678675</v>
      </c>
      <c r="C779" s="45">
        <v>218.57558788168194</v>
      </c>
      <c r="D779" s="45">
        <v>219.92372652474833</v>
      </c>
      <c r="E779" s="45">
        <v>603696.29947617103</v>
      </c>
      <c r="F779" s="45" t="s">
        <v>782</v>
      </c>
      <c r="G779" s="25">
        <f t="shared" si="10"/>
        <v>3.9062150431786735E-2</v>
      </c>
    </row>
    <row r="780" spans="1:7">
      <c r="A780" s="45">
        <v>221.89181213506421</v>
      </c>
      <c r="B780" s="45">
        <v>222.94473793658321</v>
      </c>
      <c r="C780" s="45">
        <v>218.54606659752721</v>
      </c>
      <c r="D780" s="45">
        <v>219.52026897463358</v>
      </c>
      <c r="E780" s="45">
        <v>472038.40886316483</v>
      </c>
      <c r="F780" s="45" t="s">
        <v>783</v>
      </c>
      <c r="G780" s="25">
        <f t="shared" si="10"/>
        <v>1.0803299264837696E-2</v>
      </c>
    </row>
    <row r="781" spans="1:7">
      <c r="A781" s="45">
        <v>223.43675933916217</v>
      </c>
      <c r="B781" s="45">
        <v>227.40245184394868</v>
      </c>
      <c r="C781" s="45">
        <v>220.44526921148204</v>
      </c>
      <c r="D781" s="45">
        <v>223.05298264515056</v>
      </c>
      <c r="E781" s="45">
        <v>698898.45888321393</v>
      </c>
      <c r="F781" s="45" t="s">
        <v>784</v>
      </c>
      <c r="G781" s="25">
        <f t="shared" si="10"/>
        <v>1.7205629328980176E-3</v>
      </c>
    </row>
    <row r="782" spans="1:7">
      <c r="A782" s="45">
        <v>219.47106683437568</v>
      </c>
      <c r="B782" s="45">
        <v>223.24979120618218</v>
      </c>
      <c r="C782" s="45">
        <v>217.56202379236927</v>
      </c>
      <c r="D782" s="45">
        <v>217.56202379236927</v>
      </c>
      <c r="E782" s="45">
        <v>367213.70056864724</v>
      </c>
      <c r="F782" s="45" t="s">
        <v>785</v>
      </c>
      <c r="G782" s="25">
        <f t="shared" si="10"/>
        <v>8.7747071328418969E-3</v>
      </c>
    </row>
    <row r="783" spans="1:7">
      <c r="A783" s="45">
        <v>219.32346041360196</v>
      </c>
      <c r="B783" s="45">
        <v>225.65085565076754</v>
      </c>
      <c r="C783" s="45">
        <v>217.94580048638085</v>
      </c>
      <c r="D783" s="45">
        <v>225.03090868351805</v>
      </c>
      <c r="E783" s="45">
        <v>400970.36219544348</v>
      </c>
      <c r="F783" s="45" t="s">
        <v>786</v>
      </c>
      <c r="G783" s="25">
        <f t="shared" si="10"/>
        <v>-2.5362952597516308E-2</v>
      </c>
    </row>
    <row r="784" spans="1:7">
      <c r="A784" s="45">
        <v>225.19819596039488</v>
      </c>
      <c r="B784" s="45">
        <v>228.17984566002346</v>
      </c>
      <c r="C784" s="45">
        <v>224.11574887472116</v>
      </c>
      <c r="D784" s="45">
        <v>225.15883424818858</v>
      </c>
      <c r="E784" s="45">
        <v>471741.67380400945</v>
      </c>
      <c r="F784" s="45" t="s">
        <v>787</v>
      </c>
      <c r="G784" s="25">
        <f t="shared" si="10"/>
        <v>1.7481753419867907E-4</v>
      </c>
    </row>
    <row r="785" spans="1:7">
      <c r="A785" s="45">
        <v>223.94846159784433</v>
      </c>
      <c r="B785" s="45">
        <v>226.70378145228653</v>
      </c>
      <c r="C785" s="45">
        <v>223.33835505864639</v>
      </c>
      <c r="D785" s="45">
        <v>225.65085565076754</v>
      </c>
      <c r="E785" s="45">
        <v>254951.30769208015</v>
      </c>
      <c r="F785" s="45" t="s">
        <v>788</v>
      </c>
      <c r="G785" s="25">
        <f t="shared" si="10"/>
        <v>-7.5443722471761898E-3</v>
      </c>
    </row>
    <row r="786" spans="1:7">
      <c r="A786" s="45">
        <v>226.70378145228653</v>
      </c>
      <c r="B786" s="45">
        <v>230.62027181681515</v>
      </c>
      <c r="C786" s="45">
        <v>224.49952556873274</v>
      </c>
      <c r="D786" s="45">
        <v>229.81335671658562</v>
      </c>
      <c r="E786" s="45">
        <v>425727.41531580023</v>
      </c>
      <c r="F786" s="45" t="s">
        <v>789</v>
      </c>
      <c r="G786" s="25">
        <f t="shared" si="10"/>
        <v>-1.3530872655647785E-2</v>
      </c>
    </row>
    <row r="787" spans="1:7">
      <c r="A787" s="45">
        <v>229.93144185320457</v>
      </c>
      <c r="B787" s="45">
        <v>236.17027323790595</v>
      </c>
      <c r="C787" s="45">
        <v>229.75431414827614</v>
      </c>
      <c r="D787" s="45">
        <v>235.38303899377956</v>
      </c>
      <c r="E787" s="45">
        <v>244726.14274269057</v>
      </c>
      <c r="F787" s="45" t="s">
        <v>790</v>
      </c>
      <c r="G787" s="25">
        <f t="shared" si="10"/>
        <v>-2.3160535117056846E-2</v>
      </c>
    </row>
    <row r="788" spans="1:7">
      <c r="A788" s="45">
        <v>235.37319856572799</v>
      </c>
      <c r="B788" s="45">
        <v>235.82585825610067</v>
      </c>
      <c r="C788" s="45">
        <v>231.62399547807624</v>
      </c>
      <c r="D788" s="45">
        <v>234.19234719953849</v>
      </c>
      <c r="E788" s="45">
        <v>353065.94202905253</v>
      </c>
      <c r="F788" s="45" t="s">
        <v>791</v>
      </c>
      <c r="G788" s="25">
        <f t="shared" si="10"/>
        <v>5.042228665069759E-3</v>
      </c>
    </row>
    <row r="789" spans="1:7">
      <c r="A789" s="45">
        <v>231.90936789157203</v>
      </c>
      <c r="B789" s="45">
        <v>231.94872960377839</v>
      </c>
      <c r="C789" s="45">
        <v>227.08755814629814</v>
      </c>
      <c r="D789" s="45">
        <v>227.83543067821819</v>
      </c>
      <c r="E789" s="45">
        <v>256674.80995347598</v>
      </c>
      <c r="F789" s="45" t="s">
        <v>792</v>
      </c>
      <c r="G789" s="25">
        <f t="shared" si="10"/>
        <v>1.7881052131473174E-2</v>
      </c>
    </row>
    <row r="790" spans="1:7">
      <c r="A790" s="45">
        <v>229.59686729945091</v>
      </c>
      <c r="B790" s="45">
        <v>233.09496217057153</v>
      </c>
      <c r="C790" s="45">
        <v>227.16981832988125</v>
      </c>
      <c r="D790" s="45">
        <v>231.74878521174139</v>
      </c>
      <c r="E790" s="45">
        <v>321285.86599481193</v>
      </c>
      <c r="F790" s="45" t="s">
        <v>793</v>
      </c>
      <c r="G790" s="25">
        <f t="shared" si="10"/>
        <v>-9.2855628577485083E-3</v>
      </c>
    </row>
    <row r="791" spans="1:7">
      <c r="A791" s="45">
        <v>234.08739919861418</v>
      </c>
      <c r="B791" s="45">
        <v>236.39643659682946</v>
      </c>
      <c r="C791" s="45">
        <v>233.98913810672877</v>
      </c>
      <c r="D791" s="45">
        <v>234.77522684181207</v>
      </c>
      <c r="E791" s="45">
        <v>584952.79155893426</v>
      </c>
      <c r="F791" s="45" t="s">
        <v>794</v>
      </c>
      <c r="G791" s="25">
        <f t="shared" si="10"/>
        <v>-2.9297283723267453E-3</v>
      </c>
    </row>
    <row r="792" spans="1:7">
      <c r="A792" s="45">
        <v>234.77522684181207</v>
      </c>
      <c r="B792" s="45">
        <v>236.02314270875675</v>
      </c>
      <c r="C792" s="45">
        <v>231.2673058615029</v>
      </c>
      <c r="D792" s="45">
        <v>232.89843998680072</v>
      </c>
      <c r="E792" s="45">
        <v>409176.19811193598</v>
      </c>
      <c r="F792" s="45" t="s">
        <v>795</v>
      </c>
      <c r="G792" s="25">
        <f t="shared" si="10"/>
        <v>8.0583916969032554E-3</v>
      </c>
    </row>
    <row r="793" spans="1:7">
      <c r="A793" s="45">
        <v>231.09043589610914</v>
      </c>
      <c r="B793" s="45">
        <v>233.30622351812517</v>
      </c>
      <c r="C793" s="45">
        <v>226.55077345100318</v>
      </c>
      <c r="D793" s="45">
        <v>228.51599528871139</v>
      </c>
      <c r="E793" s="45">
        <v>678379.39433580637</v>
      </c>
      <c r="F793" s="45" t="s">
        <v>796</v>
      </c>
      <c r="G793" s="25">
        <f t="shared" si="10"/>
        <v>1.1265909872721025E-2</v>
      </c>
    </row>
    <row r="794" spans="1:7">
      <c r="A794" s="45">
        <v>231.67017633823309</v>
      </c>
      <c r="B794" s="45">
        <v>235.82662052498594</v>
      </c>
      <c r="C794" s="45">
        <v>225.64677140565738</v>
      </c>
      <c r="D794" s="45">
        <v>225.80398915267406</v>
      </c>
      <c r="E794" s="45">
        <v>688484.10598665883</v>
      </c>
      <c r="F794" s="45" t="s">
        <v>797</v>
      </c>
      <c r="G794" s="25">
        <f t="shared" si="10"/>
        <v>2.5979112271540483E-2</v>
      </c>
    </row>
    <row r="795" spans="1:7">
      <c r="A795" s="45">
        <v>236.56357871412652</v>
      </c>
      <c r="B795" s="45">
        <v>240.41305524982937</v>
      </c>
      <c r="C795" s="45">
        <v>235.10931455422246</v>
      </c>
      <c r="D795" s="45">
        <v>238.32245225887539</v>
      </c>
      <c r="E795" s="45">
        <v>410253.93903632445</v>
      </c>
      <c r="F795" s="45" t="s">
        <v>798</v>
      </c>
      <c r="G795" s="25">
        <f t="shared" si="10"/>
        <v>-7.3802259421127392E-3</v>
      </c>
    </row>
    <row r="796" spans="1:7">
      <c r="A796" s="45">
        <v>237.13349304706193</v>
      </c>
      <c r="B796" s="45">
        <v>240.91654508465024</v>
      </c>
      <c r="C796" s="45">
        <v>235.62518528662085</v>
      </c>
      <c r="D796" s="45">
        <v>240.91654508465024</v>
      </c>
      <c r="E796" s="45">
        <v>255398.13896293627</v>
      </c>
      <c r="F796" s="45" t="s">
        <v>799</v>
      </c>
      <c r="G796" s="25">
        <f t="shared" si="10"/>
        <v>-1.5702749000734095E-2</v>
      </c>
    </row>
    <row r="797" spans="1:7">
      <c r="A797" s="45">
        <v>243.16672408882613</v>
      </c>
      <c r="B797" s="45">
        <v>243.92333449634381</v>
      </c>
      <c r="C797" s="45">
        <v>240.63158791818253</v>
      </c>
      <c r="D797" s="45">
        <v>241.40785054407729</v>
      </c>
      <c r="E797" s="45">
        <v>234179.16042327721</v>
      </c>
      <c r="F797" s="45" t="s">
        <v>800</v>
      </c>
      <c r="G797" s="25">
        <f t="shared" si="10"/>
        <v>7.2859003581895454E-3</v>
      </c>
    </row>
    <row r="798" spans="1:7">
      <c r="A798" s="45">
        <v>242.06619985970954</v>
      </c>
      <c r="B798" s="45">
        <v>242.80315804885012</v>
      </c>
      <c r="C798" s="45">
        <v>238.77445328154826</v>
      </c>
      <c r="D798" s="45">
        <v>239.22645430422116</v>
      </c>
      <c r="E798" s="45">
        <v>211728.76874054919</v>
      </c>
      <c r="F798" s="45" t="s">
        <v>801</v>
      </c>
      <c r="G798" s="25">
        <f t="shared" si="10"/>
        <v>1.1870533147128937E-2</v>
      </c>
    </row>
    <row r="799" spans="1:7">
      <c r="A799" s="45">
        <v>242.87194081316989</v>
      </c>
      <c r="B799" s="45">
        <v>243.31411572665425</v>
      </c>
      <c r="C799" s="45">
        <v>238.81375771830244</v>
      </c>
      <c r="D799" s="45">
        <v>239.50158536150033</v>
      </c>
      <c r="E799" s="45">
        <v>249614.56797776205</v>
      </c>
      <c r="F799" s="45" t="s">
        <v>802</v>
      </c>
      <c r="G799" s="25">
        <f t="shared" si="10"/>
        <v>1.4072372199884997E-2</v>
      </c>
    </row>
    <row r="800" spans="1:7">
      <c r="A800" s="45">
        <v>240.99515395815854</v>
      </c>
      <c r="B800" s="45">
        <v>243.89385616877817</v>
      </c>
      <c r="C800" s="45">
        <v>237.61497239730042</v>
      </c>
      <c r="D800" s="45">
        <v>241.42750276245437</v>
      </c>
      <c r="E800" s="45">
        <v>196434.82104299541</v>
      </c>
      <c r="F800" s="45" t="s">
        <v>803</v>
      </c>
      <c r="G800" s="25">
        <f t="shared" si="10"/>
        <v>-1.7908017908018214E-3</v>
      </c>
    </row>
    <row r="801" spans="1:7">
      <c r="A801" s="45">
        <v>241.62402494622521</v>
      </c>
      <c r="B801" s="45">
        <v>242.95054968667824</v>
      </c>
      <c r="C801" s="45">
        <v>240.27784798739506</v>
      </c>
      <c r="D801" s="45">
        <v>242.14480873321787</v>
      </c>
      <c r="E801" s="45">
        <v>157830.52785619025</v>
      </c>
      <c r="F801" s="45" t="s">
        <v>804</v>
      </c>
      <c r="G801" s="25">
        <f t="shared" si="10"/>
        <v>-2.1507121697844633E-3</v>
      </c>
    </row>
    <row r="802" spans="1:7">
      <c r="A802" s="45">
        <v>241.21132836030645</v>
      </c>
      <c r="B802" s="45">
        <v>244.49816188387345</v>
      </c>
      <c r="C802" s="45">
        <v>239.0692365572045</v>
      </c>
      <c r="D802" s="45">
        <v>243.62855122068757</v>
      </c>
      <c r="E802" s="45">
        <v>291890.71126390004</v>
      </c>
      <c r="F802" s="45" t="s">
        <v>805</v>
      </c>
      <c r="G802" s="25">
        <f t="shared" si="10"/>
        <v>-9.9217552633702466E-3</v>
      </c>
    </row>
    <row r="803" spans="1:7">
      <c r="A803" s="45">
        <v>244.14933500768024</v>
      </c>
      <c r="B803" s="45">
        <v>250.89987202020797</v>
      </c>
      <c r="C803" s="45">
        <v>244.09037835254898</v>
      </c>
      <c r="D803" s="45">
        <v>250.36926212402676</v>
      </c>
      <c r="E803" s="45">
        <v>174401.6850533734</v>
      </c>
      <c r="F803" s="45" t="s">
        <v>806</v>
      </c>
      <c r="G803" s="25">
        <f t="shared" si="10"/>
        <v>-2.4843014128728469E-2</v>
      </c>
    </row>
    <row r="804" spans="1:7">
      <c r="A804" s="45">
        <v>249.53404284300075</v>
      </c>
      <c r="B804" s="45">
        <v>252.933876622236</v>
      </c>
      <c r="C804" s="45">
        <v>247.44108158584149</v>
      </c>
      <c r="D804" s="45">
        <v>251.90213515743918</v>
      </c>
      <c r="E804" s="45">
        <v>183148.78915641271</v>
      </c>
      <c r="F804" s="45" t="s">
        <v>807</v>
      </c>
      <c r="G804" s="25">
        <f t="shared" si="10"/>
        <v>-9.4008425651428418E-3</v>
      </c>
    </row>
    <row r="805" spans="1:7">
      <c r="A805" s="45">
        <v>253.02231160493284</v>
      </c>
      <c r="B805" s="45">
        <v>253.15987713357239</v>
      </c>
      <c r="C805" s="45">
        <v>245.52499029407599</v>
      </c>
      <c r="D805" s="45">
        <v>247.20525496531653</v>
      </c>
      <c r="E805" s="45">
        <v>188689.13060341051</v>
      </c>
      <c r="F805" s="45" t="s">
        <v>808</v>
      </c>
      <c r="G805" s="25">
        <f t="shared" si="10"/>
        <v>2.3531282295889966E-2</v>
      </c>
    </row>
    <row r="806" spans="1:7">
      <c r="A806" s="45">
        <v>249.00343294681954</v>
      </c>
      <c r="B806" s="45">
        <v>251.83335239311938</v>
      </c>
      <c r="C806" s="45">
        <v>246.93012390803739</v>
      </c>
      <c r="D806" s="45">
        <v>251.83335239311938</v>
      </c>
      <c r="E806" s="45">
        <v>247026.56498369237</v>
      </c>
      <c r="F806" s="45" t="s">
        <v>809</v>
      </c>
      <c r="G806" s="25">
        <f t="shared" si="10"/>
        <v>-1.1237270279761291E-2</v>
      </c>
    </row>
    <row r="807" spans="1:7">
      <c r="A807" s="45">
        <v>253.97544419622136</v>
      </c>
      <c r="B807" s="45">
        <v>259.65493530719806</v>
      </c>
      <c r="C807" s="45">
        <v>253.95579197784423</v>
      </c>
      <c r="D807" s="45">
        <v>254.64361962104209</v>
      </c>
      <c r="E807" s="45">
        <v>485366.06997628015</v>
      </c>
      <c r="F807" s="45" t="s">
        <v>810</v>
      </c>
      <c r="G807" s="25">
        <f t="shared" si="10"/>
        <v>-2.6239629558169053E-3</v>
      </c>
    </row>
    <row r="808" spans="1:7">
      <c r="A808" s="45">
        <v>257.66023514192426</v>
      </c>
      <c r="B808" s="45">
        <v>260.62772011686366</v>
      </c>
      <c r="C808" s="45">
        <v>245.73625164162965</v>
      </c>
      <c r="D808" s="45">
        <v>246.36020957510198</v>
      </c>
      <c r="E808" s="45">
        <v>483986.07309859298</v>
      </c>
      <c r="F808" s="45" t="s">
        <v>811</v>
      </c>
      <c r="G808" s="25">
        <f t="shared" si="10"/>
        <v>4.5867900446713739E-2</v>
      </c>
    </row>
    <row r="809" spans="1:7">
      <c r="A809" s="45">
        <v>245.82959967892077</v>
      </c>
      <c r="B809" s="45">
        <v>246.39951401185616</v>
      </c>
      <c r="C809" s="45">
        <v>238.23401727617849</v>
      </c>
      <c r="D809" s="45">
        <v>239.26575874097531</v>
      </c>
      <c r="E809" s="45">
        <v>227637.40531282499</v>
      </c>
      <c r="F809" s="45" t="s">
        <v>812</v>
      </c>
      <c r="G809" s="25">
        <f t="shared" si="10"/>
        <v>2.7433264887063658E-2</v>
      </c>
    </row>
    <row r="810" spans="1:7">
      <c r="A810" s="45">
        <v>239.18714986746699</v>
      </c>
      <c r="B810" s="45">
        <v>239.35419372367221</v>
      </c>
      <c r="C810" s="45">
        <v>236.36705653035571</v>
      </c>
      <c r="D810" s="45">
        <v>236.83870977140569</v>
      </c>
      <c r="E810" s="45">
        <v>183434.76196071217</v>
      </c>
      <c r="F810" s="45" t="s">
        <v>813</v>
      </c>
      <c r="G810" s="25">
        <f t="shared" si="10"/>
        <v>9.9157781189063154E-3</v>
      </c>
    </row>
    <row r="811" spans="1:7">
      <c r="A811" s="45">
        <v>236.84853588059423</v>
      </c>
      <c r="B811" s="45">
        <v>238.99062768369618</v>
      </c>
      <c r="C811" s="45">
        <v>235.15844510016515</v>
      </c>
      <c r="D811" s="45">
        <v>237.70340737999729</v>
      </c>
      <c r="E811" s="45">
        <v>188948.64329058619</v>
      </c>
      <c r="F811" s="45" t="s">
        <v>814</v>
      </c>
      <c r="G811" s="25">
        <f t="shared" si="10"/>
        <v>-3.5963788185687795E-3</v>
      </c>
    </row>
    <row r="812" spans="1:7">
      <c r="A812" s="45">
        <v>239.61949867176281</v>
      </c>
      <c r="B812" s="45">
        <v>240.85758842951898</v>
      </c>
      <c r="C812" s="45">
        <v>235.23705397367348</v>
      </c>
      <c r="D812" s="45">
        <v>235.93470772605991</v>
      </c>
      <c r="E812" s="45">
        <v>201151.84576871817</v>
      </c>
      <c r="F812" s="45" t="s">
        <v>815</v>
      </c>
      <c r="G812" s="25">
        <f t="shared" si="10"/>
        <v>1.5617841822497924E-2</v>
      </c>
    </row>
    <row r="813" spans="1:7">
      <c r="A813" s="45">
        <v>236.81905755302859</v>
      </c>
      <c r="B813" s="45">
        <v>237.64445072486603</v>
      </c>
      <c r="C813" s="45">
        <v>233.74348537701525</v>
      </c>
      <c r="D813" s="45">
        <v>237.39879799515251</v>
      </c>
      <c r="E813" s="45">
        <v>199652.77836397392</v>
      </c>
      <c r="F813" s="45" t="s">
        <v>816</v>
      </c>
      <c r="G813" s="25">
        <f t="shared" si="10"/>
        <v>-2.4420529801324475E-3</v>
      </c>
    </row>
    <row r="814" spans="1:7">
      <c r="A814" s="45">
        <v>236.18036045577344</v>
      </c>
      <c r="B814" s="45">
        <v>236.19018656496198</v>
      </c>
      <c r="C814" s="45">
        <v>227.61199324336559</v>
      </c>
      <c r="D814" s="45">
        <v>229.01712685732699</v>
      </c>
      <c r="E814" s="45">
        <v>176335.30899703538</v>
      </c>
      <c r="F814" s="45" t="s">
        <v>817</v>
      </c>
      <c r="G814" s="25">
        <f t="shared" si="10"/>
        <v>3.1278156776934019E-2</v>
      </c>
    </row>
    <row r="815" spans="1:7">
      <c r="A815" s="45">
        <v>231.52278470040497</v>
      </c>
      <c r="B815" s="45">
        <v>235.44340226663286</v>
      </c>
      <c r="C815" s="45">
        <v>231.19852309718308</v>
      </c>
      <c r="D815" s="45">
        <v>233.26691908137101</v>
      </c>
      <c r="E815" s="45">
        <v>188443.86567160915</v>
      </c>
      <c r="F815" s="45" t="s">
        <v>818</v>
      </c>
      <c r="G815" s="25">
        <f t="shared" si="10"/>
        <v>-7.4769898270814483E-3</v>
      </c>
    </row>
    <row r="816" spans="1:7">
      <c r="A816" s="45">
        <v>234.1365297445569</v>
      </c>
      <c r="B816" s="45">
        <v>235.18792342773077</v>
      </c>
      <c r="C816" s="45">
        <v>231.98461183226638</v>
      </c>
      <c r="D816" s="45">
        <v>232.07304681496325</v>
      </c>
      <c r="E816" s="45">
        <v>281517.32765455975</v>
      </c>
      <c r="F816" s="45" t="s">
        <v>819</v>
      </c>
      <c r="G816" s="25">
        <f t="shared" si="10"/>
        <v>8.8915234143451816E-3</v>
      </c>
    </row>
    <row r="817" spans="1:7">
      <c r="A817" s="45">
        <v>231.59156746472473</v>
      </c>
      <c r="B817" s="45">
        <v>232.35800398143095</v>
      </c>
      <c r="C817" s="45">
        <v>228.92377882003584</v>
      </c>
      <c r="D817" s="45">
        <v>231.53261080959348</v>
      </c>
      <c r="E817" s="45">
        <v>360400.02528465638</v>
      </c>
      <c r="F817" s="45" t="s">
        <v>820</v>
      </c>
      <c r="G817" s="25">
        <f t="shared" si="10"/>
        <v>2.546365063871292E-4</v>
      </c>
    </row>
    <row r="818" spans="1:7">
      <c r="A818" s="45">
        <v>231.11008811448622</v>
      </c>
      <c r="B818" s="45">
        <v>233.59609373918713</v>
      </c>
      <c r="C818" s="45">
        <v>230.70721763775603</v>
      </c>
      <c r="D818" s="45">
        <v>231.414697499331</v>
      </c>
      <c r="E818" s="45">
        <v>372493.31650704338</v>
      </c>
      <c r="F818" s="45" t="s">
        <v>821</v>
      </c>
      <c r="G818" s="25">
        <f t="shared" si="10"/>
        <v>-1.3162923018130712E-3</v>
      </c>
    </row>
    <row r="819" spans="1:7">
      <c r="A819" s="45">
        <v>232.32852565386531</v>
      </c>
      <c r="B819" s="45">
        <v>239.02993212045033</v>
      </c>
      <c r="C819" s="45">
        <v>231.10026200529768</v>
      </c>
      <c r="D819" s="45">
        <v>237.2022758113817</v>
      </c>
      <c r="E819" s="45">
        <v>246108.60245885915</v>
      </c>
      <c r="F819" s="45" t="s">
        <v>822</v>
      </c>
      <c r="G819" s="25">
        <f t="shared" si="10"/>
        <v>-2.0546810273405214E-2</v>
      </c>
    </row>
    <row r="820" spans="1:7">
      <c r="A820" s="45">
        <v>236.90749253572545</v>
      </c>
      <c r="B820" s="45">
        <v>238.37649585941236</v>
      </c>
      <c r="C820" s="45">
        <v>233.88105090565483</v>
      </c>
      <c r="D820" s="45">
        <v>236.27862154765884</v>
      </c>
      <c r="E820" s="45">
        <v>344151.47797702102</v>
      </c>
      <c r="F820" s="45" t="s">
        <v>823</v>
      </c>
      <c r="G820" s="25">
        <f t="shared" si="10"/>
        <v>2.6615653331114597E-3</v>
      </c>
    </row>
    <row r="821" spans="1:7">
      <c r="A821" s="45">
        <v>236.78957922546297</v>
      </c>
      <c r="B821" s="45">
        <v>238.75480106317119</v>
      </c>
      <c r="C821" s="45">
        <v>232.55452616520176</v>
      </c>
      <c r="D821" s="45">
        <v>232.55452616520176</v>
      </c>
      <c r="E821" s="45">
        <v>267494.48327576061</v>
      </c>
      <c r="F821" s="45" t="s">
        <v>824</v>
      </c>
      <c r="G821" s="25">
        <f t="shared" si="10"/>
        <v>1.8211011112519548E-2</v>
      </c>
    </row>
    <row r="822" spans="1:7">
      <c r="A822" s="45">
        <v>234.39200858345893</v>
      </c>
      <c r="B822" s="45">
        <v>236.96644919085671</v>
      </c>
      <c r="C822" s="45">
        <v>228.58477805303116</v>
      </c>
      <c r="D822" s="45">
        <v>235.28618451961617</v>
      </c>
      <c r="E822" s="45">
        <v>554721.09004818555</v>
      </c>
      <c r="F822" s="45" t="s">
        <v>825</v>
      </c>
      <c r="G822" s="25">
        <f t="shared" si="10"/>
        <v>-3.8003758613489591E-3</v>
      </c>
    </row>
    <row r="823" spans="1:7">
      <c r="A823" s="45">
        <v>235.60062001364952</v>
      </c>
      <c r="B823" s="45">
        <v>255.9111877063639</v>
      </c>
      <c r="C823" s="45">
        <v>233.66487650350692</v>
      </c>
      <c r="D823" s="45">
        <v>255.9111877063639</v>
      </c>
      <c r="E823" s="45">
        <v>1028665.5486982981</v>
      </c>
      <c r="F823" s="45" t="s">
        <v>826</v>
      </c>
      <c r="G823" s="25">
        <f t="shared" si="10"/>
        <v>-7.9365688834280301E-2</v>
      </c>
    </row>
    <row r="824" spans="1:7">
      <c r="A824" s="45">
        <v>254.967881224264</v>
      </c>
      <c r="B824" s="45">
        <v>256.54005869443051</v>
      </c>
      <c r="C824" s="45">
        <v>252.25587508822667</v>
      </c>
      <c r="D824" s="45">
        <v>252.76683276603077</v>
      </c>
      <c r="E824" s="45">
        <v>247289.13076130539</v>
      </c>
      <c r="F824" s="45" t="s">
        <v>827</v>
      </c>
      <c r="G824" s="25">
        <f t="shared" si="10"/>
        <v>8.7078214896596506E-3</v>
      </c>
    </row>
    <row r="825" spans="1:7">
      <c r="A825" s="45">
        <v>252.67839778333388</v>
      </c>
      <c r="B825" s="45">
        <v>256.38284094741391</v>
      </c>
      <c r="C825" s="45">
        <v>251.74491741042249</v>
      </c>
      <c r="D825" s="45">
        <v>254.46674965564841</v>
      </c>
      <c r="E825" s="45">
        <v>301102.90281023068</v>
      </c>
      <c r="F825" s="45" t="s">
        <v>828</v>
      </c>
      <c r="G825" s="25">
        <f t="shared" si="10"/>
        <v>-7.0278410626716248E-3</v>
      </c>
    </row>
    <row r="826" spans="1:7">
      <c r="A826" s="45">
        <v>253.4448343000401</v>
      </c>
      <c r="B826" s="45">
        <v>254.44218438267703</v>
      </c>
      <c r="C826" s="45">
        <v>245.80012135135516</v>
      </c>
      <c r="D826" s="45">
        <v>251.01778533047047</v>
      </c>
      <c r="E826" s="45">
        <v>521713.11163306306</v>
      </c>
      <c r="F826" s="45" t="s">
        <v>829</v>
      </c>
      <c r="G826" s="25">
        <f t="shared" ref="G826:G889" si="11">A826/D826-1</f>
        <v>9.6688326939637914E-3</v>
      </c>
    </row>
    <row r="827" spans="1:7">
      <c r="A827" s="45">
        <v>248.60056247008936</v>
      </c>
      <c r="B827" s="45">
        <v>250.71317594562569</v>
      </c>
      <c r="C827" s="45">
        <v>244.44411828333648</v>
      </c>
      <c r="D827" s="45">
        <v>249.95656553810801</v>
      </c>
      <c r="E827" s="45">
        <v>402342.36401630956</v>
      </c>
      <c r="F827" s="45" t="s">
        <v>830</v>
      </c>
      <c r="G827" s="25">
        <f t="shared" si="11"/>
        <v>-5.4249547920433017E-3</v>
      </c>
    </row>
    <row r="828" spans="1:7">
      <c r="A828" s="45">
        <v>253.02231160493284</v>
      </c>
      <c r="B828" s="45">
        <v>253.14022491519535</v>
      </c>
      <c r="C828" s="45">
        <v>247.70638653393212</v>
      </c>
      <c r="D828" s="45">
        <v>248.82656298142578</v>
      </c>
      <c r="E828" s="45">
        <v>293121.10671015654</v>
      </c>
      <c r="F828" s="45" t="s">
        <v>831</v>
      </c>
      <c r="G828" s="25">
        <f t="shared" si="11"/>
        <v>1.6862141136516184E-2</v>
      </c>
    </row>
    <row r="829" spans="1:7">
      <c r="A829" s="45">
        <v>245.50533807569892</v>
      </c>
      <c r="B829" s="45">
        <v>250.73282816400277</v>
      </c>
      <c r="C829" s="45">
        <v>242.18411316997202</v>
      </c>
      <c r="D829" s="45">
        <v>247.60812544204671</v>
      </c>
      <c r="E829" s="45">
        <v>263676.08483543445</v>
      </c>
      <c r="F829" s="45" t="s">
        <v>832</v>
      </c>
      <c r="G829" s="25">
        <f t="shared" si="11"/>
        <v>-8.4924004920829965E-3</v>
      </c>
    </row>
    <row r="830" spans="1:7">
      <c r="A830" s="45">
        <v>245.289163673551</v>
      </c>
      <c r="B830" s="45">
        <v>246.04577408106869</v>
      </c>
      <c r="C830" s="45">
        <v>242.90141914073553</v>
      </c>
      <c r="D830" s="45">
        <v>245.20072869085413</v>
      </c>
      <c r="E830" s="45">
        <v>245054.26856115714</v>
      </c>
      <c r="F830" s="45" t="s">
        <v>833</v>
      </c>
      <c r="G830" s="25">
        <f t="shared" si="11"/>
        <v>3.6066362106268457E-4</v>
      </c>
    </row>
    <row r="831" spans="1:7">
      <c r="A831" s="45">
        <v>246.97925445398008</v>
      </c>
      <c r="B831" s="45">
        <v>250.29065325051843</v>
      </c>
      <c r="C831" s="45">
        <v>243.12741965207198</v>
      </c>
      <c r="D831" s="45">
        <v>245.09264148978019</v>
      </c>
      <c r="E831" s="45">
        <v>214612.92150704289</v>
      </c>
      <c r="F831" s="45" t="s">
        <v>834</v>
      </c>
      <c r="G831" s="25">
        <f t="shared" si="11"/>
        <v>7.6975504149461305E-3</v>
      </c>
    </row>
    <row r="832" spans="1:7">
      <c r="A832" s="45">
        <v>243.24533296233449</v>
      </c>
      <c r="B832" s="45">
        <v>248.68899745278623</v>
      </c>
      <c r="C832" s="45">
        <v>242.69998390237043</v>
      </c>
      <c r="D832" s="45">
        <v>246.03594797188012</v>
      </c>
      <c r="E832" s="45">
        <v>354122.87134544214</v>
      </c>
      <c r="F832" s="45" t="s">
        <v>835</v>
      </c>
      <c r="G832" s="25">
        <f t="shared" si="11"/>
        <v>-1.1342306002635749E-2</v>
      </c>
    </row>
    <row r="833" spans="1:7">
      <c r="A833" s="45">
        <v>244.54237937522188</v>
      </c>
      <c r="B833" s="45">
        <v>245.98681742593743</v>
      </c>
      <c r="C833" s="45">
        <v>242.97020190505532</v>
      </c>
      <c r="D833" s="45">
        <v>245.67238193190411</v>
      </c>
      <c r="E833" s="45">
        <v>202001.62260711699</v>
      </c>
      <c r="F833" s="45" t="s">
        <v>836</v>
      </c>
      <c r="G833" s="25">
        <f t="shared" si="11"/>
        <v>-4.5996320294376947E-3</v>
      </c>
    </row>
    <row r="834" spans="1:7">
      <c r="A834" s="45">
        <v>244.48342272009063</v>
      </c>
      <c r="B834" s="45">
        <v>245.33829421949372</v>
      </c>
      <c r="C834" s="45">
        <v>240.79735438019321</v>
      </c>
      <c r="D834" s="45">
        <v>242.96037579586675</v>
      </c>
      <c r="E834" s="45">
        <v>280912.81574796228</v>
      </c>
      <c r="F834" s="45" t="s">
        <v>837</v>
      </c>
      <c r="G834" s="25">
        <f t="shared" si="11"/>
        <v>6.2687050068754857E-3</v>
      </c>
    </row>
    <row r="835" spans="1:7">
      <c r="A835" s="45">
        <v>243.73663842176154</v>
      </c>
      <c r="B835" s="45">
        <v>243.82507340445838</v>
      </c>
      <c r="C835" s="45">
        <v>239.06933481829637</v>
      </c>
      <c r="D835" s="45">
        <v>242.26272204348038</v>
      </c>
      <c r="E835" s="45">
        <v>228068.90876130536</v>
      </c>
      <c r="F835" s="45" t="s">
        <v>838</v>
      </c>
      <c r="G835" s="25">
        <f t="shared" si="11"/>
        <v>6.0839586290812875E-3</v>
      </c>
    </row>
    <row r="836" spans="1:7">
      <c r="A836" s="45">
        <v>243.40255070935112</v>
      </c>
      <c r="B836" s="45">
        <v>245.63307749514993</v>
      </c>
      <c r="C836" s="45">
        <v>239.92410805660757</v>
      </c>
      <c r="D836" s="45">
        <v>239.92410805660757</v>
      </c>
      <c r="E836" s="45">
        <v>406236.0720207573</v>
      </c>
      <c r="F836" s="45" t="s">
        <v>839</v>
      </c>
      <c r="G836" s="25">
        <f t="shared" si="11"/>
        <v>1.4498095589138726E-2</v>
      </c>
    </row>
    <row r="837" spans="1:7">
      <c r="A837" s="45">
        <v>238.48949611508058</v>
      </c>
      <c r="B837" s="45">
        <v>239.69319449067686</v>
      </c>
      <c r="C837" s="45">
        <v>235.8167944157974</v>
      </c>
      <c r="D837" s="45">
        <v>239.31488928691803</v>
      </c>
      <c r="E837" s="45">
        <v>333400.52885026042</v>
      </c>
      <c r="F837" s="45" t="s">
        <v>840</v>
      </c>
      <c r="G837" s="25">
        <f t="shared" si="11"/>
        <v>-3.4489837815643298E-3</v>
      </c>
    </row>
    <row r="838" spans="1:7">
      <c r="A838" s="45">
        <v>239.11836710314719</v>
      </c>
      <c r="B838" s="45">
        <v>243.15198492504334</v>
      </c>
      <c r="C838" s="45">
        <v>238.40106113238372</v>
      </c>
      <c r="D838" s="45">
        <v>241.88932989431578</v>
      </c>
      <c r="E838" s="45">
        <v>362499.5338087483</v>
      </c>
      <c r="F838" s="45" t="s">
        <v>841</v>
      </c>
      <c r="G838" s="25">
        <f t="shared" si="11"/>
        <v>-1.1455498232928463E-2</v>
      </c>
    </row>
    <row r="839" spans="1:7">
      <c r="A839" s="45">
        <v>242.71472306615323</v>
      </c>
      <c r="B839" s="45">
        <v>243.29937656287143</v>
      </c>
      <c r="C839" s="45">
        <v>237.61497239730042</v>
      </c>
      <c r="D839" s="45">
        <v>242.23324371591474</v>
      </c>
      <c r="E839" s="45">
        <v>666715.57116827474</v>
      </c>
      <c r="F839" s="45" t="s">
        <v>842</v>
      </c>
      <c r="G839" s="25">
        <f t="shared" si="11"/>
        <v>1.9876683433390774E-3</v>
      </c>
    </row>
    <row r="840" spans="1:7">
      <c r="A840" s="45">
        <v>245.7215124778468</v>
      </c>
      <c r="B840" s="45">
        <v>249.39647731436119</v>
      </c>
      <c r="C840" s="45">
        <v>245.09264148978019</v>
      </c>
      <c r="D840" s="45">
        <v>245.09264148978019</v>
      </c>
      <c r="E840" s="45">
        <v>342639.18051371491</v>
      </c>
      <c r="F840" s="45" t="s">
        <v>843</v>
      </c>
      <c r="G840" s="25">
        <f t="shared" si="11"/>
        <v>2.5658501383152288E-3</v>
      </c>
    </row>
    <row r="841" spans="1:7">
      <c r="A841" s="45">
        <v>248.8756935273685</v>
      </c>
      <c r="B841" s="45">
        <v>251.263438060184</v>
      </c>
      <c r="C841" s="45">
        <v>246.41425317563898</v>
      </c>
      <c r="D841" s="45">
        <v>247.53934267772689</v>
      </c>
      <c r="E841" s="45">
        <v>631837.06601186248</v>
      </c>
      <c r="F841" s="45" t="s">
        <v>844</v>
      </c>
      <c r="G841" s="25">
        <f t="shared" si="11"/>
        <v>5.3985392187996251E-3</v>
      </c>
    </row>
    <row r="842" spans="1:7">
      <c r="A842" s="45">
        <v>249.08204182032787</v>
      </c>
      <c r="B842" s="45">
        <v>254.86962013237857</v>
      </c>
      <c r="C842" s="45">
        <v>246.81221059777488</v>
      </c>
      <c r="D842" s="45">
        <v>250.08430495755906</v>
      </c>
      <c r="E842" s="45">
        <v>532316.4947220179</v>
      </c>
      <c r="F842" s="45" t="s">
        <v>845</v>
      </c>
      <c r="G842" s="25">
        <f t="shared" si="11"/>
        <v>-4.0077010726493612E-3</v>
      </c>
    </row>
    <row r="843" spans="1:7">
      <c r="A843" s="45">
        <v>244.14933500768024</v>
      </c>
      <c r="B843" s="45">
        <v>246.88099336209467</v>
      </c>
      <c r="C843" s="45">
        <v>241.53558996352831</v>
      </c>
      <c r="D843" s="45">
        <v>242.59680975589075</v>
      </c>
      <c r="E843" s="45">
        <v>511030.34819273691</v>
      </c>
      <c r="F843" s="45" t="s">
        <v>846</v>
      </c>
      <c r="G843" s="25">
        <f t="shared" si="11"/>
        <v>6.3996111628661367E-3</v>
      </c>
    </row>
    <row r="844" spans="1:7">
      <c r="A844" s="45">
        <v>243.03898466937511</v>
      </c>
      <c r="B844" s="45">
        <v>244.52272715684481</v>
      </c>
      <c r="C844" s="45">
        <v>238.51897444264623</v>
      </c>
      <c r="D844" s="45">
        <v>239.82584696472216</v>
      </c>
      <c r="E844" s="45">
        <v>724761.9442601949</v>
      </c>
      <c r="F844" s="45" t="s">
        <v>847</v>
      </c>
      <c r="G844" s="25">
        <f t="shared" si="11"/>
        <v>1.3397795714344296E-2</v>
      </c>
    </row>
    <row r="845" spans="1:7">
      <c r="A845" s="45">
        <v>240.86741453870752</v>
      </c>
      <c r="B845" s="45">
        <v>241.42750276245437</v>
      </c>
      <c r="C845" s="45">
        <v>235.63992445040367</v>
      </c>
      <c r="D845" s="45">
        <v>236.65201369682339</v>
      </c>
      <c r="E845" s="45">
        <v>449108.58563899319</v>
      </c>
      <c r="F845" s="45" t="s">
        <v>848</v>
      </c>
      <c r="G845" s="25">
        <f t="shared" si="11"/>
        <v>1.7812655705032432E-2</v>
      </c>
    </row>
    <row r="846" spans="1:7">
      <c r="A846" s="45">
        <v>236.14105601901926</v>
      </c>
      <c r="B846" s="45">
        <v>236.58323093250362</v>
      </c>
      <c r="C846" s="45">
        <v>228.37842976007181</v>
      </c>
      <c r="D846" s="45">
        <v>232.08287292415179</v>
      </c>
      <c r="E846" s="45">
        <v>392261.05939214351</v>
      </c>
      <c r="F846" s="45" t="s">
        <v>849</v>
      </c>
      <c r="G846" s="25">
        <f t="shared" si="11"/>
        <v>1.748592235064983E-2</v>
      </c>
    </row>
    <row r="847" spans="1:7">
      <c r="A847" s="45">
        <v>231.8666985220039</v>
      </c>
      <c r="B847" s="45">
        <v>232.72157002140696</v>
      </c>
      <c r="C847" s="45">
        <v>229.63617173620506</v>
      </c>
      <c r="D847" s="45">
        <v>231.61121968310184</v>
      </c>
      <c r="E847" s="45">
        <v>483252.31369681389</v>
      </c>
      <c r="F847" s="45" t="s">
        <v>850</v>
      </c>
      <c r="G847" s="25">
        <f t="shared" si="11"/>
        <v>1.1030503584914531E-3</v>
      </c>
    </row>
    <row r="848" spans="1:7">
      <c r="A848" s="45">
        <v>231.6800024474216</v>
      </c>
      <c r="B848" s="45">
        <v>235.57114168608388</v>
      </c>
      <c r="C848" s="45">
        <v>230.83623445140159</v>
      </c>
      <c r="D848" s="45">
        <v>234.85383571532037</v>
      </c>
      <c r="E848" s="45">
        <v>282479.05114232848</v>
      </c>
      <c r="F848" s="45" t="s">
        <v>851</v>
      </c>
      <c r="G848" s="25">
        <f t="shared" si="11"/>
        <v>-1.3514078908832272E-2</v>
      </c>
    </row>
    <row r="849" spans="1:7">
      <c r="A849" s="45">
        <v>238.36175669562957</v>
      </c>
      <c r="B849" s="45">
        <v>240.14519551334976</v>
      </c>
      <c r="C849" s="45">
        <v>235.92488161687135</v>
      </c>
      <c r="D849" s="45">
        <v>237.39879799515251</v>
      </c>
      <c r="E849" s="45">
        <v>502247.6247012617</v>
      </c>
      <c r="F849" s="45" t="s">
        <v>852</v>
      </c>
      <c r="G849" s="25">
        <f t="shared" si="11"/>
        <v>4.0562913907287168E-3</v>
      </c>
    </row>
    <row r="850" spans="1:7">
      <c r="A850" s="45">
        <v>240.54315293548567</v>
      </c>
      <c r="B850" s="45">
        <v>243.11759354288341</v>
      </c>
      <c r="C850" s="45">
        <v>230.91356593071541</v>
      </c>
      <c r="D850" s="45">
        <v>230.91356593071541</v>
      </c>
      <c r="E850" s="45">
        <v>850473.9607153472</v>
      </c>
      <c r="F850" s="45" t="s">
        <v>853</v>
      </c>
      <c r="G850" s="25">
        <f t="shared" si="11"/>
        <v>4.1702127659574373E-2</v>
      </c>
    </row>
    <row r="851" spans="1:7">
      <c r="A851" s="45">
        <v>230.04886832212381</v>
      </c>
      <c r="B851" s="45">
        <v>230.25521661508316</v>
      </c>
      <c r="C851" s="45">
        <v>221.08745674217434</v>
      </c>
      <c r="D851" s="45">
        <v>222.22728540804508</v>
      </c>
      <c r="E851" s="45">
        <v>655761.0826790235</v>
      </c>
      <c r="F851" s="45" t="s">
        <v>854</v>
      </c>
      <c r="G851" s="25">
        <f t="shared" si="11"/>
        <v>3.5196321188539326E-2</v>
      </c>
    </row>
    <row r="852" spans="1:7">
      <c r="A852" s="45">
        <v>222.21745929885657</v>
      </c>
      <c r="B852" s="45">
        <v>224.24163779169601</v>
      </c>
      <c r="C852" s="45">
        <v>219.4071920709338</v>
      </c>
      <c r="D852" s="45">
        <v>220.93023899515768</v>
      </c>
      <c r="E852" s="45">
        <v>437584.18693476781</v>
      </c>
      <c r="F852" s="45" t="s">
        <v>855</v>
      </c>
      <c r="G852" s="25">
        <f t="shared" si="11"/>
        <v>5.826365415406487E-3</v>
      </c>
    </row>
    <row r="853" spans="1:7">
      <c r="A853" s="45">
        <v>220.58632517355875</v>
      </c>
      <c r="B853" s="45">
        <v>222.66012551780034</v>
      </c>
      <c r="C853" s="45">
        <v>217.83501460076724</v>
      </c>
      <c r="D853" s="45">
        <v>219.26962654229422</v>
      </c>
      <c r="E853" s="45">
        <v>432801.01191623555</v>
      </c>
      <c r="F853" s="45" t="s">
        <v>856</v>
      </c>
      <c r="G853" s="25">
        <f t="shared" si="11"/>
        <v>6.0049294196728997E-3</v>
      </c>
    </row>
    <row r="854" spans="1:7">
      <c r="A854" s="45">
        <v>221.61806663835554</v>
      </c>
      <c r="B854" s="45">
        <v>222.71367781287788</v>
      </c>
      <c r="C854" s="45">
        <v>220.66493404706705</v>
      </c>
      <c r="D854" s="45">
        <v>221.47067500052742</v>
      </c>
      <c r="E854" s="45">
        <v>154296.06682653865</v>
      </c>
      <c r="F854" s="45" t="s">
        <v>857</v>
      </c>
      <c r="G854" s="25">
        <f t="shared" si="11"/>
        <v>6.6551311060836227E-4</v>
      </c>
    </row>
    <row r="855" spans="1:7">
      <c r="A855" s="45">
        <v>221.78511049456074</v>
      </c>
      <c r="B855" s="45">
        <v>221.95706740536019</v>
      </c>
      <c r="C855" s="45">
        <v>212.81387280542276</v>
      </c>
      <c r="D855" s="45">
        <v>213.82596205184248</v>
      </c>
      <c r="E855" s="45">
        <v>464980.58512602065</v>
      </c>
      <c r="F855" s="45" t="s">
        <v>858</v>
      </c>
      <c r="G855" s="25">
        <f t="shared" si="11"/>
        <v>3.7222554110564632E-2</v>
      </c>
    </row>
    <row r="856" spans="1:7">
      <c r="A856" s="45">
        <v>213.22656939134146</v>
      </c>
      <c r="B856" s="45">
        <v>213.86526648859663</v>
      </c>
      <c r="C856" s="45">
        <v>209.52212622726145</v>
      </c>
      <c r="D856" s="45">
        <v>210.73073765745204</v>
      </c>
      <c r="E856" s="45">
        <v>240647.64136323275</v>
      </c>
      <c r="F856" s="45" t="s">
        <v>859</v>
      </c>
      <c r="G856" s="25">
        <f t="shared" si="11"/>
        <v>1.1843700456961592E-2</v>
      </c>
    </row>
    <row r="857" spans="1:7">
      <c r="A857" s="45">
        <v>210.31804107153329</v>
      </c>
      <c r="B857" s="45">
        <v>214.94407501640654</v>
      </c>
      <c r="C857" s="45">
        <v>209.73830062940937</v>
      </c>
      <c r="D857" s="45">
        <v>212.69595949516025</v>
      </c>
      <c r="E857" s="45">
        <v>326382.49163157993</v>
      </c>
      <c r="F857" s="45" t="s">
        <v>860</v>
      </c>
      <c r="G857" s="25">
        <f t="shared" si="11"/>
        <v>-1.1179894668761126E-2</v>
      </c>
    </row>
    <row r="858" spans="1:7">
      <c r="A858" s="45">
        <v>213.6196137588831</v>
      </c>
      <c r="B858" s="45">
        <v>214.68083355124554</v>
      </c>
      <c r="C858" s="45">
        <v>210.51456325530413</v>
      </c>
      <c r="D858" s="45">
        <v>213.54100488537478</v>
      </c>
      <c r="E858" s="45">
        <v>422139.62010897085</v>
      </c>
      <c r="F858" s="45" t="s">
        <v>861</v>
      </c>
      <c r="G858" s="25">
        <f t="shared" si="11"/>
        <v>3.6812074360392799E-4</v>
      </c>
    </row>
    <row r="859" spans="1:7">
      <c r="A859" s="45">
        <v>210.14117110613958</v>
      </c>
      <c r="B859" s="45">
        <v>211.11395591580512</v>
      </c>
      <c r="C859" s="45">
        <v>207.26212111389702</v>
      </c>
      <c r="D859" s="45">
        <v>209.37473458943336</v>
      </c>
      <c r="E859" s="45">
        <v>234891.54819199478</v>
      </c>
      <c r="F859" s="45" t="s">
        <v>862</v>
      </c>
      <c r="G859" s="25">
        <f t="shared" si="11"/>
        <v>3.6605969588887621E-3</v>
      </c>
    </row>
    <row r="860" spans="1:7">
      <c r="A860" s="45">
        <v>213.51152655780913</v>
      </c>
      <c r="B860" s="45">
        <v>216.31196767654336</v>
      </c>
      <c r="C860" s="45">
        <v>210.20995387045934</v>
      </c>
      <c r="D860" s="45">
        <v>210.90760762284575</v>
      </c>
      <c r="E860" s="45">
        <v>462274.52930170635</v>
      </c>
      <c r="F860" s="45" t="s">
        <v>863</v>
      </c>
      <c r="G860" s="25">
        <f t="shared" si="11"/>
        <v>1.2346254193067452E-2</v>
      </c>
    </row>
    <row r="861" spans="1:7">
      <c r="A861" s="45">
        <v>211.28099977201035</v>
      </c>
      <c r="B861" s="45">
        <v>211.59543526604364</v>
      </c>
      <c r="C861" s="45">
        <v>206.69928157957739</v>
      </c>
      <c r="D861" s="45">
        <v>208.87360302081777</v>
      </c>
      <c r="E861" s="45">
        <v>503254.1268487784</v>
      </c>
      <c r="F861" s="45" t="s">
        <v>864</v>
      </c>
      <c r="G861" s="25">
        <f t="shared" si="11"/>
        <v>1.1525615091499297E-2</v>
      </c>
    </row>
    <row r="862" spans="1:7">
      <c r="A862" s="45">
        <v>206.34829295936271</v>
      </c>
      <c r="B862" s="45">
        <v>217.11770863000373</v>
      </c>
      <c r="C862" s="45">
        <v>206.2303796491002</v>
      </c>
      <c r="D862" s="45">
        <v>215.4570961771403</v>
      </c>
      <c r="E862" s="45">
        <v>346430.10114010482</v>
      </c>
      <c r="F862" s="45" t="s">
        <v>865</v>
      </c>
      <c r="G862" s="25">
        <f t="shared" si="11"/>
        <v>-4.2276645231905885E-2</v>
      </c>
    </row>
    <row r="863" spans="1:7">
      <c r="A863" s="45">
        <v>215.35883508525481</v>
      </c>
      <c r="B863" s="45">
        <v>218.54737416788012</v>
      </c>
      <c r="C863" s="45">
        <v>212.37632468181454</v>
      </c>
      <c r="D863" s="45">
        <v>215.37845686422483</v>
      </c>
      <c r="E863" s="45">
        <v>524808.68405170157</v>
      </c>
      <c r="F863" s="45" t="s">
        <v>866</v>
      </c>
      <c r="G863" s="25">
        <f t="shared" si="11"/>
        <v>-9.110372158716018E-5</v>
      </c>
    </row>
    <row r="864" spans="1:7">
      <c r="A864" s="45">
        <v>214.0736085627197</v>
      </c>
      <c r="B864" s="45">
        <v>214.27963724190474</v>
      </c>
      <c r="C864" s="45">
        <v>203.91884740126952</v>
      </c>
      <c r="D864" s="45">
        <v>204.03706861956377</v>
      </c>
      <c r="E864" s="45">
        <v>346316.20356079133</v>
      </c>
      <c r="F864" s="45" t="s">
        <v>867</v>
      </c>
      <c r="G864" s="25">
        <f t="shared" si="11"/>
        <v>4.9189786988508066E-2</v>
      </c>
    </row>
    <row r="865" spans="1:7">
      <c r="A865" s="45">
        <v>196.6592797268431</v>
      </c>
      <c r="B865" s="45">
        <v>200.1519563835034</v>
      </c>
      <c r="C865" s="45">
        <v>195.78611056267803</v>
      </c>
      <c r="D865" s="45">
        <v>196.17854614207806</v>
      </c>
      <c r="E865" s="45">
        <v>436426.27985423745</v>
      </c>
      <c r="F865" s="45" t="s">
        <v>868</v>
      </c>
      <c r="G865" s="25">
        <f t="shared" si="11"/>
        <v>2.4504900980195643E-3</v>
      </c>
    </row>
    <row r="866" spans="1:7">
      <c r="A866" s="45">
        <v>197.01247174830314</v>
      </c>
      <c r="B866" s="45">
        <v>202.56543519681364</v>
      </c>
      <c r="C866" s="45">
        <v>196.24722236847307</v>
      </c>
      <c r="D866" s="45">
        <v>199.66141190925336</v>
      </c>
      <c r="E866" s="45">
        <v>240843.6058333382</v>
      </c>
      <c r="F866" s="45" t="s">
        <v>869</v>
      </c>
      <c r="G866" s="25">
        <f t="shared" si="11"/>
        <v>-1.3267161318853971E-2</v>
      </c>
    </row>
    <row r="867" spans="1:7">
      <c r="A867" s="45">
        <v>200.26968705732344</v>
      </c>
      <c r="B867" s="45">
        <v>200.95644932127351</v>
      </c>
      <c r="C867" s="45">
        <v>196.87511929551312</v>
      </c>
      <c r="D867" s="45">
        <v>200.24025438886844</v>
      </c>
      <c r="E867" s="45">
        <v>213464.84467099336</v>
      </c>
      <c r="F867" s="45" t="s">
        <v>870</v>
      </c>
      <c r="G867" s="25">
        <f t="shared" si="11"/>
        <v>1.4698677119051595E-4</v>
      </c>
    </row>
    <row r="868" spans="1:7">
      <c r="A868" s="45">
        <v>198.56259228693327</v>
      </c>
      <c r="B868" s="45">
        <v>201.27039778479354</v>
      </c>
      <c r="C868" s="45">
        <v>195.35443142533799</v>
      </c>
      <c r="D868" s="45">
        <v>199.93611681483341</v>
      </c>
      <c r="E868" s="45">
        <v>298304.24697722815</v>
      </c>
      <c r="F868" s="45" t="s">
        <v>871</v>
      </c>
      <c r="G868" s="25">
        <f t="shared" si="11"/>
        <v>-6.869816968448017E-3</v>
      </c>
    </row>
    <row r="869" spans="1:7">
      <c r="A869" s="45">
        <v>197.12039153263814</v>
      </c>
      <c r="B869" s="45">
        <v>201.80018581698357</v>
      </c>
      <c r="C869" s="45">
        <v>194.72653449829792</v>
      </c>
      <c r="D869" s="45">
        <v>201.80018581698357</v>
      </c>
      <c r="E869" s="45">
        <v>317388.14352771331</v>
      </c>
      <c r="F869" s="45" t="s">
        <v>872</v>
      </c>
      <c r="G869" s="25">
        <f t="shared" si="11"/>
        <v>-2.3190237736399499E-2</v>
      </c>
    </row>
    <row r="870" spans="1:7">
      <c r="A870" s="45">
        <v>204.45893686741883</v>
      </c>
      <c r="B870" s="45">
        <v>214.63282926336475</v>
      </c>
      <c r="C870" s="45">
        <v>204.31177352514382</v>
      </c>
      <c r="D870" s="45">
        <v>214.05398678374971</v>
      </c>
      <c r="E870" s="45">
        <v>454781.39437013434</v>
      </c>
      <c r="F870" s="45" t="s">
        <v>873</v>
      </c>
      <c r="G870" s="25">
        <f t="shared" si="11"/>
        <v>-4.4825373544779556E-2</v>
      </c>
    </row>
    <row r="871" spans="1:7">
      <c r="A871" s="45">
        <v>215.0939410691598</v>
      </c>
      <c r="B871" s="45">
        <v>215.74145977516986</v>
      </c>
      <c r="C871" s="45">
        <v>211.90540198653451</v>
      </c>
      <c r="D871" s="45">
        <v>211.96426732344452</v>
      </c>
      <c r="E871" s="45">
        <v>460461.81713763176</v>
      </c>
      <c r="F871" s="45" t="s">
        <v>874</v>
      </c>
      <c r="G871" s="25">
        <f t="shared" si="11"/>
        <v>1.4765100671140896E-2</v>
      </c>
    </row>
    <row r="872" spans="1:7">
      <c r="A872" s="45">
        <v>210.50244479017937</v>
      </c>
      <c r="B872" s="45">
        <v>211.43447929125446</v>
      </c>
      <c r="C872" s="45">
        <v>207.40220371291909</v>
      </c>
      <c r="D872" s="45">
        <v>209.5115449521943</v>
      </c>
      <c r="E872" s="45">
        <v>514594.52353616391</v>
      </c>
      <c r="F872" s="45" t="s">
        <v>875</v>
      </c>
      <c r="G872" s="25">
        <f t="shared" si="11"/>
        <v>4.7295715289157325E-3</v>
      </c>
    </row>
    <row r="873" spans="1:7">
      <c r="A873" s="45">
        <v>210.08057654232434</v>
      </c>
      <c r="B873" s="45">
        <v>213.59778042269716</v>
      </c>
      <c r="C873" s="45">
        <v>205.2536189157039</v>
      </c>
      <c r="D873" s="45">
        <v>205.38116047900891</v>
      </c>
      <c r="E873" s="45">
        <v>603138.99254971126</v>
      </c>
      <c r="F873" s="45" t="s">
        <v>876</v>
      </c>
      <c r="G873" s="25">
        <f t="shared" si="11"/>
        <v>2.2881436896914131E-2</v>
      </c>
    </row>
    <row r="874" spans="1:7">
      <c r="A874" s="45">
        <v>207.00976813351906</v>
      </c>
      <c r="B874" s="45">
        <v>210.07076565283936</v>
      </c>
      <c r="C874" s="45">
        <v>200.44628306805345</v>
      </c>
      <c r="D874" s="45">
        <v>206.391682095964</v>
      </c>
      <c r="E874" s="45">
        <v>558111.47484345513</v>
      </c>
      <c r="F874" s="45" t="s">
        <v>877</v>
      </c>
      <c r="G874" s="25">
        <f t="shared" si="11"/>
        <v>2.9947235822598284E-3</v>
      </c>
    </row>
    <row r="875" spans="1:7">
      <c r="A875" s="45">
        <v>203.69368748758876</v>
      </c>
      <c r="B875" s="45">
        <v>208.00066797150413</v>
      </c>
      <c r="C875" s="45">
        <v>200.8387186474535</v>
      </c>
      <c r="D875" s="45">
        <v>201.33907401118853</v>
      </c>
      <c r="E875" s="45">
        <v>585910.17754181451</v>
      </c>
      <c r="F875" s="45" t="s">
        <v>878</v>
      </c>
      <c r="G875" s="25">
        <f t="shared" si="11"/>
        <v>1.1694766591950234E-2</v>
      </c>
    </row>
    <row r="876" spans="1:7">
      <c r="A876" s="45">
        <v>200.52477018393344</v>
      </c>
      <c r="B876" s="45">
        <v>200.74060975260349</v>
      </c>
      <c r="C876" s="45">
        <v>191.20452328207745</v>
      </c>
      <c r="D876" s="45">
        <v>192.2640012375627</v>
      </c>
      <c r="E876" s="45">
        <v>376461.2786278532</v>
      </c>
      <c r="F876" s="45" t="s">
        <v>879</v>
      </c>
      <c r="G876" s="25">
        <f t="shared" si="11"/>
        <v>4.2965760065315939E-2</v>
      </c>
    </row>
    <row r="877" spans="1:7">
      <c r="A877" s="45">
        <v>192.65643681696275</v>
      </c>
      <c r="B877" s="45">
        <v>197.66980134379818</v>
      </c>
      <c r="C877" s="45">
        <v>191.96967455301265</v>
      </c>
      <c r="D877" s="45">
        <v>195.90384123649804</v>
      </c>
      <c r="E877" s="45">
        <v>414252.95904244157</v>
      </c>
      <c r="F877" s="45" t="s">
        <v>880</v>
      </c>
      <c r="G877" s="25">
        <f t="shared" si="11"/>
        <v>-1.6576522435897356E-2</v>
      </c>
    </row>
    <row r="878" spans="1:7">
      <c r="A878" s="45">
        <v>193.93185245001285</v>
      </c>
      <c r="B878" s="45">
        <v>195.69781255731303</v>
      </c>
      <c r="C878" s="45">
        <v>186.42652199398717</v>
      </c>
      <c r="D878" s="45">
        <v>189.45808684485246</v>
      </c>
      <c r="E878" s="45">
        <v>472011.22865360393</v>
      </c>
      <c r="F878" s="45" t="s">
        <v>881</v>
      </c>
      <c r="G878" s="25">
        <f t="shared" si="11"/>
        <v>2.3613484542488683E-2</v>
      </c>
    </row>
    <row r="879" spans="1:7">
      <c r="A879" s="45">
        <v>190.00749665601248</v>
      </c>
      <c r="B879" s="45">
        <v>196.69361784004062</v>
      </c>
      <c r="C879" s="45">
        <v>189.78184619785748</v>
      </c>
      <c r="D879" s="45">
        <v>194.39296425580787</v>
      </c>
      <c r="E879" s="45">
        <v>450339.39142365067</v>
      </c>
      <c r="F879" s="45" t="s">
        <v>882</v>
      </c>
      <c r="G879" s="25">
        <f t="shared" si="11"/>
        <v>-2.2559806197637977E-2</v>
      </c>
    </row>
    <row r="880" spans="1:7">
      <c r="A880" s="45">
        <v>194.15750290816788</v>
      </c>
      <c r="B880" s="45">
        <v>198.08185870216823</v>
      </c>
      <c r="C880" s="45">
        <v>192.32777201921519</v>
      </c>
      <c r="D880" s="45">
        <v>196.31589859486806</v>
      </c>
      <c r="E880" s="45">
        <v>222262.21214026847</v>
      </c>
      <c r="F880" s="45" t="s">
        <v>883</v>
      </c>
      <c r="G880" s="25">
        <f t="shared" si="11"/>
        <v>-1.0994502748625568E-2</v>
      </c>
    </row>
    <row r="881" spans="1:7">
      <c r="A881" s="45">
        <v>198.48410517105327</v>
      </c>
      <c r="B881" s="45">
        <v>206.02867918501897</v>
      </c>
      <c r="C881" s="45">
        <v>197.94450624937821</v>
      </c>
      <c r="D881" s="45">
        <v>203.37973902406873</v>
      </c>
      <c r="E881" s="45">
        <v>399976.98536909354</v>
      </c>
      <c r="F881" s="45" t="s">
        <v>884</v>
      </c>
      <c r="G881" s="25">
        <f t="shared" si="11"/>
        <v>-2.4071394114809519E-2</v>
      </c>
    </row>
    <row r="882" spans="1:7">
      <c r="A882" s="45">
        <v>198.21921115495823</v>
      </c>
      <c r="B882" s="45">
        <v>200.38741773114344</v>
      </c>
      <c r="C882" s="45">
        <v>195.00123940387795</v>
      </c>
      <c r="D882" s="45">
        <v>195.00123940387795</v>
      </c>
      <c r="E882" s="45">
        <v>489174.81002483825</v>
      </c>
      <c r="F882" s="45" t="s">
        <v>885</v>
      </c>
      <c r="G882" s="25">
        <f t="shared" si="11"/>
        <v>1.6502314348963543E-2</v>
      </c>
    </row>
    <row r="883" spans="1:7">
      <c r="A883" s="45">
        <v>191.96967455301265</v>
      </c>
      <c r="B883" s="45">
        <v>194.53031670859792</v>
      </c>
      <c r="C883" s="45">
        <v>190.09579466137748</v>
      </c>
      <c r="D883" s="45">
        <v>192.18551412168267</v>
      </c>
      <c r="E883" s="45">
        <v>407633.78347234864</v>
      </c>
      <c r="F883" s="45" t="s">
        <v>886</v>
      </c>
      <c r="G883" s="25">
        <f t="shared" si="11"/>
        <v>-1.1230792791873112E-3</v>
      </c>
    </row>
    <row r="884" spans="1:7">
      <c r="A884" s="45">
        <v>189.64449374506748</v>
      </c>
      <c r="B884" s="45">
        <v>191.82251121073767</v>
      </c>
      <c r="C884" s="45">
        <v>179.1958964435415</v>
      </c>
      <c r="D884" s="45">
        <v>180.2456616184366</v>
      </c>
      <c r="E884" s="45">
        <v>480488.54359300388</v>
      </c>
      <c r="F884" s="45" t="s">
        <v>887</v>
      </c>
      <c r="G884" s="25">
        <f t="shared" si="11"/>
        <v>5.2144567820596732E-2</v>
      </c>
    </row>
    <row r="885" spans="1:7">
      <c r="A885" s="45">
        <v>183.22817202187687</v>
      </c>
      <c r="B885" s="45">
        <v>187.06422981051222</v>
      </c>
      <c r="C885" s="45">
        <v>182.4825444210168</v>
      </c>
      <c r="D885" s="45">
        <v>186.86801202081219</v>
      </c>
      <c r="E885" s="45">
        <v>559079.78663766338</v>
      </c>
      <c r="F885" s="45" t="s">
        <v>888</v>
      </c>
      <c r="G885" s="25">
        <f t="shared" si="11"/>
        <v>-1.9478133039323664E-2</v>
      </c>
    </row>
    <row r="886" spans="1:7">
      <c r="A886" s="45">
        <v>187.41742183197226</v>
      </c>
      <c r="B886" s="45">
        <v>189.45318140010994</v>
      </c>
      <c r="C886" s="45">
        <v>182.99271067423686</v>
      </c>
      <c r="D886" s="45">
        <v>186.39708932553216</v>
      </c>
      <c r="E886" s="45">
        <v>344335.75112274225</v>
      </c>
      <c r="F886" s="45" t="s">
        <v>889</v>
      </c>
      <c r="G886" s="25">
        <f t="shared" si="11"/>
        <v>5.4739723143324426E-3</v>
      </c>
    </row>
    <row r="887" spans="1:7">
      <c r="A887" s="45">
        <v>186.6816051205972</v>
      </c>
      <c r="B887" s="45">
        <v>191.80288943176765</v>
      </c>
      <c r="C887" s="45">
        <v>186.09785719623963</v>
      </c>
      <c r="D887" s="45">
        <v>191.80288943176765</v>
      </c>
      <c r="E887" s="45">
        <v>310074.84129250894</v>
      </c>
      <c r="F887" s="45" t="s">
        <v>890</v>
      </c>
      <c r="G887" s="25">
        <f t="shared" si="11"/>
        <v>-2.6700767263427072E-2</v>
      </c>
    </row>
    <row r="888" spans="1:7">
      <c r="A888" s="45">
        <v>190.54709557768754</v>
      </c>
      <c r="B888" s="45">
        <v>193.55903864958282</v>
      </c>
      <c r="C888" s="45">
        <v>189.15394927081744</v>
      </c>
      <c r="D888" s="45">
        <v>193.55903864958282</v>
      </c>
      <c r="E888" s="45">
        <v>351337.15503265429</v>
      </c>
      <c r="F888" s="45" t="s">
        <v>891</v>
      </c>
      <c r="G888" s="25">
        <f t="shared" si="11"/>
        <v>-1.5560849510872332E-2</v>
      </c>
    </row>
    <row r="889" spans="1:7">
      <c r="A889" s="45">
        <v>195.65856899937302</v>
      </c>
      <c r="B889" s="45">
        <v>203.17371034488372</v>
      </c>
      <c r="C889" s="45">
        <v>194.5744657112804</v>
      </c>
      <c r="D889" s="45">
        <v>201.29983045324855</v>
      </c>
      <c r="E889" s="45">
        <v>405218.10036469228</v>
      </c>
      <c r="F889" s="45" t="s">
        <v>892</v>
      </c>
      <c r="G889" s="25">
        <f t="shared" si="11"/>
        <v>-2.8024173896091242E-2</v>
      </c>
    </row>
    <row r="890" spans="1:7">
      <c r="A890" s="45">
        <v>201.66283336419357</v>
      </c>
      <c r="B890" s="45">
        <v>202.79108565496867</v>
      </c>
      <c r="C890" s="45">
        <v>198.37127994197576</v>
      </c>
      <c r="D890" s="45">
        <v>200.45609395753846</v>
      </c>
      <c r="E890" s="45">
        <v>368653.62773981621</v>
      </c>
      <c r="F890" s="45" t="s">
        <v>893</v>
      </c>
      <c r="G890" s="25">
        <f t="shared" ref="G890:G936" si="12">A890/D890-1</f>
        <v>6.0199686765858296E-3</v>
      </c>
    </row>
    <row r="891" spans="1:7">
      <c r="A891" s="45">
        <v>202.34959562814362</v>
      </c>
      <c r="B891" s="45">
        <v>209.04062225691425</v>
      </c>
      <c r="C891" s="45">
        <v>199.69084457770839</v>
      </c>
      <c r="D891" s="45">
        <v>206.27395142214399</v>
      </c>
      <c r="E891" s="45">
        <v>991511.52552189864</v>
      </c>
      <c r="F891" s="45" t="s">
        <v>894</v>
      </c>
      <c r="G891" s="25">
        <f t="shared" si="12"/>
        <v>-1.9024970273484043E-2</v>
      </c>
    </row>
    <row r="892" spans="1:7">
      <c r="A892" s="45">
        <v>204.55704576226884</v>
      </c>
      <c r="B892" s="45">
        <v>207.38748737869159</v>
      </c>
      <c r="C892" s="45">
        <v>197.07133708521314</v>
      </c>
      <c r="D892" s="45">
        <v>200.74060975260349</v>
      </c>
      <c r="E892" s="45">
        <v>419321.81646622851</v>
      </c>
      <c r="F892" s="45" t="s">
        <v>895</v>
      </c>
      <c r="G892" s="25">
        <f t="shared" si="12"/>
        <v>1.9011778505449328E-2</v>
      </c>
    </row>
    <row r="893" spans="1:7">
      <c r="A893" s="45">
        <v>197.65017956482819</v>
      </c>
      <c r="B893" s="45">
        <v>204.44912597793382</v>
      </c>
      <c r="C893" s="45">
        <v>197.06152619572816</v>
      </c>
      <c r="D893" s="45">
        <v>200.77004242105846</v>
      </c>
      <c r="E893" s="45">
        <v>420773.26488196803</v>
      </c>
      <c r="F893" s="45" t="s">
        <v>896</v>
      </c>
      <c r="G893" s="25">
        <f t="shared" si="12"/>
        <v>-1.5539483971852897E-2</v>
      </c>
    </row>
    <row r="894" spans="1:7">
      <c r="A894" s="45">
        <v>200.11271282556342</v>
      </c>
      <c r="B894" s="45">
        <v>203.81632360615126</v>
      </c>
      <c r="C894" s="45">
        <v>199.13162387706333</v>
      </c>
      <c r="D894" s="45">
        <v>201.80999670646858</v>
      </c>
      <c r="E894" s="45">
        <v>282440.2419613786</v>
      </c>
      <c r="F894" s="45" t="s">
        <v>897</v>
      </c>
      <c r="G894" s="25">
        <f t="shared" si="12"/>
        <v>-8.4103062712688192E-3</v>
      </c>
    </row>
    <row r="895" spans="1:7">
      <c r="A895" s="45">
        <v>204.02725773007879</v>
      </c>
      <c r="B895" s="45">
        <v>205.13588824188389</v>
      </c>
      <c r="C895" s="45">
        <v>198.79805363457331</v>
      </c>
      <c r="D895" s="45">
        <v>200.56401374187348</v>
      </c>
      <c r="E895" s="45">
        <v>322472.290085093</v>
      </c>
      <c r="F895" s="45" t="s">
        <v>898</v>
      </c>
      <c r="G895" s="25">
        <f t="shared" si="12"/>
        <v>1.7267524335958351E-2</v>
      </c>
    </row>
    <row r="896" spans="1:7">
      <c r="A896" s="45">
        <v>198.15053492856325</v>
      </c>
      <c r="B896" s="45">
        <v>203.36992813458372</v>
      </c>
      <c r="C896" s="45">
        <v>196.13930258413805</v>
      </c>
      <c r="D896" s="45">
        <v>203.36992813458372</v>
      </c>
      <c r="E896" s="45">
        <v>308410.36428204365</v>
      </c>
      <c r="F896" s="45" t="s">
        <v>899</v>
      </c>
      <c r="G896" s="25">
        <f t="shared" si="12"/>
        <v>-2.5664527956003602E-2</v>
      </c>
    </row>
    <row r="897" spans="1:7">
      <c r="A897" s="45">
        <v>200.47571573650845</v>
      </c>
      <c r="B897" s="45">
        <v>204.4147878647363</v>
      </c>
      <c r="C897" s="45">
        <v>198.70975562920827</v>
      </c>
      <c r="D897" s="45">
        <v>202.76165298651367</v>
      </c>
      <c r="E897" s="45">
        <v>231613.04624560152</v>
      </c>
      <c r="F897" s="45" t="s">
        <v>900</v>
      </c>
      <c r="G897" s="25">
        <f t="shared" si="12"/>
        <v>-1.1274011709488607E-2</v>
      </c>
    </row>
    <row r="898" spans="1:7">
      <c r="A898" s="45">
        <v>203.55633503479874</v>
      </c>
      <c r="B898" s="45">
        <v>205.36153870003889</v>
      </c>
      <c r="C898" s="45">
        <v>199.53387034594837</v>
      </c>
      <c r="D898" s="45">
        <v>204.71401999402883</v>
      </c>
      <c r="E898" s="45">
        <v>434598.71875211602</v>
      </c>
      <c r="F898" s="45" t="s">
        <v>901</v>
      </c>
      <c r="G898" s="25">
        <f t="shared" si="12"/>
        <v>-5.6551327518450378E-3</v>
      </c>
    </row>
    <row r="899" spans="1:7">
      <c r="A899" s="45">
        <v>207.87312640819914</v>
      </c>
      <c r="B899" s="45">
        <v>208.99156780948925</v>
      </c>
      <c r="C899" s="45">
        <v>205.46945848437392</v>
      </c>
      <c r="D899" s="45">
        <v>208.82478268824423</v>
      </c>
      <c r="E899" s="45">
        <v>386671.36204109946</v>
      </c>
      <c r="F899" s="45" t="s">
        <v>902</v>
      </c>
      <c r="G899" s="25">
        <f t="shared" si="12"/>
        <v>-4.5571999060370905E-3</v>
      </c>
    </row>
    <row r="900" spans="1:7">
      <c r="A900" s="45">
        <v>210.13944187923434</v>
      </c>
      <c r="B900" s="45">
        <v>218.84170085243014</v>
      </c>
      <c r="C900" s="45">
        <v>209.71266818663679</v>
      </c>
      <c r="D900" s="45">
        <v>217.536852550925</v>
      </c>
      <c r="E900" s="45">
        <v>308109.67798805266</v>
      </c>
      <c r="F900" s="45" t="s">
        <v>903</v>
      </c>
      <c r="G900" s="25">
        <f t="shared" si="12"/>
        <v>-3.4005321787759835E-2</v>
      </c>
    </row>
    <row r="901" spans="1:7">
      <c r="A901" s="45">
        <v>216.07503001765991</v>
      </c>
      <c r="B901" s="45">
        <v>216.87461751068747</v>
      </c>
      <c r="C901" s="45">
        <v>212.97969438514212</v>
      </c>
      <c r="D901" s="45">
        <v>216.65387249727496</v>
      </c>
      <c r="E901" s="45">
        <v>440661.36985943245</v>
      </c>
      <c r="F901" s="45" t="s">
        <v>904</v>
      </c>
      <c r="G901" s="25">
        <f t="shared" si="12"/>
        <v>-2.6717384413349476E-3</v>
      </c>
    </row>
    <row r="902" spans="1:7">
      <c r="A902" s="45">
        <v>218.73378106809511</v>
      </c>
      <c r="B902" s="45">
        <v>221.86345481381042</v>
      </c>
      <c r="C902" s="45">
        <v>214.49547681057473</v>
      </c>
      <c r="D902" s="45">
        <v>220.52917384385032</v>
      </c>
      <c r="E902" s="45">
        <v>368605.72178789222</v>
      </c>
      <c r="F902" s="45" t="s">
        <v>905</v>
      </c>
      <c r="G902" s="25">
        <f t="shared" si="12"/>
        <v>-8.1412937094049731E-3</v>
      </c>
    </row>
    <row r="903" spans="1:7">
      <c r="A903" s="45">
        <v>223.05057244149552</v>
      </c>
      <c r="B903" s="45">
        <v>227.16133513571091</v>
      </c>
      <c r="C903" s="45">
        <v>222.32456661960549</v>
      </c>
      <c r="D903" s="45">
        <v>226.25873330309082</v>
      </c>
      <c r="E903" s="45">
        <v>1098787.2217377247</v>
      </c>
      <c r="F903" s="45" t="s">
        <v>906</v>
      </c>
      <c r="G903" s="25">
        <f t="shared" si="12"/>
        <v>-1.4179169196080199E-2</v>
      </c>
    </row>
    <row r="904" spans="1:7">
      <c r="A904" s="45">
        <v>228.26996564751599</v>
      </c>
      <c r="B904" s="45">
        <v>240.50414483531213</v>
      </c>
      <c r="C904" s="45">
        <v>228.18166764215101</v>
      </c>
      <c r="D904" s="45">
        <v>235.13758828701663</v>
      </c>
      <c r="E904" s="45">
        <v>491524.24022025929</v>
      </c>
      <c r="F904" s="45" t="s">
        <v>907</v>
      </c>
      <c r="G904" s="25">
        <f t="shared" si="12"/>
        <v>-2.9206826052488921E-2</v>
      </c>
    </row>
    <row r="905" spans="1:7">
      <c r="A905" s="45">
        <v>234.13687755954655</v>
      </c>
      <c r="B905" s="45">
        <v>237.11448251824433</v>
      </c>
      <c r="C905" s="45">
        <v>232.26299766791138</v>
      </c>
      <c r="D905" s="45">
        <v>233.00862526877145</v>
      </c>
      <c r="E905" s="45">
        <v>475779.49044643331</v>
      </c>
      <c r="F905" s="45" t="s">
        <v>908</v>
      </c>
      <c r="G905" s="25">
        <f t="shared" si="12"/>
        <v>4.8421052631577588E-3</v>
      </c>
    </row>
    <row r="906" spans="1:7">
      <c r="A906" s="45">
        <v>233.19503216898647</v>
      </c>
      <c r="B906" s="45">
        <v>237.17825329989682</v>
      </c>
      <c r="C906" s="45">
        <v>232.55732435246139</v>
      </c>
      <c r="D906" s="45">
        <v>236.37376036212677</v>
      </c>
      <c r="E906" s="45">
        <v>406618.58500178927</v>
      </c>
      <c r="F906" s="45" t="s">
        <v>909</v>
      </c>
      <c r="G906" s="25">
        <f t="shared" si="12"/>
        <v>-1.3447889428464754E-2</v>
      </c>
    </row>
    <row r="907" spans="1:7">
      <c r="A907" s="45">
        <v>240.51395572479714</v>
      </c>
      <c r="B907" s="45">
        <v>241.64220801557227</v>
      </c>
      <c r="C907" s="45">
        <v>238.20839669582193</v>
      </c>
      <c r="D907" s="45">
        <v>238.20839669582193</v>
      </c>
      <c r="E907" s="45">
        <v>352653.03979720466</v>
      </c>
      <c r="F907" s="45" t="s">
        <v>910</v>
      </c>
      <c r="G907" s="25">
        <f t="shared" si="12"/>
        <v>9.6787479406919008E-3</v>
      </c>
    </row>
    <row r="908" spans="1:7">
      <c r="A908" s="45">
        <v>237.57068887929688</v>
      </c>
      <c r="B908" s="45">
        <v>238.85591540183199</v>
      </c>
      <c r="C908" s="45">
        <v>233.46522406540339</v>
      </c>
      <c r="D908" s="45">
        <v>233.99952510675652</v>
      </c>
      <c r="E908" s="45">
        <v>247687.02202945834</v>
      </c>
      <c r="F908" s="45" t="s">
        <v>911</v>
      </c>
      <c r="G908" s="25">
        <f t="shared" si="12"/>
        <v>1.5261414615739488E-2</v>
      </c>
    </row>
    <row r="909" spans="1:7">
      <c r="A909" s="45">
        <v>232.96938171083144</v>
      </c>
      <c r="B909" s="45">
        <v>233.24408661641149</v>
      </c>
      <c r="C909" s="45">
        <v>226.78852133528088</v>
      </c>
      <c r="D909" s="45">
        <v>226.78852133528088</v>
      </c>
      <c r="E909" s="45">
        <v>301828.90190814616</v>
      </c>
      <c r="F909" s="45" t="s">
        <v>912</v>
      </c>
      <c r="G909" s="25">
        <f t="shared" si="12"/>
        <v>2.7253850147084258E-2</v>
      </c>
    </row>
    <row r="910" spans="1:7">
      <c r="A910" s="45">
        <v>228.72126656382605</v>
      </c>
      <c r="B910" s="45">
        <v>229.65330106490114</v>
      </c>
      <c r="C910" s="45">
        <v>216.19276069147992</v>
      </c>
      <c r="D910" s="45">
        <v>218.42964349406009</v>
      </c>
      <c r="E910" s="45">
        <v>464421.70273815701</v>
      </c>
      <c r="F910" s="45" t="s">
        <v>913</v>
      </c>
      <c r="G910" s="25">
        <f t="shared" si="12"/>
        <v>4.7116421128278851E-2</v>
      </c>
    </row>
    <row r="911" spans="1:7">
      <c r="A911" s="45">
        <v>217.50741988247</v>
      </c>
      <c r="B911" s="45">
        <v>219.67562645865522</v>
      </c>
      <c r="C911" s="45">
        <v>215.38718855586649</v>
      </c>
      <c r="D911" s="45">
        <v>219.67562645865522</v>
      </c>
      <c r="E911" s="45">
        <v>319791.59532849543</v>
      </c>
      <c r="F911" s="45" t="s">
        <v>914</v>
      </c>
      <c r="G911" s="25">
        <f t="shared" si="12"/>
        <v>-9.8700370684651206E-3</v>
      </c>
    </row>
    <row r="912" spans="1:7">
      <c r="A912" s="45">
        <v>218.55718505736513</v>
      </c>
      <c r="B912" s="45">
        <v>224.45352963785066</v>
      </c>
      <c r="C912" s="45">
        <v>217.4872094501309</v>
      </c>
      <c r="D912" s="45">
        <v>224.45352963785066</v>
      </c>
      <c r="E912" s="45">
        <v>386491.96954027773</v>
      </c>
      <c r="F912" s="45" t="s">
        <v>915</v>
      </c>
      <c r="G912" s="25">
        <f t="shared" si="12"/>
        <v>-2.6269778826820467E-2</v>
      </c>
    </row>
    <row r="913" spans="1:7">
      <c r="A913" s="45">
        <v>222.36381017754547</v>
      </c>
      <c r="B913" s="45">
        <v>225.01275033849572</v>
      </c>
      <c r="C913" s="45">
        <v>219.80316802196023</v>
      </c>
      <c r="D913" s="45">
        <v>220.84312230737032</v>
      </c>
      <c r="E913" s="45">
        <v>332370.47517304693</v>
      </c>
      <c r="F913" s="45" t="s">
        <v>916</v>
      </c>
      <c r="G913" s="25">
        <f t="shared" si="12"/>
        <v>6.8858285206574443E-3</v>
      </c>
    </row>
    <row r="914" spans="1:7">
      <c r="A914" s="45">
        <v>221.98118548763043</v>
      </c>
      <c r="B914" s="45">
        <v>223.32527734707554</v>
      </c>
      <c r="C914" s="45">
        <v>219.02320230790266</v>
      </c>
      <c r="D914" s="45">
        <v>221.05896187604034</v>
      </c>
      <c r="E914" s="45">
        <v>409846.63074100768</v>
      </c>
      <c r="F914" s="45" t="s">
        <v>917</v>
      </c>
      <c r="G914" s="25">
        <f t="shared" si="12"/>
        <v>4.1718444878395822E-3</v>
      </c>
    </row>
    <row r="915" spans="1:7">
      <c r="A915" s="45">
        <v>218.78283551552013</v>
      </c>
      <c r="B915" s="45">
        <v>220.06806203805527</v>
      </c>
      <c r="C915" s="45">
        <v>216.44784381808992</v>
      </c>
      <c r="D915" s="45">
        <v>218.32172370972509</v>
      </c>
      <c r="E915" s="45">
        <v>307711.14123906801</v>
      </c>
      <c r="F915" s="45" t="s">
        <v>918</v>
      </c>
      <c r="G915" s="25">
        <f t="shared" si="12"/>
        <v>2.1120747764347136E-3</v>
      </c>
    </row>
    <row r="916" spans="1:7">
      <c r="A916" s="45">
        <v>217.73307034062506</v>
      </c>
      <c r="B916" s="45">
        <v>220.66652629664031</v>
      </c>
      <c r="C916" s="45">
        <v>216.54595271293994</v>
      </c>
      <c r="D916" s="45">
        <v>217.30139120328502</v>
      </c>
      <c r="E916" s="45">
        <v>270585.04777355114</v>
      </c>
      <c r="F916" s="45" t="s">
        <v>919</v>
      </c>
      <c r="G916" s="25">
        <f t="shared" si="12"/>
        <v>1.9865456679759586E-3</v>
      </c>
    </row>
    <row r="917" spans="1:7">
      <c r="A917" s="45">
        <v>219.90127691681022</v>
      </c>
      <c r="B917" s="45">
        <v>231.11512359816626</v>
      </c>
      <c r="C917" s="45">
        <v>218.85151174191515</v>
      </c>
      <c r="D917" s="45">
        <v>231.11512359816626</v>
      </c>
      <c r="E917" s="45">
        <v>288281.71026938641</v>
      </c>
      <c r="F917" s="45" t="s">
        <v>920</v>
      </c>
      <c r="G917" s="25">
        <f t="shared" si="12"/>
        <v>-4.8520609585261387E-2</v>
      </c>
    </row>
    <row r="918" spans="1:7">
      <c r="A918" s="45">
        <v>230.28119799194121</v>
      </c>
      <c r="B918" s="45">
        <v>230.70306623979624</v>
      </c>
      <c r="C918" s="45">
        <v>225.61121459708079</v>
      </c>
      <c r="D918" s="45">
        <v>228.03450429987601</v>
      </c>
      <c r="E918" s="45">
        <v>241142.25357618349</v>
      </c>
      <c r="F918" s="45" t="s">
        <v>921</v>
      </c>
      <c r="G918" s="25">
        <f t="shared" si="12"/>
        <v>9.8524286882071266E-3</v>
      </c>
    </row>
    <row r="919" spans="1:7">
      <c r="A919" s="45">
        <v>225.63083637605075</v>
      </c>
      <c r="B919" s="45">
        <v>227.91677362605597</v>
      </c>
      <c r="C919" s="45">
        <v>223.01132888355554</v>
      </c>
      <c r="D919" s="45">
        <v>224.8852087751907</v>
      </c>
      <c r="E919" s="45">
        <v>215008.02788828945</v>
      </c>
      <c r="F919" s="45" t="s">
        <v>922</v>
      </c>
      <c r="G919" s="25">
        <f t="shared" si="12"/>
        <v>3.3155920076781698E-3</v>
      </c>
    </row>
    <row r="920" spans="1:7">
      <c r="A920" s="45">
        <v>225.34632058098575</v>
      </c>
      <c r="B920" s="45">
        <v>229.15294570116609</v>
      </c>
      <c r="C920" s="45">
        <v>223.59017136317058</v>
      </c>
      <c r="D920" s="45">
        <v>229.15294570116609</v>
      </c>
      <c r="E920" s="45">
        <v>369222.38350946695</v>
      </c>
      <c r="F920" s="45" t="s">
        <v>923</v>
      </c>
      <c r="G920" s="25">
        <f t="shared" si="12"/>
        <v>-1.6611722395855621E-2</v>
      </c>
    </row>
    <row r="921" spans="1:7">
      <c r="A921" s="45">
        <v>231.04644737177128</v>
      </c>
      <c r="B921" s="45">
        <v>235.58888920332669</v>
      </c>
      <c r="C921" s="45">
        <v>229.2510545960161</v>
      </c>
      <c r="D921" s="45">
        <v>235.58888920332669</v>
      </c>
      <c r="E921" s="45">
        <v>317621.55763389613</v>
      </c>
      <c r="F921" s="45" t="s">
        <v>924</v>
      </c>
      <c r="G921" s="25">
        <f t="shared" si="12"/>
        <v>-1.9281222671053144E-2</v>
      </c>
    </row>
    <row r="922" spans="1:7">
      <c r="A922" s="45">
        <v>237.60012154775188</v>
      </c>
      <c r="B922" s="45">
        <v>241.89729114218227</v>
      </c>
      <c r="C922" s="45">
        <v>236.45224747800677</v>
      </c>
      <c r="D922" s="45">
        <v>241.05355464647218</v>
      </c>
      <c r="E922" s="45">
        <v>243069.70368444431</v>
      </c>
      <c r="F922" s="45" t="s">
        <v>925</v>
      </c>
      <c r="G922" s="25">
        <f t="shared" si="12"/>
        <v>-1.4326414326414239E-2</v>
      </c>
    </row>
    <row r="923" spans="1:7">
      <c r="A923" s="45">
        <v>240.80828240934716</v>
      </c>
      <c r="B923" s="45">
        <v>240.8769586357422</v>
      </c>
      <c r="C923" s="45">
        <v>236.37376036212677</v>
      </c>
      <c r="D923" s="45">
        <v>240.53357750376713</v>
      </c>
      <c r="E923" s="45">
        <v>296653.02054920985</v>
      </c>
      <c r="F923" s="45" t="s">
        <v>926</v>
      </c>
      <c r="G923" s="25">
        <f t="shared" si="12"/>
        <v>1.142064689807043E-3</v>
      </c>
    </row>
    <row r="924" spans="1:7">
      <c r="A924" s="45">
        <v>240.30792704561213</v>
      </c>
      <c r="B924" s="45">
        <v>246.06691917330767</v>
      </c>
      <c r="C924" s="45">
        <v>240.12152014539711</v>
      </c>
      <c r="D924" s="45">
        <v>246.06691917330767</v>
      </c>
      <c r="E924" s="45">
        <v>383363.81280719867</v>
      </c>
      <c r="F924" s="45" t="s">
        <v>927</v>
      </c>
      <c r="G924" s="25">
        <f t="shared" si="12"/>
        <v>-2.3404170487620113E-2</v>
      </c>
    </row>
    <row r="925" spans="1:7">
      <c r="A925" s="45">
        <v>248.32342375485788</v>
      </c>
      <c r="B925" s="45">
        <v>249.24240977291788</v>
      </c>
      <c r="C925" s="45">
        <v>244.52660952416252</v>
      </c>
      <c r="D925" s="45">
        <v>247.7347703857578</v>
      </c>
      <c r="E925" s="45">
        <v>555640.75085486483</v>
      </c>
      <c r="F925" s="45" t="s">
        <v>928</v>
      </c>
      <c r="G925" s="25">
        <f t="shared" si="12"/>
        <v>2.3761435190687852E-3</v>
      </c>
    </row>
    <row r="926" spans="1:7">
      <c r="A926" s="45">
        <v>249.834300735548</v>
      </c>
      <c r="B926" s="45">
        <v>252.81681113898827</v>
      </c>
      <c r="C926" s="45">
        <v>249.33394537181294</v>
      </c>
      <c r="D926" s="45">
        <v>250.45238677310306</v>
      </c>
      <c r="E926" s="45">
        <v>473761.32481218874</v>
      </c>
      <c r="F926" s="45" t="s">
        <v>929</v>
      </c>
      <c r="G926" s="25">
        <f t="shared" si="12"/>
        <v>-2.4678784080225391E-3</v>
      </c>
    </row>
    <row r="927" spans="1:7">
      <c r="A927" s="45">
        <v>252.09080531709819</v>
      </c>
      <c r="B927" s="45">
        <v>252.28702310679822</v>
      </c>
      <c r="C927" s="45">
        <v>248.13701685464284</v>
      </c>
      <c r="D927" s="45">
        <v>249.58902849842298</v>
      </c>
      <c r="E927" s="45">
        <v>135689.02208461452</v>
      </c>
      <c r="F927" s="45" t="s">
        <v>930</v>
      </c>
      <c r="G927" s="25">
        <f t="shared" si="12"/>
        <v>1.0023584905660243E-2</v>
      </c>
    </row>
    <row r="928" spans="1:7">
      <c r="A928" s="45">
        <v>248.73548111322776</v>
      </c>
      <c r="B928" s="45">
        <v>255.25588378707076</v>
      </c>
      <c r="C928" s="45">
        <v>248.15251498386087</v>
      </c>
      <c r="D928" s="45">
        <v>252.02752513788781</v>
      </c>
      <c r="E928" s="45">
        <v>224896.53068247015</v>
      </c>
      <c r="F928" s="45" t="s">
        <v>931</v>
      </c>
      <c r="G928" s="25">
        <f t="shared" si="12"/>
        <v>-1.3062240018660298E-2</v>
      </c>
    </row>
    <row r="929" spans="1:7">
      <c r="A929" s="45">
        <v>248.91184061454885</v>
      </c>
      <c r="B929" s="45">
        <v>249.48011011880561</v>
      </c>
      <c r="C929" s="45">
        <v>247.5456423443149</v>
      </c>
      <c r="D929" s="45">
        <v>248.19660485919113</v>
      </c>
      <c r="E929" s="45">
        <v>181200.78453738187</v>
      </c>
      <c r="F929" s="45" t="s">
        <v>932</v>
      </c>
      <c r="G929" s="25">
        <f t="shared" si="12"/>
        <v>2.881730617401157E-3</v>
      </c>
    </row>
    <row r="930" spans="1:7">
      <c r="A930" s="45">
        <v>244.25790932968718</v>
      </c>
      <c r="B930" s="45">
        <v>250.17575037401653</v>
      </c>
      <c r="C930" s="45">
        <v>243.19975232176071</v>
      </c>
      <c r="D930" s="45">
        <v>249.73485162071384</v>
      </c>
      <c r="E930" s="45">
        <v>404462.24595599069</v>
      </c>
      <c r="F930" s="45" t="s">
        <v>933</v>
      </c>
      <c r="G930" s="25">
        <f t="shared" si="12"/>
        <v>-2.1931029071364017E-2</v>
      </c>
    </row>
    <row r="931" spans="1:7">
      <c r="A931" s="45">
        <v>250.73422212819992</v>
      </c>
      <c r="B931" s="45">
        <v>252.10590713847495</v>
      </c>
      <c r="C931" s="45">
        <v>247.89287460691594</v>
      </c>
      <c r="D931" s="45">
        <v>248.24559360955811</v>
      </c>
      <c r="E931" s="45">
        <v>321846.33986157394</v>
      </c>
      <c r="F931" s="45" t="s">
        <v>934</v>
      </c>
      <c r="G931" s="25">
        <f t="shared" si="12"/>
        <v>1.0024864822196777E-2</v>
      </c>
    </row>
    <row r="932" spans="1:7">
      <c r="A932" s="45">
        <v>245.50222358900805</v>
      </c>
      <c r="B932" s="45">
        <v>245.56101008944842</v>
      </c>
      <c r="C932" s="45">
        <v>242.15629193894438</v>
      </c>
      <c r="D932" s="45">
        <v>242.34734806537551</v>
      </c>
      <c r="E932" s="45">
        <v>242563.85212906171</v>
      </c>
      <c r="F932" s="45" t="s">
        <v>935</v>
      </c>
      <c r="G932" s="25">
        <f t="shared" si="12"/>
        <v>1.3017990701435167E-2</v>
      </c>
    </row>
    <row r="933" spans="1:7">
      <c r="A933" s="45">
        <v>245.49242583893468</v>
      </c>
      <c r="B933" s="45">
        <v>252.37044639045655</v>
      </c>
      <c r="C933" s="45">
        <v>243.92478582719181</v>
      </c>
      <c r="D933" s="45">
        <v>250.18554812408991</v>
      </c>
      <c r="E933" s="45">
        <v>462118.34003559541</v>
      </c>
      <c r="F933" s="45" t="s">
        <v>936</v>
      </c>
      <c r="G933" s="25">
        <f t="shared" si="12"/>
        <v>-1.8758566673193644E-2</v>
      </c>
    </row>
    <row r="934" spans="1:7">
      <c r="A934" s="45">
        <v>249.81323362130098</v>
      </c>
      <c r="B934" s="45">
        <v>251.80217688619976</v>
      </c>
      <c r="C934" s="45">
        <v>244.95354958489804</v>
      </c>
      <c r="D934" s="45">
        <v>247.53035785420042</v>
      </c>
      <c r="E934" s="45">
        <v>718802.78096960194</v>
      </c>
      <c r="F934" s="45" t="s">
        <v>937</v>
      </c>
      <c r="G934" s="25">
        <f t="shared" si="12"/>
        <v>9.2226092463585374E-3</v>
      </c>
    </row>
    <row r="935" spans="1:7">
      <c r="A935" s="45">
        <v>245.77656059106306</v>
      </c>
      <c r="B935" s="45">
        <v>247.77040273099854</v>
      </c>
      <c r="C935" s="45">
        <v>240.14775317389879</v>
      </c>
      <c r="D935" s="45">
        <v>240.78950580370602</v>
      </c>
      <c r="E935" s="45">
        <v>774277.76205490471</v>
      </c>
      <c r="F935" s="45" t="s">
        <v>938</v>
      </c>
      <c r="G935" s="25">
        <f t="shared" si="12"/>
        <v>2.0711263020833481E-2</v>
      </c>
    </row>
    <row r="936" spans="1:7">
      <c r="A936" s="45">
        <v>240.33880930032998</v>
      </c>
      <c r="B936" s="45">
        <v>240.59355080223818</v>
      </c>
      <c r="C936" s="45">
        <v>231.65800273530377</v>
      </c>
      <c r="D936" s="45">
        <v>234.50914800666112</v>
      </c>
      <c r="E936" s="45">
        <v>741352.85607306776</v>
      </c>
      <c r="F936" s="45" t="s">
        <v>939</v>
      </c>
      <c r="G936" s="25">
        <f t="shared" si="12"/>
        <v>2.4858993106329885E-2</v>
      </c>
    </row>
    <row r="937" spans="1:7">
      <c r="G937" s="25"/>
    </row>
    <row r="938" spans="1:7">
      <c r="G938" s="25"/>
    </row>
    <row r="939" spans="1:7">
      <c r="G939" s="25"/>
    </row>
    <row r="940" spans="1:7">
      <c r="G940" s="25"/>
    </row>
    <row r="941" spans="1:7">
      <c r="G941" s="25"/>
    </row>
    <row r="942" spans="1:7">
      <c r="G942" s="25"/>
    </row>
    <row r="943" spans="1:7">
      <c r="G943" s="25"/>
    </row>
    <row r="944" spans="1:7">
      <c r="G944" s="25"/>
    </row>
    <row r="945" spans="7:7">
      <c r="G945" s="25"/>
    </row>
    <row r="946" spans="7:7">
      <c r="G946" s="25"/>
    </row>
    <row r="947" spans="7:7">
      <c r="G947" s="25"/>
    </row>
    <row r="948" spans="7:7">
      <c r="G948" s="25"/>
    </row>
    <row r="949" spans="7:7">
      <c r="G949" s="25"/>
    </row>
    <row r="950" spans="7:7">
      <c r="G950" s="25"/>
    </row>
    <row r="951" spans="7:7">
      <c r="G951" s="25"/>
    </row>
    <row r="952" spans="7:7">
      <c r="G952" s="25"/>
    </row>
    <row r="953" spans="7:7">
      <c r="G953" s="25"/>
    </row>
    <row r="954" spans="7:7">
      <c r="G954" s="25"/>
    </row>
    <row r="955" spans="7:7">
      <c r="G955" s="25"/>
    </row>
    <row r="956" spans="7:7">
      <c r="G956" s="25"/>
    </row>
    <row r="957" spans="7:7">
      <c r="G957" s="25"/>
    </row>
    <row r="958" spans="7:7">
      <c r="G958" s="25"/>
    </row>
    <row r="959" spans="7:7">
      <c r="G959" s="25"/>
    </row>
    <row r="960" spans="7:7">
      <c r="G960" s="25"/>
    </row>
    <row r="961" spans="7:7">
      <c r="G961" s="25"/>
    </row>
    <row r="962" spans="7:7">
      <c r="G962" s="25"/>
    </row>
    <row r="963" spans="7:7">
      <c r="G963" s="25"/>
    </row>
    <row r="964" spans="7:7">
      <c r="G964" s="25"/>
    </row>
    <row r="965" spans="7:7">
      <c r="G965" s="25"/>
    </row>
    <row r="966" spans="7:7">
      <c r="G966" s="25"/>
    </row>
    <row r="967" spans="7:7">
      <c r="G967" s="25"/>
    </row>
    <row r="968" spans="7:7">
      <c r="G968" s="25"/>
    </row>
    <row r="969" spans="7:7">
      <c r="G969" s="25"/>
    </row>
    <row r="970" spans="7:7">
      <c r="G970" s="25"/>
    </row>
    <row r="971" spans="7:7">
      <c r="G971" s="25"/>
    </row>
    <row r="972" spans="7:7">
      <c r="G972" s="25"/>
    </row>
    <row r="973" spans="7:7">
      <c r="G973" s="25"/>
    </row>
    <row r="974" spans="7:7">
      <c r="G974" s="25"/>
    </row>
    <row r="975" spans="7:7">
      <c r="G975" s="25"/>
    </row>
    <row r="976" spans="7:7">
      <c r="G976" s="25"/>
    </row>
    <row r="977" spans="7:7">
      <c r="G977" s="25"/>
    </row>
    <row r="978" spans="7:7">
      <c r="G978" s="25"/>
    </row>
    <row r="979" spans="7:7">
      <c r="G979" s="25"/>
    </row>
    <row r="980" spans="7:7">
      <c r="G980" s="25"/>
    </row>
    <row r="981" spans="7:7">
      <c r="G981" s="25"/>
    </row>
    <row r="982" spans="7:7">
      <c r="G982" s="25"/>
    </row>
    <row r="983" spans="7:7">
      <c r="G983" s="25"/>
    </row>
    <row r="984" spans="7:7">
      <c r="G984" s="25"/>
    </row>
    <row r="985" spans="7:7">
      <c r="G985" s="25"/>
    </row>
    <row r="986" spans="7:7">
      <c r="G986" s="25"/>
    </row>
    <row r="987" spans="7:7">
      <c r="G987" s="25"/>
    </row>
    <row r="988" spans="7:7">
      <c r="G988" s="25"/>
    </row>
    <row r="989" spans="7:7">
      <c r="G989" s="25"/>
    </row>
    <row r="990" spans="7:7">
      <c r="G990" s="25"/>
    </row>
    <row r="991" spans="7:7">
      <c r="G991" s="25"/>
    </row>
    <row r="992" spans="7:7">
      <c r="G992" s="25"/>
    </row>
    <row r="993" spans="7:7">
      <c r="G993" s="25"/>
    </row>
    <row r="994" spans="7:7">
      <c r="G994" s="25"/>
    </row>
    <row r="995" spans="7:7">
      <c r="G995" s="25"/>
    </row>
    <row r="996" spans="7:7">
      <c r="G996" s="25"/>
    </row>
    <row r="997" spans="7:7">
      <c r="G997" s="25"/>
    </row>
    <row r="998" spans="7:7">
      <c r="G998" s="25"/>
    </row>
    <row r="999" spans="7:7">
      <c r="G999" s="25"/>
    </row>
    <row r="1000" spans="7:7">
      <c r="G1000" s="25"/>
    </row>
    <row r="1001" spans="7:7">
      <c r="G1001" s="25"/>
    </row>
    <row r="1002" spans="7:7">
      <c r="G1002" s="25"/>
    </row>
    <row r="1003" spans="7:7">
      <c r="G1003" s="25"/>
    </row>
    <row r="1004" spans="7:7">
      <c r="G1004" s="25"/>
    </row>
    <row r="1005" spans="7:7">
      <c r="G1005" s="25"/>
    </row>
    <row r="1006" spans="7:7">
      <c r="G1006" s="25"/>
    </row>
    <row r="1007" spans="7:7">
      <c r="G1007" s="25"/>
    </row>
    <row r="1008" spans="7:7">
      <c r="G1008" s="25"/>
    </row>
    <row r="1009" spans="7:7">
      <c r="G1009" s="25"/>
    </row>
    <row r="1010" spans="7:7">
      <c r="G1010" s="25"/>
    </row>
    <row r="1011" spans="7:7">
      <c r="G1011" s="25"/>
    </row>
    <row r="1012" spans="7:7">
      <c r="G1012" s="25"/>
    </row>
    <row r="1013" spans="7:7">
      <c r="G1013" s="25"/>
    </row>
    <row r="1014" spans="7:7">
      <c r="G1014" s="25"/>
    </row>
    <row r="1015" spans="7:7">
      <c r="G1015" s="25"/>
    </row>
    <row r="1016" spans="7:7">
      <c r="G1016" s="25"/>
    </row>
    <row r="1017" spans="7:7">
      <c r="G1017" s="25"/>
    </row>
    <row r="1018" spans="7:7">
      <c r="G1018" s="25"/>
    </row>
    <row r="1019" spans="7:7">
      <c r="G1019" s="25"/>
    </row>
    <row r="1020" spans="7:7">
      <c r="G1020" s="25"/>
    </row>
    <row r="1021" spans="7:7">
      <c r="G1021" s="25"/>
    </row>
    <row r="1022" spans="7:7">
      <c r="G1022" s="25"/>
    </row>
    <row r="1023" spans="7:7">
      <c r="G1023" s="25"/>
    </row>
    <row r="1024" spans="7:7">
      <c r="G1024" s="25"/>
    </row>
    <row r="1025" spans="7:7">
      <c r="G1025" s="25"/>
    </row>
    <row r="1026" spans="7:7">
      <c r="G1026" s="25"/>
    </row>
    <row r="1027" spans="7:7">
      <c r="G1027" s="25"/>
    </row>
    <row r="1028" spans="7:7">
      <c r="G1028" s="25"/>
    </row>
    <row r="1029" spans="7:7">
      <c r="G1029" s="25"/>
    </row>
    <row r="1030" spans="7:7">
      <c r="G1030" s="25"/>
    </row>
    <row r="1031" spans="7:7">
      <c r="G1031" s="25"/>
    </row>
    <row r="1032" spans="7:7">
      <c r="G1032" s="25"/>
    </row>
    <row r="1033" spans="7:7">
      <c r="G1033" s="25"/>
    </row>
    <row r="1034" spans="7:7">
      <c r="G1034" s="25"/>
    </row>
    <row r="1035" spans="7:7">
      <c r="G1035" s="25"/>
    </row>
    <row r="1036" spans="7:7">
      <c r="G1036" s="25"/>
    </row>
    <row r="1037" spans="7:7">
      <c r="G1037" s="25"/>
    </row>
    <row r="1038" spans="7:7">
      <c r="G1038" s="25"/>
    </row>
    <row r="1039" spans="7:7">
      <c r="G1039" s="25"/>
    </row>
    <row r="1040" spans="7:7">
      <c r="G1040" s="25"/>
    </row>
    <row r="1041" spans="7:7">
      <c r="G1041" s="25"/>
    </row>
    <row r="1042" spans="7:7">
      <c r="G1042" s="25"/>
    </row>
    <row r="1043" spans="7:7">
      <c r="G1043" s="25"/>
    </row>
    <row r="1044" spans="7:7">
      <c r="G1044" s="25"/>
    </row>
    <row r="1045" spans="7:7">
      <c r="G1045" s="25"/>
    </row>
    <row r="1046" spans="7:7">
      <c r="G1046" s="25"/>
    </row>
    <row r="1047" spans="7:7">
      <c r="G1047" s="25"/>
    </row>
    <row r="1048" spans="7:7">
      <c r="G1048" s="25"/>
    </row>
    <row r="1049" spans="7:7">
      <c r="G1049" s="25"/>
    </row>
    <row r="1050" spans="7:7">
      <c r="G1050" s="25"/>
    </row>
    <row r="1051" spans="7:7">
      <c r="G1051" s="25"/>
    </row>
    <row r="1052" spans="7:7">
      <c r="G1052" s="25"/>
    </row>
    <row r="1053" spans="7:7">
      <c r="G1053" s="25"/>
    </row>
    <row r="1054" spans="7:7">
      <c r="G1054" s="25"/>
    </row>
    <row r="1055" spans="7:7">
      <c r="G1055" s="25"/>
    </row>
    <row r="1056" spans="7:7">
      <c r="G1056" s="25"/>
    </row>
    <row r="1057" spans="7:7">
      <c r="G1057" s="25"/>
    </row>
    <row r="1058" spans="7:7">
      <c r="G1058" s="25"/>
    </row>
    <row r="1059" spans="7:7">
      <c r="G1059" s="25"/>
    </row>
    <row r="1060" spans="7:7">
      <c r="G1060" s="25"/>
    </row>
    <row r="1061" spans="7:7">
      <c r="G1061" s="25"/>
    </row>
    <row r="1062" spans="7:7">
      <c r="G1062" s="25"/>
    </row>
    <row r="1063" spans="7:7">
      <c r="G1063" s="25"/>
    </row>
    <row r="1064" spans="7:7">
      <c r="G1064" s="25"/>
    </row>
    <row r="1065" spans="7:7">
      <c r="G1065" s="25"/>
    </row>
    <row r="1066" spans="7:7">
      <c r="G1066" s="25"/>
    </row>
    <row r="1067" spans="7:7">
      <c r="G1067" s="25"/>
    </row>
    <row r="1068" spans="7:7">
      <c r="G1068" s="25"/>
    </row>
    <row r="1069" spans="7:7">
      <c r="G1069" s="25"/>
    </row>
    <row r="1070" spans="7:7">
      <c r="G1070" s="25"/>
    </row>
    <row r="1071" spans="7:7">
      <c r="G1071" s="25"/>
    </row>
    <row r="1072" spans="7:7">
      <c r="G1072" s="25"/>
    </row>
    <row r="1073" spans="7:7">
      <c r="G1073" s="25"/>
    </row>
    <row r="1074" spans="7:7">
      <c r="G1074" s="25"/>
    </row>
    <row r="1075" spans="7:7">
      <c r="G1075" s="25"/>
    </row>
    <row r="1076" spans="7:7">
      <c r="G1076" s="25"/>
    </row>
    <row r="1077" spans="7:7">
      <c r="G1077" s="25"/>
    </row>
    <row r="1078" spans="7:7">
      <c r="G1078" s="25"/>
    </row>
    <row r="1079" spans="7:7">
      <c r="G1079" s="25"/>
    </row>
    <row r="1080" spans="7:7">
      <c r="G1080" s="25"/>
    </row>
    <row r="1081" spans="7:7">
      <c r="G1081" s="25"/>
    </row>
    <row r="1082" spans="7:7">
      <c r="G1082" s="25"/>
    </row>
    <row r="1083" spans="7:7">
      <c r="G1083" s="25"/>
    </row>
    <row r="1084" spans="7:7">
      <c r="G1084" s="25"/>
    </row>
    <row r="1085" spans="7:7">
      <c r="G1085" s="25"/>
    </row>
    <row r="1086" spans="7:7">
      <c r="G1086" s="25"/>
    </row>
    <row r="1087" spans="7:7">
      <c r="G1087" s="25"/>
    </row>
    <row r="1088" spans="7:7">
      <c r="G1088" s="25"/>
    </row>
    <row r="1089" spans="7:7">
      <c r="G1089" s="25"/>
    </row>
    <row r="1090" spans="7:7">
      <c r="G1090" s="25"/>
    </row>
    <row r="1091" spans="7:7">
      <c r="G1091" s="25"/>
    </row>
    <row r="1092" spans="7:7">
      <c r="G1092" s="25"/>
    </row>
    <row r="1093" spans="7:7">
      <c r="G1093" s="25"/>
    </row>
    <row r="1094" spans="7:7">
      <c r="G1094" s="25"/>
    </row>
    <row r="1095" spans="7:7">
      <c r="G1095" s="25"/>
    </row>
    <row r="1096" spans="7:7">
      <c r="G1096" s="25"/>
    </row>
    <row r="1097" spans="7:7">
      <c r="G1097" s="25"/>
    </row>
    <row r="1098" spans="7:7">
      <c r="G1098" s="25"/>
    </row>
    <row r="1099" spans="7:7">
      <c r="G1099" s="25"/>
    </row>
    <row r="1100" spans="7:7">
      <c r="G1100" s="25"/>
    </row>
    <row r="1101" spans="7:7">
      <c r="G1101" s="25"/>
    </row>
    <row r="1102" spans="7:7">
      <c r="G1102" s="25"/>
    </row>
    <row r="1103" spans="7:7">
      <c r="G1103" s="25"/>
    </row>
    <row r="1104" spans="7:7">
      <c r="G1104" s="25"/>
    </row>
    <row r="1105" spans="7:7">
      <c r="G1105" s="25"/>
    </row>
    <row r="1106" spans="7:7">
      <c r="G1106" s="25"/>
    </row>
    <row r="1107" spans="7:7">
      <c r="G1107" s="25"/>
    </row>
    <row r="1108" spans="7:7">
      <c r="G1108" s="25"/>
    </row>
    <row r="1109" spans="7:7">
      <c r="G1109" s="25"/>
    </row>
    <row r="1110" spans="7:7">
      <c r="G1110" s="25"/>
    </row>
    <row r="1111" spans="7:7">
      <c r="G1111" s="25"/>
    </row>
    <row r="1112" spans="7:7">
      <c r="G1112" s="25"/>
    </row>
    <row r="1113" spans="7:7">
      <c r="G1113" s="25"/>
    </row>
    <row r="1114" spans="7:7">
      <c r="G1114" s="25"/>
    </row>
    <row r="1115" spans="7:7">
      <c r="G1115" s="25"/>
    </row>
    <row r="1116" spans="7:7">
      <c r="G1116" s="25"/>
    </row>
    <row r="1117" spans="7:7">
      <c r="G1117" s="25"/>
    </row>
    <row r="1118" spans="7:7">
      <c r="G1118" s="25"/>
    </row>
    <row r="1119" spans="7:7">
      <c r="G1119" s="25"/>
    </row>
    <row r="1120" spans="7:7">
      <c r="G1120" s="25"/>
    </row>
    <row r="1121" spans="7:7">
      <c r="G1121" s="25"/>
    </row>
    <row r="1122" spans="7:7">
      <c r="G1122" s="25"/>
    </row>
    <row r="1123" spans="7:7">
      <c r="G1123" s="25"/>
    </row>
    <row r="1124" spans="7:7">
      <c r="G1124" s="25"/>
    </row>
    <row r="1125" spans="7:7">
      <c r="G1125" s="25"/>
    </row>
    <row r="1126" spans="7:7">
      <c r="G1126" s="25"/>
    </row>
    <row r="1127" spans="7:7">
      <c r="G1127" s="25"/>
    </row>
    <row r="1128" spans="7:7">
      <c r="G1128" s="25"/>
    </row>
    <row r="1129" spans="7:7">
      <c r="G1129" s="25"/>
    </row>
    <row r="1130" spans="7:7">
      <c r="G1130" s="25"/>
    </row>
    <row r="1131" spans="7:7">
      <c r="G1131" s="25"/>
    </row>
    <row r="1132" spans="7:7">
      <c r="G1132" s="25"/>
    </row>
    <row r="1133" spans="7:7">
      <c r="G1133" s="25"/>
    </row>
    <row r="1134" spans="7:7">
      <c r="G1134" s="25"/>
    </row>
    <row r="1135" spans="7:7">
      <c r="G1135" s="25"/>
    </row>
    <row r="1136" spans="7:7">
      <c r="G1136" s="25"/>
    </row>
    <row r="1137" spans="7:7">
      <c r="G1137" s="25"/>
    </row>
    <row r="1138" spans="7:7">
      <c r="G1138" s="25"/>
    </row>
    <row r="1139" spans="7:7">
      <c r="G1139" s="25"/>
    </row>
    <row r="1140" spans="7:7">
      <c r="G1140" s="25"/>
    </row>
    <row r="1141" spans="7:7">
      <c r="G1141" s="25"/>
    </row>
    <row r="1142" spans="7:7">
      <c r="G1142" s="25"/>
    </row>
    <row r="1143" spans="7:7">
      <c r="G1143" s="25"/>
    </row>
    <row r="1144" spans="7:7">
      <c r="G1144" s="25"/>
    </row>
    <row r="1145" spans="7:7">
      <c r="G1145" s="25"/>
    </row>
    <row r="1146" spans="7:7">
      <c r="G1146" s="25"/>
    </row>
    <row r="1147" spans="7:7">
      <c r="G1147" s="25"/>
    </row>
    <row r="1148" spans="7:7">
      <c r="G1148" s="25"/>
    </row>
    <row r="1149" spans="7:7">
      <c r="G1149" s="25"/>
    </row>
    <row r="1150" spans="7:7">
      <c r="G1150" s="25"/>
    </row>
    <row r="1151" spans="7:7">
      <c r="G1151" s="25"/>
    </row>
    <row r="1152" spans="7:7">
      <c r="G1152" s="25"/>
    </row>
    <row r="1153" spans="7:7">
      <c r="G1153" s="25"/>
    </row>
    <row r="1154" spans="7:7">
      <c r="G1154" s="25"/>
    </row>
    <row r="1155" spans="7:7">
      <c r="G1155" s="25"/>
    </row>
    <row r="1156" spans="7:7">
      <c r="G1156" s="25"/>
    </row>
    <row r="1157" spans="7:7">
      <c r="G1157" s="25"/>
    </row>
    <row r="1158" spans="7:7">
      <c r="G1158" s="25"/>
    </row>
    <row r="1159" spans="7:7">
      <c r="G1159" s="25"/>
    </row>
    <row r="1160" spans="7:7">
      <c r="G1160" s="25"/>
    </row>
    <row r="1161" spans="7:7">
      <c r="G1161" s="25"/>
    </row>
    <row r="1162" spans="7:7">
      <c r="G1162" s="25"/>
    </row>
    <row r="1163" spans="7:7">
      <c r="G1163" s="25"/>
    </row>
    <row r="1164" spans="7:7">
      <c r="G1164" s="25"/>
    </row>
    <row r="1165" spans="7:7">
      <c r="G1165" s="25"/>
    </row>
    <row r="1166" spans="7:7">
      <c r="G1166" s="25"/>
    </row>
    <row r="1167" spans="7:7">
      <c r="G1167" s="25"/>
    </row>
    <row r="1168" spans="7:7">
      <c r="G1168" s="25"/>
    </row>
    <row r="1169" spans="7:7">
      <c r="G1169" s="25"/>
    </row>
    <row r="1170" spans="7:7">
      <c r="G1170" s="25"/>
    </row>
    <row r="1171" spans="7:7">
      <c r="G1171" s="25"/>
    </row>
    <row r="1172" spans="7:7">
      <c r="G1172" s="25"/>
    </row>
    <row r="1173" spans="7:7">
      <c r="G1173" s="25"/>
    </row>
    <row r="1174" spans="7:7">
      <c r="G1174" s="25"/>
    </row>
    <row r="1175" spans="7:7">
      <c r="G1175" s="25"/>
    </row>
    <row r="1176" spans="7:7">
      <c r="G1176" s="25"/>
    </row>
    <row r="1177" spans="7:7">
      <c r="G1177" s="25"/>
    </row>
    <row r="1178" spans="7:7">
      <c r="G1178" s="25"/>
    </row>
    <row r="1179" spans="7:7">
      <c r="G1179" s="25"/>
    </row>
    <row r="1180" spans="7:7">
      <c r="G1180" s="25"/>
    </row>
    <row r="1181" spans="7:7">
      <c r="G1181" s="25"/>
    </row>
    <row r="1182" spans="7:7">
      <c r="G1182" s="25"/>
    </row>
    <row r="1183" spans="7:7">
      <c r="G1183" s="25"/>
    </row>
    <row r="1184" spans="7:7">
      <c r="G1184" s="25"/>
    </row>
    <row r="1185" spans="7:7">
      <c r="G1185" s="25"/>
    </row>
    <row r="1186" spans="7:7">
      <c r="G1186" s="25"/>
    </row>
    <row r="1187" spans="7:7">
      <c r="G1187" s="25"/>
    </row>
    <row r="1188" spans="7:7">
      <c r="G1188" s="25"/>
    </row>
    <row r="1189" spans="7:7">
      <c r="G1189" s="25"/>
    </row>
    <row r="1190" spans="7:7">
      <c r="G1190" s="25"/>
    </row>
    <row r="1191" spans="7:7">
      <c r="G1191" s="25"/>
    </row>
    <row r="1192" spans="7:7">
      <c r="G1192" s="25"/>
    </row>
    <row r="1193" spans="7:7">
      <c r="G1193" s="25"/>
    </row>
    <row r="1194" spans="7:7">
      <c r="G1194" s="25"/>
    </row>
    <row r="1195" spans="7:7">
      <c r="G1195" s="25"/>
    </row>
    <row r="1196" spans="7:7">
      <c r="G1196" s="25"/>
    </row>
    <row r="1197" spans="7:7">
      <c r="G1197" s="25"/>
    </row>
    <row r="1198" spans="7:7">
      <c r="G1198" s="25"/>
    </row>
    <row r="1199" spans="7:7">
      <c r="G1199" s="25"/>
    </row>
    <row r="1200" spans="7:7">
      <c r="G1200" s="25"/>
    </row>
    <row r="1201" spans="7:7">
      <c r="G1201" s="25"/>
    </row>
    <row r="1202" spans="7:7">
      <c r="G1202" s="25"/>
    </row>
    <row r="1203" spans="7:7">
      <c r="G1203" s="25"/>
    </row>
    <row r="1204" spans="7:7">
      <c r="G1204" s="25"/>
    </row>
    <row r="1205" spans="7:7">
      <c r="G1205" s="25"/>
    </row>
    <row r="1206" spans="7:7">
      <c r="G1206" s="25"/>
    </row>
    <row r="1207" spans="7:7">
      <c r="G1207" s="25"/>
    </row>
    <row r="1208" spans="7:7">
      <c r="G1208" s="25"/>
    </row>
    <row r="1209" spans="7:7">
      <c r="G1209" s="25"/>
    </row>
    <row r="1210" spans="7:7">
      <c r="G1210" s="25"/>
    </row>
    <row r="1211" spans="7:7">
      <c r="G1211" s="25"/>
    </row>
    <row r="1212" spans="7:7">
      <c r="G1212" s="25"/>
    </row>
    <row r="1213" spans="7:7">
      <c r="G1213" s="25"/>
    </row>
    <row r="1214" spans="7:7">
      <c r="G1214" s="25"/>
    </row>
    <row r="1215" spans="7:7">
      <c r="G1215" s="25"/>
    </row>
    <row r="1216" spans="7:7">
      <c r="G1216" s="25"/>
    </row>
    <row r="1217" spans="7:7">
      <c r="G1217" s="25"/>
    </row>
    <row r="1218" spans="7:7">
      <c r="G1218" s="25"/>
    </row>
    <row r="1219" spans="7:7">
      <c r="G1219" s="25"/>
    </row>
    <row r="1220" spans="7:7">
      <c r="G1220" s="25"/>
    </row>
    <row r="1221" spans="7:7">
      <c r="G1221" s="25"/>
    </row>
    <row r="1222" spans="7:7">
      <c r="G1222" s="25"/>
    </row>
    <row r="1223" spans="7:7">
      <c r="G1223" s="25"/>
    </row>
    <row r="1224" spans="7:7">
      <c r="G1224" s="25"/>
    </row>
    <row r="1225" spans="7:7">
      <c r="G1225" s="25"/>
    </row>
    <row r="1226" spans="7:7">
      <c r="G1226" s="25"/>
    </row>
    <row r="1227" spans="7:7">
      <c r="G1227" s="25"/>
    </row>
    <row r="1228" spans="7:7">
      <c r="G1228" s="25"/>
    </row>
    <row r="1229" spans="7:7">
      <c r="G1229" s="25"/>
    </row>
    <row r="1230" spans="7:7">
      <c r="G1230" s="25"/>
    </row>
    <row r="1231" spans="7:7">
      <c r="G1231" s="25"/>
    </row>
    <row r="1232" spans="7:7">
      <c r="G1232" s="25"/>
    </row>
    <row r="1233" spans="7:7">
      <c r="G1233" s="25"/>
    </row>
    <row r="1234" spans="7:7">
      <c r="G1234" s="25"/>
    </row>
    <row r="1235" spans="7:7">
      <c r="G1235" s="25"/>
    </row>
    <row r="1236" spans="7:7">
      <c r="G1236" s="25"/>
    </row>
    <row r="1237" spans="7:7">
      <c r="G1237" s="25"/>
    </row>
    <row r="1238" spans="7:7">
      <c r="G1238" s="25"/>
    </row>
    <row r="1239" spans="7:7">
      <c r="G1239" s="25"/>
    </row>
    <row r="1240" spans="7:7">
      <c r="G1240" s="25"/>
    </row>
    <row r="1241" spans="7:7">
      <c r="G1241" s="25"/>
    </row>
    <row r="1242" spans="7:7">
      <c r="G1242" s="25"/>
    </row>
    <row r="1243" spans="7:7">
      <c r="G1243" s="25"/>
    </row>
    <row r="1244" spans="7:7">
      <c r="G1244" s="25"/>
    </row>
    <row r="1245" spans="7:7">
      <c r="G1245" s="25"/>
    </row>
    <row r="1246" spans="7:7">
      <c r="G1246" s="25"/>
    </row>
    <row r="1247" spans="7:7">
      <c r="G1247" s="25"/>
    </row>
    <row r="1248" spans="7:7">
      <c r="G1248" s="25"/>
    </row>
    <row r="1249" spans="7:7">
      <c r="G1249" s="25"/>
    </row>
    <row r="1250" spans="7:7">
      <c r="G1250" s="25"/>
    </row>
    <row r="1251" spans="7:7">
      <c r="G1251" s="25"/>
    </row>
    <row r="1252" spans="7:7">
      <c r="G1252" s="25"/>
    </row>
    <row r="1253" spans="7:7">
      <c r="G1253" s="25"/>
    </row>
    <row r="1254" spans="7:7">
      <c r="G1254" s="25"/>
    </row>
    <row r="1255" spans="7:7">
      <c r="G1255" s="25"/>
    </row>
    <row r="1256" spans="7:7">
      <c r="G1256" s="25"/>
    </row>
    <row r="1257" spans="7:7">
      <c r="G1257" s="25"/>
    </row>
    <row r="1258" spans="7:7">
      <c r="G1258" s="25"/>
    </row>
    <row r="1259" spans="7:7">
      <c r="G1259" s="25"/>
    </row>
    <row r="1260" spans="7:7">
      <c r="G1260" s="25"/>
    </row>
    <row r="1261" spans="7:7">
      <c r="G1261" s="25"/>
    </row>
    <row r="1262" spans="7:7">
      <c r="G1262" s="25"/>
    </row>
    <row r="1263" spans="7:7">
      <c r="G1263" s="25"/>
    </row>
    <row r="1264" spans="7:7">
      <c r="G1264" s="25"/>
    </row>
    <row r="1265" spans="7:7">
      <c r="G1265" s="25"/>
    </row>
    <row r="1266" spans="7:7">
      <c r="G1266" s="25"/>
    </row>
    <row r="1267" spans="7:7">
      <c r="G1267" s="25"/>
    </row>
    <row r="1268" spans="7:7">
      <c r="G1268" s="25"/>
    </row>
    <row r="1269" spans="7:7">
      <c r="G1269" s="25"/>
    </row>
    <row r="1270" spans="7:7">
      <c r="G1270" s="25"/>
    </row>
    <row r="1271" spans="7:7">
      <c r="G1271" s="25"/>
    </row>
    <row r="1272" spans="7:7">
      <c r="G1272" s="25"/>
    </row>
    <row r="1273" spans="7:7">
      <c r="G1273" s="25"/>
    </row>
    <row r="1274" spans="7:7">
      <c r="G1274" s="25"/>
    </row>
    <row r="1275" spans="7:7">
      <c r="G1275" s="25"/>
    </row>
    <row r="1276" spans="7:7">
      <c r="G1276" s="25"/>
    </row>
    <row r="1277" spans="7:7">
      <c r="G1277" s="25"/>
    </row>
    <row r="1278" spans="7:7">
      <c r="G1278" s="25"/>
    </row>
    <row r="1279" spans="7:7">
      <c r="G1279" s="25"/>
    </row>
    <row r="1280" spans="7:7">
      <c r="G1280" s="25"/>
    </row>
    <row r="1281" spans="7:7">
      <c r="G1281" s="25"/>
    </row>
    <row r="1282" spans="7:7">
      <c r="G1282" s="25"/>
    </row>
    <row r="1283" spans="7:7">
      <c r="G1283" s="25"/>
    </row>
    <row r="1284" spans="7:7">
      <c r="G1284" s="25"/>
    </row>
    <row r="1285" spans="7:7">
      <c r="G1285" s="25"/>
    </row>
    <row r="1286" spans="7:7">
      <c r="G1286" s="25"/>
    </row>
    <row r="1287" spans="7:7">
      <c r="G1287" s="25"/>
    </row>
    <row r="1288" spans="7:7">
      <c r="G1288" s="25"/>
    </row>
    <row r="1289" spans="7:7">
      <c r="G1289" s="25"/>
    </row>
    <row r="1290" spans="7:7">
      <c r="G1290" s="25"/>
    </row>
    <row r="1291" spans="7:7">
      <c r="G1291" s="25"/>
    </row>
    <row r="1292" spans="7:7">
      <c r="G1292" s="25"/>
    </row>
    <row r="1293" spans="7:7">
      <c r="G1293" s="25"/>
    </row>
    <row r="1294" spans="7:7">
      <c r="G1294" s="25"/>
    </row>
    <row r="1295" spans="7:7">
      <c r="G1295" s="25"/>
    </row>
    <row r="1296" spans="7:7">
      <c r="G1296" s="25"/>
    </row>
    <row r="1297" spans="7:7">
      <c r="G1297" s="25"/>
    </row>
    <row r="1298" spans="7:7">
      <c r="G1298" s="25"/>
    </row>
    <row r="1299" spans="7:7">
      <c r="G1299" s="25"/>
    </row>
    <row r="1300" spans="7:7">
      <c r="G1300" s="25"/>
    </row>
    <row r="1301" spans="7:7">
      <c r="G1301" s="25"/>
    </row>
    <row r="1302" spans="7:7">
      <c r="G1302" s="25"/>
    </row>
    <row r="1303" spans="7:7">
      <c r="G1303" s="25"/>
    </row>
    <row r="1304" spans="7:7">
      <c r="G1304" s="25"/>
    </row>
    <row r="1305" spans="7:7">
      <c r="G1305" s="25"/>
    </row>
    <row r="1306" spans="7:7">
      <c r="G1306" s="25"/>
    </row>
    <row r="1307" spans="7:7">
      <c r="G1307" s="25"/>
    </row>
    <row r="1308" spans="7:7">
      <c r="G1308" s="25"/>
    </row>
    <row r="1309" spans="7:7">
      <c r="G1309" s="25"/>
    </row>
    <row r="1310" spans="7:7">
      <c r="G1310" s="25"/>
    </row>
    <row r="1311" spans="7:7">
      <c r="G1311" s="25"/>
    </row>
    <row r="1312" spans="7:7">
      <c r="G1312" s="25"/>
    </row>
    <row r="1313" spans="7:7">
      <c r="G1313" s="25"/>
    </row>
    <row r="1314" spans="7:7">
      <c r="G1314" s="25"/>
    </row>
    <row r="1315" spans="7:7">
      <c r="G1315" s="25"/>
    </row>
    <row r="1316" spans="7:7">
      <c r="G1316" s="25"/>
    </row>
    <row r="1317" spans="7:7">
      <c r="G1317" s="25"/>
    </row>
    <row r="1318" spans="7:7">
      <c r="G1318" s="25"/>
    </row>
    <row r="1319" spans="7:7">
      <c r="G1319" s="25"/>
    </row>
    <row r="1320" spans="7:7">
      <c r="G1320" s="25"/>
    </row>
    <row r="1321" spans="7:7">
      <c r="G1321" s="25"/>
    </row>
    <row r="1322" spans="7:7">
      <c r="G1322" s="25"/>
    </row>
    <row r="1323" spans="7:7">
      <c r="G1323" s="25"/>
    </row>
    <row r="1324" spans="7:7">
      <c r="G1324" s="25"/>
    </row>
    <row r="1325" spans="7:7">
      <c r="G1325" s="25"/>
    </row>
    <row r="1326" spans="7:7">
      <c r="G1326" s="25"/>
    </row>
    <row r="1327" spans="7:7">
      <c r="G1327" s="25"/>
    </row>
    <row r="1328" spans="7:7">
      <c r="G1328" s="25"/>
    </row>
    <row r="1329" spans="7:7">
      <c r="G1329" s="25"/>
    </row>
    <row r="1330" spans="7:7">
      <c r="G1330" s="25"/>
    </row>
    <row r="1331" spans="7:7">
      <c r="G1331" s="25"/>
    </row>
    <row r="1332" spans="7:7">
      <c r="G1332" s="25"/>
    </row>
    <row r="1333" spans="7:7">
      <c r="G1333" s="25"/>
    </row>
    <row r="1334" spans="7:7">
      <c r="G1334" s="25"/>
    </row>
    <row r="1335" spans="7:7">
      <c r="G1335" s="25"/>
    </row>
    <row r="1336" spans="7:7">
      <c r="G1336" s="25"/>
    </row>
    <row r="1337" spans="7:7">
      <c r="G1337" s="25"/>
    </row>
    <row r="1338" spans="7:7">
      <c r="G1338" s="25"/>
    </row>
    <row r="1339" spans="7:7">
      <c r="G1339" s="25"/>
    </row>
    <row r="1340" spans="7:7">
      <c r="G1340" s="25"/>
    </row>
    <row r="1341" spans="7:7">
      <c r="G1341" s="25"/>
    </row>
    <row r="1342" spans="7:7">
      <c r="G1342" s="25"/>
    </row>
    <row r="1343" spans="7:7">
      <c r="G1343" s="25"/>
    </row>
    <row r="1344" spans="7:7">
      <c r="G1344" s="25"/>
    </row>
    <row r="1345" spans="7:7">
      <c r="G1345" s="25"/>
    </row>
    <row r="1346" spans="7:7">
      <c r="G1346" s="25"/>
    </row>
    <row r="1347" spans="7:7">
      <c r="G1347" s="25"/>
    </row>
    <row r="1348" spans="7:7">
      <c r="G1348" s="25"/>
    </row>
    <row r="1349" spans="7:7">
      <c r="G1349" s="25"/>
    </row>
    <row r="1350" spans="7:7">
      <c r="G1350" s="25"/>
    </row>
    <row r="1351" spans="7:7">
      <c r="G1351" s="25"/>
    </row>
    <row r="1352" spans="7:7">
      <c r="G1352" s="25"/>
    </row>
    <row r="1353" spans="7:7">
      <c r="G1353" s="25"/>
    </row>
    <row r="1354" spans="7:7">
      <c r="G1354" s="25"/>
    </row>
    <row r="1355" spans="7:7">
      <c r="G1355" s="25"/>
    </row>
    <row r="1356" spans="7:7">
      <c r="G1356" s="25"/>
    </row>
    <row r="1357" spans="7:7">
      <c r="G1357" s="25"/>
    </row>
    <row r="1358" spans="7:7">
      <c r="G1358" s="25"/>
    </row>
    <row r="1359" spans="7:7">
      <c r="G1359" s="25"/>
    </row>
    <row r="1360" spans="7:7">
      <c r="G1360" s="25"/>
    </row>
    <row r="1361" spans="7:7">
      <c r="G1361" s="25"/>
    </row>
    <row r="1362" spans="7:7">
      <c r="G1362" s="25"/>
    </row>
    <row r="1363" spans="7:7">
      <c r="G1363" s="25"/>
    </row>
    <row r="1364" spans="7:7">
      <c r="G1364" s="25"/>
    </row>
    <row r="1365" spans="7:7">
      <c r="G1365" s="25"/>
    </row>
    <row r="1366" spans="7:7">
      <c r="G1366" s="25"/>
    </row>
    <row r="1367" spans="7:7">
      <c r="G1367" s="25"/>
    </row>
    <row r="1368" spans="7:7">
      <c r="G1368" s="25"/>
    </row>
    <row r="1369" spans="7:7">
      <c r="G1369" s="25"/>
    </row>
    <row r="1370" spans="7:7">
      <c r="G1370" s="25"/>
    </row>
    <row r="1371" spans="7:7">
      <c r="G1371" s="25"/>
    </row>
    <row r="1372" spans="7:7">
      <c r="G1372" s="25"/>
    </row>
    <row r="1373" spans="7:7">
      <c r="G1373" s="25"/>
    </row>
    <row r="1374" spans="7:7">
      <c r="G1374" s="25"/>
    </row>
    <row r="1375" spans="7:7">
      <c r="G1375" s="25"/>
    </row>
    <row r="1376" spans="7:7">
      <c r="G1376" s="25"/>
    </row>
    <row r="1377" spans="7:7">
      <c r="G1377" s="25"/>
    </row>
    <row r="1378" spans="7:7">
      <c r="G1378" s="25"/>
    </row>
    <row r="1379" spans="7:7">
      <c r="G1379" s="25"/>
    </row>
    <row r="1380" spans="7:7">
      <c r="G1380" s="25"/>
    </row>
    <row r="1381" spans="7:7">
      <c r="G1381" s="25"/>
    </row>
    <row r="1382" spans="7:7">
      <c r="G1382" s="25"/>
    </row>
    <row r="1383" spans="7:7">
      <c r="G1383" s="25"/>
    </row>
    <row r="1384" spans="7:7">
      <c r="G1384" s="25"/>
    </row>
    <row r="1385" spans="7:7">
      <c r="G1385" s="25"/>
    </row>
    <row r="1386" spans="7:7">
      <c r="G1386" s="25"/>
    </row>
    <row r="1387" spans="7:7">
      <c r="G1387" s="25"/>
    </row>
    <row r="1388" spans="7:7">
      <c r="G1388" s="25"/>
    </row>
    <row r="1389" spans="7:7">
      <c r="G1389" s="25"/>
    </row>
    <row r="1390" spans="7:7">
      <c r="G1390" s="25"/>
    </row>
    <row r="1391" spans="7:7">
      <c r="G1391" s="25"/>
    </row>
    <row r="1392" spans="7:7">
      <c r="G1392" s="25"/>
    </row>
    <row r="1393" spans="7:7">
      <c r="G1393" s="25"/>
    </row>
    <row r="1394" spans="7:7">
      <c r="G1394" s="25"/>
    </row>
    <row r="1395" spans="7:7">
      <c r="G1395" s="25"/>
    </row>
    <row r="1396" spans="7:7">
      <c r="G1396" s="25"/>
    </row>
    <row r="1397" spans="7:7">
      <c r="G1397" s="25"/>
    </row>
    <row r="1398" spans="7:7">
      <c r="G1398" s="25"/>
    </row>
    <row r="1399" spans="7:7">
      <c r="G1399" s="25"/>
    </row>
    <row r="1400" spans="7:7">
      <c r="G1400" s="25"/>
    </row>
    <row r="1401" spans="7:7">
      <c r="G1401" s="25"/>
    </row>
    <row r="1402" spans="7:7">
      <c r="G1402" s="25"/>
    </row>
    <row r="1403" spans="7:7">
      <c r="G1403" s="25"/>
    </row>
    <row r="1404" spans="7:7">
      <c r="G1404" s="25"/>
    </row>
    <row r="1405" spans="7:7">
      <c r="G1405" s="25"/>
    </row>
    <row r="1406" spans="7:7">
      <c r="G1406" s="25"/>
    </row>
    <row r="1407" spans="7:7">
      <c r="G1407" s="25"/>
    </row>
    <row r="1408" spans="7:7">
      <c r="G1408" s="25"/>
    </row>
    <row r="1409" spans="7:7">
      <c r="G1409" s="25"/>
    </row>
    <row r="1410" spans="7:7">
      <c r="G1410" s="25"/>
    </row>
    <row r="1411" spans="7:7">
      <c r="G1411" s="25"/>
    </row>
    <row r="1412" spans="7:7">
      <c r="G1412" s="25"/>
    </row>
    <row r="1413" spans="7:7">
      <c r="G1413" s="25"/>
    </row>
    <row r="1414" spans="7:7">
      <c r="G1414" s="25"/>
    </row>
    <row r="1415" spans="7:7">
      <c r="G1415" s="25"/>
    </row>
    <row r="1416" spans="7:7">
      <c r="G1416" s="25"/>
    </row>
    <row r="1417" spans="7:7">
      <c r="G1417" s="25"/>
    </row>
    <row r="1418" spans="7:7">
      <c r="G1418" s="25"/>
    </row>
    <row r="1419" spans="7:7">
      <c r="G1419" s="25"/>
    </row>
    <row r="1420" spans="7:7">
      <c r="G1420" s="25"/>
    </row>
    <row r="1421" spans="7:7">
      <c r="G1421" s="25"/>
    </row>
    <row r="1422" spans="7:7">
      <c r="G1422" s="25"/>
    </row>
    <row r="1423" spans="7:7">
      <c r="G1423" s="25"/>
    </row>
    <row r="1424" spans="7:7">
      <c r="G1424" s="25"/>
    </row>
    <row r="1425" spans="7:7">
      <c r="G1425" s="25"/>
    </row>
    <row r="1426" spans="7:7">
      <c r="G1426" s="25"/>
    </row>
    <row r="1427" spans="7:7">
      <c r="G1427" s="25"/>
    </row>
    <row r="1428" spans="7:7">
      <c r="G1428" s="25"/>
    </row>
    <row r="1429" spans="7:7">
      <c r="G1429" s="25"/>
    </row>
    <row r="1430" spans="7:7">
      <c r="G1430" s="25"/>
    </row>
    <row r="1431" spans="7:7">
      <c r="G1431" s="25"/>
    </row>
    <row r="1432" spans="7:7">
      <c r="G1432" s="25"/>
    </row>
    <row r="1433" spans="7:7">
      <c r="G1433" s="25"/>
    </row>
    <row r="1434" spans="7:7">
      <c r="G1434" s="25"/>
    </row>
    <row r="1435" spans="7:7">
      <c r="G1435" s="25"/>
    </row>
    <row r="1436" spans="7:7">
      <c r="G1436" s="25"/>
    </row>
    <row r="1437" spans="7:7">
      <c r="G1437" s="25"/>
    </row>
    <row r="1438" spans="7:7">
      <c r="G1438" s="25"/>
    </row>
    <row r="1439" spans="7:7">
      <c r="G1439" s="25"/>
    </row>
    <row r="1440" spans="7: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sheetData>
  <sortState xmlns:xlrd2="http://schemas.microsoft.com/office/spreadsheetml/2017/richdata2" ref="I210:I250">
    <sortCondition ref="I210"/>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B2:Q94"/>
  <sheetViews>
    <sheetView workbookViewId="0">
      <selection activeCell="F31" sqref="F31"/>
    </sheetView>
  </sheetViews>
  <sheetFormatPr defaultColWidth="9.140625" defaultRowHeight="14.25"/>
  <cols>
    <col min="1" max="1" width="3" style="1" customWidth="1"/>
    <col min="2" max="2" width="27.28515625" style="1" customWidth="1"/>
    <col min="3" max="5" width="9.140625" style="1"/>
    <col min="6" max="17" width="12" style="1" customWidth="1"/>
    <col min="18" max="16384" width="9.140625" style="1"/>
  </cols>
  <sheetData>
    <row r="2" spans="2:17" ht="15">
      <c r="B2" s="148" t="s">
        <v>1205</v>
      </c>
      <c r="C2" s="149"/>
      <c r="D2" s="149"/>
      <c r="E2" s="150"/>
      <c r="F2" s="148" t="s">
        <v>1206</v>
      </c>
      <c r="G2" s="149"/>
      <c r="H2" s="149"/>
      <c r="I2" s="149"/>
      <c r="J2" s="149"/>
      <c r="K2" s="149"/>
      <c r="L2" s="149"/>
      <c r="M2" s="149"/>
      <c r="N2" s="149"/>
      <c r="O2" s="149"/>
      <c r="P2" s="149"/>
      <c r="Q2" s="150"/>
    </row>
    <row r="3" spans="2:17" ht="15" customHeight="1">
      <c r="B3" s="160" t="s">
        <v>947</v>
      </c>
      <c r="C3" s="151" t="s">
        <v>1212</v>
      </c>
      <c r="D3" s="152"/>
      <c r="E3" s="153"/>
      <c r="F3" s="103" t="s">
        <v>1237</v>
      </c>
      <c r="G3" s="74"/>
      <c r="H3" s="75"/>
      <c r="I3" s="75"/>
      <c r="J3" s="75"/>
      <c r="K3" s="75"/>
      <c r="L3" s="75"/>
      <c r="M3" s="75"/>
      <c r="N3" s="75"/>
      <c r="O3" s="75"/>
      <c r="P3" s="75"/>
      <c r="Q3" s="76"/>
    </row>
    <row r="4" spans="2:17">
      <c r="B4" s="161"/>
      <c r="C4" s="154"/>
      <c r="D4" s="155"/>
      <c r="E4" s="156"/>
      <c r="F4" s="78" t="s">
        <v>1219</v>
      </c>
      <c r="G4" s="91"/>
      <c r="H4" s="90"/>
      <c r="I4" s="90"/>
      <c r="J4" s="90"/>
      <c r="K4" s="90"/>
      <c r="L4" s="90"/>
      <c r="M4" s="90"/>
      <c r="N4" s="90"/>
      <c r="O4" s="90"/>
      <c r="P4" s="90"/>
      <c r="Q4" s="79"/>
    </row>
    <row r="5" spans="2:17">
      <c r="B5" s="161"/>
      <c r="C5" s="154"/>
      <c r="D5" s="155"/>
      <c r="E5" s="156"/>
      <c r="F5" s="78" t="s">
        <v>1225</v>
      </c>
      <c r="G5" s="91"/>
      <c r="H5" s="90"/>
      <c r="I5" s="90"/>
      <c r="J5" s="90"/>
      <c r="K5" s="90"/>
      <c r="L5" s="90"/>
      <c r="M5" s="90"/>
      <c r="N5" s="90"/>
      <c r="O5" s="90"/>
      <c r="P5" s="90"/>
      <c r="Q5" s="79"/>
    </row>
    <row r="6" spans="2:17">
      <c r="B6" s="161"/>
      <c r="C6" s="154"/>
      <c r="D6" s="155"/>
      <c r="E6" s="156"/>
      <c r="F6" s="78" t="s">
        <v>1221</v>
      </c>
      <c r="G6" s="91"/>
      <c r="H6" s="90"/>
      <c r="I6" s="90"/>
      <c r="J6" s="90"/>
      <c r="K6" s="90"/>
      <c r="L6" s="90"/>
      <c r="M6" s="90"/>
      <c r="N6" s="90"/>
      <c r="O6" s="90"/>
      <c r="P6" s="90"/>
      <c r="Q6" s="79"/>
    </row>
    <row r="7" spans="2:17" ht="15" customHeight="1">
      <c r="B7" s="161"/>
      <c r="C7" s="154"/>
      <c r="D7" s="155"/>
      <c r="E7" s="156"/>
      <c r="F7" s="105" t="s">
        <v>1238</v>
      </c>
      <c r="G7" s="91"/>
      <c r="H7" s="90"/>
      <c r="I7" s="90"/>
      <c r="J7" s="90"/>
      <c r="K7" s="90"/>
      <c r="L7" s="90"/>
      <c r="M7" s="90"/>
      <c r="N7" s="90"/>
      <c r="O7" s="90"/>
      <c r="P7" s="90"/>
      <c r="Q7" s="79"/>
    </row>
    <row r="8" spans="2:17" ht="15" customHeight="1">
      <c r="B8" s="161"/>
      <c r="C8" s="154"/>
      <c r="D8" s="155"/>
      <c r="E8" s="156"/>
      <c r="F8" s="78" t="s">
        <v>1218</v>
      </c>
      <c r="G8" s="91"/>
      <c r="H8" s="90"/>
      <c r="I8" s="90"/>
      <c r="J8" s="90"/>
      <c r="K8" s="90"/>
      <c r="L8" s="90"/>
      <c r="M8" s="90"/>
      <c r="N8" s="90"/>
      <c r="O8" s="90"/>
      <c r="P8" s="90"/>
      <c r="Q8" s="79"/>
    </row>
    <row r="9" spans="2:17" ht="15" customHeight="1">
      <c r="B9" s="161"/>
      <c r="C9" s="154"/>
      <c r="D9" s="155"/>
      <c r="E9" s="156"/>
      <c r="F9" s="78" t="s">
        <v>1220</v>
      </c>
      <c r="G9" s="91"/>
      <c r="H9" s="90"/>
      <c r="I9" s="90"/>
      <c r="J9" s="90"/>
      <c r="K9" s="90"/>
      <c r="L9" s="90"/>
      <c r="M9" s="90"/>
      <c r="N9" s="90"/>
      <c r="O9" s="90"/>
      <c r="P9" s="90"/>
      <c r="Q9" s="79"/>
    </row>
    <row r="10" spans="2:17" ht="15" customHeight="1">
      <c r="B10" s="161"/>
      <c r="C10" s="154"/>
      <c r="D10" s="155"/>
      <c r="E10" s="156"/>
      <c r="F10" s="78" t="s">
        <v>1226</v>
      </c>
      <c r="G10" s="91"/>
      <c r="H10" s="90"/>
      <c r="I10" s="90"/>
      <c r="J10" s="90"/>
      <c r="K10" s="90"/>
      <c r="L10" s="90"/>
      <c r="M10" s="90"/>
      <c r="N10" s="90"/>
      <c r="O10" s="90"/>
      <c r="P10" s="90"/>
      <c r="Q10" s="79"/>
    </row>
    <row r="11" spans="2:17" ht="15" customHeight="1">
      <c r="B11" s="161"/>
      <c r="C11" s="154"/>
      <c r="D11" s="155"/>
      <c r="E11" s="156"/>
      <c r="F11" s="78" t="s">
        <v>1228</v>
      </c>
      <c r="G11" s="91"/>
      <c r="H11" s="90"/>
      <c r="I11" s="90"/>
      <c r="J11" s="90"/>
      <c r="K11" s="90"/>
      <c r="L11" s="90"/>
      <c r="M11" s="90"/>
      <c r="N11" s="90"/>
      <c r="O11" s="90"/>
      <c r="P11" s="90"/>
      <c r="Q11" s="79"/>
    </row>
    <row r="12" spans="2:17" ht="15" customHeight="1">
      <c r="B12" s="161"/>
      <c r="C12" s="154"/>
      <c r="D12" s="155"/>
      <c r="E12" s="156"/>
      <c r="F12" s="78" t="s">
        <v>1230</v>
      </c>
      <c r="G12" s="91"/>
      <c r="H12" s="90"/>
      <c r="I12" s="90"/>
      <c r="J12" s="90"/>
      <c r="K12" s="90"/>
      <c r="L12" s="90"/>
      <c r="M12" s="90"/>
      <c r="N12" s="90"/>
      <c r="O12" s="90"/>
      <c r="P12" s="90"/>
      <c r="Q12" s="79"/>
    </row>
    <row r="13" spans="2:17" ht="15" customHeight="1">
      <c r="B13" s="161"/>
      <c r="C13" s="154"/>
      <c r="D13" s="155"/>
      <c r="E13" s="156"/>
      <c r="F13" s="78" t="s">
        <v>1231</v>
      </c>
      <c r="G13" s="91"/>
      <c r="H13" s="90"/>
      <c r="I13" s="90"/>
      <c r="J13" s="90"/>
      <c r="K13" s="90"/>
      <c r="L13" s="90"/>
      <c r="M13" s="90"/>
      <c r="N13" s="90"/>
      <c r="O13" s="90"/>
      <c r="P13" s="90"/>
      <c r="Q13" s="79"/>
    </row>
    <row r="14" spans="2:17" ht="15" customHeight="1">
      <c r="B14" s="161"/>
      <c r="C14" s="154"/>
      <c r="D14" s="155"/>
      <c r="E14" s="156"/>
      <c r="F14" s="105" t="s">
        <v>1239</v>
      </c>
      <c r="G14" s="91"/>
      <c r="H14" s="90"/>
      <c r="I14" s="90"/>
      <c r="J14" s="90"/>
      <c r="K14" s="90"/>
      <c r="L14" s="90"/>
      <c r="M14" s="90"/>
      <c r="N14" s="90"/>
      <c r="O14" s="90"/>
      <c r="P14" s="90"/>
      <c r="Q14" s="79"/>
    </row>
    <row r="15" spans="2:17" ht="15" customHeight="1">
      <c r="B15" s="161"/>
      <c r="C15" s="154"/>
      <c r="D15" s="155"/>
      <c r="E15" s="156"/>
      <c r="F15" s="78" t="s">
        <v>1227</v>
      </c>
      <c r="G15" s="91"/>
      <c r="H15" s="90"/>
      <c r="I15" s="90"/>
      <c r="J15" s="90"/>
      <c r="K15" s="90"/>
      <c r="L15" s="90"/>
      <c r="M15" s="90"/>
      <c r="N15" s="90"/>
      <c r="O15" s="90"/>
      <c r="P15" s="90"/>
      <c r="Q15" s="79"/>
    </row>
    <row r="16" spans="2:17">
      <c r="B16" s="161"/>
      <c r="C16" s="154"/>
      <c r="D16" s="155"/>
      <c r="E16" s="156"/>
      <c r="F16" s="78" t="s">
        <v>1233</v>
      </c>
      <c r="G16" s="91"/>
      <c r="H16" s="90"/>
      <c r="I16" s="90"/>
      <c r="J16" s="90"/>
      <c r="K16" s="90"/>
      <c r="L16" s="90"/>
      <c r="M16" s="90"/>
      <c r="N16" s="90"/>
      <c r="O16" s="90"/>
      <c r="P16" s="90"/>
      <c r="Q16" s="79"/>
    </row>
    <row r="17" spans="2:17">
      <c r="B17" s="161"/>
      <c r="C17" s="154"/>
      <c r="D17" s="155"/>
      <c r="E17" s="156"/>
      <c r="F17" s="78" t="s">
        <v>1229</v>
      </c>
      <c r="G17" s="91"/>
      <c r="H17" s="90"/>
      <c r="I17" s="90"/>
      <c r="J17" s="90"/>
      <c r="K17" s="90"/>
      <c r="L17" s="90"/>
      <c r="M17" s="90"/>
      <c r="N17" s="90"/>
      <c r="O17" s="90"/>
      <c r="P17" s="90"/>
      <c r="Q17" s="79"/>
    </row>
    <row r="18" spans="2:17">
      <c r="B18" s="161"/>
      <c r="C18" s="154"/>
      <c r="D18" s="155"/>
      <c r="E18" s="156"/>
      <c r="F18" s="78" t="s">
        <v>1232</v>
      </c>
      <c r="G18" s="91"/>
      <c r="H18" s="90"/>
      <c r="I18" s="90"/>
      <c r="J18" s="90"/>
      <c r="K18" s="90"/>
      <c r="L18" s="90"/>
      <c r="M18" s="90"/>
      <c r="N18" s="90"/>
      <c r="O18" s="90"/>
      <c r="P18" s="90"/>
      <c r="Q18" s="79"/>
    </row>
    <row r="19" spans="2:17">
      <c r="B19" s="161"/>
      <c r="C19" s="154"/>
      <c r="D19" s="155"/>
      <c r="E19" s="156"/>
      <c r="F19" s="78" t="s">
        <v>1242</v>
      </c>
      <c r="G19" s="91"/>
      <c r="H19" s="90"/>
      <c r="I19" s="90"/>
      <c r="J19" s="90"/>
      <c r="K19" s="90"/>
      <c r="L19" s="90"/>
      <c r="M19" s="90"/>
      <c r="N19" s="90"/>
      <c r="O19" s="90"/>
      <c r="P19" s="90"/>
      <c r="Q19" s="79"/>
    </row>
    <row r="20" spans="2:17">
      <c r="B20" s="161"/>
      <c r="C20" s="154"/>
      <c r="D20" s="155"/>
      <c r="E20" s="156"/>
      <c r="F20" s="78" t="s">
        <v>1249</v>
      </c>
      <c r="G20" s="91"/>
      <c r="H20" s="90"/>
      <c r="I20" s="90"/>
      <c r="J20" s="90"/>
      <c r="K20" s="90"/>
      <c r="L20" s="90"/>
      <c r="M20" s="90"/>
      <c r="N20" s="90"/>
      <c r="O20" s="90"/>
      <c r="P20" s="90"/>
      <c r="Q20" s="79"/>
    </row>
    <row r="21" spans="2:17">
      <c r="B21" s="161"/>
      <c r="C21" s="154"/>
      <c r="D21" s="155"/>
      <c r="E21" s="156"/>
      <c r="F21" s="78" t="s">
        <v>1244</v>
      </c>
      <c r="G21" s="91"/>
      <c r="H21" s="90"/>
      <c r="I21" s="90"/>
      <c r="J21" s="90"/>
      <c r="K21" s="90"/>
      <c r="L21" s="90"/>
      <c r="M21" s="90"/>
      <c r="N21" s="90"/>
      <c r="O21" s="90"/>
      <c r="P21" s="90"/>
      <c r="Q21" s="79"/>
    </row>
    <row r="22" spans="2:17">
      <c r="B22" s="161"/>
      <c r="C22" s="154"/>
      <c r="D22" s="155"/>
      <c r="E22" s="156"/>
      <c r="F22" s="78" t="s">
        <v>1248</v>
      </c>
      <c r="G22" s="91"/>
      <c r="H22" s="90"/>
      <c r="I22" s="90"/>
      <c r="J22" s="90"/>
      <c r="K22" s="90"/>
      <c r="L22" s="90"/>
      <c r="M22" s="90"/>
      <c r="N22" s="90"/>
      <c r="O22" s="90"/>
      <c r="P22" s="90"/>
      <c r="Q22" s="79"/>
    </row>
    <row r="23" spans="2:17">
      <c r="B23" s="161"/>
      <c r="C23" s="154"/>
      <c r="D23" s="155"/>
      <c r="E23" s="156"/>
      <c r="F23" s="78" t="s">
        <v>1246</v>
      </c>
      <c r="G23" s="91"/>
      <c r="H23" s="90"/>
      <c r="I23" s="90"/>
      <c r="J23" s="90"/>
      <c r="K23" s="90"/>
      <c r="L23" s="90"/>
      <c r="M23" s="90"/>
      <c r="N23" s="90"/>
      <c r="O23" s="90"/>
      <c r="P23" s="90"/>
      <c r="Q23" s="79"/>
    </row>
    <row r="24" spans="2:17" ht="15" customHeight="1">
      <c r="B24" s="161"/>
      <c r="C24" s="154"/>
      <c r="D24" s="155"/>
      <c r="E24" s="156"/>
      <c r="F24" s="105" t="s">
        <v>1240</v>
      </c>
      <c r="G24" s="91"/>
      <c r="H24" s="90"/>
      <c r="I24" s="90"/>
      <c r="J24" s="90"/>
      <c r="K24" s="90"/>
      <c r="L24" s="90"/>
      <c r="M24" s="90"/>
      <c r="N24" s="90"/>
      <c r="O24" s="90"/>
      <c r="P24" s="90"/>
      <c r="Q24" s="79"/>
    </row>
    <row r="25" spans="2:17" ht="15" customHeight="1">
      <c r="B25" s="161"/>
      <c r="C25" s="154"/>
      <c r="D25" s="155"/>
      <c r="E25" s="156"/>
      <c r="F25" s="78" t="s">
        <v>1247</v>
      </c>
      <c r="G25" s="91"/>
      <c r="H25" s="90"/>
      <c r="I25" s="90"/>
      <c r="J25" s="90"/>
      <c r="K25" s="90"/>
      <c r="L25" s="90"/>
      <c r="M25" s="90"/>
      <c r="N25" s="90"/>
      <c r="O25" s="90"/>
      <c r="P25" s="90"/>
      <c r="Q25" s="79"/>
    </row>
    <row r="26" spans="2:17">
      <c r="B26" s="161"/>
      <c r="C26" s="154"/>
      <c r="D26" s="155"/>
      <c r="E26" s="156"/>
      <c r="F26" s="78" t="s">
        <v>1234</v>
      </c>
      <c r="G26" s="91"/>
      <c r="H26" s="90"/>
      <c r="I26" s="90"/>
      <c r="J26" s="90"/>
      <c r="K26" s="90"/>
      <c r="L26" s="90"/>
      <c r="M26" s="90"/>
      <c r="N26" s="90"/>
      <c r="O26" s="90"/>
      <c r="P26" s="90"/>
      <c r="Q26" s="79"/>
    </row>
    <row r="27" spans="2:17">
      <c r="B27" s="161"/>
      <c r="C27" s="154"/>
      <c r="D27" s="155"/>
      <c r="E27" s="156"/>
      <c r="F27" s="78" t="s">
        <v>1223</v>
      </c>
      <c r="G27" s="91"/>
      <c r="H27" s="90"/>
      <c r="I27" s="90"/>
      <c r="J27" s="90"/>
      <c r="K27" s="90"/>
      <c r="L27" s="90"/>
      <c r="M27" s="90"/>
      <c r="N27" s="90"/>
      <c r="O27" s="90"/>
      <c r="P27" s="90"/>
      <c r="Q27" s="79"/>
    </row>
    <row r="28" spans="2:17">
      <c r="B28" s="161"/>
      <c r="C28" s="154"/>
      <c r="D28" s="155"/>
      <c r="E28" s="156"/>
      <c r="F28" s="105" t="s">
        <v>1241</v>
      </c>
      <c r="G28" s="91"/>
      <c r="H28" s="90"/>
      <c r="I28" s="90"/>
      <c r="J28" s="90"/>
      <c r="K28" s="90"/>
      <c r="L28" s="90"/>
      <c r="M28" s="90"/>
      <c r="N28" s="90"/>
      <c r="O28" s="90"/>
      <c r="P28" s="90"/>
      <c r="Q28" s="79"/>
    </row>
    <row r="29" spans="2:17">
      <c r="B29" s="161"/>
      <c r="C29" s="154"/>
      <c r="D29" s="155"/>
      <c r="E29" s="156"/>
      <c r="F29" s="78" t="s">
        <v>1235</v>
      </c>
      <c r="G29" s="91"/>
      <c r="H29" s="90"/>
      <c r="I29" s="90"/>
      <c r="J29" s="90"/>
      <c r="K29" s="90"/>
      <c r="L29" s="90"/>
      <c r="M29" s="90"/>
      <c r="N29" s="90"/>
      <c r="O29" s="90"/>
      <c r="P29" s="90"/>
      <c r="Q29" s="79"/>
    </row>
    <row r="30" spans="2:17">
      <c r="B30" s="161"/>
      <c r="C30" s="154"/>
      <c r="D30" s="155"/>
      <c r="E30" s="156"/>
      <c r="F30" s="78" t="s">
        <v>1222</v>
      </c>
      <c r="G30" s="91"/>
      <c r="H30" s="90"/>
      <c r="I30" s="90"/>
      <c r="J30" s="90"/>
      <c r="K30" s="90"/>
      <c r="L30" s="90"/>
      <c r="M30" s="90"/>
      <c r="N30" s="90"/>
      <c r="O30" s="90"/>
      <c r="P30" s="90"/>
      <c r="Q30" s="79"/>
    </row>
    <row r="31" spans="2:17">
      <c r="B31" s="161"/>
      <c r="C31" s="157"/>
      <c r="D31" s="158"/>
      <c r="E31" s="159"/>
      <c r="F31" s="104" t="s">
        <v>1236</v>
      </c>
      <c r="G31" s="83"/>
      <c r="H31" s="82"/>
      <c r="I31" s="82"/>
      <c r="J31" s="82"/>
      <c r="K31" s="82"/>
      <c r="L31" s="82"/>
      <c r="M31" s="82"/>
      <c r="N31" s="82"/>
      <c r="O31" s="82"/>
      <c r="P31" s="82"/>
      <c r="Q31" s="84"/>
    </row>
    <row r="32" spans="2:17" ht="15" customHeight="1">
      <c r="B32" s="161"/>
      <c r="C32" s="151" t="s">
        <v>1213</v>
      </c>
      <c r="D32" s="152"/>
      <c r="E32" s="153"/>
      <c r="F32" s="73" t="s">
        <v>1251</v>
      </c>
      <c r="G32" s="74"/>
      <c r="H32" s="75"/>
      <c r="I32" s="75"/>
      <c r="J32" s="75"/>
      <c r="K32" s="75"/>
      <c r="L32" s="75"/>
      <c r="M32" s="75"/>
      <c r="N32" s="75"/>
      <c r="O32" s="75"/>
      <c r="P32" s="75"/>
      <c r="Q32" s="76"/>
    </row>
    <row r="33" spans="2:17" ht="15" customHeight="1">
      <c r="B33" s="161"/>
      <c r="C33" s="154"/>
      <c r="D33" s="155"/>
      <c r="E33" s="156"/>
      <c r="F33" s="78" t="s">
        <v>1250</v>
      </c>
      <c r="G33" s="91"/>
      <c r="H33" s="90"/>
      <c r="I33" s="90"/>
      <c r="J33" s="90"/>
      <c r="K33" s="90"/>
      <c r="L33" s="90"/>
      <c r="M33" s="90"/>
      <c r="N33" s="90"/>
      <c r="O33" s="90"/>
      <c r="P33" s="90"/>
      <c r="Q33" s="79"/>
    </row>
    <row r="34" spans="2:17" ht="15" customHeight="1">
      <c r="B34" s="161"/>
      <c r="C34" s="154"/>
      <c r="D34" s="155"/>
      <c r="E34" s="156"/>
      <c r="F34" s="78" t="s">
        <v>1252</v>
      </c>
      <c r="G34" s="91"/>
      <c r="H34" s="90"/>
      <c r="I34" s="90"/>
      <c r="J34" s="90"/>
      <c r="K34" s="90"/>
      <c r="L34" s="90"/>
      <c r="M34" s="90"/>
      <c r="N34" s="90"/>
      <c r="O34" s="90"/>
      <c r="P34" s="90"/>
      <c r="Q34" s="79"/>
    </row>
    <row r="35" spans="2:17" ht="15" customHeight="1">
      <c r="B35" s="161"/>
      <c r="C35" s="154"/>
      <c r="D35" s="155"/>
      <c r="E35" s="156"/>
      <c r="F35" s="78" t="s">
        <v>1253</v>
      </c>
      <c r="G35" s="91"/>
      <c r="H35" s="90"/>
      <c r="I35" s="90"/>
      <c r="J35" s="90"/>
      <c r="K35" s="90"/>
      <c r="L35" s="90"/>
      <c r="M35" s="90"/>
      <c r="N35" s="90"/>
      <c r="O35" s="90"/>
      <c r="P35" s="90"/>
      <c r="Q35" s="79"/>
    </row>
    <row r="36" spans="2:17" ht="15" customHeight="1">
      <c r="B36" s="161"/>
      <c r="C36" s="154"/>
      <c r="D36" s="155"/>
      <c r="E36" s="156"/>
      <c r="F36" s="107" t="s">
        <v>1254</v>
      </c>
      <c r="G36" s="83"/>
      <c r="H36" s="82"/>
      <c r="I36" s="82"/>
      <c r="J36" s="82"/>
      <c r="K36" s="82"/>
      <c r="L36" s="82"/>
      <c r="M36" s="82"/>
      <c r="N36" s="82"/>
      <c r="O36" s="82"/>
      <c r="P36" s="82"/>
      <c r="Q36" s="84"/>
    </row>
    <row r="37" spans="2:17" ht="15">
      <c r="B37" s="161"/>
      <c r="C37" s="101"/>
      <c r="D37" s="102"/>
      <c r="E37" s="76"/>
      <c r="F37" s="73"/>
      <c r="G37" s="74"/>
      <c r="H37" s="75"/>
      <c r="I37" s="75"/>
      <c r="J37" s="75"/>
      <c r="K37" s="75"/>
      <c r="L37" s="75"/>
      <c r="M37" s="75"/>
      <c r="N37" s="75"/>
      <c r="O37" s="75"/>
      <c r="P37" s="75"/>
      <c r="Q37" s="76"/>
    </row>
    <row r="38" spans="2:17" ht="15">
      <c r="B38" s="161"/>
      <c r="C38" s="77"/>
      <c r="D38" s="89" t="s">
        <v>1214</v>
      </c>
      <c r="E38" s="79"/>
      <c r="F38" s="78" t="s">
        <v>1224</v>
      </c>
      <c r="G38" s="91"/>
      <c r="H38" s="90"/>
      <c r="I38" s="90"/>
      <c r="J38" s="90"/>
      <c r="K38" s="90"/>
      <c r="L38" s="90"/>
      <c r="M38" s="90"/>
      <c r="N38" s="90"/>
      <c r="O38" s="90"/>
      <c r="P38" s="90"/>
      <c r="Q38" s="79"/>
    </row>
    <row r="39" spans="2:17" ht="15">
      <c r="B39" s="161"/>
      <c r="C39" s="80"/>
      <c r="D39" s="88"/>
      <c r="E39" s="84"/>
      <c r="F39" s="87"/>
      <c r="G39" s="83"/>
      <c r="H39" s="82"/>
      <c r="I39" s="82"/>
      <c r="J39" s="82"/>
      <c r="K39" s="82"/>
      <c r="L39" s="82"/>
      <c r="M39" s="82"/>
      <c r="N39" s="82"/>
      <c r="O39" s="82"/>
      <c r="P39" s="82"/>
      <c r="Q39" s="84"/>
    </row>
    <row r="40" spans="2:17" ht="15" customHeight="1">
      <c r="B40" s="161"/>
      <c r="C40" s="151" t="s">
        <v>1215</v>
      </c>
      <c r="D40" s="152"/>
      <c r="E40" s="153"/>
      <c r="F40" s="73" t="s">
        <v>1257</v>
      </c>
      <c r="G40" s="74"/>
      <c r="H40" s="75"/>
      <c r="I40" s="75"/>
      <c r="J40" s="75"/>
      <c r="K40" s="75"/>
      <c r="L40" s="75"/>
      <c r="M40" s="75"/>
      <c r="N40" s="75"/>
      <c r="O40" s="75"/>
      <c r="P40" s="75"/>
      <c r="Q40" s="76"/>
    </row>
    <row r="41" spans="2:17" ht="15" customHeight="1">
      <c r="B41" s="161"/>
      <c r="C41" s="154"/>
      <c r="D41" s="155"/>
      <c r="E41" s="156"/>
      <c r="F41" s="78" t="s">
        <v>1259</v>
      </c>
      <c r="G41" s="91"/>
      <c r="H41" s="90"/>
      <c r="I41" s="90"/>
      <c r="J41" s="90"/>
      <c r="K41" s="90"/>
      <c r="L41" s="90"/>
      <c r="M41" s="90"/>
      <c r="N41" s="90"/>
      <c r="O41" s="90"/>
      <c r="P41" s="90"/>
      <c r="Q41" s="79"/>
    </row>
    <row r="42" spans="2:17" ht="15" customHeight="1">
      <c r="B42" s="161"/>
      <c r="C42" s="154"/>
      <c r="D42" s="155"/>
      <c r="E42" s="156"/>
      <c r="F42" s="78" t="s">
        <v>1258</v>
      </c>
      <c r="G42" s="91"/>
      <c r="H42" s="90"/>
      <c r="I42" s="90"/>
      <c r="J42" s="90"/>
      <c r="K42" s="90"/>
      <c r="L42" s="90"/>
      <c r="M42" s="90"/>
      <c r="N42" s="90"/>
      <c r="O42" s="90"/>
      <c r="P42" s="90"/>
      <c r="Q42" s="79"/>
    </row>
    <row r="43" spans="2:17" ht="15" customHeight="1">
      <c r="B43" s="161"/>
      <c r="C43" s="154"/>
      <c r="D43" s="155"/>
      <c r="E43" s="156"/>
      <c r="F43" s="78" t="s">
        <v>1255</v>
      </c>
      <c r="G43" s="91"/>
      <c r="H43" s="90"/>
      <c r="I43" s="90"/>
      <c r="J43" s="90"/>
      <c r="K43" s="90"/>
      <c r="L43" s="90"/>
      <c r="M43" s="90"/>
      <c r="N43" s="90"/>
      <c r="O43" s="90"/>
      <c r="P43" s="90"/>
      <c r="Q43" s="79"/>
    </row>
    <row r="44" spans="2:17">
      <c r="B44" s="161"/>
      <c r="C44" s="157"/>
      <c r="D44" s="158"/>
      <c r="E44" s="159"/>
      <c r="F44" s="107" t="s">
        <v>1256</v>
      </c>
      <c r="G44" s="83"/>
      <c r="H44" s="82"/>
      <c r="I44" s="82"/>
      <c r="J44" s="82"/>
      <c r="K44" s="82"/>
      <c r="L44" s="82"/>
      <c r="M44" s="82"/>
      <c r="N44" s="82"/>
      <c r="O44" s="82"/>
      <c r="P44" s="82"/>
      <c r="Q44" s="84"/>
    </row>
    <row r="45" spans="2:17">
      <c r="B45" s="161"/>
      <c r="C45" s="85"/>
      <c r="D45" s="86"/>
      <c r="E45" s="76"/>
      <c r="F45" s="73" t="s">
        <v>1261</v>
      </c>
      <c r="G45" s="74"/>
      <c r="H45" s="75"/>
      <c r="I45" s="75"/>
      <c r="J45" s="75"/>
      <c r="K45" s="75"/>
      <c r="L45" s="75"/>
      <c r="M45" s="75"/>
      <c r="N45" s="75"/>
      <c r="O45" s="75"/>
      <c r="P45" s="75"/>
      <c r="Q45" s="76"/>
    </row>
    <row r="46" spans="2:17">
      <c r="B46" s="161"/>
      <c r="C46" s="72"/>
      <c r="D46" s="89" t="s">
        <v>1216</v>
      </c>
      <c r="E46" s="79"/>
      <c r="F46" s="78" t="s">
        <v>1260</v>
      </c>
      <c r="G46" s="91"/>
      <c r="H46" s="90"/>
      <c r="I46" s="90"/>
      <c r="J46" s="90"/>
      <c r="K46" s="90"/>
      <c r="L46" s="90"/>
      <c r="M46" s="90"/>
      <c r="N46" s="90"/>
      <c r="O46" s="90"/>
      <c r="P46" s="90"/>
      <c r="Q46" s="79"/>
    </row>
    <row r="47" spans="2:17">
      <c r="B47" s="161"/>
      <c r="C47" s="72"/>
      <c r="D47" s="89"/>
      <c r="E47" s="79"/>
      <c r="F47" s="78" t="s">
        <v>1262</v>
      </c>
      <c r="G47" s="91"/>
      <c r="H47" s="90"/>
      <c r="I47" s="90"/>
      <c r="J47" s="90"/>
      <c r="K47" s="90"/>
      <c r="L47" s="90"/>
      <c r="M47" s="90"/>
      <c r="N47" s="90"/>
      <c r="O47" s="90"/>
      <c r="P47" s="90"/>
      <c r="Q47" s="79"/>
    </row>
    <row r="48" spans="2:17">
      <c r="B48" s="161"/>
      <c r="C48" s="72"/>
      <c r="D48" s="89"/>
      <c r="E48" s="79"/>
      <c r="F48" s="78" t="s">
        <v>1263</v>
      </c>
      <c r="G48" s="91"/>
      <c r="H48" s="90"/>
      <c r="I48" s="90"/>
      <c r="J48" s="90"/>
      <c r="K48" s="90"/>
      <c r="L48" s="90"/>
      <c r="M48" s="90"/>
      <c r="N48" s="90"/>
      <c r="O48" s="90"/>
      <c r="P48" s="90"/>
      <c r="Q48" s="79"/>
    </row>
    <row r="49" spans="2:17">
      <c r="B49" s="161"/>
      <c r="C49" s="72"/>
      <c r="D49" s="89"/>
      <c r="E49" s="79"/>
      <c r="F49" s="78" t="s">
        <v>1264</v>
      </c>
      <c r="G49" s="91"/>
      <c r="H49" s="90"/>
      <c r="I49" s="90"/>
      <c r="J49" s="90"/>
      <c r="K49" s="90"/>
      <c r="L49" s="90"/>
      <c r="M49" s="90"/>
      <c r="N49" s="90"/>
      <c r="O49" s="90"/>
      <c r="P49" s="90"/>
      <c r="Q49" s="79"/>
    </row>
    <row r="50" spans="2:17">
      <c r="B50" s="161"/>
      <c r="C50" s="72"/>
      <c r="D50" s="89"/>
      <c r="E50" s="79"/>
      <c r="F50" s="78" t="s">
        <v>1265</v>
      </c>
      <c r="G50" s="91"/>
      <c r="H50" s="90"/>
      <c r="I50" s="90"/>
      <c r="J50" s="90"/>
      <c r="K50" s="90"/>
      <c r="L50" s="90"/>
      <c r="M50" s="90"/>
      <c r="N50" s="90"/>
      <c r="O50" s="90"/>
      <c r="P50" s="90"/>
      <c r="Q50" s="79"/>
    </row>
    <row r="51" spans="2:17">
      <c r="B51" s="161"/>
      <c r="C51" s="80"/>
      <c r="D51" s="81"/>
      <c r="E51" s="84"/>
      <c r="F51" s="106" t="s">
        <v>1266</v>
      </c>
      <c r="G51" s="83"/>
      <c r="H51" s="82"/>
      <c r="I51" s="82"/>
      <c r="J51" s="82"/>
      <c r="K51" s="82"/>
      <c r="L51" s="82"/>
      <c r="M51" s="82"/>
      <c r="N51" s="82"/>
      <c r="O51" s="82"/>
      <c r="P51" s="82"/>
      <c r="Q51" s="84"/>
    </row>
    <row r="52" spans="2:17">
      <c r="B52" s="161"/>
      <c r="C52" s="85"/>
      <c r="D52" s="86"/>
      <c r="E52" s="76"/>
      <c r="F52" s="78"/>
      <c r="G52" s="91"/>
      <c r="H52" s="90"/>
      <c r="I52" s="90"/>
      <c r="J52" s="90"/>
      <c r="K52" s="90"/>
      <c r="L52" s="90"/>
      <c r="M52" s="90"/>
      <c r="N52" s="90"/>
      <c r="O52" s="90"/>
      <c r="P52" s="90"/>
      <c r="Q52" s="79"/>
    </row>
    <row r="53" spans="2:17">
      <c r="B53" s="161"/>
      <c r="C53" s="72"/>
      <c r="D53" s="89" t="s">
        <v>1217</v>
      </c>
      <c r="E53" s="79"/>
      <c r="F53" s="78"/>
      <c r="G53" s="91"/>
      <c r="H53" s="90"/>
      <c r="I53" s="90"/>
      <c r="J53" s="90"/>
      <c r="K53" s="90"/>
      <c r="L53" s="90"/>
      <c r="M53" s="90"/>
      <c r="N53" s="90"/>
      <c r="O53" s="90"/>
      <c r="P53" s="90"/>
      <c r="Q53" s="79"/>
    </row>
    <row r="54" spans="2:17">
      <c r="B54" s="162"/>
      <c r="C54" s="80"/>
      <c r="D54" s="81"/>
      <c r="E54" s="84"/>
      <c r="F54" s="87"/>
      <c r="G54" s="83"/>
      <c r="H54" s="82"/>
      <c r="I54" s="82"/>
      <c r="J54" s="82"/>
      <c r="K54" s="82"/>
      <c r="L54" s="82"/>
      <c r="M54" s="82"/>
      <c r="N54" s="82"/>
      <c r="O54" s="82"/>
      <c r="P54" s="82"/>
      <c r="Q54" s="84"/>
    </row>
    <row r="55" spans="2:17" ht="15" customHeight="1">
      <c r="B55" s="145" t="s">
        <v>1267</v>
      </c>
      <c r="C55" s="90"/>
      <c r="D55" s="89"/>
      <c r="E55" s="90"/>
      <c r="F55" s="92"/>
      <c r="G55" s="91"/>
      <c r="H55" s="90"/>
      <c r="I55" s="90"/>
      <c r="J55" s="90"/>
      <c r="K55" s="90"/>
      <c r="L55" s="90"/>
      <c r="M55" s="90"/>
      <c r="N55" s="90"/>
      <c r="O55" s="90"/>
      <c r="P55" s="90"/>
      <c r="Q55" s="90"/>
    </row>
    <row r="56" spans="2:17" ht="14.25" customHeight="1">
      <c r="B56" s="146"/>
      <c r="C56" s="90"/>
      <c r="D56" s="89"/>
      <c r="E56" s="90"/>
      <c r="F56" s="92"/>
      <c r="G56" s="91"/>
      <c r="H56" s="90"/>
      <c r="I56" s="90"/>
      <c r="J56" s="90"/>
      <c r="K56" s="90"/>
      <c r="L56" s="90"/>
      <c r="M56" s="90"/>
      <c r="N56" s="90"/>
      <c r="O56" s="90"/>
      <c r="P56" s="90"/>
      <c r="Q56" s="90"/>
    </row>
    <row r="57" spans="2:17" ht="15" customHeight="1">
      <c r="B57" s="146"/>
      <c r="C57" s="90"/>
      <c r="D57" s="89"/>
      <c r="E57" s="90"/>
      <c r="F57" s="92"/>
      <c r="G57" s="91"/>
      <c r="H57" s="91"/>
      <c r="I57" s="90"/>
      <c r="J57" s="90"/>
      <c r="K57" s="90"/>
      <c r="L57" s="90"/>
      <c r="M57" s="90"/>
      <c r="N57" s="90"/>
      <c r="O57" s="90"/>
      <c r="P57" s="90"/>
      <c r="Q57" s="90"/>
    </row>
    <row r="58" spans="2:17" ht="15" customHeight="1">
      <c r="B58" s="146"/>
      <c r="C58" s="90"/>
      <c r="D58" s="89"/>
      <c r="E58" s="90"/>
      <c r="F58" s="92"/>
      <c r="G58" s="91"/>
      <c r="H58" s="91"/>
      <c r="I58" s="90"/>
      <c r="J58" s="90"/>
      <c r="K58" s="90"/>
      <c r="L58" s="90"/>
      <c r="M58" s="90"/>
      <c r="N58" s="90"/>
      <c r="O58" s="90"/>
      <c r="P58" s="90"/>
      <c r="Q58" s="90"/>
    </row>
    <row r="59" spans="2:17" ht="15" customHeight="1">
      <c r="B59" s="146"/>
      <c r="C59" s="90"/>
      <c r="D59" s="89"/>
      <c r="E59" s="90"/>
      <c r="F59" s="92"/>
      <c r="G59" s="91"/>
      <c r="H59" s="91"/>
      <c r="I59" s="90"/>
      <c r="J59" s="90"/>
      <c r="K59" s="90"/>
      <c r="L59" s="90"/>
      <c r="M59" s="90"/>
      <c r="N59" s="90"/>
      <c r="O59" s="90"/>
      <c r="P59" s="90"/>
      <c r="Q59" s="90"/>
    </row>
    <row r="60" spans="2:17" ht="15" customHeight="1">
      <c r="B60" s="146"/>
      <c r="C60" s="90"/>
      <c r="D60" s="89"/>
      <c r="E60" s="90"/>
      <c r="F60" s="92"/>
      <c r="G60" s="91"/>
      <c r="H60" s="91"/>
      <c r="I60" s="90"/>
      <c r="J60" s="90"/>
      <c r="K60" s="90"/>
      <c r="L60" s="90"/>
      <c r="M60" s="90"/>
      <c r="N60" s="90"/>
      <c r="O60" s="90"/>
      <c r="P60" s="90"/>
      <c r="Q60" s="90"/>
    </row>
    <row r="61" spans="2:17" ht="15" customHeight="1">
      <c r="B61" s="146"/>
      <c r="C61" s="90"/>
      <c r="D61" s="89"/>
      <c r="E61" s="90"/>
      <c r="F61" s="92"/>
      <c r="G61" s="91"/>
      <c r="H61" s="91"/>
      <c r="I61" s="90"/>
      <c r="J61" s="90"/>
      <c r="K61" s="90"/>
      <c r="L61" s="90"/>
      <c r="M61" s="90"/>
      <c r="N61" s="90"/>
      <c r="O61" s="90"/>
      <c r="P61" s="90"/>
      <c r="Q61" s="90"/>
    </row>
    <row r="62" spans="2:17" ht="15" customHeight="1">
      <c r="B62" s="146"/>
      <c r="C62" s="90"/>
      <c r="D62" s="89"/>
      <c r="E62" s="90"/>
      <c r="F62" s="92"/>
      <c r="G62" s="91"/>
      <c r="H62" s="91"/>
      <c r="I62" s="90"/>
      <c r="J62" s="90"/>
      <c r="K62" s="90"/>
      <c r="L62" s="90"/>
      <c r="M62" s="90"/>
      <c r="N62" s="90"/>
      <c r="O62" s="90"/>
      <c r="P62" s="90"/>
      <c r="Q62" s="90"/>
    </row>
    <row r="63" spans="2:17" ht="15" customHeight="1">
      <c r="B63" s="146"/>
      <c r="C63" s="90"/>
      <c r="D63" s="89"/>
      <c r="E63" s="90"/>
      <c r="F63" s="92"/>
      <c r="G63" s="91"/>
      <c r="H63" s="91"/>
      <c r="I63" s="90"/>
      <c r="J63" s="90"/>
      <c r="K63" s="90"/>
      <c r="L63" s="90"/>
      <c r="M63" s="90"/>
      <c r="N63" s="90"/>
      <c r="O63" s="90"/>
      <c r="P63" s="90"/>
      <c r="Q63" s="90"/>
    </row>
    <row r="64" spans="2:17" ht="15">
      <c r="B64" s="146"/>
      <c r="C64" s="90"/>
      <c r="D64" s="94"/>
      <c r="E64" s="90"/>
      <c r="F64" s="92"/>
      <c r="G64" s="91"/>
      <c r="H64" s="90"/>
      <c r="I64" s="90"/>
      <c r="J64" s="90"/>
      <c r="K64" s="90"/>
      <c r="L64" s="90"/>
      <c r="M64" s="90"/>
      <c r="N64" s="90"/>
      <c r="O64" s="90"/>
      <c r="P64" s="90"/>
      <c r="Q64" s="90"/>
    </row>
    <row r="65" spans="2:17" ht="15">
      <c r="B65" s="146"/>
      <c r="C65" s="93"/>
      <c r="D65" s="94"/>
      <c r="E65" s="90"/>
      <c r="F65" s="92"/>
      <c r="G65" s="91"/>
      <c r="H65" s="90"/>
      <c r="I65" s="90"/>
      <c r="J65" s="90"/>
      <c r="K65" s="90"/>
      <c r="L65" s="90"/>
      <c r="M65" s="90"/>
      <c r="N65" s="90"/>
      <c r="O65" s="90"/>
      <c r="P65" s="90"/>
      <c r="Q65" s="90"/>
    </row>
    <row r="66" spans="2:17" ht="14.25" customHeight="1">
      <c r="B66" s="146"/>
      <c r="C66" s="90"/>
      <c r="D66" s="89"/>
      <c r="E66" s="90"/>
      <c r="F66" s="92"/>
      <c r="G66" s="91"/>
      <c r="H66" s="90"/>
      <c r="I66" s="90"/>
      <c r="J66" s="90"/>
      <c r="K66" s="90"/>
      <c r="L66" s="90"/>
      <c r="M66" s="90"/>
      <c r="N66" s="90"/>
      <c r="O66" s="90"/>
      <c r="P66" s="90"/>
      <c r="Q66" s="90"/>
    </row>
    <row r="67" spans="2:17" ht="14.25" customHeight="1">
      <c r="B67" s="146"/>
      <c r="C67" s="90"/>
      <c r="D67" s="89"/>
      <c r="E67" s="90"/>
      <c r="F67" s="92"/>
      <c r="G67" s="91"/>
      <c r="H67" s="90"/>
      <c r="I67" s="90"/>
      <c r="J67" s="90"/>
      <c r="K67" s="90"/>
      <c r="L67" s="90"/>
      <c r="M67" s="90"/>
      <c r="N67" s="90"/>
      <c r="O67" s="90"/>
      <c r="P67" s="90"/>
      <c r="Q67" s="90"/>
    </row>
    <row r="68" spans="2:17" ht="14.25" customHeight="1">
      <c r="B68" s="146"/>
      <c r="C68" s="90"/>
      <c r="D68" s="89"/>
      <c r="E68" s="90"/>
      <c r="F68" s="92"/>
      <c r="G68" s="91"/>
      <c r="H68" s="90"/>
      <c r="I68" s="90"/>
      <c r="J68" s="90"/>
      <c r="K68" s="90"/>
      <c r="L68" s="90"/>
      <c r="M68" s="90"/>
      <c r="N68" s="90"/>
      <c r="O68" s="90"/>
      <c r="P68" s="90"/>
      <c r="Q68" s="90"/>
    </row>
    <row r="69" spans="2:17" ht="15">
      <c r="B69" s="147"/>
      <c r="C69" s="96"/>
      <c r="D69" s="94"/>
      <c r="E69" s="90"/>
      <c r="F69" s="92"/>
      <c r="G69" s="91"/>
      <c r="H69" s="90"/>
      <c r="I69" s="90"/>
      <c r="J69" s="90"/>
      <c r="K69" s="90"/>
      <c r="L69" s="90"/>
      <c r="M69" s="90"/>
      <c r="N69" s="90"/>
      <c r="O69" s="90"/>
      <c r="P69" s="90"/>
      <c r="Q69" s="90"/>
    </row>
    <row r="70" spans="2:17" ht="15">
      <c r="B70" s="99"/>
      <c r="C70" s="93"/>
      <c r="D70" s="94"/>
      <c r="E70" s="90"/>
      <c r="F70" s="92"/>
      <c r="G70" s="91"/>
      <c r="H70" s="91"/>
      <c r="I70" s="90"/>
      <c r="J70" s="90"/>
      <c r="K70" s="90"/>
      <c r="L70" s="90"/>
      <c r="M70" s="90"/>
      <c r="N70" s="90"/>
      <c r="O70" s="90"/>
      <c r="P70" s="90"/>
      <c r="Q70" s="90"/>
    </row>
    <row r="71" spans="2:17" ht="15">
      <c r="B71" s="98" t="s">
        <v>948</v>
      </c>
      <c r="C71" s="90"/>
      <c r="D71" s="89"/>
      <c r="E71" s="90"/>
      <c r="F71" s="92"/>
      <c r="G71" s="91"/>
      <c r="H71" s="91"/>
      <c r="I71" s="90"/>
      <c r="J71" s="90"/>
      <c r="K71" s="90"/>
      <c r="L71" s="90"/>
      <c r="M71" s="90"/>
      <c r="N71" s="90"/>
      <c r="O71" s="90"/>
      <c r="P71" s="90"/>
      <c r="Q71" s="90"/>
    </row>
    <row r="72" spans="2:17">
      <c r="B72" s="99"/>
      <c r="C72" s="90"/>
      <c r="D72" s="89"/>
      <c r="E72" s="90"/>
      <c r="F72" s="92"/>
      <c r="G72" s="91"/>
      <c r="H72" s="91"/>
      <c r="I72" s="90"/>
      <c r="J72" s="90"/>
      <c r="K72" s="90"/>
      <c r="L72" s="90"/>
      <c r="M72" s="90"/>
      <c r="N72" s="90"/>
      <c r="O72" s="90"/>
      <c r="P72" s="90"/>
      <c r="Q72" s="90"/>
    </row>
    <row r="73" spans="2:17">
      <c r="B73" s="99"/>
      <c r="C73" s="90"/>
      <c r="D73" s="89"/>
      <c r="E73" s="90"/>
      <c r="F73" s="92"/>
      <c r="G73" s="91"/>
      <c r="H73" s="90"/>
      <c r="I73" s="90"/>
      <c r="J73" s="90"/>
      <c r="K73" s="90"/>
      <c r="L73" s="90"/>
      <c r="M73" s="90"/>
      <c r="N73" s="90"/>
      <c r="O73" s="90"/>
      <c r="P73" s="90"/>
      <c r="Q73" s="90"/>
    </row>
    <row r="74" spans="2:17" ht="15">
      <c r="B74" s="98" t="s">
        <v>1208</v>
      </c>
      <c r="C74" s="90"/>
      <c r="D74" s="89"/>
      <c r="E74" s="90"/>
      <c r="F74" s="92"/>
      <c r="G74" s="91"/>
      <c r="H74" s="90"/>
      <c r="I74" s="90"/>
      <c r="J74" s="90"/>
      <c r="K74" s="90"/>
      <c r="L74" s="90"/>
      <c r="M74" s="90"/>
      <c r="N74" s="90"/>
      <c r="O74" s="90"/>
      <c r="P74" s="90"/>
      <c r="Q74" s="90"/>
    </row>
    <row r="75" spans="2:17" ht="15">
      <c r="B75" s="99"/>
      <c r="C75" s="95"/>
      <c r="D75" s="94"/>
      <c r="E75" s="96"/>
      <c r="F75" s="92"/>
      <c r="G75" s="91"/>
      <c r="H75" s="90"/>
      <c r="I75" s="90"/>
      <c r="J75" s="90"/>
      <c r="K75" s="90"/>
      <c r="L75" s="90"/>
      <c r="M75" s="90"/>
      <c r="N75" s="90"/>
      <c r="O75" s="90"/>
      <c r="P75" s="90"/>
      <c r="Q75" s="90"/>
    </row>
    <row r="76" spans="2:17" ht="15">
      <c r="B76" s="99"/>
      <c r="C76" s="95"/>
      <c r="D76" s="94"/>
      <c r="E76" s="96"/>
      <c r="F76" s="92"/>
      <c r="G76" s="91"/>
      <c r="H76" s="90"/>
      <c r="I76" s="90"/>
      <c r="J76" s="90"/>
      <c r="K76" s="90"/>
      <c r="L76" s="90"/>
      <c r="M76" s="90"/>
      <c r="N76" s="90"/>
      <c r="O76" s="90"/>
      <c r="P76" s="90"/>
      <c r="Q76" s="90"/>
    </row>
    <row r="77" spans="2:17" ht="15">
      <c r="B77" s="98" t="s">
        <v>950</v>
      </c>
      <c r="C77" s="90"/>
      <c r="D77" s="94"/>
      <c r="E77" s="97"/>
      <c r="F77" s="92"/>
      <c r="G77" s="91"/>
      <c r="H77" s="90"/>
      <c r="I77" s="90"/>
      <c r="J77" s="90"/>
      <c r="K77" s="90"/>
      <c r="L77" s="90"/>
      <c r="M77" s="90"/>
      <c r="N77" s="90"/>
      <c r="O77" s="90"/>
      <c r="P77" s="90"/>
      <c r="Q77" s="90"/>
    </row>
    <row r="78" spans="2:17">
      <c r="B78" s="99"/>
      <c r="C78" s="90"/>
      <c r="D78" s="89" t="s">
        <v>950</v>
      </c>
      <c r="E78" s="90"/>
      <c r="F78" s="92"/>
      <c r="G78" s="91"/>
      <c r="H78" s="90"/>
      <c r="I78" s="90"/>
      <c r="J78" s="90"/>
      <c r="K78" s="90"/>
      <c r="L78" s="90"/>
      <c r="M78" s="90"/>
      <c r="N78" s="90"/>
      <c r="O78" s="90"/>
      <c r="P78" s="90"/>
      <c r="Q78" s="90"/>
    </row>
    <row r="79" spans="2:17">
      <c r="B79" s="99"/>
      <c r="C79" s="90"/>
      <c r="D79" s="89"/>
      <c r="E79" s="90"/>
      <c r="F79" s="92"/>
      <c r="G79" s="91"/>
      <c r="H79" s="90"/>
      <c r="I79" s="90"/>
      <c r="J79" s="90"/>
      <c r="K79" s="90"/>
      <c r="L79" s="90"/>
      <c r="M79" s="90"/>
      <c r="N79" s="90"/>
      <c r="O79" s="90"/>
      <c r="P79" s="90"/>
      <c r="Q79" s="90"/>
    </row>
    <row r="80" spans="2:17">
      <c r="B80" s="99"/>
      <c r="C80" s="90"/>
      <c r="D80" s="89"/>
      <c r="E80" s="90"/>
      <c r="F80" s="92"/>
      <c r="G80" s="91"/>
      <c r="H80" s="90"/>
      <c r="I80" s="90"/>
      <c r="J80" s="90"/>
      <c r="K80" s="90"/>
      <c r="L80" s="90"/>
      <c r="M80" s="90"/>
      <c r="N80" s="90"/>
      <c r="O80" s="90"/>
      <c r="P80" s="90"/>
      <c r="Q80" s="90"/>
    </row>
    <row r="81" spans="2:17">
      <c r="B81" s="99"/>
      <c r="C81" s="90"/>
      <c r="D81" s="89" t="s">
        <v>1211</v>
      </c>
      <c r="E81" s="90"/>
      <c r="F81" s="92"/>
      <c r="G81" s="91"/>
      <c r="H81" s="90"/>
      <c r="I81" s="90"/>
      <c r="J81" s="90"/>
      <c r="K81" s="90"/>
      <c r="L81" s="90"/>
      <c r="M81" s="90"/>
      <c r="N81" s="90"/>
      <c r="O81" s="90"/>
      <c r="P81" s="90"/>
      <c r="Q81" s="90"/>
    </row>
    <row r="82" spans="2:17" ht="15">
      <c r="B82" s="99"/>
      <c r="C82" s="93"/>
      <c r="D82" s="94"/>
      <c r="E82" s="90"/>
      <c r="F82" s="92"/>
      <c r="G82" s="91"/>
      <c r="H82" s="90"/>
      <c r="I82" s="90"/>
      <c r="J82" s="90"/>
      <c r="K82" s="90"/>
      <c r="L82" s="90"/>
      <c r="M82" s="90"/>
      <c r="N82" s="90"/>
      <c r="O82" s="90"/>
      <c r="P82" s="90"/>
      <c r="Q82" s="90"/>
    </row>
    <row r="83" spans="2:17" ht="15">
      <c r="B83" s="98" t="s">
        <v>951</v>
      </c>
      <c r="C83" s="93"/>
      <c r="D83" s="94"/>
      <c r="E83" s="90"/>
      <c r="F83" s="92"/>
      <c r="G83" s="91"/>
      <c r="H83" s="90"/>
      <c r="I83" s="90"/>
      <c r="J83" s="90"/>
      <c r="K83" s="90"/>
      <c r="L83" s="90"/>
      <c r="M83" s="90"/>
      <c r="N83" s="90"/>
      <c r="O83" s="90"/>
      <c r="P83" s="90"/>
      <c r="Q83" s="90"/>
    </row>
    <row r="84" spans="2:17" ht="15">
      <c r="B84" s="98"/>
      <c r="C84" s="90"/>
      <c r="D84" s="89" t="s">
        <v>1210</v>
      </c>
      <c r="E84" s="90"/>
      <c r="F84" s="92"/>
      <c r="G84" s="91"/>
      <c r="H84" s="90"/>
      <c r="I84" s="90"/>
      <c r="J84" s="90"/>
      <c r="K84" s="90"/>
      <c r="L84" s="90"/>
      <c r="M84" s="90"/>
      <c r="N84" s="90"/>
      <c r="O84" s="90"/>
      <c r="P84" s="90"/>
      <c r="Q84" s="90"/>
    </row>
    <row r="85" spans="2:17">
      <c r="B85" s="99"/>
      <c r="C85" s="90"/>
      <c r="D85" s="89"/>
      <c r="E85" s="90"/>
      <c r="F85" s="92"/>
      <c r="G85" s="91"/>
      <c r="H85" s="90"/>
      <c r="I85" s="90"/>
      <c r="J85" s="90"/>
      <c r="K85" s="90"/>
      <c r="L85" s="90"/>
      <c r="M85" s="90"/>
      <c r="N85" s="90"/>
      <c r="O85" s="90"/>
      <c r="P85" s="90"/>
      <c r="Q85" s="90"/>
    </row>
    <row r="86" spans="2:17">
      <c r="B86" s="99"/>
      <c r="C86" s="90"/>
      <c r="D86" s="89"/>
      <c r="E86" s="90"/>
      <c r="F86" s="92"/>
      <c r="G86" s="91"/>
      <c r="H86" s="90"/>
      <c r="I86" s="90"/>
      <c r="J86" s="90"/>
      <c r="K86" s="90"/>
      <c r="L86" s="90"/>
      <c r="M86" s="90"/>
      <c r="N86" s="90"/>
      <c r="O86" s="90"/>
      <c r="P86" s="90"/>
      <c r="Q86" s="90"/>
    </row>
    <row r="87" spans="2:17" ht="15">
      <c r="B87" s="98" t="s">
        <v>952</v>
      </c>
      <c r="C87" s="90"/>
      <c r="D87" s="89"/>
      <c r="E87" s="90"/>
      <c r="F87" s="92"/>
      <c r="G87" s="91"/>
      <c r="H87" s="90"/>
      <c r="I87" s="90"/>
      <c r="J87" s="90"/>
      <c r="K87" s="90"/>
      <c r="L87" s="90"/>
      <c r="M87" s="90"/>
      <c r="N87" s="90"/>
      <c r="O87" s="90"/>
      <c r="P87" s="90"/>
      <c r="Q87" s="90"/>
    </row>
    <row r="88" spans="2:17">
      <c r="B88" s="99"/>
      <c r="C88" s="90"/>
      <c r="D88" s="89" t="s">
        <v>1209</v>
      </c>
      <c r="E88" s="90"/>
      <c r="F88" s="92"/>
      <c r="G88" s="91"/>
      <c r="H88" s="90"/>
      <c r="I88" s="90"/>
      <c r="J88" s="90"/>
      <c r="K88" s="90"/>
      <c r="L88" s="90"/>
      <c r="M88" s="90"/>
      <c r="N88" s="90"/>
      <c r="O88" s="90"/>
      <c r="P88" s="90"/>
      <c r="Q88" s="90"/>
    </row>
    <row r="89" spans="2:17" ht="15">
      <c r="B89" s="99"/>
      <c r="C89" s="90"/>
      <c r="D89" s="94"/>
      <c r="E89" s="90"/>
      <c r="F89" s="92"/>
      <c r="G89" s="91"/>
      <c r="H89" s="90"/>
      <c r="I89" s="90"/>
      <c r="J89" s="90"/>
      <c r="K89" s="90"/>
      <c r="L89" s="90"/>
      <c r="M89" s="90"/>
      <c r="N89" s="90"/>
      <c r="O89" s="90"/>
      <c r="P89" s="90"/>
      <c r="Q89" s="90"/>
    </row>
    <row r="90" spans="2:17" ht="15">
      <c r="B90" s="99"/>
      <c r="C90" s="93"/>
      <c r="D90" s="94"/>
      <c r="E90" s="90"/>
      <c r="F90" s="92"/>
      <c r="G90" s="91"/>
      <c r="H90" s="90"/>
      <c r="I90" s="90"/>
      <c r="J90" s="90"/>
      <c r="K90" s="90"/>
      <c r="L90" s="90"/>
      <c r="M90" s="90"/>
      <c r="N90" s="90"/>
      <c r="O90" s="90"/>
      <c r="P90" s="90"/>
      <c r="Q90" s="90"/>
    </row>
    <row r="91" spans="2:17">
      <c r="B91" s="99"/>
      <c r="C91" s="90"/>
      <c r="D91" s="89"/>
      <c r="E91" s="90"/>
      <c r="F91" s="92"/>
      <c r="G91" s="91"/>
      <c r="H91" s="90"/>
      <c r="I91" s="90"/>
      <c r="J91" s="90"/>
      <c r="K91" s="90"/>
      <c r="L91" s="90"/>
      <c r="M91" s="90"/>
      <c r="N91" s="90"/>
      <c r="O91" s="90"/>
      <c r="P91" s="90"/>
      <c r="Q91" s="90"/>
    </row>
    <row r="92" spans="2:17">
      <c r="B92" s="99"/>
      <c r="C92" s="90"/>
      <c r="D92" s="89"/>
      <c r="E92" s="90"/>
      <c r="F92" s="92"/>
      <c r="G92" s="91"/>
      <c r="H92" s="90"/>
      <c r="I92" s="90"/>
      <c r="J92" s="90"/>
      <c r="K92" s="90"/>
      <c r="L92" s="90"/>
      <c r="M92" s="90"/>
      <c r="N92" s="90"/>
      <c r="O92" s="90"/>
      <c r="P92" s="90"/>
      <c r="Q92" s="90"/>
    </row>
    <row r="93" spans="2:17">
      <c r="B93" s="99"/>
      <c r="C93" s="90"/>
      <c r="D93" s="89"/>
      <c r="E93" s="90"/>
      <c r="F93" s="92"/>
      <c r="G93" s="91"/>
      <c r="H93" s="90"/>
      <c r="I93" s="90"/>
      <c r="J93" s="90"/>
      <c r="K93" s="90"/>
      <c r="L93" s="90"/>
      <c r="M93" s="90"/>
      <c r="N93" s="90"/>
      <c r="O93" s="90"/>
      <c r="P93" s="90"/>
      <c r="Q93" s="90"/>
    </row>
    <row r="94" spans="2:17" ht="15">
      <c r="B94" s="100"/>
      <c r="C94" s="96"/>
      <c r="D94" s="94"/>
      <c r="E94" s="90"/>
      <c r="F94" s="92"/>
      <c r="G94" s="91"/>
      <c r="H94" s="90"/>
      <c r="I94" s="90"/>
      <c r="J94" s="90"/>
      <c r="K94" s="90"/>
      <c r="L94" s="90"/>
      <c r="M94" s="90"/>
      <c r="N94" s="90"/>
      <c r="O94" s="90"/>
      <c r="P94" s="90"/>
      <c r="Q94" s="90"/>
    </row>
  </sheetData>
  <mergeCells count="7">
    <mergeCell ref="B55:B69"/>
    <mergeCell ref="F2:Q2"/>
    <mergeCell ref="B2:E2"/>
    <mergeCell ref="C3:E31"/>
    <mergeCell ref="C32:E36"/>
    <mergeCell ref="B3:B54"/>
    <mergeCell ref="C40:E44"/>
  </mergeCells>
  <hyperlinks>
    <hyperlink ref="F4:F6" location="CVC!A1" display="Arrowg+ard Blue Plus Four-Lumen CVC Catheter" xr:uid="{A178287A-96E7-4FCA-80D2-08F954F7ED1B}"/>
    <hyperlink ref="F8:F13" location="CVC!A1" display="Arrowg+ard Blue Large-Bore Three-Lumen CVC Catheter" xr:uid="{2FC1D63D-8A08-4820-B56D-12E496AA7EF9}"/>
    <hyperlink ref="F15:F23" location="CVC!A1" display="Pressure Injectable Arrowg+ard Blue Plus Two-Lumen CVC Catheter" xr:uid="{FD4EDFD7-75C1-4E71-9216-42CAC19A8AB9}"/>
    <hyperlink ref="F25:F27" location="CVC!A1" display="Pressure Injectable Arrowg+ard Blue Advance One-Lumen JACC" xr:uid="{293EE38F-2429-49C3-944C-2B008D1592FC}"/>
    <hyperlink ref="F29:F31" location="CVC!A1" display="Central Venous Catheterization Set with Blue FlexTip Catheter" xr:uid="{9BEB1500-225D-4F18-B977-7EC99596C1C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360A0-B5AB-4CBD-AF63-77987628F0A0}">
  <dimension ref="B2:C29"/>
  <sheetViews>
    <sheetView workbookViewId="0">
      <selection activeCell="M16" sqref="M16"/>
    </sheetView>
  </sheetViews>
  <sheetFormatPr defaultRowHeight="14.25"/>
  <cols>
    <col min="1" max="1" width="3.42578125" style="1" customWidth="1"/>
    <col min="2" max="16384" width="9.140625" style="1"/>
  </cols>
  <sheetData>
    <row r="2" spans="2:3" ht="15">
      <c r="B2" s="2" t="s">
        <v>1237</v>
      </c>
    </row>
    <row r="3" spans="2:3" ht="15">
      <c r="B3" s="2"/>
      <c r="C3" s="1" t="s">
        <v>1219</v>
      </c>
    </row>
    <row r="4" spans="2:3" ht="15">
      <c r="B4" s="2"/>
      <c r="C4" s="1" t="s">
        <v>1225</v>
      </c>
    </row>
    <row r="5" spans="2:3" ht="15">
      <c r="B5" s="2"/>
      <c r="C5" s="1" t="s">
        <v>1221</v>
      </c>
    </row>
    <row r="6" spans="2:3" ht="15">
      <c r="B6" s="2" t="s">
        <v>1238</v>
      </c>
    </row>
    <row r="7" spans="2:3" ht="15">
      <c r="B7" s="2"/>
      <c r="C7" s="1" t="s">
        <v>1218</v>
      </c>
    </row>
    <row r="8" spans="2:3" ht="15">
      <c r="B8" s="2"/>
      <c r="C8" s="1" t="s">
        <v>1220</v>
      </c>
    </row>
    <row r="9" spans="2:3" ht="15">
      <c r="B9" s="2"/>
      <c r="C9" s="1" t="s">
        <v>1226</v>
      </c>
    </row>
    <row r="10" spans="2:3" ht="15">
      <c r="B10" s="2"/>
      <c r="C10" s="1" t="s">
        <v>1228</v>
      </c>
    </row>
    <row r="11" spans="2:3" ht="15">
      <c r="B11" s="2"/>
      <c r="C11" s="1" t="s">
        <v>1230</v>
      </c>
    </row>
    <row r="12" spans="2:3" ht="15">
      <c r="B12" s="2"/>
      <c r="C12" s="1" t="s">
        <v>1231</v>
      </c>
    </row>
    <row r="13" spans="2:3" ht="15">
      <c r="B13" s="2" t="s">
        <v>1239</v>
      </c>
    </row>
    <row r="14" spans="2:3" ht="15">
      <c r="B14" s="2"/>
      <c r="C14" s="1" t="s">
        <v>1227</v>
      </c>
    </row>
    <row r="15" spans="2:3" ht="15">
      <c r="B15" s="2"/>
      <c r="C15" s="1" t="s">
        <v>1233</v>
      </c>
    </row>
    <row r="16" spans="2:3" ht="15">
      <c r="B16" s="2"/>
      <c r="C16" s="1" t="s">
        <v>1229</v>
      </c>
    </row>
    <row r="17" spans="2:3" ht="15">
      <c r="B17" s="2"/>
      <c r="C17" s="1" t="s">
        <v>1232</v>
      </c>
    </row>
    <row r="18" spans="2:3" ht="15">
      <c r="B18" s="2"/>
      <c r="C18" s="1" t="s">
        <v>1242</v>
      </c>
    </row>
    <row r="19" spans="2:3" ht="15">
      <c r="B19" s="2"/>
      <c r="C19" s="1" t="s">
        <v>1243</v>
      </c>
    </row>
    <row r="20" spans="2:3" ht="15">
      <c r="B20" s="2"/>
      <c r="C20" s="1" t="s">
        <v>1244</v>
      </c>
    </row>
    <row r="21" spans="2:3" ht="15">
      <c r="B21" s="2"/>
      <c r="C21" s="1" t="s">
        <v>1245</v>
      </c>
    </row>
    <row r="22" spans="2:3" ht="15">
      <c r="B22" s="2"/>
      <c r="C22" s="1" t="s">
        <v>1246</v>
      </c>
    </row>
    <row r="23" spans="2:3" ht="15">
      <c r="B23" s="2" t="s">
        <v>1240</v>
      </c>
    </row>
    <row r="24" spans="2:3" ht="15">
      <c r="B24" s="2"/>
      <c r="C24" s="1" t="s">
        <v>1234</v>
      </c>
    </row>
    <row r="25" spans="2:3" ht="15">
      <c r="B25" s="2"/>
      <c r="C25" s="1" t="s">
        <v>1223</v>
      </c>
    </row>
    <row r="26" spans="2:3" ht="15">
      <c r="B26" s="2" t="s">
        <v>1241</v>
      </c>
    </row>
    <row r="27" spans="2:3">
      <c r="C27" s="1" t="s">
        <v>1235</v>
      </c>
    </row>
    <row r="28" spans="2:3">
      <c r="C28" s="1" t="s">
        <v>1222</v>
      </c>
    </row>
    <row r="29" spans="2:3">
      <c r="C29" s="1" t="s">
        <v>1236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B2:J24"/>
  <sheetViews>
    <sheetView workbookViewId="0">
      <selection activeCell="B5" sqref="B5:D5"/>
    </sheetView>
  </sheetViews>
  <sheetFormatPr defaultColWidth="9.140625" defaultRowHeight="14.25"/>
  <cols>
    <col min="1" max="1" width="3" style="1" customWidth="1"/>
    <col min="2" max="16384" width="9.140625" style="1"/>
  </cols>
  <sheetData>
    <row r="2" spans="2:10" ht="22.5" customHeight="1" thickBot="1">
      <c r="B2" s="135" t="s">
        <v>1135</v>
      </c>
      <c r="C2" s="135"/>
      <c r="D2" s="135"/>
      <c r="E2" s="163" t="s">
        <v>1136</v>
      </c>
      <c r="F2" s="163"/>
      <c r="G2" s="163"/>
      <c r="H2" s="135" t="s">
        <v>1137</v>
      </c>
      <c r="I2" s="135"/>
      <c r="J2" s="135"/>
    </row>
    <row r="3" spans="2:10" ht="25.5" customHeight="1">
      <c r="B3" s="164" t="s">
        <v>1138</v>
      </c>
      <c r="C3" s="164"/>
      <c r="D3" s="164"/>
      <c r="E3" s="165">
        <v>58</v>
      </c>
      <c r="F3" s="165"/>
      <c r="G3" s="165"/>
      <c r="H3" s="164" t="s">
        <v>1139</v>
      </c>
      <c r="I3" s="164"/>
      <c r="J3" s="164"/>
    </row>
    <row r="4" spans="2:10" ht="25.5" customHeight="1">
      <c r="B4" s="166" t="s">
        <v>1140</v>
      </c>
      <c r="C4" s="166"/>
      <c r="D4" s="166"/>
      <c r="E4" s="167">
        <v>63</v>
      </c>
      <c r="F4" s="167"/>
      <c r="G4" s="167"/>
      <c r="H4" s="166" t="s">
        <v>1141</v>
      </c>
      <c r="I4" s="166"/>
      <c r="J4" s="166"/>
    </row>
    <row r="5" spans="2:10" ht="38.25" customHeight="1">
      <c r="B5" s="168" t="s">
        <v>1142</v>
      </c>
      <c r="C5" s="168"/>
      <c r="D5" s="168"/>
      <c r="E5" s="169">
        <v>60</v>
      </c>
      <c r="F5" s="169"/>
      <c r="G5" s="169"/>
      <c r="H5" s="168" t="s">
        <v>1143</v>
      </c>
      <c r="I5" s="168"/>
      <c r="J5" s="168"/>
    </row>
    <row r="6" spans="2:10" ht="25.5" customHeight="1">
      <c r="B6" s="166" t="s">
        <v>1144</v>
      </c>
      <c r="C6" s="166"/>
      <c r="D6" s="166"/>
      <c r="E6" s="167">
        <v>51</v>
      </c>
      <c r="F6" s="167"/>
      <c r="G6" s="167"/>
      <c r="H6" s="166" t="s">
        <v>1145</v>
      </c>
      <c r="I6" s="166"/>
      <c r="J6" s="166"/>
    </row>
    <row r="7" spans="2:10" ht="25.5" customHeight="1">
      <c r="B7" s="168" t="s">
        <v>1146</v>
      </c>
      <c r="C7" s="168"/>
      <c r="D7" s="168"/>
      <c r="E7" s="169">
        <v>51</v>
      </c>
      <c r="F7" s="169"/>
      <c r="G7" s="169"/>
      <c r="H7" s="168" t="s">
        <v>1147</v>
      </c>
      <c r="I7" s="168"/>
      <c r="J7" s="168"/>
    </row>
    <row r="8" spans="2:10" ht="25.5" customHeight="1">
      <c r="B8" s="166" t="s">
        <v>1148</v>
      </c>
      <c r="C8" s="166"/>
      <c r="D8" s="166"/>
      <c r="E8" s="167">
        <v>52</v>
      </c>
      <c r="F8" s="167"/>
      <c r="G8" s="167"/>
      <c r="H8" s="166" t="s">
        <v>1149</v>
      </c>
      <c r="I8" s="166"/>
      <c r="J8" s="166"/>
    </row>
    <row r="24" spans="2:2">
      <c r="B24" s="1" t="s">
        <v>1150</v>
      </c>
    </row>
  </sheetData>
  <mergeCells count="21">
    <mergeCell ref="B8:D8"/>
    <mergeCell ref="E8:G8"/>
    <mergeCell ref="H8:J8"/>
    <mergeCell ref="B6:D6"/>
    <mergeCell ref="E6:G6"/>
    <mergeCell ref="H6:J6"/>
    <mergeCell ref="B7:D7"/>
    <mergeCell ref="E7:G7"/>
    <mergeCell ref="H7:J7"/>
    <mergeCell ref="B4:D4"/>
    <mergeCell ref="E4:G4"/>
    <mergeCell ref="H4:J4"/>
    <mergeCell ref="B5:D5"/>
    <mergeCell ref="E5:G5"/>
    <mergeCell ref="H5:J5"/>
    <mergeCell ref="B2:D2"/>
    <mergeCell ref="E2:G2"/>
    <mergeCell ref="H2:J2"/>
    <mergeCell ref="B3:D3"/>
    <mergeCell ref="E3:G3"/>
    <mergeCell ref="H3:J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Bull Case</vt:lpstr>
      <vt:lpstr>Base Case</vt:lpstr>
      <vt:lpstr>Notes | Quant Analysis</vt:lpstr>
      <vt:lpstr>Product Lines</vt:lpstr>
      <vt:lpstr>CVC</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2026-10-23T21:55:21Z</dcterms:modified>
</cp:coreProperties>
</file>